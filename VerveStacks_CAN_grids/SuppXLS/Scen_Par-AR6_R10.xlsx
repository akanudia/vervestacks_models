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AN_grids\SuppXLS\"/>
    </mc:Choice>
  </mc:AlternateContent>
  <xr:revisionPtr revIDLastSave="0" documentId="8_{24D2E88A-639C-42F5-9EDE-850CC54CC4EA}" xr6:coauthVersionLast="47" xr6:coauthVersionMax="47" xr10:uidLastSave="{00000000-0000-0000-0000-000000000000}"/>
  <bookViews>
    <workbookView xWindow="-98" yWindow="-98" windowWidth="28996" windowHeight="17475" firstSheet="8" activeTab="8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012" sheetId="7" r:id="rId6"/>
    <sheet name="ts_048" sheetId="8" r:id="rId7"/>
    <sheet name="ts_annual" sheetId="9" r:id="rId8"/>
    <sheet name="ts_12t" sheetId="10" r:id="rId9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0" l="1"/>
  <c r="AG9" i="10"/>
  <c r="AC9" i="10"/>
  <c r="A10" i="6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4" i="6"/>
  <c r="H23" i="6"/>
  <c r="D5" i="1"/>
  <c r="H21" i="6" l="1"/>
  <c r="AJ25" i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K48" i="1" s="1"/>
  <c r="J37" i="1"/>
  <c r="J45" i="1" s="1"/>
  <c r="J40" i="1"/>
  <c r="J48" i="1" s="1"/>
  <c r="I47" i="1"/>
  <c r="L40" i="1"/>
  <c r="L48" i="1" s="1"/>
  <c r="M40" i="1"/>
  <c r="M48" i="1" s="1"/>
  <c r="N40" i="1"/>
  <c r="N48" i="1" s="1"/>
  <c r="M44" i="1"/>
  <c r="N44" i="1"/>
  <c r="O48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sharedStrings.xml><?xml version="1.0" encoding="utf-8"?>
<sst xmlns="http://schemas.openxmlformats.org/spreadsheetml/2006/main" count="66719" uniqueCount="577">
  <si>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</si>
  <si>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</si>
  <si>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</si>
  <si>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</si>
  <si>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</si>
  <si>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</si>
  <si>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</si>
  <si>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</si>
  <si>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</si>
  <si>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</si>
  <si>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</si>
  <si>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</si>
  <si>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</si>
  <si>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</si>
  <si>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</si>
  <si>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</si>
  <si>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</si>
  <si>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</si>
  <si>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</si>
  <si>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</si>
  <si>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</si>
  <si>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</si>
  <si>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</si>
  <si>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</si>
  <si>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</si>
  <si>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</si>
  <si>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</si>
  <si>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</si>
  <si>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</si>
  <si>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</si>
  <si>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</si>
  <si>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</si>
  <si>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</si>
  <si>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</si>
  <si>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</si>
  <si>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</si>
  <si>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</si>
  <si>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</si>
  <si>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</si>
  <si>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</si>
  <si>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</si>
  <si>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</si>
  <si>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</si>
  <si>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</si>
  <si>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</si>
  <si>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</si>
  <si>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</si>
  <si>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</si>
  <si>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</si>
  <si>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</si>
  <si>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</si>
  <si>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</si>
  <si>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</si>
  <si>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</si>
  <si>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</si>
  <si>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</si>
  <si>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</si>
  <si>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</si>
  <si>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</si>
  <si>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</si>
  <si>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</si>
  <si>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</si>
  <si>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</si>
  <si>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</si>
  <si>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</si>
  <si>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</si>
  <si>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</si>
  <si>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</si>
  <si>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</si>
  <si>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</si>
  <si>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</si>
  <si>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</si>
  <si>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</si>
  <si>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</si>
  <si>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</si>
  <si>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</si>
  <si>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</si>
  <si>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</si>
  <si>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</si>
  <si>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</si>
  <si>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</si>
  <si>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</si>
  <si>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</si>
  <si>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</si>
  <si>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~TFM_INS-TS: attribute=flo_cost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</si>
  <si>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</si>
  <si>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</si>
  <si>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</si>
  <si>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</si>
  <si>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</si>
  <si>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</si>
  <si>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</si>
  <si>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</si>
  <si>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</si>
  <si>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</si>
  <si>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</si>
  <si>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</si>
  <si>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</si>
  <si>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</si>
  <si>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</si>
  <si>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</si>
  <si>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</si>
  <si>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</si>
  <si>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</si>
  <si>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</si>
  <si>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</si>
  <si>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</si>
  <si>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</si>
  <si>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</si>
  <si>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</si>
  <si>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</si>
  <si>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</si>
  <si>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</si>
  <si>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</si>
  <si>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</si>
  <si>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</si>
  <si>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</si>
  <si>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</si>
  <si>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</si>
  <si>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</si>
  <si>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</si>
  <si>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</si>
  <si>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</si>
  <si>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</si>
  <si>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</si>
  <si>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</si>
  <si>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</si>
  <si>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</si>
  <si>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</si>
  <si>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</si>
  <si>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</si>
  <si>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</si>
  <si>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</si>
  <si>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</si>
  <si>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</si>
  <si>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g64</t>
  </si>
  <si>
    <t>h48</t>
  </si>
  <si>
    <t>i24</t>
  </si>
  <si>
    <t>j12</t>
  </si>
  <si>
    <t>k12</t>
  </si>
  <si>
    <t>kAnn</t>
  </si>
  <si>
    <t>f96p50</t>
  </si>
  <si>
    <t>CAN</t>
  </si>
  <si>
    <t>R10NORTH_AM</t>
  </si>
  <si>
    <t>Cheap shale gas, coal less competitive</t>
  </si>
  <si>
    <t>1,2,3,4,5,6,7,8,9,10,11,12,13,14,15,21,22,23,24,25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</si>
  <si>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</si>
  <si>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</si>
  <si>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</si>
  <si>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</si>
  <si>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</si>
  <si>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</si>
  <si>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</si>
  <si>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</si>
  <si>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</t>
  </si>
  <si>
    <t>S02</t>
  </si>
  <si>
    <t>H02</t>
  </si>
  <si>
    <t>S03</t>
  </si>
  <si>
    <t>H03</t>
  </si>
  <si>
    <t>com_fr</t>
  </si>
  <si>
    <t>elc_spv_001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</si>
  <si>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</si>
  <si>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</si>
  <si>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</si>
  <si>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</si>
  <si>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</si>
  <si>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</si>
  <si>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</si>
  <si>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</si>
  <si>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</si>
  <si>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</si>
  <si>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</si>
  <si>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</si>
  <si>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</si>
  <si>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</si>
  <si>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</si>
  <si>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</si>
  <si>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</si>
  <si>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</si>
  <si>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</si>
  <si>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</si>
  <si>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</si>
  <si>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</si>
  <si>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</si>
  <si>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</si>
  <si>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</si>
  <si>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</si>
  <si>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</si>
  <si>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</si>
  <si>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</si>
  <si>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</si>
  <si>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</si>
  <si>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</si>
  <si>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</si>
  <si>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</si>
  <si>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</si>
  <si>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</si>
  <si>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</si>
  <si>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</si>
  <si>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</si>
  <si>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elc_spv_031</t>
  </si>
  <si>
    <t>elc_spv_032</t>
  </si>
  <si>
    <t>elc_spv_033</t>
  </si>
  <si>
    <t>elc_spv_034</t>
  </si>
  <si>
    <t>elc_spv_035</t>
  </si>
  <si>
    <t>elc_spv_036</t>
  </si>
  <si>
    <t>elc_spv_037</t>
  </si>
  <si>
    <t>elc_spv_038</t>
  </si>
  <si>
    <t>elc_spv_039</t>
  </si>
  <si>
    <t>elc_spv_040</t>
  </si>
  <si>
    <t>elc_spv_041</t>
  </si>
  <si>
    <t>elc_spv_042</t>
  </si>
  <si>
    <t>elc_spv_043</t>
  </si>
  <si>
    <t>elc_spv_044</t>
  </si>
  <si>
    <t>elc_spv_045</t>
  </si>
  <si>
    <t>elc_spv_046</t>
  </si>
  <si>
    <t>elc_spv_047</t>
  </si>
  <si>
    <t>elc_spv_048</t>
  </si>
  <si>
    <t>elc_spv_049</t>
  </si>
  <si>
    <t>elc_spv_050</t>
  </si>
  <si>
    <t>elc_spv_051</t>
  </si>
  <si>
    <t>elc_spv_052</t>
  </si>
  <si>
    <t>elc_spv_053</t>
  </si>
  <si>
    <t>elc_spv_054</t>
  </si>
  <si>
    <t>elc_spv_055</t>
  </si>
  <si>
    <t>elc_spv_056</t>
  </si>
  <si>
    <t>elc_spv_057</t>
  </si>
  <si>
    <t>elc_spv_058</t>
  </si>
  <si>
    <t>elc_spv_059</t>
  </si>
  <si>
    <t>elc_spv_060</t>
  </si>
  <si>
    <t>elc_spv_061</t>
  </si>
  <si>
    <t>elc_spv_062</t>
  </si>
  <si>
    <t>elc_spv_063</t>
  </si>
  <si>
    <t>elc_spv_064</t>
  </si>
  <si>
    <t>elc_spv_065</t>
  </si>
  <si>
    <t>elc_spv_066</t>
  </si>
  <si>
    <t>elc_spv_067</t>
  </si>
  <si>
    <t>elc_spv_068</t>
  </si>
  <si>
    <t>elc_spv_069</t>
  </si>
  <si>
    <t>elc_spv_070</t>
  </si>
  <si>
    <t>elc_spv_071</t>
  </si>
  <si>
    <t>elc_spv_072</t>
  </si>
  <si>
    <t>elc_spv_073</t>
  </si>
  <si>
    <t>elc_spv_074</t>
  </si>
  <si>
    <t>elc_spv_075</t>
  </si>
  <si>
    <t>elc_spv_076</t>
  </si>
  <si>
    <t>elc_spv_077</t>
  </si>
  <si>
    <t>elc_spv_078</t>
  </si>
  <si>
    <t>elc_spv_079</t>
  </si>
  <si>
    <t>elc_spv_080</t>
  </si>
  <si>
    <t>elc_spv_081</t>
  </si>
  <si>
    <t>elc_spv_082</t>
  </si>
  <si>
    <t>elc_spv_083</t>
  </si>
  <si>
    <t>elc_spv_084</t>
  </si>
  <si>
    <t>elc_spv_085</t>
  </si>
  <si>
    <t>elc_spv_086</t>
  </si>
  <si>
    <t>elc_spv_087</t>
  </si>
  <si>
    <t>elc_spv_088</t>
  </si>
  <si>
    <t>elc_spv_089</t>
  </si>
  <si>
    <t>elc_spv_090</t>
  </si>
  <si>
    <t>elc_spv_091</t>
  </si>
  <si>
    <t>elc_spv_092</t>
  </si>
  <si>
    <t>elc_spv_093</t>
  </si>
  <si>
    <t>elc_spv_094</t>
  </si>
  <si>
    <t>elc_spv_095</t>
  </si>
  <si>
    <t>elc_spv_096</t>
  </si>
  <si>
    <t>elc_spv_097</t>
  </si>
  <si>
    <t>elc_spv_098</t>
  </si>
  <si>
    <t>elc_spv_099</t>
  </si>
  <si>
    <t>elc_spv_100</t>
  </si>
  <si>
    <t>elc_spv_101</t>
  </si>
  <si>
    <t>elc_spv_102</t>
  </si>
  <si>
    <t>elc_spv_103</t>
  </si>
  <si>
    <t>elc_spv_104</t>
  </si>
  <si>
    <t>elc_spv_105</t>
  </si>
  <si>
    <t>elc_spv_106</t>
  </si>
  <si>
    <t>elc_spv_107</t>
  </si>
  <si>
    <t>elc_spv_108</t>
  </si>
  <si>
    <t>elc_spv_109</t>
  </si>
  <si>
    <t>elc_spv_110</t>
  </si>
  <si>
    <t>elc_spv_111</t>
  </si>
  <si>
    <t>elc_spv_112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</si>
  <si>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</si>
  <si>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</si>
  <si>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</si>
  <si>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</si>
  <si>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</si>
  <si>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</si>
  <si>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</si>
  <si>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</si>
  <si>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</si>
  <si>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</si>
  <si>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</si>
  <si>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</si>
  <si>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</si>
  <si>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</si>
  <si>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</si>
  <si>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</si>
  <si>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</si>
  <si>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</si>
  <si>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</si>
  <si>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</si>
  <si>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elc_won_021</t>
  </si>
  <si>
    <t>elc_won_022</t>
  </si>
  <si>
    <t>elc_won_023</t>
  </si>
  <si>
    <t>elc_won_024</t>
  </si>
  <si>
    <t>elc_won_025</t>
  </si>
  <si>
    <t>elc_won_026</t>
  </si>
  <si>
    <t>elc_won_027</t>
  </si>
  <si>
    <t>elc_won_028</t>
  </si>
  <si>
    <t>elc_won_029</t>
  </si>
  <si>
    <t>elc_won_030</t>
  </si>
  <si>
    <t>elc_won_031</t>
  </si>
  <si>
    <t>elc_won_032</t>
  </si>
  <si>
    <t>elc_won_033</t>
  </si>
  <si>
    <t>elc_won_034</t>
  </si>
  <si>
    <t>elc_won_035</t>
  </si>
  <si>
    <t>elc_won_036</t>
  </si>
  <si>
    <t>elc_won_037</t>
  </si>
  <si>
    <t>elc_won_038</t>
  </si>
  <si>
    <t>elc_won_039</t>
  </si>
  <si>
    <t>elc_won_040</t>
  </si>
  <si>
    <t>elc_won_041</t>
  </si>
  <si>
    <t>elc_won_042</t>
  </si>
  <si>
    <t>elc_won_043</t>
  </si>
  <si>
    <t>elc_won_044</t>
  </si>
  <si>
    <t>elc_won_045</t>
  </si>
  <si>
    <t>elc_won_046</t>
  </si>
  <si>
    <t>elc_won_047</t>
  </si>
  <si>
    <t>elc_won_048</t>
  </si>
  <si>
    <t>elc_won_049</t>
  </si>
  <si>
    <t>elc_won_050</t>
  </si>
  <si>
    <t>elc_won_051</t>
  </si>
  <si>
    <t>elc_won_052</t>
  </si>
  <si>
    <t>elc_won_053</t>
  </si>
  <si>
    <t>elc_won_054</t>
  </si>
  <si>
    <t>elc_won_055</t>
  </si>
  <si>
    <t>elc_won_056</t>
  </si>
  <si>
    <t>elc_won_057</t>
  </si>
  <si>
    <t>elc_won_058</t>
  </si>
  <si>
    <t>elc_won_059</t>
  </si>
  <si>
    <t>elc_won_060</t>
  </si>
  <si>
    <t>elc_won_061</t>
  </si>
  <si>
    <t>elc_won_062</t>
  </si>
  <si>
    <t>elc_won_063</t>
  </si>
  <si>
    <t>elc_won_064</t>
  </si>
  <si>
    <t>elc_won_065</t>
  </si>
  <si>
    <t>elc_won_066</t>
  </si>
  <si>
    <t>elc_won_067</t>
  </si>
  <si>
    <t>elc_won_068</t>
  </si>
  <si>
    <t>elc_won_069</t>
  </si>
  <si>
    <t>elc_won_070</t>
  </si>
  <si>
    <t>elc_won_071</t>
  </si>
  <si>
    <t>elc_won_072</t>
  </si>
  <si>
    <t>elc_won_073</t>
  </si>
  <si>
    <t>elc_won_074</t>
  </si>
  <si>
    <t>elc_won_075</t>
  </si>
  <si>
    <t>elc_won_076</t>
  </si>
  <si>
    <t>elc_won_077</t>
  </si>
  <si>
    <t>elc_won_078</t>
  </si>
  <si>
    <t>elc_won_079</t>
  </si>
  <si>
    <t>elc_won_080</t>
  </si>
  <si>
    <t>elc_won_081</t>
  </si>
  <si>
    <t>elc_won_082</t>
  </si>
  <si>
    <t>elc_won_083</t>
  </si>
  <si>
    <t>elc_won_084</t>
  </si>
  <si>
    <t>elc_won_085</t>
  </si>
  <si>
    <t>elc_won_086</t>
  </si>
  <si>
    <t>elc_won_087</t>
  </si>
  <si>
    <t>elc_won_088</t>
  </si>
  <si>
    <t>elc_won_089</t>
  </si>
  <si>
    <t>elc_won_090</t>
  </si>
  <si>
    <t>elc_won_091</t>
  </si>
  <si>
    <t>elc_won_092</t>
  </si>
  <si>
    <t>elc_won_093</t>
  </si>
  <si>
    <t>elc_won_094</t>
  </si>
  <si>
    <t>elc_won_095</t>
  </si>
  <si>
    <t>elc_won_096</t>
  </si>
  <si>
    <t>elc_won_097</t>
  </si>
  <si>
    <t>elc_won_098</t>
  </si>
  <si>
    <t>elc_won_099</t>
  </si>
  <si>
    <t>elc_won_100</t>
  </si>
  <si>
    <t>elc_won_101</t>
  </si>
  <si>
    <t>elc_won_102</t>
  </si>
  <si>
    <t>elc_won_103</t>
  </si>
  <si>
    <t>elc_won_104</t>
  </si>
  <si>
    <t>elc_won_105</t>
  </si>
  <si>
    <t>elc_won_106</t>
  </si>
  <si>
    <t>elc_won_107</t>
  </si>
  <si>
    <t>elc_won_108</t>
  </si>
  <si>
    <t>elc_won_109</t>
  </si>
  <si>
    <t>elc_won_110</t>
  </si>
  <si>
    <t>elc_won_111</t>
  </si>
  <si>
    <t>elc_won_112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</si>
  <si>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</si>
  <si>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</si>
  <si>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</si>
  <si>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</si>
  <si>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</si>
  <si>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</si>
  <si>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</si>
  <si>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</si>
  <si>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</si>
  <si>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</si>
  <si>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</si>
  <si>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</si>
  <si>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</si>
  <si>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</si>
  <si>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</si>
  <si>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</si>
  <si>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</si>
  <si>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</si>
  <si>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</si>
  <si>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elc_wof_020</t>
  </si>
  <si>
    <t>elc_wof_021</t>
  </si>
  <si>
    <t>elc_wof_022</t>
  </si>
  <si>
    <t>elc_wof_023</t>
  </si>
  <si>
    <t>elc_wof_024</t>
  </si>
  <si>
    <t>elc_wof_025</t>
  </si>
  <si>
    <t>elc_wof_026</t>
  </si>
  <si>
    <t>elc_wof_027</t>
  </si>
  <si>
    <t>elc_wof_028</t>
  </si>
  <si>
    <t>elc_wof_029</t>
  </si>
  <si>
    <t>elc_wof_030</t>
  </si>
  <si>
    <t>elc_wof_031</t>
  </si>
  <si>
    <t>elc_wof_032</t>
  </si>
  <si>
    <t>elc_wof_033</t>
  </si>
  <si>
    <t>elc_wof_034</t>
  </si>
  <si>
    <t>elc_wof_035</t>
  </si>
  <si>
    <t>elc_wof_036</t>
  </si>
  <si>
    <t>elc_wof_037</t>
  </si>
  <si>
    <t>elc_wof_038</t>
  </si>
  <si>
    <t>elc_wof_039</t>
  </si>
  <si>
    <t>elc_wof_040</t>
  </si>
  <si>
    <t>elc_wof_041</t>
  </si>
  <si>
    <t>elc_wof_042</t>
  </si>
  <si>
    <t>elc_wof_043</t>
  </si>
  <si>
    <t>elc_wof_044</t>
  </si>
  <si>
    <t>elc_wof_045</t>
  </si>
  <si>
    <t>elc_wof_046</t>
  </si>
  <si>
    <t>elc_wof_047</t>
  </si>
  <si>
    <t>elc_wof_048</t>
  </si>
  <si>
    <t>elc_wof_049</t>
  </si>
  <si>
    <t>elc_wof_050</t>
  </si>
  <si>
    <t>elc_wof_051</t>
  </si>
  <si>
    <t>elc_wof_052</t>
  </si>
  <si>
    <t>elc_wof_053</t>
  </si>
  <si>
    <t>elc_wof_054</t>
  </si>
  <si>
    <t>elc_wof_055</t>
  </si>
  <si>
    <t>elc_wof_056</t>
  </si>
  <si>
    <t>elc_wof_057</t>
  </si>
  <si>
    <t>elc_wof_058</t>
  </si>
  <si>
    <t>elc_wof_059</t>
  </si>
  <si>
    <t>elc_wof_060</t>
  </si>
  <si>
    <t>elc_wof_061</t>
  </si>
  <si>
    <t>elc_wof_062</t>
  </si>
  <si>
    <t>elc_wof_063</t>
  </si>
  <si>
    <t>elc_wof_064</t>
  </si>
  <si>
    <t>elc_wof_065</t>
  </si>
  <si>
    <t>elc_wof_066</t>
  </si>
  <si>
    <t>elc_wof_067</t>
  </si>
  <si>
    <t>elc_wof_068</t>
  </si>
  <si>
    <t>elc_wof_069</t>
  </si>
  <si>
    <t>elc_wof_070</t>
  </si>
  <si>
    <t>elc_wof_071</t>
  </si>
  <si>
    <t>elc_wof_072</t>
  </si>
  <si>
    <t>elc_wof_073</t>
  </si>
  <si>
    <t>elc_wof_074</t>
  </si>
  <si>
    <t>elc_wof_075</t>
  </si>
  <si>
    <t>elc_wof_076</t>
  </si>
  <si>
    <t>elc_wof_077</t>
  </si>
  <si>
    <t>elc_wof_078</t>
  </si>
  <si>
    <t>elc_wof_079</t>
  </si>
  <si>
    <t>elc_wof_080</t>
  </si>
  <si>
    <t>elc_wof_081</t>
  </si>
  <si>
    <t>elc_wof_082</t>
  </si>
  <si>
    <t>elc_wof_083</t>
  </si>
  <si>
    <t>elc_wof_084</t>
  </si>
  <si>
    <t>elc_wof_085</t>
  </si>
  <si>
    <t>elc_wof_086</t>
  </si>
  <si>
    <t>elc_wof_087</t>
  </si>
  <si>
    <t>elc_wof_088</t>
  </si>
  <si>
    <t>elc_wof_089</t>
  </si>
  <si>
    <t>elc_wof_090</t>
  </si>
  <si>
    <t>elc_wof_091</t>
  </si>
  <si>
    <t>elc_wof_092</t>
  </si>
  <si>
    <t>elc_wof_093</t>
  </si>
  <si>
    <t>elc_wof_094</t>
  </si>
  <si>
    <t>elc_wof_095</t>
  </si>
  <si>
    <t>elc_wof_096</t>
  </si>
  <si>
    <t>elc_wof_097</t>
  </si>
  <si>
    <t>elc_wof_098</t>
  </si>
  <si>
    <t>elc_wof_099</t>
  </si>
  <si>
    <t>elc_wof_100</t>
  </si>
  <si>
    <t>elc_wof_101</t>
  </si>
  <si>
    <t>elc_wof_102</t>
  </si>
  <si>
    <t>elc_wof_103</t>
  </si>
  <si>
    <t>elc_wof_104</t>
  </si>
  <si>
    <t>elc_wof_105</t>
  </si>
  <si>
    <t>elc_wof_106</t>
  </si>
  <si>
    <t>elc_wof_107</t>
  </si>
  <si>
    <t>g_yrfr</t>
  </si>
  <si>
    <t>day_night</t>
  </si>
  <si>
    <t>D</t>
  </si>
  <si>
    <t>S02aH01,S03aH01,S02aH02,S03aH02,S01aH02,S01aH01</t>
  </si>
  <si>
    <t>N</t>
  </si>
  <si>
    <t>S03aH03,S01aH03,S02aH03</t>
  </si>
  <si>
    <t>com_pkflx</t>
  </si>
  <si>
    <t>ncap_afs</t>
  </si>
  <si>
    <t>pset_ci</t>
  </si>
  <si>
    <t>hydro</t>
  </si>
  <si>
    <t>S01,S02,S03,S04,S05,S06,S07</t>
  </si>
  <si>
    <t>S04</t>
  </si>
  <si>
    <t>H04</t>
  </si>
  <si>
    <t>S05</t>
  </si>
  <si>
    <t>H05</t>
  </si>
  <si>
    <t>S06</t>
  </si>
  <si>
    <t>H06</t>
  </si>
  <si>
    <t>S07</t>
  </si>
  <si>
    <t>S01aH04</t>
  </si>
  <si>
    <t>S01aH05</t>
  </si>
  <si>
    <t>S01aH06</t>
  </si>
  <si>
    <t>S02aH04</t>
  </si>
  <si>
    <t>S02aH05</t>
  </si>
  <si>
    <t>S02aH06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</si>
  <si>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</si>
  <si>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</si>
  <si>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</si>
  <si>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</si>
  <si>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</si>
  <si>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</si>
  <si>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</si>
  <si>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</si>
  <si>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</si>
  <si>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S05aH01</t>
  </si>
  <si>
    <t>S05aH02</t>
  </si>
  <si>
    <t>S05aH03</t>
  </si>
  <si>
    <t>S05aH04</t>
  </si>
  <si>
    <t>S05aH05</t>
  </si>
  <si>
    <t>S05aH06</t>
  </si>
  <si>
    <t>S06aH01</t>
  </si>
  <si>
    <t>S06aH02</t>
  </si>
  <si>
    <t>S06aH03</t>
  </si>
  <si>
    <t>S06aH04</t>
  </si>
  <si>
    <t>S06aH05</t>
  </si>
  <si>
    <t>S06aH06</t>
  </si>
  <si>
    <t>S07aH01</t>
  </si>
  <si>
    <t>S07aH02</t>
  </si>
  <si>
    <t>S07aH03</t>
  </si>
  <si>
    <t>S07aH04</t>
  </si>
  <si>
    <t>S07aH05</t>
  </si>
  <si>
    <t>S07aH06</t>
  </si>
  <si>
    <t>S02aH02,S03aH03,S01aH04,S07aH02,S05aH04,S06aH02,S06aH03,S03aH05,S05aH05,S06aH04,S04aH03,S07aH04,S02aH03,S07aH03,S01aH05,S06aH05,S03aH04,S01aH03,S05aH02,S05aH03,S04aH02,S02aH04,S02aH05,S04aH05,S03aH02,S07aH05,S01aH02,S04aH04</t>
  </si>
  <si>
    <t>S03aH01,S06aH06,S01aH06,S07aH01,S02aH01,S05aH06,S01aH01,S04aH01,S04aH06,S05aH01,S07aH06,S02aH06,S06aH01,S03aH06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</si>
  <si>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</si>
  <si>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</si>
  <si>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</si>
  <si>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</si>
  <si>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</si>
  <si>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</si>
  <si>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</si>
  <si>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</si>
  <si>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</si>
  <si>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</si>
  <si>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</si>
  <si>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</si>
  <si>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</si>
  <si>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</si>
  <si>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</si>
  <si>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</si>
  <si>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</si>
  <si>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</si>
  <si>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</si>
  <si>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</si>
  <si>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</si>
  <si>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FaP,SaP,WaP,RaD,FaD,SaD,RaP,WaD</t>
  </si>
  <si>
    <t>RaN,WaP,SaN,WaN,FaN,RaP,FaP,SaP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</si>
</sst>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599.92000000000007</c:v>
                </c:pt>
                <c:pt idx="1">
                  <c:v>605.91920000000005</c:v>
                </c:pt>
                <c:pt idx="2">
                  <c:v>653.91280000000017</c:v>
                </c:pt>
                <c:pt idx="3">
                  <c:v>707.90560000000005</c:v>
                </c:pt>
                <c:pt idx="4">
                  <c:v>779.89600000000007</c:v>
                </c:pt>
                <c:pt idx="5">
                  <c:v>899.88000000000011</c:v>
                </c:pt>
                <c:pt idx="6">
                  <c:v>1019.8640000000001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79.900000000000006</c:v>
                </c:pt>
                <c:pt idx="3">
                  <c:v>104.42</c:v>
                </c:pt>
                <c:pt idx="4">
                  <c:v>134.84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8"/>
  <sheetViews>
    <sheetView topLeftCell="X1" workbookViewId="0">
      <selection activeCell="AI17" sqref="AI17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8" x14ac:dyDescent="0.45">
      <c r="G1" s="18" t="s">
        <v>145</v>
      </c>
    </row>
    <row r="2" spans="1:38" x14ac:dyDescent="0.45">
      <c r="D2" s="1" t="str">
        <f>"~Inputcell: "&amp;_xlfn.TEXTJOIN(",",TRUE,G1:EE1)</f>
        <v>~Inputcell: 1,2,3,4,5,6,7,8,9,10,11,12,13,14,15,21,22,23,24,25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8" x14ac:dyDescent="0.45">
      <c r="D3" s="9">
        <v>3</v>
      </c>
    </row>
    <row r="5" spans="1:38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8" x14ac:dyDescent="0.45">
      <c r="B7" s="16" t="s">
        <v>119</v>
      </c>
    </row>
    <row r="8" spans="1:38" ht="14.65" thickBot="1" x14ac:dyDescent="0.5">
      <c r="A8" s="4" t="s">
        <v>124</v>
      </c>
      <c r="B8" s="4" t="s">
        <v>120</v>
      </c>
      <c r="C8" s="4" t="s">
        <v>121</v>
      </c>
      <c r="D8" s="4" t="s">
        <v>122</v>
      </c>
      <c r="E8" s="4" t="s">
        <v>123</v>
      </c>
    </row>
    <row r="9" spans="1:38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107</v>
      </c>
      <c r="AI9" t="s">
        <v>140</v>
      </c>
      <c r="AJ9" s="10">
        <v>1</v>
      </c>
      <c r="AK9" t="s">
        <v>0</v>
      </c>
      <c r="AL9" t="s">
        <v>110</v>
      </c>
    </row>
    <row r="10" spans="1:38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132</v>
      </c>
      <c r="AI10" t="s">
        <v>139</v>
      </c>
      <c r="AJ10" s="10">
        <v>1</v>
      </c>
      <c r="AK10" t="s">
        <v>2</v>
      </c>
      <c r="AL10" t="s">
        <v>112</v>
      </c>
    </row>
    <row r="11" spans="1:38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125</v>
      </c>
      <c r="AI11" t="s">
        <v>138</v>
      </c>
      <c r="AJ11" s="10">
        <v>1</v>
      </c>
      <c r="AK11" t="s">
        <v>5</v>
      </c>
      <c r="AL11" t="s">
        <v>114</v>
      </c>
    </row>
    <row r="12" spans="1:38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599.92000000000007</v>
      </c>
      <c r="T12" s="2" t="s">
        <v>57</v>
      </c>
      <c r="AG12">
        <v>4</v>
      </c>
      <c r="AH12" t="s">
        <v>126</v>
      </c>
      <c r="AI12" t="s">
        <v>137</v>
      </c>
      <c r="AJ12" s="10">
        <v>1</v>
      </c>
      <c r="AK12" t="s">
        <v>7</v>
      </c>
      <c r="AL12" t="s">
        <v>116</v>
      </c>
    </row>
    <row r="13" spans="1:38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127</v>
      </c>
      <c r="AI13" t="s">
        <v>136</v>
      </c>
      <c r="AJ13" s="10">
        <v>1</v>
      </c>
      <c r="AK13" t="s">
        <v>9</v>
      </c>
      <c r="AL13" t="s">
        <v>117</v>
      </c>
    </row>
    <row r="14" spans="1:38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599.92000000000007</v>
      </c>
      <c r="U14" s="8">
        <f t="shared" ref="U14:Z14" si="3">$S$12*J15</f>
        <v>605.91920000000005</v>
      </c>
      <c r="V14" s="8">
        <f t="shared" si="3"/>
        <v>653.91280000000017</v>
      </c>
      <c r="W14" s="8">
        <f t="shared" si="3"/>
        <v>707.90560000000005</v>
      </c>
      <c r="X14" s="8">
        <f t="shared" si="3"/>
        <v>779.89600000000007</v>
      </c>
      <c r="Y14" s="8">
        <f t="shared" si="3"/>
        <v>899.88000000000011</v>
      </c>
      <c r="Z14" s="8">
        <f t="shared" si="3"/>
        <v>1019.8640000000001</v>
      </c>
      <c r="AG14">
        <v>6</v>
      </c>
      <c r="AH14" t="s">
        <v>128</v>
      </c>
      <c r="AI14" t="s">
        <v>135</v>
      </c>
      <c r="AJ14" s="10">
        <f>AJ9+1</f>
        <v>2</v>
      </c>
    </row>
    <row r="15" spans="1:38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1.01</v>
      </c>
      <c r="K15" s="11">
        <f>SUMIFS(ar6_r10!$F$2:$F$999,ar6_r10!$A$2:$A$999,Veda!$E$5,ar6_r10!$C$2:$C$999,Veda!K$17,ar6_r10!$M$2:$M$999,Veda!$G15)</f>
        <v>1.0900000000000001</v>
      </c>
      <c r="L15" s="11">
        <f>SUMIFS(ar6_r10!$F$2:$F$999,ar6_r10!$A$2:$A$999,Veda!$E$5,ar6_r10!$C$2:$C$999,Veda!L$17,ar6_r10!$M$2:$M$999,Veda!$G15)</f>
        <v>1.18</v>
      </c>
      <c r="M15" s="11">
        <f>SUMIFS(ar6_r10!$F$2:$F$999,ar6_r10!$A$2:$A$999,Veda!$E$5,ar6_r10!$C$2:$C$999,Veda!M$17,ar6_r10!$M$2:$M$999,Veda!$G15)</f>
        <v>1.3</v>
      </c>
      <c r="N15" s="11">
        <f>SUMIFS(ar6_r10!$F$2:$F$999,ar6_r10!$A$2:$A$999,Veda!$E$5,ar6_r10!$C$2:$C$999,Veda!N$17,ar6_r10!$M$2:$M$999,Veda!$G15)</f>
        <v>1.5</v>
      </c>
      <c r="O15" s="11">
        <f>SUMIFS(ar6_r10!$F$2:$F$999,ar6_r10!$A$2:$A$999,Veda!$E$5,ar6_r10!$C$2:$C$999,Veda!O$17,ar6_r10!$M$2:$M$999,Veda!$G15)</f>
        <v>1.7</v>
      </c>
      <c r="AG15">
        <v>7</v>
      </c>
      <c r="AH15" t="s">
        <v>129</v>
      </c>
      <c r="AI15" t="s">
        <v>141</v>
      </c>
      <c r="AJ15" s="10">
        <f t="shared" ref="AJ15:AJ78" si="5">AJ10+1</f>
        <v>2</v>
      </c>
    </row>
    <row r="16" spans="1:38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130</v>
      </c>
      <c r="AI16" t="s">
        <v>134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131</v>
      </c>
      <c r="AI17" t="s">
        <v>133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0.01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0.02</v>
      </c>
      <c r="N18" s="11">
        <f>SUMIFS(ar6_r10!$F$2:$F$999,ar6_r10!$A$2:$A$999,Veda!$E$5,ar6_r10!$C$2:$C$999,Veda!N$17,ar6_r10!$M$2:$M$999,Veda!$G18)</f>
        <v>0.01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6.5391280000000016</v>
      </c>
      <c r="W18" s="6">
        <f t="shared" si="7"/>
        <v>7.0790560000000005</v>
      </c>
      <c r="X18" s="6">
        <f t="shared" si="7"/>
        <v>15.597920000000002</v>
      </c>
      <c r="Y18" s="6">
        <f t="shared" si="7"/>
        <v>8.998800000000001</v>
      </c>
      <c r="Z18" s="6">
        <f t="shared" si="7"/>
        <v>30.595920000000003</v>
      </c>
      <c r="AA18" t="s">
        <v>17</v>
      </c>
      <c r="AC18" s="2"/>
      <c r="AG18">
        <v>10</v>
      </c>
      <c r="AH18" t="s">
        <v>102</v>
      </c>
      <c r="AI18" t="s">
        <v>109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0.22</v>
      </c>
      <c r="J19" s="11">
        <f>SUMIFS(ar6_r10!$F$2:$F$999,ar6_r10!$A$2:$A$999,Veda!$E$5,ar6_r10!$C$2:$C$999,Veda!J$17,ar6_r10!$M$2:$M$999,Veda!$G19)</f>
        <v>0.21</v>
      </c>
      <c r="K19" s="11">
        <f>SUMIFS(ar6_r10!$F$2:$F$999,ar6_r10!$A$2:$A$999,Veda!$E$5,ar6_r10!$C$2:$C$999,Veda!K$17,ar6_r10!$M$2:$M$999,Veda!$G19)</f>
        <v>0.21</v>
      </c>
      <c r="L19" s="11">
        <f>SUMIFS(ar6_r10!$F$2:$F$999,ar6_r10!$A$2:$A$999,Veda!$E$5,ar6_r10!$C$2:$C$999,Veda!L$17,ar6_r10!$M$2:$M$999,Veda!$G19)</f>
        <v>0.21</v>
      </c>
      <c r="M19" s="11">
        <f>SUMIFS(ar6_r10!$F$2:$F$999,ar6_r10!$A$2:$A$999,Veda!$E$5,ar6_r10!$C$2:$C$999,Veda!M$17,ar6_r10!$M$2:$M$999,Veda!$G19)</f>
        <v>0.21</v>
      </c>
      <c r="N19" s="11">
        <f>SUMIFS(ar6_r10!$F$2:$F$999,ar6_r10!$A$2:$A$999,Veda!$E$5,ar6_r10!$C$2:$C$999,Veda!N$17,ar6_r10!$M$2:$M$999,Veda!$G19)</f>
        <v>0.22</v>
      </c>
      <c r="O19" s="11">
        <f>SUMIFS(ar6_r10!$F$2:$F$999,ar6_r10!$A$2:$A$999,Veda!$E$5,ar6_r10!$C$2:$C$999,Veda!O$17,ar6_r10!$M$2:$M$999,Veda!$G19)</f>
        <v>0.24</v>
      </c>
      <c r="S19" s="10" t="s">
        <v>19</v>
      </c>
      <c r="T19" s="6">
        <f t="shared" si="7"/>
        <v>131.98240000000001</v>
      </c>
      <c r="U19" s="6">
        <f t="shared" si="7"/>
        <v>127.243032</v>
      </c>
      <c r="V19" s="6">
        <f t="shared" si="7"/>
        <v>137.32168800000002</v>
      </c>
      <c r="W19" s="6">
        <f t="shared" si="7"/>
        <v>148.66017600000001</v>
      </c>
      <c r="X19" s="6">
        <f t="shared" si="7"/>
        <v>163.77816000000001</v>
      </c>
      <c r="Y19" s="6">
        <f t="shared" si="7"/>
        <v>197.97360000000003</v>
      </c>
      <c r="Z19" s="6">
        <f t="shared" si="7"/>
        <v>244.76736000000002</v>
      </c>
      <c r="AA19" t="s">
        <v>17</v>
      </c>
      <c r="AG19">
        <v>11</v>
      </c>
      <c r="AH19" t="s">
        <v>103</v>
      </c>
      <c r="AI19" t="s">
        <v>111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0.76</v>
      </c>
      <c r="J20" s="11">
        <f>SUMIFS(ar6_r10!$F$2:$F$999,ar6_r10!$A$2:$A$999,Veda!$E$5,ar6_r10!$C$2:$C$999,Veda!J$17,ar6_r10!$M$2:$M$999,Veda!$G20)</f>
        <v>0.77</v>
      </c>
      <c r="K20" s="11">
        <f>SUMIFS(ar6_r10!$F$2:$F$999,ar6_r10!$A$2:$A$999,Veda!$E$5,ar6_r10!$C$2:$C$999,Veda!K$17,ar6_r10!$M$2:$M$999,Veda!$G20)</f>
        <v>0.75</v>
      </c>
      <c r="L20" s="11">
        <f>SUMIFS(ar6_r10!$F$2:$F$999,ar6_r10!$A$2:$A$999,Veda!$E$5,ar6_r10!$C$2:$C$999,Veda!L$17,ar6_r10!$M$2:$M$999,Veda!$G20)</f>
        <v>0.71</v>
      </c>
      <c r="M20" s="11">
        <f>SUMIFS(ar6_r10!$F$2:$F$999,ar6_r10!$A$2:$A$999,Veda!$E$5,ar6_r10!$C$2:$C$999,Veda!M$17,ar6_r10!$M$2:$M$999,Veda!$G20)</f>
        <v>0.69</v>
      </c>
      <c r="N20" s="11">
        <f>SUMIFS(ar6_r10!$F$2:$F$999,ar6_r10!$A$2:$A$999,Veda!$E$5,ar6_r10!$C$2:$C$999,Veda!N$17,ar6_r10!$M$2:$M$999,Veda!$G20)</f>
        <v>0.64</v>
      </c>
      <c r="O20" s="11">
        <f>SUMIFS(ar6_r10!$F$2:$F$999,ar6_r10!$A$2:$A$999,Veda!$E$5,ar6_r10!$C$2:$C$999,Veda!O$17,ar6_r10!$M$2:$M$999,Veda!$G20)</f>
        <v>0.6</v>
      </c>
      <c r="S20" s="10" t="s">
        <v>22</v>
      </c>
      <c r="T20" s="6">
        <f t="shared" si="7"/>
        <v>455.93920000000008</v>
      </c>
      <c r="U20" s="6">
        <f t="shared" si="7"/>
        <v>466.55778400000003</v>
      </c>
      <c r="V20" s="6">
        <f t="shared" si="7"/>
        <v>490.43460000000016</v>
      </c>
      <c r="W20" s="6">
        <f t="shared" si="7"/>
        <v>502.612976</v>
      </c>
      <c r="X20" s="6">
        <f t="shared" si="7"/>
        <v>538.12824000000001</v>
      </c>
      <c r="Y20" s="6">
        <f t="shared" si="7"/>
        <v>575.92320000000007</v>
      </c>
      <c r="Z20" s="6">
        <f t="shared" si="7"/>
        <v>611.91840000000002</v>
      </c>
      <c r="AA20" t="s">
        <v>17</v>
      </c>
      <c r="AG20">
        <v>12</v>
      </c>
      <c r="AH20" t="s">
        <v>106</v>
      </c>
      <c r="AI20" t="s">
        <v>118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</v>
      </c>
      <c r="J21" s="11">
        <f>SUMIFS(ar6_r10!$F$2:$F$999,ar6_r10!$A$2:$A$999,Veda!$E$5,ar6_r10!$C$2:$C$999,Veda!J$17,ar6_r10!$M$2:$M$999,Veda!$G21)</f>
        <v>0.02</v>
      </c>
      <c r="K21" s="11">
        <f>SUMIFS(ar6_r10!$F$2:$F$999,ar6_r10!$A$2:$A$999,Veda!$E$5,ar6_r10!$C$2:$C$999,Veda!K$17,ar6_r10!$M$2:$M$999,Veda!$G21)</f>
        <v>0.03</v>
      </c>
      <c r="L21" s="11">
        <f>SUMIFS(ar6_r10!$F$2:$F$999,ar6_r10!$A$2:$A$999,Veda!$E$5,ar6_r10!$C$2:$C$999,Veda!L$17,ar6_r10!$M$2:$M$999,Veda!$G21)</f>
        <v>0.06</v>
      </c>
      <c r="M21" s="11">
        <f>SUMIFS(ar6_r10!$F$2:$F$999,ar6_r10!$A$2:$A$999,Veda!$E$5,ar6_r10!$C$2:$C$999,Veda!M$17,ar6_r10!$M$2:$M$999,Veda!$G21)</f>
        <v>0.09</v>
      </c>
      <c r="N21" s="11">
        <f>SUMIFS(ar6_r10!$F$2:$F$999,ar6_r10!$A$2:$A$999,Veda!$E$5,ar6_r10!$C$2:$C$999,Veda!N$17,ar6_r10!$M$2:$M$999,Veda!$G21)</f>
        <v>0.12</v>
      </c>
      <c r="O21" s="11">
        <f>SUMIFS(ar6_r10!$F$2:$F$999,ar6_r10!$A$2:$A$999,Veda!$E$5,ar6_r10!$C$2:$C$999,Veda!O$17,ar6_r10!$M$2:$M$999,Veda!$G21)</f>
        <v>0.14000000000000001</v>
      </c>
      <c r="S21" s="10" t="s">
        <v>24</v>
      </c>
      <c r="T21" s="6">
        <f>I21*T$14</f>
        <v>0</v>
      </c>
      <c r="U21" s="6">
        <f t="shared" ref="U21:Z21" si="8">T21</f>
        <v>0</v>
      </c>
      <c r="V21" s="6">
        <f t="shared" si="8"/>
        <v>0</v>
      </c>
      <c r="W21" s="6">
        <f t="shared" si="8"/>
        <v>0</v>
      </c>
      <c r="X21" s="6">
        <f t="shared" si="8"/>
        <v>0</v>
      </c>
      <c r="Y21" s="6">
        <f t="shared" si="8"/>
        <v>0</v>
      </c>
      <c r="Z21" s="6">
        <f t="shared" si="8"/>
        <v>0</v>
      </c>
      <c r="AA21" t="s">
        <v>17</v>
      </c>
      <c r="AC21" s="2" t="s">
        <v>20</v>
      </c>
      <c r="AG21">
        <v>13</v>
      </c>
      <c r="AH21" t="s">
        <v>104</v>
      </c>
      <c r="AI21" t="s">
        <v>113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11.998399999999947</v>
      </c>
      <c r="U22" s="6">
        <f t="shared" si="9"/>
        <v>12.118383999999992</v>
      </c>
      <c r="V22" s="6">
        <f t="shared" si="9"/>
        <v>26.156512000000021</v>
      </c>
      <c r="W22" s="6">
        <f t="shared" si="9"/>
        <v>56.632448000000068</v>
      </c>
      <c r="X22" s="6">
        <f t="shared" si="9"/>
        <v>77.989599999999996</v>
      </c>
      <c r="Y22" s="6">
        <f t="shared" si="9"/>
        <v>125.98320000000001</v>
      </c>
      <c r="Z22" s="6">
        <f t="shared" si="9"/>
        <v>163.17824000000007</v>
      </c>
      <c r="AA22" t="s">
        <v>17</v>
      </c>
      <c r="AG22">
        <v>14</v>
      </c>
      <c r="AH22" t="s">
        <v>105</v>
      </c>
      <c r="AI22" t="s">
        <v>115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79.900000000000006</v>
      </c>
      <c r="L24" s="8">
        <f>SUMIFS(ar6_r10!$F$2:$F$999,ar6_r10!$A$2:$A$999,Veda!$E$5,ar6_r10!$C$2:$C$999,Veda!L$17,ar6_r10!$M$2:$M$999,Veda!$G24)</f>
        <v>104.42</v>
      </c>
      <c r="M24" s="8">
        <f>SUMIFS(ar6_r10!$F$2:$F$999,ar6_r10!$A$2:$A$999,Veda!$E$5,ar6_r10!$C$2:$C$999,Veda!M$17,ar6_r10!$M$2:$M$999,Veda!$G24)</f>
        <v>134.84</v>
      </c>
      <c r="N24" s="8">
        <f>SUMIFS(ar6_r10!$F$2:$F$999,ar6_r10!$A$2:$A$999,Veda!$E$5,ar6_r10!$C$2:$C$999,Veda!N$17,ar6_r10!$M$2:$M$999,Veda!$G24)</f>
        <v>178.1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7.9899999999999999E-2</v>
      </c>
      <c r="W24" s="11">
        <f>L24/1000</f>
        <v>0.10442</v>
      </c>
      <c r="X24" s="11">
        <f>M24/1000</f>
        <v>0.13484000000000002</v>
      </c>
      <c r="Y24" s="11">
        <f>N24/1000</f>
        <v>0.17809999999999998</v>
      </c>
      <c r="Z24" s="11">
        <f>O24/1000</f>
        <v>0.20945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14.12</v>
      </c>
      <c r="S28" t="s">
        <v>32</v>
      </c>
      <c r="T28" s="3">
        <f>Q28</f>
        <v>14.12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-65.400000000000006</v>
      </c>
      <c r="S29" t="s">
        <v>35</v>
      </c>
      <c r="T29" s="3">
        <f>-1*Q29</f>
        <v>65.400000000000006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1.1200000000000001</v>
      </c>
      <c r="K37" s="11">
        <f>SUMIFS(ar6_r10!$F$2:$F$999,ar6_r10!$A$2:$A$999,Veda!$G$36,ar6_r10!$C$2:$C$999,Veda!K$17,ar6_r10!$M$2:$M$999,Veda!$G37)</f>
        <v>1.1000000000000001</v>
      </c>
      <c r="L37" s="11">
        <f>SUMIFS(ar6_r10!$F$2:$F$999,ar6_r10!$A$2:$A$999,Veda!$G$36,ar6_r10!$C$2:$C$999,Veda!L$17,ar6_r10!$M$2:$M$999,Veda!$G37)</f>
        <v>1.1100000000000001</v>
      </c>
      <c r="M37" s="11">
        <f>SUMIFS(ar6_r10!$F$2:$F$999,ar6_r10!$A$2:$A$999,Veda!$G$36,ar6_r10!$C$2:$C$999,Veda!M$17,ar6_r10!$M$2:$M$999,Veda!$G37)</f>
        <v>1.17</v>
      </c>
      <c r="N37" s="11">
        <f>SUMIFS(ar6_r10!$F$2:$F$999,ar6_r10!$A$2:$A$999,Veda!$G$36,ar6_r10!$C$2:$C$999,Veda!N$17,ar6_r10!$M$2:$M$999,Veda!$G37)</f>
        <v>1.1499999999999999</v>
      </c>
      <c r="O37" s="11">
        <f>SUMIFS(ar6_r10!$F$2:$F$999,ar6_r10!$A$2:$A$999,Veda!$G$36,ar6_r10!$C$2:$C$999,Veda!O$17,ar6_r10!$M$2:$M$999,Veda!$G37)</f>
        <v>1.26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1.05</v>
      </c>
      <c r="K38" s="11">
        <f>SUMIFS(ar6_r10!$F$2:$F$999,ar6_r10!$A$2:$A$999,Veda!$G$36,ar6_r10!$C$2:$C$999,Veda!K$17,ar6_r10!$M$2:$M$999,Veda!$G38)</f>
        <v>1.1100000000000001</v>
      </c>
      <c r="L38" s="11">
        <f>SUMIFS(ar6_r10!$F$2:$F$999,ar6_r10!$A$2:$A$999,Veda!$G$36,ar6_r10!$C$2:$C$999,Veda!L$17,ar6_r10!$M$2:$M$999,Veda!$G38)</f>
        <v>1.1399999999999999</v>
      </c>
      <c r="M38" s="11">
        <f>SUMIFS(ar6_r10!$F$2:$F$999,ar6_r10!$A$2:$A$999,Veda!$G$36,ar6_r10!$C$2:$C$999,Veda!M$17,ar6_r10!$M$2:$M$999,Veda!$G38)</f>
        <v>1.2</v>
      </c>
      <c r="N38" s="11">
        <f>SUMIFS(ar6_r10!$F$2:$F$999,ar6_r10!$A$2:$A$999,Veda!$G$36,ar6_r10!$C$2:$C$999,Veda!N$17,ar6_r10!$M$2:$M$999,Veda!$G38)</f>
        <v>1.27</v>
      </c>
      <c r="O38" s="11">
        <f>SUMIFS(ar6_r10!$F$2:$F$999,ar6_r10!$A$2:$A$999,Veda!$G$36,ar6_r10!$C$2:$C$999,Veda!O$17,ar6_r10!$M$2:$M$999,Veda!$G38)</f>
        <v>1.2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OS.f96p50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1.03</v>
      </c>
      <c r="L39" s="11">
        <f>SUMIFS(ar6_r10!$F$2:$F$999,ar6_r10!$A$2:$A$999,Veda!$G$36,ar6_r10!$C$2:$C$999,Veda!L$17,ar6_r10!$M$2:$M$999,Veda!$G39)</f>
        <v>1</v>
      </c>
      <c r="M39" s="11">
        <f>SUMIFS(ar6_r10!$F$2:$F$999,ar6_r10!$A$2:$A$999,Veda!$G$36,ar6_r10!$C$2:$C$999,Veda!M$17,ar6_r10!$M$2:$M$999,Veda!$G39)</f>
        <v>1.04</v>
      </c>
      <c r="N39" s="11">
        <f>SUMIFS(ar6_r10!$F$2:$F$999,ar6_r10!$A$2:$A$999,Veda!$G$36,ar6_r10!$C$2:$C$999,Veda!N$17,ar6_r10!$M$2:$M$999,Veda!$G39)</f>
        <v>1.17</v>
      </c>
      <c r="O39" s="11">
        <f>SUMIFS(ar6_r10!$F$2:$F$999,ar6_r10!$A$2:$A$999,Veda!$G$36,ar6_r10!$C$2:$C$999,Veda!O$17,ar6_r10!$M$2:$M$999,Veda!$G39)</f>
        <v>1.22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OS.f96p50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1.05</v>
      </c>
      <c r="K40" s="11">
        <f>SUMIFS(ar6_r10!$F$2:$F$999,ar6_r10!$A$2:$A$999,Veda!$G$36,ar6_r10!$C$2:$C$999,Veda!K$17,ar6_r10!$M$2:$M$999,Veda!$G40)</f>
        <v>1.08</v>
      </c>
      <c r="L40" s="11">
        <f>SUMIFS(ar6_r10!$F$2:$F$999,ar6_r10!$A$2:$A$999,Veda!$G$36,ar6_r10!$C$2:$C$999,Veda!L$17,ar6_r10!$M$2:$M$999,Veda!$G40)</f>
        <v>1.06</v>
      </c>
      <c r="M40" s="11">
        <f>SUMIFS(ar6_r10!$F$2:$F$999,ar6_r10!$A$2:$A$999,Veda!$G$36,ar6_r10!$C$2:$C$999,Veda!M$17,ar6_r10!$M$2:$M$999,Veda!$G40)</f>
        <v>1.04</v>
      </c>
      <c r="N40" s="11">
        <f>SUMIFS(ar6_r10!$F$2:$F$999,ar6_r10!$A$2:$A$999,Veda!$G$36,ar6_r10!$C$2:$C$999,Veda!N$17,ar6_r10!$M$2:$M$999,Veda!$G40)</f>
        <v>1.07</v>
      </c>
      <c r="O40" s="11">
        <f>SUMIFS(ar6_r10!$F$2:$F$999,ar6_r10!$A$2:$A$999,Veda!$G$36,ar6_r10!$C$2:$C$999,Veda!O$17,ar6_r10!$M$2:$M$999,Veda!$G40)</f>
        <v>1.2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(67%).f96p50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(50%).f96p50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deg.f96p50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84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108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10</v>
      </c>
      <c r="J45">
        <f t="shared" si="12"/>
        <v>11.200000000000001</v>
      </c>
      <c r="K45">
        <f t="shared" si="12"/>
        <v>11</v>
      </c>
      <c r="L45">
        <f t="shared" si="12"/>
        <v>11.100000000000001</v>
      </c>
      <c r="M45">
        <f t="shared" si="12"/>
        <v>11.7</v>
      </c>
      <c r="N45">
        <f t="shared" si="12"/>
        <v>11.5</v>
      </c>
      <c r="O45">
        <f t="shared" si="12"/>
        <v>12.6</v>
      </c>
      <c r="R45">
        <f>HLOOKUP($G45&amp;"_"&amp;R$44,fuel_prices!$B$10:$I$11,2,FALSE)</f>
        <v>8.6</v>
      </c>
      <c r="S45">
        <f>HLOOKUP($G45&amp;"_"&amp;S$44,fuel_prices!$B$10:$I$11,2,FALSE)</f>
        <v>11.4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13.7</v>
      </c>
      <c r="J46">
        <f t="shared" si="12"/>
        <v>14.385</v>
      </c>
      <c r="K46">
        <f t="shared" si="12"/>
        <v>15.207000000000001</v>
      </c>
      <c r="L46">
        <f t="shared" si="12"/>
        <v>15.617999999999999</v>
      </c>
      <c r="M46">
        <f t="shared" si="12"/>
        <v>16.439999999999998</v>
      </c>
      <c r="N46">
        <f t="shared" si="12"/>
        <v>17.399000000000001</v>
      </c>
      <c r="O46">
        <f t="shared" si="12"/>
        <v>16.439999999999998</v>
      </c>
      <c r="R46">
        <f>HLOOKUP($G46&amp;"_"&amp;R$44,fuel_prices!$B$10:$I$11,2,FALSE)</f>
        <v>12.2</v>
      </c>
      <c r="S46">
        <f>HLOOKUP($G46&amp;"_"&amp;S$44,fuel_prices!$B$10:$I$11,2,FALSE)</f>
        <v>15.2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50</v>
      </c>
      <c r="J47">
        <f t="shared" si="12"/>
        <v>50.5</v>
      </c>
      <c r="K47">
        <f t="shared" si="12"/>
        <v>51.5</v>
      </c>
      <c r="L47">
        <f t="shared" si="12"/>
        <v>50</v>
      </c>
      <c r="M47">
        <f t="shared" si="12"/>
        <v>52</v>
      </c>
      <c r="N47">
        <f t="shared" si="12"/>
        <v>58.5</v>
      </c>
      <c r="O47">
        <f t="shared" si="12"/>
        <v>61</v>
      </c>
      <c r="R47">
        <f>HLOOKUP($G47&amp;"_"&amp;R$44,fuel_prices!$B$10:$I$11,2,FALSE)</f>
        <v>45</v>
      </c>
      <c r="S47">
        <f>HLOOKUP($G47&amp;"_"&amp;S$44,fuel_prices!$B$10:$I$11,2,FALSE)</f>
        <v>55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20</v>
      </c>
      <c r="J48">
        <f t="shared" si="12"/>
        <v>21</v>
      </c>
      <c r="K48">
        <f t="shared" si="12"/>
        <v>21.6</v>
      </c>
      <c r="L48">
        <f t="shared" si="12"/>
        <v>21.200000000000003</v>
      </c>
      <c r="M48">
        <f t="shared" si="12"/>
        <v>20.8</v>
      </c>
      <c r="N48">
        <f t="shared" si="12"/>
        <v>21.400000000000002</v>
      </c>
      <c r="O48">
        <f t="shared" si="12"/>
        <v>24</v>
      </c>
      <c r="R48">
        <f>HLOOKUP($G48&amp;"_"&amp;R$44,fuel_prices!$B$10:$I$11,2,FALSE)</f>
        <v>16</v>
      </c>
      <c r="S48">
        <f>HLOOKUP($G48&amp;"_"&amp;S$44,fuel_prices!$B$10:$I$11,2,FALSE)</f>
        <v>24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>
        <v>5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142</v>
      </c>
      <c r="B11">
        <v>8.6</v>
      </c>
      <c r="C11">
        <v>11.4</v>
      </c>
      <c r="D11">
        <v>12.2</v>
      </c>
      <c r="E11">
        <v>15.2</v>
      </c>
      <c r="F11">
        <v>45</v>
      </c>
      <c r="G11">
        <v>55</v>
      </c>
      <c r="H11">
        <v>16</v>
      </c>
      <c r="I11">
        <v>24</v>
      </c>
      <c r="J11" t="s">
        <v>144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142</v>
      </c>
      <c r="B11">
        <v>2000</v>
      </c>
      <c r="C11">
        <v>289.83</v>
      </c>
      <c r="D11">
        <v>236.17</v>
      </c>
      <c r="E11">
        <v>0</v>
      </c>
      <c r="F11">
        <v>0.87</v>
      </c>
      <c r="G11">
        <v>15.34</v>
      </c>
      <c r="H11">
        <v>-50.98</v>
      </c>
      <c r="I11">
        <v>606.09</v>
      </c>
    </row>
    <row r="12" spans="1:9" x14ac:dyDescent="0.45">
      <c r="A12" t="s">
        <v>142</v>
      </c>
      <c r="B12">
        <v>2001</v>
      </c>
      <c r="C12">
        <v>291.75</v>
      </c>
      <c r="D12">
        <v>237.02</v>
      </c>
      <c r="E12">
        <v>0</v>
      </c>
      <c r="F12">
        <v>0.85</v>
      </c>
      <c r="G12">
        <v>16.12</v>
      </c>
      <c r="H12">
        <v>-39.24</v>
      </c>
      <c r="I12">
        <v>590.25</v>
      </c>
    </row>
    <row r="13" spans="1:9" x14ac:dyDescent="0.45">
      <c r="A13" t="s">
        <v>142</v>
      </c>
      <c r="B13">
        <v>2002</v>
      </c>
      <c r="C13">
        <v>296.7</v>
      </c>
      <c r="D13">
        <v>248.03</v>
      </c>
      <c r="E13">
        <v>0</v>
      </c>
      <c r="F13">
        <v>0.93</v>
      </c>
      <c r="G13">
        <v>16.09</v>
      </c>
      <c r="H13">
        <v>-36.119999999999997</v>
      </c>
      <c r="I13">
        <v>601.6</v>
      </c>
    </row>
    <row r="14" spans="1:9" x14ac:dyDescent="0.45">
      <c r="A14" t="s">
        <v>142</v>
      </c>
      <c r="B14">
        <v>2003</v>
      </c>
      <c r="C14">
        <v>293.47000000000003</v>
      </c>
      <c r="D14">
        <v>255.96</v>
      </c>
      <c r="E14">
        <v>0</v>
      </c>
      <c r="F14">
        <v>0.94</v>
      </c>
      <c r="G14">
        <v>24.52</v>
      </c>
      <c r="H14">
        <v>-31.31</v>
      </c>
      <c r="I14">
        <v>589.91</v>
      </c>
    </row>
    <row r="15" spans="1:9" x14ac:dyDescent="0.45">
      <c r="A15" t="s">
        <v>142</v>
      </c>
      <c r="B15">
        <v>2004</v>
      </c>
      <c r="C15">
        <v>297.27999999999997</v>
      </c>
      <c r="D15">
        <v>258.3</v>
      </c>
      <c r="E15">
        <v>0</v>
      </c>
      <c r="F15">
        <v>0.96</v>
      </c>
      <c r="G15">
        <v>22.86</v>
      </c>
      <c r="H15">
        <v>-33.67</v>
      </c>
      <c r="I15">
        <v>600.22</v>
      </c>
    </row>
    <row r="16" spans="1:9" x14ac:dyDescent="0.45">
      <c r="A16" t="s">
        <v>142</v>
      </c>
      <c r="B16">
        <v>2005</v>
      </c>
      <c r="C16">
        <v>275.49</v>
      </c>
      <c r="D16">
        <v>278</v>
      </c>
      <c r="E16">
        <v>0</v>
      </c>
      <c r="F16">
        <v>0.98</v>
      </c>
      <c r="G16">
        <v>19.600000000000001</v>
      </c>
      <c r="H16">
        <v>-43.09</v>
      </c>
      <c r="I16">
        <v>621.03</v>
      </c>
    </row>
    <row r="17" spans="1:9" x14ac:dyDescent="0.45">
      <c r="A17" t="s">
        <v>142</v>
      </c>
      <c r="B17">
        <v>2006</v>
      </c>
      <c r="C17">
        <v>272.52999999999997</v>
      </c>
      <c r="D17">
        <v>272.55</v>
      </c>
      <c r="E17">
        <v>0</v>
      </c>
      <c r="F17">
        <v>0.97</v>
      </c>
      <c r="G17">
        <v>22.44</v>
      </c>
      <c r="H17">
        <v>-40.700000000000003</v>
      </c>
      <c r="I17">
        <v>610.25</v>
      </c>
    </row>
    <row r="18" spans="1:9" x14ac:dyDescent="0.45">
      <c r="A18" t="s">
        <v>142</v>
      </c>
      <c r="B18">
        <v>2007</v>
      </c>
      <c r="C18">
        <v>273.69</v>
      </c>
      <c r="D18">
        <v>284.29000000000002</v>
      </c>
      <c r="E18">
        <v>0</v>
      </c>
      <c r="F18">
        <v>0.91</v>
      </c>
      <c r="G18">
        <v>19.14</v>
      </c>
      <c r="H18">
        <v>-49.92</v>
      </c>
      <c r="I18">
        <v>627.91</v>
      </c>
    </row>
    <row r="19" spans="1:9" x14ac:dyDescent="0.45">
      <c r="A19" t="s">
        <v>142</v>
      </c>
      <c r="B19">
        <v>2008</v>
      </c>
      <c r="C19">
        <v>260.56</v>
      </c>
      <c r="D19">
        <v>290.99</v>
      </c>
      <c r="E19">
        <v>0</v>
      </c>
      <c r="F19">
        <v>1.05</v>
      </c>
      <c r="G19">
        <v>23.86</v>
      </c>
      <c r="H19">
        <v>-56.02</v>
      </c>
      <c r="I19">
        <v>633.04999999999995</v>
      </c>
    </row>
    <row r="20" spans="1:9" x14ac:dyDescent="0.45">
      <c r="A20" t="s">
        <v>142</v>
      </c>
      <c r="B20">
        <v>2009</v>
      </c>
      <c r="C20">
        <v>246.21</v>
      </c>
      <c r="D20">
        <v>294.51</v>
      </c>
      <c r="E20">
        <v>0</v>
      </c>
      <c r="F20">
        <v>0.95</v>
      </c>
      <c r="G20">
        <v>18.18</v>
      </c>
      <c r="H20">
        <v>-52.03</v>
      </c>
      <c r="I20">
        <v>608.41</v>
      </c>
    </row>
    <row r="21" spans="1:9" x14ac:dyDescent="0.45">
      <c r="A21" t="s">
        <v>142</v>
      </c>
      <c r="B21">
        <v>2010</v>
      </c>
      <c r="C21">
        <v>248.4</v>
      </c>
      <c r="D21">
        <v>295.57</v>
      </c>
      <c r="E21">
        <v>0</v>
      </c>
      <c r="F21">
        <v>1</v>
      </c>
      <c r="G21">
        <v>18.809999999999999</v>
      </c>
      <c r="H21">
        <v>-44.25</v>
      </c>
      <c r="I21">
        <v>602.91999999999996</v>
      </c>
    </row>
    <row r="22" spans="1:9" x14ac:dyDescent="0.45">
      <c r="A22" t="s">
        <v>142</v>
      </c>
      <c r="B22">
        <v>2011</v>
      </c>
      <c r="C22">
        <v>250.4</v>
      </c>
      <c r="D22">
        <v>303.23</v>
      </c>
      <c r="E22">
        <v>0</v>
      </c>
      <c r="F22">
        <v>1.03</v>
      </c>
      <c r="G22">
        <v>14.55</v>
      </c>
      <c r="H22">
        <v>-51.37</v>
      </c>
      <c r="I22">
        <v>633.26</v>
      </c>
    </row>
    <row r="23" spans="1:9" x14ac:dyDescent="0.45">
      <c r="A23" t="s">
        <v>142</v>
      </c>
      <c r="B23">
        <v>2012</v>
      </c>
      <c r="C23">
        <v>246.99</v>
      </c>
      <c r="D23">
        <v>301.58</v>
      </c>
      <c r="E23">
        <v>0</v>
      </c>
      <c r="F23">
        <v>1.02</v>
      </c>
      <c r="G23">
        <v>10.93</v>
      </c>
      <c r="H23">
        <v>-57.86</v>
      </c>
      <c r="I23">
        <v>631.98</v>
      </c>
    </row>
    <row r="24" spans="1:9" x14ac:dyDescent="0.45">
      <c r="A24" t="s">
        <v>142</v>
      </c>
      <c r="B24">
        <v>2013</v>
      </c>
      <c r="C24">
        <v>248.3</v>
      </c>
      <c r="D24">
        <v>311.49</v>
      </c>
      <c r="E24">
        <v>0</v>
      </c>
      <c r="F24">
        <v>1.1299999999999999</v>
      </c>
      <c r="G24">
        <v>10.69</v>
      </c>
      <c r="H24">
        <v>-62.74</v>
      </c>
      <c r="I24">
        <v>657.4</v>
      </c>
    </row>
    <row r="25" spans="1:9" x14ac:dyDescent="0.45">
      <c r="A25" t="s">
        <v>142</v>
      </c>
      <c r="B25">
        <v>2014</v>
      </c>
      <c r="C25">
        <v>252.66</v>
      </c>
      <c r="D25">
        <v>317.77</v>
      </c>
      <c r="E25">
        <v>0</v>
      </c>
      <c r="F25">
        <v>1.24</v>
      </c>
      <c r="G25">
        <v>12.81</v>
      </c>
      <c r="H25">
        <v>-58.42</v>
      </c>
      <c r="I25">
        <v>658.55</v>
      </c>
    </row>
    <row r="26" spans="1:9" x14ac:dyDescent="0.45">
      <c r="A26" t="s">
        <v>142</v>
      </c>
      <c r="B26">
        <v>2015</v>
      </c>
      <c r="C26">
        <v>256.11</v>
      </c>
      <c r="D26">
        <v>317.14999999999998</v>
      </c>
      <c r="E26">
        <v>0</v>
      </c>
      <c r="F26">
        <v>1.22</v>
      </c>
      <c r="G26">
        <v>8.73</v>
      </c>
      <c r="H26">
        <v>-68.290000000000006</v>
      </c>
      <c r="I26">
        <v>657.78</v>
      </c>
    </row>
    <row r="27" spans="1:9" x14ac:dyDescent="0.45">
      <c r="A27" t="s">
        <v>142</v>
      </c>
      <c r="B27">
        <v>2016</v>
      </c>
      <c r="C27">
        <v>254.93</v>
      </c>
      <c r="D27">
        <v>312.29000000000002</v>
      </c>
      <c r="E27">
        <v>0</v>
      </c>
      <c r="F27">
        <v>1.22</v>
      </c>
      <c r="G27">
        <v>9.3000000000000007</v>
      </c>
      <c r="H27">
        <v>-73.099999999999994</v>
      </c>
      <c r="I27">
        <v>664.91</v>
      </c>
    </row>
    <row r="28" spans="1:9" x14ac:dyDescent="0.45">
      <c r="A28" t="s">
        <v>142</v>
      </c>
      <c r="B28">
        <v>2017</v>
      </c>
      <c r="C28">
        <v>264.99</v>
      </c>
      <c r="D28">
        <v>323.72000000000003</v>
      </c>
      <c r="E28">
        <v>0</v>
      </c>
      <c r="F28">
        <v>1.22</v>
      </c>
      <c r="G28">
        <v>9.9</v>
      </c>
      <c r="H28">
        <v>-72.040000000000006</v>
      </c>
      <c r="I28">
        <v>662.57</v>
      </c>
    </row>
    <row r="29" spans="1:9" x14ac:dyDescent="0.45">
      <c r="A29" t="s">
        <v>142</v>
      </c>
      <c r="B29">
        <v>2018</v>
      </c>
      <c r="C29">
        <v>264.76</v>
      </c>
      <c r="D29">
        <v>331.86</v>
      </c>
      <c r="E29">
        <v>0</v>
      </c>
      <c r="F29">
        <v>1.22</v>
      </c>
      <c r="G29">
        <v>13.2</v>
      </c>
      <c r="H29">
        <v>-61.4</v>
      </c>
      <c r="I29">
        <v>658.33</v>
      </c>
    </row>
    <row r="30" spans="1:9" x14ac:dyDescent="0.45">
      <c r="A30" t="s">
        <v>142</v>
      </c>
      <c r="B30">
        <v>2019</v>
      </c>
      <c r="C30">
        <v>267.06</v>
      </c>
      <c r="D30">
        <v>335.51</v>
      </c>
      <c r="E30">
        <v>0</v>
      </c>
      <c r="F30">
        <v>1.29</v>
      </c>
      <c r="G30">
        <v>13.33</v>
      </c>
      <c r="H30">
        <v>-60.41</v>
      </c>
      <c r="I30">
        <v>652</v>
      </c>
    </row>
    <row r="31" spans="1:9" x14ac:dyDescent="0.45">
      <c r="A31" t="s">
        <v>142</v>
      </c>
      <c r="B31">
        <v>2020</v>
      </c>
      <c r="C31">
        <v>256.17</v>
      </c>
      <c r="D31">
        <v>333.25</v>
      </c>
      <c r="E31">
        <v>0</v>
      </c>
      <c r="F31">
        <v>1.26</v>
      </c>
      <c r="G31">
        <v>9.7799999999999994</v>
      </c>
      <c r="H31">
        <v>-67.42</v>
      </c>
      <c r="I31">
        <v>651.35</v>
      </c>
    </row>
    <row r="32" spans="1:9" x14ac:dyDescent="0.45">
      <c r="A32" t="s">
        <v>142</v>
      </c>
      <c r="B32">
        <v>2021</v>
      </c>
      <c r="C32">
        <v>263.10000000000002</v>
      </c>
      <c r="D32">
        <v>332.97</v>
      </c>
      <c r="E32">
        <v>0</v>
      </c>
      <c r="F32">
        <v>1.29</v>
      </c>
      <c r="G32">
        <v>13.02</v>
      </c>
      <c r="H32">
        <v>-60.39</v>
      </c>
      <c r="I32">
        <v>644.58000000000004</v>
      </c>
    </row>
    <row r="33" spans="1:9" x14ac:dyDescent="0.45">
      <c r="A33" t="s">
        <v>142</v>
      </c>
      <c r="B33">
        <v>2022</v>
      </c>
      <c r="C33">
        <v>269.16000000000003</v>
      </c>
      <c r="D33">
        <v>337.78</v>
      </c>
      <c r="E33">
        <v>0</v>
      </c>
      <c r="F33">
        <v>1.24</v>
      </c>
      <c r="G33">
        <v>14.12</v>
      </c>
      <c r="H33">
        <v>-65.400000000000006</v>
      </c>
      <c r="I33">
        <v>651.20000000000005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143</v>
      </c>
      <c r="C11">
        <v>2020</v>
      </c>
      <c r="D11">
        <v>60</v>
      </c>
      <c r="E11">
        <v>9.09</v>
      </c>
      <c r="F11">
        <v>0.28000000000000003</v>
      </c>
      <c r="G11">
        <v>11.39</v>
      </c>
      <c r="H11">
        <v>0</v>
      </c>
      <c r="I11">
        <v>27.01</v>
      </c>
      <c r="J11">
        <v>0</v>
      </c>
      <c r="K11">
        <v>19.61</v>
      </c>
      <c r="L11" t="s">
        <v>1</v>
      </c>
      <c r="M11" t="s">
        <v>27</v>
      </c>
    </row>
    <row r="12" spans="1:13" x14ac:dyDescent="0.45">
      <c r="A12" t="s">
        <v>0</v>
      </c>
      <c r="B12" t="s">
        <v>143</v>
      </c>
      <c r="C12">
        <v>2025</v>
      </c>
      <c r="D12">
        <v>60</v>
      </c>
      <c r="E12">
        <v>206.51</v>
      </c>
      <c r="F12">
        <v>186.41</v>
      </c>
      <c r="G12">
        <v>121.36</v>
      </c>
      <c r="H12">
        <v>33.32</v>
      </c>
      <c r="I12">
        <v>626.48</v>
      </c>
      <c r="J12">
        <v>132.25</v>
      </c>
      <c r="K12">
        <v>238.58</v>
      </c>
      <c r="L12" t="s">
        <v>1</v>
      </c>
      <c r="M12" t="s">
        <v>27</v>
      </c>
    </row>
    <row r="13" spans="1:13" x14ac:dyDescent="0.45">
      <c r="A13" t="s">
        <v>0</v>
      </c>
      <c r="B13" t="s">
        <v>143</v>
      </c>
      <c r="C13">
        <v>2030</v>
      </c>
      <c r="D13">
        <v>60</v>
      </c>
      <c r="E13">
        <v>266.32</v>
      </c>
      <c r="F13">
        <v>241.69</v>
      </c>
      <c r="G13">
        <v>128.69999999999999</v>
      </c>
      <c r="H13">
        <v>65.59</v>
      </c>
      <c r="I13">
        <v>673.46</v>
      </c>
      <c r="J13">
        <v>182.47</v>
      </c>
      <c r="K13">
        <v>320.88</v>
      </c>
      <c r="L13" t="s">
        <v>1</v>
      </c>
      <c r="M13" t="s">
        <v>27</v>
      </c>
    </row>
    <row r="14" spans="1:13" x14ac:dyDescent="0.45">
      <c r="A14" t="s">
        <v>0</v>
      </c>
      <c r="B14" t="s">
        <v>143</v>
      </c>
      <c r="C14">
        <v>2035</v>
      </c>
      <c r="D14">
        <v>60</v>
      </c>
      <c r="E14">
        <v>357.78</v>
      </c>
      <c r="F14">
        <v>339.03</v>
      </c>
      <c r="G14">
        <v>168.46</v>
      </c>
      <c r="H14">
        <v>2.57</v>
      </c>
      <c r="I14">
        <v>859.53</v>
      </c>
      <c r="J14">
        <v>227.05</v>
      </c>
      <c r="K14">
        <v>455.16</v>
      </c>
      <c r="L14" t="s">
        <v>1</v>
      </c>
      <c r="M14" t="s">
        <v>27</v>
      </c>
    </row>
    <row r="15" spans="1:13" x14ac:dyDescent="0.45">
      <c r="A15" t="s">
        <v>0</v>
      </c>
      <c r="B15" t="s">
        <v>143</v>
      </c>
      <c r="C15">
        <v>2040</v>
      </c>
      <c r="D15">
        <v>60</v>
      </c>
      <c r="E15">
        <v>465.58</v>
      </c>
      <c r="F15">
        <v>410.28</v>
      </c>
      <c r="G15">
        <v>216.16</v>
      </c>
      <c r="H15">
        <v>162.1</v>
      </c>
      <c r="I15">
        <v>1097.01</v>
      </c>
      <c r="J15">
        <v>298.63</v>
      </c>
      <c r="K15">
        <v>617.6</v>
      </c>
      <c r="L15" t="s">
        <v>1</v>
      </c>
      <c r="M15" t="s">
        <v>27</v>
      </c>
    </row>
    <row r="16" spans="1:13" x14ac:dyDescent="0.45">
      <c r="A16" t="s">
        <v>0</v>
      </c>
      <c r="B16" t="s">
        <v>143</v>
      </c>
      <c r="C16">
        <v>2045</v>
      </c>
      <c r="D16">
        <v>60</v>
      </c>
      <c r="E16">
        <v>557.95000000000005</v>
      </c>
      <c r="F16">
        <v>494.2</v>
      </c>
      <c r="G16">
        <v>248.47</v>
      </c>
      <c r="H16">
        <v>193.42</v>
      </c>
      <c r="I16">
        <v>1269.8800000000001</v>
      </c>
      <c r="J16">
        <v>352.78</v>
      </c>
      <c r="K16">
        <v>716.45</v>
      </c>
      <c r="L16" t="s">
        <v>1</v>
      </c>
      <c r="M16" t="s">
        <v>27</v>
      </c>
    </row>
    <row r="17" spans="1:13" x14ac:dyDescent="0.45">
      <c r="A17" t="s">
        <v>0</v>
      </c>
      <c r="B17" t="s">
        <v>143</v>
      </c>
      <c r="C17">
        <v>2050</v>
      </c>
      <c r="D17">
        <v>60</v>
      </c>
      <c r="E17">
        <v>640.07000000000005</v>
      </c>
      <c r="F17">
        <v>644.35</v>
      </c>
      <c r="G17">
        <v>263.85000000000002</v>
      </c>
      <c r="H17">
        <v>209.76</v>
      </c>
      <c r="I17">
        <v>1170.26</v>
      </c>
      <c r="J17">
        <v>409.79</v>
      </c>
      <c r="K17">
        <v>850.15</v>
      </c>
      <c r="L17" t="s">
        <v>1</v>
      </c>
      <c r="M17" t="s">
        <v>27</v>
      </c>
    </row>
    <row r="18" spans="1:13" x14ac:dyDescent="0.45">
      <c r="A18" t="s">
        <v>2</v>
      </c>
      <c r="B18" t="s">
        <v>143</v>
      </c>
      <c r="C18">
        <v>2020</v>
      </c>
      <c r="D18">
        <v>86</v>
      </c>
      <c r="E18">
        <v>4.93</v>
      </c>
      <c r="F18">
        <v>0</v>
      </c>
      <c r="G18">
        <v>9.17</v>
      </c>
      <c r="H18">
        <v>0</v>
      </c>
      <c r="I18">
        <v>26.79</v>
      </c>
      <c r="J18">
        <v>0</v>
      </c>
      <c r="K18">
        <v>3.32</v>
      </c>
      <c r="L18" t="s">
        <v>3</v>
      </c>
      <c r="M18" t="s">
        <v>27</v>
      </c>
    </row>
    <row r="19" spans="1:13" x14ac:dyDescent="0.45">
      <c r="A19" t="s">
        <v>2</v>
      </c>
      <c r="B19" t="s">
        <v>143</v>
      </c>
      <c r="C19">
        <v>2025</v>
      </c>
      <c r="D19">
        <v>75</v>
      </c>
      <c r="E19">
        <v>71.569999999999993</v>
      </c>
      <c r="F19">
        <v>53.52</v>
      </c>
      <c r="G19">
        <v>44.95</v>
      </c>
      <c r="H19">
        <v>20.07</v>
      </c>
      <c r="I19">
        <v>220.01</v>
      </c>
      <c r="J19">
        <v>40.81</v>
      </c>
      <c r="K19">
        <v>96.45</v>
      </c>
      <c r="L19" t="s">
        <v>3</v>
      </c>
      <c r="M19" t="s">
        <v>27</v>
      </c>
    </row>
    <row r="20" spans="1:13" x14ac:dyDescent="0.45">
      <c r="A20" t="s">
        <v>2</v>
      </c>
      <c r="B20" t="s">
        <v>143</v>
      </c>
      <c r="C20">
        <v>2030</v>
      </c>
      <c r="D20">
        <v>86</v>
      </c>
      <c r="E20">
        <v>82.28</v>
      </c>
      <c r="F20">
        <v>72.87</v>
      </c>
      <c r="G20">
        <v>51.41</v>
      </c>
      <c r="H20">
        <v>0</v>
      </c>
      <c r="I20">
        <v>293.35000000000002</v>
      </c>
      <c r="J20">
        <v>48.73</v>
      </c>
      <c r="K20">
        <v>108.63</v>
      </c>
      <c r="L20" t="s">
        <v>3</v>
      </c>
      <c r="M20" t="s">
        <v>27</v>
      </c>
    </row>
    <row r="21" spans="1:13" x14ac:dyDescent="0.45">
      <c r="A21" t="s">
        <v>2</v>
      </c>
      <c r="B21" t="s">
        <v>143</v>
      </c>
      <c r="C21">
        <v>2035</v>
      </c>
      <c r="D21">
        <v>75</v>
      </c>
      <c r="E21">
        <v>205.45</v>
      </c>
      <c r="F21">
        <v>153.66</v>
      </c>
      <c r="G21">
        <v>290.08999999999997</v>
      </c>
      <c r="H21">
        <v>60.83</v>
      </c>
      <c r="I21">
        <v>2037.12</v>
      </c>
      <c r="J21">
        <v>89.74</v>
      </c>
      <c r="K21">
        <v>206.26</v>
      </c>
      <c r="L21" t="s">
        <v>3</v>
      </c>
      <c r="M21" t="s">
        <v>27</v>
      </c>
    </row>
    <row r="22" spans="1:13" x14ac:dyDescent="0.45">
      <c r="A22" t="s">
        <v>2</v>
      </c>
      <c r="B22" t="s">
        <v>143</v>
      </c>
      <c r="C22">
        <v>2040</v>
      </c>
      <c r="D22">
        <v>86</v>
      </c>
      <c r="E22">
        <v>253.23</v>
      </c>
      <c r="F22">
        <v>172.09</v>
      </c>
      <c r="G22">
        <v>360.43</v>
      </c>
      <c r="H22">
        <v>0</v>
      </c>
      <c r="I22">
        <v>2600</v>
      </c>
      <c r="J22">
        <v>116.42</v>
      </c>
      <c r="K22">
        <v>258.41000000000003</v>
      </c>
      <c r="L22" t="s">
        <v>3</v>
      </c>
      <c r="M22" t="s">
        <v>27</v>
      </c>
    </row>
    <row r="23" spans="1:13" x14ac:dyDescent="0.45">
      <c r="A23" t="s">
        <v>2</v>
      </c>
      <c r="B23" t="s">
        <v>143</v>
      </c>
      <c r="C23">
        <v>2045</v>
      </c>
      <c r="D23">
        <v>75</v>
      </c>
      <c r="E23">
        <v>300.07</v>
      </c>
      <c r="F23">
        <v>253.87</v>
      </c>
      <c r="G23">
        <v>190.72</v>
      </c>
      <c r="H23">
        <v>103.36</v>
      </c>
      <c r="I23">
        <v>1213.1199999999999</v>
      </c>
      <c r="J23">
        <v>168.51</v>
      </c>
      <c r="K23">
        <v>351.39</v>
      </c>
      <c r="L23" t="s">
        <v>3</v>
      </c>
      <c r="M23" t="s">
        <v>27</v>
      </c>
    </row>
    <row r="24" spans="1:13" x14ac:dyDescent="0.45">
      <c r="A24" t="s">
        <v>2</v>
      </c>
      <c r="B24" t="s">
        <v>143</v>
      </c>
      <c r="C24">
        <v>2050</v>
      </c>
      <c r="D24">
        <v>86</v>
      </c>
      <c r="E24">
        <v>309.05</v>
      </c>
      <c r="F24">
        <v>285.02999999999997</v>
      </c>
      <c r="G24">
        <v>170.01</v>
      </c>
      <c r="H24">
        <v>0</v>
      </c>
      <c r="I24">
        <v>729.74</v>
      </c>
      <c r="J24">
        <v>194.45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143</v>
      </c>
      <c r="C25">
        <v>2020</v>
      </c>
      <c r="D25">
        <v>190</v>
      </c>
      <c r="E25">
        <v>10.23</v>
      </c>
      <c r="F25">
        <v>0</v>
      </c>
      <c r="G25">
        <v>16.02</v>
      </c>
      <c r="H25">
        <v>0</v>
      </c>
      <c r="I25">
        <v>138.4</v>
      </c>
      <c r="J25">
        <v>0</v>
      </c>
      <c r="K25">
        <v>19.66</v>
      </c>
      <c r="L25" t="s">
        <v>6</v>
      </c>
      <c r="M25" t="s">
        <v>27</v>
      </c>
    </row>
    <row r="26" spans="1:13" x14ac:dyDescent="0.45">
      <c r="A26" t="s">
        <v>5</v>
      </c>
      <c r="B26" t="s">
        <v>143</v>
      </c>
      <c r="C26">
        <v>2025</v>
      </c>
      <c r="D26">
        <v>167</v>
      </c>
      <c r="E26">
        <v>69.319999999999993</v>
      </c>
      <c r="F26">
        <v>53.56</v>
      </c>
      <c r="G26">
        <v>46.54</v>
      </c>
      <c r="H26">
        <v>12.5</v>
      </c>
      <c r="I26">
        <v>260.38</v>
      </c>
      <c r="J26">
        <v>38.94</v>
      </c>
      <c r="K26">
        <v>98.16</v>
      </c>
      <c r="L26" t="s">
        <v>6</v>
      </c>
      <c r="M26" t="s">
        <v>27</v>
      </c>
    </row>
    <row r="27" spans="1:13" x14ac:dyDescent="0.45">
      <c r="A27" t="s">
        <v>5</v>
      </c>
      <c r="B27" t="s">
        <v>143</v>
      </c>
      <c r="C27">
        <v>2030</v>
      </c>
      <c r="D27">
        <v>190</v>
      </c>
      <c r="E27">
        <v>94.02</v>
      </c>
      <c r="F27">
        <v>79.900000000000006</v>
      </c>
      <c r="G27">
        <v>53.67</v>
      </c>
      <c r="H27">
        <v>7.9</v>
      </c>
      <c r="I27">
        <v>347.18</v>
      </c>
      <c r="J27">
        <v>52.11</v>
      </c>
      <c r="K27">
        <v>120.05</v>
      </c>
      <c r="L27" t="s">
        <v>6</v>
      </c>
      <c r="M27" t="s">
        <v>27</v>
      </c>
    </row>
    <row r="28" spans="1:13" x14ac:dyDescent="0.45">
      <c r="A28" t="s">
        <v>5</v>
      </c>
      <c r="B28" t="s">
        <v>143</v>
      </c>
      <c r="C28">
        <v>2035</v>
      </c>
      <c r="D28">
        <v>167</v>
      </c>
      <c r="E28">
        <v>129.71</v>
      </c>
      <c r="F28">
        <v>104.42</v>
      </c>
      <c r="G28">
        <v>98.65</v>
      </c>
      <c r="H28">
        <v>11.85</v>
      </c>
      <c r="I28">
        <v>960.63</v>
      </c>
      <c r="J28">
        <v>72.599999999999994</v>
      </c>
      <c r="K28">
        <v>166.17</v>
      </c>
      <c r="L28" t="s">
        <v>6</v>
      </c>
      <c r="M28" t="s">
        <v>27</v>
      </c>
    </row>
    <row r="29" spans="1:13" x14ac:dyDescent="0.45">
      <c r="A29" t="s">
        <v>5</v>
      </c>
      <c r="B29" t="s">
        <v>143</v>
      </c>
      <c r="C29">
        <v>2040</v>
      </c>
      <c r="D29">
        <v>190</v>
      </c>
      <c r="E29">
        <v>166.56</v>
      </c>
      <c r="F29">
        <v>134.84</v>
      </c>
      <c r="G29">
        <v>118.6</v>
      </c>
      <c r="H29">
        <v>46.91</v>
      </c>
      <c r="I29">
        <v>1226.04</v>
      </c>
      <c r="J29">
        <v>98.66</v>
      </c>
      <c r="K29">
        <v>211.54</v>
      </c>
      <c r="L29" t="s">
        <v>6</v>
      </c>
      <c r="M29" t="s">
        <v>27</v>
      </c>
    </row>
    <row r="30" spans="1:13" x14ac:dyDescent="0.45">
      <c r="A30" t="s">
        <v>5</v>
      </c>
      <c r="B30" t="s">
        <v>143</v>
      </c>
      <c r="C30">
        <v>2045</v>
      </c>
      <c r="D30">
        <v>167</v>
      </c>
      <c r="E30">
        <v>207.79</v>
      </c>
      <c r="F30">
        <v>178.1</v>
      </c>
      <c r="G30">
        <v>149.51</v>
      </c>
      <c r="H30">
        <v>46.46</v>
      </c>
      <c r="I30">
        <v>1564.8</v>
      </c>
      <c r="J30">
        <v>120.71</v>
      </c>
      <c r="K30">
        <v>262.83999999999997</v>
      </c>
      <c r="L30" t="s">
        <v>6</v>
      </c>
      <c r="M30" t="s">
        <v>27</v>
      </c>
    </row>
    <row r="31" spans="1:13" x14ac:dyDescent="0.45">
      <c r="A31" t="s">
        <v>5</v>
      </c>
      <c r="B31" t="s">
        <v>143</v>
      </c>
      <c r="C31">
        <v>2050</v>
      </c>
      <c r="D31">
        <v>190</v>
      </c>
      <c r="E31">
        <v>240.05</v>
      </c>
      <c r="F31">
        <v>209.45</v>
      </c>
      <c r="G31">
        <v>122.98</v>
      </c>
      <c r="H31">
        <v>50.41</v>
      </c>
      <c r="I31">
        <v>712.07</v>
      </c>
      <c r="J31">
        <v>147.69999999999999</v>
      </c>
      <c r="K31">
        <v>301.86</v>
      </c>
      <c r="L31" t="s">
        <v>6</v>
      </c>
      <c r="M31" t="s">
        <v>27</v>
      </c>
    </row>
    <row r="32" spans="1:13" x14ac:dyDescent="0.45">
      <c r="A32" t="s">
        <v>7</v>
      </c>
      <c r="B32" t="s">
        <v>143</v>
      </c>
      <c r="C32">
        <v>2020</v>
      </c>
      <c r="D32">
        <v>74</v>
      </c>
      <c r="E32">
        <v>3.73</v>
      </c>
      <c r="F32">
        <v>0</v>
      </c>
      <c r="G32">
        <v>8.06</v>
      </c>
      <c r="H32">
        <v>0</v>
      </c>
      <c r="I32">
        <v>26.79</v>
      </c>
      <c r="J32">
        <v>0</v>
      </c>
      <c r="K32">
        <v>0</v>
      </c>
      <c r="L32" t="s">
        <v>8</v>
      </c>
      <c r="M32" t="s">
        <v>27</v>
      </c>
    </row>
    <row r="33" spans="1:13" x14ac:dyDescent="0.45">
      <c r="A33" t="s">
        <v>7</v>
      </c>
      <c r="B33" t="s">
        <v>143</v>
      </c>
      <c r="C33">
        <v>2025</v>
      </c>
      <c r="D33">
        <v>68</v>
      </c>
      <c r="E33">
        <v>35.26</v>
      </c>
      <c r="F33">
        <v>32.29</v>
      </c>
      <c r="G33">
        <v>20.190000000000001</v>
      </c>
      <c r="H33">
        <v>0</v>
      </c>
      <c r="I33">
        <v>107.15</v>
      </c>
      <c r="J33">
        <v>23.59</v>
      </c>
      <c r="K33">
        <v>40.18</v>
      </c>
      <c r="L33" t="s">
        <v>8</v>
      </c>
      <c r="M33" t="s">
        <v>27</v>
      </c>
    </row>
    <row r="34" spans="1:13" x14ac:dyDescent="0.45">
      <c r="A34" t="s">
        <v>7</v>
      </c>
      <c r="B34" t="s">
        <v>143</v>
      </c>
      <c r="C34">
        <v>2030</v>
      </c>
      <c r="D34">
        <v>74</v>
      </c>
      <c r="E34">
        <v>63.74</v>
      </c>
      <c r="F34">
        <v>53.39</v>
      </c>
      <c r="G34">
        <v>33.14</v>
      </c>
      <c r="H34">
        <v>0</v>
      </c>
      <c r="I34">
        <v>128.4</v>
      </c>
      <c r="J34">
        <v>38.83</v>
      </c>
      <c r="K34">
        <v>97.41</v>
      </c>
      <c r="L34" t="s">
        <v>8</v>
      </c>
      <c r="M34" t="s">
        <v>27</v>
      </c>
    </row>
    <row r="35" spans="1:13" x14ac:dyDescent="0.45">
      <c r="A35" t="s">
        <v>7</v>
      </c>
      <c r="B35" t="s">
        <v>143</v>
      </c>
      <c r="C35">
        <v>2035</v>
      </c>
      <c r="D35">
        <v>68</v>
      </c>
      <c r="E35">
        <v>61.58</v>
      </c>
      <c r="F35">
        <v>52.06</v>
      </c>
      <c r="G35">
        <v>29.82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143</v>
      </c>
      <c r="C36">
        <v>2040</v>
      </c>
      <c r="D36">
        <v>74</v>
      </c>
      <c r="E36">
        <v>86.46</v>
      </c>
      <c r="F36">
        <v>75.8</v>
      </c>
      <c r="G36">
        <v>43.44</v>
      </c>
      <c r="H36">
        <v>31.83</v>
      </c>
      <c r="I36">
        <v>283.33</v>
      </c>
      <c r="J36">
        <v>57.1</v>
      </c>
      <c r="K36">
        <v>108.19</v>
      </c>
      <c r="L36" t="s">
        <v>8</v>
      </c>
      <c r="M36" t="s">
        <v>27</v>
      </c>
    </row>
    <row r="37" spans="1:13" x14ac:dyDescent="0.45">
      <c r="A37" t="s">
        <v>7</v>
      </c>
      <c r="B37" t="s">
        <v>143</v>
      </c>
      <c r="C37">
        <v>2045</v>
      </c>
      <c r="D37">
        <v>68</v>
      </c>
      <c r="E37">
        <v>112.23</v>
      </c>
      <c r="F37">
        <v>95.39</v>
      </c>
      <c r="G37">
        <v>56.97</v>
      </c>
      <c r="H37">
        <v>42.44</v>
      </c>
      <c r="I37">
        <v>319.42</v>
      </c>
      <c r="J37">
        <v>73.23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143</v>
      </c>
      <c r="C38">
        <v>2050</v>
      </c>
      <c r="D38">
        <v>74</v>
      </c>
      <c r="E38">
        <v>132.32</v>
      </c>
      <c r="F38">
        <v>112.38</v>
      </c>
      <c r="G38">
        <v>60.08</v>
      </c>
      <c r="H38">
        <v>54.16</v>
      </c>
      <c r="I38">
        <v>331.7</v>
      </c>
      <c r="J38">
        <v>92.51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143</v>
      </c>
      <c r="C39">
        <v>2020</v>
      </c>
      <c r="D39">
        <v>55</v>
      </c>
      <c r="E39">
        <v>4.2</v>
      </c>
      <c r="F39">
        <v>0</v>
      </c>
      <c r="G39">
        <v>8.2799999999999994</v>
      </c>
      <c r="H39">
        <v>0</v>
      </c>
      <c r="I39">
        <v>27.01</v>
      </c>
      <c r="J39">
        <v>0</v>
      </c>
      <c r="K39">
        <v>3.32</v>
      </c>
      <c r="L39" t="s">
        <v>10</v>
      </c>
      <c r="M39" t="s">
        <v>27</v>
      </c>
    </row>
    <row r="40" spans="1:13" x14ac:dyDescent="0.45">
      <c r="A40" t="s">
        <v>9</v>
      </c>
      <c r="B40" t="s">
        <v>143</v>
      </c>
      <c r="C40">
        <v>2025</v>
      </c>
      <c r="D40">
        <v>50</v>
      </c>
      <c r="E40">
        <v>4.01</v>
      </c>
      <c r="F40">
        <v>0</v>
      </c>
      <c r="G40">
        <v>7.99</v>
      </c>
      <c r="H40">
        <v>0</v>
      </c>
      <c r="I40">
        <v>25.21</v>
      </c>
      <c r="J40">
        <v>0</v>
      </c>
      <c r="K40">
        <v>1.71</v>
      </c>
      <c r="L40" t="s">
        <v>10</v>
      </c>
      <c r="M40" t="s">
        <v>27</v>
      </c>
    </row>
    <row r="41" spans="1:13" x14ac:dyDescent="0.45">
      <c r="A41" t="s">
        <v>9</v>
      </c>
      <c r="B41" t="s">
        <v>143</v>
      </c>
      <c r="C41">
        <v>2030</v>
      </c>
      <c r="D41">
        <v>55</v>
      </c>
      <c r="E41">
        <v>10.46</v>
      </c>
      <c r="F41">
        <v>0</v>
      </c>
      <c r="G41">
        <v>29.23</v>
      </c>
      <c r="H41">
        <v>0</v>
      </c>
      <c r="I41">
        <v>129.01</v>
      </c>
      <c r="J41">
        <v>0</v>
      </c>
      <c r="K41">
        <v>4.22</v>
      </c>
      <c r="L41" t="s">
        <v>10</v>
      </c>
      <c r="M41" t="s">
        <v>27</v>
      </c>
    </row>
    <row r="42" spans="1:13" x14ac:dyDescent="0.45">
      <c r="A42" t="s">
        <v>9</v>
      </c>
      <c r="B42" t="s">
        <v>143</v>
      </c>
      <c r="C42">
        <v>2035</v>
      </c>
      <c r="D42">
        <v>50</v>
      </c>
      <c r="E42">
        <v>4.38</v>
      </c>
      <c r="F42">
        <v>0</v>
      </c>
      <c r="G42">
        <v>7.41</v>
      </c>
      <c r="H42">
        <v>0</v>
      </c>
      <c r="I42">
        <v>22.44</v>
      </c>
      <c r="J42">
        <v>0</v>
      </c>
      <c r="K42">
        <v>5</v>
      </c>
      <c r="L42" t="s">
        <v>10</v>
      </c>
      <c r="M42" t="s">
        <v>27</v>
      </c>
    </row>
    <row r="43" spans="1:13" x14ac:dyDescent="0.45">
      <c r="A43" t="s">
        <v>9</v>
      </c>
      <c r="B43" t="s">
        <v>143</v>
      </c>
      <c r="C43">
        <v>2040</v>
      </c>
      <c r="D43">
        <v>55</v>
      </c>
      <c r="E43">
        <v>4.0199999999999996</v>
      </c>
      <c r="F43">
        <v>0</v>
      </c>
      <c r="G43">
        <v>6.89</v>
      </c>
      <c r="H43">
        <v>0</v>
      </c>
      <c r="I43">
        <v>21.14</v>
      </c>
      <c r="J43">
        <v>0</v>
      </c>
      <c r="K43">
        <v>3.75</v>
      </c>
      <c r="L43" t="s">
        <v>10</v>
      </c>
      <c r="M43" t="s">
        <v>27</v>
      </c>
    </row>
    <row r="44" spans="1:13" x14ac:dyDescent="0.45">
      <c r="A44" t="s">
        <v>9</v>
      </c>
      <c r="B44" t="s">
        <v>143</v>
      </c>
      <c r="C44">
        <v>2045</v>
      </c>
      <c r="D44">
        <v>50</v>
      </c>
      <c r="E44">
        <v>4.47</v>
      </c>
      <c r="F44">
        <v>0</v>
      </c>
      <c r="G44">
        <v>6.86</v>
      </c>
      <c r="H44">
        <v>0</v>
      </c>
      <c r="I44">
        <v>19.899999999999999</v>
      </c>
      <c r="J44">
        <v>0</v>
      </c>
      <c r="K44">
        <v>5.93</v>
      </c>
      <c r="L44" t="s">
        <v>10</v>
      </c>
      <c r="M44" t="s">
        <v>27</v>
      </c>
    </row>
    <row r="45" spans="1:13" x14ac:dyDescent="0.45">
      <c r="A45" t="s">
        <v>9</v>
      </c>
      <c r="B45" t="s">
        <v>143</v>
      </c>
      <c r="C45">
        <v>2050</v>
      </c>
      <c r="D45">
        <v>55</v>
      </c>
      <c r="E45">
        <v>4.08</v>
      </c>
      <c r="F45">
        <v>0</v>
      </c>
      <c r="G45">
        <v>6.49</v>
      </c>
      <c r="H45">
        <v>-0.01</v>
      </c>
      <c r="I45">
        <v>21.35</v>
      </c>
      <c r="J45">
        <v>0</v>
      </c>
      <c r="K45">
        <v>5.22</v>
      </c>
      <c r="L45" t="s">
        <v>10</v>
      </c>
      <c r="M45" t="s">
        <v>27</v>
      </c>
    </row>
    <row r="46" spans="1:13" x14ac:dyDescent="0.45">
      <c r="A46" t="s">
        <v>0</v>
      </c>
      <c r="B46" t="s">
        <v>143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143</v>
      </c>
      <c r="C47">
        <v>2025</v>
      </c>
      <c r="D47">
        <v>64</v>
      </c>
      <c r="E47">
        <v>0.99</v>
      </c>
      <c r="F47">
        <v>0.97</v>
      </c>
      <c r="G47">
        <v>0.08</v>
      </c>
      <c r="H47">
        <v>0.84</v>
      </c>
      <c r="I47">
        <v>1.25</v>
      </c>
      <c r="J47">
        <v>0.95</v>
      </c>
      <c r="K47">
        <v>1</v>
      </c>
      <c r="L47" t="s">
        <v>1</v>
      </c>
      <c r="M47" t="s">
        <v>11</v>
      </c>
    </row>
    <row r="48" spans="1:13" x14ac:dyDescent="0.45">
      <c r="A48" t="s">
        <v>0</v>
      </c>
      <c r="B48" t="s">
        <v>143</v>
      </c>
      <c r="C48">
        <v>2030</v>
      </c>
      <c r="D48">
        <v>64</v>
      </c>
      <c r="E48">
        <v>1.0900000000000001</v>
      </c>
      <c r="F48">
        <v>1.07</v>
      </c>
      <c r="G48">
        <v>0.15</v>
      </c>
      <c r="H48">
        <v>0.85</v>
      </c>
      <c r="I48">
        <v>1.79</v>
      </c>
      <c r="J48">
        <v>1.02</v>
      </c>
      <c r="K48">
        <v>1.1200000000000001</v>
      </c>
      <c r="L48" t="s">
        <v>1</v>
      </c>
      <c r="M48" t="s">
        <v>11</v>
      </c>
    </row>
    <row r="49" spans="1:13" x14ac:dyDescent="0.45">
      <c r="A49" t="s">
        <v>0</v>
      </c>
      <c r="B49" t="s">
        <v>143</v>
      </c>
      <c r="C49">
        <v>2035</v>
      </c>
      <c r="D49">
        <v>64</v>
      </c>
      <c r="E49">
        <v>1.29</v>
      </c>
      <c r="F49">
        <v>1.26</v>
      </c>
      <c r="G49">
        <v>0.2</v>
      </c>
      <c r="H49">
        <v>1.03</v>
      </c>
      <c r="I49">
        <v>2.06</v>
      </c>
      <c r="J49">
        <v>1.1599999999999999</v>
      </c>
      <c r="K49">
        <v>1.34</v>
      </c>
      <c r="L49" t="s">
        <v>1</v>
      </c>
      <c r="M49" t="s">
        <v>11</v>
      </c>
    </row>
    <row r="50" spans="1:13" x14ac:dyDescent="0.45">
      <c r="A50" t="s">
        <v>0</v>
      </c>
      <c r="B50" t="s">
        <v>143</v>
      </c>
      <c r="C50">
        <v>2040</v>
      </c>
      <c r="D50">
        <v>64</v>
      </c>
      <c r="E50">
        <v>1.52</v>
      </c>
      <c r="F50">
        <v>1.49</v>
      </c>
      <c r="G50">
        <v>0.25</v>
      </c>
      <c r="H50">
        <v>0.95</v>
      </c>
      <c r="I50">
        <v>2.21</v>
      </c>
      <c r="J50">
        <v>1.33</v>
      </c>
      <c r="K50">
        <v>1.64</v>
      </c>
      <c r="L50" t="s">
        <v>1</v>
      </c>
      <c r="M50" t="s">
        <v>11</v>
      </c>
    </row>
    <row r="51" spans="1:13" x14ac:dyDescent="0.45">
      <c r="A51" t="s">
        <v>0</v>
      </c>
      <c r="B51" t="s">
        <v>143</v>
      </c>
      <c r="C51">
        <v>2045</v>
      </c>
      <c r="D51">
        <v>64</v>
      </c>
      <c r="E51">
        <v>1.72</v>
      </c>
      <c r="F51">
        <v>1.67</v>
      </c>
      <c r="G51">
        <v>0.3</v>
      </c>
      <c r="H51">
        <v>1.04</v>
      </c>
      <c r="I51">
        <v>2.4700000000000002</v>
      </c>
      <c r="J51">
        <v>1.5</v>
      </c>
      <c r="K51">
        <v>1.95</v>
      </c>
      <c r="L51" t="s">
        <v>1</v>
      </c>
      <c r="M51" t="s">
        <v>11</v>
      </c>
    </row>
    <row r="52" spans="1:13" x14ac:dyDescent="0.45">
      <c r="A52" t="s">
        <v>0</v>
      </c>
      <c r="B52" t="s">
        <v>143</v>
      </c>
      <c r="C52">
        <v>2050</v>
      </c>
      <c r="D52">
        <v>64</v>
      </c>
      <c r="E52">
        <v>1.88</v>
      </c>
      <c r="F52">
        <v>1.88</v>
      </c>
      <c r="G52">
        <v>0.35</v>
      </c>
      <c r="H52">
        <v>1.1299999999999999</v>
      </c>
      <c r="I52">
        <v>2.66</v>
      </c>
      <c r="J52">
        <v>1.68</v>
      </c>
      <c r="K52">
        <v>2.13</v>
      </c>
      <c r="L52" t="s">
        <v>1</v>
      </c>
      <c r="M52" t="s">
        <v>11</v>
      </c>
    </row>
    <row r="53" spans="1:13" x14ac:dyDescent="0.45">
      <c r="A53" t="s">
        <v>2</v>
      </c>
      <c r="B53" t="s">
        <v>143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143</v>
      </c>
      <c r="C54">
        <v>2025</v>
      </c>
      <c r="D54">
        <v>89</v>
      </c>
      <c r="E54">
        <v>1.02</v>
      </c>
      <c r="F54">
        <v>1.01</v>
      </c>
      <c r="G54">
        <v>0.06</v>
      </c>
      <c r="H54">
        <v>0.8</v>
      </c>
      <c r="I54">
        <v>1.3</v>
      </c>
      <c r="J54">
        <v>0.98</v>
      </c>
      <c r="K54">
        <v>1.04</v>
      </c>
      <c r="L54" t="s">
        <v>3</v>
      </c>
      <c r="M54" t="s">
        <v>11</v>
      </c>
    </row>
    <row r="55" spans="1:13" x14ac:dyDescent="0.45">
      <c r="A55" t="s">
        <v>2</v>
      </c>
      <c r="B55" t="s">
        <v>143</v>
      </c>
      <c r="C55">
        <v>2030</v>
      </c>
      <c r="D55">
        <v>100</v>
      </c>
      <c r="E55">
        <v>1.1000000000000001</v>
      </c>
      <c r="F55">
        <v>1.0900000000000001</v>
      </c>
      <c r="G55">
        <v>0.09</v>
      </c>
      <c r="H55">
        <v>0.77</v>
      </c>
      <c r="I55">
        <v>1.47</v>
      </c>
      <c r="J55">
        <v>1.06</v>
      </c>
      <c r="K55">
        <v>1.1399999999999999</v>
      </c>
      <c r="L55" t="s">
        <v>3</v>
      </c>
      <c r="M55" t="s">
        <v>11</v>
      </c>
    </row>
    <row r="56" spans="1:13" x14ac:dyDescent="0.45">
      <c r="A56" t="s">
        <v>2</v>
      </c>
      <c r="B56" t="s">
        <v>143</v>
      </c>
      <c r="C56">
        <v>2035</v>
      </c>
      <c r="D56">
        <v>89</v>
      </c>
      <c r="E56">
        <v>1.18</v>
      </c>
      <c r="F56">
        <v>1.17</v>
      </c>
      <c r="G56">
        <v>0.12</v>
      </c>
      <c r="H56">
        <v>0.89</v>
      </c>
      <c r="I56">
        <v>1.66</v>
      </c>
      <c r="J56">
        <v>1.1000000000000001</v>
      </c>
      <c r="K56">
        <v>1.27</v>
      </c>
      <c r="L56" t="s">
        <v>3</v>
      </c>
      <c r="M56" t="s">
        <v>11</v>
      </c>
    </row>
    <row r="57" spans="1:13" x14ac:dyDescent="0.45">
      <c r="A57" t="s">
        <v>2</v>
      </c>
      <c r="B57" t="s">
        <v>143</v>
      </c>
      <c r="C57">
        <v>2040</v>
      </c>
      <c r="D57">
        <v>100</v>
      </c>
      <c r="E57">
        <v>1.38</v>
      </c>
      <c r="F57">
        <v>1.36</v>
      </c>
      <c r="G57">
        <v>0.17</v>
      </c>
      <c r="H57">
        <v>1.07</v>
      </c>
      <c r="I57">
        <v>1.98</v>
      </c>
      <c r="J57">
        <v>1.26</v>
      </c>
      <c r="K57">
        <v>1.49</v>
      </c>
      <c r="L57" t="s">
        <v>3</v>
      </c>
      <c r="M57" t="s">
        <v>11</v>
      </c>
    </row>
    <row r="58" spans="1:13" x14ac:dyDescent="0.45">
      <c r="A58" t="s">
        <v>2</v>
      </c>
      <c r="B58" t="s">
        <v>143</v>
      </c>
      <c r="C58">
        <v>2045</v>
      </c>
      <c r="D58">
        <v>89</v>
      </c>
      <c r="E58">
        <v>1.54</v>
      </c>
      <c r="F58">
        <v>1.48</v>
      </c>
      <c r="G58">
        <v>0.22</v>
      </c>
      <c r="H58">
        <v>1.1399999999999999</v>
      </c>
      <c r="I58">
        <v>2.2000000000000002</v>
      </c>
      <c r="J58">
        <v>1.38</v>
      </c>
      <c r="K58">
        <v>1.73</v>
      </c>
      <c r="L58" t="s">
        <v>3</v>
      </c>
      <c r="M58" t="s">
        <v>11</v>
      </c>
    </row>
    <row r="59" spans="1:13" x14ac:dyDescent="0.45">
      <c r="A59" t="s">
        <v>2</v>
      </c>
      <c r="B59" t="s">
        <v>143</v>
      </c>
      <c r="C59">
        <v>2050</v>
      </c>
      <c r="D59">
        <v>100</v>
      </c>
      <c r="E59">
        <v>1.75</v>
      </c>
      <c r="F59">
        <v>1.72</v>
      </c>
      <c r="G59">
        <v>0.26</v>
      </c>
      <c r="H59">
        <v>1.17</v>
      </c>
      <c r="I59">
        <v>2.46</v>
      </c>
      <c r="J59">
        <v>1.59</v>
      </c>
      <c r="K59">
        <v>1.94</v>
      </c>
      <c r="L59" t="s">
        <v>3</v>
      </c>
      <c r="M59" t="s">
        <v>11</v>
      </c>
    </row>
    <row r="60" spans="1:13" x14ac:dyDescent="0.45">
      <c r="A60" t="s">
        <v>5</v>
      </c>
      <c r="B60" t="s">
        <v>143</v>
      </c>
      <c r="C60">
        <v>2020</v>
      </c>
      <c r="D60">
        <v>233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143</v>
      </c>
      <c r="C61">
        <v>2025</v>
      </c>
      <c r="D61">
        <v>210</v>
      </c>
      <c r="E61">
        <v>1.02</v>
      </c>
      <c r="F61">
        <v>1.01</v>
      </c>
      <c r="G61">
        <v>0.06</v>
      </c>
      <c r="H61">
        <v>0.86</v>
      </c>
      <c r="I61">
        <v>1.24</v>
      </c>
      <c r="J61">
        <v>0.98</v>
      </c>
      <c r="K61">
        <v>1.04</v>
      </c>
      <c r="L61" t="s">
        <v>6</v>
      </c>
      <c r="M61" t="s">
        <v>11</v>
      </c>
    </row>
    <row r="62" spans="1:13" x14ac:dyDescent="0.45">
      <c r="A62" t="s">
        <v>5</v>
      </c>
      <c r="B62" t="s">
        <v>143</v>
      </c>
      <c r="C62">
        <v>2030</v>
      </c>
      <c r="D62">
        <v>233</v>
      </c>
      <c r="E62">
        <v>1.0900000000000001</v>
      </c>
      <c r="F62">
        <v>1.0900000000000001</v>
      </c>
      <c r="G62">
        <v>0.09</v>
      </c>
      <c r="H62">
        <v>0.86</v>
      </c>
      <c r="I62">
        <v>1.44</v>
      </c>
      <c r="J62">
        <v>1.04</v>
      </c>
      <c r="K62">
        <v>1.1200000000000001</v>
      </c>
      <c r="L62" t="s">
        <v>6</v>
      </c>
      <c r="M62" t="s">
        <v>11</v>
      </c>
    </row>
    <row r="63" spans="1:13" x14ac:dyDescent="0.45">
      <c r="A63" t="s">
        <v>5</v>
      </c>
      <c r="B63" t="s">
        <v>143</v>
      </c>
      <c r="C63">
        <v>2035</v>
      </c>
      <c r="D63">
        <v>210</v>
      </c>
      <c r="E63">
        <v>1.19</v>
      </c>
      <c r="F63">
        <v>1.18</v>
      </c>
      <c r="G63">
        <v>0.15</v>
      </c>
      <c r="H63">
        <v>0.93</v>
      </c>
      <c r="I63">
        <v>2.08</v>
      </c>
      <c r="J63">
        <v>1.1000000000000001</v>
      </c>
      <c r="K63">
        <v>1.25</v>
      </c>
      <c r="L63" t="s">
        <v>6</v>
      </c>
      <c r="M63" t="s">
        <v>11</v>
      </c>
    </row>
    <row r="64" spans="1:13" x14ac:dyDescent="0.45">
      <c r="A64" t="s">
        <v>5</v>
      </c>
      <c r="B64" t="s">
        <v>143</v>
      </c>
      <c r="C64">
        <v>2040</v>
      </c>
      <c r="D64">
        <v>233</v>
      </c>
      <c r="E64">
        <v>1.36</v>
      </c>
      <c r="F64">
        <v>1.3</v>
      </c>
      <c r="G64">
        <v>0.22</v>
      </c>
      <c r="H64">
        <v>0.95</v>
      </c>
      <c r="I64">
        <v>2.5299999999999998</v>
      </c>
      <c r="J64">
        <v>1.21</v>
      </c>
      <c r="K64">
        <v>1.5</v>
      </c>
      <c r="L64" t="s">
        <v>6</v>
      </c>
      <c r="M64" t="s">
        <v>11</v>
      </c>
    </row>
    <row r="65" spans="1:13" x14ac:dyDescent="0.45">
      <c r="A65" t="s">
        <v>5</v>
      </c>
      <c r="B65" t="s">
        <v>143</v>
      </c>
      <c r="C65">
        <v>2045</v>
      </c>
      <c r="D65">
        <v>210</v>
      </c>
      <c r="E65">
        <v>1.59</v>
      </c>
      <c r="F65">
        <v>1.5</v>
      </c>
      <c r="G65">
        <v>0.3</v>
      </c>
      <c r="H65">
        <v>1.01</v>
      </c>
      <c r="I65">
        <v>2.63</v>
      </c>
      <c r="J65">
        <v>1.38</v>
      </c>
      <c r="K65">
        <v>1.72</v>
      </c>
      <c r="L65" t="s">
        <v>6</v>
      </c>
      <c r="M65" t="s">
        <v>11</v>
      </c>
    </row>
    <row r="66" spans="1:13" x14ac:dyDescent="0.45">
      <c r="A66" t="s">
        <v>5</v>
      </c>
      <c r="B66" t="s">
        <v>143</v>
      </c>
      <c r="C66">
        <v>2050</v>
      </c>
      <c r="D66">
        <v>233</v>
      </c>
      <c r="E66">
        <v>1.76</v>
      </c>
      <c r="F66">
        <v>1.7</v>
      </c>
      <c r="G66">
        <v>0.33</v>
      </c>
      <c r="H66">
        <v>1.05</v>
      </c>
      <c r="I66">
        <v>2.83</v>
      </c>
      <c r="J66">
        <v>1.53</v>
      </c>
      <c r="K66">
        <v>1.92</v>
      </c>
      <c r="L66" t="s">
        <v>6</v>
      </c>
      <c r="M66" t="s">
        <v>11</v>
      </c>
    </row>
    <row r="67" spans="1:13" x14ac:dyDescent="0.45">
      <c r="A67" t="s">
        <v>7</v>
      </c>
      <c r="B67" t="s">
        <v>143</v>
      </c>
      <c r="C67">
        <v>2020</v>
      </c>
      <c r="D67">
        <v>87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143</v>
      </c>
      <c r="C68">
        <v>2025</v>
      </c>
      <c r="D68">
        <v>81</v>
      </c>
      <c r="E68">
        <v>1.05</v>
      </c>
      <c r="F68">
        <v>1.04</v>
      </c>
      <c r="G68">
        <v>0.08</v>
      </c>
      <c r="H68">
        <v>0.96</v>
      </c>
      <c r="I68">
        <v>1.19</v>
      </c>
      <c r="J68">
        <v>0.99</v>
      </c>
      <c r="K68">
        <v>1.07</v>
      </c>
      <c r="L68" t="s">
        <v>8</v>
      </c>
      <c r="M68" t="s">
        <v>11</v>
      </c>
    </row>
    <row r="69" spans="1:13" x14ac:dyDescent="0.45">
      <c r="A69" t="s">
        <v>7</v>
      </c>
      <c r="B69" t="s">
        <v>143</v>
      </c>
      <c r="C69">
        <v>2030</v>
      </c>
      <c r="D69">
        <v>87</v>
      </c>
      <c r="E69">
        <v>1.1000000000000001</v>
      </c>
      <c r="F69">
        <v>1.1100000000000001</v>
      </c>
      <c r="G69">
        <v>0.08</v>
      </c>
      <c r="H69">
        <v>0.98</v>
      </c>
      <c r="I69">
        <v>1.27</v>
      </c>
      <c r="J69">
        <v>1.04</v>
      </c>
      <c r="K69">
        <v>1.1599999999999999</v>
      </c>
      <c r="L69" t="s">
        <v>8</v>
      </c>
      <c r="M69" t="s">
        <v>11</v>
      </c>
    </row>
    <row r="70" spans="1:13" x14ac:dyDescent="0.45">
      <c r="A70" t="s">
        <v>7</v>
      </c>
      <c r="B70" t="s">
        <v>143</v>
      </c>
      <c r="C70">
        <v>2035</v>
      </c>
      <c r="D70">
        <v>81</v>
      </c>
      <c r="E70">
        <v>1.1100000000000001</v>
      </c>
      <c r="F70">
        <v>1.08</v>
      </c>
      <c r="G70">
        <v>0.1</v>
      </c>
      <c r="H70">
        <v>0.94</v>
      </c>
      <c r="I70">
        <v>1.4</v>
      </c>
      <c r="J70">
        <v>1.03</v>
      </c>
      <c r="K70">
        <v>1.18</v>
      </c>
      <c r="L70" t="s">
        <v>8</v>
      </c>
      <c r="M70" t="s">
        <v>11</v>
      </c>
    </row>
    <row r="71" spans="1:13" x14ac:dyDescent="0.45">
      <c r="A71" t="s">
        <v>7</v>
      </c>
      <c r="B71" t="s">
        <v>143</v>
      </c>
      <c r="C71">
        <v>2040</v>
      </c>
      <c r="D71">
        <v>87</v>
      </c>
      <c r="E71">
        <v>1.2</v>
      </c>
      <c r="F71">
        <v>1.19</v>
      </c>
      <c r="G71">
        <v>0.13</v>
      </c>
      <c r="H71">
        <v>0.95</v>
      </c>
      <c r="I71">
        <v>1.6</v>
      </c>
      <c r="J71">
        <v>1.1100000000000001</v>
      </c>
      <c r="K71">
        <v>1.26</v>
      </c>
      <c r="L71" t="s">
        <v>8</v>
      </c>
      <c r="M71" t="s">
        <v>11</v>
      </c>
    </row>
    <row r="72" spans="1:13" x14ac:dyDescent="0.45">
      <c r="A72" t="s">
        <v>7</v>
      </c>
      <c r="B72" t="s">
        <v>143</v>
      </c>
      <c r="C72">
        <v>2045</v>
      </c>
      <c r="D72">
        <v>81</v>
      </c>
      <c r="E72">
        <v>1.31</v>
      </c>
      <c r="F72">
        <v>1.31</v>
      </c>
      <c r="G72">
        <v>0.16</v>
      </c>
      <c r="H72">
        <v>0.99</v>
      </c>
      <c r="I72">
        <v>1.78</v>
      </c>
      <c r="J72">
        <v>1.2</v>
      </c>
      <c r="K72">
        <v>1.41</v>
      </c>
      <c r="L72" t="s">
        <v>8</v>
      </c>
      <c r="M72" t="s">
        <v>11</v>
      </c>
    </row>
    <row r="73" spans="1:13" x14ac:dyDescent="0.45">
      <c r="A73" t="s">
        <v>7</v>
      </c>
      <c r="B73" t="s">
        <v>143</v>
      </c>
      <c r="C73">
        <v>2050</v>
      </c>
      <c r="D73">
        <v>87</v>
      </c>
      <c r="E73">
        <v>1.45</v>
      </c>
      <c r="F73">
        <v>1.47</v>
      </c>
      <c r="G73">
        <v>0.19</v>
      </c>
      <c r="H73">
        <v>1.01</v>
      </c>
      <c r="I73">
        <v>1.95</v>
      </c>
      <c r="J73">
        <v>1.34</v>
      </c>
      <c r="K73">
        <v>1.58</v>
      </c>
      <c r="L73" t="s">
        <v>8</v>
      </c>
      <c r="M73" t="s">
        <v>11</v>
      </c>
    </row>
    <row r="74" spans="1:13" x14ac:dyDescent="0.45">
      <c r="A74" t="s">
        <v>9</v>
      </c>
      <c r="B74" t="s">
        <v>143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143</v>
      </c>
      <c r="C75">
        <v>2025</v>
      </c>
      <c r="D75">
        <v>56</v>
      </c>
      <c r="E75">
        <v>1.05</v>
      </c>
      <c r="F75">
        <v>1.06</v>
      </c>
      <c r="G75">
        <v>0.04</v>
      </c>
      <c r="H75">
        <v>0.96</v>
      </c>
      <c r="I75">
        <v>1.1499999999999999</v>
      </c>
      <c r="J75">
        <v>1.04</v>
      </c>
      <c r="K75">
        <v>1.07</v>
      </c>
      <c r="L75" t="s">
        <v>10</v>
      </c>
      <c r="M75" t="s">
        <v>11</v>
      </c>
    </row>
    <row r="76" spans="1:13" x14ac:dyDescent="0.45">
      <c r="A76" t="s">
        <v>9</v>
      </c>
      <c r="B76" t="s">
        <v>143</v>
      </c>
      <c r="C76">
        <v>2030</v>
      </c>
      <c r="D76">
        <v>61</v>
      </c>
      <c r="E76">
        <v>1.1000000000000001</v>
      </c>
      <c r="F76">
        <v>1.0900000000000001</v>
      </c>
      <c r="G76">
        <v>7.0000000000000007E-2</v>
      </c>
      <c r="H76">
        <v>0.86</v>
      </c>
      <c r="I76">
        <v>1.28</v>
      </c>
      <c r="J76">
        <v>1.07</v>
      </c>
      <c r="K76">
        <v>1.1499999999999999</v>
      </c>
      <c r="L76" t="s">
        <v>10</v>
      </c>
      <c r="M76" t="s">
        <v>11</v>
      </c>
    </row>
    <row r="77" spans="1:13" x14ac:dyDescent="0.45">
      <c r="A77" t="s">
        <v>9</v>
      </c>
      <c r="B77" t="s">
        <v>143</v>
      </c>
      <c r="C77">
        <v>2035</v>
      </c>
      <c r="D77">
        <v>56</v>
      </c>
      <c r="E77">
        <v>1.1599999999999999</v>
      </c>
      <c r="F77">
        <v>1.1499999999999999</v>
      </c>
      <c r="G77">
        <v>0.1</v>
      </c>
      <c r="H77">
        <v>0.84</v>
      </c>
      <c r="I77">
        <v>1.4</v>
      </c>
      <c r="J77">
        <v>1.1100000000000001</v>
      </c>
      <c r="K77">
        <v>1.22</v>
      </c>
      <c r="L77" t="s">
        <v>10</v>
      </c>
      <c r="M77" t="s">
        <v>11</v>
      </c>
    </row>
    <row r="78" spans="1:13" x14ac:dyDescent="0.45">
      <c r="A78" t="s">
        <v>9</v>
      </c>
      <c r="B78" t="s">
        <v>143</v>
      </c>
      <c r="C78">
        <v>2040</v>
      </c>
      <c r="D78">
        <v>61</v>
      </c>
      <c r="E78">
        <v>1.21</v>
      </c>
      <c r="F78">
        <v>1.2</v>
      </c>
      <c r="G78">
        <v>0.12</v>
      </c>
      <c r="H78">
        <v>0.85</v>
      </c>
      <c r="I78">
        <v>1.5</v>
      </c>
      <c r="J78">
        <v>1.1399999999999999</v>
      </c>
      <c r="K78">
        <v>1.29</v>
      </c>
      <c r="L78" t="s">
        <v>10</v>
      </c>
      <c r="M78" t="s">
        <v>11</v>
      </c>
    </row>
    <row r="79" spans="1:13" x14ac:dyDescent="0.45">
      <c r="A79" t="s">
        <v>9</v>
      </c>
      <c r="B79" t="s">
        <v>143</v>
      </c>
      <c r="C79">
        <v>2045</v>
      </c>
      <c r="D79">
        <v>56</v>
      </c>
      <c r="E79">
        <v>1.27</v>
      </c>
      <c r="F79">
        <v>1.25</v>
      </c>
      <c r="G79">
        <v>0.16</v>
      </c>
      <c r="H79">
        <v>0.9</v>
      </c>
      <c r="I79">
        <v>1.63</v>
      </c>
      <c r="J79">
        <v>1.1599999999999999</v>
      </c>
      <c r="K79">
        <v>1.36</v>
      </c>
      <c r="L79" t="s">
        <v>10</v>
      </c>
      <c r="M79" t="s">
        <v>11</v>
      </c>
    </row>
    <row r="80" spans="1:13" x14ac:dyDescent="0.45">
      <c r="A80" t="s">
        <v>9</v>
      </c>
      <c r="B80" t="s">
        <v>143</v>
      </c>
      <c r="C80">
        <v>2050</v>
      </c>
      <c r="D80">
        <v>61</v>
      </c>
      <c r="E80">
        <v>1.32</v>
      </c>
      <c r="F80">
        <v>1.31</v>
      </c>
      <c r="G80">
        <v>0.18</v>
      </c>
      <c r="H80">
        <v>0.97</v>
      </c>
      <c r="I80">
        <v>1.77</v>
      </c>
      <c r="J80">
        <v>1.2</v>
      </c>
      <c r="K80">
        <v>1.41</v>
      </c>
      <c r="L80" t="s">
        <v>10</v>
      </c>
      <c r="M80" t="s">
        <v>11</v>
      </c>
    </row>
    <row r="81" spans="1:13" x14ac:dyDescent="0.45">
      <c r="A81" t="s">
        <v>0</v>
      </c>
      <c r="B81" t="s">
        <v>143</v>
      </c>
      <c r="C81">
        <v>2020</v>
      </c>
      <c r="D81">
        <v>63</v>
      </c>
      <c r="E81">
        <v>0</v>
      </c>
      <c r="F81">
        <v>0</v>
      </c>
      <c r="G81">
        <v>0</v>
      </c>
      <c r="H81">
        <v>0</v>
      </c>
      <c r="I81">
        <v>0.01</v>
      </c>
      <c r="J81">
        <v>0</v>
      </c>
      <c r="K81">
        <v>0</v>
      </c>
      <c r="L81" t="s">
        <v>1</v>
      </c>
      <c r="M81" t="s">
        <v>15</v>
      </c>
    </row>
    <row r="82" spans="1:13" x14ac:dyDescent="0.45">
      <c r="A82" t="s">
        <v>0</v>
      </c>
      <c r="B82" t="s">
        <v>143</v>
      </c>
      <c r="C82">
        <v>2025</v>
      </c>
      <c r="D82">
        <v>63</v>
      </c>
      <c r="E82">
        <v>0.01</v>
      </c>
      <c r="F82">
        <v>0.01</v>
      </c>
      <c r="G82">
        <v>0.01</v>
      </c>
      <c r="H82">
        <v>0</v>
      </c>
      <c r="I82">
        <v>0.03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143</v>
      </c>
      <c r="C83">
        <v>2030</v>
      </c>
      <c r="D83">
        <v>63</v>
      </c>
      <c r="E83">
        <v>0.01</v>
      </c>
      <c r="F83">
        <v>0.01</v>
      </c>
      <c r="G83">
        <v>0.01</v>
      </c>
      <c r="H83">
        <v>0</v>
      </c>
      <c r="I83">
        <v>0.06</v>
      </c>
      <c r="J83">
        <v>0</v>
      </c>
      <c r="K83">
        <v>0.02</v>
      </c>
      <c r="L83" t="s">
        <v>1</v>
      </c>
      <c r="M83" t="s">
        <v>15</v>
      </c>
    </row>
    <row r="84" spans="1:13" x14ac:dyDescent="0.45">
      <c r="A84" t="s">
        <v>0</v>
      </c>
      <c r="B84" t="s">
        <v>143</v>
      </c>
      <c r="C84">
        <v>2035</v>
      </c>
      <c r="D84">
        <v>63</v>
      </c>
      <c r="E84">
        <v>0.03</v>
      </c>
      <c r="F84">
        <v>0.02</v>
      </c>
      <c r="G84">
        <v>0.03</v>
      </c>
      <c r="H84">
        <v>0</v>
      </c>
      <c r="I84">
        <v>0.13</v>
      </c>
      <c r="J84">
        <v>0.01</v>
      </c>
      <c r="K84">
        <v>0.04</v>
      </c>
      <c r="L84" t="s">
        <v>1</v>
      </c>
      <c r="M84" t="s">
        <v>15</v>
      </c>
    </row>
    <row r="85" spans="1:13" x14ac:dyDescent="0.45">
      <c r="A85" t="s">
        <v>0</v>
      </c>
      <c r="B85" t="s">
        <v>143</v>
      </c>
      <c r="C85">
        <v>2040</v>
      </c>
      <c r="D85">
        <v>63</v>
      </c>
      <c r="E85">
        <v>0.05</v>
      </c>
      <c r="F85">
        <v>0.04</v>
      </c>
      <c r="G85">
        <v>0.06</v>
      </c>
      <c r="H85">
        <v>0</v>
      </c>
      <c r="I85">
        <v>0.31</v>
      </c>
      <c r="J85">
        <v>0.01</v>
      </c>
      <c r="K85">
        <v>0.06</v>
      </c>
      <c r="L85" t="s">
        <v>1</v>
      </c>
      <c r="M85" t="s">
        <v>15</v>
      </c>
    </row>
    <row r="86" spans="1:13" x14ac:dyDescent="0.45">
      <c r="A86" t="s">
        <v>0</v>
      </c>
      <c r="B86" t="s">
        <v>143</v>
      </c>
      <c r="C86">
        <v>2045</v>
      </c>
      <c r="D86">
        <v>63</v>
      </c>
      <c r="E86">
        <v>7.0000000000000007E-2</v>
      </c>
      <c r="F86">
        <v>0.05</v>
      </c>
      <c r="G86">
        <v>0.08</v>
      </c>
      <c r="H86">
        <v>0</v>
      </c>
      <c r="I86">
        <v>0.46</v>
      </c>
      <c r="J86">
        <v>0.02</v>
      </c>
      <c r="K86">
        <v>0.08</v>
      </c>
      <c r="L86" t="s">
        <v>1</v>
      </c>
      <c r="M86" t="s">
        <v>15</v>
      </c>
    </row>
    <row r="87" spans="1:13" x14ac:dyDescent="0.45">
      <c r="A87" t="s">
        <v>0</v>
      </c>
      <c r="B87" t="s">
        <v>143</v>
      </c>
      <c r="C87">
        <v>2050</v>
      </c>
      <c r="D87">
        <v>63</v>
      </c>
      <c r="E87">
        <v>0.08</v>
      </c>
      <c r="F87">
        <v>0.05</v>
      </c>
      <c r="G87">
        <v>0.08</v>
      </c>
      <c r="H87">
        <v>0</v>
      </c>
      <c r="I87">
        <v>0.35</v>
      </c>
      <c r="J87">
        <v>0.03</v>
      </c>
      <c r="K87">
        <v>0.1</v>
      </c>
      <c r="L87" t="s">
        <v>1</v>
      </c>
      <c r="M87" t="s">
        <v>15</v>
      </c>
    </row>
    <row r="88" spans="1:13" x14ac:dyDescent="0.45">
      <c r="A88" t="s">
        <v>2</v>
      </c>
      <c r="B88" t="s">
        <v>143</v>
      </c>
      <c r="C88">
        <v>2020</v>
      </c>
      <c r="D88">
        <v>99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143</v>
      </c>
      <c r="C89">
        <v>2025</v>
      </c>
      <c r="D89">
        <v>88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143</v>
      </c>
      <c r="C90">
        <v>2030</v>
      </c>
      <c r="D90">
        <v>99</v>
      </c>
      <c r="E90">
        <v>0.01</v>
      </c>
      <c r="F90">
        <v>0</v>
      </c>
      <c r="G90">
        <v>0.01</v>
      </c>
      <c r="H90">
        <v>0</v>
      </c>
      <c r="I90">
        <v>0.05</v>
      </c>
      <c r="J90">
        <v>0</v>
      </c>
      <c r="K90">
        <v>0.01</v>
      </c>
      <c r="L90" t="s">
        <v>3</v>
      </c>
      <c r="M90" t="s">
        <v>15</v>
      </c>
    </row>
    <row r="91" spans="1:13" x14ac:dyDescent="0.45">
      <c r="A91" t="s">
        <v>2</v>
      </c>
      <c r="B91" t="s">
        <v>143</v>
      </c>
      <c r="C91">
        <v>2035</v>
      </c>
      <c r="D91">
        <v>88</v>
      </c>
      <c r="E91">
        <v>0.01</v>
      </c>
      <c r="F91">
        <v>0.01</v>
      </c>
      <c r="G91">
        <v>0.01</v>
      </c>
      <c r="H91">
        <v>0</v>
      </c>
      <c r="I91">
        <v>0.06</v>
      </c>
      <c r="J91">
        <v>0</v>
      </c>
      <c r="K91">
        <v>0.02</v>
      </c>
      <c r="L91" t="s">
        <v>3</v>
      </c>
      <c r="M91" t="s">
        <v>15</v>
      </c>
    </row>
    <row r="92" spans="1:13" x14ac:dyDescent="0.45">
      <c r="A92" t="s">
        <v>2</v>
      </c>
      <c r="B92" t="s">
        <v>143</v>
      </c>
      <c r="C92">
        <v>2040</v>
      </c>
      <c r="D92">
        <v>99</v>
      </c>
      <c r="E92">
        <v>0.02</v>
      </c>
      <c r="F92">
        <v>0.01</v>
      </c>
      <c r="G92">
        <v>0.04</v>
      </c>
      <c r="H92">
        <v>0</v>
      </c>
      <c r="I92">
        <v>0.16</v>
      </c>
      <c r="J92">
        <v>0</v>
      </c>
      <c r="K92">
        <v>0.03</v>
      </c>
      <c r="L92" t="s">
        <v>3</v>
      </c>
      <c r="M92" t="s">
        <v>15</v>
      </c>
    </row>
    <row r="93" spans="1:13" x14ac:dyDescent="0.45">
      <c r="A93" t="s">
        <v>2</v>
      </c>
      <c r="B93" t="s">
        <v>143</v>
      </c>
      <c r="C93">
        <v>2045</v>
      </c>
      <c r="D93">
        <v>88</v>
      </c>
      <c r="E93">
        <v>0.04</v>
      </c>
      <c r="F93">
        <v>0.03</v>
      </c>
      <c r="G93">
        <v>0.06</v>
      </c>
      <c r="H93">
        <v>0</v>
      </c>
      <c r="I93">
        <v>0.2</v>
      </c>
      <c r="J93">
        <v>0</v>
      </c>
      <c r="K93">
        <v>0.06</v>
      </c>
      <c r="L93" t="s">
        <v>3</v>
      </c>
      <c r="M93" t="s">
        <v>15</v>
      </c>
    </row>
    <row r="94" spans="1:13" x14ac:dyDescent="0.45">
      <c r="A94" t="s">
        <v>2</v>
      </c>
      <c r="B94" t="s">
        <v>143</v>
      </c>
      <c r="C94">
        <v>2050</v>
      </c>
      <c r="D94">
        <v>99</v>
      </c>
      <c r="E94">
        <v>0.06</v>
      </c>
      <c r="F94">
        <v>0.04</v>
      </c>
      <c r="G94">
        <v>7.0000000000000007E-2</v>
      </c>
      <c r="H94">
        <v>0</v>
      </c>
      <c r="I94">
        <v>0.28999999999999998</v>
      </c>
      <c r="J94">
        <v>0</v>
      </c>
      <c r="K94">
        <v>0.08</v>
      </c>
      <c r="L94" t="s">
        <v>3</v>
      </c>
      <c r="M94" t="s">
        <v>15</v>
      </c>
    </row>
    <row r="95" spans="1:13" x14ac:dyDescent="0.45">
      <c r="A95" t="s">
        <v>5</v>
      </c>
      <c r="B95" t="s">
        <v>143</v>
      </c>
      <c r="C95">
        <v>2020</v>
      </c>
      <c r="D95">
        <v>228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</v>
      </c>
      <c r="L95" t="s">
        <v>6</v>
      </c>
      <c r="M95" t="s">
        <v>15</v>
      </c>
    </row>
    <row r="96" spans="1:13" x14ac:dyDescent="0.45">
      <c r="A96" t="s">
        <v>5</v>
      </c>
      <c r="B96" t="s">
        <v>143</v>
      </c>
      <c r="C96">
        <v>2025</v>
      </c>
      <c r="D96">
        <v>205</v>
      </c>
      <c r="E96">
        <v>0.01</v>
      </c>
      <c r="F96">
        <v>0</v>
      </c>
      <c r="G96">
        <v>0.01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143</v>
      </c>
      <c r="C97">
        <v>2030</v>
      </c>
      <c r="D97">
        <v>228</v>
      </c>
      <c r="E97">
        <v>0.01</v>
      </c>
      <c r="F97">
        <v>0.01</v>
      </c>
      <c r="G97">
        <v>0.01</v>
      </c>
      <c r="H97">
        <v>0</v>
      </c>
      <c r="I97">
        <v>0.05</v>
      </c>
      <c r="J97">
        <v>0</v>
      </c>
      <c r="K97">
        <v>0.02</v>
      </c>
      <c r="L97" t="s">
        <v>6</v>
      </c>
      <c r="M97" t="s">
        <v>15</v>
      </c>
    </row>
    <row r="98" spans="1:13" x14ac:dyDescent="0.45">
      <c r="A98" t="s">
        <v>5</v>
      </c>
      <c r="B98" t="s">
        <v>143</v>
      </c>
      <c r="C98">
        <v>2035</v>
      </c>
      <c r="D98">
        <v>205</v>
      </c>
      <c r="E98">
        <v>0.02</v>
      </c>
      <c r="F98">
        <v>0.01</v>
      </c>
      <c r="G98">
        <v>0.02</v>
      </c>
      <c r="H98">
        <v>0</v>
      </c>
      <c r="I98">
        <v>0.08</v>
      </c>
      <c r="J98">
        <v>0</v>
      </c>
      <c r="K98">
        <v>0.03</v>
      </c>
      <c r="L98" t="s">
        <v>6</v>
      </c>
      <c r="M98" t="s">
        <v>15</v>
      </c>
    </row>
    <row r="99" spans="1:13" x14ac:dyDescent="0.45">
      <c r="A99" t="s">
        <v>5</v>
      </c>
      <c r="B99" t="s">
        <v>143</v>
      </c>
      <c r="C99">
        <v>2040</v>
      </c>
      <c r="D99">
        <v>228</v>
      </c>
      <c r="E99">
        <v>0.03</v>
      </c>
      <c r="F99">
        <v>0.02</v>
      </c>
      <c r="G99">
        <v>0.03</v>
      </c>
      <c r="H99">
        <v>0</v>
      </c>
      <c r="I99">
        <v>0.16</v>
      </c>
      <c r="J99">
        <v>0</v>
      </c>
      <c r="K99">
        <v>0.04</v>
      </c>
      <c r="L99" t="s">
        <v>6</v>
      </c>
      <c r="M99" t="s">
        <v>15</v>
      </c>
    </row>
    <row r="100" spans="1:13" x14ac:dyDescent="0.45">
      <c r="A100" t="s">
        <v>5</v>
      </c>
      <c r="B100" t="s">
        <v>143</v>
      </c>
      <c r="C100">
        <v>2045</v>
      </c>
      <c r="D100">
        <v>205</v>
      </c>
      <c r="E100">
        <v>0.03</v>
      </c>
      <c r="F100">
        <v>0.01</v>
      </c>
      <c r="G100">
        <v>0.04</v>
      </c>
      <c r="H100">
        <v>0</v>
      </c>
      <c r="I100">
        <v>0.21</v>
      </c>
      <c r="J100">
        <v>0</v>
      </c>
      <c r="K100">
        <v>0.04</v>
      </c>
      <c r="L100" t="s">
        <v>6</v>
      </c>
      <c r="M100" t="s">
        <v>15</v>
      </c>
    </row>
    <row r="101" spans="1:13" x14ac:dyDescent="0.45">
      <c r="A101" t="s">
        <v>5</v>
      </c>
      <c r="B101" t="s">
        <v>143</v>
      </c>
      <c r="C101">
        <v>2050</v>
      </c>
      <c r="D101">
        <v>228</v>
      </c>
      <c r="E101">
        <v>0.04</v>
      </c>
      <c r="F101">
        <v>0.03</v>
      </c>
      <c r="G101">
        <v>0.05</v>
      </c>
      <c r="H101">
        <v>0</v>
      </c>
      <c r="I101">
        <v>0.22</v>
      </c>
      <c r="J101">
        <v>0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143</v>
      </c>
      <c r="C102">
        <v>2020</v>
      </c>
      <c r="D102">
        <v>87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143</v>
      </c>
      <c r="C103">
        <v>2025</v>
      </c>
      <c r="D103">
        <v>81</v>
      </c>
      <c r="E103">
        <v>0</v>
      </c>
      <c r="F103">
        <v>0</v>
      </c>
      <c r="G103">
        <v>0</v>
      </c>
      <c r="H103">
        <v>0</v>
      </c>
      <c r="I103">
        <v>0.01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143</v>
      </c>
      <c r="C104">
        <v>2030</v>
      </c>
      <c r="D104">
        <v>87</v>
      </c>
      <c r="E104">
        <v>0</v>
      </c>
      <c r="F104">
        <v>0</v>
      </c>
      <c r="G104">
        <v>0.01</v>
      </c>
      <c r="H104">
        <v>0</v>
      </c>
      <c r="I104">
        <v>0.02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45">
      <c r="A105" t="s">
        <v>7</v>
      </c>
      <c r="B105" t="s">
        <v>143</v>
      </c>
      <c r="C105">
        <v>2035</v>
      </c>
      <c r="D105">
        <v>81</v>
      </c>
      <c r="E105">
        <v>0.01</v>
      </c>
      <c r="F105">
        <v>0</v>
      </c>
      <c r="G105">
        <v>0.01</v>
      </c>
      <c r="H105">
        <v>0</v>
      </c>
      <c r="I105">
        <v>0.04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143</v>
      </c>
      <c r="C106">
        <v>2040</v>
      </c>
      <c r="D106">
        <v>87</v>
      </c>
      <c r="E106">
        <v>0.01</v>
      </c>
      <c r="F106">
        <v>0</v>
      </c>
      <c r="G106">
        <v>0.02</v>
      </c>
      <c r="H106">
        <v>0</v>
      </c>
      <c r="I106">
        <v>0.08</v>
      </c>
      <c r="J106">
        <v>0</v>
      </c>
      <c r="K106">
        <v>0.02</v>
      </c>
      <c r="L106" t="s">
        <v>8</v>
      </c>
      <c r="M106" t="s">
        <v>15</v>
      </c>
    </row>
    <row r="107" spans="1:13" x14ac:dyDescent="0.45">
      <c r="A107" t="s">
        <v>7</v>
      </c>
      <c r="B107" t="s">
        <v>143</v>
      </c>
      <c r="C107">
        <v>2045</v>
      </c>
      <c r="D107">
        <v>81</v>
      </c>
      <c r="E107">
        <v>0.01</v>
      </c>
      <c r="F107">
        <v>0</v>
      </c>
      <c r="G107">
        <v>0.03</v>
      </c>
      <c r="H107">
        <v>0</v>
      </c>
      <c r="I107">
        <v>0.09</v>
      </c>
      <c r="J107">
        <v>0</v>
      </c>
      <c r="K107">
        <v>0.02</v>
      </c>
      <c r="L107" t="s">
        <v>8</v>
      </c>
      <c r="M107" t="s">
        <v>15</v>
      </c>
    </row>
    <row r="108" spans="1:13" x14ac:dyDescent="0.45">
      <c r="A108" t="s">
        <v>7</v>
      </c>
      <c r="B108" t="s">
        <v>143</v>
      </c>
      <c r="C108">
        <v>2050</v>
      </c>
      <c r="D108">
        <v>87</v>
      </c>
      <c r="E108">
        <v>0.02</v>
      </c>
      <c r="F108">
        <v>0</v>
      </c>
      <c r="G108">
        <v>0.03</v>
      </c>
      <c r="H108">
        <v>0</v>
      </c>
      <c r="I108">
        <v>0.1</v>
      </c>
      <c r="J108">
        <v>0</v>
      </c>
      <c r="K108">
        <v>0.04</v>
      </c>
      <c r="L108" t="s">
        <v>8</v>
      </c>
      <c r="M108" t="s">
        <v>15</v>
      </c>
    </row>
    <row r="109" spans="1:13" x14ac:dyDescent="0.45">
      <c r="A109" t="s">
        <v>9</v>
      </c>
      <c r="B109" t="s">
        <v>143</v>
      </c>
      <c r="C109">
        <v>2020</v>
      </c>
      <c r="D109">
        <v>58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</v>
      </c>
      <c r="L109" t="s">
        <v>10</v>
      </c>
      <c r="M109" t="s">
        <v>15</v>
      </c>
    </row>
    <row r="110" spans="1:13" x14ac:dyDescent="0.45">
      <c r="A110" t="s">
        <v>9</v>
      </c>
      <c r="B110" t="s">
        <v>143</v>
      </c>
      <c r="C110">
        <v>2025</v>
      </c>
      <c r="D110">
        <v>53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143</v>
      </c>
      <c r="C111">
        <v>2030</v>
      </c>
      <c r="D111">
        <v>58</v>
      </c>
      <c r="E111">
        <v>0.01</v>
      </c>
      <c r="F111">
        <v>0.01</v>
      </c>
      <c r="G111">
        <v>0.01</v>
      </c>
      <c r="H111">
        <v>0</v>
      </c>
      <c r="I111">
        <v>0.05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45">
      <c r="A112" t="s">
        <v>9</v>
      </c>
      <c r="B112" t="s">
        <v>143</v>
      </c>
      <c r="C112">
        <v>2035</v>
      </c>
      <c r="D112">
        <v>53</v>
      </c>
      <c r="E112">
        <v>0.02</v>
      </c>
      <c r="F112">
        <v>0.01</v>
      </c>
      <c r="G112">
        <v>0.02</v>
      </c>
      <c r="H112">
        <v>0</v>
      </c>
      <c r="I112">
        <v>0.06</v>
      </c>
      <c r="J112">
        <v>0</v>
      </c>
      <c r="K112">
        <v>0.03</v>
      </c>
      <c r="L112" t="s">
        <v>10</v>
      </c>
      <c r="M112" t="s">
        <v>15</v>
      </c>
    </row>
    <row r="113" spans="1:13" x14ac:dyDescent="0.45">
      <c r="A113" t="s">
        <v>9</v>
      </c>
      <c r="B113" t="s">
        <v>143</v>
      </c>
      <c r="C113">
        <v>2040</v>
      </c>
      <c r="D113">
        <v>58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0.01</v>
      </c>
      <c r="K113">
        <v>0.04</v>
      </c>
      <c r="L113" t="s">
        <v>10</v>
      </c>
      <c r="M113" t="s">
        <v>15</v>
      </c>
    </row>
    <row r="114" spans="1:13" x14ac:dyDescent="0.45">
      <c r="A114" t="s">
        <v>9</v>
      </c>
      <c r="B114" t="s">
        <v>143</v>
      </c>
      <c r="C114">
        <v>2045</v>
      </c>
      <c r="D114">
        <v>53</v>
      </c>
      <c r="E114">
        <v>0.03</v>
      </c>
      <c r="F114">
        <v>0.03</v>
      </c>
      <c r="G114">
        <v>0.03</v>
      </c>
      <c r="H114">
        <v>0</v>
      </c>
      <c r="I114">
        <v>0.09</v>
      </c>
      <c r="J114">
        <v>0.01</v>
      </c>
      <c r="K114">
        <v>0.04</v>
      </c>
      <c r="L114" t="s">
        <v>10</v>
      </c>
      <c r="M114" t="s">
        <v>15</v>
      </c>
    </row>
    <row r="115" spans="1:13" x14ac:dyDescent="0.45">
      <c r="A115" t="s">
        <v>9</v>
      </c>
      <c r="B115" t="s">
        <v>143</v>
      </c>
      <c r="C115">
        <v>2050</v>
      </c>
      <c r="D115">
        <v>58</v>
      </c>
      <c r="E115">
        <v>0.03</v>
      </c>
      <c r="F115">
        <v>0.03</v>
      </c>
      <c r="G115">
        <v>0.03</v>
      </c>
      <c r="H115">
        <v>0</v>
      </c>
      <c r="I115">
        <v>0.11</v>
      </c>
      <c r="J115">
        <v>0.01</v>
      </c>
      <c r="K115">
        <v>0.05</v>
      </c>
      <c r="L115" t="s">
        <v>10</v>
      </c>
      <c r="M115" t="s">
        <v>15</v>
      </c>
    </row>
    <row r="116" spans="1:13" x14ac:dyDescent="0.45">
      <c r="A116" t="s">
        <v>0</v>
      </c>
      <c r="B116" t="s">
        <v>143</v>
      </c>
      <c r="C116">
        <v>2020</v>
      </c>
      <c r="D116">
        <v>64</v>
      </c>
      <c r="E116">
        <v>0.22</v>
      </c>
      <c r="F116">
        <v>0.22</v>
      </c>
      <c r="G116">
        <v>0.02</v>
      </c>
      <c r="H116">
        <v>0.2</v>
      </c>
      <c r="I116">
        <v>0.28999999999999998</v>
      </c>
      <c r="J116">
        <v>0.2</v>
      </c>
      <c r="K116">
        <v>0.24</v>
      </c>
      <c r="L116" t="s">
        <v>1</v>
      </c>
      <c r="M116" t="s">
        <v>18</v>
      </c>
    </row>
    <row r="117" spans="1:13" x14ac:dyDescent="0.45">
      <c r="A117" t="s">
        <v>0</v>
      </c>
      <c r="B117" t="s">
        <v>143</v>
      </c>
      <c r="C117">
        <v>2025</v>
      </c>
      <c r="D117">
        <v>64</v>
      </c>
      <c r="E117">
        <v>0.22</v>
      </c>
      <c r="F117">
        <v>0.2</v>
      </c>
      <c r="G117">
        <v>0.04</v>
      </c>
      <c r="H117">
        <v>0.15</v>
      </c>
      <c r="I117">
        <v>0.32</v>
      </c>
      <c r="J117">
        <v>0.19</v>
      </c>
      <c r="K117">
        <v>0.24</v>
      </c>
      <c r="L117" t="s">
        <v>1</v>
      </c>
      <c r="M117" t="s">
        <v>18</v>
      </c>
    </row>
    <row r="118" spans="1:13" x14ac:dyDescent="0.45">
      <c r="A118" t="s">
        <v>0</v>
      </c>
      <c r="B118" t="s">
        <v>143</v>
      </c>
      <c r="C118">
        <v>2030</v>
      </c>
      <c r="D118">
        <v>64</v>
      </c>
      <c r="E118">
        <v>0.22</v>
      </c>
      <c r="F118">
        <v>0.2</v>
      </c>
      <c r="G118">
        <v>0.05</v>
      </c>
      <c r="H118">
        <v>0.16</v>
      </c>
      <c r="I118">
        <v>0.4</v>
      </c>
      <c r="J118">
        <v>0.19</v>
      </c>
      <c r="K118">
        <v>0.25</v>
      </c>
      <c r="L118" t="s">
        <v>1</v>
      </c>
      <c r="M118" t="s">
        <v>18</v>
      </c>
    </row>
    <row r="119" spans="1:13" x14ac:dyDescent="0.45">
      <c r="A119" t="s">
        <v>0</v>
      </c>
      <c r="B119" t="s">
        <v>143</v>
      </c>
      <c r="C119">
        <v>2035</v>
      </c>
      <c r="D119">
        <v>64</v>
      </c>
      <c r="E119">
        <v>0.23</v>
      </c>
      <c r="F119">
        <v>0.2</v>
      </c>
      <c r="G119">
        <v>0.06</v>
      </c>
      <c r="H119">
        <v>0.16</v>
      </c>
      <c r="I119">
        <v>0.41</v>
      </c>
      <c r="J119">
        <v>0.19</v>
      </c>
      <c r="K119">
        <v>0.25</v>
      </c>
      <c r="L119" t="s">
        <v>1</v>
      </c>
      <c r="M119" t="s">
        <v>18</v>
      </c>
    </row>
    <row r="120" spans="1:13" x14ac:dyDescent="0.45">
      <c r="A120" t="s">
        <v>0</v>
      </c>
      <c r="B120" t="s">
        <v>143</v>
      </c>
      <c r="C120">
        <v>2040</v>
      </c>
      <c r="D120">
        <v>64</v>
      </c>
      <c r="E120">
        <v>0.24</v>
      </c>
      <c r="F120">
        <v>0.22</v>
      </c>
      <c r="G120">
        <v>0.06</v>
      </c>
      <c r="H120">
        <v>0.16</v>
      </c>
      <c r="I120">
        <v>0.4</v>
      </c>
      <c r="J120">
        <v>0.2</v>
      </c>
      <c r="K120">
        <v>0.25</v>
      </c>
      <c r="L120" t="s">
        <v>1</v>
      </c>
      <c r="M120" t="s">
        <v>18</v>
      </c>
    </row>
    <row r="121" spans="1:13" x14ac:dyDescent="0.45">
      <c r="A121" t="s">
        <v>0</v>
      </c>
      <c r="B121" t="s">
        <v>143</v>
      </c>
      <c r="C121">
        <v>2045</v>
      </c>
      <c r="D121">
        <v>64</v>
      </c>
      <c r="E121">
        <v>0.24</v>
      </c>
      <c r="F121">
        <v>0.23</v>
      </c>
      <c r="G121">
        <v>7.0000000000000007E-2</v>
      </c>
      <c r="H121">
        <v>0.15</v>
      </c>
      <c r="I121">
        <v>0.4</v>
      </c>
      <c r="J121">
        <v>0.18</v>
      </c>
      <c r="K121">
        <v>0.26</v>
      </c>
      <c r="L121" t="s">
        <v>1</v>
      </c>
      <c r="M121" t="s">
        <v>18</v>
      </c>
    </row>
    <row r="122" spans="1:13" x14ac:dyDescent="0.45">
      <c r="A122" t="s">
        <v>0</v>
      </c>
      <c r="B122" t="s">
        <v>143</v>
      </c>
      <c r="C122">
        <v>2050</v>
      </c>
      <c r="D122">
        <v>64</v>
      </c>
      <c r="E122">
        <v>0.25</v>
      </c>
      <c r="F122">
        <v>0.26</v>
      </c>
      <c r="G122">
        <v>7.0000000000000007E-2</v>
      </c>
      <c r="H122">
        <v>0.14000000000000001</v>
      </c>
      <c r="I122">
        <v>0.4</v>
      </c>
      <c r="J122">
        <v>0.18</v>
      </c>
      <c r="K122">
        <v>0.3</v>
      </c>
      <c r="L122" t="s">
        <v>1</v>
      </c>
      <c r="M122" t="s">
        <v>18</v>
      </c>
    </row>
    <row r="123" spans="1:13" x14ac:dyDescent="0.45">
      <c r="A123" t="s">
        <v>2</v>
      </c>
      <c r="B123" t="s">
        <v>143</v>
      </c>
      <c r="C123">
        <v>2020</v>
      </c>
      <c r="D123">
        <v>99</v>
      </c>
      <c r="E123">
        <v>0.22</v>
      </c>
      <c r="F123">
        <v>0.22</v>
      </c>
      <c r="G123">
        <v>0.02</v>
      </c>
      <c r="H123">
        <v>0.2</v>
      </c>
      <c r="I123">
        <v>0.28999999999999998</v>
      </c>
      <c r="J123">
        <v>0.2</v>
      </c>
      <c r="K123">
        <v>0.23</v>
      </c>
      <c r="L123" t="s">
        <v>3</v>
      </c>
      <c r="M123" t="s">
        <v>18</v>
      </c>
    </row>
    <row r="124" spans="1:13" x14ac:dyDescent="0.45">
      <c r="A124" t="s">
        <v>2</v>
      </c>
      <c r="B124" t="s">
        <v>143</v>
      </c>
      <c r="C124">
        <v>2025</v>
      </c>
      <c r="D124">
        <v>88</v>
      </c>
      <c r="E124">
        <v>0.22</v>
      </c>
      <c r="F124">
        <v>0.22</v>
      </c>
      <c r="G124">
        <v>0.03</v>
      </c>
      <c r="H124">
        <v>0</v>
      </c>
      <c r="I124">
        <v>0.3</v>
      </c>
      <c r="J124">
        <v>0.21</v>
      </c>
      <c r="K124">
        <v>0.23</v>
      </c>
      <c r="L124" t="s">
        <v>3</v>
      </c>
      <c r="M124" t="s">
        <v>18</v>
      </c>
    </row>
    <row r="125" spans="1:13" x14ac:dyDescent="0.45">
      <c r="A125" t="s">
        <v>2</v>
      </c>
      <c r="B125" t="s">
        <v>143</v>
      </c>
      <c r="C125">
        <v>2030</v>
      </c>
      <c r="D125">
        <v>99</v>
      </c>
      <c r="E125">
        <v>0.21</v>
      </c>
      <c r="F125">
        <v>0.21</v>
      </c>
      <c r="G125">
        <v>0.04</v>
      </c>
      <c r="H125">
        <v>0</v>
      </c>
      <c r="I125">
        <v>0.34</v>
      </c>
      <c r="J125">
        <v>0.19</v>
      </c>
      <c r="K125">
        <v>0.23</v>
      </c>
      <c r="L125" t="s">
        <v>3</v>
      </c>
      <c r="M125" t="s">
        <v>18</v>
      </c>
    </row>
    <row r="126" spans="1:13" x14ac:dyDescent="0.45">
      <c r="A126" t="s">
        <v>2</v>
      </c>
      <c r="B126" t="s">
        <v>143</v>
      </c>
      <c r="C126">
        <v>2035</v>
      </c>
      <c r="D126">
        <v>88</v>
      </c>
      <c r="E126">
        <v>0.23</v>
      </c>
      <c r="F126">
        <v>0.22</v>
      </c>
      <c r="G126">
        <v>0.04</v>
      </c>
      <c r="H126">
        <v>0.16</v>
      </c>
      <c r="I126">
        <v>0.35</v>
      </c>
      <c r="J126">
        <v>0.2</v>
      </c>
      <c r="K126">
        <v>0.24</v>
      </c>
      <c r="L126" t="s">
        <v>3</v>
      </c>
      <c r="M126" t="s">
        <v>18</v>
      </c>
    </row>
    <row r="127" spans="1:13" x14ac:dyDescent="0.45">
      <c r="A127" t="s">
        <v>2</v>
      </c>
      <c r="B127" t="s">
        <v>143</v>
      </c>
      <c r="C127">
        <v>2040</v>
      </c>
      <c r="D127">
        <v>99</v>
      </c>
      <c r="E127">
        <v>0.22</v>
      </c>
      <c r="F127">
        <v>0.21</v>
      </c>
      <c r="G127">
        <v>0.05</v>
      </c>
      <c r="H127">
        <v>0.13</v>
      </c>
      <c r="I127">
        <v>0.34</v>
      </c>
      <c r="J127">
        <v>0.19</v>
      </c>
      <c r="K127">
        <v>0.24</v>
      </c>
      <c r="L127" t="s">
        <v>3</v>
      </c>
      <c r="M127" t="s">
        <v>18</v>
      </c>
    </row>
    <row r="128" spans="1:13" x14ac:dyDescent="0.45">
      <c r="A128" t="s">
        <v>2</v>
      </c>
      <c r="B128" t="s">
        <v>143</v>
      </c>
      <c r="C128">
        <v>2045</v>
      </c>
      <c r="D128">
        <v>88</v>
      </c>
      <c r="E128">
        <v>0.23</v>
      </c>
      <c r="F128">
        <v>0.23</v>
      </c>
      <c r="G128">
        <v>0.04</v>
      </c>
      <c r="H128">
        <v>0.16</v>
      </c>
      <c r="I128">
        <v>0.36</v>
      </c>
      <c r="J128">
        <v>0.19</v>
      </c>
      <c r="K128">
        <v>0.24</v>
      </c>
      <c r="L128" t="s">
        <v>3</v>
      </c>
      <c r="M128" t="s">
        <v>18</v>
      </c>
    </row>
    <row r="129" spans="1:13" x14ac:dyDescent="0.45">
      <c r="A129" t="s">
        <v>2</v>
      </c>
      <c r="B129" t="s">
        <v>143</v>
      </c>
      <c r="C129">
        <v>2050</v>
      </c>
      <c r="D129">
        <v>99</v>
      </c>
      <c r="E129">
        <v>0.22</v>
      </c>
      <c r="F129">
        <v>0.23</v>
      </c>
      <c r="G129">
        <v>0.06</v>
      </c>
      <c r="H129">
        <v>0.13</v>
      </c>
      <c r="I129">
        <v>0.38</v>
      </c>
      <c r="J129">
        <v>0.17</v>
      </c>
      <c r="K129">
        <v>0.26</v>
      </c>
      <c r="L129" t="s">
        <v>3</v>
      </c>
      <c r="M129" t="s">
        <v>18</v>
      </c>
    </row>
    <row r="130" spans="1:13" x14ac:dyDescent="0.45">
      <c r="A130" t="s">
        <v>5</v>
      </c>
      <c r="B130" t="s">
        <v>143</v>
      </c>
      <c r="C130">
        <v>2020</v>
      </c>
      <c r="D130">
        <v>231</v>
      </c>
      <c r="E130">
        <v>0.23</v>
      </c>
      <c r="F130">
        <v>0.22</v>
      </c>
      <c r="G130">
        <v>0.02</v>
      </c>
      <c r="H130">
        <v>0.2</v>
      </c>
      <c r="I130">
        <v>0.28999999999999998</v>
      </c>
      <c r="J130">
        <v>0.2</v>
      </c>
      <c r="K130">
        <v>0.25</v>
      </c>
      <c r="L130" t="s">
        <v>6</v>
      </c>
      <c r="M130" t="s">
        <v>18</v>
      </c>
    </row>
    <row r="131" spans="1:13" x14ac:dyDescent="0.45">
      <c r="A131" t="s">
        <v>5</v>
      </c>
      <c r="B131" t="s">
        <v>143</v>
      </c>
      <c r="C131">
        <v>2025</v>
      </c>
      <c r="D131">
        <v>208</v>
      </c>
      <c r="E131">
        <v>0.2</v>
      </c>
      <c r="F131">
        <v>0.21</v>
      </c>
      <c r="G131">
        <v>7.0000000000000007E-2</v>
      </c>
      <c r="H131">
        <v>0</v>
      </c>
      <c r="I131">
        <v>0.3</v>
      </c>
      <c r="J131">
        <v>0.19</v>
      </c>
      <c r="K131">
        <v>0.23</v>
      </c>
      <c r="L131" t="s">
        <v>6</v>
      </c>
      <c r="M131" t="s">
        <v>18</v>
      </c>
    </row>
    <row r="132" spans="1:13" x14ac:dyDescent="0.45">
      <c r="A132" t="s">
        <v>5</v>
      </c>
      <c r="B132" t="s">
        <v>143</v>
      </c>
      <c r="C132">
        <v>2030</v>
      </c>
      <c r="D132">
        <v>231</v>
      </c>
      <c r="E132">
        <v>0.21</v>
      </c>
      <c r="F132">
        <v>0.21</v>
      </c>
      <c r="G132">
        <v>7.0000000000000007E-2</v>
      </c>
      <c r="H132">
        <v>0</v>
      </c>
      <c r="I132">
        <v>0.34</v>
      </c>
      <c r="J132">
        <v>0.19</v>
      </c>
      <c r="K132">
        <v>0.25</v>
      </c>
      <c r="L132" t="s">
        <v>6</v>
      </c>
      <c r="M132" t="s">
        <v>18</v>
      </c>
    </row>
    <row r="133" spans="1:13" x14ac:dyDescent="0.45">
      <c r="A133" t="s">
        <v>5</v>
      </c>
      <c r="B133" t="s">
        <v>143</v>
      </c>
      <c r="C133">
        <v>2035</v>
      </c>
      <c r="D133">
        <v>208</v>
      </c>
      <c r="E133">
        <v>0.22</v>
      </c>
      <c r="F133">
        <v>0.21</v>
      </c>
      <c r="G133">
        <v>0.05</v>
      </c>
      <c r="H133">
        <v>0.16</v>
      </c>
      <c r="I133">
        <v>0.39</v>
      </c>
      <c r="J133">
        <v>0.19</v>
      </c>
      <c r="K133">
        <v>0.25</v>
      </c>
      <c r="L133" t="s">
        <v>6</v>
      </c>
      <c r="M133" t="s">
        <v>18</v>
      </c>
    </row>
    <row r="134" spans="1:13" x14ac:dyDescent="0.45">
      <c r="A134" t="s">
        <v>5</v>
      </c>
      <c r="B134" t="s">
        <v>143</v>
      </c>
      <c r="C134">
        <v>2040</v>
      </c>
      <c r="D134">
        <v>231</v>
      </c>
      <c r="E134">
        <v>0.22</v>
      </c>
      <c r="F134">
        <v>0.21</v>
      </c>
      <c r="G134">
        <v>0.05</v>
      </c>
      <c r="H134">
        <v>0.14000000000000001</v>
      </c>
      <c r="I134">
        <v>0.39</v>
      </c>
      <c r="J134">
        <v>0.19</v>
      </c>
      <c r="K134">
        <v>0.25</v>
      </c>
      <c r="L134" t="s">
        <v>6</v>
      </c>
      <c r="M134" t="s">
        <v>18</v>
      </c>
    </row>
    <row r="135" spans="1:13" x14ac:dyDescent="0.45">
      <c r="A135" t="s">
        <v>5</v>
      </c>
      <c r="B135" t="s">
        <v>143</v>
      </c>
      <c r="C135">
        <v>2045</v>
      </c>
      <c r="D135">
        <v>208</v>
      </c>
      <c r="E135">
        <v>0.23</v>
      </c>
      <c r="F135">
        <v>0.22</v>
      </c>
      <c r="G135">
        <v>0.06</v>
      </c>
      <c r="H135">
        <v>0.16</v>
      </c>
      <c r="I135">
        <v>0.39</v>
      </c>
      <c r="J135">
        <v>0.19</v>
      </c>
      <c r="K135">
        <v>0.25</v>
      </c>
      <c r="L135" t="s">
        <v>6</v>
      </c>
      <c r="M135" t="s">
        <v>18</v>
      </c>
    </row>
    <row r="136" spans="1:13" x14ac:dyDescent="0.45">
      <c r="A136" t="s">
        <v>5</v>
      </c>
      <c r="B136" t="s">
        <v>143</v>
      </c>
      <c r="C136">
        <v>2050</v>
      </c>
      <c r="D136">
        <v>231</v>
      </c>
      <c r="E136">
        <v>0.24</v>
      </c>
      <c r="F136">
        <v>0.24</v>
      </c>
      <c r="G136">
        <v>7.0000000000000007E-2</v>
      </c>
      <c r="H136">
        <v>0.13</v>
      </c>
      <c r="I136">
        <v>0.39</v>
      </c>
      <c r="J136">
        <v>0.17</v>
      </c>
      <c r="K136">
        <v>0.28000000000000003</v>
      </c>
      <c r="L136" t="s">
        <v>6</v>
      </c>
      <c r="M136" t="s">
        <v>18</v>
      </c>
    </row>
    <row r="137" spans="1:13" x14ac:dyDescent="0.45">
      <c r="A137" t="s">
        <v>7</v>
      </c>
      <c r="B137" t="s">
        <v>143</v>
      </c>
      <c r="C137">
        <v>2020</v>
      </c>
      <c r="D137">
        <v>87</v>
      </c>
      <c r="E137">
        <v>0.23</v>
      </c>
      <c r="F137">
        <v>0.24</v>
      </c>
      <c r="G137">
        <v>0.02</v>
      </c>
      <c r="H137">
        <v>0.2</v>
      </c>
      <c r="I137">
        <v>0.27</v>
      </c>
      <c r="J137">
        <v>0.22</v>
      </c>
      <c r="K137">
        <v>0.25</v>
      </c>
      <c r="L137" t="s">
        <v>8</v>
      </c>
      <c r="M137" t="s">
        <v>18</v>
      </c>
    </row>
    <row r="138" spans="1:13" x14ac:dyDescent="0.45">
      <c r="A138" t="s">
        <v>7</v>
      </c>
      <c r="B138" t="s">
        <v>143</v>
      </c>
      <c r="C138">
        <v>2025</v>
      </c>
      <c r="D138">
        <v>81</v>
      </c>
      <c r="E138">
        <v>0.23</v>
      </c>
      <c r="F138">
        <v>0.23</v>
      </c>
      <c r="G138">
        <v>0.02</v>
      </c>
      <c r="H138">
        <v>0.19</v>
      </c>
      <c r="I138">
        <v>0.3</v>
      </c>
      <c r="J138">
        <v>0.22</v>
      </c>
      <c r="K138">
        <v>0.25</v>
      </c>
      <c r="L138" t="s">
        <v>8</v>
      </c>
      <c r="M138" t="s">
        <v>18</v>
      </c>
    </row>
    <row r="139" spans="1:13" x14ac:dyDescent="0.45">
      <c r="A139" t="s">
        <v>7</v>
      </c>
      <c r="B139" t="s">
        <v>143</v>
      </c>
      <c r="C139">
        <v>2030</v>
      </c>
      <c r="D139">
        <v>87</v>
      </c>
      <c r="E139">
        <v>0.23</v>
      </c>
      <c r="F139">
        <v>0.23</v>
      </c>
      <c r="G139">
        <v>0.03</v>
      </c>
      <c r="H139">
        <v>0.19</v>
      </c>
      <c r="I139">
        <v>0.31</v>
      </c>
      <c r="J139">
        <v>0.21</v>
      </c>
      <c r="K139">
        <v>0.25</v>
      </c>
      <c r="L139" t="s">
        <v>8</v>
      </c>
      <c r="M139" t="s">
        <v>18</v>
      </c>
    </row>
    <row r="140" spans="1:13" x14ac:dyDescent="0.45">
      <c r="A140" t="s">
        <v>7</v>
      </c>
      <c r="B140" t="s">
        <v>143</v>
      </c>
      <c r="C140">
        <v>2035</v>
      </c>
      <c r="D140">
        <v>81</v>
      </c>
      <c r="E140">
        <v>0.24</v>
      </c>
      <c r="F140">
        <v>0.23</v>
      </c>
      <c r="G140">
        <v>0.03</v>
      </c>
      <c r="H140">
        <v>0.17</v>
      </c>
      <c r="I140">
        <v>0.32</v>
      </c>
      <c r="J140">
        <v>0.22</v>
      </c>
      <c r="K140">
        <v>0.26</v>
      </c>
      <c r="L140" t="s">
        <v>8</v>
      </c>
      <c r="M140" t="s">
        <v>18</v>
      </c>
    </row>
    <row r="141" spans="1:13" x14ac:dyDescent="0.45">
      <c r="A141" t="s">
        <v>7</v>
      </c>
      <c r="B141" t="s">
        <v>143</v>
      </c>
      <c r="C141">
        <v>2040</v>
      </c>
      <c r="D141">
        <v>87</v>
      </c>
      <c r="E141">
        <v>0.24</v>
      </c>
      <c r="F141">
        <v>0.23</v>
      </c>
      <c r="G141">
        <v>0.04</v>
      </c>
      <c r="H141">
        <v>0.19</v>
      </c>
      <c r="I141">
        <v>0.35</v>
      </c>
      <c r="J141">
        <v>0.2</v>
      </c>
      <c r="K141">
        <v>0.27</v>
      </c>
      <c r="L141" t="s">
        <v>8</v>
      </c>
      <c r="M141" t="s">
        <v>18</v>
      </c>
    </row>
    <row r="142" spans="1:13" x14ac:dyDescent="0.45">
      <c r="A142" t="s">
        <v>7</v>
      </c>
      <c r="B142" t="s">
        <v>143</v>
      </c>
      <c r="C142">
        <v>2045</v>
      </c>
      <c r="D142">
        <v>81</v>
      </c>
      <c r="E142">
        <v>0.23</v>
      </c>
      <c r="F142">
        <v>0.22</v>
      </c>
      <c r="G142">
        <v>0.05</v>
      </c>
      <c r="H142">
        <v>0.18</v>
      </c>
      <c r="I142">
        <v>0.36</v>
      </c>
      <c r="J142">
        <v>0.19</v>
      </c>
      <c r="K142">
        <v>0.28000000000000003</v>
      </c>
      <c r="L142" t="s">
        <v>8</v>
      </c>
      <c r="M142" t="s">
        <v>18</v>
      </c>
    </row>
    <row r="143" spans="1:13" x14ac:dyDescent="0.45">
      <c r="A143" t="s">
        <v>7</v>
      </c>
      <c r="B143" t="s">
        <v>143</v>
      </c>
      <c r="C143">
        <v>2050</v>
      </c>
      <c r="D143">
        <v>87</v>
      </c>
      <c r="E143">
        <v>0.23</v>
      </c>
      <c r="F143">
        <v>0.22</v>
      </c>
      <c r="G143">
        <v>0.06</v>
      </c>
      <c r="H143">
        <v>0.16</v>
      </c>
      <c r="I143">
        <v>0.38</v>
      </c>
      <c r="J143">
        <v>0.17</v>
      </c>
      <c r="K143">
        <v>0.26</v>
      </c>
      <c r="L143" t="s">
        <v>8</v>
      </c>
      <c r="M143" t="s">
        <v>18</v>
      </c>
    </row>
    <row r="144" spans="1:13" x14ac:dyDescent="0.45">
      <c r="A144" t="s">
        <v>9</v>
      </c>
      <c r="B144" t="s">
        <v>143</v>
      </c>
      <c r="C144">
        <v>2020</v>
      </c>
      <c r="D144">
        <v>61</v>
      </c>
      <c r="E144">
        <v>0.23</v>
      </c>
      <c r="F144">
        <v>0.22</v>
      </c>
      <c r="G144">
        <v>0.03</v>
      </c>
      <c r="H144">
        <v>0.2</v>
      </c>
      <c r="I144">
        <v>0.3</v>
      </c>
      <c r="J144">
        <v>0.21</v>
      </c>
      <c r="K144">
        <v>0.25</v>
      </c>
      <c r="L144" t="s">
        <v>10</v>
      </c>
      <c r="M144" t="s">
        <v>18</v>
      </c>
    </row>
    <row r="145" spans="1:13" x14ac:dyDescent="0.45">
      <c r="A145" t="s">
        <v>9</v>
      </c>
      <c r="B145" t="s">
        <v>143</v>
      </c>
      <c r="C145">
        <v>2025</v>
      </c>
      <c r="D145">
        <v>56</v>
      </c>
      <c r="E145">
        <v>0.22</v>
      </c>
      <c r="F145">
        <v>0.22</v>
      </c>
      <c r="G145">
        <v>0.03</v>
      </c>
      <c r="H145">
        <v>0.19</v>
      </c>
      <c r="I145">
        <v>0.28000000000000003</v>
      </c>
      <c r="J145">
        <v>0.2</v>
      </c>
      <c r="K145">
        <v>0.25</v>
      </c>
      <c r="L145" t="s">
        <v>10</v>
      </c>
      <c r="M145" t="s">
        <v>18</v>
      </c>
    </row>
    <row r="146" spans="1:13" x14ac:dyDescent="0.45">
      <c r="A146" t="s">
        <v>9</v>
      </c>
      <c r="B146" t="s">
        <v>143</v>
      </c>
      <c r="C146">
        <v>2030</v>
      </c>
      <c r="D146">
        <v>61</v>
      </c>
      <c r="E146">
        <v>0.23</v>
      </c>
      <c r="F146">
        <v>0.23</v>
      </c>
      <c r="G146">
        <v>0.03</v>
      </c>
      <c r="H146">
        <v>0.18</v>
      </c>
      <c r="I146">
        <v>0.3</v>
      </c>
      <c r="J146">
        <v>0.19</v>
      </c>
      <c r="K146">
        <v>0.25</v>
      </c>
      <c r="L146" t="s">
        <v>10</v>
      </c>
      <c r="M146" t="s">
        <v>18</v>
      </c>
    </row>
    <row r="147" spans="1:13" x14ac:dyDescent="0.45">
      <c r="A147" t="s">
        <v>9</v>
      </c>
      <c r="B147" t="s">
        <v>143</v>
      </c>
      <c r="C147">
        <v>2035</v>
      </c>
      <c r="D147">
        <v>56</v>
      </c>
      <c r="E147">
        <v>0.23</v>
      </c>
      <c r="F147">
        <v>0.22</v>
      </c>
      <c r="G147">
        <v>0.04</v>
      </c>
      <c r="H147">
        <v>0.18</v>
      </c>
      <c r="I147">
        <v>0.32</v>
      </c>
      <c r="J147">
        <v>0.19</v>
      </c>
      <c r="K147">
        <v>0.26</v>
      </c>
      <c r="L147" t="s">
        <v>10</v>
      </c>
      <c r="M147" t="s">
        <v>18</v>
      </c>
    </row>
    <row r="148" spans="1:13" x14ac:dyDescent="0.45">
      <c r="A148" t="s">
        <v>9</v>
      </c>
      <c r="B148" t="s">
        <v>143</v>
      </c>
      <c r="C148">
        <v>2040</v>
      </c>
      <c r="D148">
        <v>61</v>
      </c>
      <c r="E148">
        <v>0.23</v>
      </c>
      <c r="F148">
        <v>0.22</v>
      </c>
      <c r="G148">
        <v>0.04</v>
      </c>
      <c r="H148">
        <v>0.18</v>
      </c>
      <c r="I148">
        <v>0.33</v>
      </c>
      <c r="J148">
        <v>0.2</v>
      </c>
      <c r="K148">
        <v>0.26</v>
      </c>
      <c r="L148" t="s">
        <v>10</v>
      </c>
      <c r="M148" t="s">
        <v>18</v>
      </c>
    </row>
    <row r="149" spans="1:13" x14ac:dyDescent="0.45">
      <c r="A149" t="s">
        <v>9</v>
      </c>
      <c r="B149" t="s">
        <v>143</v>
      </c>
      <c r="C149">
        <v>2045</v>
      </c>
      <c r="D149">
        <v>56</v>
      </c>
      <c r="E149">
        <v>0.23</v>
      </c>
      <c r="F149">
        <v>0.22</v>
      </c>
      <c r="G149">
        <v>0.04</v>
      </c>
      <c r="H149">
        <v>0.18</v>
      </c>
      <c r="I149">
        <v>0.35</v>
      </c>
      <c r="J149">
        <v>0.2</v>
      </c>
      <c r="K149">
        <v>0.25</v>
      </c>
      <c r="L149" t="s">
        <v>10</v>
      </c>
      <c r="M149" t="s">
        <v>18</v>
      </c>
    </row>
    <row r="150" spans="1:13" x14ac:dyDescent="0.45">
      <c r="A150" t="s">
        <v>9</v>
      </c>
      <c r="B150" t="s">
        <v>143</v>
      </c>
      <c r="C150">
        <v>2050</v>
      </c>
      <c r="D150">
        <v>61</v>
      </c>
      <c r="E150">
        <v>0.22</v>
      </c>
      <c r="F150">
        <v>0.22</v>
      </c>
      <c r="G150">
        <v>0.04</v>
      </c>
      <c r="H150">
        <v>0.17</v>
      </c>
      <c r="I150">
        <v>0.36</v>
      </c>
      <c r="J150">
        <v>0.2</v>
      </c>
      <c r="K150">
        <v>0.25</v>
      </c>
      <c r="L150" t="s">
        <v>10</v>
      </c>
      <c r="M150" t="s">
        <v>18</v>
      </c>
    </row>
    <row r="151" spans="1:13" x14ac:dyDescent="0.45">
      <c r="A151" t="s">
        <v>0</v>
      </c>
      <c r="B151" t="s">
        <v>143</v>
      </c>
      <c r="C151">
        <v>2020</v>
      </c>
      <c r="D151">
        <v>59</v>
      </c>
      <c r="E151">
        <v>0.77</v>
      </c>
      <c r="F151">
        <v>0.78</v>
      </c>
      <c r="G151">
        <v>0.03</v>
      </c>
      <c r="H151">
        <v>0.7</v>
      </c>
      <c r="I151">
        <v>0.79</v>
      </c>
      <c r="J151">
        <v>0.75</v>
      </c>
      <c r="K151">
        <v>0.79</v>
      </c>
      <c r="L151" t="s">
        <v>1</v>
      </c>
      <c r="M151" t="s">
        <v>21</v>
      </c>
    </row>
    <row r="152" spans="1:13" x14ac:dyDescent="0.45">
      <c r="A152" t="s">
        <v>0</v>
      </c>
      <c r="B152" t="s">
        <v>143</v>
      </c>
      <c r="C152">
        <v>2025</v>
      </c>
      <c r="D152">
        <v>59</v>
      </c>
      <c r="E152">
        <v>0.76</v>
      </c>
      <c r="F152">
        <v>0.77</v>
      </c>
      <c r="G152">
        <v>0.04</v>
      </c>
      <c r="H152">
        <v>0.68</v>
      </c>
      <c r="I152">
        <v>0.8</v>
      </c>
      <c r="J152">
        <v>0.72</v>
      </c>
      <c r="K152">
        <v>0.79</v>
      </c>
      <c r="L152" t="s">
        <v>1</v>
      </c>
      <c r="M152" t="s">
        <v>21</v>
      </c>
    </row>
    <row r="153" spans="1:13" x14ac:dyDescent="0.45">
      <c r="A153" t="s">
        <v>0</v>
      </c>
      <c r="B153" t="s">
        <v>143</v>
      </c>
      <c r="C153">
        <v>2030</v>
      </c>
      <c r="D153">
        <v>59</v>
      </c>
      <c r="E153">
        <v>0.73</v>
      </c>
      <c r="F153">
        <v>0.74</v>
      </c>
      <c r="G153">
        <v>0.05</v>
      </c>
      <c r="H153">
        <v>0.59</v>
      </c>
      <c r="I153">
        <v>0.78</v>
      </c>
      <c r="J153">
        <v>0.7</v>
      </c>
      <c r="K153">
        <v>0.77</v>
      </c>
      <c r="L153" t="s">
        <v>1</v>
      </c>
      <c r="M153" t="s">
        <v>21</v>
      </c>
    </row>
    <row r="154" spans="1:13" x14ac:dyDescent="0.45">
      <c r="A154" t="s">
        <v>0</v>
      </c>
      <c r="B154" t="s">
        <v>143</v>
      </c>
      <c r="C154">
        <v>2035</v>
      </c>
      <c r="D154">
        <v>59</v>
      </c>
      <c r="E154">
        <v>0.68</v>
      </c>
      <c r="F154">
        <v>0.7</v>
      </c>
      <c r="G154">
        <v>0.06</v>
      </c>
      <c r="H154">
        <v>0.56000000000000005</v>
      </c>
      <c r="I154">
        <v>0.76</v>
      </c>
      <c r="J154">
        <v>0.66</v>
      </c>
      <c r="K154">
        <v>0.73</v>
      </c>
      <c r="L154" t="s">
        <v>1</v>
      </c>
      <c r="M154" t="s">
        <v>21</v>
      </c>
    </row>
    <row r="155" spans="1:13" x14ac:dyDescent="0.45">
      <c r="A155" t="s">
        <v>0</v>
      </c>
      <c r="B155" t="s">
        <v>143</v>
      </c>
      <c r="C155">
        <v>2040</v>
      </c>
      <c r="D155">
        <v>59</v>
      </c>
      <c r="E155">
        <v>0.64</v>
      </c>
      <c r="F155">
        <v>0.65</v>
      </c>
      <c r="G155">
        <v>0.05</v>
      </c>
      <c r="H155">
        <v>0.51</v>
      </c>
      <c r="I155">
        <v>0.71</v>
      </c>
      <c r="J155">
        <v>0.62</v>
      </c>
      <c r="K155">
        <v>0.68</v>
      </c>
      <c r="L155" t="s">
        <v>1</v>
      </c>
      <c r="M155" t="s">
        <v>21</v>
      </c>
    </row>
    <row r="156" spans="1:13" x14ac:dyDescent="0.45">
      <c r="A156" t="s">
        <v>0</v>
      </c>
      <c r="B156" t="s">
        <v>143</v>
      </c>
      <c r="C156">
        <v>2045</v>
      </c>
      <c r="D156">
        <v>59</v>
      </c>
      <c r="E156">
        <v>0.61</v>
      </c>
      <c r="F156">
        <v>0.61</v>
      </c>
      <c r="G156">
        <v>0.05</v>
      </c>
      <c r="H156">
        <v>0.48</v>
      </c>
      <c r="I156">
        <v>0.68</v>
      </c>
      <c r="J156">
        <v>0.57999999999999996</v>
      </c>
      <c r="K156">
        <v>0.64</v>
      </c>
      <c r="L156" t="s">
        <v>1</v>
      </c>
      <c r="M156" t="s">
        <v>21</v>
      </c>
    </row>
    <row r="157" spans="1:13" x14ac:dyDescent="0.45">
      <c r="A157" t="s">
        <v>0</v>
      </c>
      <c r="B157" t="s">
        <v>143</v>
      </c>
      <c r="C157">
        <v>2050</v>
      </c>
      <c r="D157">
        <v>59</v>
      </c>
      <c r="E157">
        <v>0.56999999999999995</v>
      </c>
      <c r="F157">
        <v>0.56999999999999995</v>
      </c>
      <c r="G157">
        <v>0.05</v>
      </c>
      <c r="H157">
        <v>0.47</v>
      </c>
      <c r="I157">
        <v>0.67</v>
      </c>
      <c r="J157">
        <v>0.55000000000000004</v>
      </c>
      <c r="K157">
        <v>0.59</v>
      </c>
      <c r="L157" t="s">
        <v>1</v>
      </c>
      <c r="M157" t="s">
        <v>21</v>
      </c>
    </row>
    <row r="158" spans="1:13" x14ac:dyDescent="0.45">
      <c r="A158" t="s">
        <v>2</v>
      </c>
      <c r="B158" t="s">
        <v>143</v>
      </c>
      <c r="C158">
        <v>2020</v>
      </c>
      <c r="D158">
        <v>96</v>
      </c>
      <c r="E158">
        <v>0.77</v>
      </c>
      <c r="F158">
        <v>0.78</v>
      </c>
      <c r="G158">
        <v>0.03</v>
      </c>
      <c r="H158">
        <v>0.7</v>
      </c>
      <c r="I158">
        <v>0.8</v>
      </c>
      <c r="J158">
        <v>0.75</v>
      </c>
      <c r="K158">
        <v>0.79</v>
      </c>
      <c r="L158" t="s">
        <v>3</v>
      </c>
      <c r="M158" t="s">
        <v>21</v>
      </c>
    </row>
    <row r="159" spans="1:13" x14ac:dyDescent="0.45">
      <c r="A159" t="s">
        <v>2</v>
      </c>
      <c r="B159" t="s">
        <v>143</v>
      </c>
      <c r="C159">
        <v>2025</v>
      </c>
      <c r="D159">
        <v>85</v>
      </c>
      <c r="E159">
        <v>0.76</v>
      </c>
      <c r="F159">
        <v>0.76</v>
      </c>
      <c r="G159">
        <v>0.03</v>
      </c>
      <c r="H159">
        <v>0.68</v>
      </c>
      <c r="I159">
        <v>0.8</v>
      </c>
      <c r="J159">
        <v>0.73</v>
      </c>
      <c r="K159">
        <v>0.77</v>
      </c>
      <c r="L159" t="s">
        <v>3</v>
      </c>
      <c r="M159" t="s">
        <v>21</v>
      </c>
    </row>
    <row r="160" spans="1:13" x14ac:dyDescent="0.45">
      <c r="A160" t="s">
        <v>2</v>
      </c>
      <c r="B160" t="s">
        <v>143</v>
      </c>
      <c r="C160">
        <v>2030</v>
      </c>
      <c r="D160">
        <v>96</v>
      </c>
      <c r="E160">
        <v>0.74</v>
      </c>
      <c r="F160">
        <v>0.75</v>
      </c>
      <c r="G160">
        <v>0.04</v>
      </c>
      <c r="H160">
        <v>0.64</v>
      </c>
      <c r="I160">
        <v>0.79</v>
      </c>
      <c r="J160">
        <v>0.72</v>
      </c>
      <c r="K160">
        <v>0.77</v>
      </c>
      <c r="L160" t="s">
        <v>3</v>
      </c>
      <c r="M160" t="s">
        <v>21</v>
      </c>
    </row>
    <row r="161" spans="1:13" x14ac:dyDescent="0.45">
      <c r="A161" t="s">
        <v>2</v>
      </c>
      <c r="B161" t="s">
        <v>143</v>
      </c>
      <c r="C161">
        <v>2035</v>
      </c>
      <c r="D161">
        <v>85</v>
      </c>
      <c r="E161">
        <v>0.7</v>
      </c>
      <c r="F161">
        <v>0.71</v>
      </c>
      <c r="G161">
        <v>0.04</v>
      </c>
      <c r="H161">
        <v>0.57999999999999996</v>
      </c>
      <c r="I161">
        <v>0.76</v>
      </c>
      <c r="J161">
        <v>0.68</v>
      </c>
      <c r="K161">
        <v>0.73</v>
      </c>
      <c r="L161" t="s">
        <v>3</v>
      </c>
      <c r="M161" t="s">
        <v>21</v>
      </c>
    </row>
    <row r="162" spans="1:13" x14ac:dyDescent="0.45">
      <c r="A162" t="s">
        <v>2</v>
      </c>
      <c r="B162" t="s">
        <v>143</v>
      </c>
      <c r="C162">
        <v>2040</v>
      </c>
      <c r="D162">
        <v>96</v>
      </c>
      <c r="E162">
        <v>0.66</v>
      </c>
      <c r="F162">
        <v>0.67</v>
      </c>
      <c r="G162">
        <v>0.05</v>
      </c>
      <c r="H162">
        <v>0.53</v>
      </c>
      <c r="I162">
        <v>0.75</v>
      </c>
      <c r="J162">
        <v>0.64</v>
      </c>
      <c r="K162">
        <v>0.69</v>
      </c>
      <c r="L162" t="s">
        <v>3</v>
      </c>
      <c r="M162" t="s">
        <v>21</v>
      </c>
    </row>
    <row r="163" spans="1:13" x14ac:dyDescent="0.45">
      <c r="A163" t="s">
        <v>2</v>
      </c>
      <c r="B163" t="s">
        <v>143</v>
      </c>
      <c r="C163">
        <v>2045</v>
      </c>
      <c r="D163">
        <v>85</v>
      </c>
      <c r="E163">
        <v>0.63</v>
      </c>
      <c r="F163">
        <v>0.63</v>
      </c>
      <c r="G163">
        <v>0.05</v>
      </c>
      <c r="H163">
        <v>0.48</v>
      </c>
      <c r="I163">
        <v>0.75</v>
      </c>
      <c r="J163">
        <v>0.6</v>
      </c>
      <c r="K163">
        <v>0.65</v>
      </c>
      <c r="L163" t="s">
        <v>3</v>
      </c>
      <c r="M163" t="s">
        <v>21</v>
      </c>
    </row>
    <row r="164" spans="1:13" x14ac:dyDescent="0.45">
      <c r="A164" t="s">
        <v>2</v>
      </c>
      <c r="B164" t="s">
        <v>143</v>
      </c>
      <c r="C164">
        <v>2050</v>
      </c>
      <c r="D164">
        <v>96</v>
      </c>
      <c r="E164">
        <v>0.59</v>
      </c>
      <c r="F164">
        <v>0.57999999999999996</v>
      </c>
      <c r="G164">
        <v>0.06</v>
      </c>
      <c r="H164">
        <v>0.43</v>
      </c>
      <c r="I164">
        <v>0.77</v>
      </c>
      <c r="J164">
        <v>0.56000000000000005</v>
      </c>
      <c r="K164">
        <v>0.62</v>
      </c>
      <c r="L164" t="s">
        <v>3</v>
      </c>
      <c r="M164" t="s">
        <v>21</v>
      </c>
    </row>
    <row r="165" spans="1:13" x14ac:dyDescent="0.45">
      <c r="A165" t="s">
        <v>5</v>
      </c>
      <c r="B165" t="s">
        <v>143</v>
      </c>
      <c r="C165">
        <v>2020</v>
      </c>
      <c r="D165">
        <v>208</v>
      </c>
      <c r="E165">
        <v>0.76</v>
      </c>
      <c r="F165">
        <v>0.76</v>
      </c>
      <c r="G165">
        <v>0.03</v>
      </c>
      <c r="H165">
        <v>0.69</v>
      </c>
      <c r="I165">
        <v>0.8</v>
      </c>
      <c r="J165">
        <v>0.74</v>
      </c>
      <c r="K165">
        <v>0.79</v>
      </c>
      <c r="L165" t="s">
        <v>6</v>
      </c>
      <c r="M165" t="s">
        <v>21</v>
      </c>
    </row>
    <row r="166" spans="1:13" x14ac:dyDescent="0.45">
      <c r="A166" t="s">
        <v>5</v>
      </c>
      <c r="B166" t="s">
        <v>143</v>
      </c>
      <c r="C166">
        <v>2025</v>
      </c>
      <c r="D166">
        <v>185</v>
      </c>
      <c r="E166">
        <v>0.76</v>
      </c>
      <c r="F166">
        <v>0.77</v>
      </c>
      <c r="G166">
        <v>0.03</v>
      </c>
      <c r="H166">
        <v>0.68</v>
      </c>
      <c r="I166">
        <v>0.8</v>
      </c>
      <c r="J166">
        <v>0.73</v>
      </c>
      <c r="K166">
        <v>0.79</v>
      </c>
      <c r="L166" t="s">
        <v>6</v>
      </c>
      <c r="M166" t="s">
        <v>21</v>
      </c>
    </row>
    <row r="167" spans="1:13" x14ac:dyDescent="0.45">
      <c r="A167" t="s">
        <v>5</v>
      </c>
      <c r="B167" t="s">
        <v>143</v>
      </c>
      <c r="C167">
        <v>2030</v>
      </c>
      <c r="D167">
        <v>208</v>
      </c>
      <c r="E167">
        <v>0.74</v>
      </c>
      <c r="F167">
        <v>0.75</v>
      </c>
      <c r="G167">
        <v>0.04</v>
      </c>
      <c r="H167">
        <v>0.63</v>
      </c>
      <c r="I167">
        <v>0.79</v>
      </c>
      <c r="J167">
        <v>0.73</v>
      </c>
      <c r="K167">
        <v>0.77</v>
      </c>
      <c r="L167" t="s">
        <v>6</v>
      </c>
      <c r="M167" t="s">
        <v>21</v>
      </c>
    </row>
    <row r="168" spans="1:13" x14ac:dyDescent="0.45">
      <c r="A168" t="s">
        <v>5</v>
      </c>
      <c r="B168" t="s">
        <v>143</v>
      </c>
      <c r="C168">
        <v>2035</v>
      </c>
      <c r="D168">
        <v>185</v>
      </c>
      <c r="E168">
        <v>0.71</v>
      </c>
      <c r="F168">
        <v>0.71</v>
      </c>
      <c r="G168">
        <v>0.04</v>
      </c>
      <c r="H168">
        <v>0.56999999999999995</v>
      </c>
      <c r="I168">
        <v>0.78</v>
      </c>
      <c r="J168">
        <v>0.69</v>
      </c>
      <c r="K168">
        <v>0.74</v>
      </c>
      <c r="L168" t="s">
        <v>6</v>
      </c>
      <c r="M168" t="s">
        <v>21</v>
      </c>
    </row>
    <row r="169" spans="1:13" x14ac:dyDescent="0.45">
      <c r="A169" t="s">
        <v>5</v>
      </c>
      <c r="B169" t="s">
        <v>143</v>
      </c>
      <c r="C169">
        <v>2040</v>
      </c>
      <c r="D169">
        <v>208</v>
      </c>
      <c r="E169">
        <v>0.68</v>
      </c>
      <c r="F169">
        <v>0.69</v>
      </c>
      <c r="G169">
        <v>0.05</v>
      </c>
      <c r="H169">
        <v>0.51</v>
      </c>
      <c r="I169">
        <v>0.77</v>
      </c>
      <c r="J169">
        <v>0.66</v>
      </c>
      <c r="K169">
        <v>0.72</v>
      </c>
      <c r="L169" t="s">
        <v>6</v>
      </c>
      <c r="M169" t="s">
        <v>21</v>
      </c>
    </row>
    <row r="170" spans="1:13" x14ac:dyDescent="0.45">
      <c r="A170" t="s">
        <v>5</v>
      </c>
      <c r="B170" t="s">
        <v>143</v>
      </c>
      <c r="C170">
        <v>2045</v>
      </c>
      <c r="D170">
        <v>185</v>
      </c>
      <c r="E170">
        <v>0.64</v>
      </c>
      <c r="F170">
        <v>0.64</v>
      </c>
      <c r="G170">
        <v>0.05</v>
      </c>
      <c r="H170">
        <v>0.48</v>
      </c>
      <c r="I170">
        <v>0.77</v>
      </c>
      <c r="J170">
        <v>0.6</v>
      </c>
      <c r="K170">
        <v>0.67</v>
      </c>
      <c r="L170" t="s">
        <v>6</v>
      </c>
      <c r="M170" t="s">
        <v>21</v>
      </c>
    </row>
    <row r="171" spans="1:13" x14ac:dyDescent="0.45">
      <c r="A171" t="s">
        <v>5</v>
      </c>
      <c r="B171" t="s">
        <v>143</v>
      </c>
      <c r="C171">
        <v>2050</v>
      </c>
      <c r="D171">
        <v>208</v>
      </c>
      <c r="E171">
        <v>0.61</v>
      </c>
      <c r="F171">
        <v>0.6</v>
      </c>
      <c r="G171">
        <v>0.06</v>
      </c>
      <c r="H171">
        <v>0.46</v>
      </c>
      <c r="I171">
        <v>0.8</v>
      </c>
      <c r="J171">
        <v>0.56999999999999995</v>
      </c>
      <c r="K171">
        <v>0.64</v>
      </c>
      <c r="L171" t="s">
        <v>6</v>
      </c>
      <c r="M171" t="s">
        <v>21</v>
      </c>
    </row>
    <row r="172" spans="1:13" x14ac:dyDescent="0.45">
      <c r="A172" t="s">
        <v>7</v>
      </c>
      <c r="B172" t="s">
        <v>143</v>
      </c>
      <c r="C172">
        <v>2020</v>
      </c>
      <c r="D172">
        <v>87</v>
      </c>
      <c r="E172">
        <v>0.76</v>
      </c>
      <c r="F172">
        <v>0.76</v>
      </c>
      <c r="G172">
        <v>0.02</v>
      </c>
      <c r="H172">
        <v>0.72</v>
      </c>
      <c r="I172">
        <v>0.79</v>
      </c>
      <c r="J172">
        <v>0.75</v>
      </c>
      <c r="K172">
        <v>0.78</v>
      </c>
      <c r="L172" t="s">
        <v>8</v>
      </c>
      <c r="M172" t="s">
        <v>21</v>
      </c>
    </row>
    <row r="173" spans="1:13" x14ac:dyDescent="0.45">
      <c r="A173" t="s">
        <v>7</v>
      </c>
      <c r="B173" t="s">
        <v>143</v>
      </c>
      <c r="C173">
        <v>2025</v>
      </c>
      <c r="D173">
        <v>81</v>
      </c>
      <c r="E173">
        <v>0.75</v>
      </c>
      <c r="F173">
        <v>0.75</v>
      </c>
      <c r="G173">
        <v>0.02</v>
      </c>
      <c r="H173">
        <v>0.7</v>
      </c>
      <c r="I173">
        <v>0.79</v>
      </c>
      <c r="J173">
        <v>0.73</v>
      </c>
      <c r="K173">
        <v>0.77</v>
      </c>
      <c r="L173" t="s">
        <v>8</v>
      </c>
      <c r="M173" t="s">
        <v>21</v>
      </c>
    </row>
    <row r="174" spans="1:13" x14ac:dyDescent="0.45">
      <c r="A174" t="s">
        <v>7</v>
      </c>
      <c r="B174" t="s">
        <v>143</v>
      </c>
      <c r="C174">
        <v>2030</v>
      </c>
      <c r="D174">
        <v>87</v>
      </c>
      <c r="E174">
        <v>0.74</v>
      </c>
      <c r="F174">
        <v>0.75</v>
      </c>
      <c r="G174">
        <v>0.03</v>
      </c>
      <c r="H174">
        <v>0.68</v>
      </c>
      <c r="I174">
        <v>0.79</v>
      </c>
      <c r="J174">
        <v>0.72</v>
      </c>
      <c r="K174">
        <v>0.77</v>
      </c>
      <c r="L174" t="s">
        <v>8</v>
      </c>
      <c r="M174" t="s">
        <v>21</v>
      </c>
    </row>
    <row r="175" spans="1:13" x14ac:dyDescent="0.45">
      <c r="A175" t="s">
        <v>7</v>
      </c>
      <c r="B175" t="s">
        <v>143</v>
      </c>
      <c r="C175">
        <v>2035</v>
      </c>
      <c r="D175">
        <v>81</v>
      </c>
      <c r="E175">
        <v>0.72</v>
      </c>
      <c r="F175">
        <v>0.71</v>
      </c>
      <c r="G175">
        <v>0.03</v>
      </c>
      <c r="H175">
        <v>0.66</v>
      </c>
      <c r="I175">
        <v>0.76</v>
      </c>
      <c r="J175">
        <v>0.7</v>
      </c>
      <c r="K175">
        <v>0.74</v>
      </c>
      <c r="L175" t="s">
        <v>8</v>
      </c>
      <c r="M175" t="s">
        <v>21</v>
      </c>
    </row>
    <row r="176" spans="1:13" x14ac:dyDescent="0.45">
      <c r="A176" t="s">
        <v>7</v>
      </c>
      <c r="B176" t="s">
        <v>143</v>
      </c>
      <c r="C176">
        <v>2040</v>
      </c>
      <c r="D176">
        <v>87</v>
      </c>
      <c r="E176">
        <v>0.7</v>
      </c>
      <c r="F176">
        <v>0.7</v>
      </c>
      <c r="G176">
        <v>0.04</v>
      </c>
      <c r="H176">
        <v>0.62</v>
      </c>
      <c r="I176">
        <v>0.77</v>
      </c>
      <c r="J176">
        <v>0.68</v>
      </c>
      <c r="K176">
        <v>0.74</v>
      </c>
      <c r="L176" t="s">
        <v>8</v>
      </c>
      <c r="M176" t="s">
        <v>21</v>
      </c>
    </row>
    <row r="177" spans="1:13" x14ac:dyDescent="0.45">
      <c r="A177" t="s">
        <v>7</v>
      </c>
      <c r="B177" t="s">
        <v>143</v>
      </c>
      <c r="C177">
        <v>2045</v>
      </c>
      <c r="D177">
        <v>81</v>
      </c>
      <c r="E177">
        <v>0.67</v>
      </c>
      <c r="F177">
        <v>0.66</v>
      </c>
      <c r="G177">
        <v>0.06</v>
      </c>
      <c r="H177">
        <v>0.57999999999999996</v>
      </c>
      <c r="I177">
        <v>0.78</v>
      </c>
      <c r="J177">
        <v>0.63</v>
      </c>
      <c r="K177">
        <v>0.72</v>
      </c>
      <c r="L177" t="s">
        <v>8</v>
      </c>
      <c r="M177" t="s">
        <v>21</v>
      </c>
    </row>
    <row r="178" spans="1:13" x14ac:dyDescent="0.45">
      <c r="A178" t="s">
        <v>7</v>
      </c>
      <c r="B178" t="s">
        <v>143</v>
      </c>
      <c r="C178">
        <v>2050</v>
      </c>
      <c r="D178">
        <v>87</v>
      </c>
      <c r="E178">
        <v>0.65</v>
      </c>
      <c r="F178">
        <v>0.64</v>
      </c>
      <c r="G178">
        <v>7.0000000000000007E-2</v>
      </c>
      <c r="H178">
        <v>0.54</v>
      </c>
      <c r="I178">
        <v>0.79</v>
      </c>
      <c r="J178">
        <v>0.59</v>
      </c>
      <c r="K178">
        <v>0.71</v>
      </c>
      <c r="L178" t="s">
        <v>8</v>
      </c>
      <c r="M178" t="s">
        <v>21</v>
      </c>
    </row>
    <row r="179" spans="1:13" x14ac:dyDescent="0.45">
      <c r="A179" t="s">
        <v>9</v>
      </c>
      <c r="B179" t="s">
        <v>143</v>
      </c>
      <c r="C179">
        <v>2020</v>
      </c>
      <c r="D179">
        <v>58</v>
      </c>
      <c r="E179">
        <v>0.76</v>
      </c>
      <c r="F179">
        <v>0.77</v>
      </c>
      <c r="G179">
        <v>0.03</v>
      </c>
      <c r="H179">
        <v>0.69</v>
      </c>
      <c r="I179">
        <v>0.79</v>
      </c>
      <c r="J179">
        <v>0.73</v>
      </c>
      <c r="K179">
        <v>0.79</v>
      </c>
      <c r="L179" t="s">
        <v>10</v>
      </c>
      <c r="M179" t="s">
        <v>21</v>
      </c>
    </row>
    <row r="180" spans="1:13" x14ac:dyDescent="0.45">
      <c r="A180" t="s">
        <v>9</v>
      </c>
      <c r="B180" t="s">
        <v>143</v>
      </c>
      <c r="C180">
        <v>2025</v>
      </c>
      <c r="D180">
        <v>53</v>
      </c>
      <c r="E180">
        <v>0.76</v>
      </c>
      <c r="F180">
        <v>0.77</v>
      </c>
      <c r="G180">
        <v>0.03</v>
      </c>
      <c r="H180">
        <v>0.68</v>
      </c>
      <c r="I180">
        <v>0.8</v>
      </c>
      <c r="J180">
        <v>0.73</v>
      </c>
      <c r="K180">
        <v>0.79</v>
      </c>
      <c r="L180" t="s">
        <v>10</v>
      </c>
      <c r="M180" t="s">
        <v>21</v>
      </c>
    </row>
    <row r="181" spans="1:13" x14ac:dyDescent="0.45">
      <c r="A181" t="s">
        <v>9</v>
      </c>
      <c r="B181" t="s">
        <v>143</v>
      </c>
      <c r="C181">
        <v>2030</v>
      </c>
      <c r="D181">
        <v>58</v>
      </c>
      <c r="E181">
        <v>0.75</v>
      </c>
      <c r="F181">
        <v>0.75</v>
      </c>
      <c r="G181">
        <v>0.04</v>
      </c>
      <c r="H181">
        <v>0.66</v>
      </c>
      <c r="I181">
        <v>0.8</v>
      </c>
      <c r="J181">
        <v>0.73</v>
      </c>
      <c r="K181">
        <v>0.78</v>
      </c>
      <c r="L181" t="s">
        <v>10</v>
      </c>
      <c r="M181" t="s">
        <v>21</v>
      </c>
    </row>
    <row r="182" spans="1:13" x14ac:dyDescent="0.45">
      <c r="A182" t="s">
        <v>9</v>
      </c>
      <c r="B182" t="s">
        <v>143</v>
      </c>
      <c r="C182">
        <v>2035</v>
      </c>
      <c r="D182">
        <v>53</v>
      </c>
      <c r="E182">
        <v>0.73</v>
      </c>
      <c r="F182">
        <v>0.74</v>
      </c>
      <c r="G182">
        <v>0.04</v>
      </c>
      <c r="H182">
        <v>0.63</v>
      </c>
      <c r="I182">
        <v>0.79</v>
      </c>
      <c r="J182">
        <v>0.71</v>
      </c>
      <c r="K182">
        <v>0.76</v>
      </c>
      <c r="L182" t="s">
        <v>10</v>
      </c>
      <c r="M182" t="s">
        <v>21</v>
      </c>
    </row>
    <row r="183" spans="1:13" x14ac:dyDescent="0.45">
      <c r="A183" t="s">
        <v>9</v>
      </c>
      <c r="B183" t="s">
        <v>143</v>
      </c>
      <c r="C183">
        <v>2040</v>
      </c>
      <c r="D183">
        <v>58</v>
      </c>
      <c r="E183">
        <v>0.71</v>
      </c>
      <c r="F183">
        <v>0.73</v>
      </c>
      <c r="G183">
        <v>0.04</v>
      </c>
      <c r="H183">
        <v>0.57999999999999996</v>
      </c>
      <c r="I183">
        <v>0.78</v>
      </c>
      <c r="J183">
        <v>0.68</v>
      </c>
      <c r="K183">
        <v>0.75</v>
      </c>
      <c r="L183" t="s">
        <v>10</v>
      </c>
      <c r="M183" t="s">
        <v>21</v>
      </c>
    </row>
    <row r="184" spans="1:13" x14ac:dyDescent="0.45">
      <c r="A184" t="s">
        <v>9</v>
      </c>
      <c r="B184" t="s">
        <v>143</v>
      </c>
      <c r="C184">
        <v>2045</v>
      </c>
      <c r="D184">
        <v>53</v>
      </c>
      <c r="E184">
        <v>0.69</v>
      </c>
      <c r="F184">
        <v>0.69</v>
      </c>
      <c r="G184">
        <v>0.05</v>
      </c>
      <c r="H184">
        <v>0.54</v>
      </c>
      <c r="I184">
        <v>0.77</v>
      </c>
      <c r="J184">
        <v>0.66</v>
      </c>
      <c r="K184">
        <v>0.74</v>
      </c>
      <c r="L184" t="s">
        <v>10</v>
      </c>
      <c r="M184" t="s">
        <v>21</v>
      </c>
    </row>
    <row r="185" spans="1:13" x14ac:dyDescent="0.45">
      <c r="A185" t="s">
        <v>9</v>
      </c>
      <c r="B185" t="s">
        <v>143</v>
      </c>
      <c r="C185">
        <v>2050</v>
      </c>
      <c r="D185">
        <v>58</v>
      </c>
      <c r="E185">
        <v>0.68</v>
      </c>
      <c r="F185">
        <v>0.66</v>
      </c>
      <c r="G185">
        <v>0.06</v>
      </c>
      <c r="H185">
        <v>0.52</v>
      </c>
      <c r="I185">
        <v>0.76</v>
      </c>
      <c r="J185">
        <v>0.64</v>
      </c>
      <c r="K185">
        <v>0.73</v>
      </c>
      <c r="L185" t="s">
        <v>10</v>
      </c>
      <c r="M185" t="s">
        <v>21</v>
      </c>
    </row>
    <row r="186" spans="1:13" x14ac:dyDescent="0.45">
      <c r="A186" t="s">
        <v>0</v>
      </c>
      <c r="B186" t="s">
        <v>143</v>
      </c>
      <c r="C186">
        <v>2020</v>
      </c>
      <c r="D186">
        <v>63</v>
      </c>
      <c r="E186">
        <v>0.01</v>
      </c>
      <c r="F186">
        <v>0</v>
      </c>
      <c r="G186">
        <v>0.01</v>
      </c>
      <c r="H186">
        <v>0</v>
      </c>
      <c r="I186">
        <v>0.03</v>
      </c>
      <c r="J186">
        <v>0</v>
      </c>
      <c r="K186">
        <v>0.01</v>
      </c>
      <c r="L186" t="s">
        <v>1</v>
      </c>
      <c r="M186" t="s">
        <v>23</v>
      </c>
    </row>
    <row r="187" spans="1:13" x14ac:dyDescent="0.45">
      <c r="A187" t="s">
        <v>0</v>
      </c>
      <c r="B187" t="s">
        <v>143</v>
      </c>
      <c r="C187">
        <v>2025</v>
      </c>
      <c r="D187">
        <v>63</v>
      </c>
      <c r="E187">
        <v>0.02</v>
      </c>
      <c r="F187">
        <v>0.02</v>
      </c>
      <c r="G187">
        <v>0.01</v>
      </c>
      <c r="H187">
        <v>0</v>
      </c>
      <c r="I187">
        <v>0.05</v>
      </c>
      <c r="J187">
        <v>0.01</v>
      </c>
      <c r="K187">
        <v>0.03</v>
      </c>
      <c r="L187" t="s">
        <v>1</v>
      </c>
      <c r="M187" t="s">
        <v>23</v>
      </c>
    </row>
    <row r="188" spans="1:13" x14ac:dyDescent="0.45">
      <c r="A188" t="s">
        <v>0</v>
      </c>
      <c r="B188" t="s">
        <v>143</v>
      </c>
      <c r="C188">
        <v>2030</v>
      </c>
      <c r="D188">
        <v>63</v>
      </c>
      <c r="E188">
        <v>0.05</v>
      </c>
      <c r="F188">
        <v>0.04</v>
      </c>
      <c r="G188">
        <v>0.02</v>
      </c>
      <c r="H188">
        <v>0</v>
      </c>
      <c r="I188">
        <v>0.11</v>
      </c>
      <c r="J188">
        <v>0.03</v>
      </c>
      <c r="K188">
        <v>0.06</v>
      </c>
      <c r="L188" t="s">
        <v>1</v>
      </c>
      <c r="M188" t="s">
        <v>23</v>
      </c>
    </row>
    <row r="189" spans="1:13" x14ac:dyDescent="0.45">
      <c r="A189" t="s">
        <v>0</v>
      </c>
      <c r="B189" t="s">
        <v>143</v>
      </c>
      <c r="C189">
        <v>2035</v>
      </c>
      <c r="D189">
        <v>63</v>
      </c>
      <c r="E189">
        <v>0.08</v>
      </c>
      <c r="F189">
        <v>0.08</v>
      </c>
      <c r="G189">
        <v>0.03</v>
      </c>
      <c r="H189">
        <v>0</v>
      </c>
      <c r="I189">
        <v>0.15</v>
      </c>
      <c r="J189">
        <v>0.06</v>
      </c>
      <c r="K189">
        <v>0.1</v>
      </c>
      <c r="L189" t="s">
        <v>1</v>
      </c>
      <c r="M189" t="s">
        <v>23</v>
      </c>
    </row>
    <row r="190" spans="1:13" x14ac:dyDescent="0.45">
      <c r="A190" t="s">
        <v>0</v>
      </c>
      <c r="B190" t="s">
        <v>143</v>
      </c>
      <c r="C190">
        <v>2040</v>
      </c>
      <c r="D190">
        <v>63</v>
      </c>
      <c r="E190">
        <v>0.11</v>
      </c>
      <c r="F190">
        <v>0.11</v>
      </c>
      <c r="G190">
        <v>0.04</v>
      </c>
      <c r="H190">
        <v>0.01</v>
      </c>
      <c r="I190">
        <v>0.21</v>
      </c>
      <c r="J190">
        <v>0.09</v>
      </c>
      <c r="K190">
        <v>0.13</v>
      </c>
      <c r="L190" t="s">
        <v>1</v>
      </c>
      <c r="M190" t="s">
        <v>23</v>
      </c>
    </row>
    <row r="191" spans="1:13" x14ac:dyDescent="0.45">
      <c r="A191" t="s">
        <v>0</v>
      </c>
      <c r="B191" t="s">
        <v>143</v>
      </c>
      <c r="C191">
        <v>2045</v>
      </c>
      <c r="D191">
        <v>63</v>
      </c>
      <c r="E191">
        <v>0.14000000000000001</v>
      </c>
      <c r="F191">
        <v>0.14000000000000001</v>
      </c>
      <c r="G191">
        <v>0.06</v>
      </c>
      <c r="H191">
        <v>0.02</v>
      </c>
      <c r="I191">
        <v>0.25</v>
      </c>
      <c r="J191">
        <v>0.09</v>
      </c>
      <c r="K191">
        <v>0.18</v>
      </c>
      <c r="L191" t="s">
        <v>1</v>
      </c>
      <c r="M191" t="s">
        <v>23</v>
      </c>
    </row>
    <row r="192" spans="1:13" x14ac:dyDescent="0.45">
      <c r="A192" t="s">
        <v>0</v>
      </c>
      <c r="B192" t="s">
        <v>143</v>
      </c>
      <c r="C192">
        <v>2050</v>
      </c>
      <c r="D192">
        <v>63</v>
      </c>
      <c r="E192">
        <v>0.15</v>
      </c>
      <c r="F192">
        <v>0.16</v>
      </c>
      <c r="G192">
        <v>0.06</v>
      </c>
      <c r="H192">
        <v>0.02</v>
      </c>
      <c r="I192">
        <v>0.27</v>
      </c>
      <c r="J192">
        <v>0.11</v>
      </c>
      <c r="K192">
        <v>0.2</v>
      </c>
      <c r="L192" t="s">
        <v>1</v>
      </c>
      <c r="M192" t="s">
        <v>23</v>
      </c>
    </row>
    <row r="193" spans="1:13" x14ac:dyDescent="0.45">
      <c r="A193" t="s">
        <v>2</v>
      </c>
      <c r="B193" t="s">
        <v>143</v>
      </c>
      <c r="C193">
        <v>2020</v>
      </c>
      <c r="D193">
        <v>100</v>
      </c>
      <c r="E193">
        <v>0.01</v>
      </c>
      <c r="F193">
        <v>0</v>
      </c>
      <c r="G193">
        <v>0.01</v>
      </c>
      <c r="H193">
        <v>0</v>
      </c>
      <c r="I193">
        <v>0.03</v>
      </c>
      <c r="J193">
        <v>0</v>
      </c>
      <c r="K193">
        <v>0.01</v>
      </c>
      <c r="L193" t="s">
        <v>3</v>
      </c>
      <c r="M193" t="s">
        <v>23</v>
      </c>
    </row>
    <row r="194" spans="1:13" x14ac:dyDescent="0.45">
      <c r="A194" t="s">
        <v>2</v>
      </c>
      <c r="B194" t="s">
        <v>143</v>
      </c>
      <c r="C194">
        <v>2025</v>
      </c>
      <c r="D194">
        <v>89</v>
      </c>
      <c r="E194">
        <v>0.02</v>
      </c>
      <c r="F194">
        <v>0.02</v>
      </c>
      <c r="G194">
        <v>0.01</v>
      </c>
      <c r="H194">
        <v>0</v>
      </c>
      <c r="I194">
        <v>0.04</v>
      </c>
      <c r="J194">
        <v>0.01</v>
      </c>
      <c r="K194">
        <v>0.02</v>
      </c>
      <c r="L194" t="s">
        <v>3</v>
      </c>
      <c r="M194" t="s">
        <v>23</v>
      </c>
    </row>
    <row r="195" spans="1:13" x14ac:dyDescent="0.45">
      <c r="A195" t="s">
        <v>2</v>
      </c>
      <c r="B195" t="s">
        <v>143</v>
      </c>
      <c r="C195">
        <v>2030</v>
      </c>
      <c r="D195">
        <v>100</v>
      </c>
      <c r="E195">
        <v>0.04</v>
      </c>
      <c r="F195">
        <v>0.04</v>
      </c>
      <c r="G195">
        <v>0.02</v>
      </c>
      <c r="H195">
        <v>0</v>
      </c>
      <c r="I195">
        <v>0.08</v>
      </c>
      <c r="J195">
        <v>0.03</v>
      </c>
      <c r="K195">
        <v>0.05</v>
      </c>
      <c r="L195" t="s">
        <v>3</v>
      </c>
      <c r="M195" t="s">
        <v>23</v>
      </c>
    </row>
    <row r="196" spans="1:13" x14ac:dyDescent="0.45">
      <c r="A196" t="s">
        <v>2</v>
      </c>
      <c r="B196" t="s">
        <v>143</v>
      </c>
      <c r="C196">
        <v>2035</v>
      </c>
      <c r="D196">
        <v>89</v>
      </c>
      <c r="E196">
        <v>7.0000000000000007E-2</v>
      </c>
      <c r="F196">
        <v>0.06</v>
      </c>
      <c r="G196">
        <v>0.03</v>
      </c>
      <c r="H196">
        <v>0</v>
      </c>
      <c r="I196">
        <v>0.14000000000000001</v>
      </c>
      <c r="J196">
        <v>0.04</v>
      </c>
      <c r="K196">
        <v>0.09</v>
      </c>
      <c r="L196" t="s">
        <v>3</v>
      </c>
      <c r="M196" t="s">
        <v>23</v>
      </c>
    </row>
    <row r="197" spans="1:13" x14ac:dyDescent="0.45">
      <c r="A197" t="s">
        <v>2</v>
      </c>
      <c r="B197" t="s">
        <v>143</v>
      </c>
      <c r="C197">
        <v>2040</v>
      </c>
      <c r="D197">
        <v>100</v>
      </c>
      <c r="E197">
        <v>0.12</v>
      </c>
      <c r="F197">
        <v>0.11</v>
      </c>
      <c r="G197">
        <v>7.0000000000000007E-2</v>
      </c>
      <c r="H197">
        <v>0</v>
      </c>
      <c r="I197">
        <v>0.26</v>
      </c>
      <c r="J197">
        <v>0.08</v>
      </c>
      <c r="K197">
        <v>0.15</v>
      </c>
      <c r="L197" t="s">
        <v>3</v>
      </c>
      <c r="M197" t="s">
        <v>23</v>
      </c>
    </row>
    <row r="198" spans="1:13" x14ac:dyDescent="0.45">
      <c r="A198" t="s">
        <v>2</v>
      </c>
      <c r="B198" t="s">
        <v>143</v>
      </c>
      <c r="C198">
        <v>2045</v>
      </c>
      <c r="D198">
        <v>89</v>
      </c>
      <c r="E198">
        <v>0.13</v>
      </c>
      <c r="F198">
        <v>0.14000000000000001</v>
      </c>
      <c r="G198">
        <v>7.0000000000000007E-2</v>
      </c>
      <c r="H198">
        <v>0</v>
      </c>
      <c r="I198">
        <v>0.25</v>
      </c>
      <c r="J198">
        <v>0.06</v>
      </c>
      <c r="K198">
        <v>0.19</v>
      </c>
      <c r="L198" t="s">
        <v>3</v>
      </c>
      <c r="M198" t="s">
        <v>23</v>
      </c>
    </row>
    <row r="199" spans="1:13" x14ac:dyDescent="0.45">
      <c r="A199" t="s">
        <v>2</v>
      </c>
      <c r="B199" t="s">
        <v>143</v>
      </c>
      <c r="C199">
        <v>2050</v>
      </c>
      <c r="D199">
        <v>100</v>
      </c>
      <c r="E199">
        <v>0.17</v>
      </c>
      <c r="F199">
        <v>0.16</v>
      </c>
      <c r="G199">
        <v>0.09</v>
      </c>
      <c r="H199">
        <v>0</v>
      </c>
      <c r="I199">
        <v>0.31</v>
      </c>
      <c r="J199">
        <v>0.09</v>
      </c>
      <c r="K199">
        <v>0.26</v>
      </c>
      <c r="L199" t="s">
        <v>3</v>
      </c>
      <c r="M199" t="s">
        <v>23</v>
      </c>
    </row>
    <row r="200" spans="1:13" x14ac:dyDescent="0.45">
      <c r="A200" t="s">
        <v>5</v>
      </c>
      <c r="B200" t="s">
        <v>143</v>
      </c>
      <c r="C200">
        <v>2020</v>
      </c>
      <c r="D200">
        <v>233</v>
      </c>
      <c r="E200">
        <v>0.01</v>
      </c>
      <c r="F200">
        <v>0</v>
      </c>
      <c r="G200">
        <v>0.01</v>
      </c>
      <c r="H200">
        <v>0</v>
      </c>
      <c r="I200">
        <v>0.03</v>
      </c>
      <c r="J200">
        <v>0</v>
      </c>
      <c r="K200">
        <v>0.01</v>
      </c>
      <c r="L200" t="s">
        <v>6</v>
      </c>
      <c r="M200" t="s">
        <v>23</v>
      </c>
    </row>
    <row r="201" spans="1:13" x14ac:dyDescent="0.45">
      <c r="A201" t="s">
        <v>5</v>
      </c>
      <c r="B201" t="s">
        <v>143</v>
      </c>
      <c r="C201">
        <v>2025</v>
      </c>
      <c r="D201">
        <v>210</v>
      </c>
      <c r="E201">
        <v>0.02</v>
      </c>
      <c r="F201">
        <v>0.02</v>
      </c>
      <c r="G201">
        <v>0.01</v>
      </c>
      <c r="H201">
        <v>0</v>
      </c>
      <c r="I201">
        <v>0.06</v>
      </c>
      <c r="J201">
        <v>0.01</v>
      </c>
      <c r="K201">
        <v>0.02</v>
      </c>
      <c r="L201" t="s">
        <v>6</v>
      </c>
      <c r="M201" t="s">
        <v>23</v>
      </c>
    </row>
    <row r="202" spans="1:13" x14ac:dyDescent="0.45">
      <c r="A202" t="s">
        <v>5</v>
      </c>
      <c r="B202" t="s">
        <v>143</v>
      </c>
      <c r="C202">
        <v>2030</v>
      </c>
      <c r="D202">
        <v>233</v>
      </c>
      <c r="E202">
        <v>0.03</v>
      </c>
      <c r="F202">
        <v>0.03</v>
      </c>
      <c r="G202">
        <v>0.02</v>
      </c>
      <c r="H202">
        <v>0</v>
      </c>
      <c r="I202">
        <v>0.11</v>
      </c>
      <c r="J202">
        <v>0.01</v>
      </c>
      <c r="K202">
        <v>0.04</v>
      </c>
      <c r="L202" t="s">
        <v>6</v>
      </c>
      <c r="M202" t="s">
        <v>23</v>
      </c>
    </row>
    <row r="203" spans="1:13" x14ac:dyDescent="0.45">
      <c r="A203" t="s">
        <v>5</v>
      </c>
      <c r="B203" t="s">
        <v>143</v>
      </c>
      <c r="C203">
        <v>2035</v>
      </c>
      <c r="D203">
        <v>210</v>
      </c>
      <c r="E203">
        <v>0.06</v>
      </c>
      <c r="F203">
        <v>0.06</v>
      </c>
      <c r="G203">
        <v>0.03</v>
      </c>
      <c r="H203">
        <v>0</v>
      </c>
      <c r="I203">
        <v>0.16</v>
      </c>
      <c r="J203">
        <v>0.03</v>
      </c>
      <c r="K203">
        <v>0.08</v>
      </c>
      <c r="L203" t="s">
        <v>6</v>
      </c>
      <c r="M203" t="s">
        <v>23</v>
      </c>
    </row>
    <row r="204" spans="1:13" x14ac:dyDescent="0.45">
      <c r="A204" t="s">
        <v>5</v>
      </c>
      <c r="B204" t="s">
        <v>143</v>
      </c>
      <c r="C204">
        <v>2040</v>
      </c>
      <c r="D204">
        <v>233</v>
      </c>
      <c r="E204">
        <v>0.08</v>
      </c>
      <c r="F204">
        <v>0.09</v>
      </c>
      <c r="G204">
        <v>0.05</v>
      </c>
      <c r="H204">
        <v>0</v>
      </c>
      <c r="I204">
        <v>0.24</v>
      </c>
      <c r="J204">
        <v>0.03</v>
      </c>
      <c r="K204">
        <v>0.1</v>
      </c>
      <c r="L204" t="s">
        <v>6</v>
      </c>
      <c r="M204" t="s">
        <v>23</v>
      </c>
    </row>
    <row r="205" spans="1:13" x14ac:dyDescent="0.45">
      <c r="A205" t="s">
        <v>5</v>
      </c>
      <c r="B205" t="s">
        <v>143</v>
      </c>
      <c r="C205">
        <v>2045</v>
      </c>
      <c r="D205">
        <v>210</v>
      </c>
      <c r="E205">
        <v>0.12</v>
      </c>
      <c r="F205">
        <v>0.12</v>
      </c>
      <c r="G205">
        <v>7.0000000000000007E-2</v>
      </c>
      <c r="H205">
        <v>0</v>
      </c>
      <c r="I205">
        <v>0.25</v>
      </c>
      <c r="J205">
        <v>0.06</v>
      </c>
      <c r="K205">
        <v>0.16</v>
      </c>
      <c r="L205" t="s">
        <v>6</v>
      </c>
      <c r="M205" t="s">
        <v>23</v>
      </c>
    </row>
    <row r="206" spans="1:13" x14ac:dyDescent="0.45">
      <c r="A206" t="s">
        <v>5</v>
      </c>
      <c r="B206" t="s">
        <v>143</v>
      </c>
      <c r="C206">
        <v>2050</v>
      </c>
      <c r="D206">
        <v>233</v>
      </c>
      <c r="E206">
        <v>0.13</v>
      </c>
      <c r="F206">
        <v>0.14000000000000001</v>
      </c>
      <c r="G206">
        <v>0.09</v>
      </c>
      <c r="H206">
        <v>0</v>
      </c>
      <c r="I206">
        <v>0.32</v>
      </c>
      <c r="J206">
        <v>0.05</v>
      </c>
      <c r="K206">
        <v>0.2</v>
      </c>
      <c r="L206" t="s">
        <v>6</v>
      </c>
      <c r="M206" t="s">
        <v>23</v>
      </c>
    </row>
    <row r="207" spans="1:13" x14ac:dyDescent="0.45">
      <c r="A207" t="s">
        <v>7</v>
      </c>
      <c r="B207" t="s">
        <v>143</v>
      </c>
      <c r="C207">
        <v>2020</v>
      </c>
      <c r="D207">
        <v>87</v>
      </c>
      <c r="E207">
        <v>0.01</v>
      </c>
      <c r="F207">
        <v>0</v>
      </c>
      <c r="G207">
        <v>0</v>
      </c>
      <c r="H207">
        <v>0</v>
      </c>
      <c r="I207">
        <v>0.02</v>
      </c>
      <c r="J207">
        <v>0</v>
      </c>
      <c r="K207">
        <v>0</v>
      </c>
      <c r="L207" t="s">
        <v>8</v>
      </c>
      <c r="M207" t="s">
        <v>23</v>
      </c>
    </row>
    <row r="208" spans="1:13" x14ac:dyDescent="0.45">
      <c r="A208" t="s">
        <v>7</v>
      </c>
      <c r="B208" t="s">
        <v>143</v>
      </c>
      <c r="C208">
        <v>2025</v>
      </c>
      <c r="D208">
        <v>81</v>
      </c>
      <c r="E208">
        <v>0.01</v>
      </c>
      <c r="F208">
        <v>0.01</v>
      </c>
      <c r="G208">
        <v>0.01</v>
      </c>
      <c r="H208">
        <v>0</v>
      </c>
      <c r="I208">
        <v>0.03</v>
      </c>
      <c r="J208">
        <v>0.01</v>
      </c>
      <c r="K208">
        <v>0.02</v>
      </c>
      <c r="L208" t="s">
        <v>8</v>
      </c>
      <c r="M208" t="s">
        <v>23</v>
      </c>
    </row>
    <row r="209" spans="1:13" x14ac:dyDescent="0.45">
      <c r="A209" t="s">
        <v>7</v>
      </c>
      <c r="B209" t="s">
        <v>143</v>
      </c>
      <c r="C209">
        <v>2030</v>
      </c>
      <c r="D209">
        <v>87</v>
      </c>
      <c r="E209">
        <v>0.02</v>
      </c>
      <c r="F209">
        <v>0.02</v>
      </c>
      <c r="G209">
        <v>0.01</v>
      </c>
      <c r="H209">
        <v>0</v>
      </c>
      <c r="I209">
        <v>0.05</v>
      </c>
      <c r="J209">
        <v>0</v>
      </c>
      <c r="K209">
        <v>0.03</v>
      </c>
      <c r="L209" t="s">
        <v>8</v>
      </c>
      <c r="M209" t="s">
        <v>23</v>
      </c>
    </row>
    <row r="210" spans="1:13" x14ac:dyDescent="0.45">
      <c r="A210" t="s">
        <v>7</v>
      </c>
      <c r="B210" t="s">
        <v>143</v>
      </c>
      <c r="C210">
        <v>2035</v>
      </c>
      <c r="D210">
        <v>81</v>
      </c>
      <c r="E210">
        <v>0.04</v>
      </c>
      <c r="F210">
        <v>0.03</v>
      </c>
      <c r="G210">
        <v>0.03</v>
      </c>
      <c r="H210">
        <v>0</v>
      </c>
      <c r="I210">
        <v>0.1</v>
      </c>
      <c r="J210">
        <v>0.01</v>
      </c>
      <c r="K210">
        <v>0.06</v>
      </c>
      <c r="L210" t="s">
        <v>8</v>
      </c>
      <c r="M210" t="s">
        <v>23</v>
      </c>
    </row>
    <row r="211" spans="1:13" x14ac:dyDescent="0.45">
      <c r="A211" t="s">
        <v>7</v>
      </c>
      <c r="B211" t="s">
        <v>143</v>
      </c>
      <c r="C211">
        <v>2040</v>
      </c>
      <c r="D211">
        <v>87</v>
      </c>
      <c r="E211">
        <v>0.06</v>
      </c>
      <c r="F211">
        <v>0.04</v>
      </c>
      <c r="G211">
        <v>0.05</v>
      </c>
      <c r="H211">
        <v>0</v>
      </c>
      <c r="I211">
        <v>0.16</v>
      </c>
      <c r="J211">
        <v>0.01</v>
      </c>
      <c r="K211">
        <v>0.1</v>
      </c>
      <c r="L211" t="s">
        <v>8</v>
      </c>
      <c r="M211" t="s">
        <v>23</v>
      </c>
    </row>
    <row r="212" spans="1:13" x14ac:dyDescent="0.45">
      <c r="A212" t="s">
        <v>7</v>
      </c>
      <c r="B212" t="s">
        <v>143</v>
      </c>
      <c r="C212">
        <v>2045</v>
      </c>
      <c r="D212">
        <v>81</v>
      </c>
      <c r="E212">
        <v>0.09</v>
      </c>
      <c r="F212">
        <v>0.06</v>
      </c>
      <c r="G212">
        <v>0.08</v>
      </c>
      <c r="H212">
        <v>0</v>
      </c>
      <c r="I212">
        <v>0.25</v>
      </c>
      <c r="J212">
        <v>0.03</v>
      </c>
      <c r="K212">
        <v>0.17</v>
      </c>
      <c r="L212" t="s">
        <v>8</v>
      </c>
      <c r="M212" t="s">
        <v>23</v>
      </c>
    </row>
    <row r="213" spans="1:13" x14ac:dyDescent="0.45">
      <c r="A213" t="s">
        <v>7</v>
      </c>
      <c r="B213" t="s">
        <v>143</v>
      </c>
      <c r="C213">
        <v>2050</v>
      </c>
      <c r="D213">
        <v>87</v>
      </c>
      <c r="E213">
        <v>0.12</v>
      </c>
      <c r="F213">
        <v>0.06</v>
      </c>
      <c r="G213">
        <v>0.11</v>
      </c>
      <c r="H213">
        <v>0</v>
      </c>
      <c r="I213">
        <v>0.3</v>
      </c>
      <c r="J213">
        <v>0.03</v>
      </c>
      <c r="K213">
        <v>0.24</v>
      </c>
      <c r="L213" t="s">
        <v>8</v>
      </c>
      <c r="M213" t="s">
        <v>23</v>
      </c>
    </row>
    <row r="214" spans="1:13" x14ac:dyDescent="0.45">
      <c r="A214" t="s">
        <v>9</v>
      </c>
      <c r="B214" t="s">
        <v>143</v>
      </c>
      <c r="C214">
        <v>2020</v>
      </c>
      <c r="D214">
        <v>61</v>
      </c>
      <c r="E214">
        <v>0.01</v>
      </c>
      <c r="F214">
        <v>0</v>
      </c>
      <c r="G214">
        <v>0.01</v>
      </c>
      <c r="H214">
        <v>0</v>
      </c>
      <c r="I214">
        <v>0.03</v>
      </c>
      <c r="J214">
        <v>0</v>
      </c>
      <c r="K214">
        <v>0.01</v>
      </c>
      <c r="L214" t="s">
        <v>10</v>
      </c>
      <c r="M214" t="s">
        <v>23</v>
      </c>
    </row>
    <row r="215" spans="1:13" x14ac:dyDescent="0.45">
      <c r="A215" t="s">
        <v>9</v>
      </c>
      <c r="B215" t="s">
        <v>143</v>
      </c>
      <c r="C215">
        <v>2025</v>
      </c>
      <c r="D215">
        <v>56</v>
      </c>
      <c r="E215">
        <v>0.01</v>
      </c>
      <c r="F215">
        <v>0.01</v>
      </c>
      <c r="G215">
        <v>0.01</v>
      </c>
      <c r="H215">
        <v>0</v>
      </c>
      <c r="I215">
        <v>0.05</v>
      </c>
      <c r="J215">
        <v>0.01</v>
      </c>
      <c r="K215">
        <v>0.01</v>
      </c>
      <c r="L215" t="s">
        <v>10</v>
      </c>
      <c r="M215" t="s">
        <v>23</v>
      </c>
    </row>
    <row r="216" spans="1:13" x14ac:dyDescent="0.45">
      <c r="A216" t="s">
        <v>9</v>
      </c>
      <c r="B216" t="s">
        <v>143</v>
      </c>
      <c r="C216">
        <v>2030</v>
      </c>
      <c r="D216">
        <v>61</v>
      </c>
      <c r="E216">
        <v>0.02</v>
      </c>
      <c r="F216">
        <v>0.03</v>
      </c>
      <c r="G216">
        <v>0.02</v>
      </c>
      <c r="H216">
        <v>0</v>
      </c>
      <c r="I216">
        <v>0.09</v>
      </c>
      <c r="J216">
        <v>0.01</v>
      </c>
      <c r="K216">
        <v>0.03</v>
      </c>
      <c r="L216" t="s">
        <v>10</v>
      </c>
      <c r="M216" t="s">
        <v>23</v>
      </c>
    </row>
    <row r="217" spans="1:13" x14ac:dyDescent="0.45">
      <c r="A217" t="s">
        <v>9</v>
      </c>
      <c r="B217" t="s">
        <v>143</v>
      </c>
      <c r="C217">
        <v>2035</v>
      </c>
      <c r="D217">
        <v>56</v>
      </c>
      <c r="E217">
        <v>0.04</v>
      </c>
      <c r="F217">
        <v>0.03</v>
      </c>
      <c r="G217">
        <v>0.03</v>
      </c>
      <c r="H217">
        <v>0</v>
      </c>
      <c r="I217">
        <v>0.11</v>
      </c>
      <c r="J217">
        <v>0.02</v>
      </c>
      <c r="K217">
        <v>0.06</v>
      </c>
      <c r="L217" t="s">
        <v>10</v>
      </c>
      <c r="M217" t="s">
        <v>23</v>
      </c>
    </row>
    <row r="218" spans="1:13" x14ac:dyDescent="0.45">
      <c r="A218" t="s">
        <v>9</v>
      </c>
      <c r="B218" t="s">
        <v>143</v>
      </c>
      <c r="C218">
        <v>2040</v>
      </c>
      <c r="D218">
        <v>61</v>
      </c>
      <c r="E218">
        <v>0.05</v>
      </c>
      <c r="F218">
        <v>0.04</v>
      </c>
      <c r="G218">
        <v>0.04</v>
      </c>
      <c r="H218">
        <v>0</v>
      </c>
      <c r="I218">
        <v>0.16</v>
      </c>
      <c r="J218">
        <v>0.02</v>
      </c>
      <c r="K218">
        <v>0.09</v>
      </c>
      <c r="L218" t="s">
        <v>10</v>
      </c>
      <c r="M218" t="s">
        <v>23</v>
      </c>
    </row>
    <row r="219" spans="1:13" x14ac:dyDescent="0.45">
      <c r="A219" t="s">
        <v>9</v>
      </c>
      <c r="B219" t="s">
        <v>143</v>
      </c>
      <c r="C219">
        <v>2045</v>
      </c>
      <c r="D219">
        <v>56</v>
      </c>
      <c r="E219">
        <v>0.08</v>
      </c>
      <c r="F219">
        <v>7.0000000000000007E-2</v>
      </c>
      <c r="G219">
        <v>0.05</v>
      </c>
      <c r="H219">
        <v>0</v>
      </c>
      <c r="I219">
        <v>0.22</v>
      </c>
      <c r="J219">
        <v>0.04</v>
      </c>
      <c r="K219">
        <v>0.12</v>
      </c>
      <c r="L219" t="s">
        <v>10</v>
      </c>
      <c r="M219" t="s">
        <v>23</v>
      </c>
    </row>
    <row r="220" spans="1:13" x14ac:dyDescent="0.45">
      <c r="A220" t="s">
        <v>9</v>
      </c>
      <c r="B220" t="s">
        <v>143</v>
      </c>
      <c r="C220">
        <v>2050</v>
      </c>
      <c r="D220">
        <v>61</v>
      </c>
      <c r="E220">
        <v>0.09</v>
      </c>
      <c r="F220">
        <v>0.08</v>
      </c>
      <c r="G220">
        <v>7.0000000000000007E-2</v>
      </c>
      <c r="H220">
        <v>0</v>
      </c>
      <c r="I220">
        <v>0.25</v>
      </c>
      <c r="J220">
        <v>0.04</v>
      </c>
      <c r="K220">
        <v>0.16</v>
      </c>
      <c r="L220" t="s">
        <v>10</v>
      </c>
      <c r="M220" t="s">
        <v>23</v>
      </c>
    </row>
    <row r="221" spans="1:13" x14ac:dyDescent="0.45">
      <c r="A221" t="s">
        <v>0</v>
      </c>
      <c r="B221" t="s">
        <v>143</v>
      </c>
      <c r="C221">
        <v>2020</v>
      </c>
      <c r="D221">
        <v>37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143</v>
      </c>
      <c r="C222">
        <v>2025</v>
      </c>
      <c r="D222">
        <v>37</v>
      </c>
      <c r="E222">
        <v>2.2799999999999998</v>
      </c>
      <c r="F222">
        <v>2.25</v>
      </c>
      <c r="G222">
        <v>0.78</v>
      </c>
      <c r="H222">
        <v>0</v>
      </c>
      <c r="I222">
        <v>4.4000000000000004</v>
      </c>
      <c r="J222">
        <v>1.89</v>
      </c>
      <c r="K222">
        <v>2.48</v>
      </c>
      <c r="L222" t="s">
        <v>1</v>
      </c>
      <c r="M222" t="s">
        <v>70</v>
      </c>
    </row>
    <row r="223" spans="1:13" x14ac:dyDescent="0.45">
      <c r="A223" t="s">
        <v>0</v>
      </c>
      <c r="B223" t="s">
        <v>143</v>
      </c>
      <c r="C223">
        <v>2030</v>
      </c>
      <c r="D223">
        <v>37</v>
      </c>
      <c r="E223">
        <v>2.73</v>
      </c>
      <c r="F223">
        <v>2.75</v>
      </c>
      <c r="G223">
        <v>1.06</v>
      </c>
      <c r="H223">
        <v>0</v>
      </c>
      <c r="I223">
        <v>5.28</v>
      </c>
      <c r="J223">
        <v>2.02</v>
      </c>
      <c r="K223">
        <v>3.12</v>
      </c>
      <c r="L223" t="s">
        <v>1</v>
      </c>
      <c r="M223" t="s">
        <v>70</v>
      </c>
    </row>
    <row r="224" spans="1:13" x14ac:dyDescent="0.45">
      <c r="A224" t="s">
        <v>0</v>
      </c>
      <c r="B224" t="s">
        <v>143</v>
      </c>
      <c r="C224">
        <v>2035</v>
      </c>
      <c r="D224">
        <v>37</v>
      </c>
      <c r="E224">
        <v>3.16</v>
      </c>
      <c r="F224">
        <v>3.15</v>
      </c>
      <c r="G224">
        <v>1.43</v>
      </c>
      <c r="H224">
        <v>0</v>
      </c>
      <c r="I224">
        <v>6.61</v>
      </c>
      <c r="J224">
        <v>2.2999999999999998</v>
      </c>
      <c r="K224">
        <v>3.62</v>
      </c>
      <c r="L224" t="s">
        <v>1</v>
      </c>
      <c r="M224" t="s">
        <v>70</v>
      </c>
    </row>
    <row r="225" spans="1:13" x14ac:dyDescent="0.45">
      <c r="A225" t="s">
        <v>0</v>
      </c>
      <c r="B225" t="s">
        <v>143</v>
      </c>
      <c r="C225">
        <v>2040</v>
      </c>
      <c r="D225">
        <v>37</v>
      </c>
      <c r="E225">
        <v>3.35</v>
      </c>
      <c r="F225">
        <v>3.46</v>
      </c>
      <c r="G225">
        <v>1.71</v>
      </c>
      <c r="H225">
        <v>0</v>
      </c>
      <c r="I225">
        <v>7.25</v>
      </c>
      <c r="J225">
        <v>2.5099999999999998</v>
      </c>
      <c r="K225">
        <v>4.33</v>
      </c>
      <c r="L225" t="s">
        <v>1</v>
      </c>
      <c r="M225" t="s">
        <v>70</v>
      </c>
    </row>
    <row r="226" spans="1:13" x14ac:dyDescent="0.45">
      <c r="A226" t="s">
        <v>0</v>
      </c>
      <c r="B226" t="s">
        <v>143</v>
      </c>
      <c r="C226">
        <v>2045</v>
      </c>
      <c r="D226">
        <v>37</v>
      </c>
      <c r="E226">
        <v>3.51</v>
      </c>
      <c r="F226">
        <v>3.7</v>
      </c>
      <c r="G226">
        <v>1.75</v>
      </c>
      <c r="H226">
        <v>0</v>
      </c>
      <c r="I226">
        <v>8.64</v>
      </c>
      <c r="J226">
        <v>2.81</v>
      </c>
      <c r="K226">
        <v>4.3099999999999996</v>
      </c>
      <c r="L226" t="s">
        <v>1</v>
      </c>
      <c r="M226" t="s">
        <v>70</v>
      </c>
    </row>
    <row r="227" spans="1:13" x14ac:dyDescent="0.45">
      <c r="A227" t="s">
        <v>0</v>
      </c>
      <c r="B227" t="s">
        <v>143</v>
      </c>
      <c r="C227">
        <v>2050</v>
      </c>
      <c r="D227">
        <v>37</v>
      </c>
      <c r="E227">
        <v>3.42</v>
      </c>
      <c r="F227">
        <v>3.43</v>
      </c>
      <c r="G227">
        <v>1.75</v>
      </c>
      <c r="H227">
        <v>0</v>
      </c>
      <c r="I227">
        <v>9.25</v>
      </c>
      <c r="J227">
        <v>2.88</v>
      </c>
      <c r="K227">
        <v>3.96</v>
      </c>
      <c r="L227" t="s">
        <v>1</v>
      </c>
      <c r="M227" t="s">
        <v>70</v>
      </c>
    </row>
    <row r="228" spans="1:13" x14ac:dyDescent="0.45">
      <c r="A228" t="s">
        <v>2</v>
      </c>
      <c r="B228" t="s">
        <v>143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143</v>
      </c>
      <c r="C229">
        <v>2025</v>
      </c>
      <c r="D229">
        <v>44</v>
      </c>
      <c r="E229">
        <v>1.74</v>
      </c>
      <c r="F229">
        <v>1.56</v>
      </c>
      <c r="G229">
        <v>0.71</v>
      </c>
      <c r="H229">
        <v>1.07</v>
      </c>
      <c r="I229">
        <v>4.54</v>
      </c>
      <c r="J229">
        <v>1.38</v>
      </c>
      <c r="K229">
        <v>1.63</v>
      </c>
      <c r="L229" t="s">
        <v>3</v>
      </c>
      <c r="M229" t="s">
        <v>70</v>
      </c>
    </row>
    <row r="230" spans="1:13" x14ac:dyDescent="0.45">
      <c r="A230" t="s">
        <v>2</v>
      </c>
      <c r="B230" t="s">
        <v>143</v>
      </c>
      <c r="C230">
        <v>2030</v>
      </c>
      <c r="D230">
        <v>44</v>
      </c>
      <c r="E230">
        <v>1.78</v>
      </c>
      <c r="F230">
        <v>1.55</v>
      </c>
      <c r="G230">
        <v>0.7</v>
      </c>
      <c r="H230">
        <v>1.05</v>
      </c>
      <c r="I230">
        <v>4.74</v>
      </c>
      <c r="J230">
        <v>1.39</v>
      </c>
      <c r="K230">
        <v>1.86</v>
      </c>
      <c r="L230" t="s">
        <v>3</v>
      </c>
      <c r="M230" t="s">
        <v>70</v>
      </c>
    </row>
    <row r="231" spans="1:13" x14ac:dyDescent="0.45">
      <c r="A231" t="s">
        <v>2</v>
      </c>
      <c r="B231" t="s">
        <v>143</v>
      </c>
      <c r="C231">
        <v>2035</v>
      </c>
      <c r="D231">
        <v>44</v>
      </c>
      <c r="E231">
        <v>2.88</v>
      </c>
      <c r="F231">
        <v>2.11</v>
      </c>
      <c r="G231">
        <v>2.27</v>
      </c>
      <c r="H231">
        <v>1.05</v>
      </c>
      <c r="I231">
        <v>11.15</v>
      </c>
      <c r="J231">
        <v>1.84</v>
      </c>
      <c r="K231">
        <v>2.93</v>
      </c>
      <c r="L231" t="s">
        <v>3</v>
      </c>
      <c r="M231" t="s">
        <v>70</v>
      </c>
    </row>
    <row r="232" spans="1:13" x14ac:dyDescent="0.45">
      <c r="A232" t="s">
        <v>2</v>
      </c>
      <c r="B232" t="s">
        <v>143</v>
      </c>
      <c r="C232">
        <v>2040</v>
      </c>
      <c r="D232">
        <v>44</v>
      </c>
      <c r="E232">
        <v>3.85</v>
      </c>
      <c r="F232">
        <v>2.5099999999999998</v>
      </c>
      <c r="G232">
        <v>4.1399999999999997</v>
      </c>
      <c r="H232">
        <v>1.04</v>
      </c>
      <c r="I232">
        <v>18.670000000000002</v>
      </c>
      <c r="J232">
        <v>1.96</v>
      </c>
      <c r="K232">
        <v>3.23</v>
      </c>
      <c r="L232" t="s">
        <v>3</v>
      </c>
      <c r="M232" t="s">
        <v>70</v>
      </c>
    </row>
    <row r="233" spans="1:13" x14ac:dyDescent="0.45">
      <c r="A233" t="s">
        <v>2</v>
      </c>
      <c r="B233" t="s">
        <v>143</v>
      </c>
      <c r="C233">
        <v>2045</v>
      </c>
      <c r="D233">
        <v>44</v>
      </c>
      <c r="E233">
        <v>3.55</v>
      </c>
      <c r="F233">
        <v>3.04</v>
      </c>
      <c r="G233">
        <v>2.48</v>
      </c>
      <c r="H233">
        <v>1.1000000000000001</v>
      </c>
      <c r="I233">
        <v>16.170000000000002</v>
      </c>
      <c r="J233">
        <v>2.2999999999999998</v>
      </c>
      <c r="K233">
        <v>3.85</v>
      </c>
      <c r="L233" t="s">
        <v>3</v>
      </c>
      <c r="M233" t="s">
        <v>70</v>
      </c>
    </row>
    <row r="234" spans="1:13" x14ac:dyDescent="0.45">
      <c r="A234" t="s">
        <v>2</v>
      </c>
      <c r="B234" t="s">
        <v>143</v>
      </c>
      <c r="C234">
        <v>2050</v>
      </c>
      <c r="D234">
        <v>44</v>
      </c>
      <c r="E234">
        <v>3.45</v>
      </c>
      <c r="F234">
        <v>3.23</v>
      </c>
      <c r="G234">
        <v>1.45</v>
      </c>
      <c r="H234">
        <v>0</v>
      </c>
      <c r="I234">
        <v>7.07</v>
      </c>
      <c r="J234">
        <v>2.4500000000000002</v>
      </c>
      <c r="K234">
        <v>4.18</v>
      </c>
      <c r="L234" t="s">
        <v>3</v>
      </c>
      <c r="M234" t="s">
        <v>70</v>
      </c>
    </row>
    <row r="235" spans="1:13" x14ac:dyDescent="0.45">
      <c r="A235" t="s">
        <v>5</v>
      </c>
      <c r="B235" t="s">
        <v>143</v>
      </c>
      <c r="C235">
        <v>2020</v>
      </c>
      <c r="D235">
        <v>112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143</v>
      </c>
      <c r="C236">
        <v>2025</v>
      </c>
      <c r="D236">
        <v>112</v>
      </c>
      <c r="E236">
        <v>1.65</v>
      </c>
      <c r="F236">
        <v>1.52</v>
      </c>
      <c r="G236">
        <v>0.63</v>
      </c>
      <c r="H236">
        <v>0</v>
      </c>
      <c r="I236">
        <v>4.5999999999999996</v>
      </c>
      <c r="J236">
        <v>1.37</v>
      </c>
      <c r="K236">
        <v>1.8</v>
      </c>
      <c r="L236" t="s">
        <v>6</v>
      </c>
      <c r="M236" t="s">
        <v>70</v>
      </c>
    </row>
    <row r="237" spans="1:13" x14ac:dyDescent="0.45">
      <c r="A237" t="s">
        <v>5</v>
      </c>
      <c r="B237" t="s">
        <v>143</v>
      </c>
      <c r="C237">
        <v>2030</v>
      </c>
      <c r="D237">
        <v>112</v>
      </c>
      <c r="E237">
        <v>1.84</v>
      </c>
      <c r="F237">
        <v>1.64</v>
      </c>
      <c r="G237">
        <v>0.62</v>
      </c>
      <c r="H237">
        <v>0</v>
      </c>
      <c r="I237">
        <v>4.75</v>
      </c>
      <c r="J237">
        <v>1.51</v>
      </c>
      <c r="K237">
        <v>2.13</v>
      </c>
      <c r="L237" t="s">
        <v>6</v>
      </c>
      <c r="M237" t="s">
        <v>70</v>
      </c>
    </row>
    <row r="238" spans="1:13" x14ac:dyDescent="0.45">
      <c r="A238" t="s">
        <v>5</v>
      </c>
      <c r="B238" t="s">
        <v>143</v>
      </c>
      <c r="C238">
        <v>2035</v>
      </c>
      <c r="D238">
        <v>112</v>
      </c>
      <c r="E238">
        <v>2.16</v>
      </c>
      <c r="F238">
        <v>2.0299999999999998</v>
      </c>
      <c r="G238">
        <v>0.92</v>
      </c>
      <c r="H238">
        <v>0</v>
      </c>
      <c r="I238">
        <v>6.96</v>
      </c>
      <c r="J238">
        <v>1.57</v>
      </c>
      <c r="K238">
        <v>2.4700000000000002</v>
      </c>
      <c r="L238" t="s">
        <v>6</v>
      </c>
      <c r="M238" t="s">
        <v>70</v>
      </c>
    </row>
    <row r="239" spans="1:13" x14ac:dyDescent="0.45">
      <c r="A239" t="s">
        <v>5</v>
      </c>
      <c r="B239" t="s">
        <v>143</v>
      </c>
      <c r="C239">
        <v>2040</v>
      </c>
      <c r="D239">
        <v>112</v>
      </c>
      <c r="E239">
        <v>2.54</v>
      </c>
      <c r="F239">
        <v>2.36</v>
      </c>
      <c r="G239">
        <v>1.3</v>
      </c>
      <c r="H239">
        <v>0</v>
      </c>
      <c r="I239">
        <v>8.61</v>
      </c>
      <c r="J239">
        <v>1.74</v>
      </c>
      <c r="K239">
        <v>2.88</v>
      </c>
      <c r="L239" t="s">
        <v>6</v>
      </c>
      <c r="M239" t="s">
        <v>70</v>
      </c>
    </row>
    <row r="240" spans="1:13" x14ac:dyDescent="0.45">
      <c r="A240" t="s">
        <v>5</v>
      </c>
      <c r="B240" t="s">
        <v>143</v>
      </c>
      <c r="C240">
        <v>2045</v>
      </c>
      <c r="D240">
        <v>112</v>
      </c>
      <c r="E240">
        <v>2.86</v>
      </c>
      <c r="F240">
        <v>2.64</v>
      </c>
      <c r="G240">
        <v>1.43</v>
      </c>
      <c r="H240">
        <v>0</v>
      </c>
      <c r="I240">
        <v>8.27</v>
      </c>
      <c r="J240">
        <v>1.93</v>
      </c>
      <c r="K240">
        <v>3.28</v>
      </c>
      <c r="L240" t="s">
        <v>6</v>
      </c>
      <c r="M240" t="s">
        <v>70</v>
      </c>
    </row>
    <row r="241" spans="1:13" x14ac:dyDescent="0.45">
      <c r="A241" t="s">
        <v>5</v>
      </c>
      <c r="B241" t="s">
        <v>143</v>
      </c>
      <c r="C241">
        <v>2050</v>
      </c>
      <c r="D241">
        <v>112</v>
      </c>
      <c r="E241">
        <v>3.03</v>
      </c>
      <c r="F241">
        <v>2.84</v>
      </c>
      <c r="G241">
        <v>1.39</v>
      </c>
      <c r="H241">
        <v>0</v>
      </c>
      <c r="I241">
        <v>8.52</v>
      </c>
      <c r="J241">
        <v>2.0699999999999998</v>
      </c>
      <c r="K241">
        <v>3.52</v>
      </c>
      <c r="L241" t="s">
        <v>6</v>
      </c>
      <c r="M241" t="s">
        <v>70</v>
      </c>
    </row>
    <row r="242" spans="1:13" x14ac:dyDescent="0.45">
      <c r="A242" t="s">
        <v>7</v>
      </c>
      <c r="B242" t="s">
        <v>143</v>
      </c>
      <c r="C242">
        <v>2020</v>
      </c>
      <c r="D242">
        <v>30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143</v>
      </c>
      <c r="C243">
        <v>2025</v>
      </c>
      <c r="D243">
        <v>30</v>
      </c>
      <c r="E243">
        <v>1.43</v>
      </c>
      <c r="F243">
        <v>1.41</v>
      </c>
      <c r="G243">
        <v>0.32</v>
      </c>
      <c r="H243">
        <v>1.02</v>
      </c>
      <c r="I243">
        <v>2.2599999999999998</v>
      </c>
      <c r="J243">
        <v>1.25</v>
      </c>
      <c r="K243">
        <v>1.47</v>
      </c>
      <c r="L243" t="s">
        <v>8</v>
      </c>
      <c r="M243" t="s">
        <v>70</v>
      </c>
    </row>
    <row r="244" spans="1:13" x14ac:dyDescent="0.45">
      <c r="A244" t="s">
        <v>7</v>
      </c>
      <c r="B244" t="s">
        <v>143</v>
      </c>
      <c r="C244">
        <v>2030</v>
      </c>
      <c r="D244">
        <v>30</v>
      </c>
      <c r="E244">
        <v>1.65</v>
      </c>
      <c r="F244">
        <v>1.62</v>
      </c>
      <c r="G244">
        <v>0.38</v>
      </c>
      <c r="H244">
        <v>1.01</v>
      </c>
      <c r="I244">
        <v>2.16</v>
      </c>
      <c r="J244">
        <v>1.51</v>
      </c>
      <c r="K244">
        <v>2.0299999999999998</v>
      </c>
      <c r="L244" t="s">
        <v>8</v>
      </c>
      <c r="M244" t="s">
        <v>70</v>
      </c>
    </row>
    <row r="245" spans="1:13" x14ac:dyDescent="0.45">
      <c r="A245" t="s">
        <v>7</v>
      </c>
      <c r="B245" t="s">
        <v>143</v>
      </c>
      <c r="C245">
        <v>2035</v>
      </c>
      <c r="D245">
        <v>30</v>
      </c>
      <c r="E245">
        <v>1.83</v>
      </c>
      <c r="F245">
        <v>1.69</v>
      </c>
      <c r="G245">
        <v>0.67</v>
      </c>
      <c r="H245">
        <v>0.84</v>
      </c>
      <c r="I245">
        <v>3.4</v>
      </c>
      <c r="J245">
        <v>1.45</v>
      </c>
      <c r="K245">
        <v>2.02</v>
      </c>
      <c r="L245" t="s">
        <v>8</v>
      </c>
      <c r="M245" t="s">
        <v>70</v>
      </c>
    </row>
    <row r="246" spans="1:13" x14ac:dyDescent="0.45">
      <c r="A246" t="s">
        <v>7</v>
      </c>
      <c r="B246" t="s">
        <v>143</v>
      </c>
      <c r="C246">
        <v>2040</v>
      </c>
      <c r="D246">
        <v>30</v>
      </c>
      <c r="E246">
        <v>2.25</v>
      </c>
      <c r="F246">
        <v>1.97</v>
      </c>
      <c r="G246">
        <v>1.08</v>
      </c>
      <c r="H246">
        <v>0.95</v>
      </c>
      <c r="I246">
        <v>5.54</v>
      </c>
      <c r="J246">
        <v>1.45</v>
      </c>
      <c r="K246">
        <v>2.25</v>
      </c>
      <c r="L246" t="s">
        <v>8</v>
      </c>
      <c r="M246" t="s">
        <v>70</v>
      </c>
    </row>
    <row r="247" spans="1:13" x14ac:dyDescent="0.45">
      <c r="A247" t="s">
        <v>7</v>
      </c>
      <c r="B247" t="s">
        <v>143</v>
      </c>
      <c r="C247">
        <v>2045</v>
      </c>
      <c r="D247">
        <v>30</v>
      </c>
      <c r="E247">
        <v>2.61</v>
      </c>
      <c r="F247">
        <v>2.21</v>
      </c>
      <c r="G247">
        <v>1.45</v>
      </c>
      <c r="H247">
        <v>0.93</v>
      </c>
      <c r="I247">
        <v>6.91</v>
      </c>
      <c r="J247">
        <v>1.71</v>
      </c>
      <c r="K247">
        <v>2.56</v>
      </c>
      <c r="L247" t="s">
        <v>8</v>
      </c>
      <c r="M247" t="s">
        <v>70</v>
      </c>
    </row>
    <row r="248" spans="1:13" x14ac:dyDescent="0.45">
      <c r="A248" t="s">
        <v>7</v>
      </c>
      <c r="B248" t="s">
        <v>143</v>
      </c>
      <c r="C248">
        <v>2050</v>
      </c>
      <c r="D248">
        <v>30</v>
      </c>
      <c r="E248">
        <v>2.68</v>
      </c>
      <c r="F248">
        <v>2.4300000000000002</v>
      </c>
      <c r="G248">
        <v>1.27</v>
      </c>
      <c r="H248">
        <v>0.92</v>
      </c>
      <c r="I248">
        <v>5.85</v>
      </c>
      <c r="J248">
        <v>1.77</v>
      </c>
      <c r="K248">
        <v>2.85</v>
      </c>
      <c r="L248" t="s">
        <v>8</v>
      </c>
      <c r="M248" t="s">
        <v>70</v>
      </c>
    </row>
    <row r="249" spans="1:13" x14ac:dyDescent="0.45">
      <c r="A249" t="s">
        <v>9</v>
      </c>
      <c r="B249" t="s">
        <v>143</v>
      </c>
      <c r="C249">
        <v>2020</v>
      </c>
      <c r="D249">
        <v>45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143</v>
      </c>
      <c r="C250">
        <v>2025</v>
      </c>
      <c r="D250">
        <v>45</v>
      </c>
      <c r="E250">
        <v>1.1200000000000001</v>
      </c>
      <c r="F250">
        <v>1.1200000000000001</v>
      </c>
      <c r="G250">
        <v>0.21</v>
      </c>
      <c r="H250">
        <v>0.8</v>
      </c>
      <c r="I250">
        <v>2.2599999999999998</v>
      </c>
      <c r="J250">
        <v>1.02</v>
      </c>
      <c r="K250">
        <v>1.18</v>
      </c>
      <c r="L250" t="s">
        <v>10</v>
      </c>
      <c r="M250" t="s">
        <v>70</v>
      </c>
    </row>
    <row r="251" spans="1:13" x14ac:dyDescent="0.45">
      <c r="A251" t="s">
        <v>9</v>
      </c>
      <c r="B251" t="s">
        <v>143</v>
      </c>
      <c r="C251">
        <v>2030</v>
      </c>
      <c r="D251">
        <v>45</v>
      </c>
      <c r="E251">
        <v>1.1499999999999999</v>
      </c>
      <c r="F251">
        <v>1.1000000000000001</v>
      </c>
      <c r="G251">
        <v>0.2</v>
      </c>
      <c r="H251">
        <v>0.94</v>
      </c>
      <c r="I251">
        <v>2.16</v>
      </c>
      <c r="J251">
        <v>1.04</v>
      </c>
      <c r="K251">
        <v>1.25</v>
      </c>
      <c r="L251" t="s">
        <v>10</v>
      </c>
      <c r="M251" t="s">
        <v>70</v>
      </c>
    </row>
    <row r="252" spans="1:13" x14ac:dyDescent="0.45">
      <c r="A252" t="s">
        <v>9</v>
      </c>
      <c r="B252" t="s">
        <v>143</v>
      </c>
      <c r="C252">
        <v>2035</v>
      </c>
      <c r="D252">
        <v>45</v>
      </c>
      <c r="E252">
        <v>1.21</v>
      </c>
      <c r="F252">
        <v>1.1100000000000001</v>
      </c>
      <c r="G252">
        <v>0.28000000000000003</v>
      </c>
      <c r="H252">
        <v>0.95</v>
      </c>
      <c r="I252">
        <v>2.5</v>
      </c>
      <c r="J252">
        <v>1.05</v>
      </c>
      <c r="K252">
        <v>1.3</v>
      </c>
      <c r="L252" t="s">
        <v>10</v>
      </c>
      <c r="M252" t="s">
        <v>70</v>
      </c>
    </row>
    <row r="253" spans="1:13" x14ac:dyDescent="0.45">
      <c r="A253" t="s">
        <v>9</v>
      </c>
      <c r="B253" t="s">
        <v>143</v>
      </c>
      <c r="C253">
        <v>2040</v>
      </c>
      <c r="D253">
        <v>45</v>
      </c>
      <c r="E253">
        <v>1.3</v>
      </c>
      <c r="F253">
        <v>1.17</v>
      </c>
      <c r="G253">
        <v>0.38</v>
      </c>
      <c r="H253">
        <v>1.03</v>
      </c>
      <c r="I253">
        <v>2.95</v>
      </c>
      <c r="J253">
        <v>1.0900000000000001</v>
      </c>
      <c r="K253">
        <v>1.32</v>
      </c>
      <c r="L253" t="s">
        <v>10</v>
      </c>
      <c r="M253" t="s">
        <v>70</v>
      </c>
    </row>
    <row r="254" spans="1:13" x14ac:dyDescent="0.45">
      <c r="A254" t="s">
        <v>9</v>
      </c>
      <c r="B254" t="s">
        <v>143</v>
      </c>
      <c r="C254">
        <v>2045</v>
      </c>
      <c r="D254">
        <v>45</v>
      </c>
      <c r="E254">
        <v>1.38</v>
      </c>
      <c r="F254">
        <v>1.1499999999999999</v>
      </c>
      <c r="G254">
        <v>0.56999999999999995</v>
      </c>
      <c r="H254">
        <v>0.99</v>
      </c>
      <c r="I254">
        <v>3.67</v>
      </c>
      <c r="J254">
        <v>1.1100000000000001</v>
      </c>
      <c r="K254">
        <v>1.39</v>
      </c>
      <c r="L254" t="s">
        <v>10</v>
      </c>
      <c r="M254" t="s">
        <v>70</v>
      </c>
    </row>
    <row r="255" spans="1:13" x14ac:dyDescent="0.45">
      <c r="A255" t="s">
        <v>9</v>
      </c>
      <c r="B255" t="s">
        <v>143</v>
      </c>
      <c r="C255">
        <v>2050</v>
      </c>
      <c r="D255">
        <v>45</v>
      </c>
      <c r="E255">
        <v>1.42</v>
      </c>
      <c r="F255">
        <v>1.26</v>
      </c>
      <c r="G255">
        <v>0.52</v>
      </c>
      <c r="H255">
        <v>1.07</v>
      </c>
      <c r="I255">
        <v>3.6</v>
      </c>
      <c r="J255">
        <v>1.1599999999999999</v>
      </c>
      <c r="K255">
        <v>1.4</v>
      </c>
      <c r="L255" t="s">
        <v>10</v>
      </c>
      <c r="M255" t="s">
        <v>70</v>
      </c>
    </row>
    <row r="256" spans="1:13" x14ac:dyDescent="0.45">
      <c r="A256" t="s">
        <v>0</v>
      </c>
      <c r="B256" t="s">
        <v>143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143</v>
      </c>
      <c r="C257">
        <v>2025</v>
      </c>
      <c r="D257">
        <v>50</v>
      </c>
      <c r="E257">
        <v>1.5</v>
      </c>
      <c r="F257">
        <v>1.42</v>
      </c>
      <c r="G257">
        <v>0.76</v>
      </c>
      <c r="H257">
        <v>0</v>
      </c>
      <c r="I257">
        <v>3.48</v>
      </c>
      <c r="J257">
        <v>0.9</v>
      </c>
      <c r="K257">
        <v>2.0499999999999998</v>
      </c>
      <c r="L257" t="s">
        <v>1</v>
      </c>
      <c r="M257" t="s">
        <v>71</v>
      </c>
    </row>
    <row r="258" spans="1:13" x14ac:dyDescent="0.45">
      <c r="A258" t="s">
        <v>0</v>
      </c>
      <c r="B258" t="s">
        <v>143</v>
      </c>
      <c r="C258">
        <v>2030</v>
      </c>
      <c r="D258">
        <v>50</v>
      </c>
      <c r="E258">
        <v>1.99</v>
      </c>
      <c r="F258">
        <v>1.85</v>
      </c>
      <c r="G258">
        <v>0.91</v>
      </c>
      <c r="H258">
        <v>0</v>
      </c>
      <c r="I258">
        <v>4.79</v>
      </c>
      <c r="J258">
        <v>1.31</v>
      </c>
      <c r="K258">
        <v>2.4300000000000002</v>
      </c>
      <c r="L258" t="s">
        <v>1</v>
      </c>
      <c r="M258" t="s">
        <v>71</v>
      </c>
    </row>
    <row r="259" spans="1:13" x14ac:dyDescent="0.45">
      <c r="A259" t="s">
        <v>0</v>
      </c>
      <c r="B259" t="s">
        <v>143</v>
      </c>
      <c r="C259">
        <v>2035</v>
      </c>
      <c r="D259">
        <v>50</v>
      </c>
      <c r="E259">
        <v>2.39</v>
      </c>
      <c r="F259">
        <v>1.87</v>
      </c>
      <c r="G259">
        <v>1.52</v>
      </c>
      <c r="H259">
        <v>0</v>
      </c>
      <c r="I259">
        <v>5.71</v>
      </c>
      <c r="J259">
        <v>1.37</v>
      </c>
      <c r="K259">
        <v>2.9</v>
      </c>
      <c r="L259" t="s">
        <v>1</v>
      </c>
      <c r="M259" t="s">
        <v>71</v>
      </c>
    </row>
    <row r="260" spans="1:13" x14ac:dyDescent="0.45">
      <c r="A260" t="s">
        <v>0</v>
      </c>
      <c r="B260" t="s">
        <v>143</v>
      </c>
      <c r="C260">
        <v>2040</v>
      </c>
      <c r="D260">
        <v>50</v>
      </c>
      <c r="E260">
        <v>2.9</v>
      </c>
      <c r="F260">
        <v>2.13</v>
      </c>
      <c r="G260">
        <v>2.15</v>
      </c>
      <c r="H260">
        <v>-0.41</v>
      </c>
      <c r="I260">
        <v>7.39</v>
      </c>
      <c r="J260">
        <v>1.56</v>
      </c>
      <c r="K260">
        <v>3.34</v>
      </c>
      <c r="L260" t="s">
        <v>1</v>
      </c>
      <c r="M260" t="s">
        <v>71</v>
      </c>
    </row>
    <row r="261" spans="1:13" x14ac:dyDescent="0.45">
      <c r="A261" t="s">
        <v>0</v>
      </c>
      <c r="B261" t="s">
        <v>143</v>
      </c>
      <c r="C261">
        <v>2045</v>
      </c>
      <c r="D261">
        <v>50</v>
      </c>
      <c r="E261">
        <v>2.2999999999999998</v>
      </c>
      <c r="F261">
        <v>2.11</v>
      </c>
      <c r="G261">
        <v>6.44</v>
      </c>
      <c r="H261">
        <v>-37.81</v>
      </c>
      <c r="I261">
        <v>9.43</v>
      </c>
      <c r="J261">
        <v>1.49</v>
      </c>
      <c r="K261">
        <v>2.99</v>
      </c>
      <c r="L261" t="s">
        <v>1</v>
      </c>
      <c r="M261" t="s">
        <v>71</v>
      </c>
    </row>
    <row r="262" spans="1:13" x14ac:dyDescent="0.45">
      <c r="A262" t="s">
        <v>0</v>
      </c>
      <c r="B262" t="s">
        <v>143</v>
      </c>
      <c r="C262">
        <v>2050</v>
      </c>
      <c r="D262">
        <v>50</v>
      </c>
      <c r="E262">
        <v>2.12</v>
      </c>
      <c r="F262">
        <v>1.92</v>
      </c>
      <c r="G262">
        <v>6.13</v>
      </c>
      <c r="H262">
        <v>-28.12</v>
      </c>
      <c r="I262">
        <v>10.3</v>
      </c>
      <c r="J262">
        <v>1.17</v>
      </c>
      <c r="K262">
        <v>3.16</v>
      </c>
      <c r="L262" t="s">
        <v>1</v>
      </c>
      <c r="M262" t="s">
        <v>71</v>
      </c>
    </row>
    <row r="263" spans="1:13" x14ac:dyDescent="0.45">
      <c r="A263" t="s">
        <v>2</v>
      </c>
      <c r="B263" t="s">
        <v>143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143</v>
      </c>
      <c r="C264">
        <v>2025</v>
      </c>
      <c r="D264">
        <v>52</v>
      </c>
      <c r="E264">
        <v>1.18</v>
      </c>
      <c r="F264">
        <v>1.21</v>
      </c>
      <c r="G264">
        <v>0.46</v>
      </c>
      <c r="H264">
        <v>0.62</v>
      </c>
      <c r="I264">
        <v>2.82</v>
      </c>
      <c r="J264">
        <v>0.8</v>
      </c>
      <c r="K264">
        <v>1.38</v>
      </c>
      <c r="L264" t="s">
        <v>3</v>
      </c>
      <c r="M264" t="s">
        <v>71</v>
      </c>
    </row>
    <row r="265" spans="1:13" x14ac:dyDescent="0.45">
      <c r="A265" t="s">
        <v>2</v>
      </c>
      <c r="B265" t="s">
        <v>143</v>
      </c>
      <c r="C265">
        <v>2030</v>
      </c>
      <c r="D265">
        <v>63</v>
      </c>
      <c r="E265">
        <v>1.77</v>
      </c>
      <c r="F265">
        <v>1.24</v>
      </c>
      <c r="G265">
        <v>1.57</v>
      </c>
      <c r="H265">
        <v>0.78</v>
      </c>
      <c r="I265">
        <v>8.74</v>
      </c>
      <c r="J265">
        <v>1.1599999999999999</v>
      </c>
      <c r="K265">
        <v>1.52</v>
      </c>
      <c r="L265" t="s">
        <v>3</v>
      </c>
      <c r="M265" t="s">
        <v>71</v>
      </c>
    </row>
    <row r="266" spans="1:13" x14ac:dyDescent="0.45">
      <c r="A266" t="s">
        <v>2</v>
      </c>
      <c r="B266" t="s">
        <v>143</v>
      </c>
      <c r="C266">
        <v>2035</v>
      </c>
      <c r="D266">
        <v>52</v>
      </c>
      <c r="E266">
        <v>2.12</v>
      </c>
      <c r="F266">
        <v>1.51</v>
      </c>
      <c r="G266">
        <v>1.47</v>
      </c>
      <c r="H266">
        <v>1.05</v>
      </c>
      <c r="I266">
        <v>7.59</v>
      </c>
      <c r="J266">
        <v>1.25</v>
      </c>
      <c r="K266">
        <v>1.98</v>
      </c>
      <c r="L266" t="s">
        <v>3</v>
      </c>
      <c r="M266" t="s">
        <v>71</v>
      </c>
    </row>
    <row r="267" spans="1:13" x14ac:dyDescent="0.45">
      <c r="A267" t="s">
        <v>2</v>
      </c>
      <c r="B267" t="s">
        <v>143</v>
      </c>
      <c r="C267">
        <v>2040</v>
      </c>
      <c r="D267">
        <v>63</v>
      </c>
      <c r="E267">
        <v>2.87</v>
      </c>
      <c r="F267">
        <v>1.76</v>
      </c>
      <c r="G267">
        <v>2.78</v>
      </c>
      <c r="H267">
        <v>0.16</v>
      </c>
      <c r="I267">
        <v>11.99</v>
      </c>
      <c r="J267">
        <v>1.43</v>
      </c>
      <c r="K267">
        <v>2.62</v>
      </c>
      <c r="L267" t="s">
        <v>3</v>
      </c>
      <c r="M267" t="s">
        <v>71</v>
      </c>
    </row>
    <row r="268" spans="1:13" x14ac:dyDescent="0.45">
      <c r="A268" t="s">
        <v>2</v>
      </c>
      <c r="B268" t="s">
        <v>143</v>
      </c>
      <c r="C268">
        <v>2045</v>
      </c>
      <c r="D268">
        <v>52</v>
      </c>
      <c r="E268">
        <v>2.13</v>
      </c>
      <c r="F268">
        <v>1.7</v>
      </c>
      <c r="G268">
        <v>1.46</v>
      </c>
      <c r="H268">
        <v>0.13</v>
      </c>
      <c r="I268">
        <v>8.9499999999999993</v>
      </c>
      <c r="J268">
        <v>1.46</v>
      </c>
      <c r="K268">
        <v>2.2000000000000002</v>
      </c>
      <c r="L268" t="s">
        <v>3</v>
      </c>
      <c r="M268" t="s">
        <v>71</v>
      </c>
    </row>
    <row r="269" spans="1:13" x14ac:dyDescent="0.45">
      <c r="A269" t="s">
        <v>2</v>
      </c>
      <c r="B269" t="s">
        <v>143</v>
      </c>
      <c r="C269">
        <v>2050</v>
      </c>
      <c r="D269">
        <v>63</v>
      </c>
      <c r="E269">
        <v>2.46</v>
      </c>
      <c r="F269">
        <v>1.67</v>
      </c>
      <c r="G269">
        <v>3.22</v>
      </c>
      <c r="H269">
        <v>-2.91</v>
      </c>
      <c r="I269">
        <v>14.36</v>
      </c>
      <c r="J269">
        <v>1.24</v>
      </c>
      <c r="K269">
        <v>2.1</v>
      </c>
      <c r="L269" t="s">
        <v>3</v>
      </c>
      <c r="M269" t="s">
        <v>71</v>
      </c>
    </row>
    <row r="270" spans="1:13" x14ac:dyDescent="0.45">
      <c r="A270" t="s">
        <v>5</v>
      </c>
      <c r="B270" t="s">
        <v>143</v>
      </c>
      <c r="C270">
        <v>2020</v>
      </c>
      <c r="D270">
        <v>166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143</v>
      </c>
      <c r="C271">
        <v>2025</v>
      </c>
      <c r="D271">
        <v>163</v>
      </c>
      <c r="E271">
        <v>1.1399999999999999</v>
      </c>
      <c r="F271">
        <v>1.18</v>
      </c>
      <c r="G271">
        <v>0.45</v>
      </c>
      <c r="H271">
        <v>0</v>
      </c>
      <c r="I271">
        <v>2.86</v>
      </c>
      <c r="J271">
        <v>0.68</v>
      </c>
      <c r="K271">
        <v>1.41</v>
      </c>
      <c r="L271" t="s">
        <v>6</v>
      </c>
      <c r="M271" t="s">
        <v>71</v>
      </c>
    </row>
    <row r="272" spans="1:13" x14ac:dyDescent="0.45">
      <c r="A272" t="s">
        <v>5</v>
      </c>
      <c r="B272" t="s">
        <v>143</v>
      </c>
      <c r="C272">
        <v>2030</v>
      </c>
      <c r="D272">
        <v>166</v>
      </c>
      <c r="E272">
        <v>1.4</v>
      </c>
      <c r="F272">
        <v>1.26</v>
      </c>
      <c r="G272">
        <v>0.43</v>
      </c>
      <c r="H272">
        <v>0</v>
      </c>
      <c r="I272">
        <v>2.86</v>
      </c>
      <c r="J272">
        <v>1.1399999999999999</v>
      </c>
      <c r="K272">
        <v>1.63</v>
      </c>
      <c r="L272" t="s">
        <v>6</v>
      </c>
      <c r="M272" t="s">
        <v>71</v>
      </c>
    </row>
    <row r="273" spans="1:13" x14ac:dyDescent="0.45">
      <c r="A273" t="s">
        <v>5</v>
      </c>
      <c r="B273" t="s">
        <v>143</v>
      </c>
      <c r="C273">
        <v>2035</v>
      </c>
      <c r="D273">
        <v>163</v>
      </c>
      <c r="E273">
        <v>1.62</v>
      </c>
      <c r="F273">
        <v>1.41</v>
      </c>
      <c r="G273">
        <v>0.74</v>
      </c>
      <c r="H273">
        <v>0</v>
      </c>
      <c r="I273">
        <v>5.04</v>
      </c>
      <c r="J273">
        <v>1.0900000000000001</v>
      </c>
      <c r="K273">
        <v>2.0499999999999998</v>
      </c>
      <c r="L273" t="s">
        <v>6</v>
      </c>
      <c r="M273" t="s">
        <v>71</v>
      </c>
    </row>
    <row r="274" spans="1:13" x14ac:dyDescent="0.45">
      <c r="A274" t="s">
        <v>5</v>
      </c>
      <c r="B274" t="s">
        <v>143</v>
      </c>
      <c r="C274">
        <v>2040</v>
      </c>
      <c r="D274">
        <v>166</v>
      </c>
      <c r="E274">
        <v>1.84</v>
      </c>
      <c r="F274">
        <v>1.54</v>
      </c>
      <c r="G274">
        <v>0.88</v>
      </c>
      <c r="H274">
        <v>0</v>
      </c>
      <c r="I274">
        <v>4.58</v>
      </c>
      <c r="J274">
        <v>1.22</v>
      </c>
      <c r="K274">
        <v>2.3199999999999998</v>
      </c>
      <c r="L274" t="s">
        <v>6</v>
      </c>
      <c r="M274" t="s">
        <v>71</v>
      </c>
    </row>
    <row r="275" spans="1:13" x14ac:dyDescent="0.45">
      <c r="A275" t="s">
        <v>5</v>
      </c>
      <c r="B275" t="s">
        <v>143</v>
      </c>
      <c r="C275">
        <v>2045</v>
      </c>
      <c r="D275">
        <v>163</v>
      </c>
      <c r="E275">
        <v>2.14</v>
      </c>
      <c r="F275">
        <v>1.71</v>
      </c>
      <c r="G275">
        <v>1.08</v>
      </c>
      <c r="H275">
        <v>-0.62</v>
      </c>
      <c r="I275">
        <v>5.16</v>
      </c>
      <c r="J275">
        <v>1.43</v>
      </c>
      <c r="K275">
        <v>2.8</v>
      </c>
      <c r="L275" t="s">
        <v>6</v>
      </c>
      <c r="M275" t="s">
        <v>71</v>
      </c>
    </row>
    <row r="276" spans="1:13" x14ac:dyDescent="0.45">
      <c r="A276" t="s">
        <v>5</v>
      </c>
      <c r="B276" t="s">
        <v>143</v>
      </c>
      <c r="C276">
        <v>2050</v>
      </c>
      <c r="D276">
        <v>166</v>
      </c>
      <c r="E276">
        <v>1.95</v>
      </c>
      <c r="F276">
        <v>1.7</v>
      </c>
      <c r="G276">
        <v>2.5099999999999998</v>
      </c>
      <c r="H276">
        <v>-26.27</v>
      </c>
      <c r="I276">
        <v>5.75</v>
      </c>
      <c r="J276">
        <v>1.41</v>
      </c>
      <c r="K276">
        <v>2.5</v>
      </c>
      <c r="L276" t="s">
        <v>6</v>
      </c>
      <c r="M276" t="s">
        <v>71</v>
      </c>
    </row>
    <row r="277" spans="1:13" x14ac:dyDescent="0.45">
      <c r="A277" t="s">
        <v>7</v>
      </c>
      <c r="B277" t="s">
        <v>143</v>
      </c>
      <c r="C277">
        <v>2020</v>
      </c>
      <c r="D277">
        <v>51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143</v>
      </c>
      <c r="C278">
        <v>2025</v>
      </c>
      <c r="D278">
        <v>51</v>
      </c>
      <c r="E278">
        <v>1.35</v>
      </c>
      <c r="F278">
        <v>1.3</v>
      </c>
      <c r="G278">
        <v>0.14000000000000001</v>
      </c>
      <c r="H278">
        <v>1.01</v>
      </c>
      <c r="I278">
        <v>1.56</v>
      </c>
      <c r="J278">
        <v>1.29</v>
      </c>
      <c r="K278">
        <v>1.41</v>
      </c>
      <c r="L278" t="s">
        <v>8</v>
      </c>
      <c r="M278" t="s">
        <v>71</v>
      </c>
    </row>
    <row r="279" spans="1:13" x14ac:dyDescent="0.45">
      <c r="A279" t="s">
        <v>7</v>
      </c>
      <c r="B279" t="s">
        <v>143</v>
      </c>
      <c r="C279">
        <v>2030</v>
      </c>
      <c r="D279">
        <v>51</v>
      </c>
      <c r="E279">
        <v>1.44</v>
      </c>
      <c r="F279">
        <v>1.39</v>
      </c>
      <c r="G279">
        <v>0.27</v>
      </c>
      <c r="H279">
        <v>1</v>
      </c>
      <c r="I279">
        <v>2.2000000000000002</v>
      </c>
      <c r="J279">
        <v>1.24</v>
      </c>
      <c r="K279">
        <v>1.52</v>
      </c>
      <c r="L279" t="s">
        <v>8</v>
      </c>
      <c r="M279" t="s">
        <v>71</v>
      </c>
    </row>
    <row r="280" spans="1:13" x14ac:dyDescent="0.45">
      <c r="A280" t="s">
        <v>7</v>
      </c>
      <c r="B280" t="s">
        <v>143</v>
      </c>
      <c r="C280">
        <v>2035</v>
      </c>
      <c r="D280">
        <v>51</v>
      </c>
      <c r="E280">
        <v>1.53</v>
      </c>
      <c r="F280">
        <v>1.52</v>
      </c>
      <c r="G280">
        <v>0.18</v>
      </c>
      <c r="H280">
        <v>1.02</v>
      </c>
      <c r="I280">
        <v>1.98</v>
      </c>
      <c r="J280">
        <v>1.42</v>
      </c>
      <c r="K280">
        <v>1.6</v>
      </c>
      <c r="L280" t="s">
        <v>8</v>
      </c>
      <c r="M280" t="s">
        <v>71</v>
      </c>
    </row>
    <row r="281" spans="1:13" x14ac:dyDescent="0.45">
      <c r="A281" t="s">
        <v>7</v>
      </c>
      <c r="B281" t="s">
        <v>143</v>
      </c>
      <c r="C281">
        <v>2040</v>
      </c>
      <c r="D281">
        <v>51</v>
      </c>
      <c r="E281">
        <v>1.66</v>
      </c>
      <c r="F281">
        <v>1.55</v>
      </c>
      <c r="G281">
        <v>0.32</v>
      </c>
      <c r="H281">
        <v>1.02</v>
      </c>
      <c r="I281">
        <v>2.5499999999999998</v>
      </c>
      <c r="J281">
        <v>1.44</v>
      </c>
      <c r="K281">
        <v>1.87</v>
      </c>
      <c r="L281" t="s">
        <v>8</v>
      </c>
      <c r="M281" t="s">
        <v>71</v>
      </c>
    </row>
    <row r="282" spans="1:13" x14ac:dyDescent="0.45">
      <c r="A282" t="s">
        <v>7</v>
      </c>
      <c r="B282" t="s">
        <v>143</v>
      </c>
      <c r="C282">
        <v>2045</v>
      </c>
      <c r="D282">
        <v>51</v>
      </c>
      <c r="E282">
        <v>1.97</v>
      </c>
      <c r="F282">
        <v>1.89</v>
      </c>
      <c r="G282">
        <v>0.34</v>
      </c>
      <c r="H282">
        <v>1.04</v>
      </c>
      <c r="I282">
        <v>2.87</v>
      </c>
      <c r="J282">
        <v>1.69</v>
      </c>
      <c r="K282">
        <v>2.17</v>
      </c>
      <c r="L282" t="s">
        <v>8</v>
      </c>
      <c r="M282" t="s">
        <v>71</v>
      </c>
    </row>
    <row r="283" spans="1:13" x14ac:dyDescent="0.45">
      <c r="A283" t="s">
        <v>7</v>
      </c>
      <c r="B283" t="s">
        <v>143</v>
      </c>
      <c r="C283">
        <v>2050</v>
      </c>
      <c r="D283">
        <v>51</v>
      </c>
      <c r="E283">
        <v>1.97</v>
      </c>
      <c r="F283">
        <v>1.83</v>
      </c>
      <c r="G283">
        <v>0.46</v>
      </c>
      <c r="H283">
        <v>0.96</v>
      </c>
      <c r="I283">
        <v>3.16</v>
      </c>
      <c r="J283">
        <v>1.62</v>
      </c>
      <c r="K283">
        <v>2.35</v>
      </c>
      <c r="L283" t="s">
        <v>8</v>
      </c>
      <c r="M283" t="s">
        <v>71</v>
      </c>
    </row>
    <row r="284" spans="1:13" x14ac:dyDescent="0.45">
      <c r="A284" t="s">
        <v>9</v>
      </c>
      <c r="B284" t="s">
        <v>143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143</v>
      </c>
      <c r="C285">
        <v>2025</v>
      </c>
      <c r="D285">
        <v>43</v>
      </c>
      <c r="E285">
        <v>0.86</v>
      </c>
      <c r="F285">
        <v>1.01</v>
      </c>
      <c r="G285">
        <v>0.33</v>
      </c>
      <c r="H285">
        <v>0.42</v>
      </c>
      <c r="I285">
        <v>1.56</v>
      </c>
      <c r="J285">
        <v>0.49</v>
      </c>
      <c r="K285">
        <v>1.08</v>
      </c>
      <c r="L285" t="s">
        <v>10</v>
      </c>
      <c r="M285" t="s">
        <v>71</v>
      </c>
    </row>
    <row r="286" spans="1:13" x14ac:dyDescent="0.45">
      <c r="A286" t="s">
        <v>9</v>
      </c>
      <c r="B286" t="s">
        <v>143</v>
      </c>
      <c r="C286">
        <v>2030</v>
      </c>
      <c r="D286">
        <v>43</v>
      </c>
      <c r="E286">
        <v>1.07</v>
      </c>
      <c r="F286">
        <v>1.03</v>
      </c>
      <c r="G286">
        <v>0.16</v>
      </c>
      <c r="H286">
        <v>0.82</v>
      </c>
      <c r="I286">
        <v>1.47</v>
      </c>
      <c r="J286">
        <v>0.94</v>
      </c>
      <c r="K286">
        <v>1.1399999999999999</v>
      </c>
      <c r="L286" t="s">
        <v>10</v>
      </c>
      <c r="M286" t="s">
        <v>71</v>
      </c>
    </row>
    <row r="287" spans="1:13" x14ac:dyDescent="0.45">
      <c r="A287" t="s">
        <v>9</v>
      </c>
      <c r="B287" t="s">
        <v>143</v>
      </c>
      <c r="C287">
        <v>2035</v>
      </c>
      <c r="D287">
        <v>43</v>
      </c>
      <c r="E287">
        <v>1.03</v>
      </c>
      <c r="F287">
        <v>1</v>
      </c>
      <c r="G287">
        <v>0.26</v>
      </c>
      <c r="H287">
        <v>0.7</v>
      </c>
      <c r="I287">
        <v>1.65</v>
      </c>
      <c r="J287">
        <v>0.81</v>
      </c>
      <c r="K287">
        <v>1.19</v>
      </c>
      <c r="L287" t="s">
        <v>10</v>
      </c>
      <c r="M287" t="s">
        <v>71</v>
      </c>
    </row>
    <row r="288" spans="1:13" x14ac:dyDescent="0.45">
      <c r="A288" t="s">
        <v>9</v>
      </c>
      <c r="B288" t="s">
        <v>143</v>
      </c>
      <c r="C288">
        <v>2040</v>
      </c>
      <c r="D288">
        <v>43</v>
      </c>
      <c r="E288">
        <v>1.0900000000000001</v>
      </c>
      <c r="F288">
        <v>1.04</v>
      </c>
      <c r="G288">
        <v>0.25</v>
      </c>
      <c r="H288">
        <v>0.73</v>
      </c>
      <c r="I288">
        <v>1.71</v>
      </c>
      <c r="J288">
        <v>0.93</v>
      </c>
      <c r="K288">
        <v>1.22</v>
      </c>
      <c r="L288" t="s">
        <v>10</v>
      </c>
      <c r="M288" t="s">
        <v>71</v>
      </c>
    </row>
    <row r="289" spans="1:13" x14ac:dyDescent="0.45">
      <c r="A289" t="s">
        <v>9</v>
      </c>
      <c r="B289" t="s">
        <v>143</v>
      </c>
      <c r="C289">
        <v>2045</v>
      </c>
      <c r="D289">
        <v>43</v>
      </c>
      <c r="E289">
        <v>1.21</v>
      </c>
      <c r="F289">
        <v>1.17</v>
      </c>
      <c r="G289">
        <v>0.22</v>
      </c>
      <c r="H289">
        <v>0.9</v>
      </c>
      <c r="I289">
        <v>1.81</v>
      </c>
      <c r="J289">
        <v>1.03</v>
      </c>
      <c r="K289">
        <v>1.37</v>
      </c>
      <c r="L289" t="s">
        <v>10</v>
      </c>
      <c r="M289" t="s">
        <v>71</v>
      </c>
    </row>
    <row r="290" spans="1:13" x14ac:dyDescent="0.45">
      <c r="A290" t="s">
        <v>9</v>
      </c>
      <c r="B290" t="s">
        <v>143</v>
      </c>
      <c r="C290">
        <v>2050</v>
      </c>
      <c r="D290">
        <v>43</v>
      </c>
      <c r="E290">
        <v>1.25</v>
      </c>
      <c r="F290">
        <v>1.22</v>
      </c>
      <c r="G290">
        <v>0.27</v>
      </c>
      <c r="H290">
        <v>0.92</v>
      </c>
      <c r="I290">
        <v>1.97</v>
      </c>
      <c r="J290">
        <v>1.03</v>
      </c>
      <c r="K290">
        <v>1.43</v>
      </c>
      <c r="L290" t="s">
        <v>10</v>
      </c>
      <c r="M290" t="s">
        <v>71</v>
      </c>
    </row>
    <row r="291" spans="1:13" x14ac:dyDescent="0.45">
      <c r="A291" t="s">
        <v>0</v>
      </c>
      <c r="B291" t="s">
        <v>143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143</v>
      </c>
      <c r="C292">
        <v>2025</v>
      </c>
      <c r="D292">
        <v>20</v>
      </c>
      <c r="E292">
        <v>4.66</v>
      </c>
      <c r="F292">
        <v>4.62</v>
      </c>
      <c r="G292">
        <v>3.26</v>
      </c>
      <c r="H292">
        <v>0</v>
      </c>
      <c r="I292">
        <v>14.32</v>
      </c>
      <c r="J292">
        <v>2.0499999999999998</v>
      </c>
      <c r="K292">
        <v>5.86</v>
      </c>
      <c r="L292" t="s">
        <v>1</v>
      </c>
      <c r="M292" t="s">
        <v>72</v>
      </c>
    </row>
    <row r="293" spans="1:13" x14ac:dyDescent="0.45">
      <c r="A293" t="s">
        <v>0</v>
      </c>
      <c r="B293" t="s">
        <v>143</v>
      </c>
      <c r="C293">
        <v>2030</v>
      </c>
      <c r="D293">
        <v>20</v>
      </c>
      <c r="E293">
        <v>7.01</v>
      </c>
      <c r="F293">
        <v>7.6</v>
      </c>
      <c r="G293">
        <v>5.27</v>
      </c>
      <c r="H293">
        <v>0</v>
      </c>
      <c r="I293">
        <v>22.56</v>
      </c>
      <c r="J293">
        <v>2.94</v>
      </c>
      <c r="K293">
        <v>7.95</v>
      </c>
      <c r="L293" t="s">
        <v>1</v>
      </c>
      <c r="M293" t="s">
        <v>72</v>
      </c>
    </row>
    <row r="294" spans="1:13" x14ac:dyDescent="0.45">
      <c r="A294" t="s">
        <v>0</v>
      </c>
      <c r="B294" t="s">
        <v>143</v>
      </c>
      <c r="C294">
        <v>2035</v>
      </c>
      <c r="D294">
        <v>20</v>
      </c>
      <c r="E294">
        <v>10.25</v>
      </c>
      <c r="F294">
        <v>11.8</v>
      </c>
      <c r="G294">
        <v>7.06</v>
      </c>
      <c r="H294">
        <v>0</v>
      </c>
      <c r="I294">
        <v>27.5</v>
      </c>
      <c r="J294">
        <v>4.17</v>
      </c>
      <c r="K294">
        <v>14.14</v>
      </c>
      <c r="L294" t="s">
        <v>1</v>
      </c>
      <c r="M294" t="s">
        <v>72</v>
      </c>
    </row>
    <row r="295" spans="1:13" x14ac:dyDescent="0.45">
      <c r="A295" t="s">
        <v>0</v>
      </c>
      <c r="B295" t="s">
        <v>143</v>
      </c>
      <c r="C295">
        <v>2040</v>
      </c>
      <c r="D295">
        <v>20</v>
      </c>
      <c r="E295">
        <v>13.73</v>
      </c>
      <c r="F295">
        <v>15.04</v>
      </c>
      <c r="G295">
        <v>8.98</v>
      </c>
      <c r="H295">
        <v>0</v>
      </c>
      <c r="I295">
        <v>32.64</v>
      </c>
      <c r="J295">
        <v>4.49</v>
      </c>
      <c r="K295">
        <v>19.87</v>
      </c>
      <c r="L295" t="s">
        <v>1</v>
      </c>
      <c r="M295" t="s">
        <v>72</v>
      </c>
    </row>
    <row r="296" spans="1:13" x14ac:dyDescent="0.45">
      <c r="A296" t="s">
        <v>0</v>
      </c>
      <c r="B296" t="s">
        <v>143</v>
      </c>
      <c r="C296">
        <v>2045</v>
      </c>
      <c r="D296">
        <v>20</v>
      </c>
      <c r="E296">
        <v>16.2</v>
      </c>
      <c r="F296">
        <v>17.579999999999998</v>
      </c>
      <c r="G296">
        <v>11.84</v>
      </c>
      <c r="H296">
        <v>0</v>
      </c>
      <c r="I296">
        <v>39.76</v>
      </c>
      <c r="J296">
        <v>3.7</v>
      </c>
      <c r="K296">
        <v>24.78</v>
      </c>
      <c r="L296" t="s">
        <v>1</v>
      </c>
      <c r="M296" t="s">
        <v>72</v>
      </c>
    </row>
    <row r="297" spans="1:13" x14ac:dyDescent="0.45">
      <c r="A297" t="s">
        <v>0</v>
      </c>
      <c r="B297" t="s">
        <v>143</v>
      </c>
      <c r="C297">
        <v>2050</v>
      </c>
      <c r="D297">
        <v>20</v>
      </c>
      <c r="E297">
        <v>17.71</v>
      </c>
      <c r="F297">
        <v>19.32</v>
      </c>
      <c r="G297">
        <v>13.83</v>
      </c>
      <c r="H297">
        <v>0</v>
      </c>
      <c r="I297">
        <v>42.86</v>
      </c>
      <c r="J297">
        <v>2.92</v>
      </c>
      <c r="K297">
        <v>28.86</v>
      </c>
      <c r="L297" t="s">
        <v>1</v>
      </c>
      <c r="M297" t="s">
        <v>72</v>
      </c>
    </row>
    <row r="298" spans="1:13" x14ac:dyDescent="0.45">
      <c r="A298" t="s">
        <v>2</v>
      </c>
      <c r="B298" t="s">
        <v>143</v>
      </c>
      <c r="C298">
        <v>2020</v>
      </c>
      <c r="D298">
        <v>16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143</v>
      </c>
      <c r="C299">
        <v>2025</v>
      </c>
      <c r="D299">
        <v>16</v>
      </c>
      <c r="E299">
        <v>2.66</v>
      </c>
      <c r="F299">
        <v>2.08</v>
      </c>
      <c r="G299">
        <v>1.3</v>
      </c>
      <c r="H299">
        <v>1.95</v>
      </c>
      <c r="I299">
        <v>6.19</v>
      </c>
      <c r="J299">
        <v>2.04</v>
      </c>
      <c r="K299">
        <v>2.73</v>
      </c>
      <c r="L299" t="s">
        <v>3</v>
      </c>
      <c r="M299" t="s">
        <v>72</v>
      </c>
    </row>
    <row r="300" spans="1:13" x14ac:dyDescent="0.45">
      <c r="A300" t="s">
        <v>2</v>
      </c>
      <c r="B300" t="s">
        <v>143</v>
      </c>
      <c r="C300">
        <v>2030</v>
      </c>
      <c r="D300">
        <v>16</v>
      </c>
      <c r="E300">
        <v>2.65</v>
      </c>
      <c r="F300">
        <v>2.19</v>
      </c>
      <c r="G300">
        <v>1.08</v>
      </c>
      <c r="H300">
        <v>1.93</v>
      </c>
      <c r="I300">
        <v>6.22</v>
      </c>
      <c r="J300">
        <v>1.97</v>
      </c>
      <c r="K300">
        <v>2.81</v>
      </c>
      <c r="L300" t="s">
        <v>3</v>
      </c>
      <c r="M300" t="s">
        <v>72</v>
      </c>
    </row>
    <row r="301" spans="1:13" x14ac:dyDescent="0.45">
      <c r="A301" t="s">
        <v>2</v>
      </c>
      <c r="B301" t="s">
        <v>143</v>
      </c>
      <c r="C301">
        <v>2035</v>
      </c>
      <c r="D301">
        <v>16</v>
      </c>
      <c r="E301">
        <v>5.01</v>
      </c>
      <c r="F301">
        <v>3.5</v>
      </c>
      <c r="G301">
        <v>3.36</v>
      </c>
      <c r="H301">
        <v>2.91</v>
      </c>
      <c r="I301">
        <v>14.8</v>
      </c>
      <c r="J301">
        <v>3.03</v>
      </c>
      <c r="K301">
        <v>4.92</v>
      </c>
      <c r="L301" t="s">
        <v>3</v>
      </c>
      <c r="M301" t="s">
        <v>72</v>
      </c>
    </row>
    <row r="302" spans="1:13" x14ac:dyDescent="0.45">
      <c r="A302" t="s">
        <v>2</v>
      </c>
      <c r="B302" t="s">
        <v>143</v>
      </c>
      <c r="C302">
        <v>2040</v>
      </c>
      <c r="D302">
        <v>16</v>
      </c>
      <c r="E302">
        <v>7.09</v>
      </c>
      <c r="F302">
        <v>3.87</v>
      </c>
      <c r="G302">
        <v>6.86</v>
      </c>
      <c r="H302">
        <v>3.51</v>
      </c>
      <c r="I302">
        <v>28.51</v>
      </c>
      <c r="J302">
        <v>3.67</v>
      </c>
      <c r="K302">
        <v>6.19</v>
      </c>
      <c r="L302" t="s">
        <v>3</v>
      </c>
      <c r="M302" t="s">
        <v>72</v>
      </c>
    </row>
    <row r="303" spans="1:13" x14ac:dyDescent="0.45">
      <c r="A303" t="s">
        <v>2</v>
      </c>
      <c r="B303" t="s">
        <v>143</v>
      </c>
      <c r="C303">
        <v>2045</v>
      </c>
      <c r="D303">
        <v>16</v>
      </c>
      <c r="E303">
        <v>5.47</v>
      </c>
      <c r="F303">
        <v>3.47</v>
      </c>
      <c r="G303">
        <v>5.7</v>
      </c>
      <c r="H303">
        <v>2.73</v>
      </c>
      <c r="I303">
        <v>24.57</v>
      </c>
      <c r="J303">
        <v>2.77</v>
      </c>
      <c r="K303">
        <v>4.62</v>
      </c>
      <c r="L303" t="s">
        <v>3</v>
      </c>
      <c r="M303" t="s">
        <v>72</v>
      </c>
    </row>
    <row r="304" spans="1:13" x14ac:dyDescent="0.45">
      <c r="A304" t="s">
        <v>2</v>
      </c>
      <c r="B304" t="s">
        <v>143</v>
      </c>
      <c r="C304">
        <v>2050</v>
      </c>
      <c r="D304">
        <v>16</v>
      </c>
      <c r="E304">
        <v>3.77</v>
      </c>
      <c r="F304">
        <v>2.56</v>
      </c>
      <c r="G304">
        <v>2.0299999999999998</v>
      </c>
      <c r="H304">
        <v>1.79</v>
      </c>
      <c r="I304">
        <v>8.4</v>
      </c>
      <c r="J304">
        <v>2.33</v>
      </c>
      <c r="K304">
        <v>5.25</v>
      </c>
      <c r="L304" t="s">
        <v>3</v>
      </c>
      <c r="M304" t="s">
        <v>72</v>
      </c>
    </row>
    <row r="305" spans="1:13" x14ac:dyDescent="0.45">
      <c r="A305" t="s">
        <v>5</v>
      </c>
      <c r="B305" t="s">
        <v>143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143</v>
      </c>
      <c r="C306">
        <v>2025</v>
      </c>
      <c r="D306">
        <v>70</v>
      </c>
      <c r="E306">
        <v>3.01</v>
      </c>
      <c r="F306">
        <v>2.74</v>
      </c>
      <c r="G306">
        <v>1.33</v>
      </c>
      <c r="H306">
        <v>0</v>
      </c>
      <c r="I306">
        <v>7.19</v>
      </c>
      <c r="J306">
        <v>2.0299999999999998</v>
      </c>
      <c r="K306">
        <v>3.44</v>
      </c>
      <c r="L306" t="s">
        <v>6</v>
      </c>
      <c r="M306" t="s">
        <v>72</v>
      </c>
    </row>
    <row r="307" spans="1:13" x14ac:dyDescent="0.45">
      <c r="A307" t="s">
        <v>5</v>
      </c>
      <c r="B307" t="s">
        <v>143</v>
      </c>
      <c r="C307">
        <v>2030</v>
      </c>
      <c r="D307">
        <v>70</v>
      </c>
      <c r="E307">
        <v>3.82</v>
      </c>
      <c r="F307">
        <v>2.82</v>
      </c>
      <c r="G307">
        <v>2.33</v>
      </c>
      <c r="H307">
        <v>0</v>
      </c>
      <c r="I307">
        <v>11.08</v>
      </c>
      <c r="J307">
        <v>1.97</v>
      </c>
      <c r="K307">
        <v>6.06</v>
      </c>
      <c r="L307" t="s">
        <v>6</v>
      </c>
      <c r="M307" t="s">
        <v>72</v>
      </c>
    </row>
    <row r="308" spans="1:13" x14ac:dyDescent="0.45">
      <c r="A308" t="s">
        <v>5</v>
      </c>
      <c r="B308" t="s">
        <v>143</v>
      </c>
      <c r="C308">
        <v>2035</v>
      </c>
      <c r="D308">
        <v>70</v>
      </c>
      <c r="E308">
        <v>5.33</v>
      </c>
      <c r="F308">
        <v>3.63</v>
      </c>
      <c r="G308">
        <v>3.18</v>
      </c>
      <c r="H308">
        <v>0</v>
      </c>
      <c r="I308">
        <v>14.44</v>
      </c>
      <c r="J308">
        <v>2.74</v>
      </c>
      <c r="K308">
        <v>7.77</v>
      </c>
      <c r="L308" t="s">
        <v>6</v>
      </c>
      <c r="M308" t="s">
        <v>72</v>
      </c>
    </row>
    <row r="309" spans="1:13" x14ac:dyDescent="0.45">
      <c r="A309" t="s">
        <v>5</v>
      </c>
      <c r="B309" t="s">
        <v>143</v>
      </c>
      <c r="C309">
        <v>2040</v>
      </c>
      <c r="D309">
        <v>70</v>
      </c>
      <c r="E309">
        <v>7.1</v>
      </c>
      <c r="F309">
        <v>4.08</v>
      </c>
      <c r="G309">
        <v>4.87</v>
      </c>
      <c r="H309">
        <v>0</v>
      </c>
      <c r="I309">
        <v>19.670000000000002</v>
      </c>
      <c r="J309">
        <v>3.04</v>
      </c>
      <c r="K309">
        <v>10.43</v>
      </c>
      <c r="L309" t="s">
        <v>6</v>
      </c>
      <c r="M309" t="s">
        <v>72</v>
      </c>
    </row>
    <row r="310" spans="1:13" x14ac:dyDescent="0.45">
      <c r="A310" t="s">
        <v>5</v>
      </c>
      <c r="B310" t="s">
        <v>143</v>
      </c>
      <c r="C310">
        <v>2045</v>
      </c>
      <c r="D310">
        <v>70</v>
      </c>
      <c r="E310">
        <v>7.87</v>
      </c>
      <c r="F310">
        <v>3.76</v>
      </c>
      <c r="G310">
        <v>6.33</v>
      </c>
      <c r="H310">
        <v>0</v>
      </c>
      <c r="I310">
        <v>22.2</v>
      </c>
      <c r="J310">
        <v>2.36</v>
      </c>
      <c r="K310">
        <v>12.7</v>
      </c>
      <c r="L310" t="s">
        <v>6</v>
      </c>
      <c r="M310" t="s">
        <v>72</v>
      </c>
    </row>
    <row r="311" spans="1:13" x14ac:dyDescent="0.45">
      <c r="A311" t="s">
        <v>5</v>
      </c>
      <c r="B311" t="s">
        <v>143</v>
      </c>
      <c r="C311">
        <v>2050</v>
      </c>
      <c r="D311">
        <v>70</v>
      </c>
      <c r="E311">
        <v>8.52</v>
      </c>
      <c r="F311">
        <v>3.96</v>
      </c>
      <c r="G311">
        <v>7.58</v>
      </c>
      <c r="H311">
        <v>0</v>
      </c>
      <c r="I311">
        <v>27.22</v>
      </c>
      <c r="J311">
        <v>1.87</v>
      </c>
      <c r="K311">
        <v>13.98</v>
      </c>
      <c r="L311" t="s">
        <v>6</v>
      </c>
      <c r="M311" t="s">
        <v>72</v>
      </c>
    </row>
    <row r="312" spans="1:13" x14ac:dyDescent="0.45">
      <c r="A312" t="s">
        <v>7</v>
      </c>
      <c r="B312" t="s">
        <v>143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143</v>
      </c>
      <c r="C313">
        <v>2025</v>
      </c>
      <c r="D313">
        <v>27</v>
      </c>
      <c r="E313">
        <v>2.84</v>
      </c>
      <c r="F313">
        <v>2.85</v>
      </c>
      <c r="G313">
        <v>1.01</v>
      </c>
      <c r="H313">
        <v>1.32</v>
      </c>
      <c r="I313">
        <v>4.88</v>
      </c>
      <c r="J313">
        <v>1.95</v>
      </c>
      <c r="K313">
        <v>3.37</v>
      </c>
      <c r="L313" t="s">
        <v>8</v>
      </c>
      <c r="M313" t="s">
        <v>72</v>
      </c>
    </row>
    <row r="314" spans="1:13" x14ac:dyDescent="0.45">
      <c r="A314" t="s">
        <v>7</v>
      </c>
      <c r="B314" t="s">
        <v>143</v>
      </c>
      <c r="C314">
        <v>2030</v>
      </c>
      <c r="D314">
        <v>27</v>
      </c>
      <c r="E314">
        <v>3.7</v>
      </c>
      <c r="F314">
        <v>3.47</v>
      </c>
      <c r="G314">
        <v>1.56</v>
      </c>
      <c r="H314">
        <v>1.81</v>
      </c>
      <c r="I314">
        <v>6.76</v>
      </c>
      <c r="J314">
        <v>2.67</v>
      </c>
      <c r="K314">
        <v>4.0999999999999996</v>
      </c>
      <c r="L314" t="s">
        <v>8</v>
      </c>
      <c r="M314" t="s">
        <v>72</v>
      </c>
    </row>
    <row r="315" spans="1:13" x14ac:dyDescent="0.45">
      <c r="A315" t="s">
        <v>7</v>
      </c>
      <c r="B315" t="s">
        <v>143</v>
      </c>
      <c r="C315">
        <v>2035</v>
      </c>
      <c r="D315">
        <v>27</v>
      </c>
      <c r="E315">
        <v>4.17</v>
      </c>
      <c r="F315">
        <v>4.28</v>
      </c>
      <c r="G315">
        <v>1.3</v>
      </c>
      <c r="H315">
        <v>2.09</v>
      </c>
      <c r="I315">
        <v>6.61</v>
      </c>
      <c r="J315">
        <v>3.22</v>
      </c>
      <c r="K315">
        <v>4.8899999999999997</v>
      </c>
      <c r="L315" t="s">
        <v>8</v>
      </c>
      <c r="M315" t="s">
        <v>72</v>
      </c>
    </row>
    <row r="316" spans="1:13" x14ac:dyDescent="0.45">
      <c r="A316" t="s">
        <v>7</v>
      </c>
      <c r="B316" t="s">
        <v>143</v>
      </c>
      <c r="C316">
        <v>2040</v>
      </c>
      <c r="D316">
        <v>27</v>
      </c>
      <c r="E316">
        <v>5.51</v>
      </c>
      <c r="F316">
        <v>5.61</v>
      </c>
      <c r="G316">
        <v>2.21</v>
      </c>
      <c r="H316">
        <v>2.21</v>
      </c>
      <c r="I316">
        <v>12.07</v>
      </c>
      <c r="J316">
        <v>4.8899999999999997</v>
      </c>
      <c r="K316">
        <v>6.72</v>
      </c>
      <c r="L316" t="s">
        <v>8</v>
      </c>
      <c r="M316" t="s">
        <v>72</v>
      </c>
    </row>
    <row r="317" spans="1:13" x14ac:dyDescent="0.45">
      <c r="A317" t="s">
        <v>7</v>
      </c>
      <c r="B317" t="s">
        <v>143</v>
      </c>
      <c r="C317">
        <v>2045</v>
      </c>
      <c r="D317">
        <v>27</v>
      </c>
      <c r="E317">
        <v>6.27</v>
      </c>
      <c r="F317">
        <v>6.66</v>
      </c>
      <c r="G317">
        <v>3.09</v>
      </c>
      <c r="H317">
        <v>1.69</v>
      </c>
      <c r="I317">
        <v>14.6</v>
      </c>
      <c r="J317">
        <v>5.17</v>
      </c>
      <c r="K317">
        <v>7.96</v>
      </c>
      <c r="L317" t="s">
        <v>8</v>
      </c>
      <c r="M317" t="s">
        <v>72</v>
      </c>
    </row>
    <row r="318" spans="1:13" x14ac:dyDescent="0.45">
      <c r="A318" t="s">
        <v>7</v>
      </c>
      <c r="B318" t="s">
        <v>143</v>
      </c>
      <c r="C318">
        <v>2050</v>
      </c>
      <c r="D318">
        <v>27</v>
      </c>
      <c r="E318">
        <v>6.38</v>
      </c>
      <c r="F318">
        <v>7.26</v>
      </c>
      <c r="G318">
        <v>3.28</v>
      </c>
      <c r="H318">
        <v>1.1499999999999999</v>
      </c>
      <c r="I318">
        <v>11.22</v>
      </c>
      <c r="J318">
        <v>4.68</v>
      </c>
      <c r="K318">
        <v>8.56</v>
      </c>
      <c r="L318" t="s">
        <v>8</v>
      </c>
      <c r="M318" t="s">
        <v>72</v>
      </c>
    </row>
    <row r="319" spans="1:13" x14ac:dyDescent="0.45">
      <c r="A319" t="s">
        <v>9</v>
      </c>
      <c r="B319" t="s">
        <v>143</v>
      </c>
      <c r="C319">
        <v>2020</v>
      </c>
      <c r="D319">
        <v>17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143</v>
      </c>
      <c r="C320">
        <v>2025</v>
      </c>
      <c r="D320">
        <v>17</v>
      </c>
      <c r="E320">
        <v>1.62</v>
      </c>
      <c r="F320">
        <v>1.05</v>
      </c>
      <c r="G320">
        <v>1.1299999999999999</v>
      </c>
      <c r="H320">
        <v>1.03</v>
      </c>
      <c r="I320">
        <v>4.88</v>
      </c>
      <c r="J320">
        <v>1.04</v>
      </c>
      <c r="K320">
        <v>2.0299999999999998</v>
      </c>
      <c r="L320" t="s">
        <v>10</v>
      </c>
      <c r="M320" t="s">
        <v>72</v>
      </c>
    </row>
    <row r="321" spans="1:13" x14ac:dyDescent="0.45">
      <c r="A321" t="s">
        <v>9</v>
      </c>
      <c r="B321" t="s">
        <v>143</v>
      </c>
      <c r="C321">
        <v>2030</v>
      </c>
      <c r="D321">
        <v>17</v>
      </c>
      <c r="E321">
        <v>1.56</v>
      </c>
      <c r="F321">
        <v>1.1100000000000001</v>
      </c>
      <c r="G321">
        <v>0.93</v>
      </c>
      <c r="H321">
        <v>1.07</v>
      </c>
      <c r="I321">
        <v>3.92</v>
      </c>
      <c r="J321">
        <v>1.0900000000000001</v>
      </c>
      <c r="K321">
        <v>1.76</v>
      </c>
      <c r="L321" t="s">
        <v>10</v>
      </c>
      <c r="M321" t="s">
        <v>72</v>
      </c>
    </row>
    <row r="322" spans="1:13" x14ac:dyDescent="0.45">
      <c r="A322" t="s">
        <v>9</v>
      </c>
      <c r="B322" t="s">
        <v>143</v>
      </c>
      <c r="C322">
        <v>2035</v>
      </c>
      <c r="D322">
        <v>17</v>
      </c>
      <c r="E322">
        <v>1.62</v>
      </c>
      <c r="F322">
        <v>1.1399999999999999</v>
      </c>
      <c r="G322">
        <v>0.92</v>
      </c>
      <c r="H322">
        <v>1.1000000000000001</v>
      </c>
      <c r="I322">
        <v>3.85</v>
      </c>
      <c r="J322">
        <v>1.1299999999999999</v>
      </c>
      <c r="K322">
        <v>2.0099999999999998</v>
      </c>
      <c r="L322" t="s">
        <v>10</v>
      </c>
      <c r="M322" t="s">
        <v>72</v>
      </c>
    </row>
    <row r="323" spans="1:13" x14ac:dyDescent="0.45">
      <c r="A323" t="s">
        <v>9</v>
      </c>
      <c r="B323" t="s">
        <v>143</v>
      </c>
      <c r="C323">
        <v>2040</v>
      </c>
      <c r="D323">
        <v>17</v>
      </c>
      <c r="E323">
        <v>1.71</v>
      </c>
      <c r="F323">
        <v>1.2</v>
      </c>
      <c r="G323">
        <v>0.97</v>
      </c>
      <c r="H323">
        <v>1.1200000000000001</v>
      </c>
      <c r="I323">
        <v>3.95</v>
      </c>
      <c r="J323">
        <v>1.1399999999999999</v>
      </c>
      <c r="K323">
        <v>2.23</v>
      </c>
      <c r="L323" t="s">
        <v>10</v>
      </c>
      <c r="M323" t="s">
        <v>72</v>
      </c>
    </row>
    <row r="324" spans="1:13" x14ac:dyDescent="0.45">
      <c r="A324" t="s">
        <v>9</v>
      </c>
      <c r="B324" t="s">
        <v>143</v>
      </c>
      <c r="C324">
        <v>2045</v>
      </c>
      <c r="D324">
        <v>17</v>
      </c>
      <c r="E324">
        <v>1.6</v>
      </c>
      <c r="F324">
        <v>1.27</v>
      </c>
      <c r="G324">
        <v>0.93</v>
      </c>
      <c r="H324">
        <v>1.1000000000000001</v>
      </c>
      <c r="I324">
        <v>4.04</v>
      </c>
      <c r="J324">
        <v>1.1599999999999999</v>
      </c>
      <c r="K324">
        <v>1.53</v>
      </c>
      <c r="L324" t="s">
        <v>10</v>
      </c>
      <c r="M324" t="s">
        <v>72</v>
      </c>
    </row>
    <row r="325" spans="1:13" x14ac:dyDescent="0.45">
      <c r="A325" t="s">
        <v>9</v>
      </c>
      <c r="B325" t="s">
        <v>143</v>
      </c>
      <c r="C325">
        <v>2050</v>
      </c>
      <c r="D325">
        <v>17</v>
      </c>
      <c r="E325">
        <v>1.53</v>
      </c>
      <c r="F325">
        <v>1.2</v>
      </c>
      <c r="G325">
        <v>0.98</v>
      </c>
      <c r="H325">
        <v>0.97</v>
      </c>
      <c r="I325">
        <v>4.1399999999999997</v>
      </c>
      <c r="J325">
        <v>1.08</v>
      </c>
      <c r="K325">
        <v>1.35</v>
      </c>
      <c r="L325" t="s">
        <v>10</v>
      </c>
      <c r="M325" t="s">
        <v>72</v>
      </c>
    </row>
    <row r="326" spans="1:13" x14ac:dyDescent="0.45">
      <c r="A326" t="s">
        <v>0</v>
      </c>
      <c r="B326" t="s">
        <v>143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143</v>
      </c>
      <c r="C327">
        <v>2025</v>
      </c>
      <c r="D327">
        <v>7</v>
      </c>
      <c r="E327">
        <v>1.05</v>
      </c>
      <c r="F327">
        <v>1.05</v>
      </c>
      <c r="G327">
        <v>0</v>
      </c>
      <c r="H327">
        <v>1.05</v>
      </c>
      <c r="I327">
        <v>1.06</v>
      </c>
      <c r="J327">
        <v>1.05</v>
      </c>
      <c r="K327">
        <v>1.05</v>
      </c>
      <c r="L327" t="s">
        <v>1</v>
      </c>
      <c r="M327" t="s">
        <v>73</v>
      </c>
    </row>
    <row r="328" spans="1:13" x14ac:dyDescent="0.45">
      <c r="A328" t="s">
        <v>0</v>
      </c>
      <c r="B328" t="s">
        <v>143</v>
      </c>
      <c r="C328">
        <v>2030</v>
      </c>
      <c r="D328">
        <v>7</v>
      </c>
      <c r="E328">
        <v>1.0900000000000001</v>
      </c>
      <c r="F328">
        <v>1.0900000000000001</v>
      </c>
      <c r="G328">
        <v>0.01</v>
      </c>
      <c r="H328">
        <v>1.08</v>
      </c>
      <c r="I328">
        <v>1.1000000000000001</v>
      </c>
      <c r="J328">
        <v>1.0900000000000001</v>
      </c>
      <c r="K328">
        <v>1.1000000000000001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143</v>
      </c>
      <c r="C329">
        <v>2035</v>
      </c>
      <c r="D329">
        <v>7</v>
      </c>
      <c r="E329">
        <v>1.1499999999999999</v>
      </c>
      <c r="F329">
        <v>1.1499999999999999</v>
      </c>
      <c r="G329">
        <v>0.01</v>
      </c>
      <c r="H329">
        <v>1.1299999999999999</v>
      </c>
      <c r="I329">
        <v>1.1599999999999999</v>
      </c>
      <c r="J329">
        <v>1.1399999999999999</v>
      </c>
      <c r="K329">
        <v>1.1499999999999999</v>
      </c>
      <c r="L329" t="s">
        <v>1</v>
      </c>
      <c r="M329" t="s">
        <v>73</v>
      </c>
    </row>
    <row r="330" spans="1:13" x14ac:dyDescent="0.45">
      <c r="A330" t="s">
        <v>0</v>
      </c>
      <c r="B330" t="s">
        <v>143</v>
      </c>
      <c r="C330">
        <v>2040</v>
      </c>
      <c r="D330">
        <v>7</v>
      </c>
      <c r="E330">
        <v>1.19</v>
      </c>
      <c r="F330">
        <v>1.19</v>
      </c>
      <c r="G330">
        <v>0.01</v>
      </c>
      <c r="H330">
        <v>1.18</v>
      </c>
      <c r="I330">
        <v>1.21</v>
      </c>
      <c r="J330">
        <v>1.19</v>
      </c>
      <c r="K330">
        <v>1.2</v>
      </c>
      <c r="L330" t="s">
        <v>1</v>
      </c>
      <c r="M330" t="s">
        <v>73</v>
      </c>
    </row>
    <row r="331" spans="1:13" x14ac:dyDescent="0.45">
      <c r="A331" t="s">
        <v>0</v>
      </c>
      <c r="B331" t="s">
        <v>143</v>
      </c>
      <c r="C331">
        <v>2045</v>
      </c>
      <c r="D331">
        <v>7</v>
      </c>
      <c r="E331">
        <v>1.18</v>
      </c>
      <c r="F331">
        <v>1.17</v>
      </c>
      <c r="G331">
        <v>0.04</v>
      </c>
      <c r="H331">
        <v>1.1299999999999999</v>
      </c>
      <c r="I331">
        <v>1.22</v>
      </c>
      <c r="J331">
        <v>1.1499999999999999</v>
      </c>
      <c r="K331">
        <v>1.21</v>
      </c>
      <c r="L331" t="s">
        <v>1</v>
      </c>
      <c r="M331" t="s">
        <v>73</v>
      </c>
    </row>
    <row r="332" spans="1:13" x14ac:dyDescent="0.45">
      <c r="A332" t="s">
        <v>0</v>
      </c>
      <c r="B332" t="s">
        <v>143</v>
      </c>
      <c r="C332">
        <v>2050</v>
      </c>
      <c r="D332">
        <v>7</v>
      </c>
      <c r="E332">
        <v>1.1499999999999999</v>
      </c>
      <c r="F332">
        <v>1.1399999999999999</v>
      </c>
      <c r="G332">
        <v>7.0000000000000007E-2</v>
      </c>
      <c r="H332">
        <v>1.08</v>
      </c>
      <c r="I332">
        <v>1.28</v>
      </c>
      <c r="J332">
        <v>1.1000000000000001</v>
      </c>
      <c r="K332">
        <v>1.1599999999999999</v>
      </c>
      <c r="L332" t="s">
        <v>1</v>
      </c>
      <c r="M332" t="s">
        <v>73</v>
      </c>
    </row>
    <row r="333" spans="1:13" x14ac:dyDescent="0.45">
      <c r="A333" t="s">
        <v>2</v>
      </c>
      <c r="B333" t="s">
        <v>143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143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1.06</v>
      </c>
      <c r="J334">
        <v>1.05</v>
      </c>
      <c r="K334">
        <v>1.05</v>
      </c>
      <c r="L334" t="s">
        <v>3</v>
      </c>
      <c r="M334" t="s">
        <v>73</v>
      </c>
    </row>
    <row r="335" spans="1:13" x14ac:dyDescent="0.45">
      <c r="A335" t="s">
        <v>2</v>
      </c>
      <c r="B335" t="s">
        <v>143</v>
      </c>
      <c r="C335">
        <v>2030</v>
      </c>
      <c r="D335">
        <v>7</v>
      </c>
      <c r="E335">
        <v>1.0900000000000001</v>
      </c>
      <c r="F335">
        <v>1.1000000000000001</v>
      </c>
      <c r="G335">
        <v>0.01</v>
      </c>
      <c r="H335">
        <v>1.07</v>
      </c>
      <c r="I335">
        <v>1.1000000000000001</v>
      </c>
      <c r="J335">
        <v>1.08</v>
      </c>
      <c r="K335">
        <v>1.1000000000000001</v>
      </c>
      <c r="L335" t="s">
        <v>3</v>
      </c>
      <c r="M335" t="s">
        <v>73</v>
      </c>
    </row>
    <row r="336" spans="1:13" x14ac:dyDescent="0.45">
      <c r="A336" t="s">
        <v>2</v>
      </c>
      <c r="B336" t="s">
        <v>143</v>
      </c>
      <c r="C336">
        <v>2035</v>
      </c>
      <c r="D336">
        <v>7</v>
      </c>
      <c r="E336">
        <v>1.1299999999999999</v>
      </c>
      <c r="F336">
        <v>1.1399999999999999</v>
      </c>
      <c r="G336">
        <v>0.03</v>
      </c>
      <c r="H336">
        <v>1.08</v>
      </c>
      <c r="I336">
        <v>1.1599999999999999</v>
      </c>
      <c r="J336">
        <v>1.1299999999999999</v>
      </c>
      <c r="K336">
        <v>1.1499999999999999</v>
      </c>
      <c r="L336" t="s">
        <v>3</v>
      </c>
      <c r="M336" t="s">
        <v>73</v>
      </c>
    </row>
    <row r="337" spans="1:13" x14ac:dyDescent="0.45">
      <c r="A337" t="s">
        <v>2</v>
      </c>
      <c r="B337" t="s">
        <v>143</v>
      </c>
      <c r="C337">
        <v>2040</v>
      </c>
      <c r="D337">
        <v>7</v>
      </c>
      <c r="E337">
        <v>1.19</v>
      </c>
      <c r="F337">
        <v>1.19</v>
      </c>
      <c r="G337">
        <v>0.03</v>
      </c>
      <c r="H337">
        <v>1.1399999999999999</v>
      </c>
      <c r="I337">
        <v>1.22</v>
      </c>
      <c r="J337">
        <v>1.18</v>
      </c>
      <c r="K337">
        <v>1.2</v>
      </c>
      <c r="L337" t="s">
        <v>3</v>
      </c>
      <c r="M337" t="s">
        <v>73</v>
      </c>
    </row>
    <row r="338" spans="1:13" x14ac:dyDescent="0.45">
      <c r="A338" t="s">
        <v>2</v>
      </c>
      <c r="B338" t="s">
        <v>143</v>
      </c>
      <c r="C338">
        <v>2045</v>
      </c>
      <c r="D338">
        <v>7</v>
      </c>
      <c r="E338">
        <v>1.24</v>
      </c>
      <c r="F338">
        <v>1.24</v>
      </c>
      <c r="G338">
        <v>0.03</v>
      </c>
      <c r="H338">
        <v>1.19</v>
      </c>
      <c r="I338">
        <v>1.27</v>
      </c>
      <c r="J338">
        <v>1.23</v>
      </c>
      <c r="K338">
        <v>1.26</v>
      </c>
      <c r="L338" t="s">
        <v>3</v>
      </c>
      <c r="M338" t="s">
        <v>73</v>
      </c>
    </row>
    <row r="339" spans="1:13" x14ac:dyDescent="0.45">
      <c r="A339" t="s">
        <v>2</v>
      </c>
      <c r="B339" t="s">
        <v>143</v>
      </c>
      <c r="C339">
        <v>2050</v>
      </c>
      <c r="D339">
        <v>7</v>
      </c>
      <c r="E339">
        <v>1.29</v>
      </c>
      <c r="F339">
        <v>1.3</v>
      </c>
      <c r="G339">
        <v>0.03</v>
      </c>
      <c r="H339">
        <v>1.25</v>
      </c>
      <c r="I339">
        <v>1.33</v>
      </c>
      <c r="J339">
        <v>1.27</v>
      </c>
      <c r="K339">
        <v>1.32</v>
      </c>
      <c r="L339" t="s">
        <v>3</v>
      </c>
      <c r="M339" t="s">
        <v>73</v>
      </c>
    </row>
    <row r="340" spans="1:13" x14ac:dyDescent="0.45">
      <c r="A340" t="s">
        <v>5</v>
      </c>
      <c r="B340" t="s">
        <v>143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143</v>
      </c>
      <c r="C341">
        <v>2025</v>
      </c>
      <c r="D341">
        <v>18</v>
      </c>
      <c r="E341">
        <v>1.05</v>
      </c>
      <c r="F341">
        <v>1.05</v>
      </c>
      <c r="G341">
        <v>0.06</v>
      </c>
      <c r="H341">
        <v>0.99</v>
      </c>
      <c r="I341">
        <v>1.21</v>
      </c>
      <c r="J341">
        <v>1</v>
      </c>
      <c r="K341">
        <v>1.05</v>
      </c>
      <c r="L341" t="s">
        <v>6</v>
      </c>
      <c r="M341" t="s">
        <v>73</v>
      </c>
    </row>
    <row r="342" spans="1:13" x14ac:dyDescent="0.45">
      <c r="A342" t="s">
        <v>5</v>
      </c>
      <c r="B342" t="s">
        <v>143</v>
      </c>
      <c r="C342">
        <v>2030</v>
      </c>
      <c r="D342">
        <v>18</v>
      </c>
      <c r="E342">
        <v>1.1399999999999999</v>
      </c>
      <c r="F342">
        <v>1.1000000000000001</v>
      </c>
      <c r="G342">
        <v>0.11</v>
      </c>
      <c r="H342">
        <v>1.03</v>
      </c>
      <c r="I342">
        <v>1.43</v>
      </c>
      <c r="J342">
        <v>1.07</v>
      </c>
      <c r="K342">
        <v>1.18</v>
      </c>
      <c r="L342" t="s">
        <v>6</v>
      </c>
      <c r="M342" t="s">
        <v>73</v>
      </c>
    </row>
    <row r="343" spans="1:13" x14ac:dyDescent="0.45">
      <c r="A343" t="s">
        <v>5</v>
      </c>
      <c r="B343" t="s">
        <v>143</v>
      </c>
      <c r="C343">
        <v>2035</v>
      </c>
      <c r="D343">
        <v>18</v>
      </c>
      <c r="E343">
        <v>1.35</v>
      </c>
      <c r="F343">
        <v>1.23</v>
      </c>
      <c r="G343">
        <v>0.28000000000000003</v>
      </c>
      <c r="H343">
        <v>1.05</v>
      </c>
      <c r="I343">
        <v>1.8</v>
      </c>
      <c r="J343">
        <v>1.1299999999999999</v>
      </c>
      <c r="K343">
        <v>1.64</v>
      </c>
      <c r="L343" t="s">
        <v>6</v>
      </c>
      <c r="M343" t="s">
        <v>73</v>
      </c>
    </row>
    <row r="344" spans="1:13" x14ac:dyDescent="0.45">
      <c r="A344" t="s">
        <v>5</v>
      </c>
      <c r="B344" t="s">
        <v>143</v>
      </c>
      <c r="C344">
        <v>2040</v>
      </c>
      <c r="D344">
        <v>18</v>
      </c>
      <c r="E344">
        <v>1.72</v>
      </c>
      <c r="F344">
        <v>1.46</v>
      </c>
      <c r="G344">
        <v>0.66</v>
      </c>
      <c r="H344">
        <v>1.05</v>
      </c>
      <c r="I344">
        <v>2.86</v>
      </c>
      <c r="J344">
        <v>1.1299999999999999</v>
      </c>
      <c r="K344">
        <v>2.31</v>
      </c>
      <c r="L344" t="s">
        <v>6</v>
      </c>
      <c r="M344" t="s">
        <v>73</v>
      </c>
    </row>
    <row r="345" spans="1:13" x14ac:dyDescent="0.45">
      <c r="A345" t="s">
        <v>5</v>
      </c>
      <c r="B345" t="s">
        <v>143</v>
      </c>
      <c r="C345">
        <v>2045</v>
      </c>
      <c r="D345">
        <v>18</v>
      </c>
      <c r="E345">
        <v>2.02</v>
      </c>
      <c r="F345">
        <v>1.7</v>
      </c>
      <c r="G345">
        <v>0.97</v>
      </c>
      <c r="H345">
        <v>1.03</v>
      </c>
      <c r="I345">
        <v>3.6</v>
      </c>
      <c r="J345">
        <v>1.1499999999999999</v>
      </c>
      <c r="K345">
        <v>2.95</v>
      </c>
      <c r="L345" t="s">
        <v>6</v>
      </c>
      <c r="M345" t="s">
        <v>73</v>
      </c>
    </row>
    <row r="346" spans="1:13" x14ac:dyDescent="0.45">
      <c r="A346" t="s">
        <v>5</v>
      </c>
      <c r="B346" t="s">
        <v>143</v>
      </c>
      <c r="C346">
        <v>2050</v>
      </c>
      <c r="D346">
        <v>18</v>
      </c>
      <c r="E346">
        <v>2.2999999999999998</v>
      </c>
      <c r="F346">
        <v>1.93</v>
      </c>
      <c r="G346">
        <v>1.26</v>
      </c>
      <c r="H346">
        <v>1.03</v>
      </c>
      <c r="I346">
        <v>4.26</v>
      </c>
      <c r="J346">
        <v>1.1100000000000001</v>
      </c>
      <c r="K346">
        <v>3.58</v>
      </c>
      <c r="L346" t="s">
        <v>6</v>
      </c>
      <c r="M346" t="s">
        <v>73</v>
      </c>
    </row>
    <row r="347" spans="1:13" x14ac:dyDescent="0.45">
      <c r="A347" t="s">
        <v>7</v>
      </c>
      <c r="B347" t="s">
        <v>143</v>
      </c>
      <c r="C347">
        <v>2020</v>
      </c>
      <c r="D347">
        <v>9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143</v>
      </c>
      <c r="C348">
        <v>2025</v>
      </c>
      <c r="D348">
        <v>9</v>
      </c>
      <c r="E348">
        <v>1.1100000000000001</v>
      </c>
      <c r="F348">
        <v>1.21</v>
      </c>
      <c r="G348">
        <v>0.11</v>
      </c>
      <c r="H348">
        <v>0.98</v>
      </c>
      <c r="I348">
        <v>1.21</v>
      </c>
      <c r="J348">
        <v>1</v>
      </c>
      <c r="K348">
        <v>1.21</v>
      </c>
      <c r="L348" t="s">
        <v>8</v>
      </c>
      <c r="M348" t="s">
        <v>73</v>
      </c>
    </row>
    <row r="349" spans="1:13" x14ac:dyDescent="0.45">
      <c r="A349" t="s">
        <v>7</v>
      </c>
      <c r="B349" t="s">
        <v>143</v>
      </c>
      <c r="C349">
        <v>2030</v>
      </c>
      <c r="D349">
        <v>9</v>
      </c>
      <c r="E349">
        <v>1.1299999999999999</v>
      </c>
      <c r="F349">
        <v>1.21</v>
      </c>
      <c r="G349">
        <v>0.1</v>
      </c>
      <c r="H349">
        <v>0.99</v>
      </c>
      <c r="I349">
        <v>1.21</v>
      </c>
      <c r="J349">
        <v>1.03</v>
      </c>
      <c r="K349">
        <v>1.21</v>
      </c>
      <c r="L349" t="s">
        <v>8</v>
      </c>
      <c r="M349" t="s">
        <v>73</v>
      </c>
    </row>
    <row r="350" spans="1:13" x14ac:dyDescent="0.45">
      <c r="A350" t="s">
        <v>7</v>
      </c>
      <c r="B350" t="s">
        <v>143</v>
      </c>
      <c r="C350">
        <v>2035</v>
      </c>
      <c r="D350">
        <v>9</v>
      </c>
      <c r="E350">
        <v>1.1200000000000001</v>
      </c>
      <c r="F350">
        <v>1.08</v>
      </c>
      <c r="G350">
        <v>0.16</v>
      </c>
      <c r="H350">
        <v>1</v>
      </c>
      <c r="I350">
        <v>1.5</v>
      </c>
      <c r="J350">
        <v>1.02</v>
      </c>
      <c r="K350">
        <v>1.1499999999999999</v>
      </c>
      <c r="L350" t="s">
        <v>8</v>
      </c>
      <c r="M350" t="s">
        <v>73</v>
      </c>
    </row>
    <row r="351" spans="1:13" x14ac:dyDescent="0.45">
      <c r="A351" t="s">
        <v>7</v>
      </c>
      <c r="B351" t="s">
        <v>143</v>
      </c>
      <c r="C351">
        <v>2040</v>
      </c>
      <c r="D351">
        <v>9</v>
      </c>
      <c r="E351">
        <v>1.31</v>
      </c>
      <c r="F351">
        <v>1.2</v>
      </c>
      <c r="G351">
        <v>0.3</v>
      </c>
      <c r="H351">
        <v>1.02</v>
      </c>
      <c r="I351">
        <v>1.97</v>
      </c>
      <c r="J351">
        <v>1.1100000000000001</v>
      </c>
      <c r="K351">
        <v>1.45</v>
      </c>
      <c r="L351" t="s">
        <v>8</v>
      </c>
      <c r="M351" t="s">
        <v>73</v>
      </c>
    </row>
    <row r="352" spans="1:13" x14ac:dyDescent="0.45">
      <c r="A352" t="s">
        <v>7</v>
      </c>
      <c r="B352" t="s">
        <v>143</v>
      </c>
      <c r="C352">
        <v>2045</v>
      </c>
      <c r="D352">
        <v>9</v>
      </c>
      <c r="E352">
        <v>1.8</v>
      </c>
      <c r="F352">
        <v>1.75</v>
      </c>
      <c r="G352">
        <v>0.46</v>
      </c>
      <c r="H352">
        <v>1.27</v>
      </c>
      <c r="I352">
        <v>2.81</v>
      </c>
      <c r="J352">
        <v>1.51</v>
      </c>
      <c r="K352">
        <v>1.97</v>
      </c>
      <c r="L352" t="s">
        <v>8</v>
      </c>
      <c r="M352" t="s">
        <v>73</v>
      </c>
    </row>
    <row r="353" spans="1:13" x14ac:dyDescent="0.45">
      <c r="A353" t="s">
        <v>7</v>
      </c>
      <c r="B353" t="s">
        <v>143</v>
      </c>
      <c r="C353">
        <v>2050</v>
      </c>
      <c r="D353">
        <v>9</v>
      </c>
      <c r="E353">
        <v>2.25</v>
      </c>
      <c r="F353">
        <v>2.27</v>
      </c>
      <c r="G353">
        <v>0.55000000000000004</v>
      </c>
      <c r="H353">
        <v>1.6</v>
      </c>
      <c r="I353">
        <v>3.49</v>
      </c>
      <c r="J353">
        <v>1.92</v>
      </c>
      <c r="K353">
        <v>2.41</v>
      </c>
      <c r="L353" t="s">
        <v>8</v>
      </c>
      <c r="M353" t="s">
        <v>73</v>
      </c>
    </row>
    <row r="354" spans="1:13" x14ac:dyDescent="0.45">
      <c r="A354" t="s">
        <v>9</v>
      </c>
      <c r="B354" t="s">
        <v>143</v>
      </c>
      <c r="C354">
        <v>2020</v>
      </c>
      <c r="D354">
        <v>7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143</v>
      </c>
      <c r="C355">
        <v>2025</v>
      </c>
      <c r="D355">
        <v>7</v>
      </c>
      <c r="E355">
        <v>1.05</v>
      </c>
      <c r="F355">
        <v>1.05</v>
      </c>
      <c r="G355">
        <v>0.1</v>
      </c>
      <c r="H355">
        <v>0.94</v>
      </c>
      <c r="I355">
        <v>1.21</v>
      </c>
      <c r="J355">
        <v>0.99</v>
      </c>
      <c r="K355">
        <v>1.0900000000000001</v>
      </c>
      <c r="L355" t="s">
        <v>10</v>
      </c>
      <c r="M355" t="s">
        <v>73</v>
      </c>
    </row>
    <row r="356" spans="1:13" x14ac:dyDescent="0.45">
      <c r="A356" t="s">
        <v>9</v>
      </c>
      <c r="B356" t="s">
        <v>143</v>
      </c>
      <c r="C356">
        <v>2030</v>
      </c>
      <c r="D356">
        <v>7</v>
      </c>
      <c r="E356">
        <v>1.06</v>
      </c>
      <c r="F356">
        <v>1.08</v>
      </c>
      <c r="G356">
        <v>0.08</v>
      </c>
      <c r="H356">
        <v>0.97</v>
      </c>
      <c r="I356">
        <v>1.21</v>
      </c>
      <c r="J356">
        <v>0.99</v>
      </c>
      <c r="K356">
        <v>1.08</v>
      </c>
      <c r="L356" t="s">
        <v>10</v>
      </c>
      <c r="M356" t="s">
        <v>73</v>
      </c>
    </row>
    <row r="357" spans="1:13" x14ac:dyDescent="0.45">
      <c r="A357" t="s">
        <v>9</v>
      </c>
      <c r="B357" t="s">
        <v>143</v>
      </c>
      <c r="C357">
        <v>2035</v>
      </c>
      <c r="D357">
        <v>7</v>
      </c>
      <c r="E357">
        <v>1.1000000000000001</v>
      </c>
      <c r="F357">
        <v>1.06</v>
      </c>
      <c r="G357">
        <v>0.09</v>
      </c>
      <c r="H357">
        <v>1.03</v>
      </c>
      <c r="I357">
        <v>1.26</v>
      </c>
      <c r="J357">
        <v>1.04</v>
      </c>
      <c r="K357">
        <v>1.1499999999999999</v>
      </c>
      <c r="L357" t="s">
        <v>10</v>
      </c>
      <c r="M357" t="s">
        <v>73</v>
      </c>
    </row>
    <row r="358" spans="1:13" x14ac:dyDescent="0.45">
      <c r="A358" t="s">
        <v>9</v>
      </c>
      <c r="B358" t="s">
        <v>143</v>
      </c>
      <c r="C358">
        <v>2040</v>
      </c>
      <c r="D358">
        <v>7</v>
      </c>
      <c r="E358">
        <v>1.07</v>
      </c>
      <c r="F358">
        <v>1.04</v>
      </c>
      <c r="G358">
        <v>0.12</v>
      </c>
      <c r="H358">
        <v>0.95</v>
      </c>
      <c r="I358">
        <v>1.32</v>
      </c>
      <c r="J358">
        <v>1.03</v>
      </c>
      <c r="K358">
        <v>1.07</v>
      </c>
      <c r="L358" t="s">
        <v>10</v>
      </c>
      <c r="M358" t="s">
        <v>73</v>
      </c>
    </row>
    <row r="359" spans="1:13" x14ac:dyDescent="0.45">
      <c r="A359" t="s">
        <v>9</v>
      </c>
      <c r="B359" t="s">
        <v>143</v>
      </c>
      <c r="C359">
        <v>2045</v>
      </c>
      <c r="D359">
        <v>7</v>
      </c>
      <c r="E359">
        <v>1.08</v>
      </c>
      <c r="F359">
        <v>1.07</v>
      </c>
      <c r="G359">
        <v>0.09</v>
      </c>
      <c r="H359">
        <v>0.98</v>
      </c>
      <c r="I359">
        <v>1.26</v>
      </c>
      <c r="J359">
        <v>1.04</v>
      </c>
      <c r="K359">
        <v>1.07</v>
      </c>
      <c r="L359" t="s">
        <v>10</v>
      </c>
      <c r="M359" t="s">
        <v>73</v>
      </c>
    </row>
    <row r="360" spans="1:13" x14ac:dyDescent="0.45">
      <c r="A360" t="s">
        <v>9</v>
      </c>
      <c r="B360" t="s">
        <v>143</v>
      </c>
      <c r="C360">
        <v>2050</v>
      </c>
      <c r="D360">
        <v>7</v>
      </c>
      <c r="E360">
        <v>1.1399999999999999</v>
      </c>
      <c r="F360">
        <v>1.2</v>
      </c>
      <c r="G360">
        <v>0.1</v>
      </c>
      <c r="H360">
        <v>1.03</v>
      </c>
      <c r="I360">
        <v>1.23</v>
      </c>
      <c r="J360">
        <v>1.04</v>
      </c>
      <c r="K360">
        <v>1.23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M24"/>
  <sheetViews>
    <sheetView workbookViewId="0">
      <selection activeCell="H21" sqref="H21"/>
    </sheetView>
  </sheetViews>
  <sheetFormatPr defaultRowHeight="14.25" x14ac:dyDescent="0.45"/>
  <sheetData>
    <row r="10" spans="1:13" x14ac:dyDescent="0.45">
      <c r="A10" t="str">
        <f>IFERROR(Veda!D5,"ts_12t")</f>
        <v>ts_annual</v>
      </c>
      <c r="B10" s="15"/>
      <c r="C10" s="15" t="s">
        <v>502</v>
      </c>
      <c r="D10" t="s">
        <v>125</v>
      </c>
      <c r="F10" t="s">
        <v>502</v>
      </c>
      <c r="G10" t="s">
        <v>127</v>
      </c>
      <c r="I10" t="s">
        <v>502</v>
      </c>
      <c r="J10" t="s">
        <v>107</v>
      </c>
      <c r="L10" t="s">
        <v>502</v>
      </c>
      <c r="M10" t="s">
        <v>132</v>
      </c>
    </row>
    <row r="11" spans="1:13" x14ac:dyDescent="0.45">
      <c r="B11" s="15"/>
      <c r="C11" s="15" t="s">
        <v>503</v>
      </c>
      <c r="D11" t="s">
        <v>504</v>
      </c>
      <c r="F11" t="s">
        <v>503</v>
      </c>
      <c r="G11" t="s">
        <v>552</v>
      </c>
      <c r="I11" t="s">
        <v>503</v>
      </c>
      <c r="J11" t="s">
        <v>556</v>
      </c>
      <c r="L11" t="s">
        <v>503</v>
      </c>
      <c r="M11" t="s">
        <v>575</v>
      </c>
    </row>
    <row r="12" spans="1:13" x14ac:dyDescent="0.45">
      <c r="B12" s="15"/>
      <c r="C12" s="15" t="s">
        <v>505</v>
      </c>
      <c r="D12" t="s">
        <v>506</v>
      </c>
      <c r="F12" t="s">
        <v>505</v>
      </c>
      <c r="G12" t="s">
        <v>553</v>
      </c>
      <c r="I12" t="s">
        <v>505</v>
      </c>
      <c r="J12" t="s">
        <v>556</v>
      </c>
      <c r="L12" t="s">
        <v>505</v>
      </c>
      <c r="M12" t="s">
        <v>576</v>
      </c>
    </row>
    <row r="17" spans="3:13" x14ac:dyDescent="0.45">
      <c r="I17" s="12">
        <v>0.75</v>
      </c>
      <c r="K17" s="2" t="s">
        <v>85</v>
      </c>
    </row>
    <row r="18" spans="3:13" ht="17.649999999999999" thickBot="1" x14ac:dyDescent="0.6">
      <c r="C18" s="13" t="s">
        <v>86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87</v>
      </c>
      <c r="D22" s="14" t="s">
        <v>88</v>
      </c>
      <c r="E22" s="14" t="s">
        <v>89</v>
      </c>
      <c r="F22" s="14" t="s">
        <v>90</v>
      </c>
      <c r="G22" s="14" t="s">
        <v>91</v>
      </c>
      <c r="H22" s="14" t="s">
        <v>92</v>
      </c>
      <c r="I22" s="14" t="s">
        <v>93</v>
      </c>
      <c r="J22" s="14" t="s">
        <v>94</v>
      </c>
      <c r="K22" s="14" t="s">
        <v>95</v>
      </c>
    </row>
    <row r="23" spans="3:13" x14ac:dyDescent="0.45">
      <c r="C23" t="s">
        <v>96</v>
      </c>
      <c r="D23" t="s">
        <v>97</v>
      </c>
      <c r="E23" t="str">
        <f>G23</f>
        <v>AuxStoIN</v>
      </c>
      <c r="F23" t="s">
        <v>98</v>
      </c>
      <c r="G23" t="s">
        <v>99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100</v>
      </c>
    </row>
    <row r="24" spans="3:13" x14ac:dyDescent="0.45">
      <c r="D24" t="s">
        <v>97</v>
      </c>
      <c r="E24" t="str">
        <f>G24</f>
        <v>AuxStoIN</v>
      </c>
      <c r="F24" t="s">
        <v>98</v>
      </c>
      <c r="G24" t="s">
        <v>99</v>
      </c>
      <c r="H24" t="str">
        <f>HLOOKUP($A$10,$D$10:$CU$12,2,FALSE)</f>
        <v>AllSaAllH</v>
      </c>
      <c r="I24">
        <f>-$I$17</f>
        <v>-0.75</v>
      </c>
      <c r="M24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7059C-CB70-4059-BE84-E9457F26D2D0}">
  <dimension ref="A9:AN101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125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122</v>
      </c>
      <c r="K10" t="s">
        <v>159</v>
      </c>
      <c r="L10" t="s">
        <v>30</v>
      </c>
      <c r="N10" t="s">
        <v>13</v>
      </c>
      <c r="O10" t="s">
        <v>122</v>
      </c>
      <c r="P10" t="s">
        <v>159</v>
      </c>
      <c r="Q10" t="s">
        <v>30</v>
      </c>
      <c r="S10" t="s">
        <v>13</v>
      </c>
      <c r="T10" t="s">
        <v>122</v>
      </c>
      <c r="U10" t="s">
        <v>159</v>
      </c>
      <c r="V10" t="s">
        <v>30</v>
      </c>
      <c r="X10" t="s">
        <v>501</v>
      </c>
      <c r="Y10" t="s">
        <v>159</v>
      </c>
      <c r="Z10" t="s">
        <v>122</v>
      </c>
      <c r="AA10" t="s">
        <v>13</v>
      </c>
      <c r="AC10" t="s">
        <v>13</v>
      </c>
      <c r="AD10" t="s">
        <v>122</v>
      </c>
      <c r="AE10" t="s">
        <v>159</v>
      </c>
      <c r="AG10" t="s">
        <v>13</v>
      </c>
      <c r="AH10" t="s">
        <v>122</v>
      </c>
      <c r="AI10" t="s">
        <v>507</v>
      </c>
      <c r="AK10" t="s">
        <v>47</v>
      </c>
      <c r="AL10" t="s">
        <v>122</v>
      </c>
      <c r="AM10" t="s">
        <v>508</v>
      </c>
      <c r="AN10" t="s">
        <v>509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153</v>
      </c>
      <c r="F11" t="s">
        <v>154</v>
      </c>
      <c r="G11" t="s">
        <v>152</v>
      </c>
      <c r="I11" t="s">
        <v>160</v>
      </c>
      <c r="J11" t="s">
        <v>161</v>
      </c>
      <c r="K11">
        <v>0.84271064848410027</v>
      </c>
      <c r="L11" t="s">
        <v>162</v>
      </c>
      <c r="N11" t="s">
        <v>282</v>
      </c>
      <c r="O11" t="s">
        <v>161</v>
      </c>
      <c r="P11">
        <v>0.54619233546648738</v>
      </c>
      <c r="Q11" t="s">
        <v>162</v>
      </c>
      <c r="S11" t="s">
        <v>394</v>
      </c>
      <c r="T11" t="s">
        <v>161</v>
      </c>
      <c r="U11">
        <v>0.59843249006392951</v>
      </c>
      <c r="V11" t="s">
        <v>162</v>
      </c>
      <c r="X11">
        <v>0.58995433789954332</v>
      </c>
      <c r="Y11">
        <v>0.58195559754369397</v>
      </c>
      <c r="Z11" t="s">
        <v>161</v>
      </c>
      <c r="AA11" t="s">
        <v>25</v>
      </c>
      <c r="AC11" t="s">
        <v>22</v>
      </c>
      <c r="AD11" t="s">
        <v>161</v>
      </c>
      <c r="AE11">
        <v>0.55566751382645085</v>
      </c>
      <c r="AG11" t="s">
        <v>97</v>
      </c>
      <c r="AH11" t="s">
        <v>161</v>
      </c>
      <c r="AI11">
        <v>0.32098466228231892</v>
      </c>
      <c r="AK11">
        <v>2020</v>
      </c>
      <c r="AL11" t="s">
        <v>151</v>
      </c>
      <c r="AM11">
        <v>0.52503316087854457</v>
      </c>
      <c r="AN11" t="s">
        <v>510</v>
      </c>
    </row>
    <row r="12" spans="1:40" x14ac:dyDescent="0.45">
      <c r="C12" t="s">
        <v>155</v>
      </c>
      <c r="E12" t="s">
        <v>156</v>
      </c>
      <c r="G12" t="s">
        <v>152</v>
      </c>
      <c r="I12" t="s">
        <v>160</v>
      </c>
      <c r="J12" t="s">
        <v>163</v>
      </c>
      <c r="K12">
        <v>4.5698322145073952E-2</v>
      </c>
      <c r="L12" t="s">
        <v>162</v>
      </c>
      <c r="N12" t="s">
        <v>282</v>
      </c>
      <c r="O12" t="s">
        <v>163</v>
      </c>
      <c r="P12">
        <v>3.0644935931816969E-2</v>
      </c>
      <c r="Q12" t="s">
        <v>162</v>
      </c>
      <c r="S12" t="s">
        <v>394</v>
      </c>
      <c r="T12" t="s">
        <v>163</v>
      </c>
      <c r="U12">
        <v>3.4604551116234852E-2</v>
      </c>
      <c r="V12" t="s">
        <v>162</v>
      </c>
      <c r="X12">
        <v>3.4703196347031964E-2</v>
      </c>
      <c r="Y12">
        <v>6.7516926468272731E-2</v>
      </c>
      <c r="Z12" t="s">
        <v>163</v>
      </c>
      <c r="AA12" t="s">
        <v>25</v>
      </c>
      <c r="AC12" t="s">
        <v>22</v>
      </c>
      <c r="AD12" t="s">
        <v>163</v>
      </c>
      <c r="AE12">
        <v>3.7039019355456802E-2</v>
      </c>
      <c r="AG12" t="s">
        <v>97</v>
      </c>
      <c r="AH12" t="s">
        <v>163</v>
      </c>
      <c r="AI12">
        <v>0.16477118728147722</v>
      </c>
      <c r="AK12">
        <v>2020</v>
      </c>
      <c r="AL12" t="s">
        <v>155</v>
      </c>
      <c r="AM12">
        <v>0.53695741195741187</v>
      </c>
      <c r="AN12" t="s">
        <v>510</v>
      </c>
    </row>
    <row r="13" spans="1:40" x14ac:dyDescent="0.45">
      <c r="C13" t="s">
        <v>157</v>
      </c>
      <c r="E13" t="s">
        <v>158</v>
      </c>
      <c r="G13" t="s">
        <v>152</v>
      </c>
      <c r="I13" t="s">
        <v>160</v>
      </c>
      <c r="J13" t="s">
        <v>164</v>
      </c>
      <c r="K13">
        <v>4.5070114484375083E-2</v>
      </c>
      <c r="L13" t="s">
        <v>162</v>
      </c>
      <c r="N13" t="s">
        <v>282</v>
      </c>
      <c r="O13" t="s">
        <v>164</v>
      </c>
      <c r="P13">
        <v>0.22751116742185398</v>
      </c>
      <c r="Q13" t="s">
        <v>162</v>
      </c>
      <c r="S13" t="s">
        <v>394</v>
      </c>
      <c r="T13" t="s">
        <v>164</v>
      </c>
      <c r="U13">
        <v>0.21590742597197266</v>
      </c>
      <c r="V13" t="s">
        <v>162</v>
      </c>
      <c r="X13">
        <v>0.20821917808219179</v>
      </c>
      <c r="Y13">
        <v>0.1834041883168005</v>
      </c>
      <c r="Z13" t="s">
        <v>164</v>
      </c>
      <c r="AA13" t="s">
        <v>25</v>
      </c>
      <c r="AC13" t="s">
        <v>22</v>
      </c>
      <c r="AD13" t="s">
        <v>164</v>
      </c>
      <c r="AE13">
        <v>0.22260880364767355</v>
      </c>
      <c r="AG13" t="s">
        <v>97</v>
      </c>
      <c r="AH13" t="s">
        <v>164</v>
      </c>
      <c r="AI13">
        <v>0.2121741768793286</v>
      </c>
      <c r="AK13">
        <v>2020</v>
      </c>
      <c r="AL13" t="s">
        <v>157</v>
      </c>
      <c r="AM13">
        <v>0.63489075585849775</v>
      </c>
      <c r="AN13" t="s">
        <v>510</v>
      </c>
    </row>
    <row r="14" spans="1:40" x14ac:dyDescent="0.45">
      <c r="I14" t="s">
        <v>160</v>
      </c>
      <c r="J14" t="s">
        <v>165</v>
      </c>
      <c r="K14">
        <v>2.8579360476463221E-2</v>
      </c>
      <c r="L14" t="s">
        <v>162</v>
      </c>
      <c r="N14" t="s">
        <v>282</v>
      </c>
      <c r="O14" t="s">
        <v>165</v>
      </c>
      <c r="P14">
        <v>5.9006340499771943E-2</v>
      </c>
      <c r="Q14" t="s">
        <v>162</v>
      </c>
      <c r="S14" t="s">
        <v>394</v>
      </c>
      <c r="T14" t="s">
        <v>165</v>
      </c>
      <c r="U14">
        <v>5.3690617891972742E-2</v>
      </c>
      <c r="V14" t="s">
        <v>162</v>
      </c>
      <c r="X14">
        <v>5.8219178082191778E-2</v>
      </c>
      <c r="Y14">
        <v>5.7429828704969807E-2</v>
      </c>
      <c r="Z14" t="s">
        <v>165</v>
      </c>
      <c r="AA14" t="s">
        <v>25</v>
      </c>
      <c r="AC14" t="s">
        <v>22</v>
      </c>
      <c r="AD14" t="s">
        <v>165</v>
      </c>
      <c r="AE14">
        <v>5.9445975287007555E-2</v>
      </c>
      <c r="AG14" t="s">
        <v>97</v>
      </c>
      <c r="AH14" t="s">
        <v>165</v>
      </c>
      <c r="AI14">
        <v>0.14200172864680027</v>
      </c>
      <c r="AK14">
        <v>2021</v>
      </c>
      <c r="AL14" t="s">
        <v>151</v>
      </c>
      <c r="AM14">
        <v>0.51267134466918185</v>
      </c>
      <c r="AN14" t="s">
        <v>510</v>
      </c>
    </row>
    <row r="15" spans="1:40" x14ac:dyDescent="0.45">
      <c r="I15" t="s">
        <v>160</v>
      </c>
      <c r="J15" t="s">
        <v>166</v>
      </c>
      <c r="K15">
        <v>0</v>
      </c>
      <c r="L15" t="s">
        <v>162</v>
      </c>
      <c r="N15" t="s">
        <v>282</v>
      </c>
      <c r="O15" t="s">
        <v>166</v>
      </c>
      <c r="P15">
        <v>4.052491879506002E-3</v>
      </c>
      <c r="Q15" t="s">
        <v>162</v>
      </c>
      <c r="S15" t="s">
        <v>394</v>
      </c>
      <c r="T15" t="s">
        <v>166</v>
      </c>
      <c r="U15">
        <v>3.1889079874464353E-3</v>
      </c>
      <c r="V15" t="s">
        <v>162</v>
      </c>
      <c r="X15">
        <v>3.4246575342465752E-3</v>
      </c>
      <c r="Y15">
        <v>6.662854585684809E-3</v>
      </c>
      <c r="Z15" t="s">
        <v>166</v>
      </c>
      <c r="AA15" t="s">
        <v>25</v>
      </c>
      <c r="AC15" t="s">
        <v>22</v>
      </c>
      <c r="AD15" t="s">
        <v>166</v>
      </c>
      <c r="AE15">
        <v>3.7597948205972411E-3</v>
      </c>
      <c r="AG15" t="s">
        <v>97</v>
      </c>
      <c r="AH15" t="s">
        <v>166</v>
      </c>
      <c r="AI15">
        <v>2.7959799127617257E-2</v>
      </c>
      <c r="AK15">
        <v>2021</v>
      </c>
      <c r="AL15" t="s">
        <v>155</v>
      </c>
      <c r="AM15">
        <v>0.50611626941061405</v>
      </c>
      <c r="AN15" t="s">
        <v>510</v>
      </c>
    </row>
    <row r="16" spans="1:40" x14ac:dyDescent="0.45">
      <c r="I16" t="s">
        <v>160</v>
      </c>
      <c r="J16" t="s">
        <v>167</v>
      </c>
      <c r="K16">
        <v>0</v>
      </c>
      <c r="L16" t="s">
        <v>162</v>
      </c>
      <c r="N16" t="s">
        <v>282</v>
      </c>
      <c r="O16" t="s">
        <v>167</v>
      </c>
      <c r="P16">
        <v>2.5137464943540227E-2</v>
      </c>
      <c r="Q16" t="s">
        <v>162</v>
      </c>
      <c r="S16" t="s">
        <v>394</v>
      </c>
      <c r="T16" t="s">
        <v>167</v>
      </c>
      <c r="U16">
        <v>2.0278568658722795E-2</v>
      </c>
      <c r="V16" t="s">
        <v>162</v>
      </c>
      <c r="X16">
        <v>2.0547945205479451E-2</v>
      </c>
      <c r="Y16">
        <v>1.8099097531263209E-2</v>
      </c>
      <c r="Z16" t="s">
        <v>167</v>
      </c>
      <c r="AA16" t="s">
        <v>25</v>
      </c>
      <c r="AC16" t="s">
        <v>22</v>
      </c>
      <c r="AD16" t="s">
        <v>167</v>
      </c>
      <c r="AE16">
        <v>2.2650149198626596E-2</v>
      </c>
      <c r="AG16" t="s">
        <v>97</v>
      </c>
      <c r="AH16" t="s">
        <v>167</v>
      </c>
      <c r="AI16">
        <v>2.9472206881267171E-2</v>
      </c>
      <c r="AK16">
        <v>2021</v>
      </c>
      <c r="AL16" t="s">
        <v>157</v>
      </c>
      <c r="AM16">
        <v>0.60210774989659621</v>
      </c>
      <c r="AN16" t="s">
        <v>510</v>
      </c>
    </row>
    <row r="17" spans="9:40" x14ac:dyDescent="0.45">
      <c r="I17" t="s">
        <v>160</v>
      </c>
      <c r="J17" t="s">
        <v>168</v>
      </c>
      <c r="K17">
        <v>3.7941554409988233E-2</v>
      </c>
      <c r="L17" t="s">
        <v>162</v>
      </c>
      <c r="N17" t="s">
        <v>282</v>
      </c>
      <c r="O17" t="s">
        <v>168</v>
      </c>
      <c r="P17">
        <v>7.4654105314301056E-2</v>
      </c>
      <c r="Q17" t="s">
        <v>162</v>
      </c>
      <c r="S17" t="s">
        <v>394</v>
      </c>
      <c r="T17" t="s">
        <v>168</v>
      </c>
      <c r="U17">
        <v>5.3745940620857975E-2</v>
      </c>
      <c r="V17" t="s">
        <v>162</v>
      </c>
      <c r="X17">
        <v>6.0159817351598172E-2</v>
      </c>
      <c r="Y17">
        <v>5.9344156328468789E-2</v>
      </c>
      <c r="Z17" t="s">
        <v>168</v>
      </c>
      <c r="AA17" t="s">
        <v>25</v>
      </c>
      <c r="AC17" t="s">
        <v>22</v>
      </c>
      <c r="AD17" t="s">
        <v>168</v>
      </c>
      <c r="AE17">
        <v>6.856873567968165E-2</v>
      </c>
      <c r="AG17" t="s">
        <v>97</v>
      </c>
      <c r="AH17" t="s">
        <v>168</v>
      </c>
      <c r="AI17">
        <v>0.12393690630320919</v>
      </c>
      <c r="AK17">
        <v>2022</v>
      </c>
      <c r="AL17" t="s">
        <v>151</v>
      </c>
      <c r="AM17">
        <v>0.52850059153275653</v>
      </c>
      <c r="AN17" t="s">
        <v>510</v>
      </c>
    </row>
    <row r="18" spans="9:40" x14ac:dyDescent="0.45">
      <c r="I18" t="s">
        <v>160</v>
      </c>
      <c r="J18" t="s">
        <v>169</v>
      </c>
      <c r="K18">
        <v>0</v>
      </c>
      <c r="L18" t="s">
        <v>162</v>
      </c>
      <c r="N18" t="s">
        <v>282</v>
      </c>
      <c r="O18" t="s">
        <v>169</v>
      </c>
      <c r="P18">
        <v>4.8869045014668291E-3</v>
      </c>
      <c r="Q18" t="s">
        <v>162</v>
      </c>
      <c r="S18" t="s">
        <v>394</v>
      </c>
      <c r="T18" t="s">
        <v>169</v>
      </c>
      <c r="U18">
        <v>2.8761436264620414E-3</v>
      </c>
      <c r="V18" t="s">
        <v>162</v>
      </c>
      <c r="X18">
        <v>3.5388127853881279E-3</v>
      </c>
      <c r="Y18">
        <v>6.8849497385409693E-3</v>
      </c>
      <c r="Z18" t="s">
        <v>169</v>
      </c>
      <c r="AA18" t="s">
        <v>25</v>
      </c>
      <c r="AC18" t="s">
        <v>22</v>
      </c>
      <c r="AD18" t="s">
        <v>169</v>
      </c>
      <c r="AE18">
        <v>4.3153701768352025E-3</v>
      </c>
      <c r="AG18" t="s">
        <v>97</v>
      </c>
      <c r="AH18" t="s">
        <v>169</v>
      </c>
      <c r="AI18">
        <v>3.752614082300898E-2</v>
      </c>
      <c r="AK18">
        <v>2022</v>
      </c>
      <c r="AL18" t="s">
        <v>155</v>
      </c>
      <c r="AM18">
        <v>0.54531935608637083</v>
      </c>
      <c r="AN18" t="s">
        <v>510</v>
      </c>
    </row>
    <row r="19" spans="9:40" x14ac:dyDescent="0.45">
      <c r="I19" t="s">
        <v>160</v>
      </c>
      <c r="J19" t="s">
        <v>170</v>
      </c>
      <c r="K19">
        <v>0</v>
      </c>
      <c r="L19" t="s">
        <v>162</v>
      </c>
      <c r="N19" t="s">
        <v>282</v>
      </c>
      <c r="O19" t="s">
        <v>170</v>
      </c>
      <c r="P19">
        <v>2.7914254041255974E-2</v>
      </c>
      <c r="Q19" t="s">
        <v>162</v>
      </c>
      <c r="S19" t="s">
        <v>394</v>
      </c>
      <c r="T19" t="s">
        <v>170</v>
      </c>
      <c r="U19">
        <v>1.7275354062400248E-2</v>
      </c>
      <c r="V19" t="s">
        <v>162</v>
      </c>
      <c r="X19">
        <v>2.1232876712328767E-2</v>
      </c>
      <c r="Y19">
        <v>1.8702400782305319E-2</v>
      </c>
      <c r="Z19" t="s">
        <v>170</v>
      </c>
      <c r="AA19" t="s">
        <v>25</v>
      </c>
      <c r="AC19" t="s">
        <v>22</v>
      </c>
      <c r="AD19" t="s">
        <v>170</v>
      </c>
      <c r="AE19">
        <v>2.5944638007670596E-2</v>
      </c>
      <c r="AG19" t="s">
        <v>97</v>
      </c>
      <c r="AH19" t="s">
        <v>170</v>
      </c>
      <c r="AI19">
        <v>4.6362699810135855E-2</v>
      </c>
      <c r="AK19">
        <v>2022</v>
      </c>
      <c r="AL19" t="s">
        <v>157</v>
      </c>
      <c r="AM19">
        <v>0.62517504901372389</v>
      </c>
      <c r="AN19" t="s">
        <v>510</v>
      </c>
    </row>
    <row r="20" spans="9:40" x14ac:dyDescent="0.45">
      <c r="I20" t="s">
        <v>171</v>
      </c>
      <c r="J20" t="s">
        <v>161</v>
      </c>
      <c r="K20">
        <v>0.84170408682012443</v>
      </c>
      <c r="L20" t="s">
        <v>162</v>
      </c>
      <c r="N20" t="s">
        <v>283</v>
      </c>
      <c r="O20" t="s">
        <v>161</v>
      </c>
      <c r="P20">
        <v>0.54133135220154438</v>
      </c>
      <c r="Q20" t="s">
        <v>162</v>
      </c>
      <c r="S20" t="s">
        <v>395</v>
      </c>
      <c r="T20" t="s">
        <v>161</v>
      </c>
      <c r="U20">
        <v>0.61082406783510468</v>
      </c>
      <c r="V20" t="s">
        <v>162</v>
      </c>
      <c r="AC20" t="s">
        <v>19</v>
      </c>
      <c r="AD20" t="s">
        <v>161</v>
      </c>
      <c r="AE20">
        <v>0.58843185345944127</v>
      </c>
      <c r="AK20">
        <v>2025</v>
      </c>
      <c r="AL20" t="s">
        <v>151</v>
      </c>
      <c r="AM20">
        <v>0.55024999999999991</v>
      </c>
      <c r="AN20" t="s">
        <v>510</v>
      </c>
    </row>
    <row r="21" spans="9:40" x14ac:dyDescent="0.45">
      <c r="I21" t="s">
        <v>171</v>
      </c>
      <c r="J21" t="s">
        <v>163</v>
      </c>
      <c r="K21">
        <v>4.6502442479254717E-2</v>
      </c>
      <c r="L21" t="s">
        <v>162</v>
      </c>
      <c r="N21" t="s">
        <v>283</v>
      </c>
      <c r="O21" t="s">
        <v>163</v>
      </c>
      <c r="P21">
        <v>3.095463188826247E-2</v>
      </c>
      <c r="Q21" t="s">
        <v>162</v>
      </c>
      <c r="S21" t="s">
        <v>395</v>
      </c>
      <c r="T21" t="s">
        <v>163</v>
      </c>
      <c r="U21">
        <v>3.4608046923392741E-2</v>
      </c>
      <c r="V21" t="s">
        <v>162</v>
      </c>
      <c r="AC21" t="s">
        <v>19</v>
      </c>
      <c r="AD21" t="s">
        <v>163</v>
      </c>
      <c r="AE21">
        <v>3.4901132466988519E-2</v>
      </c>
      <c r="AK21">
        <v>2025</v>
      </c>
      <c r="AL21" t="s">
        <v>155</v>
      </c>
      <c r="AM21">
        <v>0.61119999999999997</v>
      </c>
      <c r="AN21" t="s">
        <v>510</v>
      </c>
    </row>
    <row r="22" spans="9:40" x14ac:dyDescent="0.45">
      <c r="I22" t="s">
        <v>171</v>
      </c>
      <c r="J22" t="s">
        <v>164</v>
      </c>
      <c r="K22">
        <v>4.2571348128582473E-2</v>
      </c>
      <c r="L22" t="s">
        <v>162</v>
      </c>
      <c r="N22" t="s">
        <v>283</v>
      </c>
      <c r="O22" t="s">
        <v>164</v>
      </c>
      <c r="P22">
        <v>0.23743514833613988</v>
      </c>
      <c r="Q22" t="s">
        <v>162</v>
      </c>
      <c r="S22" t="s">
        <v>395</v>
      </c>
      <c r="T22" t="s">
        <v>164</v>
      </c>
      <c r="U22">
        <v>0.21377673469882746</v>
      </c>
      <c r="V22" t="s">
        <v>162</v>
      </c>
      <c r="AC22" t="s">
        <v>19</v>
      </c>
      <c r="AD22" t="s">
        <v>164</v>
      </c>
      <c r="AE22">
        <v>0.20943154278511592</v>
      </c>
      <c r="AK22">
        <v>2025</v>
      </c>
      <c r="AL22" t="s">
        <v>157</v>
      </c>
      <c r="AM22">
        <v>0.59570000000000001</v>
      </c>
      <c r="AN22" t="s">
        <v>510</v>
      </c>
    </row>
    <row r="23" spans="9:40" x14ac:dyDescent="0.45">
      <c r="I23" t="s">
        <v>171</v>
      </c>
      <c r="J23" t="s">
        <v>165</v>
      </c>
      <c r="K23">
        <v>2.9573550664077207E-2</v>
      </c>
      <c r="L23" t="s">
        <v>162</v>
      </c>
      <c r="N23" t="s">
        <v>283</v>
      </c>
      <c r="O23" t="s">
        <v>165</v>
      </c>
      <c r="P23">
        <v>6.2334719447241997E-2</v>
      </c>
      <c r="Q23" t="s">
        <v>162</v>
      </c>
      <c r="S23" t="s">
        <v>395</v>
      </c>
      <c r="T23" t="s">
        <v>165</v>
      </c>
      <c r="U23">
        <v>5.3583765261525834E-2</v>
      </c>
      <c r="V23" t="s">
        <v>162</v>
      </c>
      <c r="AC23" t="s">
        <v>19</v>
      </c>
      <c r="AD23" t="s">
        <v>165</v>
      </c>
      <c r="AE23">
        <v>5.8145360101507136E-2</v>
      </c>
      <c r="AK23">
        <v>2026</v>
      </c>
      <c r="AL23" t="s">
        <v>151</v>
      </c>
      <c r="AM23">
        <v>0.53081</v>
      </c>
      <c r="AN23" t="s">
        <v>510</v>
      </c>
    </row>
    <row r="24" spans="9:40" x14ac:dyDescent="0.45">
      <c r="I24" t="s">
        <v>171</v>
      </c>
      <c r="J24" t="s">
        <v>166</v>
      </c>
      <c r="K24">
        <v>0</v>
      </c>
      <c r="L24" t="s">
        <v>162</v>
      </c>
      <c r="N24" t="s">
        <v>283</v>
      </c>
      <c r="O24" t="s">
        <v>166</v>
      </c>
      <c r="P24">
        <v>4.2298979936203221E-3</v>
      </c>
      <c r="Q24" t="s">
        <v>162</v>
      </c>
      <c r="S24" t="s">
        <v>395</v>
      </c>
      <c r="T24" t="s">
        <v>166</v>
      </c>
      <c r="U24">
        <v>2.6947301878670511E-3</v>
      </c>
      <c r="V24" t="s">
        <v>162</v>
      </c>
      <c r="AC24" t="s">
        <v>19</v>
      </c>
      <c r="AD24" t="s">
        <v>166</v>
      </c>
      <c r="AE24">
        <v>3.43768456063044E-3</v>
      </c>
      <c r="AK24">
        <v>2026</v>
      </c>
      <c r="AL24" t="s">
        <v>155</v>
      </c>
      <c r="AM24">
        <v>0.55859999999999999</v>
      </c>
      <c r="AN24" t="s">
        <v>510</v>
      </c>
    </row>
    <row r="25" spans="9:40" x14ac:dyDescent="0.45">
      <c r="I25" t="s">
        <v>171</v>
      </c>
      <c r="J25" t="s">
        <v>167</v>
      </c>
      <c r="K25">
        <v>0</v>
      </c>
      <c r="L25" t="s">
        <v>162</v>
      </c>
      <c r="N25" t="s">
        <v>283</v>
      </c>
      <c r="O25" t="s">
        <v>167</v>
      </c>
      <c r="P25">
        <v>2.4772244161284877E-2</v>
      </c>
      <c r="Q25" t="s">
        <v>162</v>
      </c>
      <c r="S25" t="s">
        <v>395</v>
      </c>
      <c r="T25" t="s">
        <v>167</v>
      </c>
      <c r="U25">
        <v>1.7416797779767405E-2</v>
      </c>
      <c r="V25" t="s">
        <v>162</v>
      </c>
      <c r="AC25" t="s">
        <v>19</v>
      </c>
      <c r="AD25" t="s">
        <v>167</v>
      </c>
      <c r="AE25">
        <v>2.0632142999932931E-2</v>
      </c>
      <c r="AK25">
        <v>2026</v>
      </c>
      <c r="AL25" t="s">
        <v>157</v>
      </c>
      <c r="AM25">
        <v>0.62880000000000003</v>
      </c>
      <c r="AN25" t="s">
        <v>510</v>
      </c>
    </row>
    <row r="26" spans="9:40" x14ac:dyDescent="0.45">
      <c r="I26" t="s">
        <v>171</v>
      </c>
      <c r="J26" t="s">
        <v>168</v>
      </c>
      <c r="K26">
        <v>3.9648571907961498E-2</v>
      </c>
      <c r="L26" t="s">
        <v>162</v>
      </c>
      <c r="N26" t="s">
        <v>283</v>
      </c>
      <c r="O26" t="s">
        <v>168</v>
      </c>
      <c r="P26">
        <v>6.8103291242112979E-2</v>
      </c>
      <c r="Q26" t="s">
        <v>162</v>
      </c>
      <c r="S26" t="s">
        <v>395</v>
      </c>
      <c r="T26" t="s">
        <v>168</v>
      </c>
      <c r="U26">
        <v>4.7768713047964984E-2</v>
      </c>
      <c r="V26" t="s">
        <v>162</v>
      </c>
      <c r="AC26" t="s">
        <v>19</v>
      </c>
      <c r="AD26" t="s">
        <v>168</v>
      </c>
      <c r="AE26">
        <v>6.01279224203893E-2</v>
      </c>
      <c r="AK26">
        <v>2027</v>
      </c>
      <c r="AL26" t="s">
        <v>151</v>
      </c>
      <c r="AM26">
        <v>0.54371000000000014</v>
      </c>
      <c r="AN26" t="s">
        <v>510</v>
      </c>
    </row>
    <row r="27" spans="9:40" x14ac:dyDescent="0.45">
      <c r="I27" t="s">
        <v>171</v>
      </c>
      <c r="J27" t="s">
        <v>169</v>
      </c>
      <c r="K27">
        <v>0</v>
      </c>
      <c r="L27" t="s">
        <v>162</v>
      </c>
      <c r="N27" t="s">
        <v>283</v>
      </c>
      <c r="O27" t="s">
        <v>169</v>
      </c>
      <c r="P27">
        <v>4.2997404666518142E-3</v>
      </c>
      <c r="Q27" t="s">
        <v>162</v>
      </c>
      <c r="S27" t="s">
        <v>395</v>
      </c>
      <c r="T27" t="s">
        <v>169</v>
      </c>
      <c r="U27">
        <v>2.7995222002721522E-3</v>
      </c>
      <c r="V27" t="s">
        <v>162</v>
      </c>
      <c r="AC27" t="s">
        <v>19</v>
      </c>
      <c r="AD27" t="s">
        <v>169</v>
      </c>
      <c r="AE27">
        <v>3.5555570120655877E-3</v>
      </c>
      <c r="AK27">
        <v>2027</v>
      </c>
      <c r="AL27" t="s">
        <v>155</v>
      </c>
      <c r="AM27">
        <v>0.54249999999999998</v>
      </c>
      <c r="AN27" t="s">
        <v>510</v>
      </c>
    </row>
    <row r="28" spans="9:40" x14ac:dyDescent="0.45">
      <c r="I28" t="s">
        <v>171</v>
      </c>
      <c r="J28" t="s">
        <v>170</v>
      </c>
      <c r="K28">
        <v>0</v>
      </c>
      <c r="L28" t="s">
        <v>162</v>
      </c>
      <c r="N28" t="s">
        <v>283</v>
      </c>
      <c r="O28" t="s">
        <v>170</v>
      </c>
      <c r="P28">
        <v>2.6538974263136453E-2</v>
      </c>
      <c r="Q28" t="s">
        <v>162</v>
      </c>
      <c r="S28" t="s">
        <v>395</v>
      </c>
      <c r="T28" t="s">
        <v>170</v>
      </c>
      <c r="U28">
        <v>1.6527622065273955E-2</v>
      </c>
      <c r="V28" t="s">
        <v>162</v>
      </c>
      <c r="AC28" t="s">
        <v>19</v>
      </c>
      <c r="AD28" t="s">
        <v>170</v>
      </c>
      <c r="AE28">
        <v>2.1336804193929013E-2</v>
      </c>
      <c r="AK28">
        <v>2027</v>
      </c>
      <c r="AL28" t="s">
        <v>157</v>
      </c>
      <c r="AM28">
        <v>0.56930000000000003</v>
      </c>
      <c r="AN28" t="s">
        <v>510</v>
      </c>
    </row>
    <row r="29" spans="9:40" x14ac:dyDescent="0.45">
      <c r="I29" t="s">
        <v>172</v>
      </c>
      <c r="J29" t="s">
        <v>161</v>
      </c>
      <c r="K29">
        <v>0.83336341735786634</v>
      </c>
      <c r="L29" t="s">
        <v>162</v>
      </c>
      <c r="N29" t="s">
        <v>284</v>
      </c>
      <c r="O29" t="s">
        <v>161</v>
      </c>
      <c r="P29">
        <v>0.58614652494577668</v>
      </c>
      <c r="Q29" t="s">
        <v>162</v>
      </c>
      <c r="S29" t="s">
        <v>396</v>
      </c>
      <c r="T29" t="s">
        <v>161</v>
      </c>
      <c r="U29">
        <v>0.58774239915893189</v>
      </c>
      <c r="V29" t="s">
        <v>162</v>
      </c>
      <c r="AK29">
        <v>2028</v>
      </c>
      <c r="AL29" t="s">
        <v>151</v>
      </c>
      <c r="AM29">
        <v>0.53551000000000004</v>
      </c>
      <c r="AN29" t="s">
        <v>510</v>
      </c>
    </row>
    <row r="30" spans="9:40" x14ac:dyDescent="0.45">
      <c r="I30" t="s">
        <v>172</v>
      </c>
      <c r="J30" t="s">
        <v>163</v>
      </c>
      <c r="K30">
        <v>5.0703386931280084E-2</v>
      </c>
      <c r="L30" t="s">
        <v>162</v>
      </c>
      <c r="N30" t="s">
        <v>284</v>
      </c>
      <c r="O30" t="s">
        <v>163</v>
      </c>
      <c r="P30">
        <v>2.9528317883872699E-2</v>
      </c>
      <c r="Q30" t="s">
        <v>162</v>
      </c>
      <c r="S30" t="s">
        <v>396</v>
      </c>
      <c r="T30" t="s">
        <v>163</v>
      </c>
      <c r="U30">
        <v>3.4482725781269194E-2</v>
      </c>
      <c r="V30" t="s">
        <v>162</v>
      </c>
      <c r="AK30">
        <v>2028</v>
      </c>
      <c r="AL30" t="s">
        <v>155</v>
      </c>
      <c r="AM30">
        <v>0.54769999999999996</v>
      </c>
      <c r="AN30" t="s">
        <v>510</v>
      </c>
    </row>
    <row r="31" spans="9:40" x14ac:dyDescent="0.45">
      <c r="I31" t="s">
        <v>172</v>
      </c>
      <c r="J31" t="s">
        <v>164</v>
      </c>
      <c r="K31">
        <v>5.1209891450584868E-2</v>
      </c>
      <c r="L31" t="s">
        <v>162</v>
      </c>
      <c r="N31" t="s">
        <v>284</v>
      </c>
      <c r="O31" t="s">
        <v>164</v>
      </c>
      <c r="P31">
        <v>0.24135687676879378</v>
      </c>
      <c r="Q31" t="s">
        <v>162</v>
      </c>
      <c r="S31" t="s">
        <v>396</v>
      </c>
      <c r="T31" t="s">
        <v>164</v>
      </c>
      <c r="U31">
        <v>0.212457174623992</v>
      </c>
      <c r="V31" t="s">
        <v>162</v>
      </c>
      <c r="AK31">
        <v>2028</v>
      </c>
      <c r="AL31" t="s">
        <v>157</v>
      </c>
      <c r="AM31">
        <v>0.63260000000000005</v>
      </c>
      <c r="AN31" t="s">
        <v>510</v>
      </c>
    </row>
    <row r="32" spans="9:40" x14ac:dyDescent="0.45">
      <c r="I32" t="s">
        <v>172</v>
      </c>
      <c r="J32" t="s">
        <v>165</v>
      </c>
      <c r="K32">
        <v>2.7422389325820633E-2</v>
      </c>
      <c r="L32" t="s">
        <v>162</v>
      </c>
      <c r="N32" t="s">
        <v>284</v>
      </c>
      <c r="O32" t="s">
        <v>165</v>
      </c>
      <c r="P32">
        <v>5.8228930083111523E-2</v>
      </c>
      <c r="Q32" t="s">
        <v>162</v>
      </c>
      <c r="S32" t="s">
        <v>396</v>
      </c>
      <c r="T32" t="s">
        <v>165</v>
      </c>
      <c r="U32">
        <v>6.0797402897414317E-2</v>
      </c>
      <c r="V32" t="s">
        <v>162</v>
      </c>
      <c r="AK32">
        <v>2029</v>
      </c>
      <c r="AL32" t="s">
        <v>151</v>
      </c>
      <c r="AM32">
        <v>0.52901999999999993</v>
      </c>
      <c r="AN32" t="s">
        <v>510</v>
      </c>
    </row>
    <row r="33" spans="9:40" x14ac:dyDescent="0.45">
      <c r="I33" t="s">
        <v>172</v>
      </c>
      <c r="J33" t="s">
        <v>166</v>
      </c>
      <c r="K33">
        <v>0</v>
      </c>
      <c r="L33" t="s">
        <v>162</v>
      </c>
      <c r="N33" t="s">
        <v>284</v>
      </c>
      <c r="O33" t="s">
        <v>166</v>
      </c>
      <c r="P33">
        <v>3.7457899261583443E-3</v>
      </c>
      <c r="Q33" t="s">
        <v>162</v>
      </c>
      <c r="S33" t="s">
        <v>396</v>
      </c>
      <c r="T33" t="s">
        <v>166</v>
      </c>
      <c r="U33">
        <v>3.740624634180293E-3</v>
      </c>
      <c r="V33" t="s">
        <v>162</v>
      </c>
      <c r="AK33">
        <v>2029</v>
      </c>
      <c r="AL33" t="s">
        <v>155</v>
      </c>
      <c r="AM33">
        <v>0.50219999999999998</v>
      </c>
      <c r="AN33" t="s">
        <v>510</v>
      </c>
    </row>
    <row r="34" spans="9:40" x14ac:dyDescent="0.45">
      <c r="I34" t="s">
        <v>172</v>
      </c>
      <c r="J34" t="s">
        <v>167</v>
      </c>
      <c r="K34">
        <v>0</v>
      </c>
      <c r="L34" t="s">
        <v>162</v>
      </c>
      <c r="N34" t="s">
        <v>284</v>
      </c>
      <c r="O34" t="s">
        <v>167</v>
      </c>
      <c r="P34">
        <v>2.4048699763832632E-2</v>
      </c>
      <c r="Q34" t="s">
        <v>162</v>
      </c>
      <c r="S34" t="s">
        <v>396</v>
      </c>
      <c r="T34" t="s">
        <v>167</v>
      </c>
      <c r="U34">
        <v>2.2654507762689423E-2</v>
      </c>
      <c r="V34" t="s">
        <v>162</v>
      </c>
      <c r="AK34">
        <v>2029</v>
      </c>
      <c r="AL34" t="s">
        <v>157</v>
      </c>
      <c r="AM34">
        <v>0.57550000000000001</v>
      </c>
      <c r="AN34" t="s">
        <v>510</v>
      </c>
    </row>
    <row r="35" spans="9:40" x14ac:dyDescent="0.45">
      <c r="I35" t="s">
        <v>172</v>
      </c>
      <c r="J35" t="s">
        <v>168</v>
      </c>
      <c r="K35">
        <v>3.7300914934449703E-2</v>
      </c>
      <c r="L35" t="s">
        <v>162</v>
      </c>
      <c r="N35" t="s">
        <v>284</v>
      </c>
      <c r="O35" t="s">
        <v>168</v>
      </c>
      <c r="P35">
        <v>3.8519288422913738E-2</v>
      </c>
      <c r="Q35" t="s">
        <v>162</v>
      </c>
      <c r="S35" t="s">
        <v>396</v>
      </c>
      <c r="T35" t="s">
        <v>168</v>
      </c>
      <c r="U35">
        <v>5.4949957293663219E-2</v>
      </c>
      <c r="V35" t="s">
        <v>162</v>
      </c>
      <c r="AK35">
        <v>2030</v>
      </c>
      <c r="AL35" t="s">
        <v>151</v>
      </c>
      <c r="AM35">
        <v>0.52181</v>
      </c>
      <c r="AN35" t="s">
        <v>510</v>
      </c>
    </row>
    <row r="36" spans="9:40" x14ac:dyDescent="0.45">
      <c r="I36" t="s">
        <v>172</v>
      </c>
      <c r="J36" t="s">
        <v>169</v>
      </c>
      <c r="K36">
        <v>0</v>
      </c>
      <c r="L36" t="s">
        <v>162</v>
      </c>
      <c r="N36" t="s">
        <v>284</v>
      </c>
      <c r="O36" t="s">
        <v>169</v>
      </c>
      <c r="P36">
        <v>2.8633689010266173E-3</v>
      </c>
      <c r="Q36" t="s">
        <v>162</v>
      </c>
      <c r="S36" t="s">
        <v>396</v>
      </c>
      <c r="T36" t="s">
        <v>169</v>
      </c>
      <c r="U36">
        <v>3.4020715695557706E-3</v>
      </c>
      <c r="V36" t="s">
        <v>162</v>
      </c>
      <c r="AK36">
        <v>2030</v>
      </c>
      <c r="AL36" t="s">
        <v>155</v>
      </c>
      <c r="AM36">
        <v>0.5736</v>
      </c>
      <c r="AN36" t="s">
        <v>510</v>
      </c>
    </row>
    <row r="37" spans="9:40" x14ac:dyDescent="0.45">
      <c r="I37" t="s">
        <v>172</v>
      </c>
      <c r="J37" t="s">
        <v>170</v>
      </c>
      <c r="K37">
        <v>0</v>
      </c>
      <c r="L37" t="s">
        <v>162</v>
      </c>
      <c r="N37" t="s">
        <v>284</v>
      </c>
      <c r="O37" t="s">
        <v>170</v>
      </c>
      <c r="P37">
        <v>1.5562203304514693E-2</v>
      </c>
      <c r="Q37" t="s">
        <v>162</v>
      </c>
      <c r="S37" t="s">
        <v>396</v>
      </c>
      <c r="T37" t="s">
        <v>170</v>
      </c>
      <c r="U37">
        <v>1.977313627829964E-2</v>
      </c>
      <c r="V37" t="s">
        <v>162</v>
      </c>
      <c r="AK37">
        <v>2030</v>
      </c>
      <c r="AL37" t="s">
        <v>157</v>
      </c>
      <c r="AM37">
        <v>0.65869999999999995</v>
      </c>
      <c r="AN37" t="s">
        <v>510</v>
      </c>
    </row>
    <row r="38" spans="9:40" x14ac:dyDescent="0.45">
      <c r="I38" t="s">
        <v>173</v>
      </c>
      <c r="J38" t="s">
        <v>161</v>
      </c>
      <c r="K38">
        <v>0.84630906011964746</v>
      </c>
      <c r="L38" t="s">
        <v>162</v>
      </c>
      <c r="N38" t="s">
        <v>285</v>
      </c>
      <c r="O38" t="s">
        <v>161</v>
      </c>
      <c r="P38">
        <v>0.56534465059359562</v>
      </c>
      <c r="Q38" t="s">
        <v>162</v>
      </c>
      <c r="S38" t="s">
        <v>397</v>
      </c>
      <c r="T38" t="s">
        <v>161</v>
      </c>
      <c r="U38">
        <v>0.58107691604068723</v>
      </c>
      <c r="V38" t="s">
        <v>162</v>
      </c>
      <c r="AK38">
        <v>2031</v>
      </c>
      <c r="AL38" t="s">
        <v>151</v>
      </c>
      <c r="AM38">
        <v>0.53446000000000005</v>
      </c>
      <c r="AN38" t="s">
        <v>510</v>
      </c>
    </row>
    <row r="39" spans="9:40" x14ac:dyDescent="0.45">
      <c r="I39" t="s">
        <v>173</v>
      </c>
      <c r="J39" t="s">
        <v>163</v>
      </c>
      <c r="K39">
        <v>4.3403919380045723E-2</v>
      </c>
      <c r="L39" t="s">
        <v>162</v>
      </c>
      <c r="N39" t="s">
        <v>285</v>
      </c>
      <c r="O39" t="s">
        <v>163</v>
      </c>
      <c r="P39">
        <v>2.9133245434552927E-2</v>
      </c>
      <c r="Q39" t="s">
        <v>162</v>
      </c>
      <c r="S39" t="s">
        <v>397</v>
      </c>
      <c r="T39" t="s">
        <v>163</v>
      </c>
      <c r="U39">
        <v>3.5310067126263382E-2</v>
      </c>
      <c r="V39" t="s">
        <v>162</v>
      </c>
      <c r="AK39">
        <v>2031</v>
      </c>
      <c r="AL39" t="s">
        <v>155</v>
      </c>
      <c r="AM39">
        <v>0.59799999999999998</v>
      </c>
      <c r="AN39" t="s">
        <v>510</v>
      </c>
    </row>
    <row r="40" spans="9:40" x14ac:dyDescent="0.45">
      <c r="I40" t="s">
        <v>173</v>
      </c>
      <c r="J40" t="s">
        <v>164</v>
      </c>
      <c r="K40">
        <v>3.5829690172255436E-2</v>
      </c>
      <c r="L40" t="s">
        <v>162</v>
      </c>
      <c r="N40" t="s">
        <v>285</v>
      </c>
      <c r="O40" t="s">
        <v>164</v>
      </c>
      <c r="P40">
        <v>0.24290743202618836</v>
      </c>
      <c r="Q40" t="s">
        <v>162</v>
      </c>
      <c r="S40" t="s">
        <v>397</v>
      </c>
      <c r="T40" t="s">
        <v>164</v>
      </c>
      <c r="U40">
        <v>0.22037975309433025</v>
      </c>
      <c r="V40" t="s">
        <v>162</v>
      </c>
      <c r="AK40">
        <v>2031</v>
      </c>
      <c r="AL40" t="s">
        <v>157</v>
      </c>
      <c r="AM40">
        <v>0.59260000000000002</v>
      </c>
      <c r="AN40" t="s">
        <v>510</v>
      </c>
    </row>
    <row r="41" spans="9:40" x14ac:dyDescent="0.45">
      <c r="I41" t="s">
        <v>173</v>
      </c>
      <c r="J41" t="s">
        <v>165</v>
      </c>
      <c r="K41">
        <v>3.4502550396768243E-2</v>
      </c>
      <c r="L41" t="s">
        <v>162</v>
      </c>
      <c r="N41" t="s">
        <v>285</v>
      </c>
      <c r="O41" t="s">
        <v>165</v>
      </c>
      <c r="P41">
        <v>5.2633108910644447E-2</v>
      </c>
      <c r="Q41" t="s">
        <v>162</v>
      </c>
      <c r="S41" t="s">
        <v>397</v>
      </c>
      <c r="T41" t="s">
        <v>165</v>
      </c>
      <c r="U41">
        <v>6.2500879893800668E-2</v>
      </c>
      <c r="V41" t="s">
        <v>162</v>
      </c>
      <c r="AK41">
        <v>2032</v>
      </c>
      <c r="AL41" t="s">
        <v>151</v>
      </c>
      <c r="AM41">
        <v>0.61715999999999993</v>
      </c>
      <c r="AN41" t="s">
        <v>510</v>
      </c>
    </row>
    <row r="42" spans="9:40" x14ac:dyDescent="0.45">
      <c r="I42" t="s">
        <v>173</v>
      </c>
      <c r="J42" t="s">
        <v>166</v>
      </c>
      <c r="K42">
        <v>0</v>
      </c>
      <c r="L42" t="s">
        <v>162</v>
      </c>
      <c r="N42" t="s">
        <v>285</v>
      </c>
      <c r="O42" t="s">
        <v>166</v>
      </c>
      <c r="P42">
        <v>3.6847957842833512E-3</v>
      </c>
      <c r="Q42" t="s">
        <v>162</v>
      </c>
      <c r="S42" t="s">
        <v>397</v>
      </c>
      <c r="T42" t="s">
        <v>166</v>
      </c>
      <c r="U42">
        <v>3.9496653488936681E-3</v>
      </c>
      <c r="V42" t="s">
        <v>162</v>
      </c>
      <c r="AK42">
        <v>2032</v>
      </c>
      <c r="AL42" t="s">
        <v>155</v>
      </c>
      <c r="AM42">
        <v>0.68169999999999997</v>
      </c>
      <c r="AN42" t="s">
        <v>510</v>
      </c>
    </row>
    <row r="43" spans="9:40" x14ac:dyDescent="0.45">
      <c r="I43" t="s">
        <v>173</v>
      </c>
      <c r="J43" t="s">
        <v>167</v>
      </c>
      <c r="K43">
        <v>0</v>
      </c>
      <c r="L43" t="s">
        <v>162</v>
      </c>
      <c r="N43" t="s">
        <v>285</v>
      </c>
      <c r="O43" t="s">
        <v>167</v>
      </c>
      <c r="P43">
        <v>2.3872526254551711E-2</v>
      </c>
      <c r="Q43" t="s">
        <v>162</v>
      </c>
      <c r="S43" t="s">
        <v>397</v>
      </c>
      <c r="T43" t="s">
        <v>167</v>
      </c>
      <c r="U43">
        <v>2.2131437900686269E-2</v>
      </c>
      <c r="V43" t="s">
        <v>162</v>
      </c>
      <c r="AK43">
        <v>2032</v>
      </c>
      <c r="AL43" t="s">
        <v>157</v>
      </c>
      <c r="AM43">
        <v>0.75839999999999996</v>
      </c>
      <c r="AN43" t="s">
        <v>510</v>
      </c>
    </row>
    <row r="44" spans="9:40" x14ac:dyDescent="0.45">
      <c r="I44" t="s">
        <v>173</v>
      </c>
      <c r="J44" t="s">
        <v>168</v>
      </c>
      <c r="K44">
        <v>3.995477993128406E-2</v>
      </c>
      <c r="L44" t="s">
        <v>162</v>
      </c>
      <c r="N44" t="s">
        <v>285</v>
      </c>
      <c r="O44" t="s">
        <v>168</v>
      </c>
      <c r="P44">
        <v>5.6876930975385175E-2</v>
      </c>
      <c r="Q44" t="s">
        <v>162</v>
      </c>
      <c r="S44" t="s">
        <v>397</v>
      </c>
      <c r="T44" t="s">
        <v>168</v>
      </c>
      <c r="U44">
        <v>5.3175420055524371E-2</v>
      </c>
      <c r="V44" t="s">
        <v>162</v>
      </c>
      <c r="AK44">
        <v>2033</v>
      </c>
      <c r="AL44" t="s">
        <v>151</v>
      </c>
      <c r="AM44">
        <v>0.61742999999999992</v>
      </c>
      <c r="AN44" t="s">
        <v>510</v>
      </c>
    </row>
    <row r="45" spans="9:40" x14ac:dyDescent="0.45">
      <c r="I45" t="s">
        <v>173</v>
      </c>
      <c r="J45" t="s">
        <v>169</v>
      </c>
      <c r="K45">
        <v>0</v>
      </c>
      <c r="L45" t="s">
        <v>162</v>
      </c>
      <c r="N45" t="s">
        <v>285</v>
      </c>
      <c r="O45" t="s">
        <v>169</v>
      </c>
      <c r="P45">
        <v>3.7249598797612022E-3</v>
      </c>
      <c r="Q45" t="s">
        <v>162</v>
      </c>
      <c r="S45" t="s">
        <v>397</v>
      </c>
      <c r="T45" t="s">
        <v>169</v>
      </c>
      <c r="U45">
        <v>3.1295275963357503E-3</v>
      </c>
      <c r="V45" t="s">
        <v>162</v>
      </c>
      <c r="AK45">
        <v>2033</v>
      </c>
      <c r="AL45" t="s">
        <v>155</v>
      </c>
      <c r="AM45">
        <v>0.66639999999999999</v>
      </c>
      <c r="AN45" t="s">
        <v>510</v>
      </c>
    </row>
    <row r="46" spans="9:40" x14ac:dyDescent="0.45">
      <c r="I46" t="s">
        <v>173</v>
      </c>
      <c r="J46" t="s">
        <v>170</v>
      </c>
      <c r="K46">
        <v>0</v>
      </c>
      <c r="L46" t="s">
        <v>162</v>
      </c>
      <c r="N46" t="s">
        <v>285</v>
      </c>
      <c r="O46" t="s">
        <v>170</v>
      </c>
      <c r="P46">
        <v>2.182235014103363E-2</v>
      </c>
      <c r="Q46" t="s">
        <v>162</v>
      </c>
      <c r="S46" t="s">
        <v>397</v>
      </c>
      <c r="T46" t="s">
        <v>170</v>
      </c>
      <c r="U46">
        <v>1.8346332943478295E-2</v>
      </c>
      <c r="V46" t="s">
        <v>162</v>
      </c>
      <c r="AK46">
        <v>2033</v>
      </c>
      <c r="AL46" t="s">
        <v>157</v>
      </c>
      <c r="AM46">
        <v>0.78049999999999997</v>
      </c>
      <c r="AN46" t="s">
        <v>510</v>
      </c>
    </row>
    <row r="47" spans="9:40" x14ac:dyDescent="0.45">
      <c r="I47" t="s">
        <v>174</v>
      </c>
      <c r="J47" t="s">
        <v>161</v>
      </c>
      <c r="K47">
        <v>0.85161809027527868</v>
      </c>
      <c r="L47" t="s">
        <v>162</v>
      </c>
      <c r="N47" t="s">
        <v>286</v>
      </c>
      <c r="O47" t="s">
        <v>161</v>
      </c>
      <c r="P47">
        <v>0.53814886077121771</v>
      </c>
      <c r="Q47" t="s">
        <v>162</v>
      </c>
      <c r="S47" t="s">
        <v>398</v>
      </c>
      <c r="T47" t="s">
        <v>161</v>
      </c>
      <c r="U47">
        <v>0.5888603544878227</v>
      </c>
      <c r="V47" t="s">
        <v>162</v>
      </c>
      <c r="AK47">
        <v>2034</v>
      </c>
      <c r="AL47" t="s">
        <v>151</v>
      </c>
      <c r="AM47">
        <v>0.61343999999999999</v>
      </c>
      <c r="AN47" t="s">
        <v>510</v>
      </c>
    </row>
    <row r="48" spans="9:40" x14ac:dyDescent="0.45">
      <c r="I48" t="s">
        <v>174</v>
      </c>
      <c r="J48" t="s">
        <v>163</v>
      </c>
      <c r="K48">
        <v>4.0604741608794577E-2</v>
      </c>
      <c r="L48" t="s">
        <v>162</v>
      </c>
      <c r="N48" t="s">
        <v>286</v>
      </c>
      <c r="O48" t="s">
        <v>163</v>
      </c>
      <c r="P48">
        <v>3.3145576933131402E-2</v>
      </c>
      <c r="Q48" t="s">
        <v>162</v>
      </c>
      <c r="S48" t="s">
        <v>398</v>
      </c>
      <c r="T48" t="s">
        <v>163</v>
      </c>
      <c r="U48">
        <v>3.5398641929756121E-2</v>
      </c>
      <c r="V48" t="s">
        <v>162</v>
      </c>
      <c r="AK48">
        <v>2034</v>
      </c>
      <c r="AL48" t="s">
        <v>155</v>
      </c>
      <c r="AM48">
        <v>0.65900000000000003</v>
      </c>
      <c r="AN48" t="s">
        <v>510</v>
      </c>
    </row>
    <row r="49" spans="9:40" x14ac:dyDescent="0.45">
      <c r="I49" t="s">
        <v>174</v>
      </c>
      <c r="J49" t="s">
        <v>164</v>
      </c>
      <c r="K49">
        <v>3.6123246448795693E-2</v>
      </c>
      <c r="L49" t="s">
        <v>162</v>
      </c>
      <c r="N49" t="s">
        <v>286</v>
      </c>
      <c r="O49" t="s">
        <v>164</v>
      </c>
      <c r="P49">
        <v>0.23269771020803415</v>
      </c>
      <c r="Q49" t="s">
        <v>162</v>
      </c>
      <c r="S49" t="s">
        <v>398</v>
      </c>
      <c r="T49" t="s">
        <v>164</v>
      </c>
      <c r="U49">
        <v>0.21648915132659929</v>
      </c>
      <c r="V49" t="s">
        <v>162</v>
      </c>
      <c r="AK49">
        <v>2034</v>
      </c>
      <c r="AL49" t="s">
        <v>157</v>
      </c>
      <c r="AM49">
        <v>0.67869999999999997</v>
      </c>
      <c r="AN49" t="s">
        <v>510</v>
      </c>
    </row>
    <row r="50" spans="9:40" x14ac:dyDescent="0.45">
      <c r="I50" t="s">
        <v>174</v>
      </c>
      <c r="J50" t="s">
        <v>165</v>
      </c>
      <c r="K50">
        <v>2.9584361627970037E-2</v>
      </c>
      <c r="L50" t="s">
        <v>162</v>
      </c>
      <c r="N50" t="s">
        <v>286</v>
      </c>
      <c r="O50" t="s">
        <v>165</v>
      </c>
      <c r="P50">
        <v>6.2105649390743714E-2</v>
      </c>
      <c r="Q50" t="s">
        <v>162</v>
      </c>
      <c r="S50" t="s">
        <v>398</v>
      </c>
      <c r="T50" t="s">
        <v>165</v>
      </c>
      <c r="U50">
        <v>6.6046466351764851E-2</v>
      </c>
      <c r="V50" t="s">
        <v>162</v>
      </c>
      <c r="AK50">
        <v>2035</v>
      </c>
      <c r="AL50" t="s">
        <v>151</v>
      </c>
      <c r="AM50">
        <v>0.61941000000000002</v>
      </c>
      <c r="AN50" t="s">
        <v>510</v>
      </c>
    </row>
    <row r="51" spans="9:40" x14ac:dyDescent="0.45">
      <c r="I51" t="s">
        <v>174</v>
      </c>
      <c r="J51" t="s">
        <v>166</v>
      </c>
      <c r="K51">
        <v>0</v>
      </c>
      <c r="L51" t="s">
        <v>162</v>
      </c>
      <c r="N51" t="s">
        <v>286</v>
      </c>
      <c r="O51" t="s">
        <v>166</v>
      </c>
      <c r="P51">
        <v>3.5528797374689042E-3</v>
      </c>
      <c r="Q51" t="s">
        <v>162</v>
      </c>
      <c r="S51" t="s">
        <v>398</v>
      </c>
      <c r="T51" t="s">
        <v>166</v>
      </c>
      <c r="U51">
        <v>4.0660077945845127E-3</v>
      </c>
      <c r="V51" t="s">
        <v>162</v>
      </c>
      <c r="AK51">
        <v>2035</v>
      </c>
      <c r="AL51" t="s">
        <v>155</v>
      </c>
      <c r="AM51">
        <v>0.68869999999999998</v>
      </c>
      <c r="AN51" t="s">
        <v>510</v>
      </c>
    </row>
    <row r="52" spans="9:40" x14ac:dyDescent="0.45">
      <c r="I52" t="s">
        <v>174</v>
      </c>
      <c r="J52" t="s">
        <v>167</v>
      </c>
      <c r="K52">
        <v>0</v>
      </c>
      <c r="L52" t="s">
        <v>162</v>
      </c>
      <c r="N52" t="s">
        <v>286</v>
      </c>
      <c r="O52" t="s">
        <v>167</v>
      </c>
      <c r="P52">
        <v>2.2739333715809214E-2</v>
      </c>
      <c r="Q52" t="s">
        <v>162</v>
      </c>
      <c r="S52" t="s">
        <v>398</v>
      </c>
      <c r="T52" t="s">
        <v>167</v>
      </c>
      <c r="U52">
        <v>2.3182182658688526E-2</v>
      </c>
      <c r="V52" t="s">
        <v>162</v>
      </c>
      <c r="AK52">
        <v>2035</v>
      </c>
      <c r="AL52" t="s">
        <v>157</v>
      </c>
      <c r="AM52">
        <v>0.76219999999999999</v>
      </c>
      <c r="AN52" t="s">
        <v>510</v>
      </c>
    </row>
    <row r="53" spans="9:40" x14ac:dyDescent="0.45">
      <c r="I53" t="s">
        <v>174</v>
      </c>
      <c r="J53" t="s">
        <v>168</v>
      </c>
      <c r="K53">
        <v>4.206956003916211E-2</v>
      </c>
      <c r="L53" t="s">
        <v>162</v>
      </c>
      <c r="N53" t="s">
        <v>286</v>
      </c>
      <c r="O53" t="s">
        <v>168</v>
      </c>
      <c r="P53">
        <v>7.3235306541814191E-2</v>
      </c>
      <c r="Q53" t="s">
        <v>162</v>
      </c>
      <c r="S53" t="s">
        <v>398</v>
      </c>
      <c r="T53" t="s">
        <v>168</v>
      </c>
      <c r="U53">
        <v>4.6641410075464428E-2</v>
      </c>
      <c r="V53" t="s">
        <v>162</v>
      </c>
      <c r="AK53">
        <v>2036</v>
      </c>
      <c r="AL53" t="s">
        <v>151</v>
      </c>
      <c r="AM53">
        <v>0.61796999999999991</v>
      </c>
      <c r="AN53" t="s">
        <v>510</v>
      </c>
    </row>
    <row r="54" spans="9:40" x14ac:dyDescent="0.45">
      <c r="I54" t="s">
        <v>174</v>
      </c>
      <c r="J54" t="s">
        <v>169</v>
      </c>
      <c r="K54">
        <v>0</v>
      </c>
      <c r="L54" t="s">
        <v>162</v>
      </c>
      <c r="N54" t="s">
        <v>286</v>
      </c>
      <c r="O54" t="s">
        <v>169</v>
      </c>
      <c r="P54">
        <v>4.9789840644844522E-3</v>
      </c>
      <c r="Q54" t="s">
        <v>162</v>
      </c>
      <c r="S54" t="s">
        <v>398</v>
      </c>
      <c r="T54" t="s">
        <v>169</v>
      </c>
      <c r="U54">
        <v>2.6422195880960488E-3</v>
      </c>
      <c r="V54" t="s">
        <v>162</v>
      </c>
      <c r="AK54">
        <v>2036</v>
      </c>
      <c r="AL54" t="s">
        <v>155</v>
      </c>
      <c r="AM54">
        <v>0.58489999999999998</v>
      </c>
      <c r="AN54" t="s">
        <v>510</v>
      </c>
    </row>
    <row r="55" spans="9:40" x14ac:dyDescent="0.45">
      <c r="I55" t="s">
        <v>174</v>
      </c>
      <c r="J55" t="s">
        <v>170</v>
      </c>
      <c r="K55">
        <v>0</v>
      </c>
      <c r="L55" t="s">
        <v>162</v>
      </c>
      <c r="N55" t="s">
        <v>286</v>
      </c>
      <c r="O55" t="s">
        <v>170</v>
      </c>
      <c r="P55">
        <v>2.9395698637298229E-2</v>
      </c>
      <c r="Q55" t="s">
        <v>162</v>
      </c>
      <c r="S55" t="s">
        <v>398</v>
      </c>
      <c r="T55" t="s">
        <v>170</v>
      </c>
      <c r="U55">
        <v>1.6673565787224062E-2</v>
      </c>
      <c r="V55" t="s">
        <v>162</v>
      </c>
      <c r="AK55">
        <v>2036</v>
      </c>
      <c r="AL55" t="s">
        <v>157</v>
      </c>
      <c r="AM55">
        <v>0.75529999999999997</v>
      </c>
      <c r="AN55" t="s">
        <v>510</v>
      </c>
    </row>
    <row r="56" spans="9:40" x14ac:dyDescent="0.45">
      <c r="I56" t="s">
        <v>175</v>
      </c>
      <c r="J56" t="s">
        <v>161</v>
      </c>
      <c r="K56">
        <v>0.85185280579633482</v>
      </c>
      <c r="L56" t="s">
        <v>162</v>
      </c>
      <c r="N56" t="s">
        <v>287</v>
      </c>
      <c r="O56" t="s">
        <v>161</v>
      </c>
      <c r="P56">
        <v>0.54546730648431541</v>
      </c>
      <c r="Q56" t="s">
        <v>162</v>
      </c>
      <c r="S56" t="s">
        <v>399</v>
      </c>
      <c r="T56" t="s">
        <v>161</v>
      </c>
      <c r="U56">
        <v>0.59403249684978765</v>
      </c>
      <c r="V56" t="s">
        <v>162</v>
      </c>
      <c r="AK56">
        <v>2037</v>
      </c>
      <c r="AL56" t="s">
        <v>151</v>
      </c>
      <c r="AM56">
        <v>0.54475999999999991</v>
      </c>
      <c r="AN56" t="s">
        <v>510</v>
      </c>
    </row>
    <row r="57" spans="9:40" x14ac:dyDescent="0.45">
      <c r="I57" t="s">
        <v>175</v>
      </c>
      <c r="J57" t="s">
        <v>163</v>
      </c>
      <c r="K57">
        <v>3.9854739035964294E-2</v>
      </c>
      <c r="L57" t="s">
        <v>162</v>
      </c>
      <c r="N57" t="s">
        <v>287</v>
      </c>
      <c r="O57" t="s">
        <v>163</v>
      </c>
      <c r="P57">
        <v>3.2210748239737914E-2</v>
      </c>
      <c r="Q57" t="s">
        <v>162</v>
      </c>
      <c r="S57" t="s">
        <v>399</v>
      </c>
      <c r="T57" t="s">
        <v>163</v>
      </c>
      <c r="U57">
        <v>3.5039683404893926E-2</v>
      </c>
      <c r="V57" t="s">
        <v>162</v>
      </c>
      <c r="AK57">
        <v>2037</v>
      </c>
      <c r="AL57" t="s">
        <v>155</v>
      </c>
      <c r="AM57">
        <v>0.59860000000000002</v>
      </c>
      <c r="AN57" t="s">
        <v>510</v>
      </c>
    </row>
    <row r="58" spans="9:40" x14ac:dyDescent="0.45">
      <c r="I58" t="s">
        <v>175</v>
      </c>
      <c r="J58" t="s">
        <v>164</v>
      </c>
      <c r="K58">
        <v>3.8186249675479546E-2</v>
      </c>
      <c r="L58" t="s">
        <v>162</v>
      </c>
      <c r="N58" t="s">
        <v>287</v>
      </c>
      <c r="O58" t="s">
        <v>164</v>
      </c>
      <c r="P58">
        <v>0.24319803844946888</v>
      </c>
      <c r="Q58" t="s">
        <v>162</v>
      </c>
      <c r="S58" t="s">
        <v>399</v>
      </c>
      <c r="T58" t="s">
        <v>164</v>
      </c>
      <c r="U58">
        <v>0.21265974980323221</v>
      </c>
      <c r="V58" t="s">
        <v>162</v>
      </c>
      <c r="AK58">
        <v>2037</v>
      </c>
      <c r="AL58" t="s">
        <v>157</v>
      </c>
      <c r="AM58">
        <v>0.65239999999999998</v>
      </c>
      <c r="AN58" t="s">
        <v>510</v>
      </c>
    </row>
    <row r="59" spans="9:40" x14ac:dyDescent="0.45">
      <c r="I59" t="s">
        <v>175</v>
      </c>
      <c r="J59" t="s">
        <v>165</v>
      </c>
      <c r="K59">
        <v>2.9417991002498738E-2</v>
      </c>
      <c r="L59" t="s">
        <v>162</v>
      </c>
      <c r="N59" t="s">
        <v>287</v>
      </c>
      <c r="O59" t="s">
        <v>165</v>
      </c>
      <c r="P59">
        <v>5.727452991478349E-2</v>
      </c>
      <c r="Q59" t="s">
        <v>162</v>
      </c>
      <c r="S59" t="s">
        <v>399</v>
      </c>
      <c r="T59" t="s">
        <v>165</v>
      </c>
      <c r="U59">
        <v>5.5307159083684214E-2</v>
      </c>
      <c r="V59" t="s">
        <v>162</v>
      </c>
      <c r="AK59">
        <v>2038</v>
      </c>
      <c r="AL59" t="s">
        <v>151</v>
      </c>
      <c r="AM59">
        <v>0.53256000000000003</v>
      </c>
      <c r="AN59" t="s">
        <v>510</v>
      </c>
    </row>
    <row r="60" spans="9:40" x14ac:dyDescent="0.45">
      <c r="I60" t="s">
        <v>175</v>
      </c>
      <c r="J60" t="s">
        <v>166</v>
      </c>
      <c r="K60">
        <v>0</v>
      </c>
      <c r="L60" t="s">
        <v>162</v>
      </c>
      <c r="N60" t="s">
        <v>287</v>
      </c>
      <c r="O60" t="s">
        <v>166</v>
      </c>
      <c r="P60">
        <v>3.5950803941982193E-3</v>
      </c>
      <c r="Q60" t="s">
        <v>162</v>
      </c>
      <c r="S60" t="s">
        <v>399</v>
      </c>
      <c r="T60" t="s">
        <v>166</v>
      </c>
      <c r="U60">
        <v>2.8352158364718283E-3</v>
      </c>
      <c r="V60" t="s">
        <v>162</v>
      </c>
      <c r="AK60">
        <v>2038</v>
      </c>
      <c r="AL60" t="s">
        <v>155</v>
      </c>
      <c r="AM60">
        <v>0.50700000000000001</v>
      </c>
      <c r="AN60" t="s">
        <v>510</v>
      </c>
    </row>
    <row r="61" spans="9:40" x14ac:dyDescent="0.45">
      <c r="I61" t="s">
        <v>175</v>
      </c>
      <c r="J61" t="s">
        <v>167</v>
      </c>
      <c r="K61">
        <v>0</v>
      </c>
      <c r="L61" t="s">
        <v>162</v>
      </c>
      <c r="N61" t="s">
        <v>287</v>
      </c>
      <c r="O61" t="s">
        <v>167</v>
      </c>
      <c r="P61">
        <v>2.4033184128237663E-2</v>
      </c>
      <c r="Q61" t="s">
        <v>162</v>
      </c>
      <c r="S61" t="s">
        <v>399</v>
      </c>
      <c r="T61" t="s">
        <v>167</v>
      </c>
      <c r="U61">
        <v>1.7857274473811829E-2</v>
      </c>
      <c r="V61" t="s">
        <v>162</v>
      </c>
      <c r="AK61">
        <v>2038</v>
      </c>
      <c r="AL61" t="s">
        <v>157</v>
      </c>
      <c r="AM61">
        <v>0.60250000000000004</v>
      </c>
      <c r="AN61" t="s">
        <v>510</v>
      </c>
    </row>
    <row r="62" spans="9:40" x14ac:dyDescent="0.45">
      <c r="I62" t="s">
        <v>175</v>
      </c>
      <c r="J62" t="s">
        <v>168</v>
      </c>
      <c r="K62">
        <v>4.0688214489721125E-2</v>
      </c>
      <c r="L62" t="s">
        <v>162</v>
      </c>
      <c r="N62" t="s">
        <v>287</v>
      </c>
      <c r="O62" t="s">
        <v>168</v>
      </c>
      <c r="P62">
        <v>6.6207158022382404E-2</v>
      </c>
      <c r="Q62" t="s">
        <v>162</v>
      </c>
      <c r="S62" t="s">
        <v>399</v>
      </c>
      <c r="T62" t="s">
        <v>168</v>
      </c>
      <c r="U62">
        <v>5.9612613120335646E-2</v>
      </c>
      <c r="V62" t="s">
        <v>162</v>
      </c>
      <c r="AK62">
        <v>2039</v>
      </c>
      <c r="AL62" t="s">
        <v>151</v>
      </c>
      <c r="AM62">
        <v>0.61281000000000008</v>
      </c>
      <c r="AN62" t="s">
        <v>510</v>
      </c>
    </row>
    <row r="63" spans="9:40" x14ac:dyDescent="0.45">
      <c r="I63" t="s">
        <v>175</v>
      </c>
      <c r="J63" t="s">
        <v>169</v>
      </c>
      <c r="K63">
        <v>0</v>
      </c>
      <c r="L63" t="s">
        <v>162</v>
      </c>
      <c r="N63" t="s">
        <v>287</v>
      </c>
      <c r="O63" t="s">
        <v>169</v>
      </c>
      <c r="P63">
        <v>4.0665421122258313E-3</v>
      </c>
      <c r="Q63" t="s">
        <v>162</v>
      </c>
      <c r="S63" t="s">
        <v>399</v>
      </c>
      <c r="T63" t="s">
        <v>169</v>
      </c>
      <c r="U63">
        <v>3.1970158316763121E-3</v>
      </c>
      <c r="V63" t="s">
        <v>162</v>
      </c>
      <c r="AK63">
        <v>2039</v>
      </c>
      <c r="AL63" t="s">
        <v>155</v>
      </c>
      <c r="AM63">
        <v>0.63229999999999997</v>
      </c>
      <c r="AN63" t="s">
        <v>510</v>
      </c>
    </row>
    <row r="64" spans="9:40" x14ac:dyDescent="0.45">
      <c r="I64" t="s">
        <v>175</v>
      </c>
      <c r="J64" t="s">
        <v>170</v>
      </c>
      <c r="K64">
        <v>0</v>
      </c>
      <c r="L64" t="s">
        <v>162</v>
      </c>
      <c r="N64" t="s">
        <v>287</v>
      </c>
      <c r="O64" t="s">
        <v>170</v>
      </c>
      <c r="P64">
        <v>2.3947412254650951E-2</v>
      </c>
      <c r="Q64" t="s">
        <v>162</v>
      </c>
      <c r="S64" t="s">
        <v>399</v>
      </c>
      <c r="T64" t="s">
        <v>170</v>
      </c>
      <c r="U64">
        <v>1.9458791596105519E-2</v>
      </c>
      <c r="V64" t="s">
        <v>162</v>
      </c>
      <c r="AK64">
        <v>2039</v>
      </c>
      <c r="AL64" t="s">
        <v>157</v>
      </c>
      <c r="AM64">
        <v>0.68730000000000002</v>
      </c>
      <c r="AN64" t="s">
        <v>510</v>
      </c>
    </row>
    <row r="65" spans="9:40" x14ac:dyDescent="0.45">
      <c r="I65" t="s">
        <v>176</v>
      </c>
      <c r="J65" t="s">
        <v>161</v>
      </c>
      <c r="K65">
        <v>0.80862108279081968</v>
      </c>
      <c r="L65" t="s">
        <v>162</v>
      </c>
      <c r="N65" t="s">
        <v>288</v>
      </c>
      <c r="O65" t="s">
        <v>161</v>
      </c>
      <c r="P65">
        <v>0.55779090518366103</v>
      </c>
      <c r="Q65" t="s">
        <v>162</v>
      </c>
      <c r="S65" t="s">
        <v>400</v>
      </c>
      <c r="T65" t="s">
        <v>161</v>
      </c>
      <c r="U65">
        <v>0.57619138072922294</v>
      </c>
      <c r="V65" t="s">
        <v>162</v>
      </c>
      <c r="AK65">
        <v>2040</v>
      </c>
      <c r="AL65" t="s">
        <v>151</v>
      </c>
      <c r="AM65">
        <v>0.53369</v>
      </c>
      <c r="AN65" t="s">
        <v>510</v>
      </c>
    </row>
    <row r="66" spans="9:40" x14ac:dyDescent="0.45">
      <c r="I66" t="s">
        <v>176</v>
      </c>
      <c r="J66" t="s">
        <v>163</v>
      </c>
      <c r="K66">
        <v>5.9870123275222495E-2</v>
      </c>
      <c r="L66" t="s">
        <v>162</v>
      </c>
      <c r="N66" t="s">
        <v>288</v>
      </c>
      <c r="O66" t="s">
        <v>163</v>
      </c>
      <c r="P66">
        <v>3.0930437938059437E-2</v>
      </c>
      <c r="Q66" t="s">
        <v>162</v>
      </c>
      <c r="S66" t="s">
        <v>400</v>
      </c>
      <c r="T66" t="s">
        <v>163</v>
      </c>
      <c r="U66">
        <v>3.4162960867358712E-2</v>
      </c>
      <c r="V66" t="s">
        <v>162</v>
      </c>
      <c r="AK66">
        <v>2040</v>
      </c>
      <c r="AL66" t="s">
        <v>155</v>
      </c>
      <c r="AM66">
        <v>0.51990000000000003</v>
      </c>
      <c r="AN66" t="s">
        <v>510</v>
      </c>
    </row>
    <row r="67" spans="9:40" x14ac:dyDescent="0.45">
      <c r="I67" t="s">
        <v>176</v>
      </c>
      <c r="J67" t="s">
        <v>164</v>
      </c>
      <c r="K67">
        <v>7.9251070325199749E-2</v>
      </c>
      <c r="L67" t="s">
        <v>162</v>
      </c>
      <c r="N67" t="s">
        <v>288</v>
      </c>
      <c r="O67" t="s">
        <v>164</v>
      </c>
      <c r="P67">
        <v>0.23354750553502202</v>
      </c>
      <c r="Q67" t="s">
        <v>162</v>
      </c>
      <c r="S67" t="s">
        <v>400</v>
      </c>
      <c r="T67" t="s">
        <v>164</v>
      </c>
      <c r="U67">
        <v>0.20769461765910169</v>
      </c>
      <c r="V67" t="s">
        <v>162</v>
      </c>
      <c r="AK67">
        <v>2040</v>
      </c>
      <c r="AL67" t="s">
        <v>157</v>
      </c>
      <c r="AM67">
        <v>0.59309999999999996</v>
      </c>
      <c r="AN67" t="s">
        <v>510</v>
      </c>
    </row>
    <row r="68" spans="9:40" x14ac:dyDescent="0.45">
      <c r="I68" t="s">
        <v>176</v>
      </c>
      <c r="J68" t="s">
        <v>165</v>
      </c>
      <c r="K68">
        <v>2.9476009609345696E-2</v>
      </c>
      <c r="L68" t="s">
        <v>162</v>
      </c>
      <c r="N68" t="s">
        <v>288</v>
      </c>
      <c r="O68" t="s">
        <v>165</v>
      </c>
      <c r="P68">
        <v>6.1110134617080501E-2</v>
      </c>
      <c r="Q68" t="s">
        <v>162</v>
      </c>
      <c r="S68" t="s">
        <v>400</v>
      </c>
      <c r="T68" t="s">
        <v>165</v>
      </c>
      <c r="U68">
        <v>6.34719799771922E-2</v>
      </c>
      <c r="V68" t="s">
        <v>162</v>
      </c>
      <c r="AK68">
        <v>2041</v>
      </c>
      <c r="AL68" t="s">
        <v>151</v>
      </c>
      <c r="AM68">
        <v>0.53661999999999999</v>
      </c>
      <c r="AN68" t="s">
        <v>510</v>
      </c>
    </row>
    <row r="69" spans="9:40" x14ac:dyDescent="0.45">
      <c r="I69" t="s">
        <v>176</v>
      </c>
      <c r="J69" t="s">
        <v>166</v>
      </c>
      <c r="K69">
        <v>0</v>
      </c>
      <c r="L69" t="s">
        <v>162</v>
      </c>
      <c r="N69" t="s">
        <v>288</v>
      </c>
      <c r="O69" t="s">
        <v>166</v>
      </c>
      <c r="P69">
        <v>3.9329515464157465E-3</v>
      </c>
      <c r="Q69" t="s">
        <v>162</v>
      </c>
      <c r="S69" t="s">
        <v>400</v>
      </c>
      <c r="T69" t="s">
        <v>166</v>
      </c>
      <c r="U69">
        <v>3.9041945640353923E-3</v>
      </c>
      <c r="V69" t="s">
        <v>162</v>
      </c>
      <c r="AK69">
        <v>2041</v>
      </c>
      <c r="AL69" t="s">
        <v>155</v>
      </c>
      <c r="AM69">
        <v>0.54059999999999997</v>
      </c>
      <c r="AN69" t="s">
        <v>510</v>
      </c>
    </row>
    <row r="70" spans="9:40" x14ac:dyDescent="0.45">
      <c r="I70" t="s">
        <v>176</v>
      </c>
      <c r="J70" t="s">
        <v>167</v>
      </c>
      <c r="K70">
        <v>0</v>
      </c>
      <c r="L70" t="s">
        <v>162</v>
      </c>
      <c r="N70" t="s">
        <v>288</v>
      </c>
      <c r="O70" t="s">
        <v>167</v>
      </c>
      <c r="P70">
        <v>2.4907990338709829E-2</v>
      </c>
      <c r="Q70" t="s">
        <v>162</v>
      </c>
      <c r="S70" t="s">
        <v>400</v>
      </c>
      <c r="T70" t="s">
        <v>167</v>
      </c>
      <c r="U70">
        <v>2.3033585625075025E-2</v>
      </c>
      <c r="V70" t="s">
        <v>162</v>
      </c>
      <c r="AK70">
        <v>2041</v>
      </c>
      <c r="AL70" t="s">
        <v>157</v>
      </c>
      <c r="AM70">
        <v>0.60719999999999996</v>
      </c>
      <c r="AN70" t="s">
        <v>510</v>
      </c>
    </row>
    <row r="71" spans="9:40" x14ac:dyDescent="0.45">
      <c r="I71" t="s">
        <v>176</v>
      </c>
      <c r="J71" t="s">
        <v>168</v>
      </c>
      <c r="K71">
        <v>2.2781713999414466E-2</v>
      </c>
      <c r="L71" t="s">
        <v>162</v>
      </c>
      <c r="N71" t="s">
        <v>288</v>
      </c>
      <c r="O71" t="s">
        <v>168</v>
      </c>
      <c r="P71">
        <v>6.1147888378897404E-2</v>
      </c>
      <c r="Q71" t="s">
        <v>162</v>
      </c>
      <c r="S71" t="s">
        <v>400</v>
      </c>
      <c r="T71" t="s">
        <v>168</v>
      </c>
      <c r="U71">
        <v>6.5246577956955237E-2</v>
      </c>
      <c r="V71" t="s">
        <v>162</v>
      </c>
      <c r="AK71">
        <v>2042</v>
      </c>
      <c r="AL71" t="s">
        <v>151</v>
      </c>
      <c r="AM71">
        <v>0.53174999999999994</v>
      </c>
      <c r="AN71" t="s">
        <v>510</v>
      </c>
    </row>
    <row r="72" spans="9:40" x14ac:dyDescent="0.45">
      <c r="I72" t="s">
        <v>176</v>
      </c>
      <c r="J72" t="s">
        <v>169</v>
      </c>
      <c r="K72">
        <v>0</v>
      </c>
      <c r="L72" t="s">
        <v>162</v>
      </c>
      <c r="N72" t="s">
        <v>288</v>
      </c>
      <c r="O72" t="s">
        <v>169</v>
      </c>
      <c r="P72">
        <v>3.8889350070450092E-3</v>
      </c>
      <c r="Q72" t="s">
        <v>162</v>
      </c>
      <c r="S72" t="s">
        <v>400</v>
      </c>
      <c r="T72" t="s">
        <v>169</v>
      </c>
      <c r="U72">
        <v>3.7059438682868285E-3</v>
      </c>
      <c r="V72" t="s">
        <v>162</v>
      </c>
      <c r="AK72">
        <v>2042</v>
      </c>
      <c r="AL72" t="s">
        <v>155</v>
      </c>
      <c r="AM72">
        <v>0.53349999999999997</v>
      </c>
      <c r="AN72" t="s">
        <v>510</v>
      </c>
    </row>
    <row r="73" spans="9:40" x14ac:dyDescent="0.45">
      <c r="I73" t="s">
        <v>176</v>
      </c>
      <c r="J73" t="s">
        <v>170</v>
      </c>
      <c r="K73">
        <v>0</v>
      </c>
      <c r="L73" t="s">
        <v>162</v>
      </c>
      <c r="N73" t="s">
        <v>288</v>
      </c>
      <c r="O73" t="s">
        <v>170</v>
      </c>
      <c r="P73">
        <v>2.2743251455111215E-2</v>
      </c>
      <c r="Q73" t="s">
        <v>162</v>
      </c>
      <c r="S73" t="s">
        <v>400</v>
      </c>
      <c r="T73" t="s">
        <v>170</v>
      </c>
      <c r="U73">
        <v>2.2588758752770163E-2</v>
      </c>
      <c r="V73" t="s">
        <v>162</v>
      </c>
      <c r="AK73">
        <v>2042</v>
      </c>
      <c r="AL73" t="s">
        <v>157</v>
      </c>
      <c r="AM73">
        <v>0.62680000000000002</v>
      </c>
      <c r="AN73" t="s">
        <v>510</v>
      </c>
    </row>
    <row r="74" spans="9:40" x14ac:dyDescent="0.45">
      <c r="I74" t="s">
        <v>177</v>
      </c>
      <c r="J74" t="s">
        <v>161</v>
      </c>
      <c r="K74">
        <v>0.80781944740893141</v>
      </c>
      <c r="L74" t="s">
        <v>162</v>
      </c>
      <c r="N74" t="s">
        <v>289</v>
      </c>
      <c r="O74" t="s">
        <v>161</v>
      </c>
      <c r="P74">
        <v>0.5885136684868042</v>
      </c>
      <c r="Q74" t="s">
        <v>162</v>
      </c>
      <c r="S74" t="s">
        <v>401</v>
      </c>
      <c r="T74" t="s">
        <v>161</v>
      </c>
      <c r="U74">
        <v>0.57728399579330147</v>
      </c>
      <c r="V74" t="s">
        <v>162</v>
      </c>
      <c r="AK74">
        <v>2043</v>
      </c>
      <c r="AL74" t="s">
        <v>151</v>
      </c>
      <c r="AM74">
        <v>0.53180999999999989</v>
      </c>
      <c r="AN74" t="s">
        <v>510</v>
      </c>
    </row>
    <row r="75" spans="9:40" x14ac:dyDescent="0.45">
      <c r="I75" t="s">
        <v>177</v>
      </c>
      <c r="J75" t="s">
        <v>163</v>
      </c>
      <c r="K75">
        <v>5.6397664323042877E-2</v>
      </c>
      <c r="L75" t="s">
        <v>162</v>
      </c>
      <c r="N75" t="s">
        <v>289</v>
      </c>
      <c r="O75" t="s">
        <v>163</v>
      </c>
      <c r="P75">
        <v>3.8674399777735215E-2</v>
      </c>
      <c r="Q75" t="s">
        <v>162</v>
      </c>
      <c r="S75" t="s">
        <v>401</v>
      </c>
      <c r="T75" t="s">
        <v>163</v>
      </c>
      <c r="U75">
        <v>3.4044237302045019E-2</v>
      </c>
      <c r="V75" t="s">
        <v>162</v>
      </c>
      <c r="AK75">
        <v>2043</v>
      </c>
      <c r="AL75" t="s">
        <v>155</v>
      </c>
      <c r="AM75">
        <v>0.56310000000000004</v>
      </c>
      <c r="AN75" t="s">
        <v>510</v>
      </c>
    </row>
    <row r="76" spans="9:40" x14ac:dyDescent="0.45">
      <c r="I76" t="s">
        <v>177</v>
      </c>
      <c r="J76" t="s">
        <v>164</v>
      </c>
      <c r="K76">
        <v>7.0552217599840483E-2</v>
      </c>
      <c r="L76" t="s">
        <v>162</v>
      </c>
      <c r="N76" t="s">
        <v>289</v>
      </c>
      <c r="O76" t="s">
        <v>164</v>
      </c>
      <c r="P76">
        <v>0.21680096897394729</v>
      </c>
      <c r="Q76" t="s">
        <v>162</v>
      </c>
      <c r="S76" t="s">
        <v>401</v>
      </c>
      <c r="T76" t="s">
        <v>164</v>
      </c>
      <c r="U76">
        <v>0.2121544971014338</v>
      </c>
      <c r="V76" t="s">
        <v>162</v>
      </c>
      <c r="AK76">
        <v>2043</v>
      </c>
      <c r="AL76" t="s">
        <v>157</v>
      </c>
      <c r="AM76">
        <v>0.63109999999999999</v>
      </c>
      <c r="AN76" t="s">
        <v>510</v>
      </c>
    </row>
    <row r="77" spans="9:40" x14ac:dyDescent="0.45">
      <c r="I77" t="s">
        <v>177</v>
      </c>
      <c r="J77" t="s">
        <v>165</v>
      </c>
      <c r="K77">
        <v>3.3470435414227888E-2</v>
      </c>
      <c r="L77" t="s">
        <v>162</v>
      </c>
      <c r="N77" t="s">
        <v>289</v>
      </c>
      <c r="O77" t="s">
        <v>165</v>
      </c>
      <c r="P77">
        <v>5.2165672588826838E-2</v>
      </c>
      <c r="Q77" t="s">
        <v>162</v>
      </c>
      <c r="S77" t="s">
        <v>401</v>
      </c>
      <c r="T77" t="s">
        <v>165</v>
      </c>
      <c r="U77">
        <v>6.6173861205493539E-2</v>
      </c>
      <c r="V77" t="s">
        <v>162</v>
      </c>
      <c r="AK77">
        <v>2044</v>
      </c>
      <c r="AL77" t="s">
        <v>151</v>
      </c>
      <c r="AM77">
        <v>0.51694999999999991</v>
      </c>
      <c r="AN77" t="s">
        <v>510</v>
      </c>
    </row>
    <row r="78" spans="9:40" x14ac:dyDescent="0.45">
      <c r="I78" t="s">
        <v>177</v>
      </c>
      <c r="J78" t="s">
        <v>166</v>
      </c>
      <c r="K78">
        <v>0</v>
      </c>
      <c r="L78" t="s">
        <v>162</v>
      </c>
      <c r="N78" t="s">
        <v>289</v>
      </c>
      <c r="O78" t="s">
        <v>166</v>
      </c>
      <c r="P78">
        <v>3.192148082933445E-3</v>
      </c>
      <c r="Q78" t="s">
        <v>162</v>
      </c>
      <c r="S78" t="s">
        <v>401</v>
      </c>
      <c r="T78" t="s">
        <v>166</v>
      </c>
      <c r="U78">
        <v>4.1766843513698759E-3</v>
      </c>
      <c r="V78" t="s">
        <v>162</v>
      </c>
      <c r="AK78">
        <v>2044</v>
      </c>
      <c r="AL78" t="s">
        <v>155</v>
      </c>
      <c r="AM78">
        <v>0.58240000000000003</v>
      </c>
      <c r="AN78" t="s">
        <v>510</v>
      </c>
    </row>
    <row r="79" spans="9:40" x14ac:dyDescent="0.45">
      <c r="I79" t="s">
        <v>177</v>
      </c>
      <c r="J79" t="s">
        <v>167</v>
      </c>
      <c r="K79">
        <v>0</v>
      </c>
      <c r="L79" t="s">
        <v>162</v>
      </c>
      <c r="N79" t="s">
        <v>289</v>
      </c>
      <c r="O79" t="s">
        <v>167</v>
      </c>
      <c r="P79">
        <v>1.6686892344315252E-2</v>
      </c>
      <c r="Q79" t="s">
        <v>162</v>
      </c>
      <c r="S79" t="s">
        <v>401</v>
      </c>
      <c r="T79" t="s">
        <v>167</v>
      </c>
      <c r="U79">
        <v>2.4507304244394703E-2</v>
      </c>
      <c r="V79" t="s">
        <v>162</v>
      </c>
      <c r="AK79">
        <v>2044</v>
      </c>
      <c r="AL79" t="s">
        <v>157</v>
      </c>
      <c r="AM79">
        <v>0.67710000000000004</v>
      </c>
      <c r="AN79" t="s">
        <v>510</v>
      </c>
    </row>
    <row r="80" spans="9:40" x14ac:dyDescent="0.45">
      <c r="I80" t="s">
        <v>177</v>
      </c>
      <c r="J80" t="s">
        <v>168</v>
      </c>
      <c r="K80">
        <v>3.1760235253957415E-2</v>
      </c>
      <c r="L80" t="s">
        <v>162</v>
      </c>
      <c r="N80" t="s">
        <v>289</v>
      </c>
      <c r="O80" t="s">
        <v>168</v>
      </c>
      <c r="P80">
        <v>5.9254660941155411E-2</v>
      </c>
      <c r="Q80" t="s">
        <v>162</v>
      </c>
      <c r="S80" t="s">
        <v>401</v>
      </c>
      <c r="T80" t="s">
        <v>168</v>
      </c>
      <c r="U80">
        <v>5.8525421859141953E-2</v>
      </c>
      <c r="V80" t="s">
        <v>162</v>
      </c>
      <c r="AK80">
        <v>2045</v>
      </c>
      <c r="AL80" t="s">
        <v>151</v>
      </c>
      <c r="AM80">
        <v>0.51319000000000004</v>
      </c>
      <c r="AN80" t="s">
        <v>510</v>
      </c>
    </row>
    <row r="81" spans="9:40" x14ac:dyDescent="0.45">
      <c r="I81" t="s">
        <v>177</v>
      </c>
      <c r="J81" t="s">
        <v>169</v>
      </c>
      <c r="K81">
        <v>0</v>
      </c>
      <c r="L81" t="s">
        <v>162</v>
      </c>
      <c r="N81" t="s">
        <v>289</v>
      </c>
      <c r="O81" t="s">
        <v>169</v>
      </c>
      <c r="P81">
        <v>3.7410893351856093E-3</v>
      </c>
      <c r="Q81" t="s">
        <v>162</v>
      </c>
      <c r="S81" t="s">
        <v>401</v>
      </c>
      <c r="T81" t="s">
        <v>169</v>
      </c>
      <c r="U81">
        <v>3.3866421339637256E-3</v>
      </c>
      <c r="V81" t="s">
        <v>162</v>
      </c>
      <c r="AK81">
        <v>2045</v>
      </c>
      <c r="AL81" t="s">
        <v>155</v>
      </c>
      <c r="AM81">
        <v>0.56230000000000002</v>
      </c>
      <c r="AN81" t="s">
        <v>510</v>
      </c>
    </row>
    <row r="82" spans="9:40" x14ac:dyDescent="0.45">
      <c r="I82" t="s">
        <v>177</v>
      </c>
      <c r="J82" t="s">
        <v>170</v>
      </c>
      <c r="K82">
        <v>0</v>
      </c>
      <c r="L82" t="s">
        <v>162</v>
      </c>
      <c r="N82" t="s">
        <v>289</v>
      </c>
      <c r="O82" t="s">
        <v>170</v>
      </c>
      <c r="P82">
        <v>2.0970499469100207E-2</v>
      </c>
      <c r="Q82" t="s">
        <v>162</v>
      </c>
      <c r="S82" t="s">
        <v>401</v>
      </c>
      <c r="T82" t="s">
        <v>170</v>
      </c>
      <c r="U82">
        <v>1.9747356008861183E-2</v>
      </c>
      <c r="V82" t="s">
        <v>162</v>
      </c>
      <c r="AK82">
        <v>2045</v>
      </c>
      <c r="AL82" t="s">
        <v>157</v>
      </c>
      <c r="AM82">
        <v>0.60299999999999998</v>
      </c>
      <c r="AN82" t="s">
        <v>510</v>
      </c>
    </row>
    <row r="83" spans="9:40" x14ac:dyDescent="0.45">
      <c r="I83" t="s">
        <v>178</v>
      </c>
      <c r="J83" t="s">
        <v>161</v>
      </c>
      <c r="K83">
        <v>0.8185844250605715</v>
      </c>
      <c r="L83" t="s">
        <v>162</v>
      </c>
      <c r="N83" t="s">
        <v>290</v>
      </c>
      <c r="O83" t="s">
        <v>161</v>
      </c>
      <c r="P83">
        <v>0.57898795280680426</v>
      </c>
      <c r="Q83" t="s">
        <v>162</v>
      </c>
      <c r="S83" t="s">
        <v>402</v>
      </c>
      <c r="T83" t="s">
        <v>161</v>
      </c>
      <c r="U83">
        <v>0.58037657761225303</v>
      </c>
      <c r="V83" t="s">
        <v>162</v>
      </c>
      <c r="AK83">
        <v>2046</v>
      </c>
      <c r="AL83" t="s">
        <v>151</v>
      </c>
      <c r="AM83">
        <v>0.53497000000000006</v>
      </c>
      <c r="AN83" t="s">
        <v>510</v>
      </c>
    </row>
    <row r="84" spans="9:40" x14ac:dyDescent="0.45">
      <c r="I84" t="s">
        <v>178</v>
      </c>
      <c r="J84" t="s">
        <v>163</v>
      </c>
      <c r="K84">
        <v>5.2349381328301414E-2</v>
      </c>
      <c r="L84" t="s">
        <v>162</v>
      </c>
      <c r="N84" t="s">
        <v>290</v>
      </c>
      <c r="O84" t="s">
        <v>163</v>
      </c>
      <c r="P84">
        <v>4.265221419263808E-2</v>
      </c>
      <c r="Q84" t="s">
        <v>162</v>
      </c>
      <c r="S84" t="s">
        <v>402</v>
      </c>
      <c r="T84" t="s">
        <v>163</v>
      </c>
      <c r="U84">
        <v>3.4805708989657964E-2</v>
      </c>
      <c r="V84" t="s">
        <v>162</v>
      </c>
      <c r="AK84">
        <v>2046</v>
      </c>
      <c r="AL84" t="s">
        <v>155</v>
      </c>
      <c r="AM84">
        <v>0.50009999999999999</v>
      </c>
      <c r="AN84" t="s">
        <v>510</v>
      </c>
    </row>
    <row r="85" spans="9:40" x14ac:dyDescent="0.45">
      <c r="I85" t="s">
        <v>178</v>
      </c>
      <c r="J85" t="s">
        <v>164</v>
      </c>
      <c r="K85">
        <v>5.8529526127004697E-2</v>
      </c>
      <c r="L85" t="s">
        <v>162</v>
      </c>
      <c r="N85" t="s">
        <v>290</v>
      </c>
      <c r="O85" t="s">
        <v>164</v>
      </c>
      <c r="P85">
        <v>0.21192251804996184</v>
      </c>
      <c r="Q85" t="s">
        <v>162</v>
      </c>
      <c r="S85" t="s">
        <v>402</v>
      </c>
      <c r="T85" t="s">
        <v>164</v>
      </c>
      <c r="U85">
        <v>0.21397125514085838</v>
      </c>
      <c r="V85" t="s">
        <v>162</v>
      </c>
      <c r="AK85">
        <v>2046</v>
      </c>
      <c r="AL85" t="s">
        <v>157</v>
      </c>
      <c r="AM85">
        <v>0.56020000000000003</v>
      </c>
      <c r="AN85" t="s">
        <v>510</v>
      </c>
    </row>
    <row r="86" spans="9:40" x14ac:dyDescent="0.45">
      <c r="I86" t="s">
        <v>178</v>
      </c>
      <c r="J86" t="s">
        <v>165</v>
      </c>
      <c r="K86">
        <v>3.6006536857135535E-2</v>
      </c>
      <c r="L86" t="s">
        <v>162</v>
      </c>
      <c r="N86" t="s">
        <v>290</v>
      </c>
      <c r="O86" t="s">
        <v>165</v>
      </c>
      <c r="P86">
        <v>6.0037475723524247E-2</v>
      </c>
      <c r="Q86" t="s">
        <v>162</v>
      </c>
      <c r="S86" t="s">
        <v>402</v>
      </c>
      <c r="T86" t="s">
        <v>165</v>
      </c>
      <c r="U86">
        <v>6.4119498972209504E-2</v>
      </c>
      <c r="V86" t="s">
        <v>162</v>
      </c>
      <c r="AK86">
        <v>2047</v>
      </c>
      <c r="AL86" t="s">
        <v>151</v>
      </c>
      <c r="AM86">
        <v>0.52273999999999998</v>
      </c>
      <c r="AN86" t="s">
        <v>510</v>
      </c>
    </row>
    <row r="87" spans="9:40" x14ac:dyDescent="0.45">
      <c r="I87" t="s">
        <v>178</v>
      </c>
      <c r="J87" t="s">
        <v>166</v>
      </c>
      <c r="K87">
        <v>0</v>
      </c>
      <c r="L87" t="s">
        <v>162</v>
      </c>
      <c r="N87" t="s">
        <v>290</v>
      </c>
      <c r="O87" t="s">
        <v>166</v>
      </c>
      <c r="P87">
        <v>3.72504186275036E-3</v>
      </c>
      <c r="Q87" t="s">
        <v>162</v>
      </c>
      <c r="S87" t="s">
        <v>402</v>
      </c>
      <c r="T87" t="s">
        <v>166</v>
      </c>
      <c r="U87">
        <v>3.7244313230161809E-3</v>
      </c>
      <c r="V87" t="s">
        <v>162</v>
      </c>
      <c r="AK87">
        <v>2047</v>
      </c>
      <c r="AL87" t="s">
        <v>155</v>
      </c>
      <c r="AM87">
        <v>0.59099999999999997</v>
      </c>
      <c r="AN87" t="s">
        <v>510</v>
      </c>
    </row>
    <row r="88" spans="9:40" x14ac:dyDescent="0.45">
      <c r="I88" t="s">
        <v>178</v>
      </c>
      <c r="J88" t="s">
        <v>167</v>
      </c>
      <c r="K88">
        <v>0</v>
      </c>
      <c r="L88" t="s">
        <v>162</v>
      </c>
      <c r="N88" t="s">
        <v>290</v>
      </c>
      <c r="O88" t="s">
        <v>167</v>
      </c>
      <c r="P88">
        <v>1.9748450200036165E-2</v>
      </c>
      <c r="Q88" t="s">
        <v>162</v>
      </c>
      <c r="S88" t="s">
        <v>402</v>
      </c>
      <c r="T88" t="s">
        <v>167</v>
      </c>
      <c r="U88">
        <v>2.2904259317380923E-2</v>
      </c>
      <c r="V88" t="s">
        <v>162</v>
      </c>
      <c r="AK88">
        <v>2047</v>
      </c>
      <c r="AL88" t="s">
        <v>157</v>
      </c>
      <c r="AM88">
        <v>0.58819999999999995</v>
      </c>
      <c r="AN88" t="s">
        <v>510</v>
      </c>
    </row>
    <row r="89" spans="9:40" x14ac:dyDescent="0.45">
      <c r="I89" t="s">
        <v>178</v>
      </c>
      <c r="J89" t="s">
        <v>168</v>
      </c>
      <c r="K89">
        <v>3.4530130626989494E-2</v>
      </c>
      <c r="L89" t="s">
        <v>162</v>
      </c>
      <c r="N89" t="s">
        <v>290</v>
      </c>
      <c r="O89" t="s">
        <v>168</v>
      </c>
      <c r="P89">
        <v>5.8467408049144118E-2</v>
      </c>
      <c r="Q89" t="s">
        <v>162</v>
      </c>
      <c r="S89" t="s">
        <v>402</v>
      </c>
      <c r="T89" t="s">
        <v>168</v>
      </c>
      <c r="U89">
        <v>5.7991903357886024E-2</v>
      </c>
      <c r="V89" t="s">
        <v>162</v>
      </c>
      <c r="AK89">
        <v>2048</v>
      </c>
      <c r="AL89" t="s">
        <v>151</v>
      </c>
      <c r="AM89">
        <v>0.52122999999999997</v>
      </c>
      <c r="AN89" t="s">
        <v>510</v>
      </c>
    </row>
    <row r="90" spans="9:40" x14ac:dyDescent="0.45">
      <c r="I90" t="s">
        <v>178</v>
      </c>
      <c r="J90" t="s">
        <v>169</v>
      </c>
      <c r="K90">
        <v>0</v>
      </c>
      <c r="L90" t="s">
        <v>162</v>
      </c>
      <c r="N90" t="s">
        <v>290</v>
      </c>
      <c r="O90" t="s">
        <v>169</v>
      </c>
      <c r="P90">
        <v>3.663802602586455E-3</v>
      </c>
      <c r="Q90" t="s">
        <v>162</v>
      </c>
      <c r="S90" t="s">
        <v>402</v>
      </c>
      <c r="T90" t="s">
        <v>169</v>
      </c>
      <c r="U90">
        <v>3.0981128720266337E-3</v>
      </c>
      <c r="V90" t="s">
        <v>162</v>
      </c>
      <c r="AK90">
        <v>2048</v>
      </c>
      <c r="AL90" t="s">
        <v>155</v>
      </c>
      <c r="AM90">
        <v>0.58299999999999996</v>
      </c>
      <c r="AN90" t="s">
        <v>510</v>
      </c>
    </row>
    <row r="91" spans="9:40" x14ac:dyDescent="0.45">
      <c r="I91" t="s">
        <v>178</v>
      </c>
      <c r="J91" t="s">
        <v>170</v>
      </c>
      <c r="K91">
        <v>0</v>
      </c>
      <c r="L91" t="s">
        <v>162</v>
      </c>
      <c r="N91" t="s">
        <v>290</v>
      </c>
      <c r="O91" t="s">
        <v>170</v>
      </c>
      <c r="P91">
        <v>2.0795136512557294E-2</v>
      </c>
      <c r="Q91" t="s">
        <v>162</v>
      </c>
      <c r="S91" t="s">
        <v>402</v>
      </c>
      <c r="T91" t="s">
        <v>170</v>
      </c>
      <c r="U91">
        <v>1.9008252414709818E-2</v>
      </c>
      <c r="V91" t="s">
        <v>162</v>
      </c>
      <c r="AK91">
        <v>2048</v>
      </c>
      <c r="AL91" t="s">
        <v>157</v>
      </c>
      <c r="AM91">
        <v>0.57969999999999999</v>
      </c>
      <c r="AN91" t="s">
        <v>510</v>
      </c>
    </row>
    <row r="92" spans="9:40" x14ac:dyDescent="0.45">
      <c r="I92" t="s">
        <v>179</v>
      </c>
      <c r="J92" t="s">
        <v>161</v>
      </c>
      <c r="K92">
        <v>0.80464591845709443</v>
      </c>
      <c r="L92" t="s">
        <v>162</v>
      </c>
      <c r="N92" t="s">
        <v>291</v>
      </c>
      <c r="O92" t="s">
        <v>161</v>
      </c>
      <c r="P92">
        <v>0.58746935278070933</v>
      </c>
      <c r="Q92" t="s">
        <v>162</v>
      </c>
      <c r="S92" t="s">
        <v>403</v>
      </c>
      <c r="T92" t="s">
        <v>161</v>
      </c>
      <c r="U92">
        <v>0.59665996201307303</v>
      </c>
      <c r="V92" t="s">
        <v>162</v>
      </c>
      <c r="AK92">
        <v>2049</v>
      </c>
      <c r="AL92" t="s">
        <v>151</v>
      </c>
      <c r="AM92">
        <v>0.52842</v>
      </c>
      <c r="AN92" t="s">
        <v>510</v>
      </c>
    </row>
    <row r="93" spans="9:40" x14ac:dyDescent="0.45">
      <c r="I93" t="s">
        <v>179</v>
      </c>
      <c r="J93" t="s">
        <v>163</v>
      </c>
      <c r="K93">
        <v>5.4484414727138275E-2</v>
      </c>
      <c r="L93" t="s">
        <v>162</v>
      </c>
      <c r="N93" t="s">
        <v>291</v>
      </c>
      <c r="O93" t="s">
        <v>163</v>
      </c>
      <c r="P93">
        <v>3.9087384028802935E-2</v>
      </c>
      <c r="Q93" t="s">
        <v>162</v>
      </c>
      <c r="S93" t="s">
        <v>403</v>
      </c>
      <c r="T93" t="s">
        <v>163</v>
      </c>
      <c r="U93">
        <v>3.4962773657603273E-2</v>
      </c>
      <c r="V93" t="s">
        <v>162</v>
      </c>
      <c r="AK93">
        <v>2049</v>
      </c>
      <c r="AL93" t="s">
        <v>155</v>
      </c>
      <c r="AM93">
        <v>0.49469999999999997</v>
      </c>
      <c r="AN93" t="s">
        <v>510</v>
      </c>
    </row>
    <row r="94" spans="9:40" x14ac:dyDescent="0.45">
      <c r="I94" t="s">
        <v>179</v>
      </c>
      <c r="J94" t="s">
        <v>164</v>
      </c>
      <c r="K94">
        <v>6.5829839048877861E-2</v>
      </c>
      <c r="L94" t="s">
        <v>162</v>
      </c>
      <c r="N94" t="s">
        <v>291</v>
      </c>
      <c r="O94" t="s">
        <v>164</v>
      </c>
      <c r="P94">
        <v>0.23410842086897463</v>
      </c>
      <c r="Q94" t="s">
        <v>162</v>
      </c>
      <c r="S94" t="s">
        <v>403</v>
      </c>
      <c r="T94" t="s">
        <v>164</v>
      </c>
      <c r="U94">
        <v>0.21442455845916206</v>
      </c>
      <c r="V94" t="s">
        <v>162</v>
      </c>
      <c r="AK94">
        <v>2049</v>
      </c>
      <c r="AL94" t="s">
        <v>157</v>
      </c>
      <c r="AM94">
        <v>0.61419999999999997</v>
      </c>
      <c r="AN94" t="s">
        <v>510</v>
      </c>
    </row>
    <row r="95" spans="9:40" x14ac:dyDescent="0.45">
      <c r="I95" t="s">
        <v>179</v>
      </c>
      <c r="J95" t="s">
        <v>165</v>
      </c>
      <c r="K95">
        <v>3.4658773193953413E-2</v>
      </c>
      <c r="L95" t="s">
        <v>162</v>
      </c>
      <c r="N95" t="s">
        <v>291</v>
      </c>
      <c r="O95" t="s">
        <v>165</v>
      </c>
      <c r="P95">
        <v>3.9871582118885918E-2</v>
      </c>
      <c r="Q95" t="s">
        <v>162</v>
      </c>
      <c r="S95" t="s">
        <v>403</v>
      </c>
      <c r="T95" t="s">
        <v>165</v>
      </c>
      <c r="U95">
        <v>5.3416433186399215E-2</v>
      </c>
      <c r="V95" t="s">
        <v>162</v>
      </c>
      <c r="AK95">
        <v>2050</v>
      </c>
      <c r="AL95" t="s">
        <v>151</v>
      </c>
      <c r="AM95">
        <v>0.5214700000000001</v>
      </c>
      <c r="AN95" t="s">
        <v>510</v>
      </c>
    </row>
    <row r="96" spans="9:40" x14ac:dyDescent="0.45">
      <c r="I96" t="s">
        <v>179</v>
      </c>
      <c r="J96" t="s">
        <v>166</v>
      </c>
      <c r="K96">
        <v>0</v>
      </c>
      <c r="L96" t="s">
        <v>162</v>
      </c>
      <c r="N96" t="s">
        <v>291</v>
      </c>
      <c r="O96" t="s">
        <v>166</v>
      </c>
      <c r="P96">
        <v>2.8714682931779978E-3</v>
      </c>
      <c r="Q96" t="s">
        <v>162</v>
      </c>
      <c r="S96" t="s">
        <v>403</v>
      </c>
      <c r="T96" t="s">
        <v>166</v>
      </c>
      <c r="U96">
        <v>3.3575298208999523E-3</v>
      </c>
      <c r="V96" t="s">
        <v>162</v>
      </c>
      <c r="AK96">
        <v>2050</v>
      </c>
      <c r="AL96" t="s">
        <v>155</v>
      </c>
      <c r="AM96">
        <v>0.55459999999999998</v>
      </c>
      <c r="AN96" t="s">
        <v>510</v>
      </c>
    </row>
    <row r="97" spans="9:40" x14ac:dyDescent="0.45">
      <c r="I97" t="s">
        <v>179</v>
      </c>
      <c r="J97" t="s">
        <v>167</v>
      </c>
      <c r="K97">
        <v>0</v>
      </c>
      <c r="L97" t="s">
        <v>162</v>
      </c>
      <c r="N97" t="s">
        <v>291</v>
      </c>
      <c r="O97" t="s">
        <v>167</v>
      </c>
      <c r="P97">
        <v>1.7574433361078091E-2</v>
      </c>
      <c r="Q97" t="s">
        <v>162</v>
      </c>
      <c r="S97" t="s">
        <v>403</v>
      </c>
      <c r="T97" t="s">
        <v>167</v>
      </c>
      <c r="U97">
        <v>2.1481103018779035E-2</v>
      </c>
      <c r="V97" t="s">
        <v>162</v>
      </c>
      <c r="AK97">
        <v>2050</v>
      </c>
      <c r="AL97" t="s">
        <v>157</v>
      </c>
      <c r="AM97">
        <v>0.61770000000000003</v>
      </c>
      <c r="AN97" t="s">
        <v>510</v>
      </c>
    </row>
    <row r="98" spans="9:40" x14ac:dyDescent="0.45">
      <c r="I98" t="s">
        <v>179</v>
      </c>
      <c r="J98" t="s">
        <v>168</v>
      </c>
      <c r="K98">
        <v>4.0381054572936934E-2</v>
      </c>
      <c r="L98" t="s">
        <v>162</v>
      </c>
      <c r="N98" t="s">
        <v>291</v>
      </c>
      <c r="O98" t="s">
        <v>168</v>
      </c>
      <c r="P98">
        <v>5.3863797712109363E-2</v>
      </c>
      <c r="Q98" t="s">
        <v>162</v>
      </c>
      <c r="S98" t="s">
        <v>403</v>
      </c>
      <c r="T98" t="s">
        <v>168</v>
      </c>
      <c r="U98">
        <v>5.4367083798578728E-2</v>
      </c>
      <c r="V98" t="s">
        <v>162</v>
      </c>
    </row>
    <row r="99" spans="9:40" x14ac:dyDescent="0.45">
      <c r="I99" t="s">
        <v>179</v>
      </c>
      <c r="J99" t="s">
        <v>169</v>
      </c>
      <c r="K99">
        <v>0</v>
      </c>
      <c r="L99" t="s">
        <v>162</v>
      </c>
      <c r="N99" t="s">
        <v>291</v>
      </c>
      <c r="O99" t="s">
        <v>169</v>
      </c>
      <c r="P99">
        <v>3.5270923670247508E-3</v>
      </c>
      <c r="Q99" t="s">
        <v>162</v>
      </c>
      <c r="S99" t="s">
        <v>403</v>
      </c>
      <c r="T99" t="s">
        <v>169</v>
      </c>
      <c r="U99">
        <v>3.021325673081555E-3</v>
      </c>
      <c r="V99" t="s">
        <v>162</v>
      </c>
    </row>
    <row r="100" spans="9:40" x14ac:dyDescent="0.45">
      <c r="I100" t="s">
        <v>179</v>
      </c>
      <c r="J100" t="s">
        <v>170</v>
      </c>
      <c r="K100">
        <v>0</v>
      </c>
      <c r="L100" t="s">
        <v>162</v>
      </c>
      <c r="N100" t="s">
        <v>291</v>
      </c>
      <c r="O100" t="s">
        <v>170</v>
      </c>
      <c r="P100">
        <v>2.162646846923871E-2</v>
      </c>
      <c r="Q100" t="s">
        <v>162</v>
      </c>
      <c r="S100" t="s">
        <v>403</v>
      </c>
      <c r="T100" t="s">
        <v>170</v>
      </c>
      <c r="U100">
        <v>1.8309230372422415E-2</v>
      </c>
      <c r="V100" t="s">
        <v>162</v>
      </c>
    </row>
    <row r="101" spans="9:40" x14ac:dyDescent="0.45">
      <c r="I101" t="s">
        <v>180</v>
      </c>
      <c r="J101" t="s">
        <v>161</v>
      </c>
      <c r="K101">
        <v>0.81903723505358927</v>
      </c>
      <c r="L101" t="s">
        <v>162</v>
      </c>
      <c r="N101" t="s">
        <v>292</v>
      </c>
      <c r="O101" t="s">
        <v>161</v>
      </c>
      <c r="P101">
        <v>0.60197703945026104</v>
      </c>
      <c r="Q101" t="s">
        <v>162</v>
      </c>
      <c r="S101" t="s">
        <v>404</v>
      </c>
      <c r="T101" t="s">
        <v>161</v>
      </c>
      <c r="U101">
        <v>0.58294408501312178</v>
      </c>
      <c r="V101" t="s">
        <v>162</v>
      </c>
    </row>
    <row r="102" spans="9:40" x14ac:dyDescent="0.45">
      <c r="I102" t="s">
        <v>180</v>
      </c>
      <c r="J102" t="s">
        <v>163</v>
      </c>
      <c r="K102">
        <v>5.0493067516028931E-2</v>
      </c>
      <c r="L102" t="s">
        <v>162</v>
      </c>
      <c r="N102" t="s">
        <v>292</v>
      </c>
      <c r="O102" t="s">
        <v>163</v>
      </c>
      <c r="P102">
        <v>3.2363343198357826E-2</v>
      </c>
      <c r="Q102" t="s">
        <v>162</v>
      </c>
      <c r="S102" t="s">
        <v>404</v>
      </c>
      <c r="T102" t="s">
        <v>163</v>
      </c>
      <c r="U102">
        <v>3.520594587947861E-2</v>
      </c>
      <c r="V102" t="s">
        <v>162</v>
      </c>
    </row>
    <row r="103" spans="9:40" x14ac:dyDescent="0.45">
      <c r="I103" t="s">
        <v>180</v>
      </c>
      <c r="J103" t="s">
        <v>164</v>
      </c>
      <c r="K103">
        <v>5.3417850795534454E-2</v>
      </c>
      <c r="L103" t="s">
        <v>162</v>
      </c>
      <c r="N103" t="s">
        <v>292</v>
      </c>
      <c r="O103" t="s">
        <v>164</v>
      </c>
      <c r="P103">
        <v>0.20354290074875708</v>
      </c>
      <c r="Q103" t="s">
        <v>162</v>
      </c>
      <c r="S103" t="s">
        <v>404</v>
      </c>
      <c r="T103" t="s">
        <v>164</v>
      </c>
      <c r="U103">
        <v>0.21327240139429429</v>
      </c>
      <c r="V103" t="s">
        <v>162</v>
      </c>
    </row>
    <row r="104" spans="9:40" x14ac:dyDescent="0.45">
      <c r="I104" t="s">
        <v>180</v>
      </c>
      <c r="J104" t="s">
        <v>165</v>
      </c>
      <c r="K104">
        <v>3.8633831403757327E-2</v>
      </c>
      <c r="L104" t="s">
        <v>162</v>
      </c>
      <c r="N104" t="s">
        <v>292</v>
      </c>
      <c r="O104" t="s">
        <v>165</v>
      </c>
      <c r="P104">
        <v>5.4478425787240298E-2</v>
      </c>
      <c r="Q104" t="s">
        <v>162</v>
      </c>
      <c r="S104" t="s">
        <v>404</v>
      </c>
      <c r="T104" t="s">
        <v>165</v>
      </c>
      <c r="U104">
        <v>6.3495070024111713E-2</v>
      </c>
      <c r="V104" t="s">
        <v>162</v>
      </c>
    </row>
    <row r="105" spans="9:40" x14ac:dyDescent="0.45">
      <c r="I105" t="s">
        <v>180</v>
      </c>
      <c r="J105" t="s">
        <v>166</v>
      </c>
      <c r="K105">
        <v>0</v>
      </c>
      <c r="L105" t="s">
        <v>162</v>
      </c>
      <c r="N105" t="s">
        <v>292</v>
      </c>
      <c r="O105" t="s">
        <v>166</v>
      </c>
      <c r="P105">
        <v>3.9219948421881671E-3</v>
      </c>
      <c r="Q105" t="s">
        <v>162</v>
      </c>
      <c r="S105" t="s">
        <v>404</v>
      </c>
      <c r="T105" t="s">
        <v>166</v>
      </c>
      <c r="U105">
        <v>4.2557967418432761E-3</v>
      </c>
      <c r="V105" t="s">
        <v>162</v>
      </c>
    </row>
    <row r="106" spans="9:40" x14ac:dyDescent="0.45">
      <c r="I106" t="s">
        <v>180</v>
      </c>
      <c r="J106" t="s">
        <v>167</v>
      </c>
      <c r="K106">
        <v>0</v>
      </c>
      <c r="L106" t="s">
        <v>162</v>
      </c>
      <c r="N106" t="s">
        <v>292</v>
      </c>
      <c r="O106" t="s">
        <v>167</v>
      </c>
      <c r="P106">
        <v>2.3968584443867201E-2</v>
      </c>
      <c r="Q106" t="s">
        <v>162</v>
      </c>
      <c r="S106" t="s">
        <v>404</v>
      </c>
      <c r="T106" t="s">
        <v>167</v>
      </c>
      <c r="U106">
        <v>2.3141242559506746E-2</v>
      </c>
      <c r="V106" t="s">
        <v>162</v>
      </c>
    </row>
    <row r="107" spans="9:40" x14ac:dyDescent="0.45">
      <c r="I107" t="s">
        <v>180</v>
      </c>
      <c r="J107" t="s">
        <v>168</v>
      </c>
      <c r="K107">
        <v>3.8418015231087441E-2</v>
      </c>
      <c r="L107" t="s">
        <v>162</v>
      </c>
      <c r="N107" t="s">
        <v>292</v>
      </c>
      <c r="O107" t="s">
        <v>168</v>
      </c>
      <c r="P107">
        <v>5.4137090822299505E-2</v>
      </c>
      <c r="Q107" t="s">
        <v>162</v>
      </c>
      <c r="S107" t="s">
        <v>404</v>
      </c>
      <c r="T107" t="s">
        <v>168</v>
      </c>
      <c r="U107">
        <v>5.5971543159784254E-2</v>
      </c>
      <c r="V107" t="s">
        <v>162</v>
      </c>
    </row>
    <row r="108" spans="9:40" x14ac:dyDescent="0.45">
      <c r="I108" t="s">
        <v>180</v>
      </c>
      <c r="J108" t="s">
        <v>169</v>
      </c>
      <c r="K108">
        <v>0</v>
      </c>
      <c r="L108" t="s">
        <v>162</v>
      </c>
      <c r="N108" t="s">
        <v>292</v>
      </c>
      <c r="O108" t="s">
        <v>169</v>
      </c>
      <c r="P108">
        <v>3.9128111175731669E-3</v>
      </c>
      <c r="Q108" t="s">
        <v>162</v>
      </c>
      <c r="S108" t="s">
        <v>404</v>
      </c>
      <c r="T108" t="s">
        <v>169</v>
      </c>
      <c r="U108">
        <v>3.1974109030125462E-3</v>
      </c>
      <c r="V108" t="s">
        <v>162</v>
      </c>
    </row>
    <row r="109" spans="9:40" x14ac:dyDescent="0.45">
      <c r="I109" t="s">
        <v>180</v>
      </c>
      <c r="J109" t="s">
        <v>170</v>
      </c>
      <c r="K109">
        <v>0</v>
      </c>
      <c r="L109" t="s">
        <v>162</v>
      </c>
      <c r="N109" t="s">
        <v>292</v>
      </c>
      <c r="O109" t="s">
        <v>170</v>
      </c>
      <c r="P109">
        <v>2.1697809589456985E-2</v>
      </c>
      <c r="Q109" t="s">
        <v>162</v>
      </c>
      <c r="S109" t="s">
        <v>404</v>
      </c>
      <c r="T109" t="s">
        <v>170</v>
      </c>
      <c r="U109">
        <v>1.851650432484906E-2</v>
      </c>
      <c r="V109" t="s">
        <v>162</v>
      </c>
    </row>
    <row r="110" spans="9:40" x14ac:dyDescent="0.45">
      <c r="I110" t="s">
        <v>181</v>
      </c>
      <c r="J110" t="s">
        <v>161</v>
      </c>
      <c r="K110">
        <v>0.79457102893792386</v>
      </c>
      <c r="L110" t="s">
        <v>162</v>
      </c>
      <c r="N110" t="s">
        <v>293</v>
      </c>
      <c r="O110" t="s">
        <v>161</v>
      </c>
      <c r="P110">
        <v>0.56421451236023967</v>
      </c>
      <c r="Q110" t="s">
        <v>162</v>
      </c>
      <c r="S110" t="s">
        <v>405</v>
      </c>
      <c r="T110" t="s">
        <v>161</v>
      </c>
      <c r="U110">
        <v>0.57667224155404273</v>
      </c>
      <c r="V110" t="s">
        <v>162</v>
      </c>
    </row>
    <row r="111" spans="9:40" x14ac:dyDescent="0.45">
      <c r="I111" t="s">
        <v>181</v>
      </c>
      <c r="J111" t="s">
        <v>163</v>
      </c>
      <c r="K111">
        <v>6.2490446450197995E-2</v>
      </c>
      <c r="L111" t="s">
        <v>162</v>
      </c>
      <c r="N111" t="s">
        <v>293</v>
      </c>
      <c r="O111" t="s">
        <v>163</v>
      </c>
      <c r="P111">
        <v>3.5130687159933734E-2</v>
      </c>
      <c r="Q111" t="s">
        <v>162</v>
      </c>
      <c r="S111" t="s">
        <v>405</v>
      </c>
      <c r="T111" t="s">
        <v>163</v>
      </c>
      <c r="U111">
        <v>3.502546473956656E-2</v>
      </c>
      <c r="V111" t="s">
        <v>162</v>
      </c>
    </row>
    <row r="112" spans="9:40" x14ac:dyDescent="0.45">
      <c r="I112" t="s">
        <v>181</v>
      </c>
      <c r="J112" t="s">
        <v>164</v>
      </c>
      <c r="K112">
        <v>7.2122355482434911E-2</v>
      </c>
      <c r="L112" t="s">
        <v>162</v>
      </c>
      <c r="N112" t="s">
        <v>293</v>
      </c>
      <c r="O112" t="s">
        <v>164</v>
      </c>
      <c r="P112">
        <v>0.19091424537068918</v>
      </c>
      <c r="Q112" t="s">
        <v>162</v>
      </c>
      <c r="S112" t="s">
        <v>405</v>
      </c>
      <c r="T112" t="s">
        <v>164</v>
      </c>
      <c r="U112">
        <v>0.2139428011233421</v>
      </c>
      <c r="V112" t="s">
        <v>162</v>
      </c>
    </row>
    <row r="113" spans="9:22" x14ac:dyDescent="0.45">
      <c r="I113" t="s">
        <v>181</v>
      </c>
      <c r="J113" t="s">
        <v>165</v>
      </c>
      <c r="K113">
        <v>3.8946840618504085E-2</v>
      </c>
      <c r="L113" t="s">
        <v>162</v>
      </c>
      <c r="N113" t="s">
        <v>293</v>
      </c>
      <c r="O113" t="s">
        <v>165</v>
      </c>
      <c r="P113">
        <v>6.9206379816521973E-2</v>
      </c>
      <c r="Q113" t="s">
        <v>162</v>
      </c>
      <c r="S113" t="s">
        <v>405</v>
      </c>
      <c r="T113" t="s">
        <v>165</v>
      </c>
      <c r="U113">
        <v>6.4619019870600244E-2</v>
      </c>
      <c r="V113" t="s">
        <v>162</v>
      </c>
    </row>
    <row r="114" spans="9:22" x14ac:dyDescent="0.45">
      <c r="I114" t="s">
        <v>181</v>
      </c>
      <c r="J114" t="s">
        <v>166</v>
      </c>
      <c r="K114">
        <v>3.0973064603183993E-4</v>
      </c>
      <c r="L114" t="s">
        <v>162</v>
      </c>
      <c r="N114" t="s">
        <v>293</v>
      </c>
      <c r="O114" t="s">
        <v>166</v>
      </c>
      <c r="P114">
        <v>5.0422746084983223E-3</v>
      </c>
      <c r="Q114" t="s">
        <v>162</v>
      </c>
      <c r="S114" t="s">
        <v>405</v>
      </c>
      <c r="T114" t="s">
        <v>166</v>
      </c>
      <c r="U114">
        <v>4.4118002764856994E-3</v>
      </c>
      <c r="V114" t="s">
        <v>162</v>
      </c>
    </row>
    <row r="115" spans="9:22" x14ac:dyDescent="0.45">
      <c r="I115" t="s">
        <v>181</v>
      </c>
      <c r="J115" t="s">
        <v>167</v>
      </c>
      <c r="K115">
        <v>0</v>
      </c>
      <c r="L115" t="s">
        <v>162</v>
      </c>
      <c r="N115" t="s">
        <v>293</v>
      </c>
      <c r="O115" t="s">
        <v>167</v>
      </c>
      <c r="P115">
        <v>2.8734168595447619E-2</v>
      </c>
      <c r="Q115" t="s">
        <v>162</v>
      </c>
      <c r="S115" t="s">
        <v>405</v>
      </c>
      <c r="T115" t="s">
        <v>167</v>
      </c>
      <c r="U115">
        <v>2.5040365803476454E-2</v>
      </c>
      <c r="V115" t="s">
        <v>162</v>
      </c>
    </row>
    <row r="116" spans="9:22" x14ac:dyDescent="0.45">
      <c r="I116" t="s">
        <v>181</v>
      </c>
      <c r="J116" t="s">
        <v>168</v>
      </c>
      <c r="K116">
        <v>3.1559597864910083E-2</v>
      </c>
      <c r="L116" t="s">
        <v>162</v>
      </c>
      <c r="N116" t="s">
        <v>293</v>
      </c>
      <c r="O116" t="s">
        <v>168</v>
      </c>
      <c r="P116">
        <v>7.4603436290062844E-2</v>
      </c>
      <c r="Q116" t="s">
        <v>162</v>
      </c>
      <c r="S116" t="s">
        <v>405</v>
      </c>
      <c r="T116" t="s">
        <v>168</v>
      </c>
      <c r="U116">
        <v>5.7449684493537552E-2</v>
      </c>
      <c r="V116" t="s">
        <v>162</v>
      </c>
    </row>
    <row r="117" spans="9:22" x14ac:dyDescent="0.45">
      <c r="I117" t="s">
        <v>181</v>
      </c>
      <c r="J117" t="s">
        <v>169</v>
      </c>
      <c r="K117">
        <v>0</v>
      </c>
      <c r="L117" t="s">
        <v>162</v>
      </c>
      <c r="N117" t="s">
        <v>293</v>
      </c>
      <c r="O117" t="s">
        <v>169</v>
      </c>
      <c r="P117">
        <v>4.5008445014787426E-3</v>
      </c>
      <c r="Q117" t="s">
        <v>162</v>
      </c>
      <c r="S117" t="s">
        <v>405</v>
      </c>
      <c r="T117" t="s">
        <v>169</v>
      </c>
      <c r="U117">
        <v>3.3955870617312319E-3</v>
      </c>
      <c r="V117" t="s">
        <v>162</v>
      </c>
    </row>
    <row r="118" spans="9:22" x14ac:dyDescent="0.45">
      <c r="I118" t="s">
        <v>181</v>
      </c>
      <c r="J118" t="s">
        <v>170</v>
      </c>
      <c r="K118">
        <v>0</v>
      </c>
      <c r="L118" t="s">
        <v>162</v>
      </c>
      <c r="N118" t="s">
        <v>293</v>
      </c>
      <c r="O118" t="s">
        <v>170</v>
      </c>
      <c r="P118">
        <v>2.7653451297131603E-2</v>
      </c>
      <c r="Q118" t="s">
        <v>162</v>
      </c>
      <c r="S118" t="s">
        <v>405</v>
      </c>
      <c r="T118" t="s">
        <v>170</v>
      </c>
      <c r="U118">
        <v>1.9443035077216866E-2</v>
      </c>
      <c r="V118" t="s">
        <v>162</v>
      </c>
    </row>
    <row r="119" spans="9:22" x14ac:dyDescent="0.45">
      <c r="I119" t="s">
        <v>182</v>
      </c>
      <c r="J119" t="s">
        <v>161</v>
      </c>
      <c r="K119">
        <v>0.80360792202666698</v>
      </c>
      <c r="L119" t="s">
        <v>162</v>
      </c>
      <c r="N119" t="s">
        <v>294</v>
      </c>
      <c r="O119" t="s">
        <v>161</v>
      </c>
      <c r="P119">
        <v>0.55641191896686959</v>
      </c>
      <c r="Q119" t="s">
        <v>162</v>
      </c>
      <c r="S119" t="s">
        <v>406</v>
      </c>
      <c r="T119" t="s">
        <v>161</v>
      </c>
      <c r="U119">
        <v>0.57670897243449404</v>
      </c>
      <c r="V119" t="s">
        <v>162</v>
      </c>
    </row>
    <row r="120" spans="9:22" x14ac:dyDescent="0.45">
      <c r="I120" t="s">
        <v>182</v>
      </c>
      <c r="J120" t="s">
        <v>163</v>
      </c>
      <c r="K120">
        <v>5.4125745102947286E-2</v>
      </c>
      <c r="L120" t="s">
        <v>162</v>
      </c>
      <c r="N120" t="s">
        <v>294</v>
      </c>
      <c r="O120" t="s">
        <v>163</v>
      </c>
      <c r="P120">
        <v>3.2285436873758948E-2</v>
      </c>
      <c r="Q120" t="s">
        <v>162</v>
      </c>
      <c r="S120" t="s">
        <v>406</v>
      </c>
      <c r="T120" t="s">
        <v>163</v>
      </c>
      <c r="U120">
        <v>3.4991477003939973E-2</v>
      </c>
      <c r="V120" t="s">
        <v>162</v>
      </c>
    </row>
    <row r="121" spans="9:22" x14ac:dyDescent="0.45">
      <c r="I121" t="s">
        <v>182</v>
      </c>
      <c r="J121" t="s">
        <v>164</v>
      </c>
      <c r="K121">
        <v>6.0504323180228192E-2</v>
      </c>
      <c r="L121" t="s">
        <v>162</v>
      </c>
      <c r="N121" t="s">
        <v>294</v>
      </c>
      <c r="O121" t="s">
        <v>164</v>
      </c>
      <c r="P121">
        <v>0.18989268421948474</v>
      </c>
      <c r="Q121" t="s">
        <v>162</v>
      </c>
      <c r="S121" t="s">
        <v>406</v>
      </c>
      <c r="T121" t="s">
        <v>164</v>
      </c>
      <c r="U121">
        <v>0.21889605188399297</v>
      </c>
      <c r="V121" t="s">
        <v>162</v>
      </c>
    </row>
    <row r="122" spans="9:22" x14ac:dyDescent="0.45">
      <c r="I122" t="s">
        <v>182</v>
      </c>
      <c r="J122" t="s">
        <v>165</v>
      </c>
      <c r="K122">
        <v>3.7769616432077956E-2</v>
      </c>
      <c r="L122" t="s">
        <v>162</v>
      </c>
      <c r="N122" t="s">
        <v>294</v>
      </c>
      <c r="O122" t="s">
        <v>165</v>
      </c>
      <c r="P122">
        <v>7.1359740401018293E-2</v>
      </c>
      <c r="Q122" t="s">
        <v>162</v>
      </c>
      <c r="S122" t="s">
        <v>406</v>
      </c>
      <c r="T122" t="s">
        <v>165</v>
      </c>
      <c r="U122">
        <v>6.9702518646783868E-2</v>
      </c>
      <c r="V122" t="s">
        <v>162</v>
      </c>
    </row>
    <row r="123" spans="9:22" x14ac:dyDescent="0.45">
      <c r="I123" t="s">
        <v>182</v>
      </c>
      <c r="J123" t="s">
        <v>166</v>
      </c>
      <c r="K123">
        <v>0</v>
      </c>
      <c r="L123" t="s">
        <v>162</v>
      </c>
      <c r="N123" t="s">
        <v>294</v>
      </c>
      <c r="O123" t="s">
        <v>166</v>
      </c>
      <c r="P123">
        <v>4.6843187211300505E-3</v>
      </c>
      <c r="Q123" t="s">
        <v>162</v>
      </c>
      <c r="S123" t="s">
        <v>406</v>
      </c>
      <c r="T123" t="s">
        <v>166</v>
      </c>
      <c r="U123">
        <v>4.1318311015968775E-3</v>
      </c>
      <c r="V123" t="s">
        <v>162</v>
      </c>
    </row>
    <row r="124" spans="9:22" x14ac:dyDescent="0.45">
      <c r="I124" t="s">
        <v>182</v>
      </c>
      <c r="J124" t="s">
        <v>167</v>
      </c>
      <c r="K124">
        <v>0</v>
      </c>
      <c r="L124" t="s">
        <v>162</v>
      </c>
      <c r="N124" t="s">
        <v>294</v>
      </c>
      <c r="O124" t="s">
        <v>167</v>
      </c>
      <c r="P124">
        <v>2.7319279165421415E-2</v>
      </c>
      <c r="Q124" t="s">
        <v>162</v>
      </c>
      <c r="S124" t="s">
        <v>406</v>
      </c>
      <c r="T124" t="s">
        <v>167</v>
      </c>
      <c r="U124">
        <v>2.3507351955054958E-2</v>
      </c>
      <c r="V124" t="s">
        <v>162</v>
      </c>
    </row>
    <row r="125" spans="9:22" x14ac:dyDescent="0.45">
      <c r="I125" t="s">
        <v>182</v>
      </c>
      <c r="J125" t="s">
        <v>168</v>
      </c>
      <c r="K125">
        <v>4.3992393258081332E-2</v>
      </c>
      <c r="L125" t="s">
        <v>162</v>
      </c>
      <c r="N125" t="s">
        <v>294</v>
      </c>
      <c r="O125" t="s">
        <v>168</v>
      </c>
      <c r="P125">
        <v>8.3584585092436228E-2</v>
      </c>
      <c r="Q125" t="s">
        <v>162</v>
      </c>
      <c r="S125" t="s">
        <v>406</v>
      </c>
      <c r="T125" t="s">
        <v>168</v>
      </c>
      <c r="U125">
        <v>5.0469910387137905E-2</v>
      </c>
      <c r="V125" t="s">
        <v>162</v>
      </c>
    </row>
    <row r="126" spans="9:22" x14ac:dyDescent="0.45">
      <c r="I126" t="s">
        <v>182</v>
      </c>
      <c r="J126" t="s">
        <v>169</v>
      </c>
      <c r="K126">
        <v>0</v>
      </c>
      <c r="L126" t="s">
        <v>162</v>
      </c>
      <c r="N126" t="s">
        <v>294</v>
      </c>
      <c r="O126" t="s">
        <v>169</v>
      </c>
      <c r="P126">
        <v>5.1421621673987776E-3</v>
      </c>
      <c r="Q126" t="s">
        <v>162</v>
      </c>
      <c r="S126" t="s">
        <v>406</v>
      </c>
      <c r="T126" t="s">
        <v>169</v>
      </c>
      <c r="U126">
        <v>3.2051976877850454E-3</v>
      </c>
      <c r="V126" t="s">
        <v>162</v>
      </c>
    </row>
    <row r="127" spans="9:22" x14ac:dyDescent="0.45">
      <c r="I127" t="s">
        <v>182</v>
      </c>
      <c r="J127" t="s">
        <v>170</v>
      </c>
      <c r="K127">
        <v>0</v>
      </c>
      <c r="L127" t="s">
        <v>162</v>
      </c>
      <c r="N127" t="s">
        <v>294</v>
      </c>
      <c r="O127" t="s">
        <v>170</v>
      </c>
      <c r="P127">
        <v>2.9319874392479014E-2</v>
      </c>
      <c r="Q127" t="s">
        <v>162</v>
      </c>
      <c r="S127" t="s">
        <v>406</v>
      </c>
      <c r="T127" t="s">
        <v>170</v>
      </c>
      <c r="U127">
        <v>1.8386688899214184E-2</v>
      </c>
      <c r="V127" t="s">
        <v>162</v>
      </c>
    </row>
    <row r="128" spans="9:22" x14ac:dyDescent="0.45">
      <c r="I128" t="s">
        <v>183</v>
      </c>
      <c r="J128" t="s">
        <v>161</v>
      </c>
      <c r="K128">
        <v>0.79928307658788389</v>
      </c>
      <c r="L128" t="s">
        <v>162</v>
      </c>
      <c r="N128" t="s">
        <v>295</v>
      </c>
      <c r="O128" t="s">
        <v>161</v>
      </c>
      <c r="P128">
        <v>0.53970493853812562</v>
      </c>
      <c r="Q128" t="s">
        <v>162</v>
      </c>
      <c r="S128" t="s">
        <v>407</v>
      </c>
      <c r="T128" t="s">
        <v>161</v>
      </c>
      <c r="U128">
        <v>0.57844253483517483</v>
      </c>
      <c r="V128" t="s">
        <v>162</v>
      </c>
    </row>
    <row r="129" spans="9:22" x14ac:dyDescent="0.45">
      <c r="I129" t="s">
        <v>183</v>
      </c>
      <c r="J129" t="s">
        <v>163</v>
      </c>
      <c r="K129">
        <v>5.6396742182901097E-2</v>
      </c>
      <c r="L129" t="s">
        <v>162</v>
      </c>
      <c r="N129" t="s">
        <v>295</v>
      </c>
      <c r="O129" t="s">
        <v>163</v>
      </c>
      <c r="P129">
        <v>3.1171424321553953E-2</v>
      </c>
      <c r="Q129" t="s">
        <v>162</v>
      </c>
      <c r="S129" t="s">
        <v>407</v>
      </c>
      <c r="T129" t="s">
        <v>163</v>
      </c>
      <c r="U129">
        <v>3.4539248840402978E-2</v>
      </c>
      <c r="V129" t="s">
        <v>162</v>
      </c>
    </row>
    <row r="130" spans="9:22" x14ac:dyDescent="0.45">
      <c r="I130" t="s">
        <v>183</v>
      </c>
      <c r="J130" t="s">
        <v>164</v>
      </c>
      <c r="K130">
        <v>6.6556715390707261E-2</v>
      </c>
      <c r="L130" t="s">
        <v>162</v>
      </c>
      <c r="N130" t="s">
        <v>295</v>
      </c>
      <c r="O130" t="s">
        <v>164</v>
      </c>
      <c r="P130">
        <v>0.19347964500256101</v>
      </c>
      <c r="Q130" t="s">
        <v>162</v>
      </c>
      <c r="S130" t="s">
        <v>407</v>
      </c>
      <c r="T130" t="s">
        <v>164</v>
      </c>
      <c r="U130">
        <v>0.21480298897489075</v>
      </c>
      <c r="V130" t="s">
        <v>162</v>
      </c>
    </row>
    <row r="131" spans="9:22" x14ac:dyDescent="0.45">
      <c r="I131" t="s">
        <v>183</v>
      </c>
      <c r="J131" t="s">
        <v>165</v>
      </c>
      <c r="K131">
        <v>3.4011124015780665E-2</v>
      </c>
      <c r="L131" t="s">
        <v>162</v>
      </c>
      <c r="N131" t="s">
        <v>295</v>
      </c>
      <c r="O131" t="s">
        <v>165</v>
      </c>
      <c r="P131">
        <v>6.8481640213590197E-2</v>
      </c>
      <c r="Q131" t="s">
        <v>162</v>
      </c>
      <c r="S131" t="s">
        <v>407</v>
      </c>
      <c r="T131" t="s">
        <v>165</v>
      </c>
      <c r="U131">
        <v>6.2304264291061735E-2</v>
      </c>
      <c r="V131" t="s">
        <v>162</v>
      </c>
    </row>
    <row r="132" spans="9:22" x14ac:dyDescent="0.45">
      <c r="I132" t="s">
        <v>183</v>
      </c>
      <c r="J132" t="s">
        <v>166</v>
      </c>
      <c r="K132">
        <v>3.4774048177615529E-6</v>
      </c>
      <c r="L132" t="s">
        <v>162</v>
      </c>
      <c r="N132" t="s">
        <v>295</v>
      </c>
      <c r="O132" t="s">
        <v>166</v>
      </c>
      <c r="P132">
        <v>4.5426348210960855E-3</v>
      </c>
      <c r="Q132" t="s">
        <v>162</v>
      </c>
      <c r="S132" t="s">
        <v>407</v>
      </c>
      <c r="T132" t="s">
        <v>166</v>
      </c>
      <c r="U132">
        <v>3.6833046361841866E-3</v>
      </c>
      <c r="V132" t="s">
        <v>162</v>
      </c>
    </row>
    <row r="133" spans="9:22" x14ac:dyDescent="0.45">
      <c r="I133" t="s">
        <v>183</v>
      </c>
      <c r="J133" t="s">
        <v>167</v>
      </c>
      <c r="K133">
        <v>0</v>
      </c>
      <c r="L133" t="s">
        <v>162</v>
      </c>
      <c r="N133" t="s">
        <v>295</v>
      </c>
      <c r="O133" t="s">
        <v>167</v>
      </c>
      <c r="P133">
        <v>2.9305710179534011E-2</v>
      </c>
      <c r="Q133" t="s">
        <v>162</v>
      </c>
      <c r="S133" t="s">
        <v>407</v>
      </c>
      <c r="T133" t="s">
        <v>167</v>
      </c>
      <c r="U133">
        <v>2.2278369148608777E-2</v>
      </c>
      <c r="V133" t="s">
        <v>162</v>
      </c>
    </row>
    <row r="134" spans="9:22" x14ac:dyDescent="0.45">
      <c r="I134" t="s">
        <v>183</v>
      </c>
      <c r="J134" t="s">
        <v>168</v>
      </c>
      <c r="K134">
        <v>4.3748864417907797E-2</v>
      </c>
      <c r="L134" t="s">
        <v>162</v>
      </c>
      <c r="N134" t="s">
        <v>295</v>
      </c>
      <c r="O134" t="s">
        <v>168</v>
      </c>
      <c r="P134">
        <v>9.3932137942927194E-2</v>
      </c>
      <c r="Q134" t="s">
        <v>162</v>
      </c>
      <c r="S134" t="s">
        <v>407</v>
      </c>
      <c r="T134" t="s">
        <v>168</v>
      </c>
      <c r="U134">
        <v>5.9677211248215671E-2</v>
      </c>
      <c r="V134" t="s">
        <v>162</v>
      </c>
    </row>
    <row r="135" spans="9:22" x14ac:dyDescent="0.45">
      <c r="I135" t="s">
        <v>183</v>
      </c>
      <c r="J135" t="s">
        <v>169</v>
      </c>
      <c r="K135">
        <v>0</v>
      </c>
      <c r="L135" t="s">
        <v>162</v>
      </c>
      <c r="N135" t="s">
        <v>295</v>
      </c>
      <c r="O135" t="s">
        <v>169</v>
      </c>
      <c r="P135">
        <v>5.4959311906107597E-3</v>
      </c>
      <c r="Q135" t="s">
        <v>162</v>
      </c>
      <c r="S135" t="s">
        <v>407</v>
      </c>
      <c r="T135" t="s">
        <v>169</v>
      </c>
      <c r="U135">
        <v>3.5525726474312279E-3</v>
      </c>
      <c r="V135" t="s">
        <v>162</v>
      </c>
    </row>
    <row r="136" spans="9:22" x14ac:dyDescent="0.45">
      <c r="I136" t="s">
        <v>183</v>
      </c>
      <c r="J136" t="s">
        <v>170</v>
      </c>
      <c r="K136">
        <v>0</v>
      </c>
      <c r="L136" t="s">
        <v>162</v>
      </c>
      <c r="N136" t="s">
        <v>295</v>
      </c>
      <c r="O136" t="s">
        <v>170</v>
      </c>
      <c r="P136">
        <v>3.3885937789999376E-2</v>
      </c>
      <c r="Q136" t="s">
        <v>162</v>
      </c>
      <c r="S136" t="s">
        <v>407</v>
      </c>
      <c r="T136" t="s">
        <v>170</v>
      </c>
      <c r="U136">
        <v>2.0719505378032153E-2</v>
      </c>
      <c r="V136" t="s">
        <v>162</v>
      </c>
    </row>
    <row r="137" spans="9:22" x14ac:dyDescent="0.45">
      <c r="I137" t="s">
        <v>184</v>
      </c>
      <c r="J137" t="s">
        <v>161</v>
      </c>
      <c r="K137">
        <v>0.82934519779860327</v>
      </c>
      <c r="L137" t="s">
        <v>162</v>
      </c>
      <c r="N137" t="s">
        <v>296</v>
      </c>
      <c r="O137" t="s">
        <v>161</v>
      </c>
      <c r="P137">
        <v>0.54986889777058467</v>
      </c>
      <c r="Q137" t="s">
        <v>162</v>
      </c>
      <c r="S137" t="s">
        <v>408</v>
      </c>
      <c r="T137" t="s">
        <v>161</v>
      </c>
      <c r="U137">
        <v>0.57486691485637631</v>
      </c>
      <c r="V137" t="s">
        <v>162</v>
      </c>
    </row>
    <row r="138" spans="9:22" x14ac:dyDescent="0.45">
      <c r="I138" t="s">
        <v>184</v>
      </c>
      <c r="J138" t="s">
        <v>163</v>
      </c>
      <c r="K138">
        <v>5.4794108701820721E-2</v>
      </c>
      <c r="L138" t="s">
        <v>162</v>
      </c>
      <c r="N138" t="s">
        <v>296</v>
      </c>
      <c r="O138" t="s">
        <v>163</v>
      </c>
      <c r="P138">
        <v>3.0664751811031149E-2</v>
      </c>
      <c r="Q138" t="s">
        <v>162</v>
      </c>
      <c r="S138" t="s">
        <v>408</v>
      </c>
      <c r="T138" t="s">
        <v>163</v>
      </c>
      <c r="U138">
        <v>3.5046163270885715E-2</v>
      </c>
      <c r="V138" t="s">
        <v>162</v>
      </c>
    </row>
    <row r="139" spans="9:22" x14ac:dyDescent="0.45">
      <c r="I139" t="s">
        <v>184</v>
      </c>
      <c r="J139" t="s">
        <v>164</v>
      </c>
      <c r="K139">
        <v>5.978544290377262E-2</v>
      </c>
      <c r="L139" t="s">
        <v>162</v>
      </c>
      <c r="N139" t="s">
        <v>296</v>
      </c>
      <c r="O139" t="s">
        <v>164</v>
      </c>
      <c r="P139">
        <v>0.22795394178348838</v>
      </c>
      <c r="Q139" t="s">
        <v>162</v>
      </c>
      <c r="S139" t="s">
        <v>408</v>
      </c>
      <c r="T139" t="s">
        <v>164</v>
      </c>
      <c r="U139">
        <v>0.21136467666781883</v>
      </c>
      <c r="V139" t="s">
        <v>162</v>
      </c>
    </row>
    <row r="140" spans="9:22" x14ac:dyDescent="0.45">
      <c r="I140" t="s">
        <v>184</v>
      </c>
      <c r="J140" t="s">
        <v>165</v>
      </c>
      <c r="K140">
        <v>2.0212678087479174E-2</v>
      </c>
      <c r="L140" t="s">
        <v>162</v>
      </c>
      <c r="N140" t="s">
        <v>296</v>
      </c>
      <c r="O140" t="s">
        <v>165</v>
      </c>
      <c r="P140">
        <v>5.673306242281155E-2</v>
      </c>
      <c r="Q140" t="s">
        <v>162</v>
      </c>
      <c r="S140" t="s">
        <v>408</v>
      </c>
      <c r="T140" t="s">
        <v>165</v>
      </c>
      <c r="U140">
        <v>6.7082922076453527E-2</v>
      </c>
      <c r="V140" t="s">
        <v>162</v>
      </c>
    </row>
    <row r="141" spans="9:22" x14ac:dyDescent="0.45">
      <c r="I141" t="s">
        <v>184</v>
      </c>
      <c r="J141" t="s">
        <v>166</v>
      </c>
      <c r="K141">
        <v>0</v>
      </c>
      <c r="L141" t="s">
        <v>162</v>
      </c>
      <c r="N141" t="s">
        <v>296</v>
      </c>
      <c r="O141" t="s">
        <v>166</v>
      </c>
      <c r="P141">
        <v>4.1997576838035027E-3</v>
      </c>
      <c r="Q141" t="s">
        <v>162</v>
      </c>
      <c r="S141" t="s">
        <v>408</v>
      </c>
      <c r="T141" t="s">
        <v>166</v>
      </c>
      <c r="U141">
        <v>3.97796166866758E-3</v>
      </c>
      <c r="V141" t="s">
        <v>162</v>
      </c>
    </row>
    <row r="142" spans="9:22" x14ac:dyDescent="0.45">
      <c r="I142" t="s">
        <v>184</v>
      </c>
      <c r="J142" t="s">
        <v>167</v>
      </c>
      <c r="K142">
        <v>0</v>
      </c>
      <c r="L142" t="s">
        <v>162</v>
      </c>
      <c r="N142" t="s">
        <v>296</v>
      </c>
      <c r="O142" t="s">
        <v>167</v>
      </c>
      <c r="P142">
        <v>2.5525236669177789E-2</v>
      </c>
      <c r="Q142" t="s">
        <v>162</v>
      </c>
      <c r="S142" t="s">
        <v>408</v>
      </c>
      <c r="T142" t="s">
        <v>167</v>
      </c>
      <c r="U142">
        <v>2.3573220781133553E-2</v>
      </c>
      <c r="V142" t="s">
        <v>162</v>
      </c>
    </row>
    <row r="143" spans="9:22" x14ac:dyDescent="0.45">
      <c r="I143" t="s">
        <v>184</v>
      </c>
      <c r="J143" t="s">
        <v>168</v>
      </c>
      <c r="K143">
        <v>3.586257250832578E-2</v>
      </c>
      <c r="L143" t="s">
        <v>162</v>
      </c>
      <c r="N143" t="s">
        <v>296</v>
      </c>
      <c r="O143" t="s">
        <v>168</v>
      </c>
      <c r="P143">
        <v>7.3027089052772581E-2</v>
      </c>
      <c r="Q143" t="s">
        <v>162</v>
      </c>
      <c r="S143" t="s">
        <v>408</v>
      </c>
      <c r="T143" t="s">
        <v>168</v>
      </c>
      <c r="U143">
        <v>5.9824283010296915E-2</v>
      </c>
      <c r="V143" t="s">
        <v>162</v>
      </c>
    </row>
    <row r="144" spans="9:22" x14ac:dyDescent="0.45">
      <c r="I144" t="s">
        <v>184</v>
      </c>
      <c r="J144" t="s">
        <v>169</v>
      </c>
      <c r="K144">
        <v>0</v>
      </c>
      <c r="L144" t="s">
        <v>162</v>
      </c>
      <c r="N144" t="s">
        <v>296</v>
      </c>
      <c r="O144" t="s">
        <v>169</v>
      </c>
      <c r="P144">
        <v>4.6532430773857103E-3</v>
      </c>
      <c r="Q144" t="s">
        <v>162</v>
      </c>
      <c r="S144" t="s">
        <v>408</v>
      </c>
      <c r="T144" t="s">
        <v>169</v>
      </c>
      <c r="U144">
        <v>3.4259079039050677E-3</v>
      </c>
      <c r="V144" t="s">
        <v>162</v>
      </c>
    </row>
    <row r="145" spans="9:22" x14ac:dyDescent="0.45">
      <c r="I145" t="s">
        <v>184</v>
      </c>
      <c r="J145" t="s">
        <v>170</v>
      </c>
      <c r="K145">
        <v>0</v>
      </c>
      <c r="L145" t="s">
        <v>162</v>
      </c>
      <c r="N145" t="s">
        <v>296</v>
      </c>
      <c r="O145" t="s">
        <v>170</v>
      </c>
      <c r="P145">
        <v>2.7374019728942784E-2</v>
      </c>
      <c r="Q145" t="s">
        <v>162</v>
      </c>
      <c r="S145" t="s">
        <v>408</v>
      </c>
      <c r="T145" t="s">
        <v>170</v>
      </c>
      <c r="U145">
        <v>2.083794976446357E-2</v>
      </c>
      <c r="V145" t="s">
        <v>162</v>
      </c>
    </row>
    <row r="146" spans="9:22" x14ac:dyDescent="0.45">
      <c r="I146" t="s">
        <v>185</v>
      </c>
      <c r="J146" t="s">
        <v>161</v>
      </c>
      <c r="K146">
        <v>0.80673004872208709</v>
      </c>
      <c r="L146" t="s">
        <v>162</v>
      </c>
      <c r="N146" t="s">
        <v>297</v>
      </c>
      <c r="O146" t="s">
        <v>161</v>
      </c>
      <c r="P146">
        <v>0.55375108023514819</v>
      </c>
      <c r="Q146" t="s">
        <v>162</v>
      </c>
      <c r="S146" t="s">
        <v>409</v>
      </c>
      <c r="T146" t="s">
        <v>161</v>
      </c>
      <c r="U146">
        <v>0.56885678770034542</v>
      </c>
      <c r="V146" t="s">
        <v>162</v>
      </c>
    </row>
    <row r="147" spans="9:22" x14ac:dyDescent="0.45">
      <c r="I147" t="s">
        <v>185</v>
      </c>
      <c r="J147" t="s">
        <v>163</v>
      </c>
      <c r="K147">
        <v>5.9550121183863013E-2</v>
      </c>
      <c r="L147" t="s">
        <v>162</v>
      </c>
      <c r="N147" t="s">
        <v>297</v>
      </c>
      <c r="O147" t="s">
        <v>163</v>
      </c>
      <c r="P147">
        <v>2.9562893829405201E-2</v>
      </c>
      <c r="Q147" t="s">
        <v>162</v>
      </c>
      <c r="S147" t="s">
        <v>409</v>
      </c>
      <c r="T147" t="s">
        <v>163</v>
      </c>
      <c r="U147">
        <v>3.5222553655459524E-2</v>
      </c>
      <c r="V147" t="s">
        <v>162</v>
      </c>
    </row>
    <row r="148" spans="9:22" x14ac:dyDescent="0.45">
      <c r="I148" t="s">
        <v>185</v>
      </c>
      <c r="J148" t="s">
        <v>164</v>
      </c>
      <c r="K148">
        <v>7.2594177181602298E-2</v>
      </c>
      <c r="L148" t="s">
        <v>162</v>
      </c>
      <c r="N148" t="s">
        <v>297</v>
      </c>
      <c r="O148" t="s">
        <v>164</v>
      </c>
      <c r="P148">
        <v>0.22357568283745713</v>
      </c>
      <c r="Q148" t="s">
        <v>162</v>
      </c>
      <c r="S148" t="s">
        <v>409</v>
      </c>
      <c r="T148" t="s">
        <v>164</v>
      </c>
      <c r="U148">
        <v>0.21647601631180144</v>
      </c>
      <c r="V148" t="s">
        <v>162</v>
      </c>
    </row>
    <row r="149" spans="9:22" x14ac:dyDescent="0.45">
      <c r="I149" t="s">
        <v>185</v>
      </c>
      <c r="J149" t="s">
        <v>165</v>
      </c>
      <c r="K149">
        <v>2.7450926736574569E-2</v>
      </c>
      <c r="L149" t="s">
        <v>162</v>
      </c>
      <c r="N149" t="s">
        <v>297</v>
      </c>
      <c r="O149" t="s">
        <v>165</v>
      </c>
      <c r="P149">
        <v>6.110871728569002E-2</v>
      </c>
      <c r="Q149" t="s">
        <v>162</v>
      </c>
      <c r="S149" t="s">
        <v>409</v>
      </c>
      <c r="T149" t="s">
        <v>165</v>
      </c>
      <c r="U149">
        <v>6.5589429439704167E-2</v>
      </c>
      <c r="V149" t="s">
        <v>162</v>
      </c>
    </row>
    <row r="150" spans="9:22" x14ac:dyDescent="0.45">
      <c r="I150" t="s">
        <v>185</v>
      </c>
      <c r="J150" t="s">
        <v>166</v>
      </c>
      <c r="K150">
        <v>4.4476387716373403E-6</v>
      </c>
      <c r="L150" t="s">
        <v>162</v>
      </c>
      <c r="N150" t="s">
        <v>297</v>
      </c>
      <c r="O150" t="s">
        <v>166</v>
      </c>
      <c r="P150">
        <v>4.2893878502960631E-3</v>
      </c>
      <c r="Q150" t="s">
        <v>162</v>
      </c>
      <c r="S150" t="s">
        <v>409</v>
      </c>
      <c r="T150" t="s">
        <v>166</v>
      </c>
      <c r="U150">
        <v>3.8614554920902407E-3</v>
      </c>
      <c r="V150" t="s">
        <v>162</v>
      </c>
    </row>
    <row r="151" spans="9:22" x14ac:dyDescent="0.45">
      <c r="I151" t="s">
        <v>185</v>
      </c>
      <c r="J151" t="s">
        <v>167</v>
      </c>
      <c r="K151">
        <v>0</v>
      </c>
      <c r="L151" t="s">
        <v>162</v>
      </c>
      <c r="N151" t="s">
        <v>297</v>
      </c>
      <c r="O151" t="s">
        <v>167</v>
      </c>
      <c r="P151">
        <v>2.7336110836072288E-2</v>
      </c>
      <c r="Q151" t="s">
        <v>162</v>
      </c>
      <c r="S151" t="s">
        <v>409</v>
      </c>
      <c r="T151" t="s">
        <v>167</v>
      </c>
      <c r="U151">
        <v>2.3412973566241842E-2</v>
      </c>
      <c r="V151" t="s">
        <v>162</v>
      </c>
    </row>
    <row r="152" spans="9:22" x14ac:dyDescent="0.45">
      <c r="I152" t="s">
        <v>185</v>
      </c>
      <c r="J152" t="s">
        <v>168</v>
      </c>
      <c r="K152">
        <v>3.3670278537100348E-2</v>
      </c>
      <c r="L152" t="s">
        <v>162</v>
      </c>
      <c r="N152" t="s">
        <v>297</v>
      </c>
      <c r="O152" t="s">
        <v>168</v>
      </c>
      <c r="P152">
        <v>6.7799694700487731E-2</v>
      </c>
      <c r="Q152" t="s">
        <v>162</v>
      </c>
      <c r="S152" t="s">
        <v>409</v>
      </c>
      <c r="T152" t="s">
        <v>168</v>
      </c>
      <c r="U152">
        <v>6.1474573991838817E-2</v>
      </c>
      <c r="V152" t="s">
        <v>162</v>
      </c>
    </row>
    <row r="153" spans="9:22" x14ac:dyDescent="0.45">
      <c r="I153" t="s">
        <v>185</v>
      </c>
      <c r="J153" t="s">
        <v>169</v>
      </c>
      <c r="K153">
        <v>0</v>
      </c>
      <c r="L153" t="s">
        <v>162</v>
      </c>
      <c r="N153" t="s">
        <v>297</v>
      </c>
      <c r="O153" t="s">
        <v>169</v>
      </c>
      <c r="P153">
        <v>4.6328374739008794E-3</v>
      </c>
      <c r="Q153" t="s">
        <v>162</v>
      </c>
      <c r="S153" t="s">
        <v>409</v>
      </c>
      <c r="T153" t="s">
        <v>169</v>
      </c>
      <c r="U153">
        <v>3.5084630768385831E-3</v>
      </c>
      <c r="V153" t="s">
        <v>162</v>
      </c>
    </row>
    <row r="154" spans="9:22" x14ac:dyDescent="0.45">
      <c r="I154" t="s">
        <v>185</v>
      </c>
      <c r="J154" t="s">
        <v>170</v>
      </c>
      <c r="K154">
        <v>0</v>
      </c>
      <c r="L154" t="s">
        <v>162</v>
      </c>
      <c r="N154" t="s">
        <v>297</v>
      </c>
      <c r="O154" t="s">
        <v>170</v>
      </c>
      <c r="P154">
        <v>2.7943594951542194E-2</v>
      </c>
      <c r="Q154" t="s">
        <v>162</v>
      </c>
      <c r="S154" t="s">
        <v>409</v>
      </c>
      <c r="T154" t="s">
        <v>170</v>
      </c>
      <c r="U154">
        <v>2.1597746765681949E-2</v>
      </c>
      <c r="V154" t="s">
        <v>162</v>
      </c>
    </row>
    <row r="155" spans="9:22" x14ac:dyDescent="0.45">
      <c r="I155" t="s">
        <v>186</v>
      </c>
      <c r="J155" t="s">
        <v>161</v>
      </c>
      <c r="K155">
        <v>0.81187215631318843</v>
      </c>
      <c r="L155" t="s">
        <v>162</v>
      </c>
      <c r="N155" t="s">
        <v>298</v>
      </c>
      <c r="O155" t="s">
        <v>161</v>
      </c>
      <c r="P155">
        <v>0.54951248683603438</v>
      </c>
      <c r="Q155" t="s">
        <v>162</v>
      </c>
      <c r="S155" t="s">
        <v>410</v>
      </c>
      <c r="T155" t="s">
        <v>161</v>
      </c>
      <c r="U155">
        <v>0.57293134740828644</v>
      </c>
      <c r="V155" t="s">
        <v>162</v>
      </c>
    </row>
    <row r="156" spans="9:22" x14ac:dyDescent="0.45">
      <c r="I156" t="s">
        <v>186</v>
      </c>
      <c r="J156" t="s">
        <v>163</v>
      </c>
      <c r="K156">
        <v>5.6044792288773009E-2</v>
      </c>
      <c r="L156" t="s">
        <v>162</v>
      </c>
      <c r="N156" t="s">
        <v>298</v>
      </c>
      <c r="O156" t="s">
        <v>163</v>
      </c>
      <c r="P156">
        <v>2.7662074120651831E-2</v>
      </c>
      <c r="Q156" t="s">
        <v>162</v>
      </c>
      <c r="S156" t="s">
        <v>410</v>
      </c>
      <c r="T156" t="s">
        <v>163</v>
      </c>
      <c r="U156">
        <v>3.420194154335985E-2</v>
      </c>
      <c r="V156" t="s">
        <v>162</v>
      </c>
    </row>
    <row r="157" spans="9:22" x14ac:dyDescent="0.45">
      <c r="I157" t="s">
        <v>186</v>
      </c>
      <c r="J157" t="s">
        <v>164</v>
      </c>
      <c r="K157">
        <v>6.6817856390222766E-2</v>
      </c>
      <c r="L157" t="s">
        <v>162</v>
      </c>
      <c r="N157" t="s">
        <v>298</v>
      </c>
      <c r="O157" t="s">
        <v>164</v>
      </c>
      <c r="P157">
        <v>0.23166433263179748</v>
      </c>
      <c r="Q157" t="s">
        <v>162</v>
      </c>
      <c r="S157" t="s">
        <v>410</v>
      </c>
      <c r="T157" t="s">
        <v>164</v>
      </c>
      <c r="U157">
        <v>0.20985960853112912</v>
      </c>
      <c r="V157" t="s">
        <v>162</v>
      </c>
    </row>
    <row r="158" spans="9:22" x14ac:dyDescent="0.45">
      <c r="I158" t="s">
        <v>186</v>
      </c>
      <c r="J158" t="s">
        <v>165</v>
      </c>
      <c r="K158">
        <v>2.5743506129841772E-2</v>
      </c>
      <c r="L158" t="s">
        <v>162</v>
      </c>
      <c r="N158" t="s">
        <v>298</v>
      </c>
      <c r="O158" t="s">
        <v>165</v>
      </c>
      <c r="P158">
        <v>5.9555264114415543E-2</v>
      </c>
      <c r="Q158" t="s">
        <v>162</v>
      </c>
      <c r="S158" t="s">
        <v>410</v>
      </c>
      <c r="T158" t="s">
        <v>165</v>
      </c>
      <c r="U158">
        <v>6.8195178578750293E-2</v>
      </c>
      <c r="V158" t="s">
        <v>162</v>
      </c>
    </row>
    <row r="159" spans="9:22" x14ac:dyDescent="0.45">
      <c r="I159" t="s">
        <v>186</v>
      </c>
      <c r="J159" t="s">
        <v>166</v>
      </c>
      <c r="K159">
        <v>2.7705553539784854E-5</v>
      </c>
      <c r="L159" t="s">
        <v>162</v>
      </c>
      <c r="N159" t="s">
        <v>298</v>
      </c>
      <c r="O159" t="s">
        <v>166</v>
      </c>
      <c r="P159">
        <v>4.2122967434365544E-3</v>
      </c>
      <c r="Q159" t="s">
        <v>162</v>
      </c>
      <c r="S159" t="s">
        <v>410</v>
      </c>
      <c r="T159" t="s">
        <v>166</v>
      </c>
      <c r="U159">
        <v>4.109371251057539E-3</v>
      </c>
      <c r="V159" t="s">
        <v>162</v>
      </c>
    </row>
    <row r="160" spans="9:22" x14ac:dyDescent="0.45">
      <c r="I160" t="s">
        <v>186</v>
      </c>
      <c r="J160" t="s">
        <v>167</v>
      </c>
      <c r="K160">
        <v>0</v>
      </c>
      <c r="L160" t="s">
        <v>162</v>
      </c>
      <c r="N160" t="s">
        <v>298</v>
      </c>
      <c r="O160" t="s">
        <v>167</v>
      </c>
      <c r="P160">
        <v>2.7697268923927008E-2</v>
      </c>
      <c r="Q160" t="s">
        <v>162</v>
      </c>
      <c r="S160" t="s">
        <v>410</v>
      </c>
      <c r="T160" t="s">
        <v>167</v>
      </c>
      <c r="U160">
        <v>2.4102519362569835E-2</v>
      </c>
      <c r="V160" t="s">
        <v>162</v>
      </c>
    </row>
    <row r="161" spans="9:22" x14ac:dyDescent="0.45">
      <c r="I161" t="s">
        <v>186</v>
      </c>
      <c r="J161" t="s">
        <v>168</v>
      </c>
      <c r="K161">
        <v>3.9493983324432554E-2</v>
      </c>
      <c r="L161" t="s">
        <v>162</v>
      </c>
      <c r="N161" t="s">
        <v>298</v>
      </c>
      <c r="O161" t="s">
        <v>168</v>
      </c>
      <c r="P161">
        <v>6.6590696127106205E-2</v>
      </c>
      <c r="Q161" t="s">
        <v>162</v>
      </c>
      <c r="S161" t="s">
        <v>410</v>
      </c>
      <c r="T161" t="s">
        <v>168</v>
      </c>
      <c r="U161">
        <v>6.2365152522215056E-2</v>
      </c>
      <c r="V161" t="s">
        <v>162</v>
      </c>
    </row>
    <row r="162" spans="9:22" x14ac:dyDescent="0.45">
      <c r="I162" t="s">
        <v>186</v>
      </c>
      <c r="J162" t="s">
        <v>169</v>
      </c>
      <c r="K162">
        <v>0</v>
      </c>
      <c r="L162" t="s">
        <v>162</v>
      </c>
      <c r="N162" t="s">
        <v>298</v>
      </c>
      <c r="O162" t="s">
        <v>169</v>
      </c>
      <c r="P162">
        <v>4.579962925228321E-3</v>
      </c>
      <c r="Q162" t="s">
        <v>162</v>
      </c>
      <c r="S162" t="s">
        <v>410</v>
      </c>
      <c r="T162" t="s">
        <v>169</v>
      </c>
      <c r="U162">
        <v>3.4229549997758187E-3</v>
      </c>
      <c r="V162" t="s">
        <v>162</v>
      </c>
    </row>
    <row r="163" spans="9:22" x14ac:dyDescent="0.45">
      <c r="I163" t="s">
        <v>186</v>
      </c>
      <c r="J163" t="s">
        <v>170</v>
      </c>
      <c r="K163">
        <v>0</v>
      </c>
      <c r="L163" t="s">
        <v>162</v>
      </c>
      <c r="N163" t="s">
        <v>298</v>
      </c>
      <c r="O163" t="s">
        <v>170</v>
      </c>
      <c r="P163">
        <v>2.8525617577405338E-2</v>
      </c>
      <c r="Q163" t="s">
        <v>162</v>
      </c>
      <c r="S163" t="s">
        <v>410</v>
      </c>
      <c r="T163" t="s">
        <v>170</v>
      </c>
      <c r="U163">
        <v>2.0811925802853393E-2</v>
      </c>
      <c r="V163" t="s">
        <v>162</v>
      </c>
    </row>
    <row r="164" spans="9:22" x14ac:dyDescent="0.45">
      <c r="I164" t="s">
        <v>187</v>
      </c>
      <c r="J164" t="s">
        <v>161</v>
      </c>
      <c r="K164">
        <v>0.81952320167775827</v>
      </c>
      <c r="L164" t="s">
        <v>162</v>
      </c>
      <c r="N164" t="s">
        <v>299</v>
      </c>
      <c r="O164" t="s">
        <v>161</v>
      </c>
      <c r="P164">
        <v>0.57143028325344836</v>
      </c>
      <c r="Q164" t="s">
        <v>162</v>
      </c>
      <c r="S164" t="s">
        <v>411</v>
      </c>
      <c r="T164" t="s">
        <v>161</v>
      </c>
      <c r="U164">
        <v>0.56875337764770328</v>
      </c>
      <c r="V164" t="s">
        <v>162</v>
      </c>
    </row>
    <row r="165" spans="9:22" x14ac:dyDescent="0.45">
      <c r="I165" t="s">
        <v>187</v>
      </c>
      <c r="J165" t="s">
        <v>163</v>
      </c>
      <c r="K165">
        <v>5.7549557047227869E-2</v>
      </c>
      <c r="L165" t="s">
        <v>162</v>
      </c>
      <c r="N165" t="s">
        <v>299</v>
      </c>
      <c r="O165" t="s">
        <v>163</v>
      </c>
      <c r="P165">
        <v>3.3329717987958064E-2</v>
      </c>
      <c r="Q165" t="s">
        <v>162</v>
      </c>
      <c r="S165" t="s">
        <v>411</v>
      </c>
      <c r="T165" t="s">
        <v>163</v>
      </c>
      <c r="U165">
        <v>3.4457540953201644E-2</v>
      </c>
      <c r="V165" t="s">
        <v>162</v>
      </c>
    </row>
    <row r="166" spans="9:22" x14ac:dyDescent="0.45">
      <c r="I166" t="s">
        <v>187</v>
      </c>
      <c r="J166" t="s">
        <v>164</v>
      </c>
      <c r="K166">
        <v>6.8893632090297571E-2</v>
      </c>
      <c r="L166" t="s">
        <v>162</v>
      </c>
      <c r="N166" t="s">
        <v>299</v>
      </c>
      <c r="O166" t="s">
        <v>164</v>
      </c>
      <c r="P166">
        <v>0.22701731882285894</v>
      </c>
      <c r="Q166" t="s">
        <v>162</v>
      </c>
      <c r="S166" t="s">
        <v>411</v>
      </c>
      <c r="T166" t="s">
        <v>164</v>
      </c>
      <c r="U166">
        <v>0.21309997396899463</v>
      </c>
      <c r="V166" t="s">
        <v>162</v>
      </c>
    </row>
    <row r="167" spans="9:22" x14ac:dyDescent="0.45">
      <c r="I167" t="s">
        <v>187</v>
      </c>
      <c r="J167" t="s">
        <v>165</v>
      </c>
      <c r="K167">
        <v>2.7956337483529756E-2</v>
      </c>
      <c r="L167" t="s">
        <v>162</v>
      </c>
      <c r="N167" t="s">
        <v>299</v>
      </c>
      <c r="O167" t="s">
        <v>165</v>
      </c>
      <c r="P167">
        <v>5.5505033709054491E-2</v>
      </c>
      <c r="Q167" t="s">
        <v>162</v>
      </c>
      <c r="S167" t="s">
        <v>411</v>
      </c>
      <c r="T167" t="s">
        <v>165</v>
      </c>
      <c r="U167">
        <v>6.4474821601287174E-2</v>
      </c>
      <c r="V167" t="s">
        <v>162</v>
      </c>
    </row>
    <row r="168" spans="9:22" x14ac:dyDescent="0.45">
      <c r="I168" t="s">
        <v>187</v>
      </c>
      <c r="J168" t="s">
        <v>166</v>
      </c>
      <c r="K168">
        <v>0</v>
      </c>
      <c r="L168" t="s">
        <v>162</v>
      </c>
      <c r="N168" t="s">
        <v>299</v>
      </c>
      <c r="O168" t="s">
        <v>166</v>
      </c>
      <c r="P168">
        <v>3.1832456651230056E-3</v>
      </c>
      <c r="Q168" t="s">
        <v>162</v>
      </c>
      <c r="S168" t="s">
        <v>411</v>
      </c>
      <c r="T168" t="s">
        <v>166</v>
      </c>
      <c r="U168">
        <v>3.833174486411392E-3</v>
      </c>
      <c r="V168" t="s">
        <v>162</v>
      </c>
    </row>
    <row r="169" spans="9:22" x14ac:dyDescent="0.45">
      <c r="I169" t="s">
        <v>187</v>
      </c>
      <c r="J169" t="s">
        <v>167</v>
      </c>
      <c r="K169">
        <v>0</v>
      </c>
      <c r="L169" t="s">
        <v>162</v>
      </c>
      <c r="N169" t="s">
        <v>299</v>
      </c>
      <c r="O169" t="s">
        <v>167</v>
      </c>
      <c r="P169">
        <v>1.7409565758256723E-2</v>
      </c>
      <c r="Q169" t="s">
        <v>162</v>
      </c>
      <c r="S169" t="s">
        <v>411</v>
      </c>
      <c r="T169" t="s">
        <v>167</v>
      </c>
      <c r="U169">
        <v>2.2580185211729106E-2</v>
      </c>
      <c r="V169" t="s">
        <v>162</v>
      </c>
    </row>
    <row r="170" spans="9:22" x14ac:dyDescent="0.45">
      <c r="I170" t="s">
        <v>187</v>
      </c>
      <c r="J170" t="s">
        <v>168</v>
      </c>
      <c r="K170">
        <v>2.6077271701185137E-2</v>
      </c>
      <c r="L170" t="s">
        <v>162</v>
      </c>
      <c r="N170" t="s">
        <v>299</v>
      </c>
      <c r="O170" t="s">
        <v>168</v>
      </c>
      <c r="P170">
        <v>6.330572683002729E-2</v>
      </c>
      <c r="Q170" t="s">
        <v>162</v>
      </c>
      <c r="S170" t="s">
        <v>411</v>
      </c>
      <c r="T170" t="s">
        <v>168</v>
      </c>
      <c r="U170">
        <v>6.6502738284726026E-2</v>
      </c>
      <c r="V170" t="s">
        <v>162</v>
      </c>
    </row>
    <row r="171" spans="9:22" x14ac:dyDescent="0.45">
      <c r="I171" t="s">
        <v>187</v>
      </c>
      <c r="J171" t="s">
        <v>169</v>
      </c>
      <c r="K171">
        <v>0</v>
      </c>
      <c r="L171" t="s">
        <v>162</v>
      </c>
      <c r="N171" t="s">
        <v>299</v>
      </c>
      <c r="O171" t="s">
        <v>169</v>
      </c>
      <c r="P171">
        <v>3.8750272858583319E-3</v>
      </c>
      <c r="Q171" t="s">
        <v>162</v>
      </c>
      <c r="S171" t="s">
        <v>411</v>
      </c>
      <c r="T171" t="s">
        <v>169</v>
      </c>
      <c r="U171">
        <v>3.840293915531646E-3</v>
      </c>
      <c r="V171" t="s">
        <v>162</v>
      </c>
    </row>
    <row r="172" spans="9:22" x14ac:dyDescent="0.45">
      <c r="I172" t="s">
        <v>187</v>
      </c>
      <c r="J172" t="s">
        <v>170</v>
      </c>
      <c r="K172">
        <v>0</v>
      </c>
      <c r="L172" t="s">
        <v>162</v>
      </c>
      <c r="N172" t="s">
        <v>299</v>
      </c>
      <c r="O172" t="s">
        <v>170</v>
      </c>
      <c r="P172">
        <v>2.4944080687410351E-2</v>
      </c>
      <c r="Q172" t="s">
        <v>162</v>
      </c>
      <c r="S172" t="s">
        <v>411</v>
      </c>
      <c r="T172" t="s">
        <v>170</v>
      </c>
      <c r="U172">
        <v>2.245789393041598E-2</v>
      </c>
      <c r="V172" t="s">
        <v>162</v>
      </c>
    </row>
    <row r="173" spans="9:22" x14ac:dyDescent="0.45">
      <c r="I173" t="s">
        <v>188</v>
      </c>
      <c r="J173" t="s">
        <v>161</v>
      </c>
      <c r="K173">
        <v>0.81237446952824088</v>
      </c>
      <c r="L173" t="s">
        <v>162</v>
      </c>
      <c r="N173" t="s">
        <v>300</v>
      </c>
      <c r="O173" t="s">
        <v>161</v>
      </c>
      <c r="P173">
        <v>0.55280406593535436</v>
      </c>
      <c r="Q173" t="s">
        <v>162</v>
      </c>
      <c r="S173" t="s">
        <v>412</v>
      </c>
      <c r="T173" t="s">
        <v>161</v>
      </c>
      <c r="U173">
        <v>0.59836514543725017</v>
      </c>
      <c r="V173" t="s">
        <v>162</v>
      </c>
    </row>
    <row r="174" spans="9:22" x14ac:dyDescent="0.45">
      <c r="I174" t="s">
        <v>188</v>
      </c>
      <c r="J174" t="s">
        <v>163</v>
      </c>
      <c r="K174">
        <v>5.856622960669975E-2</v>
      </c>
      <c r="L174" t="s">
        <v>162</v>
      </c>
      <c r="N174" t="s">
        <v>300</v>
      </c>
      <c r="O174" t="s">
        <v>163</v>
      </c>
      <c r="P174">
        <v>3.2445654348442515E-2</v>
      </c>
      <c r="Q174" t="s">
        <v>162</v>
      </c>
      <c r="S174" t="s">
        <v>412</v>
      </c>
      <c r="T174" t="s">
        <v>163</v>
      </c>
      <c r="U174">
        <v>3.490513442416527E-2</v>
      </c>
      <c r="V174" t="s">
        <v>162</v>
      </c>
    </row>
    <row r="175" spans="9:22" x14ac:dyDescent="0.45">
      <c r="I175" t="s">
        <v>188</v>
      </c>
      <c r="J175" t="s">
        <v>164</v>
      </c>
      <c r="K175">
        <v>7.0108650431481609E-2</v>
      </c>
      <c r="L175" t="s">
        <v>162</v>
      </c>
      <c r="N175" t="s">
        <v>300</v>
      </c>
      <c r="O175" t="s">
        <v>164</v>
      </c>
      <c r="P175">
        <v>0.2388556239802046</v>
      </c>
      <c r="Q175" t="s">
        <v>162</v>
      </c>
      <c r="S175" t="s">
        <v>412</v>
      </c>
      <c r="T175" t="s">
        <v>164</v>
      </c>
      <c r="U175">
        <v>0.21600327556210833</v>
      </c>
      <c r="V175" t="s">
        <v>162</v>
      </c>
    </row>
    <row r="176" spans="9:22" x14ac:dyDescent="0.45">
      <c r="I176" t="s">
        <v>188</v>
      </c>
      <c r="J176" t="s">
        <v>165</v>
      </c>
      <c r="K176">
        <v>2.8773200521652102E-2</v>
      </c>
      <c r="L176" t="s">
        <v>162</v>
      </c>
      <c r="N176" t="s">
        <v>300</v>
      </c>
      <c r="O176" t="s">
        <v>165</v>
      </c>
      <c r="P176">
        <v>5.9904086552384217E-2</v>
      </c>
      <c r="Q176" t="s">
        <v>162</v>
      </c>
      <c r="S176" t="s">
        <v>412</v>
      </c>
      <c r="T176" t="s">
        <v>165</v>
      </c>
      <c r="U176">
        <v>5.3846365000819935E-2</v>
      </c>
      <c r="V176" t="s">
        <v>162</v>
      </c>
    </row>
    <row r="177" spans="9:22" x14ac:dyDescent="0.45">
      <c r="I177" t="s">
        <v>188</v>
      </c>
      <c r="J177" t="s">
        <v>166</v>
      </c>
      <c r="K177">
        <v>0</v>
      </c>
      <c r="L177" t="s">
        <v>162</v>
      </c>
      <c r="N177" t="s">
        <v>300</v>
      </c>
      <c r="O177" t="s">
        <v>166</v>
      </c>
      <c r="P177">
        <v>3.199251527199356E-3</v>
      </c>
      <c r="Q177" t="s">
        <v>162</v>
      </c>
      <c r="S177" t="s">
        <v>412</v>
      </c>
      <c r="T177" t="s">
        <v>166</v>
      </c>
      <c r="U177">
        <v>3.3894910159739098E-3</v>
      </c>
      <c r="V177" t="s">
        <v>162</v>
      </c>
    </row>
    <row r="178" spans="9:22" x14ac:dyDescent="0.45">
      <c r="I178" t="s">
        <v>188</v>
      </c>
      <c r="J178" t="s">
        <v>167</v>
      </c>
      <c r="K178">
        <v>0</v>
      </c>
      <c r="L178" t="s">
        <v>162</v>
      </c>
      <c r="N178" t="s">
        <v>300</v>
      </c>
      <c r="O178" t="s">
        <v>167</v>
      </c>
      <c r="P178">
        <v>1.9497649872028025E-2</v>
      </c>
      <c r="Q178" t="s">
        <v>162</v>
      </c>
      <c r="S178" t="s">
        <v>412</v>
      </c>
      <c r="T178" t="s">
        <v>167</v>
      </c>
      <c r="U178">
        <v>1.9435095682710402E-2</v>
      </c>
      <c r="V178" t="s">
        <v>162</v>
      </c>
    </row>
    <row r="179" spans="9:22" x14ac:dyDescent="0.45">
      <c r="I179" t="s">
        <v>188</v>
      </c>
      <c r="J179" t="s">
        <v>168</v>
      </c>
      <c r="K179">
        <v>3.0177449911928104E-2</v>
      </c>
      <c r="L179" t="s">
        <v>162</v>
      </c>
      <c r="N179" t="s">
        <v>300</v>
      </c>
      <c r="O179" t="s">
        <v>168</v>
      </c>
      <c r="P179">
        <v>6.1715220303484697E-2</v>
      </c>
      <c r="Q179" t="s">
        <v>162</v>
      </c>
      <c r="S179" t="s">
        <v>412</v>
      </c>
      <c r="T179" t="s">
        <v>168</v>
      </c>
      <c r="U179">
        <v>5.3051445636957809E-2</v>
      </c>
      <c r="V179" t="s">
        <v>162</v>
      </c>
    </row>
    <row r="180" spans="9:22" x14ac:dyDescent="0.45">
      <c r="I180" t="s">
        <v>188</v>
      </c>
      <c r="J180" t="s">
        <v>169</v>
      </c>
      <c r="K180">
        <v>0</v>
      </c>
      <c r="L180" t="s">
        <v>162</v>
      </c>
      <c r="N180" t="s">
        <v>300</v>
      </c>
      <c r="O180" t="s">
        <v>169</v>
      </c>
      <c r="P180">
        <v>4.4745197768802552E-3</v>
      </c>
      <c r="Q180" t="s">
        <v>162</v>
      </c>
      <c r="S180" t="s">
        <v>412</v>
      </c>
      <c r="T180" t="s">
        <v>169</v>
      </c>
      <c r="U180">
        <v>3.0059583273201137E-3</v>
      </c>
      <c r="V180" t="s">
        <v>162</v>
      </c>
    </row>
    <row r="181" spans="9:22" x14ac:dyDescent="0.45">
      <c r="I181" t="s">
        <v>188</v>
      </c>
      <c r="J181" t="s">
        <v>170</v>
      </c>
      <c r="K181">
        <v>0</v>
      </c>
      <c r="L181" t="s">
        <v>162</v>
      </c>
      <c r="N181" t="s">
        <v>300</v>
      </c>
      <c r="O181" t="s">
        <v>170</v>
      </c>
      <c r="P181">
        <v>2.7103927704023034E-2</v>
      </c>
      <c r="Q181" t="s">
        <v>162</v>
      </c>
      <c r="S181" t="s">
        <v>412</v>
      </c>
      <c r="T181" t="s">
        <v>170</v>
      </c>
      <c r="U181">
        <v>1.7998088912695012E-2</v>
      </c>
      <c r="V181" t="s">
        <v>162</v>
      </c>
    </row>
    <row r="182" spans="9:22" x14ac:dyDescent="0.45">
      <c r="I182" t="s">
        <v>189</v>
      </c>
      <c r="J182" t="s">
        <v>161</v>
      </c>
      <c r="K182">
        <v>0.84003131180480695</v>
      </c>
      <c r="L182" t="s">
        <v>162</v>
      </c>
      <c r="N182" t="s">
        <v>301</v>
      </c>
      <c r="O182" t="s">
        <v>161</v>
      </c>
      <c r="P182">
        <v>0.55116683945771539</v>
      </c>
      <c r="Q182" t="s">
        <v>162</v>
      </c>
      <c r="S182" t="s">
        <v>413</v>
      </c>
      <c r="T182" t="s">
        <v>161</v>
      </c>
      <c r="U182">
        <v>0.59141400717510439</v>
      </c>
      <c r="V182" t="s">
        <v>162</v>
      </c>
    </row>
    <row r="183" spans="9:22" x14ac:dyDescent="0.45">
      <c r="I183" t="s">
        <v>189</v>
      </c>
      <c r="J183" t="s">
        <v>163</v>
      </c>
      <c r="K183">
        <v>4.9751965578714676E-2</v>
      </c>
      <c r="L183" t="s">
        <v>162</v>
      </c>
      <c r="N183" t="s">
        <v>301</v>
      </c>
      <c r="O183" t="s">
        <v>163</v>
      </c>
      <c r="P183">
        <v>3.2219716434881418E-2</v>
      </c>
      <c r="Q183" t="s">
        <v>162</v>
      </c>
      <c r="S183" t="s">
        <v>413</v>
      </c>
      <c r="T183" t="s">
        <v>163</v>
      </c>
      <c r="U183">
        <v>3.3909368055173715E-2</v>
      </c>
      <c r="V183" t="s">
        <v>162</v>
      </c>
    </row>
    <row r="184" spans="9:22" x14ac:dyDescent="0.45">
      <c r="I184" t="s">
        <v>189</v>
      </c>
      <c r="J184" t="s">
        <v>164</v>
      </c>
      <c r="K184">
        <v>5.3192226210226221E-2</v>
      </c>
      <c r="L184" t="s">
        <v>162</v>
      </c>
      <c r="N184" t="s">
        <v>301</v>
      </c>
      <c r="O184" t="s">
        <v>164</v>
      </c>
      <c r="P184">
        <v>0.23642735288920064</v>
      </c>
      <c r="Q184" t="s">
        <v>162</v>
      </c>
      <c r="S184" t="s">
        <v>413</v>
      </c>
      <c r="T184" t="s">
        <v>164</v>
      </c>
      <c r="U184">
        <v>0.21070354590712745</v>
      </c>
      <c r="V184" t="s">
        <v>162</v>
      </c>
    </row>
    <row r="185" spans="9:22" x14ac:dyDescent="0.45">
      <c r="I185" t="s">
        <v>189</v>
      </c>
      <c r="J185" t="s">
        <v>165</v>
      </c>
      <c r="K185">
        <v>2.3482988035080119E-2</v>
      </c>
      <c r="L185" t="s">
        <v>162</v>
      </c>
      <c r="N185" t="s">
        <v>301</v>
      </c>
      <c r="O185" t="s">
        <v>165</v>
      </c>
      <c r="P185">
        <v>6.3155388923366446E-2</v>
      </c>
      <c r="Q185" t="s">
        <v>162</v>
      </c>
      <c r="S185" t="s">
        <v>413</v>
      </c>
      <c r="T185" t="s">
        <v>165</v>
      </c>
      <c r="U185">
        <v>5.8458584558316894E-2</v>
      </c>
      <c r="V185" t="s">
        <v>162</v>
      </c>
    </row>
    <row r="186" spans="9:22" x14ac:dyDescent="0.45">
      <c r="I186" t="s">
        <v>189</v>
      </c>
      <c r="J186" t="s">
        <v>166</v>
      </c>
      <c r="K186">
        <v>0</v>
      </c>
      <c r="L186" t="s">
        <v>162</v>
      </c>
      <c r="N186" t="s">
        <v>301</v>
      </c>
      <c r="O186" t="s">
        <v>166</v>
      </c>
      <c r="P186">
        <v>3.7647526367696324E-3</v>
      </c>
      <c r="Q186" t="s">
        <v>162</v>
      </c>
      <c r="S186" t="s">
        <v>413</v>
      </c>
      <c r="T186" t="s">
        <v>166</v>
      </c>
      <c r="U186">
        <v>3.2162286112094531E-3</v>
      </c>
      <c r="V186" t="s">
        <v>162</v>
      </c>
    </row>
    <row r="187" spans="9:22" x14ac:dyDescent="0.45">
      <c r="I187" t="s">
        <v>189</v>
      </c>
      <c r="J187" t="s">
        <v>167</v>
      </c>
      <c r="K187">
        <v>0</v>
      </c>
      <c r="L187" t="s">
        <v>162</v>
      </c>
      <c r="N187" t="s">
        <v>301</v>
      </c>
      <c r="O187" t="s">
        <v>167</v>
      </c>
      <c r="P187">
        <v>2.1377217448176004E-2</v>
      </c>
      <c r="Q187" t="s">
        <v>162</v>
      </c>
      <c r="S187" t="s">
        <v>413</v>
      </c>
      <c r="T187" t="s">
        <v>167</v>
      </c>
      <c r="U187">
        <v>1.7684729228337134E-2</v>
      </c>
      <c r="V187" t="s">
        <v>162</v>
      </c>
    </row>
    <row r="188" spans="9:22" x14ac:dyDescent="0.45">
      <c r="I188" t="s">
        <v>189</v>
      </c>
      <c r="J188" t="s">
        <v>168</v>
      </c>
      <c r="K188">
        <v>3.3541508371171168E-2</v>
      </c>
      <c r="L188" t="s">
        <v>162</v>
      </c>
      <c r="N188" t="s">
        <v>301</v>
      </c>
      <c r="O188" t="s">
        <v>168</v>
      </c>
      <c r="P188">
        <v>6.1925919441748106E-2</v>
      </c>
      <c r="Q188" t="s">
        <v>162</v>
      </c>
      <c r="S188" t="s">
        <v>413</v>
      </c>
      <c r="T188" t="s">
        <v>168</v>
      </c>
      <c r="U188">
        <v>6.0160464980003603E-2</v>
      </c>
      <c r="V188" t="s">
        <v>162</v>
      </c>
    </row>
    <row r="189" spans="9:22" x14ac:dyDescent="0.45">
      <c r="I189" t="s">
        <v>189</v>
      </c>
      <c r="J189" t="s">
        <v>169</v>
      </c>
      <c r="K189">
        <v>0</v>
      </c>
      <c r="L189" t="s">
        <v>162</v>
      </c>
      <c r="N189" t="s">
        <v>301</v>
      </c>
      <c r="O189" t="s">
        <v>169</v>
      </c>
      <c r="P189">
        <v>4.1555818953892959E-3</v>
      </c>
      <c r="Q189" t="s">
        <v>162</v>
      </c>
      <c r="S189" t="s">
        <v>413</v>
      </c>
      <c r="T189" t="s">
        <v>169</v>
      </c>
      <c r="U189">
        <v>3.5746779157613249E-3</v>
      </c>
      <c r="V189" t="s">
        <v>162</v>
      </c>
    </row>
    <row r="190" spans="9:22" x14ac:dyDescent="0.45">
      <c r="I190" t="s">
        <v>189</v>
      </c>
      <c r="J190" t="s">
        <v>170</v>
      </c>
      <c r="K190">
        <v>0</v>
      </c>
      <c r="L190" t="s">
        <v>162</v>
      </c>
      <c r="N190" t="s">
        <v>301</v>
      </c>
      <c r="O190" t="s">
        <v>170</v>
      </c>
      <c r="P190">
        <v>2.5807230872753863E-2</v>
      </c>
      <c r="Q190" t="s">
        <v>162</v>
      </c>
      <c r="S190" t="s">
        <v>413</v>
      </c>
      <c r="T190" t="s">
        <v>170</v>
      </c>
      <c r="U190">
        <v>2.0878393568960089E-2</v>
      </c>
      <c r="V190" t="s">
        <v>162</v>
      </c>
    </row>
    <row r="191" spans="9:22" x14ac:dyDescent="0.45">
      <c r="I191" t="s">
        <v>190</v>
      </c>
      <c r="J191" t="s">
        <v>161</v>
      </c>
      <c r="K191">
        <v>0.84808899416291617</v>
      </c>
      <c r="L191" t="s">
        <v>162</v>
      </c>
      <c r="N191" t="s">
        <v>302</v>
      </c>
      <c r="O191" t="s">
        <v>161</v>
      </c>
      <c r="P191">
        <v>0.54377597905696395</v>
      </c>
      <c r="Q191" t="s">
        <v>162</v>
      </c>
      <c r="S191" t="s">
        <v>414</v>
      </c>
      <c r="T191" t="s">
        <v>161</v>
      </c>
      <c r="U191">
        <v>0.58923859582030491</v>
      </c>
      <c r="V191" t="s">
        <v>162</v>
      </c>
    </row>
    <row r="192" spans="9:22" x14ac:dyDescent="0.45">
      <c r="I192" t="s">
        <v>190</v>
      </c>
      <c r="J192" t="s">
        <v>163</v>
      </c>
      <c r="K192">
        <v>4.7798837241401645E-2</v>
      </c>
      <c r="L192" t="s">
        <v>162</v>
      </c>
      <c r="N192" t="s">
        <v>302</v>
      </c>
      <c r="O192" t="s">
        <v>163</v>
      </c>
      <c r="P192">
        <v>2.8954312140522808E-2</v>
      </c>
      <c r="Q192" t="s">
        <v>162</v>
      </c>
      <c r="S192" t="s">
        <v>414</v>
      </c>
      <c r="T192" t="s">
        <v>163</v>
      </c>
      <c r="U192">
        <v>3.4450750135896102E-2</v>
      </c>
      <c r="V192" t="s">
        <v>162</v>
      </c>
    </row>
    <row r="193" spans="9:22" x14ac:dyDescent="0.45">
      <c r="I193" t="s">
        <v>190</v>
      </c>
      <c r="J193" t="s">
        <v>164</v>
      </c>
      <c r="K193">
        <v>5.0309803372377129E-2</v>
      </c>
      <c r="L193" t="s">
        <v>162</v>
      </c>
      <c r="N193" t="s">
        <v>302</v>
      </c>
      <c r="O193" t="s">
        <v>164</v>
      </c>
      <c r="P193">
        <v>0.22594193046284511</v>
      </c>
      <c r="Q193" t="s">
        <v>162</v>
      </c>
      <c r="S193" t="s">
        <v>414</v>
      </c>
      <c r="T193" t="s">
        <v>164</v>
      </c>
      <c r="U193">
        <v>0.20825086497372666</v>
      </c>
      <c r="V193" t="s">
        <v>162</v>
      </c>
    </row>
    <row r="194" spans="9:22" x14ac:dyDescent="0.45">
      <c r="I194" t="s">
        <v>190</v>
      </c>
      <c r="J194" t="s">
        <v>165</v>
      </c>
      <c r="K194">
        <v>2.2341302312925065E-2</v>
      </c>
      <c r="L194" t="s">
        <v>162</v>
      </c>
      <c r="N194" t="s">
        <v>302</v>
      </c>
      <c r="O194" t="s">
        <v>165</v>
      </c>
      <c r="P194">
        <v>7.4216743733012208E-2</v>
      </c>
      <c r="Q194" t="s">
        <v>162</v>
      </c>
      <c r="S194" t="s">
        <v>414</v>
      </c>
      <c r="T194" t="s">
        <v>165</v>
      </c>
      <c r="U194">
        <v>6.5035415164088117E-2</v>
      </c>
      <c r="V194" t="s">
        <v>162</v>
      </c>
    </row>
    <row r="195" spans="9:22" x14ac:dyDescent="0.45">
      <c r="I195" t="s">
        <v>190</v>
      </c>
      <c r="J195" t="s">
        <v>166</v>
      </c>
      <c r="K195">
        <v>0</v>
      </c>
      <c r="L195" t="s">
        <v>162</v>
      </c>
      <c r="N195" t="s">
        <v>302</v>
      </c>
      <c r="O195" t="s">
        <v>166</v>
      </c>
      <c r="P195">
        <v>4.7772324311593688E-3</v>
      </c>
      <c r="Q195" t="s">
        <v>162</v>
      </c>
      <c r="S195" t="s">
        <v>414</v>
      </c>
      <c r="T195" t="s">
        <v>166</v>
      </c>
      <c r="U195">
        <v>3.9309598887060484E-3</v>
      </c>
      <c r="V195" t="s">
        <v>162</v>
      </c>
    </row>
    <row r="196" spans="9:22" x14ac:dyDescent="0.45">
      <c r="I196" t="s">
        <v>190</v>
      </c>
      <c r="J196" t="s">
        <v>167</v>
      </c>
      <c r="K196">
        <v>0</v>
      </c>
      <c r="L196" t="s">
        <v>162</v>
      </c>
      <c r="N196" t="s">
        <v>302</v>
      </c>
      <c r="O196" t="s">
        <v>167</v>
      </c>
      <c r="P196">
        <v>2.9342445796928063E-2</v>
      </c>
      <c r="Q196" t="s">
        <v>162</v>
      </c>
      <c r="S196" t="s">
        <v>414</v>
      </c>
      <c r="T196" t="s">
        <v>167</v>
      </c>
      <c r="U196">
        <v>2.0823353124613257E-2</v>
      </c>
      <c r="V196" t="s">
        <v>162</v>
      </c>
    </row>
    <row r="197" spans="9:22" x14ac:dyDescent="0.45">
      <c r="I197" t="s">
        <v>190</v>
      </c>
      <c r="J197" t="s">
        <v>168</v>
      </c>
      <c r="K197">
        <v>3.1461062910380665E-2</v>
      </c>
      <c r="L197" t="s">
        <v>162</v>
      </c>
      <c r="N197" t="s">
        <v>302</v>
      </c>
      <c r="O197" t="s">
        <v>168</v>
      </c>
      <c r="P197">
        <v>6.4188516969059278E-2</v>
      </c>
      <c r="Q197" t="s">
        <v>162</v>
      </c>
      <c r="S197" t="s">
        <v>414</v>
      </c>
      <c r="T197" t="s">
        <v>168</v>
      </c>
      <c r="U197">
        <v>5.5685935783213347E-2</v>
      </c>
      <c r="V197" t="s">
        <v>162</v>
      </c>
    </row>
    <row r="198" spans="9:22" x14ac:dyDescent="0.45">
      <c r="I198" t="s">
        <v>190</v>
      </c>
      <c r="J198" t="s">
        <v>169</v>
      </c>
      <c r="K198">
        <v>0</v>
      </c>
      <c r="L198" t="s">
        <v>162</v>
      </c>
      <c r="N198" t="s">
        <v>302</v>
      </c>
      <c r="O198" t="s">
        <v>169</v>
      </c>
      <c r="P198">
        <v>4.0706640178901892E-3</v>
      </c>
      <c r="Q198" t="s">
        <v>162</v>
      </c>
      <c r="S198" t="s">
        <v>414</v>
      </c>
      <c r="T198" t="s">
        <v>169</v>
      </c>
      <c r="U198">
        <v>3.2588634008119785E-3</v>
      </c>
      <c r="V198" t="s">
        <v>162</v>
      </c>
    </row>
    <row r="199" spans="9:22" x14ac:dyDescent="0.45">
      <c r="I199" t="s">
        <v>190</v>
      </c>
      <c r="J199" t="s">
        <v>170</v>
      </c>
      <c r="K199">
        <v>0</v>
      </c>
      <c r="L199" t="s">
        <v>162</v>
      </c>
      <c r="N199" t="s">
        <v>302</v>
      </c>
      <c r="O199" t="s">
        <v>170</v>
      </c>
      <c r="P199">
        <v>2.4732175391619281E-2</v>
      </c>
      <c r="Q199" t="s">
        <v>162</v>
      </c>
      <c r="S199" t="s">
        <v>414</v>
      </c>
      <c r="T199" t="s">
        <v>170</v>
      </c>
      <c r="U199">
        <v>1.9325261708636719E-2</v>
      </c>
      <c r="V199" t="s">
        <v>162</v>
      </c>
    </row>
    <row r="200" spans="9:22" x14ac:dyDescent="0.45">
      <c r="I200" t="s">
        <v>191</v>
      </c>
      <c r="J200" t="s">
        <v>161</v>
      </c>
      <c r="K200">
        <v>0.83948049210799602</v>
      </c>
      <c r="L200" t="s">
        <v>162</v>
      </c>
      <c r="N200" t="s">
        <v>303</v>
      </c>
      <c r="O200" t="s">
        <v>161</v>
      </c>
      <c r="P200">
        <v>0.54879191438318364</v>
      </c>
      <c r="Q200" t="s">
        <v>162</v>
      </c>
      <c r="S200" t="s">
        <v>415</v>
      </c>
      <c r="T200" t="s">
        <v>161</v>
      </c>
      <c r="U200">
        <v>0.58359662309155669</v>
      </c>
      <c r="V200" t="s">
        <v>162</v>
      </c>
    </row>
    <row r="201" spans="9:22" x14ac:dyDescent="0.45">
      <c r="I201" t="s">
        <v>191</v>
      </c>
      <c r="J201" t="s">
        <v>163</v>
      </c>
      <c r="K201">
        <v>5.1422094269415151E-2</v>
      </c>
      <c r="L201" t="s">
        <v>162</v>
      </c>
      <c r="N201" t="s">
        <v>303</v>
      </c>
      <c r="O201" t="s">
        <v>163</v>
      </c>
      <c r="P201">
        <v>3.1727177398961935E-2</v>
      </c>
      <c r="Q201" t="s">
        <v>162</v>
      </c>
      <c r="S201" t="s">
        <v>415</v>
      </c>
      <c r="T201" t="s">
        <v>163</v>
      </c>
      <c r="U201">
        <v>3.2367580335485029E-2</v>
      </c>
      <c r="V201" t="s">
        <v>162</v>
      </c>
    </row>
    <row r="202" spans="9:22" x14ac:dyDescent="0.45">
      <c r="I202" t="s">
        <v>191</v>
      </c>
      <c r="J202" t="s">
        <v>164</v>
      </c>
      <c r="K202">
        <v>5.707662838105447E-2</v>
      </c>
      <c r="L202" t="s">
        <v>162</v>
      </c>
      <c r="N202" t="s">
        <v>303</v>
      </c>
      <c r="O202" t="s">
        <v>164</v>
      </c>
      <c r="P202">
        <v>0.22821365351116515</v>
      </c>
      <c r="Q202" t="s">
        <v>162</v>
      </c>
      <c r="S202" t="s">
        <v>415</v>
      </c>
      <c r="T202" t="s">
        <v>164</v>
      </c>
      <c r="U202">
        <v>0.20059967184618288</v>
      </c>
      <c r="V202" t="s">
        <v>162</v>
      </c>
    </row>
    <row r="203" spans="9:22" x14ac:dyDescent="0.45">
      <c r="I203" t="s">
        <v>191</v>
      </c>
      <c r="J203" t="s">
        <v>165</v>
      </c>
      <c r="K203">
        <v>2.3070543223872707E-2</v>
      </c>
      <c r="L203" t="s">
        <v>162</v>
      </c>
      <c r="N203" t="s">
        <v>303</v>
      </c>
      <c r="O203" t="s">
        <v>165</v>
      </c>
      <c r="P203">
        <v>6.3911848434448387E-2</v>
      </c>
      <c r="Q203" t="s">
        <v>162</v>
      </c>
      <c r="S203" t="s">
        <v>415</v>
      </c>
      <c r="T203" t="s">
        <v>165</v>
      </c>
      <c r="U203">
        <v>6.2672646335486748E-2</v>
      </c>
      <c r="V203" t="s">
        <v>162</v>
      </c>
    </row>
    <row r="204" spans="9:22" x14ac:dyDescent="0.45">
      <c r="I204" t="s">
        <v>191</v>
      </c>
      <c r="J204" t="s">
        <v>166</v>
      </c>
      <c r="K204">
        <v>0</v>
      </c>
      <c r="L204" t="s">
        <v>162</v>
      </c>
      <c r="N204" t="s">
        <v>303</v>
      </c>
      <c r="O204" t="s">
        <v>166</v>
      </c>
      <c r="P204">
        <v>4.4343196989610808E-3</v>
      </c>
      <c r="Q204" t="s">
        <v>162</v>
      </c>
      <c r="S204" t="s">
        <v>415</v>
      </c>
      <c r="T204" t="s">
        <v>166</v>
      </c>
      <c r="U204">
        <v>3.4878289706222259E-3</v>
      </c>
      <c r="V204" t="s">
        <v>162</v>
      </c>
    </row>
    <row r="205" spans="9:22" x14ac:dyDescent="0.45">
      <c r="I205" t="s">
        <v>191</v>
      </c>
      <c r="J205" t="s">
        <v>167</v>
      </c>
      <c r="K205">
        <v>0</v>
      </c>
      <c r="L205" t="s">
        <v>162</v>
      </c>
      <c r="N205" t="s">
        <v>303</v>
      </c>
      <c r="O205" t="s">
        <v>167</v>
      </c>
      <c r="P205">
        <v>2.6280797115498137E-2</v>
      </c>
      <c r="Q205" t="s">
        <v>162</v>
      </c>
      <c r="S205" t="s">
        <v>415</v>
      </c>
      <c r="T205" t="s">
        <v>167</v>
      </c>
      <c r="U205">
        <v>1.8827866313317673E-2</v>
      </c>
      <c r="V205" t="s">
        <v>162</v>
      </c>
    </row>
    <row r="206" spans="9:22" x14ac:dyDescent="0.45">
      <c r="I206" t="s">
        <v>191</v>
      </c>
      <c r="J206" t="s">
        <v>168</v>
      </c>
      <c r="K206">
        <v>2.8950242017663948E-2</v>
      </c>
      <c r="L206" t="s">
        <v>162</v>
      </c>
      <c r="N206" t="s">
        <v>303</v>
      </c>
      <c r="O206" t="s">
        <v>168</v>
      </c>
      <c r="P206">
        <v>6.5727827740583125E-2</v>
      </c>
      <c r="Q206" t="s">
        <v>162</v>
      </c>
      <c r="S206" t="s">
        <v>415</v>
      </c>
      <c r="T206" t="s">
        <v>168</v>
      </c>
      <c r="U206">
        <v>6.9905635502884145E-2</v>
      </c>
      <c r="V206" t="s">
        <v>162</v>
      </c>
    </row>
    <row r="207" spans="9:22" x14ac:dyDescent="0.45">
      <c r="I207" t="s">
        <v>191</v>
      </c>
      <c r="J207" t="s">
        <v>169</v>
      </c>
      <c r="K207">
        <v>0</v>
      </c>
      <c r="L207" t="s">
        <v>162</v>
      </c>
      <c r="N207" t="s">
        <v>303</v>
      </c>
      <c r="O207" t="s">
        <v>169</v>
      </c>
      <c r="P207">
        <v>4.4462893586467876E-3</v>
      </c>
      <c r="Q207" t="s">
        <v>162</v>
      </c>
      <c r="S207" t="s">
        <v>415</v>
      </c>
      <c r="T207" t="s">
        <v>169</v>
      </c>
      <c r="U207">
        <v>4.0589371713777465E-3</v>
      </c>
      <c r="V207" t="s">
        <v>162</v>
      </c>
    </row>
    <row r="208" spans="9:22" x14ac:dyDescent="0.45">
      <c r="I208" t="s">
        <v>191</v>
      </c>
      <c r="J208" t="s">
        <v>170</v>
      </c>
      <c r="K208">
        <v>0</v>
      </c>
      <c r="L208" t="s">
        <v>162</v>
      </c>
      <c r="N208" t="s">
        <v>303</v>
      </c>
      <c r="O208" t="s">
        <v>170</v>
      </c>
      <c r="P208">
        <v>2.6466172358547924E-2</v>
      </c>
      <c r="Q208" t="s">
        <v>162</v>
      </c>
      <c r="S208" t="s">
        <v>415</v>
      </c>
      <c r="T208" t="s">
        <v>170</v>
      </c>
      <c r="U208">
        <v>2.4483210433084997E-2</v>
      </c>
      <c r="V208" t="s">
        <v>162</v>
      </c>
    </row>
    <row r="209" spans="9:22" x14ac:dyDescent="0.45">
      <c r="I209" t="s">
        <v>192</v>
      </c>
      <c r="J209" t="s">
        <v>161</v>
      </c>
      <c r="K209">
        <v>0.83031765697247817</v>
      </c>
      <c r="L209" t="s">
        <v>162</v>
      </c>
      <c r="N209" t="s">
        <v>304</v>
      </c>
      <c r="O209" t="s">
        <v>161</v>
      </c>
      <c r="P209">
        <v>0.5397123005480875</v>
      </c>
      <c r="Q209" t="s">
        <v>162</v>
      </c>
      <c r="S209" t="s">
        <v>416</v>
      </c>
      <c r="T209" t="s">
        <v>161</v>
      </c>
      <c r="U209">
        <v>0.56951003638662256</v>
      </c>
      <c r="V209" t="s">
        <v>162</v>
      </c>
    </row>
    <row r="210" spans="9:22" x14ac:dyDescent="0.45">
      <c r="I210" t="s">
        <v>192</v>
      </c>
      <c r="J210" t="s">
        <v>163</v>
      </c>
      <c r="K210">
        <v>5.3317249214911648E-2</v>
      </c>
      <c r="L210" t="s">
        <v>162</v>
      </c>
      <c r="N210" t="s">
        <v>304</v>
      </c>
      <c r="O210" t="s">
        <v>163</v>
      </c>
      <c r="P210">
        <v>3.1028045577489033E-2</v>
      </c>
      <c r="Q210" t="s">
        <v>162</v>
      </c>
      <c r="S210" t="s">
        <v>416</v>
      </c>
      <c r="T210" t="s">
        <v>163</v>
      </c>
      <c r="U210">
        <v>3.4677246442148091E-2</v>
      </c>
      <c r="V210" t="s">
        <v>162</v>
      </c>
    </row>
    <row r="211" spans="9:22" x14ac:dyDescent="0.45">
      <c r="I211" t="s">
        <v>192</v>
      </c>
      <c r="J211" t="s">
        <v>164</v>
      </c>
      <c r="K211">
        <v>6.5691990273711295E-2</v>
      </c>
      <c r="L211" t="s">
        <v>162</v>
      </c>
      <c r="N211" t="s">
        <v>304</v>
      </c>
      <c r="O211" t="s">
        <v>164</v>
      </c>
      <c r="P211">
        <v>0.23759250915321722</v>
      </c>
      <c r="Q211" t="s">
        <v>162</v>
      </c>
      <c r="S211" t="s">
        <v>416</v>
      </c>
      <c r="T211" t="s">
        <v>164</v>
      </c>
      <c r="U211">
        <v>0.20528631431711142</v>
      </c>
      <c r="V211" t="s">
        <v>162</v>
      </c>
    </row>
    <row r="212" spans="9:22" x14ac:dyDescent="0.45">
      <c r="I212" t="s">
        <v>192</v>
      </c>
      <c r="J212" t="s">
        <v>165</v>
      </c>
      <c r="K212">
        <v>2.7466880997996133E-2</v>
      </c>
      <c r="L212" t="s">
        <v>162</v>
      </c>
      <c r="N212" t="s">
        <v>304</v>
      </c>
      <c r="O212" t="s">
        <v>165</v>
      </c>
      <c r="P212">
        <v>6.6002154728984547E-2</v>
      </c>
      <c r="Q212" t="s">
        <v>162</v>
      </c>
      <c r="S212" t="s">
        <v>416</v>
      </c>
      <c r="T212" t="s">
        <v>165</v>
      </c>
      <c r="U212">
        <v>6.889902832404142E-2</v>
      </c>
      <c r="V212" t="s">
        <v>162</v>
      </c>
    </row>
    <row r="213" spans="9:22" x14ac:dyDescent="0.45">
      <c r="I213" t="s">
        <v>192</v>
      </c>
      <c r="J213" t="s">
        <v>166</v>
      </c>
      <c r="K213">
        <v>0</v>
      </c>
      <c r="L213" t="s">
        <v>162</v>
      </c>
      <c r="N213" t="s">
        <v>304</v>
      </c>
      <c r="O213" t="s">
        <v>166</v>
      </c>
      <c r="P213">
        <v>4.6859854830170111E-3</v>
      </c>
      <c r="Q213" t="s">
        <v>162</v>
      </c>
      <c r="S213" t="s">
        <v>416</v>
      </c>
      <c r="T213" t="s">
        <v>166</v>
      </c>
      <c r="U213">
        <v>4.2673633524913483E-3</v>
      </c>
      <c r="V213" t="s">
        <v>162</v>
      </c>
    </row>
    <row r="214" spans="9:22" x14ac:dyDescent="0.45">
      <c r="I214" t="s">
        <v>192</v>
      </c>
      <c r="J214" t="s">
        <v>167</v>
      </c>
      <c r="K214">
        <v>0</v>
      </c>
      <c r="L214" t="s">
        <v>162</v>
      </c>
      <c r="N214" t="s">
        <v>304</v>
      </c>
      <c r="O214" t="s">
        <v>167</v>
      </c>
      <c r="P214">
        <v>2.6557620796861393E-2</v>
      </c>
      <c r="Q214" t="s">
        <v>162</v>
      </c>
      <c r="S214" t="s">
        <v>416</v>
      </c>
      <c r="T214" t="s">
        <v>167</v>
      </c>
      <c r="U214">
        <v>2.5023492918242032E-2</v>
      </c>
      <c r="V214" t="s">
        <v>162</v>
      </c>
    </row>
    <row r="215" spans="9:22" x14ac:dyDescent="0.45">
      <c r="I215" t="s">
        <v>192</v>
      </c>
      <c r="J215" t="s">
        <v>168</v>
      </c>
      <c r="K215">
        <v>2.3206222540900878E-2</v>
      </c>
      <c r="L215" t="s">
        <v>162</v>
      </c>
      <c r="N215" t="s">
        <v>304</v>
      </c>
      <c r="O215" t="s">
        <v>168</v>
      </c>
      <c r="P215">
        <v>6.4746879219777759E-2</v>
      </c>
      <c r="Q215" t="s">
        <v>162</v>
      </c>
      <c r="S215" t="s">
        <v>416</v>
      </c>
      <c r="T215" t="s">
        <v>168</v>
      </c>
      <c r="U215">
        <v>6.414191789407088E-2</v>
      </c>
      <c r="V215" t="s">
        <v>162</v>
      </c>
    </row>
    <row r="216" spans="9:22" x14ac:dyDescent="0.45">
      <c r="I216" t="s">
        <v>192</v>
      </c>
      <c r="J216" t="s">
        <v>169</v>
      </c>
      <c r="K216">
        <v>0</v>
      </c>
      <c r="L216" t="s">
        <v>162</v>
      </c>
      <c r="N216" t="s">
        <v>304</v>
      </c>
      <c r="O216" t="s">
        <v>169</v>
      </c>
      <c r="P216">
        <v>4.0682086693713607E-3</v>
      </c>
      <c r="Q216" t="s">
        <v>162</v>
      </c>
      <c r="S216" t="s">
        <v>416</v>
      </c>
      <c r="T216" t="s">
        <v>169</v>
      </c>
      <c r="U216">
        <v>3.9744021856359096E-3</v>
      </c>
      <c r="V216" t="s">
        <v>162</v>
      </c>
    </row>
    <row r="217" spans="9:22" x14ac:dyDescent="0.45">
      <c r="I217" t="s">
        <v>192</v>
      </c>
      <c r="J217" t="s">
        <v>170</v>
      </c>
      <c r="K217">
        <v>0</v>
      </c>
      <c r="L217" t="s">
        <v>162</v>
      </c>
      <c r="N217" t="s">
        <v>304</v>
      </c>
      <c r="O217" t="s">
        <v>170</v>
      </c>
      <c r="P217">
        <v>2.5606295823199923E-2</v>
      </c>
      <c r="Q217" t="s">
        <v>162</v>
      </c>
      <c r="S217" t="s">
        <v>416</v>
      </c>
      <c r="T217" t="s">
        <v>170</v>
      </c>
      <c r="U217">
        <v>2.4220198179637956E-2</v>
      </c>
      <c r="V217" t="s">
        <v>162</v>
      </c>
    </row>
    <row r="218" spans="9:22" x14ac:dyDescent="0.45">
      <c r="I218" t="s">
        <v>193</v>
      </c>
      <c r="J218" t="s">
        <v>161</v>
      </c>
      <c r="K218">
        <v>0.84731279228592271</v>
      </c>
      <c r="L218" t="s">
        <v>162</v>
      </c>
      <c r="N218" t="s">
        <v>305</v>
      </c>
      <c r="O218" t="s">
        <v>161</v>
      </c>
      <c r="P218">
        <v>0.55613552444414505</v>
      </c>
      <c r="Q218" t="s">
        <v>162</v>
      </c>
      <c r="S218" t="s">
        <v>417</v>
      </c>
      <c r="T218" t="s">
        <v>161</v>
      </c>
      <c r="U218">
        <v>0.58003906556136098</v>
      </c>
      <c r="V218" t="s">
        <v>162</v>
      </c>
    </row>
    <row r="219" spans="9:22" x14ac:dyDescent="0.45">
      <c r="I219" t="s">
        <v>193</v>
      </c>
      <c r="J219" t="s">
        <v>163</v>
      </c>
      <c r="K219">
        <v>4.8346704180172041E-2</v>
      </c>
      <c r="L219" t="s">
        <v>162</v>
      </c>
      <c r="N219" t="s">
        <v>305</v>
      </c>
      <c r="O219" t="s">
        <v>163</v>
      </c>
      <c r="P219">
        <v>3.1719144240278323E-2</v>
      </c>
      <c r="Q219" t="s">
        <v>162</v>
      </c>
      <c r="S219" t="s">
        <v>417</v>
      </c>
      <c r="T219" t="s">
        <v>163</v>
      </c>
      <c r="U219">
        <v>3.3357498192446274E-2</v>
      </c>
      <c r="V219" t="s">
        <v>162</v>
      </c>
    </row>
    <row r="220" spans="9:22" x14ac:dyDescent="0.45">
      <c r="I220" t="s">
        <v>193</v>
      </c>
      <c r="J220" t="s">
        <v>164</v>
      </c>
      <c r="K220">
        <v>5.9510427032347511E-2</v>
      </c>
      <c r="L220" t="s">
        <v>162</v>
      </c>
      <c r="N220" t="s">
        <v>305</v>
      </c>
      <c r="O220" t="s">
        <v>164</v>
      </c>
      <c r="P220">
        <v>0.22708942067551954</v>
      </c>
      <c r="Q220" t="s">
        <v>162</v>
      </c>
      <c r="S220" t="s">
        <v>417</v>
      </c>
      <c r="T220" t="s">
        <v>164</v>
      </c>
      <c r="U220">
        <v>0.19947604792161674</v>
      </c>
      <c r="V220" t="s">
        <v>162</v>
      </c>
    </row>
    <row r="221" spans="9:22" x14ac:dyDescent="0.45">
      <c r="I221" t="s">
        <v>193</v>
      </c>
      <c r="J221" t="s">
        <v>165</v>
      </c>
      <c r="K221">
        <v>2.5821991095017052E-2</v>
      </c>
      <c r="L221" t="s">
        <v>162</v>
      </c>
      <c r="N221" t="s">
        <v>305</v>
      </c>
      <c r="O221" t="s">
        <v>165</v>
      </c>
      <c r="P221">
        <v>6.5704009402313648E-2</v>
      </c>
      <c r="Q221" t="s">
        <v>162</v>
      </c>
      <c r="S221" t="s">
        <v>417</v>
      </c>
      <c r="T221" t="s">
        <v>165</v>
      </c>
      <c r="U221">
        <v>6.8011961847795857E-2</v>
      </c>
      <c r="V221" t="s">
        <v>162</v>
      </c>
    </row>
    <row r="222" spans="9:22" x14ac:dyDescent="0.45">
      <c r="I222" t="s">
        <v>193</v>
      </c>
      <c r="J222" t="s">
        <v>166</v>
      </c>
      <c r="K222">
        <v>0</v>
      </c>
      <c r="L222" t="s">
        <v>162</v>
      </c>
      <c r="N222" t="s">
        <v>305</v>
      </c>
      <c r="O222" t="s">
        <v>166</v>
      </c>
      <c r="P222">
        <v>4.259082355933203E-3</v>
      </c>
      <c r="Q222" t="s">
        <v>162</v>
      </c>
      <c r="S222" t="s">
        <v>417</v>
      </c>
      <c r="T222" t="s">
        <v>166</v>
      </c>
      <c r="U222">
        <v>4.3472967528011093E-3</v>
      </c>
      <c r="V222" t="s">
        <v>162</v>
      </c>
    </row>
    <row r="223" spans="9:22" x14ac:dyDescent="0.45">
      <c r="I223" t="s">
        <v>193</v>
      </c>
      <c r="J223" t="s">
        <v>167</v>
      </c>
      <c r="K223">
        <v>0</v>
      </c>
      <c r="L223" t="s">
        <v>162</v>
      </c>
      <c r="N223" t="s">
        <v>305</v>
      </c>
      <c r="O223" t="s">
        <v>167</v>
      </c>
      <c r="P223">
        <v>2.3553672154961389E-2</v>
      </c>
      <c r="Q223" t="s">
        <v>162</v>
      </c>
      <c r="S223" t="s">
        <v>417</v>
      </c>
      <c r="T223" t="s">
        <v>167</v>
      </c>
      <c r="U223">
        <v>2.3269524548484605E-2</v>
      </c>
      <c r="V223" t="s">
        <v>162</v>
      </c>
    </row>
    <row r="224" spans="9:22" x14ac:dyDescent="0.45">
      <c r="I224" t="s">
        <v>193</v>
      </c>
      <c r="J224" t="s">
        <v>168</v>
      </c>
      <c r="K224">
        <v>1.9008085406537853E-2</v>
      </c>
      <c r="L224" t="s">
        <v>162</v>
      </c>
      <c r="N224" t="s">
        <v>305</v>
      </c>
      <c r="O224" t="s">
        <v>168</v>
      </c>
      <c r="P224">
        <v>6.3313611995184135E-2</v>
      </c>
      <c r="Q224" t="s">
        <v>162</v>
      </c>
      <c r="S224" t="s">
        <v>417</v>
      </c>
      <c r="T224" t="s">
        <v>168</v>
      </c>
      <c r="U224">
        <v>6.4798797638714933E-2</v>
      </c>
      <c r="V224" t="s">
        <v>162</v>
      </c>
    </row>
    <row r="225" spans="9:22" x14ac:dyDescent="0.45">
      <c r="I225" t="s">
        <v>193</v>
      </c>
      <c r="J225" t="s">
        <v>169</v>
      </c>
      <c r="K225">
        <v>0</v>
      </c>
      <c r="L225" t="s">
        <v>162</v>
      </c>
      <c r="N225" t="s">
        <v>305</v>
      </c>
      <c r="O225" t="s">
        <v>169</v>
      </c>
      <c r="P225">
        <v>3.7486656739806898E-3</v>
      </c>
      <c r="Q225" t="s">
        <v>162</v>
      </c>
      <c r="S225" t="s">
        <v>417</v>
      </c>
      <c r="T225" t="s">
        <v>169</v>
      </c>
      <c r="U225">
        <v>3.8605445014841451E-3</v>
      </c>
      <c r="V225" t="s">
        <v>162</v>
      </c>
    </row>
    <row r="226" spans="9:22" x14ac:dyDescent="0.45">
      <c r="I226" t="s">
        <v>193</v>
      </c>
      <c r="J226" t="s">
        <v>170</v>
      </c>
      <c r="K226">
        <v>0</v>
      </c>
      <c r="L226" t="s">
        <v>162</v>
      </c>
      <c r="N226" t="s">
        <v>305</v>
      </c>
      <c r="O226" t="s">
        <v>170</v>
      </c>
      <c r="P226">
        <v>2.4476869057680491E-2</v>
      </c>
      <c r="Q226" t="s">
        <v>162</v>
      </c>
      <c r="S226" t="s">
        <v>417</v>
      </c>
      <c r="T226" t="s">
        <v>170</v>
      </c>
      <c r="U226">
        <v>2.2839263035295189E-2</v>
      </c>
      <c r="V226" t="s">
        <v>162</v>
      </c>
    </row>
    <row r="227" spans="9:22" x14ac:dyDescent="0.45">
      <c r="I227" t="s">
        <v>194</v>
      </c>
      <c r="J227" t="s">
        <v>161</v>
      </c>
      <c r="K227">
        <v>0.83085610899858453</v>
      </c>
      <c r="L227" t="s">
        <v>162</v>
      </c>
      <c r="N227" t="s">
        <v>306</v>
      </c>
      <c r="O227" t="s">
        <v>161</v>
      </c>
      <c r="P227">
        <v>0.55190257327872583</v>
      </c>
      <c r="Q227" t="s">
        <v>162</v>
      </c>
      <c r="S227" t="s">
        <v>418</v>
      </c>
      <c r="T227" t="s">
        <v>161</v>
      </c>
      <c r="U227">
        <v>0.58650855496669041</v>
      </c>
      <c r="V227" t="s">
        <v>162</v>
      </c>
    </row>
    <row r="228" spans="9:22" x14ac:dyDescent="0.45">
      <c r="I228" t="s">
        <v>194</v>
      </c>
      <c r="J228" t="s">
        <v>163</v>
      </c>
      <c r="K228">
        <v>5.2294291940049573E-2</v>
      </c>
      <c r="L228" t="s">
        <v>162</v>
      </c>
      <c r="N228" t="s">
        <v>306</v>
      </c>
      <c r="O228" t="s">
        <v>163</v>
      </c>
      <c r="P228">
        <v>3.1261668665058182E-2</v>
      </c>
      <c r="Q228" t="s">
        <v>162</v>
      </c>
      <c r="S228" t="s">
        <v>418</v>
      </c>
      <c r="T228" t="s">
        <v>163</v>
      </c>
      <c r="U228">
        <v>3.4840896726541268E-2</v>
      </c>
      <c r="V228" t="s">
        <v>162</v>
      </c>
    </row>
    <row r="229" spans="9:22" x14ac:dyDescent="0.45">
      <c r="I229" t="s">
        <v>194</v>
      </c>
      <c r="J229" t="s">
        <v>164</v>
      </c>
      <c r="K229">
        <v>7.0353557176980913E-2</v>
      </c>
      <c r="L229" t="s">
        <v>162</v>
      </c>
      <c r="N229" t="s">
        <v>306</v>
      </c>
      <c r="O229" t="s">
        <v>164</v>
      </c>
      <c r="P229">
        <v>0.22179146358001922</v>
      </c>
      <c r="Q229" t="s">
        <v>162</v>
      </c>
      <c r="S229" t="s">
        <v>418</v>
      </c>
      <c r="T229" t="s">
        <v>164</v>
      </c>
      <c r="U229">
        <v>0.20744339870400585</v>
      </c>
      <c r="V229" t="s">
        <v>162</v>
      </c>
    </row>
    <row r="230" spans="9:22" x14ac:dyDescent="0.45">
      <c r="I230" t="s">
        <v>194</v>
      </c>
      <c r="J230" t="s">
        <v>165</v>
      </c>
      <c r="K230">
        <v>2.8580188895848051E-2</v>
      </c>
      <c r="L230" t="s">
        <v>162</v>
      </c>
      <c r="N230" t="s">
        <v>306</v>
      </c>
      <c r="O230" t="s">
        <v>165</v>
      </c>
      <c r="P230">
        <v>6.7880847776418465E-2</v>
      </c>
      <c r="Q230" t="s">
        <v>162</v>
      </c>
      <c r="S230" t="s">
        <v>418</v>
      </c>
      <c r="T230" t="s">
        <v>165</v>
      </c>
      <c r="U230">
        <v>7.1046449910363491E-2</v>
      </c>
      <c r="V230" t="s">
        <v>162</v>
      </c>
    </row>
    <row r="231" spans="9:22" x14ac:dyDescent="0.45">
      <c r="I231" t="s">
        <v>194</v>
      </c>
      <c r="J231" t="s">
        <v>166</v>
      </c>
      <c r="K231">
        <v>0</v>
      </c>
      <c r="L231" t="s">
        <v>162</v>
      </c>
      <c r="N231" t="s">
        <v>306</v>
      </c>
      <c r="O231" t="s">
        <v>166</v>
      </c>
      <c r="P231">
        <v>4.8485266617254259E-3</v>
      </c>
      <c r="Q231" t="s">
        <v>162</v>
      </c>
      <c r="S231" t="s">
        <v>418</v>
      </c>
      <c r="T231" t="s">
        <v>166</v>
      </c>
      <c r="U231">
        <v>4.2185791766857026E-3</v>
      </c>
      <c r="V231" t="s">
        <v>162</v>
      </c>
    </row>
    <row r="232" spans="9:22" x14ac:dyDescent="0.45">
      <c r="I232" t="s">
        <v>194</v>
      </c>
      <c r="J232" t="s">
        <v>167</v>
      </c>
      <c r="K232">
        <v>0</v>
      </c>
      <c r="L232" t="s">
        <v>162</v>
      </c>
      <c r="N232" t="s">
        <v>306</v>
      </c>
      <c r="O232" t="s">
        <v>167</v>
      </c>
      <c r="P232">
        <v>2.7002264680726942E-2</v>
      </c>
      <c r="Q232" t="s">
        <v>162</v>
      </c>
      <c r="S232" t="s">
        <v>418</v>
      </c>
      <c r="T232" t="s">
        <v>167</v>
      </c>
      <c r="U232">
        <v>2.3664871365726002E-2</v>
      </c>
      <c r="V232" t="s">
        <v>162</v>
      </c>
    </row>
    <row r="233" spans="9:22" x14ac:dyDescent="0.45">
      <c r="I233" t="s">
        <v>194</v>
      </c>
      <c r="J233" t="s">
        <v>168</v>
      </c>
      <c r="K233">
        <v>1.7915852988540235E-2</v>
      </c>
      <c r="L233" t="s">
        <v>162</v>
      </c>
      <c r="N233" t="s">
        <v>306</v>
      </c>
      <c r="O233" t="s">
        <v>168</v>
      </c>
      <c r="P233">
        <v>6.6635619248033587E-2</v>
      </c>
      <c r="Q233" t="s">
        <v>162</v>
      </c>
      <c r="S233" t="s">
        <v>418</v>
      </c>
      <c r="T233" t="s">
        <v>168</v>
      </c>
      <c r="U233">
        <v>5.0265143834487942E-2</v>
      </c>
      <c r="V233" t="s">
        <v>162</v>
      </c>
    </row>
    <row r="234" spans="9:22" x14ac:dyDescent="0.45">
      <c r="I234" t="s">
        <v>194</v>
      </c>
      <c r="J234" t="s">
        <v>169</v>
      </c>
      <c r="K234">
        <v>0</v>
      </c>
      <c r="L234" t="s">
        <v>162</v>
      </c>
      <c r="N234" t="s">
        <v>306</v>
      </c>
      <c r="O234" t="s">
        <v>169</v>
      </c>
      <c r="P234">
        <v>4.279689262579987E-3</v>
      </c>
      <c r="Q234" t="s">
        <v>162</v>
      </c>
      <c r="S234" t="s">
        <v>418</v>
      </c>
      <c r="T234" t="s">
        <v>169</v>
      </c>
      <c r="U234">
        <v>3.0311733909585445E-3</v>
      </c>
      <c r="V234" t="s">
        <v>162</v>
      </c>
    </row>
    <row r="235" spans="9:22" x14ac:dyDescent="0.45">
      <c r="I235" t="s">
        <v>194</v>
      </c>
      <c r="J235" t="s">
        <v>170</v>
      </c>
      <c r="K235">
        <v>0</v>
      </c>
      <c r="L235" t="s">
        <v>162</v>
      </c>
      <c r="N235" t="s">
        <v>306</v>
      </c>
      <c r="O235" t="s">
        <v>170</v>
      </c>
      <c r="P235">
        <v>2.4397346846710882E-2</v>
      </c>
      <c r="Q235" t="s">
        <v>162</v>
      </c>
      <c r="S235" t="s">
        <v>418</v>
      </c>
      <c r="T235" t="s">
        <v>170</v>
      </c>
      <c r="U235">
        <v>1.8980931924537901E-2</v>
      </c>
      <c r="V235" t="s">
        <v>162</v>
      </c>
    </row>
    <row r="236" spans="9:22" x14ac:dyDescent="0.45">
      <c r="I236" t="s">
        <v>195</v>
      </c>
      <c r="J236" t="s">
        <v>161</v>
      </c>
      <c r="K236">
        <v>0.8786494698169578</v>
      </c>
      <c r="L236" t="s">
        <v>162</v>
      </c>
      <c r="N236" t="s">
        <v>307</v>
      </c>
      <c r="O236" t="s">
        <v>161</v>
      </c>
      <c r="P236">
        <v>0.55703175664155169</v>
      </c>
      <c r="Q236" t="s">
        <v>162</v>
      </c>
      <c r="S236" t="s">
        <v>419</v>
      </c>
      <c r="T236" t="s">
        <v>161</v>
      </c>
      <c r="U236">
        <v>0.57928686093696502</v>
      </c>
      <c r="V236" t="s">
        <v>162</v>
      </c>
    </row>
    <row r="237" spans="9:22" x14ac:dyDescent="0.45">
      <c r="I237" t="s">
        <v>195</v>
      </c>
      <c r="J237" t="s">
        <v>163</v>
      </c>
      <c r="K237">
        <v>4.522668414043382E-2</v>
      </c>
      <c r="L237" t="s">
        <v>162</v>
      </c>
      <c r="N237" t="s">
        <v>307</v>
      </c>
      <c r="O237" t="s">
        <v>163</v>
      </c>
      <c r="P237">
        <v>3.3919049362095853E-2</v>
      </c>
      <c r="Q237" t="s">
        <v>162</v>
      </c>
      <c r="S237" t="s">
        <v>419</v>
      </c>
      <c r="T237" t="s">
        <v>163</v>
      </c>
      <c r="U237">
        <v>3.4070893043269462E-2</v>
      </c>
      <c r="V237" t="s">
        <v>162</v>
      </c>
    </row>
    <row r="238" spans="9:22" x14ac:dyDescent="0.45">
      <c r="I238" t="s">
        <v>195</v>
      </c>
      <c r="J238" t="s">
        <v>164</v>
      </c>
      <c r="K238">
        <v>4.5222857358435564E-2</v>
      </c>
      <c r="L238" t="s">
        <v>162</v>
      </c>
      <c r="N238" t="s">
        <v>307</v>
      </c>
      <c r="O238" t="s">
        <v>164</v>
      </c>
      <c r="P238">
        <v>0.23829774493679934</v>
      </c>
      <c r="Q238" t="s">
        <v>162</v>
      </c>
      <c r="S238" t="s">
        <v>419</v>
      </c>
      <c r="T238" t="s">
        <v>164</v>
      </c>
      <c r="U238">
        <v>0.20407017973512101</v>
      </c>
      <c r="V238" t="s">
        <v>162</v>
      </c>
    </row>
    <row r="239" spans="9:22" x14ac:dyDescent="0.45">
      <c r="I239" t="s">
        <v>195</v>
      </c>
      <c r="J239" t="s">
        <v>165</v>
      </c>
      <c r="K239">
        <v>1.9065322037747211E-2</v>
      </c>
      <c r="L239" t="s">
        <v>162</v>
      </c>
      <c r="N239" t="s">
        <v>307</v>
      </c>
      <c r="O239" t="s">
        <v>165</v>
      </c>
      <c r="P239">
        <v>5.1261832701641891E-2</v>
      </c>
      <c r="Q239" t="s">
        <v>162</v>
      </c>
      <c r="S239" t="s">
        <v>419</v>
      </c>
      <c r="T239" t="s">
        <v>165</v>
      </c>
      <c r="U239">
        <v>6.9930987454691951E-2</v>
      </c>
      <c r="V239" t="s">
        <v>162</v>
      </c>
    </row>
    <row r="240" spans="9:22" x14ac:dyDescent="0.45">
      <c r="I240" t="s">
        <v>195</v>
      </c>
      <c r="J240" t="s">
        <v>166</v>
      </c>
      <c r="K240">
        <v>0</v>
      </c>
      <c r="L240" t="s">
        <v>162</v>
      </c>
      <c r="N240" t="s">
        <v>307</v>
      </c>
      <c r="O240" t="s">
        <v>166</v>
      </c>
      <c r="P240">
        <v>3.722341414641782E-3</v>
      </c>
      <c r="Q240" t="s">
        <v>162</v>
      </c>
      <c r="S240" t="s">
        <v>419</v>
      </c>
      <c r="T240" t="s">
        <v>166</v>
      </c>
      <c r="U240">
        <v>4.3402040519249481E-3</v>
      </c>
      <c r="V240" t="s">
        <v>162</v>
      </c>
    </row>
    <row r="241" spans="9:22" x14ac:dyDescent="0.45">
      <c r="I241" t="s">
        <v>195</v>
      </c>
      <c r="J241" t="s">
        <v>167</v>
      </c>
      <c r="K241">
        <v>0</v>
      </c>
      <c r="L241" t="s">
        <v>162</v>
      </c>
      <c r="N241" t="s">
        <v>307</v>
      </c>
      <c r="O241" t="s">
        <v>167</v>
      </c>
      <c r="P241">
        <v>2.2032421006891151E-2</v>
      </c>
      <c r="Q241" t="s">
        <v>162</v>
      </c>
      <c r="S241" t="s">
        <v>419</v>
      </c>
      <c r="T241" t="s">
        <v>167</v>
      </c>
      <c r="U241">
        <v>2.4734293808698085E-2</v>
      </c>
      <c r="V241" t="s">
        <v>162</v>
      </c>
    </row>
    <row r="242" spans="9:22" x14ac:dyDescent="0.45">
      <c r="I242" t="s">
        <v>195</v>
      </c>
      <c r="J242" t="s">
        <v>168</v>
      </c>
      <c r="K242">
        <v>1.1835666646424889E-2</v>
      </c>
      <c r="L242" t="s">
        <v>162</v>
      </c>
      <c r="N242" t="s">
        <v>307</v>
      </c>
      <c r="O242" t="s">
        <v>168</v>
      </c>
      <c r="P242">
        <v>6.5233269026626267E-2</v>
      </c>
      <c r="Q242" t="s">
        <v>162</v>
      </c>
      <c r="S242" t="s">
        <v>419</v>
      </c>
      <c r="T242" t="s">
        <v>168</v>
      </c>
      <c r="U242">
        <v>6.0597706659951116E-2</v>
      </c>
      <c r="V242" t="s">
        <v>162</v>
      </c>
    </row>
    <row r="243" spans="9:22" x14ac:dyDescent="0.45">
      <c r="I243" t="s">
        <v>195</v>
      </c>
      <c r="J243" t="s">
        <v>169</v>
      </c>
      <c r="K243">
        <v>0</v>
      </c>
      <c r="L243" t="s">
        <v>162</v>
      </c>
      <c r="N243" t="s">
        <v>307</v>
      </c>
      <c r="O243" t="s">
        <v>169</v>
      </c>
      <c r="P243">
        <v>4.4647217096315164E-3</v>
      </c>
      <c r="Q243" t="s">
        <v>162</v>
      </c>
      <c r="S243" t="s">
        <v>419</v>
      </c>
      <c r="T243" t="s">
        <v>169</v>
      </c>
      <c r="U243">
        <v>3.2066066055260788E-3</v>
      </c>
      <c r="V243" t="s">
        <v>162</v>
      </c>
    </row>
    <row r="244" spans="9:22" x14ac:dyDescent="0.45">
      <c r="I244" t="s">
        <v>195</v>
      </c>
      <c r="J244" t="s">
        <v>170</v>
      </c>
      <c r="K244">
        <v>0</v>
      </c>
      <c r="L244" t="s">
        <v>162</v>
      </c>
      <c r="N244" t="s">
        <v>307</v>
      </c>
      <c r="O244" t="s">
        <v>170</v>
      </c>
      <c r="P244">
        <v>2.4036863200120145E-2</v>
      </c>
      <c r="Q244" t="s">
        <v>162</v>
      </c>
      <c r="S244" t="s">
        <v>419</v>
      </c>
      <c r="T244" t="s">
        <v>170</v>
      </c>
      <c r="U244">
        <v>1.9762267703853649E-2</v>
      </c>
      <c r="V244" t="s">
        <v>162</v>
      </c>
    </row>
    <row r="245" spans="9:22" x14ac:dyDescent="0.45">
      <c r="I245" t="s">
        <v>196</v>
      </c>
      <c r="J245" t="s">
        <v>161</v>
      </c>
      <c r="K245">
        <v>0.81799060250276612</v>
      </c>
      <c r="L245" t="s">
        <v>162</v>
      </c>
      <c r="N245" t="s">
        <v>308</v>
      </c>
      <c r="O245" t="s">
        <v>161</v>
      </c>
      <c r="P245">
        <v>0.55249648212827496</v>
      </c>
      <c r="Q245" t="s">
        <v>162</v>
      </c>
      <c r="S245" t="s">
        <v>420</v>
      </c>
      <c r="T245" t="s">
        <v>161</v>
      </c>
      <c r="U245">
        <v>0.58046010193890463</v>
      </c>
      <c r="V245" t="s">
        <v>162</v>
      </c>
    </row>
    <row r="246" spans="9:22" x14ac:dyDescent="0.45">
      <c r="I246" t="s">
        <v>196</v>
      </c>
      <c r="J246" t="s">
        <v>163</v>
      </c>
      <c r="K246">
        <v>6.0600413246492714E-2</v>
      </c>
      <c r="L246" t="s">
        <v>162</v>
      </c>
      <c r="N246" t="s">
        <v>308</v>
      </c>
      <c r="O246" t="s">
        <v>163</v>
      </c>
      <c r="P246">
        <v>3.3250077962632976E-2</v>
      </c>
      <c r="Q246" t="s">
        <v>162</v>
      </c>
      <c r="S246" t="s">
        <v>420</v>
      </c>
      <c r="T246" t="s">
        <v>163</v>
      </c>
      <c r="U246">
        <v>3.4623455172090679E-2</v>
      </c>
      <c r="V246" t="s">
        <v>162</v>
      </c>
    </row>
    <row r="247" spans="9:22" x14ac:dyDescent="0.45">
      <c r="I247" t="s">
        <v>196</v>
      </c>
      <c r="J247" t="s">
        <v>164</v>
      </c>
      <c r="K247">
        <v>8.3333298973405592E-2</v>
      </c>
      <c r="L247" t="s">
        <v>162</v>
      </c>
      <c r="N247" t="s">
        <v>308</v>
      </c>
      <c r="O247" t="s">
        <v>164</v>
      </c>
      <c r="P247">
        <v>0.2337165320179295</v>
      </c>
      <c r="Q247" t="s">
        <v>162</v>
      </c>
      <c r="S247" t="s">
        <v>420</v>
      </c>
      <c r="T247" t="s">
        <v>164</v>
      </c>
      <c r="U247">
        <v>0.20750398615099891</v>
      </c>
      <c r="V247" t="s">
        <v>162</v>
      </c>
    </row>
    <row r="248" spans="9:22" x14ac:dyDescent="0.45">
      <c r="I248" t="s">
        <v>196</v>
      </c>
      <c r="J248" t="s">
        <v>165</v>
      </c>
      <c r="K248">
        <v>2.4958936106898987E-2</v>
      </c>
      <c r="L248" t="s">
        <v>162</v>
      </c>
      <c r="N248" t="s">
        <v>308</v>
      </c>
      <c r="O248" t="s">
        <v>165</v>
      </c>
      <c r="P248">
        <v>6.0538163430895589E-2</v>
      </c>
      <c r="Q248" t="s">
        <v>162</v>
      </c>
      <c r="S248" t="s">
        <v>420</v>
      </c>
      <c r="T248" t="s">
        <v>165</v>
      </c>
      <c r="U248">
        <v>7.7945127691577923E-2</v>
      </c>
      <c r="V248" t="s">
        <v>162</v>
      </c>
    </row>
    <row r="249" spans="9:22" x14ac:dyDescent="0.45">
      <c r="I249" t="s">
        <v>196</v>
      </c>
      <c r="J249" t="s">
        <v>166</v>
      </c>
      <c r="K249">
        <v>0</v>
      </c>
      <c r="L249" t="s">
        <v>162</v>
      </c>
      <c r="N249" t="s">
        <v>308</v>
      </c>
      <c r="O249" t="s">
        <v>166</v>
      </c>
      <c r="P249">
        <v>4.0497698116636147E-3</v>
      </c>
      <c r="Q249" t="s">
        <v>162</v>
      </c>
      <c r="S249" t="s">
        <v>420</v>
      </c>
      <c r="T249" t="s">
        <v>166</v>
      </c>
      <c r="U249">
        <v>4.4932531011776895E-3</v>
      </c>
      <c r="V249" t="s">
        <v>162</v>
      </c>
    </row>
    <row r="250" spans="9:22" x14ac:dyDescent="0.45">
      <c r="I250" t="s">
        <v>196</v>
      </c>
      <c r="J250" t="s">
        <v>167</v>
      </c>
      <c r="K250">
        <v>0</v>
      </c>
      <c r="L250" t="s">
        <v>162</v>
      </c>
      <c r="N250" t="s">
        <v>308</v>
      </c>
      <c r="O250" t="s">
        <v>167</v>
      </c>
      <c r="P250">
        <v>2.3982841514672178E-2</v>
      </c>
      <c r="Q250" t="s">
        <v>162</v>
      </c>
      <c r="S250" t="s">
        <v>420</v>
      </c>
      <c r="T250" t="s">
        <v>167</v>
      </c>
      <c r="U250">
        <v>2.6567080620629679E-2</v>
      </c>
      <c r="V250" t="s">
        <v>162</v>
      </c>
    </row>
    <row r="251" spans="9:22" x14ac:dyDescent="0.45">
      <c r="I251" t="s">
        <v>196</v>
      </c>
      <c r="J251" t="s">
        <v>168</v>
      </c>
      <c r="K251">
        <v>1.3116749170438037E-2</v>
      </c>
      <c r="L251" t="s">
        <v>162</v>
      </c>
      <c r="N251" t="s">
        <v>308</v>
      </c>
      <c r="O251" t="s">
        <v>168</v>
      </c>
      <c r="P251">
        <v>6.1146919600501053E-2</v>
      </c>
      <c r="Q251" t="s">
        <v>162</v>
      </c>
      <c r="S251" t="s">
        <v>420</v>
      </c>
      <c r="T251" t="s">
        <v>168</v>
      </c>
      <c r="U251">
        <v>4.8257626121563368E-2</v>
      </c>
      <c r="V251" t="s">
        <v>162</v>
      </c>
    </row>
    <row r="252" spans="9:22" x14ac:dyDescent="0.45">
      <c r="I252" t="s">
        <v>196</v>
      </c>
      <c r="J252" t="s">
        <v>169</v>
      </c>
      <c r="K252">
        <v>0</v>
      </c>
      <c r="L252" t="s">
        <v>162</v>
      </c>
      <c r="N252" t="s">
        <v>308</v>
      </c>
      <c r="O252" t="s">
        <v>169</v>
      </c>
      <c r="P252">
        <v>4.5186035476352622E-3</v>
      </c>
      <c r="Q252" t="s">
        <v>162</v>
      </c>
      <c r="S252" t="s">
        <v>420</v>
      </c>
      <c r="T252" t="s">
        <v>169</v>
      </c>
      <c r="U252">
        <v>2.7239239539390146E-3</v>
      </c>
      <c r="V252" t="s">
        <v>162</v>
      </c>
    </row>
    <row r="253" spans="9:22" x14ac:dyDescent="0.45">
      <c r="I253" t="s">
        <v>196</v>
      </c>
      <c r="J253" t="s">
        <v>170</v>
      </c>
      <c r="K253">
        <v>0</v>
      </c>
      <c r="L253" t="s">
        <v>162</v>
      </c>
      <c r="N253" t="s">
        <v>308</v>
      </c>
      <c r="O253" t="s">
        <v>170</v>
      </c>
      <c r="P253">
        <v>2.6300609985794074E-2</v>
      </c>
      <c r="Q253" t="s">
        <v>162</v>
      </c>
      <c r="S253" t="s">
        <v>420</v>
      </c>
      <c r="T253" t="s">
        <v>170</v>
      </c>
      <c r="U253">
        <v>1.7425445249116975E-2</v>
      </c>
      <c r="V253" t="s">
        <v>162</v>
      </c>
    </row>
    <row r="254" spans="9:22" x14ac:dyDescent="0.45">
      <c r="I254" t="s">
        <v>197</v>
      </c>
      <c r="J254" t="s">
        <v>161</v>
      </c>
      <c r="K254">
        <v>0.85361386094823455</v>
      </c>
      <c r="L254" t="s">
        <v>162</v>
      </c>
      <c r="N254" t="s">
        <v>309</v>
      </c>
      <c r="O254" t="s">
        <v>161</v>
      </c>
      <c r="P254">
        <v>0.53848984843537984</v>
      </c>
      <c r="Q254" t="s">
        <v>162</v>
      </c>
      <c r="S254" t="s">
        <v>421</v>
      </c>
      <c r="T254" t="s">
        <v>161</v>
      </c>
      <c r="U254">
        <v>0.58289948867206154</v>
      </c>
      <c r="V254" t="s">
        <v>162</v>
      </c>
    </row>
    <row r="255" spans="9:22" x14ac:dyDescent="0.45">
      <c r="I255" t="s">
        <v>197</v>
      </c>
      <c r="J255" t="s">
        <v>163</v>
      </c>
      <c r="K255">
        <v>4.2669994455907467E-2</v>
      </c>
      <c r="L255" t="s">
        <v>162</v>
      </c>
      <c r="N255" t="s">
        <v>309</v>
      </c>
      <c r="O255" t="s">
        <v>163</v>
      </c>
      <c r="P255">
        <v>3.2132611081955795E-2</v>
      </c>
      <c r="Q255" t="s">
        <v>162</v>
      </c>
      <c r="S255" t="s">
        <v>421</v>
      </c>
      <c r="T255" t="s">
        <v>163</v>
      </c>
      <c r="U255">
        <v>3.4137448503148891E-2</v>
      </c>
      <c r="V255" t="s">
        <v>162</v>
      </c>
    </row>
    <row r="256" spans="9:22" x14ac:dyDescent="0.45">
      <c r="I256" t="s">
        <v>197</v>
      </c>
      <c r="J256" t="s">
        <v>164</v>
      </c>
      <c r="K256">
        <v>4.3085170688496634E-2</v>
      </c>
      <c r="L256" t="s">
        <v>162</v>
      </c>
      <c r="N256" t="s">
        <v>309</v>
      </c>
      <c r="O256" t="s">
        <v>164</v>
      </c>
      <c r="P256">
        <v>0.22895670519299746</v>
      </c>
      <c r="Q256" t="s">
        <v>162</v>
      </c>
      <c r="S256" t="s">
        <v>421</v>
      </c>
      <c r="T256" t="s">
        <v>164</v>
      </c>
      <c r="U256">
        <v>0.20685045916526523</v>
      </c>
      <c r="V256" t="s">
        <v>162</v>
      </c>
    </row>
    <row r="257" spans="9:22" x14ac:dyDescent="0.45">
      <c r="I257" t="s">
        <v>197</v>
      </c>
      <c r="J257" t="s">
        <v>165</v>
      </c>
      <c r="K257">
        <v>2.6044781883342256E-2</v>
      </c>
      <c r="L257" t="s">
        <v>162</v>
      </c>
      <c r="N257" t="s">
        <v>309</v>
      </c>
      <c r="O257" t="s">
        <v>165</v>
      </c>
      <c r="P257">
        <v>7.015305188233277E-2</v>
      </c>
      <c r="Q257" t="s">
        <v>162</v>
      </c>
      <c r="S257" t="s">
        <v>421</v>
      </c>
      <c r="T257" t="s">
        <v>165</v>
      </c>
      <c r="U257">
        <v>8.0523015771880493E-2</v>
      </c>
      <c r="V257" t="s">
        <v>162</v>
      </c>
    </row>
    <row r="258" spans="9:22" x14ac:dyDescent="0.45">
      <c r="I258" t="s">
        <v>197</v>
      </c>
      <c r="J258" t="s">
        <v>166</v>
      </c>
      <c r="K258">
        <v>0</v>
      </c>
      <c r="L258" t="s">
        <v>162</v>
      </c>
      <c r="N258" t="s">
        <v>309</v>
      </c>
      <c r="O258" t="s">
        <v>166</v>
      </c>
      <c r="P258">
        <v>4.9723411225197469E-3</v>
      </c>
      <c r="Q258" t="s">
        <v>162</v>
      </c>
      <c r="S258" t="s">
        <v>421</v>
      </c>
      <c r="T258" t="s">
        <v>166</v>
      </c>
      <c r="U258">
        <v>4.4020831892497133E-3</v>
      </c>
      <c r="V258" t="s">
        <v>162</v>
      </c>
    </row>
    <row r="259" spans="9:22" x14ac:dyDescent="0.45">
      <c r="I259" t="s">
        <v>197</v>
      </c>
      <c r="J259" t="s">
        <v>167</v>
      </c>
      <c r="K259">
        <v>0</v>
      </c>
      <c r="L259" t="s">
        <v>162</v>
      </c>
      <c r="N259" t="s">
        <v>309</v>
      </c>
      <c r="O259" t="s">
        <v>167</v>
      </c>
      <c r="P259">
        <v>2.9214964092112366E-2</v>
      </c>
      <c r="Q259" t="s">
        <v>162</v>
      </c>
      <c r="S259" t="s">
        <v>421</v>
      </c>
      <c r="T259" t="s">
        <v>167</v>
      </c>
      <c r="U259">
        <v>2.6093324570857567E-2</v>
      </c>
      <c r="V259" t="s">
        <v>162</v>
      </c>
    </row>
    <row r="260" spans="9:22" x14ac:dyDescent="0.45">
      <c r="I260" t="s">
        <v>197</v>
      </c>
      <c r="J260" t="s">
        <v>168</v>
      </c>
      <c r="K260">
        <v>3.4586192024022092E-2</v>
      </c>
      <c r="L260" t="s">
        <v>162</v>
      </c>
      <c r="N260" t="s">
        <v>309</v>
      </c>
      <c r="O260" t="s">
        <v>168</v>
      </c>
      <c r="P260">
        <v>6.4989168471559999E-2</v>
      </c>
      <c r="Q260" t="s">
        <v>162</v>
      </c>
      <c r="S260" t="s">
        <v>421</v>
      </c>
      <c r="T260" t="s">
        <v>168</v>
      </c>
      <c r="U260">
        <v>4.8052445820839548E-2</v>
      </c>
      <c r="V260" t="s">
        <v>162</v>
      </c>
    </row>
    <row r="261" spans="9:22" x14ac:dyDescent="0.45">
      <c r="I261" t="s">
        <v>197</v>
      </c>
      <c r="J261" t="s">
        <v>169</v>
      </c>
      <c r="K261">
        <v>0</v>
      </c>
      <c r="L261" t="s">
        <v>162</v>
      </c>
      <c r="N261" t="s">
        <v>309</v>
      </c>
      <c r="O261" t="s">
        <v>169</v>
      </c>
      <c r="P261">
        <v>4.5875431019871101E-3</v>
      </c>
      <c r="Q261" t="s">
        <v>162</v>
      </c>
      <c r="S261" t="s">
        <v>421</v>
      </c>
      <c r="T261" t="s">
        <v>169</v>
      </c>
      <c r="U261">
        <v>2.3554074890857488E-3</v>
      </c>
      <c r="V261" t="s">
        <v>162</v>
      </c>
    </row>
    <row r="262" spans="9:22" x14ac:dyDescent="0.45">
      <c r="I262" t="s">
        <v>197</v>
      </c>
      <c r="J262" t="s">
        <v>170</v>
      </c>
      <c r="K262">
        <v>0</v>
      </c>
      <c r="L262" t="s">
        <v>162</v>
      </c>
      <c r="N262" t="s">
        <v>309</v>
      </c>
      <c r="O262" t="s">
        <v>170</v>
      </c>
      <c r="P262">
        <v>2.6503766619154941E-2</v>
      </c>
      <c r="Q262" t="s">
        <v>162</v>
      </c>
      <c r="S262" t="s">
        <v>421</v>
      </c>
      <c r="T262" t="s">
        <v>170</v>
      </c>
      <c r="U262">
        <v>1.468632681760638E-2</v>
      </c>
      <c r="V262" t="s">
        <v>162</v>
      </c>
    </row>
    <row r="263" spans="9:22" x14ac:dyDescent="0.45">
      <c r="I263" t="s">
        <v>198</v>
      </c>
      <c r="J263" t="s">
        <v>161</v>
      </c>
      <c r="K263">
        <v>0.86104153106096848</v>
      </c>
      <c r="L263" t="s">
        <v>162</v>
      </c>
      <c r="N263" t="s">
        <v>310</v>
      </c>
      <c r="O263" t="s">
        <v>161</v>
      </c>
      <c r="P263">
        <v>0.5653842169636315</v>
      </c>
      <c r="Q263" t="s">
        <v>162</v>
      </c>
      <c r="S263" t="s">
        <v>422</v>
      </c>
      <c r="T263" t="s">
        <v>161</v>
      </c>
      <c r="U263">
        <v>0.58404444262780508</v>
      </c>
      <c r="V263" t="s">
        <v>162</v>
      </c>
    </row>
    <row r="264" spans="9:22" x14ac:dyDescent="0.45">
      <c r="I264" t="s">
        <v>198</v>
      </c>
      <c r="J264" t="s">
        <v>163</v>
      </c>
      <c r="K264">
        <v>4.0731065162987377E-2</v>
      </c>
      <c r="L264" t="s">
        <v>162</v>
      </c>
      <c r="N264" t="s">
        <v>310</v>
      </c>
      <c r="O264" t="s">
        <v>163</v>
      </c>
      <c r="P264">
        <v>3.4573419714111014E-2</v>
      </c>
      <c r="Q264" t="s">
        <v>162</v>
      </c>
      <c r="S264" t="s">
        <v>422</v>
      </c>
      <c r="T264" t="s">
        <v>163</v>
      </c>
      <c r="U264">
        <v>3.3847181106219801E-2</v>
      </c>
      <c r="V264" t="s">
        <v>162</v>
      </c>
    </row>
    <row r="265" spans="9:22" x14ac:dyDescent="0.45">
      <c r="I265" t="s">
        <v>198</v>
      </c>
      <c r="J265" t="s">
        <v>164</v>
      </c>
      <c r="K265">
        <v>4.0056338346646653E-2</v>
      </c>
      <c r="L265" t="s">
        <v>162</v>
      </c>
      <c r="N265" t="s">
        <v>310</v>
      </c>
      <c r="O265" t="s">
        <v>164</v>
      </c>
      <c r="P265">
        <v>0.22884027646909408</v>
      </c>
      <c r="Q265" t="s">
        <v>162</v>
      </c>
      <c r="S265" t="s">
        <v>422</v>
      </c>
      <c r="T265" t="s">
        <v>164</v>
      </c>
      <c r="U265">
        <v>0.2006004230091204</v>
      </c>
      <c r="V265" t="s">
        <v>162</v>
      </c>
    </row>
    <row r="266" spans="9:22" x14ac:dyDescent="0.45">
      <c r="I266" t="s">
        <v>198</v>
      </c>
      <c r="J266" t="s">
        <v>165</v>
      </c>
      <c r="K266">
        <v>2.7418846170298234E-2</v>
      </c>
      <c r="L266" t="s">
        <v>162</v>
      </c>
      <c r="N266" t="s">
        <v>310</v>
      </c>
      <c r="O266" t="s">
        <v>165</v>
      </c>
      <c r="P266">
        <v>4.0492796288632837E-2</v>
      </c>
      <c r="Q266" t="s">
        <v>162</v>
      </c>
      <c r="S266" t="s">
        <v>422</v>
      </c>
      <c r="T266" t="s">
        <v>165</v>
      </c>
      <c r="U266">
        <v>7.4655292745145999E-2</v>
      </c>
      <c r="V266" t="s">
        <v>162</v>
      </c>
    </row>
    <row r="267" spans="9:22" x14ac:dyDescent="0.45">
      <c r="I267" t="s">
        <v>198</v>
      </c>
      <c r="J267" t="s">
        <v>166</v>
      </c>
      <c r="K267">
        <v>0</v>
      </c>
      <c r="L267" t="s">
        <v>162</v>
      </c>
      <c r="N267" t="s">
        <v>310</v>
      </c>
      <c r="O267" t="s">
        <v>166</v>
      </c>
      <c r="P267">
        <v>3.0390625105687842E-3</v>
      </c>
      <c r="Q267" t="s">
        <v>162</v>
      </c>
      <c r="S267" t="s">
        <v>422</v>
      </c>
      <c r="T267" t="s">
        <v>166</v>
      </c>
      <c r="U267">
        <v>4.4849482690168061E-3</v>
      </c>
      <c r="V267" t="s">
        <v>162</v>
      </c>
    </row>
    <row r="268" spans="9:22" x14ac:dyDescent="0.45">
      <c r="I268" t="s">
        <v>198</v>
      </c>
      <c r="J268" t="s">
        <v>167</v>
      </c>
      <c r="K268">
        <v>0</v>
      </c>
      <c r="L268" t="s">
        <v>162</v>
      </c>
      <c r="N268" t="s">
        <v>310</v>
      </c>
      <c r="O268" t="s">
        <v>167</v>
      </c>
      <c r="P268">
        <v>1.7869946434179974E-2</v>
      </c>
      <c r="Q268" t="s">
        <v>162</v>
      </c>
      <c r="S268" t="s">
        <v>422</v>
      </c>
      <c r="T268" t="s">
        <v>167</v>
      </c>
      <c r="U268">
        <v>2.5859377397435556E-2</v>
      </c>
      <c r="V268" t="s">
        <v>162</v>
      </c>
    </row>
    <row r="269" spans="9:22" x14ac:dyDescent="0.45">
      <c r="I269" t="s">
        <v>198</v>
      </c>
      <c r="J269" t="s">
        <v>168</v>
      </c>
      <c r="K269">
        <v>3.0752219259098393E-2</v>
      </c>
      <c r="L269" t="s">
        <v>162</v>
      </c>
      <c r="N269" t="s">
        <v>310</v>
      </c>
      <c r="O269" t="s">
        <v>168</v>
      </c>
      <c r="P269">
        <v>7.8574802772854238E-2</v>
      </c>
      <c r="Q269" t="s">
        <v>162</v>
      </c>
      <c r="S269" t="s">
        <v>422</v>
      </c>
      <c r="T269" t="s">
        <v>168</v>
      </c>
      <c r="U269">
        <v>5.651193310234863E-2</v>
      </c>
      <c r="V269" t="s">
        <v>162</v>
      </c>
    </row>
    <row r="270" spans="9:22" x14ac:dyDescent="0.45">
      <c r="I270" t="s">
        <v>198</v>
      </c>
      <c r="J270" t="s">
        <v>169</v>
      </c>
      <c r="K270">
        <v>0</v>
      </c>
      <c r="L270" t="s">
        <v>162</v>
      </c>
      <c r="N270" t="s">
        <v>310</v>
      </c>
      <c r="O270" t="s">
        <v>169</v>
      </c>
      <c r="P270">
        <v>4.6421818591392671E-3</v>
      </c>
      <c r="Q270" t="s">
        <v>162</v>
      </c>
      <c r="S270" t="s">
        <v>422</v>
      </c>
      <c r="T270" t="s">
        <v>169</v>
      </c>
      <c r="U270">
        <v>2.8465959417307918E-3</v>
      </c>
      <c r="V270" t="s">
        <v>162</v>
      </c>
    </row>
    <row r="271" spans="9:22" x14ac:dyDescent="0.45">
      <c r="I271" t="s">
        <v>198</v>
      </c>
      <c r="J271" t="s">
        <v>170</v>
      </c>
      <c r="K271">
        <v>0</v>
      </c>
      <c r="L271" t="s">
        <v>162</v>
      </c>
      <c r="N271" t="s">
        <v>310</v>
      </c>
      <c r="O271" t="s">
        <v>170</v>
      </c>
      <c r="P271">
        <v>2.6583296987788236E-2</v>
      </c>
      <c r="Q271" t="s">
        <v>162</v>
      </c>
      <c r="S271" t="s">
        <v>422</v>
      </c>
      <c r="T271" t="s">
        <v>170</v>
      </c>
      <c r="U271">
        <v>1.7149805801179658E-2</v>
      </c>
      <c r="V271" t="s">
        <v>162</v>
      </c>
    </row>
    <row r="272" spans="9:22" x14ac:dyDescent="0.45">
      <c r="I272" t="s">
        <v>199</v>
      </c>
      <c r="J272" t="s">
        <v>161</v>
      </c>
      <c r="K272">
        <v>0.86632663690613565</v>
      </c>
      <c r="L272" t="s">
        <v>162</v>
      </c>
      <c r="N272" t="s">
        <v>311</v>
      </c>
      <c r="O272" t="s">
        <v>161</v>
      </c>
      <c r="P272">
        <v>0.5670261698366863</v>
      </c>
      <c r="Q272" t="s">
        <v>162</v>
      </c>
      <c r="S272" t="s">
        <v>423</v>
      </c>
      <c r="T272" t="s">
        <v>161</v>
      </c>
      <c r="U272">
        <v>0.57974290702062303</v>
      </c>
      <c r="V272" t="s">
        <v>162</v>
      </c>
    </row>
    <row r="273" spans="9:22" x14ac:dyDescent="0.45">
      <c r="I273" t="s">
        <v>199</v>
      </c>
      <c r="J273" t="s">
        <v>163</v>
      </c>
      <c r="K273">
        <v>4.2845679837635535E-2</v>
      </c>
      <c r="L273" t="s">
        <v>162</v>
      </c>
      <c r="N273" t="s">
        <v>311</v>
      </c>
      <c r="O273" t="s">
        <v>163</v>
      </c>
      <c r="P273">
        <v>3.4582948493827509E-2</v>
      </c>
      <c r="Q273" t="s">
        <v>162</v>
      </c>
      <c r="S273" t="s">
        <v>423</v>
      </c>
      <c r="T273" t="s">
        <v>163</v>
      </c>
      <c r="U273">
        <v>3.6387289898050401E-2</v>
      </c>
      <c r="V273" t="s">
        <v>162</v>
      </c>
    </row>
    <row r="274" spans="9:22" x14ac:dyDescent="0.45">
      <c r="I274" t="s">
        <v>199</v>
      </c>
      <c r="J274" t="s">
        <v>164</v>
      </c>
      <c r="K274">
        <v>4.4303488506602984E-2</v>
      </c>
      <c r="L274" t="s">
        <v>162</v>
      </c>
      <c r="N274" t="s">
        <v>311</v>
      </c>
      <c r="O274" t="s">
        <v>164</v>
      </c>
      <c r="P274">
        <v>0.23597893559211222</v>
      </c>
      <c r="Q274" t="s">
        <v>162</v>
      </c>
      <c r="S274" t="s">
        <v>423</v>
      </c>
      <c r="T274" t="s">
        <v>164</v>
      </c>
      <c r="U274">
        <v>0.21861704225697268</v>
      </c>
      <c r="V274" t="s">
        <v>162</v>
      </c>
    </row>
    <row r="275" spans="9:22" x14ac:dyDescent="0.45">
      <c r="I275" t="s">
        <v>199</v>
      </c>
      <c r="J275" t="s">
        <v>165</v>
      </c>
      <c r="K275">
        <v>2.6047785309302775E-2</v>
      </c>
      <c r="L275" t="s">
        <v>162</v>
      </c>
      <c r="N275" t="s">
        <v>311</v>
      </c>
      <c r="O275" t="s">
        <v>165</v>
      </c>
      <c r="P275">
        <v>4.1425611117575326E-2</v>
      </c>
      <c r="Q275" t="s">
        <v>162</v>
      </c>
      <c r="S275" t="s">
        <v>423</v>
      </c>
      <c r="T275" t="s">
        <v>165</v>
      </c>
      <c r="U275">
        <v>6.7816554142543325E-2</v>
      </c>
      <c r="V275" t="s">
        <v>162</v>
      </c>
    </row>
    <row r="276" spans="9:22" x14ac:dyDescent="0.45">
      <c r="I276" t="s">
        <v>199</v>
      </c>
      <c r="J276" t="s">
        <v>166</v>
      </c>
      <c r="K276">
        <v>0</v>
      </c>
      <c r="L276" t="s">
        <v>162</v>
      </c>
      <c r="N276" t="s">
        <v>311</v>
      </c>
      <c r="O276" t="s">
        <v>166</v>
      </c>
      <c r="P276">
        <v>3.0678256889342895E-3</v>
      </c>
      <c r="Q276" t="s">
        <v>162</v>
      </c>
      <c r="S276" t="s">
        <v>423</v>
      </c>
      <c r="T276" t="s">
        <v>166</v>
      </c>
      <c r="U276">
        <v>3.9664191548095425E-3</v>
      </c>
      <c r="V276" t="s">
        <v>162</v>
      </c>
    </row>
    <row r="277" spans="9:22" x14ac:dyDescent="0.45">
      <c r="I277" t="s">
        <v>199</v>
      </c>
      <c r="J277" t="s">
        <v>167</v>
      </c>
      <c r="K277">
        <v>0</v>
      </c>
      <c r="L277" t="s">
        <v>162</v>
      </c>
      <c r="N277" t="s">
        <v>311</v>
      </c>
      <c r="O277" t="s">
        <v>167</v>
      </c>
      <c r="P277">
        <v>1.582902978219276E-2</v>
      </c>
      <c r="Q277" t="s">
        <v>162</v>
      </c>
      <c r="S277" t="s">
        <v>423</v>
      </c>
      <c r="T277" t="s">
        <v>167</v>
      </c>
      <c r="U277">
        <v>2.6408462732888747E-2</v>
      </c>
      <c r="V277" t="s">
        <v>162</v>
      </c>
    </row>
    <row r="278" spans="9:22" x14ac:dyDescent="0.45">
      <c r="I278" t="s">
        <v>199</v>
      </c>
      <c r="J278" t="s">
        <v>168</v>
      </c>
      <c r="K278">
        <v>2.0476409440325947E-2</v>
      </c>
      <c r="L278" t="s">
        <v>162</v>
      </c>
      <c r="N278" t="s">
        <v>311</v>
      </c>
      <c r="O278" t="s">
        <v>168</v>
      </c>
      <c r="P278">
        <v>7.265751381269453E-2</v>
      </c>
      <c r="Q278" t="s">
        <v>162</v>
      </c>
      <c r="S278" t="s">
        <v>423</v>
      </c>
      <c r="T278" t="s">
        <v>168</v>
      </c>
      <c r="U278">
        <v>4.703813657662561E-2</v>
      </c>
      <c r="V278" t="s">
        <v>162</v>
      </c>
    </row>
    <row r="279" spans="9:22" x14ac:dyDescent="0.45">
      <c r="I279" t="s">
        <v>199</v>
      </c>
      <c r="J279" t="s">
        <v>169</v>
      </c>
      <c r="K279">
        <v>0</v>
      </c>
      <c r="L279" t="s">
        <v>162</v>
      </c>
      <c r="N279" t="s">
        <v>311</v>
      </c>
      <c r="O279" t="s">
        <v>169</v>
      </c>
      <c r="P279">
        <v>4.1043569176698455E-3</v>
      </c>
      <c r="Q279" t="s">
        <v>162</v>
      </c>
      <c r="S279" t="s">
        <v>423</v>
      </c>
      <c r="T279" t="s">
        <v>169</v>
      </c>
      <c r="U279">
        <v>2.813673539585052E-3</v>
      </c>
      <c r="V279" t="s">
        <v>162</v>
      </c>
    </row>
    <row r="280" spans="9:22" x14ac:dyDescent="0.45">
      <c r="I280" t="s">
        <v>199</v>
      </c>
      <c r="J280" t="s">
        <v>170</v>
      </c>
      <c r="K280">
        <v>0</v>
      </c>
      <c r="L280" t="s">
        <v>162</v>
      </c>
      <c r="N280" t="s">
        <v>311</v>
      </c>
      <c r="O280" t="s">
        <v>170</v>
      </c>
      <c r="P280">
        <v>2.5327608758305826E-2</v>
      </c>
      <c r="Q280" t="s">
        <v>162</v>
      </c>
      <c r="S280" t="s">
        <v>423</v>
      </c>
      <c r="T280" t="s">
        <v>170</v>
      </c>
      <c r="U280">
        <v>1.7209514677899659E-2</v>
      </c>
      <c r="V280" t="s">
        <v>162</v>
      </c>
    </row>
    <row r="281" spans="9:22" x14ac:dyDescent="0.45">
      <c r="I281" t="s">
        <v>200</v>
      </c>
      <c r="J281" t="s">
        <v>161</v>
      </c>
      <c r="K281">
        <v>0.87066939030578172</v>
      </c>
      <c r="L281" t="s">
        <v>162</v>
      </c>
      <c r="N281" t="s">
        <v>312</v>
      </c>
      <c r="O281" t="s">
        <v>161</v>
      </c>
      <c r="P281">
        <v>0.56244813558769013</v>
      </c>
      <c r="Q281" t="s">
        <v>162</v>
      </c>
      <c r="S281" t="s">
        <v>424</v>
      </c>
      <c r="T281" t="s">
        <v>161</v>
      </c>
      <c r="U281">
        <v>0.59837786199104048</v>
      </c>
      <c r="V281" t="s">
        <v>162</v>
      </c>
    </row>
    <row r="282" spans="9:22" x14ac:dyDescent="0.45">
      <c r="I282" t="s">
        <v>200</v>
      </c>
      <c r="J282" t="s">
        <v>163</v>
      </c>
      <c r="K282">
        <v>4.6570969548381996E-2</v>
      </c>
      <c r="L282" t="s">
        <v>162</v>
      </c>
      <c r="N282" t="s">
        <v>312</v>
      </c>
      <c r="O282" t="s">
        <v>163</v>
      </c>
      <c r="P282">
        <v>3.3861451378873218E-2</v>
      </c>
      <c r="Q282" t="s">
        <v>162</v>
      </c>
      <c r="S282" t="s">
        <v>424</v>
      </c>
      <c r="T282" t="s">
        <v>163</v>
      </c>
      <c r="U282">
        <v>3.4914550733704627E-2</v>
      </c>
      <c r="V282" t="s">
        <v>162</v>
      </c>
    </row>
    <row r="283" spans="9:22" x14ac:dyDescent="0.45">
      <c r="I283" t="s">
        <v>200</v>
      </c>
      <c r="J283" t="s">
        <v>164</v>
      </c>
      <c r="K283">
        <v>5.002175495328539E-2</v>
      </c>
      <c r="L283" t="s">
        <v>162</v>
      </c>
      <c r="N283" t="s">
        <v>312</v>
      </c>
      <c r="O283" t="s">
        <v>164</v>
      </c>
      <c r="P283">
        <v>0.22638701974085085</v>
      </c>
      <c r="Q283" t="s">
        <v>162</v>
      </c>
      <c r="S283" t="s">
        <v>424</v>
      </c>
      <c r="T283" t="s">
        <v>164</v>
      </c>
      <c r="U283">
        <v>0.21070090878519768</v>
      </c>
      <c r="V283" t="s">
        <v>162</v>
      </c>
    </row>
    <row r="284" spans="9:22" x14ac:dyDescent="0.45">
      <c r="I284" t="s">
        <v>200</v>
      </c>
      <c r="J284" t="s">
        <v>165</v>
      </c>
      <c r="K284">
        <v>2.2431124125168553E-2</v>
      </c>
      <c r="L284" t="s">
        <v>162</v>
      </c>
      <c r="N284" t="s">
        <v>312</v>
      </c>
      <c r="O284" t="s">
        <v>165</v>
      </c>
      <c r="P284">
        <v>5.2133500463293694E-2</v>
      </c>
      <c r="Q284" t="s">
        <v>162</v>
      </c>
      <c r="S284" t="s">
        <v>424</v>
      </c>
      <c r="T284" t="s">
        <v>165</v>
      </c>
      <c r="U284">
        <v>6.3588472093729503E-2</v>
      </c>
      <c r="V284" t="s">
        <v>162</v>
      </c>
    </row>
    <row r="285" spans="9:22" x14ac:dyDescent="0.45">
      <c r="I285" t="s">
        <v>200</v>
      </c>
      <c r="J285" t="s">
        <v>166</v>
      </c>
      <c r="K285">
        <v>0</v>
      </c>
      <c r="L285" t="s">
        <v>162</v>
      </c>
      <c r="N285" t="s">
        <v>312</v>
      </c>
      <c r="O285" t="s">
        <v>166</v>
      </c>
      <c r="P285">
        <v>3.6101119774900768E-3</v>
      </c>
      <c r="Q285" t="s">
        <v>162</v>
      </c>
      <c r="S285" t="s">
        <v>424</v>
      </c>
      <c r="T285" t="s">
        <v>166</v>
      </c>
      <c r="U285">
        <v>3.9140168104436369E-3</v>
      </c>
      <c r="V285" t="s">
        <v>162</v>
      </c>
    </row>
    <row r="286" spans="9:22" x14ac:dyDescent="0.45">
      <c r="I286" t="s">
        <v>200</v>
      </c>
      <c r="J286" t="s">
        <v>167</v>
      </c>
      <c r="K286">
        <v>0</v>
      </c>
      <c r="L286" t="s">
        <v>162</v>
      </c>
      <c r="N286" t="s">
        <v>312</v>
      </c>
      <c r="O286" t="s">
        <v>167</v>
      </c>
      <c r="P286">
        <v>1.9551477936843732E-2</v>
      </c>
      <c r="Q286" t="s">
        <v>162</v>
      </c>
      <c r="S286" t="s">
        <v>424</v>
      </c>
      <c r="T286" t="s">
        <v>167</v>
      </c>
      <c r="U286">
        <v>2.3598694404747038E-2</v>
      </c>
      <c r="V286" t="s">
        <v>162</v>
      </c>
    </row>
    <row r="287" spans="9:22" x14ac:dyDescent="0.45">
      <c r="I287" t="s">
        <v>200</v>
      </c>
      <c r="J287" t="s">
        <v>168</v>
      </c>
      <c r="K287">
        <v>1.0306761067382807E-2</v>
      </c>
      <c r="L287" t="s">
        <v>162</v>
      </c>
      <c r="N287" t="s">
        <v>312</v>
      </c>
      <c r="O287" t="s">
        <v>168</v>
      </c>
      <c r="P287">
        <v>7.3360419083380424E-2</v>
      </c>
      <c r="Q287" t="s">
        <v>162</v>
      </c>
      <c r="S287" t="s">
        <v>424</v>
      </c>
      <c r="T287" t="s">
        <v>168</v>
      </c>
      <c r="U287">
        <v>4.825876247160249E-2</v>
      </c>
      <c r="V287" t="s">
        <v>162</v>
      </c>
    </row>
    <row r="288" spans="9:22" x14ac:dyDescent="0.45">
      <c r="I288" t="s">
        <v>200</v>
      </c>
      <c r="J288" t="s">
        <v>169</v>
      </c>
      <c r="K288">
        <v>0</v>
      </c>
      <c r="L288" t="s">
        <v>162</v>
      </c>
      <c r="N288" t="s">
        <v>312</v>
      </c>
      <c r="O288" t="s">
        <v>169</v>
      </c>
      <c r="P288">
        <v>3.9378495748869256E-3</v>
      </c>
      <c r="Q288" t="s">
        <v>162</v>
      </c>
      <c r="S288" t="s">
        <v>424</v>
      </c>
      <c r="T288" t="s">
        <v>169</v>
      </c>
      <c r="U288">
        <v>2.3923081779988406E-3</v>
      </c>
      <c r="V288" t="s">
        <v>162</v>
      </c>
    </row>
    <row r="289" spans="9:22" x14ac:dyDescent="0.45">
      <c r="I289" t="s">
        <v>200</v>
      </c>
      <c r="J289" t="s">
        <v>170</v>
      </c>
      <c r="K289">
        <v>0</v>
      </c>
      <c r="L289" t="s">
        <v>162</v>
      </c>
      <c r="N289" t="s">
        <v>312</v>
      </c>
      <c r="O289" t="s">
        <v>170</v>
      </c>
      <c r="P289">
        <v>2.4710034256693693E-2</v>
      </c>
      <c r="Q289" t="s">
        <v>162</v>
      </c>
      <c r="S289" t="s">
        <v>424</v>
      </c>
      <c r="T289" t="s">
        <v>170</v>
      </c>
      <c r="U289">
        <v>1.4254424531536721E-2</v>
      </c>
      <c r="V289" t="s">
        <v>162</v>
      </c>
    </row>
    <row r="290" spans="9:22" x14ac:dyDescent="0.45">
      <c r="I290" t="s">
        <v>201</v>
      </c>
      <c r="J290" t="s">
        <v>161</v>
      </c>
      <c r="K290">
        <v>0.85462000710407826</v>
      </c>
      <c r="L290" t="s">
        <v>162</v>
      </c>
      <c r="N290" t="s">
        <v>313</v>
      </c>
      <c r="O290" t="s">
        <v>161</v>
      </c>
      <c r="P290">
        <v>0.53497648011282839</v>
      </c>
      <c r="Q290" t="s">
        <v>162</v>
      </c>
      <c r="S290" t="s">
        <v>425</v>
      </c>
      <c r="T290" t="s">
        <v>161</v>
      </c>
      <c r="U290">
        <v>0.59237511659779096</v>
      </c>
      <c r="V290" t="s">
        <v>162</v>
      </c>
    </row>
    <row r="291" spans="9:22" x14ac:dyDescent="0.45">
      <c r="I291" t="s">
        <v>201</v>
      </c>
      <c r="J291" t="s">
        <v>163</v>
      </c>
      <c r="K291">
        <v>4.4937723527355825E-2</v>
      </c>
      <c r="L291" t="s">
        <v>162</v>
      </c>
      <c r="N291" t="s">
        <v>313</v>
      </c>
      <c r="O291" t="s">
        <v>163</v>
      </c>
      <c r="P291">
        <v>3.5563239793940646E-2</v>
      </c>
      <c r="Q291" t="s">
        <v>162</v>
      </c>
      <c r="S291" t="s">
        <v>425</v>
      </c>
      <c r="T291" t="s">
        <v>163</v>
      </c>
      <c r="U291">
        <v>3.4052525433261885E-2</v>
      </c>
      <c r="V291" t="s">
        <v>162</v>
      </c>
    </row>
    <row r="292" spans="9:22" x14ac:dyDescent="0.45">
      <c r="I292" t="s">
        <v>201</v>
      </c>
      <c r="J292" t="s">
        <v>164</v>
      </c>
      <c r="K292">
        <v>4.8803727722895485E-2</v>
      </c>
      <c r="L292" t="s">
        <v>162</v>
      </c>
      <c r="N292" t="s">
        <v>313</v>
      </c>
      <c r="O292" t="s">
        <v>164</v>
      </c>
      <c r="P292">
        <v>0.19864659509715496</v>
      </c>
      <c r="Q292" t="s">
        <v>162</v>
      </c>
      <c r="S292" t="s">
        <v>425</v>
      </c>
      <c r="T292" t="s">
        <v>164</v>
      </c>
      <c r="U292">
        <v>0.20889030022105828</v>
      </c>
      <c r="V292" t="s">
        <v>162</v>
      </c>
    </row>
    <row r="293" spans="9:22" x14ac:dyDescent="0.45">
      <c r="I293" t="s">
        <v>201</v>
      </c>
      <c r="J293" t="s">
        <v>165</v>
      </c>
      <c r="K293">
        <v>2.5048299914629594E-2</v>
      </c>
      <c r="L293" t="s">
        <v>162</v>
      </c>
      <c r="N293" t="s">
        <v>313</v>
      </c>
      <c r="O293" t="s">
        <v>165</v>
      </c>
      <c r="P293">
        <v>5.8785342150962809E-2</v>
      </c>
      <c r="Q293" t="s">
        <v>162</v>
      </c>
      <c r="S293" t="s">
        <v>425</v>
      </c>
      <c r="T293" t="s">
        <v>165</v>
      </c>
      <c r="U293">
        <v>6.3998124954480137E-2</v>
      </c>
      <c r="V293" t="s">
        <v>162</v>
      </c>
    </row>
    <row r="294" spans="9:22" x14ac:dyDescent="0.45">
      <c r="I294" t="s">
        <v>201</v>
      </c>
      <c r="J294" t="s">
        <v>166</v>
      </c>
      <c r="K294">
        <v>0</v>
      </c>
      <c r="L294" t="s">
        <v>162</v>
      </c>
      <c r="N294" t="s">
        <v>313</v>
      </c>
      <c r="O294" t="s">
        <v>166</v>
      </c>
      <c r="P294">
        <v>4.5219498676322776E-3</v>
      </c>
      <c r="Q294" t="s">
        <v>162</v>
      </c>
      <c r="S294" t="s">
        <v>425</v>
      </c>
      <c r="T294" t="s">
        <v>166</v>
      </c>
      <c r="U294">
        <v>3.8388924394188793E-3</v>
      </c>
      <c r="V294" t="s">
        <v>162</v>
      </c>
    </row>
    <row r="295" spans="9:22" x14ac:dyDescent="0.45">
      <c r="I295" t="s">
        <v>201</v>
      </c>
      <c r="J295" t="s">
        <v>167</v>
      </c>
      <c r="K295">
        <v>0</v>
      </c>
      <c r="L295" t="s">
        <v>162</v>
      </c>
      <c r="N295" t="s">
        <v>313</v>
      </c>
      <c r="O295" t="s">
        <v>167</v>
      </c>
      <c r="P295">
        <v>2.5521866069920608E-2</v>
      </c>
      <c r="Q295" t="s">
        <v>162</v>
      </c>
      <c r="S295" t="s">
        <v>425</v>
      </c>
      <c r="T295" t="s">
        <v>167</v>
      </c>
      <c r="U295">
        <v>2.2016951658149476E-2</v>
      </c>
      <c r="V295" t="s">
        <v>162</v>
      </c>
    </row>
    <row r="296" spans="9:22" x14ac:dyDescent="0.45">
      <c r="I296" t="s">
        <v>201</v>
      </c>
      <c r="J296" t="s">
        <v>168</v>
      </c>
      <c r="K296">
        <v>2.6590241731043698E-2</v>
      </c>
      <c r="L296" t="s">
        <v>162</v>
      </c>
      <c r="N296" t="s">
        <v>313</v>
      </c>
      <c r="O296" t="s">
        <v>168</v>
      </c>
      <c r="P296">
        <v>0.10048037593999712</v>
      </c>
      <c r="Q296" t="s">
        <v>162</v>
      </c>
      <c r="S296" t="s">
        <v>425</v>
      </c>
      <c r="T296" t="s">
        <v>168</v>
      </c>
      <c r="U296">
        <v>5.3595094194915323E-2</v>
      </c>
      <c r="V296" t="s">
        <v>162</v>
      </c>
    </row>
    <row r="297" spans="9:22" x14ac:dyDescent="0.45">
      <c r="I297" t="s">
        <v>201</v>
      </c>
      <c r="J297" t="s">
        <v>169</v>
      </c>
      <c r="K297">
        <v>0</v>
      </c>
      <c r="L297" t="s">
        <v>162</v>
      </c>
      <c r="N297" t="s">
        <v>313</v>
      </c>
      <c r="O297" t="s">
        <v>169</v>
      </c>
      <c r="P297">
        <v>5.6203663422346416E-3</v>
      </c>
      <c r="Q297" t="s">
        <v>162</v>
      </c>
      <c r="S297" t="s">
        <v>425</v>
      </c>
      <c r="T297" t="s">
        <v>169</v>
      </c>
      <c r="U297">
        <v>2.9229093607416965E-3</v>
      </c>
      <c r="V297" t="s">
        <v>162</v>
      </c>
    </row>
    <row r="298" spans="9:22" x14ac:dyDescent="0.45">
      <c r="I298" t="s">
        <v>201</v>
      </c>
      <c r="J298" t="s">
        <v>170</v>
      </c>
      <c r="K298">
        <v>0</v>
      </c>
      <c r="L298" t="s">
        <v>162</v>
      </c>
      <c r="N298" t="s">
        <v>313</v>
      </c>
      <c r="O298" t="s">
        <v>170</v>
      </c>
      <c r="P298">
        <v>3.5883784625329096E-2</v>
      </c>
      <c r="Q298" t="s">
        <v>162</v>
      </c>
      <c r="S298" t="s">
        <v>425</v>
      </c>
      <c r="T298" t="s">
        <v>170</v>
      </c>
      <c r="U298">
        <v>1.8310085140184035E-2</v>
      </c>
      <c r="V298" t="s">
        <v>162</v>
      </c>
    </row>
    <row r="299" spans="9:22" x14ac:dyDescent="0.45">
      <c r="I299" t="s">
        <v>202</v>
      </c>
      <c r="J299" t="s">
        <v>161</v>
      </c>
      <c r="K299">
        <v>0.85380316410154733</v>
      </c>
      <c r="L299" t="s">
        <v>162</v>
      </c>
      <c r="N299" t="s">
        <v>314</v>
      </c>
      <c r="O299" t="s">
        <v>161</v>
      </c>
      <c r="P299">
        <v>0.50294996248061563</v>
      </c>
      <c r="Q299" t="s">
        <v>162</v>
      </c>
      <c r="S299" t="s">
        <v>426</v>
      </c>
      <c r="T299" t="s">
        <v>161</v>
      </c>
      <c r="U299">
        <v>0.58693299500482476</v>
      </c>
      <c r="V299" t="s">
        <v>162</v>
      </c>
    </row>
    <row r="300" spans="9:22" x14ac:dyDescent="0.45">
      <c r="I300" t="s">
        <v>202</v>
      </c>
      <c r="J300" t="s">
        <v>163</v>
      </c>
      <c r="K300">
        <v>4.7232070643054923E-2</v>
      </c>
      <c r="L300" t="s">
        <v>162</v>
      </c>
      <c r="N300" t="s">
        <v>314</v>
      </c>
      <c r="O300" t="s">
        <v>163</v>
      </c>
      <c r="P300">
        <v>3.6155755475281909E-2</v>
      </c>
      <c r="Q300" t="s">
        <v>162</v>
      </c>
      <c r="S300" t="s">
        <v>426</v>
      </c>
      <c r="T300" t="s">
        <v>163</v>
      </c>
      <c r="U300">
        <v>3.4435323984367917E-2</v>
      </c>
      <c r="V300" t="s">
        <v>162</v>
      </c>
    </row>
    <row r="301" spans="9:22" x14ac:dyDescent="0.45">
      <c r="I301" t="s">
        <v>202</v>
      </c>
      <c r="J301" t="s">
        <v>164</v>
      </c>
      <c r="K301">
        <v>5.359803880307798E-2</v>
      </c>
      <c r="L301" t="s">
        <v>162</v>
      </c>
      <c r="N301" t="s">
        <v>314</v>
      </c>
      <c r="O301" t="s">
        <v>164</v>
      </c>
      <c r="P301">
        <v>0.21076171144348207</v>
      </c>
      <c r="Q301" t="s">
        <v>162</v>
      </c>
      <c r="S301" t="s">
        <v>426</v>
      </c>
      <c r="T301" t="s">
        <v>164</v>
      </c>
      <c r="U301">
        <v>0.20875795129320057</v>
      </c>
      <c r="V301" t="s">
        <v>162</v>
      </c>
    </row>
    <row r="302" spans="9:22" x14ac:dyDescent="0.45">
      <c r="I302" t="s">
        <v>202</v>
      </c>
      <c r="J302" t="s">
        <v>165</v>
      </c>
      <c r="K302">
        <v>2.5110476078662795E-2</v>
      </c>
      <c r="L302" t="s">
        <v>162</v>
      </c>
      <c r="N302" t="s">
        <v>314</v>
      </c>
      <c r="O302" t="s">
        <v>165</v>
      </c>
      <c r="P302">
        <v>5.8350512346166492E-2</v>
      </c>
      <c r="Q302" t="s">
        <v>162</v>
      </c>
      <c r="S302" t="s">
        <v>426</v>
      </c>
      <c r="T302" t="s">
        <v>165</v>
      </c>
      <c r="U302">
        <v>6.2157381600307038E-2</v>
      </c>
      <c r="V302" t="s">
        <v>162</v>
      </c>
    </row>
    <row r="303" spans="9:22" x14ac:dyDescent="0.45">
      <c r="I303" t="s">
        <v>202</v>
      </c>
      <c r="J303" t="s">
        <v>166</v>
      </c>
      <c r="K303">
        <v>0</v>
      </c>
      <c r="L303" t="s">
        <v>162</v>
      </c>
      <c r="N303" t="s">
        <v>314</v>
      </c>
      <c r="O303" t="s">
        <v>166</v>
      </c>
      <c r="P303">
        <v>4.0141093834836911E-3</v>
      </c>
      <c r="Q303" t="s">
        <v>162</v>
      </c>
      <c r="S303" t="s">
        <v>426</v>
      </c>
      <c r="T303" t="s">
        <v>166</v>
      </c>
      <c r="U303">
        <v>3.9339208187722215E-3</v>
      </c>
      <c r="V303" t="s">
        <v>162</v>
      </c>
    </row>
    <row r="304" spans="9:22" x14ac:dyDescent="0.45">
      <c r="I304" t="s">
        <v>202</v>
      </c>
      <c r="J304" t="s">
        <v>167</v>
      </c>
      <c r="K304">
        <v>0</v>
      </c>
      <c r="L304" t="s">
        <v>162</v>
      </c>
      <c r="N304" t="s">
        <v>314</v>
      </c>
      <c r="O304" t="s">
        <v>167</v>
      </c>
      <c r="P304">
        <v>2.4366880514024275E-2</v>
      </c>
      <c r="Q304" t="s">
        <v>162</v>
      </c>
      <c r="S304" t="s">
        <v>426</v>
      </c>
      <c r="T304" t="s">
        <v>167</v>
      </c>
      <c r="U304">
        <v>2.2807448940447502E-2</v>
      </c>
      <c r="V304" t="s">
        <v>162</v>
      </c>
    </row>
    <row r="305" spans="9:22" x14ac:dyDescent="0.45">
      <c r="I305" t="s">
        <v>202</v>
      </c>
      <c r="J305" t="s">
        <v>168</v>
      </c>
      <c r="K305">
        <v>2.0256250373655933E-2</v>
      </c>
      <c r="L305" t="s">
        <v>162</v>
      </c>
      <c r="N305" t="s">
        <v>314</v>
      </c>
      <c r="O305" t="s">
        <v>168</v>
      </c>
      <c r="P305">
        <v>0.11400515789004627</v>
      </c>
      <c r="Q305" t="s">
        <v>162</v>
      </c>
      <c r="S305" t="s">
        <v>426</v>
      </c>
      <c r="T305" t="s">
        <v>168</v>
      </c>
      <c r="U305">
        <v>5.7722651355372183E-2</v>
      </c>
      <c r="V305" t="s">
        <v>162</v>
      </c>
    </row>
    <row r="306" spans="9:22" x14ac:dyDescent="0.45">
      <c r="I306" t="s">
        <v>202</v>
      </c>
      <c r="J306" t="s">
        <v>169</v>
      </c>
      <c r="K306">
        <v>0</v>
      </c>
      <c r="L306" t="s">
        <v>162</v>
      </c>
      <c r="N306" t="s">
        <v>314</v>
      </c>
      <c r="O306" t="s">
        <v>169</v>
      </c>
      <c r="P306">
        <v>6.9069585617220998E-3</v>
      </c>
      <c r="Q306" t="s">
        <v>162</v>
      </c>
      <c r="S306" t="s">
        <v>426</v>
      </c>
      <c r="T306" t="s">
        <v>169</v>
      </c>
      <c r="U306">
        <v>3.3199928748093382E-3</v>
      </c>
      <c r="V306" t="s">
        <v>162</v>
      </c>
    </row>
    <row r="307" spans="9:22" x14ac:dyDescent="0.45">
      <c r="I307" t="s">
        <v>202</v>
      </c>
      <c r="J307" t="s">
        <v>170</v>
      </c>
      <c r="K307">
        <v>0</v>
      </c>
      <c r="L307" t="s">
        <v>162</v>
      </c>
      <c r="N307" t="s">
        <v>314</v>
      </c>
      <c r="O307" t="s">
        <v>170</v>
      </c>
      <c r="P307">
        <v>4.2488951905178193E-2</v>
      </c>
      <c r="Q307" t="s">
        <v>162</v>
      </c>
      <c r="S307" t="s">
        <v>426</v>
      </c>
      <c r="T307" t="s">
        <v>170</v>
      </c>
      <c r="U307">
        <v>1.9932334127897026E-2</v>
      </c>
      <c r="V307" t="s">
        <v>162</v>
      </c>
    </row>
    <row r="308" spans="9:22" x14ac:dyDescent="0.45">
      <c r="I308" t="s">
        <v>203</v>
      </c>
      <c r="J308" t="s">
        <v>161</v>
      </c>
      <c r="K308">
        <v>0.81067432218477053</v>
      </c>
      <c r="L308" t="s">
        <v>162</v>
      </c>
      <c r="N308" t="s">
        <v>315</v>
      </c>
      <c r="O308" t="s">
        <v>161</v>
      </c>
      <c r="P308">
        <v>0.55062197770749199</v>
      </c>
      <c r="Q308" t="s">
        <v>162</v>
      </c>
      <c r="S308" t="s">
        <v>427</v>
      </c>
      <c r="T308" t="s">
        <v>161</v>
      </c>
      <c r="U308">
        <v>0.55672263792203858</v>
      </c>
      <c r="V308" t="s">
        <v>162</v>
      </c>
    </row>
    <row r="309" spans="9:22" x14ac:dyDescent="0.45">
      <c r="I309" t="s">
        <v>203</v>
      </c>
      <c r="J309" t="s">
        <v>163</v>
      </c>
      <c r="K309">
        <v>6.2219609958707303E-2</v>
      </c>
      <c r="L309" t="s">
        <v>162</v>
      </c>
      <c r="N309" t="s">
        <v>315</v>
      </c>
      <c r="O309" t="s">
        <v>163</v>
      </c>
      <c r="P309">
        <v>3.775588831899894E-2</v>
      </c>
      <c r="Q309" t="s">
        <v>162</v>
      </c>
      <c r="S309" t="s">
        <v>427</v>
      </c>
      <c r="T309" t="s">
        <v>163</v>
      </c>
      <c r="U309">
        <v>3.2690655858312545E-2</v>
      </c>
      <c r="V309" t="s">
        <v>162</v>
      </c>
    </row>
    <row r="310" spans="9:22" x14ac:dyDescent="0.45">
      <c r="I310" t="s">
        <v>203</v>
      </c>
      <c r="J310" t="s">
        <v>164</v>
      </c>
      <c r="K310">
        <v>9.047812625842086E-2</v>
      </c>
      <c r="L310" t="s">
        <v>162</v>
      </c>
      <c r="N310" t="s">
        <v>315</v>
      </c>
      <c r="O310" t="s">
        <v>164</v>
      </c>
      <c r="P310">
        <v>0.20354293116378167</v>
      </c>
      <c r="Q310" t="s">
        <v>162</v>
      </c>
      <c r="S310" t="s">
        <v>427</v>
      </c>
      <c r="T310" t="s">
        <v>164</v>
      </c>
      <c r="U310">
        <v>0.20075136940407609</v>
      </c>
      <c r="V310" t="s">
        <v>162</v>
      </c>
    </row>
    <row r="311" spans="9:22" x14ac:dyDescent="0.45">
      <c r="I311" t="s">
        <v>203</v>
      </c>
      <c r="J311" t="s">
        <v>165</v>
      </c>
      <c r="K311">
        <v>2.3792711625251279E-2</v>
      </c>
      <c r="L311" t="s">
        <v>162</v>
      </c>
      <c r="N311" t="s">
        <v>315</v>
      </c>
      <c r="O311" t="s">
        <v>165</v>
      </c>
      <c r="P311">
        <v>7.5369991521847896E-2</v>
      </c>
      <c r="Q311" t="s">
        <v>162</v>
      </c>
      <c r="S311" t="s">
        <v>427</v>
      </c>
      <c r="T311" t="s">
        <v>165</v>
      </c>
      <c r="U311">
        <v>7.8908837716207492E-2</v>
      </c>
      <c r="V311" t="s">
        <v>162</v>
      </c>
    </row>
    <row r="312" spans="9:22" x14ac:dyDescent="0.45">
      <c r="I312" t="s">
        <v>203</v>
      </c>
      <c r="J312" t="s">
        <v>166</v>
      </c>
      <c r="K312">
        <v>0</v>
      </c>
      <c r="L312" t="s">
        <v>162</v>
      </c>
      <c r="N312" t="s">
        <v>315</v>
      </c>
      <c r="O312" t="s">
        <v>166</v>
      </c>
      <c r="P312">
        <v>4.5801393448108036E-3</v>
      </c>
      <c r="Q312" t="s">
        <v>162</v>
      </c>
      <c r="S312" t="s">
        <v>427</v>
      </c>
      <c r="T312" t="s">
        <v>166</v>
      </c>
      <c r="U312">
        <v>4.7887816117307422E-3</v>
      </c>
      <c r="V312" t="s">
        <v>162</v>
      </c>
    </row>
    <row r="313" spans="9:22" x14ac:dyDescent="0.45">
      <c r="I313" t="s">
        <v>203</v>
      </c>
      <c r="J313" t="s">
        <v>167</v>
      </c>
      <c r="K313">
        <v>0</v>
      </c>
      <c r="L313" t="s">
        <v>162</v>
      </c>
      <c r="N313" t="s">
        <v>315</v>
      </c>
      <c r="O313" t="s">
        <v>167</v>
      </c>
      <c r="P313">
        <v>2.7861887462734703E-2</v>
      </c>
      <c r="Q313" t="s">
        <v>162</v>
      </c>
      <c r="S313" t="s">
        <v>427</v>
      </c>
      <c r="T313" t="s">
        <v>167</v>
      </c>
      <c r="U313">
        <v>2.8624254269696243E-2</v>
      </c>
      <c r="V313" t="s">
        <v>162</v>
      </c>
    </row>
    <row r="314" spans="9:22" x14ac:dyDescent="0.45">
      <c r="I314" t="s">
        <v>203</v>
      </c>
      <c r="J314" t="s">
        <v>168</v>
      </c>
      <c r="K314">
        <v>1.2835229972846534E-2</v>
      </c>
      <c r="L314" t="s">
        <v>162</v>
      </c>
      <c r="N314" t="s">
        <v>315</v>
      </c>
      <c r="O314" t="s">
        <v>168</v>
      </c>
      <c r="P314">
        <v>6.955062448915518E-2</v>
      </c>
      <c r="Q314" t="s">
        <v>162</v>
      </c>
      <c r="S314" t="s">
        <v>427</v>
      </c>
      <c r="T314" t="s">
        <v>168</v>
      </c>
      <c r="U314">
        <v>7.0141334165418318E-2</v>
      </c>
      <c r="V314" t="s">
        <v>162</v>
      </c>
    </row>
    <row r="315" spans="9:22" x14ac:dyDescent="0.45">
      <c r="I315" t="s">
        <v>203</v>
      </c>
      <c r="J315" t="s">
        <v>169</v>
      </c>
      <c r="K315">
        <v>0</v>
      </c>
      <c r="L315" t="s">
        <v>162</v>
      </c>
      <c r="N315" t="s">
        <v>315</v>
      </c>
      <c r="O315" t="s">
        <v>169</v>
      </c>
      <c r="P315">
        <v>4.3829854248767777E-3</v>
      </c>
      <c r="Q315" t="s">
        <v>162</v>
      </c>
      <c r="S315" t="s">
        <v>427</v>
      </c>
      <c r="T315" t="s">
        <v>169</v>
      </c>
      <c r="U315">
        <v>3.9363631401758926E-3</v>
      </c>
      <c r="V315" t="s">
        <v>162</v>
      </c>
    </row>
    <row r="316" spans="9:22" x14ac:dyDescent="0.45">
      <c r="I316" t="s">
        <v>203</v>
      </c>
      <c r="J316" t="s">
        <v>170</v>
      </c>
      <c r="K316">
        <v>0</v>
      </c>
      <c r="L316" t="s">
        <v>162</v>
      </c>
      <c r="N316" t="s">
        <v>315</v>
      </c>
      <c r="O316" t="s">
        <v>170</v>
      </c>
      <c r="P316">
        <v>2.6333574566301362E-2</v>
      </c>
      <c r="Q316" t="s">
        <v>162</v>
      </c>
      <c r="S316" t="s">
        <v>427</v>
      </c>
      <c r="T316" t="s">
        <v>170</v>
      </c>
      <c r="U316">
        <v>2.3435765912340627E-2</v>
      </c>
      <c r="V316" t="s">
        <v>162</v>
      </c>
    </row>
    <row r="317" spans="9:22" x14ac:dyDescent="0.45">
      <c r="I317" t="s">
        <v>204</v>
      </c>
      <c r="J317" t="s">
        <v>161</v>
      </c>
      <c r="K317">
        <v>0.83130359925149844</v>
      </c>
      <c r="L317" t="s">
        <v>162</v>
      </c>
      <c r="N317" t="s">
        <v>316</v>
      </c>
      <c r="O317" t="s">
        <v>161</v>
      </c>
      <c r="P317">
        <v>0.53845222854433672</v>
      </c>
      <c r="Q317" t="s">
        <v>162</v>
      </c>
      <c r="S317" t="s">
        <v>428</v>
      </c>
      <c r="T317" t="s">
        <v>161</v>
      </c>
      <c r="U317">
        <v>0.56001858634565782</v>
      </c>
      <c r="V317" t="s">
        <v>162</v>
      </c>
    </row>
    <row r="318" spans="9:22" x14ac:dyDescent="0.45">
      <c r="I318" t="s">
        <v>204</v>
      </c>
      <c r="J318" t="s">
        <v>163</v>
      </c>
      <c r="K318">
        <v>5.6860572594635304E-2</v>
      </c>
      <c r="L318" t="s">
        <v>162</v>
      </c>
      <c r="N318" t="s">
        <v>316</v>
      </c>
      <c r="O318" t="s">
        <v>163</v>
      </c>
      <c r="P318">
        <v>3.3647724101935027E-2</v>
      </c>
      <c r="Q318" t="s">
        <v>162</v>
      </c>
      <c r="S318" t="s">
        <v>428</v>
      </c>
      <c r="T318" t="s">
        <v>163</v>
      </c>
      <c r="U318">
        <v>3.1863495075552591E-2</v>
      </c>
      <c r="V318" t="s">
        <v>162</v>
      </c>
    </row>
    <row r="319" spans="9:22" x14ac:dyDescent="0.45">
      <c r="I319" t="s">
        <v>204</v>
      </c>
      <c r="J319" t="s">
        <v>164</v>
      </c>
      <c r="K319">
        <v>6.175881152813046E-2</v>
      </c>
      <c r="L319" t="s">
        <v>162</v>
      </c>
      <c r="N319" t="s">
        <v>316</v>
      </c>
      <c r="O319" t="s">
        <v>164</v>
      </c>
      <c r="P319">
        <v>0.19549119811834367</v>
      </c>
      <c r="Q319" t="s">
        <v>162</v>
      </c>
      <c r="S319" t="s">
        <v>428</v>
      </c>
      <c r="T319" t="s">
        <v>164</v>
      </c>
      <c r="U319">
        <v>0.19784264340834998</v>
      </c>
      <c r="V319" t="s">
        <v>162</v>
      </c>
    </row>
    <row r="320" spans="9:22" x14ac:dyDescent="0.45">
      <c r="I320" t="s">
        <v>204</v>
      </c>
      <c r="J320" t="s">
        <v>165</v>
      </c>
      <c r="K320">
        <v>3.0501527028877182E-2</v>
      </c>
      <c r="L320" t="s">
        <v>162</v>
      </c>
      <c r="N320" t="s">
        <v>316</v>
      </c>
      <c r="O320" t="s">
        <v>165</v>
      </c>
      <c r="P320">
        <v>7.57462688074938E-2</v>
      </c>
      <c r="Q320" t="s">
        <v>162</v>
      </c>
      <c r="S320" t="s">
        <v>428</v>
      </c>
      <c r="T320" t="s">
        <v>165</v>
      </c>
      <c r="U320">
        <v>7.9269337541057833E-2</v>
      </c>
      <c r="V320" t="s">
        <v>162</v>
      </c>
    </row>
    <row r="321" spans="9:22" x14ac:dyDescent="0.45">
      <c r="I321" t="s">
        <v>204</v>
      </c>
      <c r="J321" t="s">
        <v>166</v>
      </c>
      <c r="K321">
        <v>0</v>
      </c>
      <c r="L321" t="s">
        <v>162</v>
      </c>
      <c r="N321" t="s">
        <v>316</v>
      </c>
      <c r="O321" t="s">
        <v>166</v>
      </c>
      <c r="P321">
        <v>4.47872579913558E-3</v>
      </c>
      <c r="Q321" t="s">
        <v>162</v>
      </c>
      <c r="S321" t="s">
        <v>428</v>
      </c>
      <c r="T321" t="s">
        <v>166</v>
      </c>
      <c r="U321">
        <v>4.7407373961463111E-3</v>
      </c>
      <c r="V321" t="s">
        <v>162</v>
      </c>
    </row>
    <row r="322" spans="9:22" x14ac:dyDescent="0.45">
      <c r="I322" t="s">
        <v>204</v>
      </c>
      <c r="J322" t="s">
        <v>167</v>
      </c>
      <c r="K322">
        <v>0</v>
      </c>
      <c r="L322" t="s">
        <v>162</v>
      </c>
      <c r="N322" t="s">
        <v>316</v>
      </c>
      <c r="O322" t="s">
        <v>167</v>
      </c>
      <c r="P322">
        <v>2.7875747831674839E-2</v>
      </c>
      <c r="Q322" t="s">
        <v>162</v>
      </c>
      <c r="S322" t="s">
        <v>428</v>
      </c>
      <c r="T322" t="s">
        <v>167</v>
      </c>
      <c r="U322">
        <v>2.7184078785322453E-2</v>
      </c>
      <c r="V322" t="s">
        <v>162</v>
      </c>
    </row>
    <row r="323" spans="9:22" x14ac:dyDescent="0.45">
      <c r="I323" t="s">
        <v>204</v>
      </c>
      <c r="J323" t="s">
        <v>168</v>
      </c>
      <c r="K323">
        <v>1.9575489596857256E-2</v>
      </c>
      <c r="L323" t="s">
        <v>162</v>
      </c>
      <c r="N323" t="s">
        <v>316</v>
      </c>
      <c r="O323" t="s">
        <v>168</v>
      </c>
      <c r="P323">
        <v>8.6862350126191867E-2</v>
      </c>
      <c r="Q323" t="s">
        <v>162</v>
      </c>
      <c r="S323" t="s">
        <v>428</v>
      </c>
      <c r="T323" t="s">
        <v>168</v>
      </c>
      <c r="U323">
        <v>7.0696395452842065E-2</v>
      </c>
      <c r="V323" t="s">
        <v>162</v>
      </c>
    </row>
    <row r="324" spans="9:22" x14ac:dyDescent="0.45">
      <c r="I324" t="s">
        <v>204</v>
      </c>
      <c r="J324" t="s">
        <v>169</v>
      </c>
      <c r="K324">
        <v>0</v>
      </c>
      <c r="L324" t="s">
        <v>162</v>
      </c>
      <c r="N324" t="s">
        <v>316</v>
      </c>
      <c r="O324" t="s">
        <v>169</v>
      </c>
      <c r="P324">
        <v>5.3500343389149829E-3</v>
      </c>
      <c r="Q324" t="s">
        <v>162</v>
      </c>
      <c r="S324" t="s">
        <v>428</v>
      </c>
      <c r="T324" t="s">
        <v>169</v>
      </c>
      <c r="U324">
        <v>4.2324356069363316E-3</v>
      </c>
      <c r="V324" t="s">
        <v>162</v>
      </c>
    </row>
    <row r="325" spans="9:22" x14ac:dyDescent="0.45">
      <c r="I325" t="s">
        <v>204</v>
      </c>
      <c r="J325" t="s">
        <v>170</v>
      </c>
      <c r="K325">
        <v>0</v>
      </c>
      <c r="L325" t="s">
        <v>162</v>
      </c>
      <c r="N325" t="s">
        <v>316</v>
      </c>
      <c r="O325" t="s">
        <v>170</v>
      </c>
      <c r="P325">
        <v>3.209572233197433E-2</v>
      </c>
      <c r="Q325" t="s">
        <v>162</v>
      </c>
      <c r="S325" t="s">
        <v>428</v>
      </c>
      <c r="T325" t="s">
        <v>170</v>
      </c>
      <c r="U325">
        <v>2.4152290388134275E-2</v>
      </c>
      <c r="V325" t="s">
        <v>162</v>
      </c>
    </row>
    <row r="326" spans="9:22" x14ac:dyDescent="0.45">
      <c r="I326" t="s">
        <v>205</v>
      </c>
      <c r="J326" t="s">
        <v>161</v>
      </c>
      <c r="K326">
        <v>0.83703340133227278</v>
      </c>
      <c r="L326" t="s">
        <v>162</v>
      </c>
      <c r="N326" t="s">
        <v>317</v>
      </c>
      <c r="O326" t="s">
        <v>161</v>
      </c>
      <c r="P326">
        <v>0.53781816465722532</v>
      </c>
      <c r="Q326" t="s">
        <v>162</v>
      </c>
      <c r="S326" t="s">
        <v>429</v>
      </c>
      <c r="T326" t="s">
        <v>161</v>
      </c>
      <c r="U326">
        <v>0.55035888163538427</v>
      </c>
      <c r="V326" t="s">
        <v>162</v>
      </c>
    </row>
    <row r="327" spans="9:22" x14ac:dyDescent="0.45">
      <c r="I327" t="s">
        <v>205</v>
      </c>
      <c r="J327" t="s">
        <v>163</v>
      </c>
      <c r="K327">
        <v>5.4844723599167693E-2</v>
      </c>
      <c r="L327" t="s">
        <v>162</v>
      </c>
      <c r="N327" t="s">
        <v>317</v>
      </c>
      <c r="O327" t="s">
        <v>163</v>
      </c>
      <c r="P327">
        <v>3.6896677826279839E-2</v>
      </c>
      <c r="Q327" t="s">
        <v>162</v>
      </c>
      <c r="S327" t="s">
        <v>429</v>
      </c>
      <c r="T327" t="s">
        <v>163</v>
      </c>
      <c r="U327">
        <v>3.2748899885581002E-2</v>
      </c>
      <c r="V327" t="s">
        <v>162</v>
      </c>
    </row>
    <row r="328" spans="9:22" x14ac:dyDescent="0.45">
      <c r="I328" t="s">
        <v>205</v>
      </c>
      <c r="J328" t="s">
        <v>164</v>
      </c>
      <c r="K328">
        <v>7.4473568921708311E-2</v>
      </c>
      <c r="L328" t="s">
        <v>162</v>
      </c>
      <c r="N328" t="s">
        <v>317</v>
      </c>
      <c r="O328" t="s">
        <v>164</v>
      </c>
      <c r="P328">
        <v>0.21783908171626276</v>
      </c>
      <c r="Q328" t="s">
        <v>162</v>
      </c>
      <c r="S328" t="s">
        <v>429</v>
      </c>
      <c r="T328" t="s">
        <v>164</v>
      </c>
      <c r="U328">
        <v>0.20157243181628737</v>
      </c>
      <c r="V328" t="s">
        <v>162</v>
      </c>
    </row>
    <row r="329" spans="9:22" x14ac:dyDescent="0.45">
      <c r="I329" t="s">
        <v>205</v>
      </c>
      <c r="J329" t="s">
        <v>165</v>
      </c>
      <c r="K329">
        <v>2.257630068446189E-2</v>
      </c>
      <c r="L329" t="s">
        <v>162</v>
      </c>
      <c r="N329" t="s">
        <v>317</v>
      </c>
      <c r="O329" t="s">
        <v>165</v>
      </c>
      <c r="P329">
        <v>7.5118618375322688E-2</v>
      </c>
      <c r="Q329" t="s">
        <v>162</v>
      </c>
      <c r="S329" t="s">
        <v>429</v>
      </c>
      <c r="T329" t="s">
        <v>165</v>
      </c>
      <c r="U329">
        <v>8.8941563549706587E-2</v>
      </c>
      <c r="V329" t="s">
        <v>162</v>
      </c>
    </row>
    <row r="330" spans="9:22" x14ac:dyDescent="0.45">
      <c r="I330" t="s">
        <v>205</v>
      </c>
      <c r="J330" t="s">
        <v>166</v>
      </c>
      <c r="K330">
        <v>0</v>
      </c>
      <c r="L330" t="s">
        <v>162</v>
      </c>
      <c r="N330" t="s">
        <v>317</v>
      </c>
      <c r="O330" t="s">
        <v>166</v>
      </c>
      <c r="P330">
        <v>4.5028831198513277E-3</v>
      </c>
      <c r="Q330" t="s">
        <v>162</v>
      </c>
      <c r="S330" t="s">
        <v>429</v>
      </c>
      <c r="T330" t="s">
        <v>166</v>
      </c>
      <c r="U330">
        <v>5.4145630617208826E-3</v>
      </c>
      <c r="V330" t="s">
        <v>162</v>
      </c>
    </row>
    <row r="331" spans="9:22" x14ac:dyDescent="0.45">
      <c r="I331" t="s">
        <v>205</v>
      </c>
      <c r="J331" t="s">
        <v>167</v>
      </c>
      <c r="K331">
        <v>0</v>
      </c>
      <c r="L331" t="s">
        <v>162</v>
      </c>
      <c r="N331" t="s">
        <v>317</v>
      </c>
      <c r="O331" t="s">
        <v>167</v>
      </c>
      <c r="P331">
        <v>2.7013822962377674E-2</v>
      </c>
      <c r="Q331" t="s">
        <v>162</v>
      </c>
      <c r="S331" t="s">
        <v>429</v>
      </c>
      <c r="T331" t="s">
        <v>167</v>
      </c>
      <c r="U331">
        <v>3.2289657308892813E-2</v>
      </c>
      <c r="V331" t="s">
        <v>162</v>
      </c>
    </row>
    <row r="332" spans="9:22" x14ac:dyDescent="0.45">
      <c r="I332" t="s">
        <v>205</v>
      </c>
      <c r="J332" t="s">
        <v>168</v>
      </c>
      <c r="K332">
        <v>1.1072005462389393E-2</v>
      </c>
      <c r="L332" t="s">
        <v>162</v>
      </c>
      <c r="N332" t="s">
        <v>317</v>
      </c>
      <c r="O332" t="s">
        <v>168</v>
      </c>
      <c r="P332">
        <v>7.3988136087974277E-2</v>
      </c>
      <c r="Q332" t="s">
        <v>162</v>
      </c>
      <c r="S332" t="s">
        <v>429</v>
      </c>
      <c r="T332" t="s">
        <v>168</v>
      </c>
      <c r="U332">
        <v>6.2664466038958241E-2</v>
      </c>
      <c r="V332" t="s">
        <v>162</v>
      </c>
    </row>
    <row r="333" spans="9:22" x14ac:dyDescent="0.45">
      <c r="I333" t="s">
        <v>205</v>
      </c>
      <c r="J333" t="s">
        <v>169</v>
      </c>
      <c r="K333">
        <v>0</v>
      </c>
      <c r="L333" t="s">
        <v>162</v>
      </c>
      <c r="N333" t="s">
        <v>317</v>
      </c>
      <c r="O333" t="s">
        <v>169</v>
      </c>
      <c r="P333">
        <v>3.620956725397102E-3</v>
      </c>
      <c r="Q333" t="s">
        <v>162</v>
      </c>
      <c r="S333" t="s">
        <v>429</v>
      </c>
      <c r="T333" t="s">
        <v>169</v>
      </c>
      <c r="U333">
        <v>3.7195379626209428E-3</v>
      </c>
      <c r="V333" t="s">
        <v>162</v>
      </c>
    </row>
    <row r="334" spans="9:22" x14ac:dyDescent="0.45">
      <c r="I334" t="s">
        <v>205</v>
      </c>
      <c r="J334" t="s">
        <v>170</v>
      </c>
      <c r="K334">
        <v>0</v>
      </c>
      <c r="L334" t="s">
        <v>162</v>
      </c>
      <c r="N334" t="s">
        <v>317</v>
      </c>
      <c r="O334" t="s">
        <v>170</v>
      </c>
      <c r="P334">
        <v>2.3201658529306723E-2</v>
      </c>
      <c r="Q334" t="s">
        <v>162</v>
      </c>
      <c r="S334" t="s">
        <v>429</v>
      </c>
      <c r="T334" t="s">
        <v>170</v>
      </c>
      <c r="U334">
        <v>2.228999874084928E-2</v>
      </c>
      <c r="V334" t="s">
        <v>162</v>
      </c>
    </row>
    <row r="335" spans="9:22" x14ac:dyDescent="0.45">
      <c r="I335" t="s">
        <v>206</v>
      </c>
      <c r="J335" t="s">
        <v>161</v>
      </c>
      <c r="K335">
        <v>0.82872481807241738</v>
      </c>
      <c r="L335" t="s">
        <v>162</v>
      </c>
      <c r="N335" t="s">
        <v>318</v>
      </c>
      <c r="O335" t="s">
        <v>161</v>
      </c>
      <c r="P335">
        <v>0.50772988447305278</v>
      </c>
      <c r="Q335" t="s">
        <v>162</v>
      </c>
      <c r="S335" t="s">
        <v>430</v>
      </c>
      <c r="T335" t="s">
        <v>161</v>
      </c>
      <c r="U335">
        <v>0.5383448549020865</v>
      </c>
      <c r="V335" t="s">
        <v>162</v>
      </c>
    </row>
    <row r="336" spans="9:22" x14ac:dyDescent="0.45">
      <c r="I336" t="s">
        <v>206</v>
      </c>
      <c r="J336" t="s">
        <v>163</v>
      </c>
      <c r="K336">
        <v>5.8713553371401515E-2</v>
      </c>
      <c r="L336" t="s">
        <v>162</v>
      </c>
      <c r="N336" t="s">
        <v>318</v>
      </c>
      <c r="O336" t="s">
        <v>163</v>
      </c>
      <c r="P336">
        <v>3.1011053911251193E-2</v>
      </c>
      <c r="Q336" t="s">
        <v>162</v>
      </c>
      <c r="S336" t="s">
        <v>430</v>
      </c>
      <c r="T336" t="s">
        <v>163</v>
      </c>
      <c r="U336">
        <v>3.2040988470747517E-2</v>
      </c>
      <c r="V336" t="s">
        <v>162</v>
      </c>
    </row>
    <row r="337" spans="9:22" x14ac:dyDescent="0.45">
      <c r="I337" t="s">
        <v>206</v>
      </c>
      <c r="J337" t="s">
        <v>164</v>
      </c>
      <c r="K337">
        <v>7.1363265704916662E-2</v>
      </c>
      <c r="L337" t="s">
        <v>162</v>
      </c>
      <c r="N337" t="s">
        <v>318</v>
      </c>
      <c r="O337" t="s">
        <v>164</v>
      </c>
      <c r="P337">
        <v>0.206481573169876</v>
      </c>
      <c r="Q337" t="s">
        <v>162</v>
      </c>
      <c r="S337" t="s">
        <v>430</v>
      </c>
      <c r="T337" t="s">
        <v>164</v>
      </c>
      <c r="U337">
        <v>0.19635381980652214</v>
      </c>
      <c r="V337" t="s">
        <v>162</v>
      </c>
    </row>
    <row r="338" spans="9:22" x14ac:dyDescent="0.45">
      <c r="I338" t="s">
        <v>206</v>
      </c>
      <c r="J338" t="s">
        <v>165</v>
      </c>
      <c r="K338">
        <v>2.5194925874993401E-2</v>
      </c>
      <c r="L338" t="s">
        <v>162</v>
      </c>
      <c r="N338" t="s">
        <v>318</v>
      </c>
      <c r="O338" t="s">
        <v>165</v>
      </c>
      <c r="P338">
        <v>8.1861830755856027E-2</v>
      </c>
      <c r="Q338" t="s">
        <v>162</v>
      </c>
      <c r="S338" t="s">
        <v>430</v>
      </c>
      <c r="T338" t="s">
        <v>165</v>
      </c>
      <c r="U338">
        <v>9.1486235877593816E-2</v>
      </c>
      <c r="V338" t="s">
        <v>162</v>
      </c>
    </row>
    <row r="339" spans="9:22" x14ac:dyDescent="0.45">
      <c r="I339" t="s">
        <v>206</v>
      </c>
      <c r="J339" t="s">
        <v>166</v>
      </c>
      <c r="K339">
        <v>0</v>
      </c>
      <c r="L339" t="s">
        <v>162</v>
      </c>
      <c r="N339" t="s">
        <v>318</v>
      </c>
      <c r="O339" t="s">
        <v>166</v>
      </c>
      <c r="P339">
        <v>5.4574822986233392E-3</v>
      </c>
      <c r="Q339" t="s">
        <v>162</v>
      </c>
      <c r="S339" t="s">
        <v>430</v>
      </c>
      <c r="T339" t="s">
        <v>166</v>
      </c>
      <c r="U339">
        <v>5.3324627822251168E-3</v>
      </c>
      <c r="V339" t="s">
        <v>162</v>
      </c>
    </row>
    <row r="340" spans="9:22" x14ac:dyDescent="0.45">
      <c r="I340" t="s">
        <v>206</v>
      </c>
      <c r="J340" t="s">
        <v>167</v>
      </c>
      <c r="K340">
        <v>0</v>
      </c>
      <c r="L340" t="s">
        <v>162</v>
      </c>
      <c r="N340" t="s">
        <v>318</v>
      </c>
      <c r="O340" t="s">
        <v>167</v>
      </c>
      <c r="P340">
        <v>3.3578452826849833E-2</v>
      </c>
      <c r="Q340" t="s">
        <v>162</v>
      </c>
      <c r="S340" t="s">
        <v>430</v>
      </c>
      <c r="T340" t="s">
        <v>167</v>
      </c>
      <c r="U340">
        <v>3.2221817349265276E-2</v>
      </c>
      <c r="V340" t="s">
        <v>162</v>
      </c>
    </row>
    <row r="341" spans="9:22" x14ac:dyDescent="0.45">
      <c r="I341" t="s">
        <v>206</v>
      </c>
      <c r="J341" t="s">
        <v>168</v>
      </c>
      <c r="K341">
        <v>1.6003436976271636E-2</v>
      </c>
      <c r="L341" t="s">
        <v>162</v>
      </c>
      <c r="N341" t="s">
        <v>318</v>
      </c>
      <c r="O341" t="s">
        <v>168</v>
      </c>
      <c r="P341">
        <v>9.3214319475697041E-2</v>
      </c>
      <c r="Q341" t="s">
        <v>162</v>
      </c>
      <c r="S341" t="s">
        <v>430</v>
      </c>
      <c r="T341" t="s">
        <v>168</v>
      </c>
      <c r="U341">
        <v>7.2951598176055746E-2</v>
      </c>
      <c r="V341" t="s">
        <v>162</v>
      </c>
    </row>
    <row r="342" spans="9:22" x14ac:dyDescent="0.45">
      <c r="I342" t="s">
        <v>206</v>
      </c>
      <c r="J342" t="s">
        <v>169</v>
      </c>
      <c r="K342">
        <v>0</v>
      </c>
      <c r="L342" t="s">
        <v>162</v>
      </c>
      <c r="N342" t="s">
        <v>318</v>
      </c>
      <c r="O342" t="s">
        <v>169</v>
      </c>
      <c r="P342">
        <v>5.516546218195752E-3</v>
      </c>
      <c r="Q342" t="s">
        <v>162</v>
      </c>
      <c r="S342" t="s">
        <v>430</v>
      </c>
      <c r="T342" t="s">
        <v>169</v>
      </c>
      <c r="U342">
        <v>4.4323616213801063E-3</v>
      </c>
      <c r="V342" t="s">
        <v>162</v>
      </c>
    </row>
    <row r="343" spans="9:22" x14ac:dyDescent="0.45">
      <c r="I343" t="s">
        <v>206</v>
      </c>
      <c r="J343" t="s">
        <v>170</v>
      </c>
      <c r="K343">
        <v>0</v>
      </c>
      <c r="L343" t="s">
        <v>162</v>
      </c>
      <c r="N343" t="s">
        <v>318</v>
      </c>
      <c r="O343" t="s">
        <v>170</v>
      </c>
      <c r="P343">
        <v>3.5148856870597787E-2</v>
      </c>
      <c r="Q343" t="s">
        <v>162</v>
      </c>
      <c r="S343" t="s">
        <v>430</v>
      </c>
      <c r="T343" t="s">
        <v>170</v>
      </c>
      <c r="U343">
        <v>2.6835861014121755E-2</v>
      </c>
      <c r="V343" t="s">
        <v>162</v>
      </c>
    </row>
    <row r="344" spans="9:22" x14ac:dyDescent="0.45">
      <c r="I344" t="s">
        <v>207</v>
      </c>
      <c r="J344" t="s">
        <v>161</v>
      </c>
      <c r="K344">
        <v>0.84689480175732668</v>
      </c>
      <c r="L344" t="s">
        <v>162</v>
      </c>
      <c r="N344" t="s">
        <v>319</v>
      </c>
      <c r="O344" t="s">
        <v>161</v>
      </c>
      <c r="P344">
        <v>0.47934044516286001</v>
      </c>
      <c r="Q344" t="s">
        <v>162</v>
      </c>
      <c r="S344" t="s">
        <v>431</v>
      </c>
      <c r="T344" t="s">
        <v>161</v>
      </c>
      <c r="U344">
        <v>0.57277383716164953</v>
      </c>
      <c r="V344" t="s">
        <v>162</v>
      </c>
    </row>
    <row r="345" spans="9:22" x14ac:dyDescent="0.45">
      <c r="I345" t="s">
        <v>207</v>
      </c>
      <c r="J345" t="s">
        <v>163</v>
      </c>
      <c r="K345">
        <v>5.2859724607740237E-2</v>
      </c>
      <c r="L345" t="s">
        <v>162</v>
      </c>
      <c r="N345" t="s">
        <v>319</v>
      </c>
      <c r="O345" t="s">
        <v>163</v>
      </c>
      <c r="P345">
        <v>3.070136210050502E-2</v>
      </c>
      <c r="Q345" t="s">
        <v>162</v>
      </c>
      <c r="S345" t="s">
        <v>431</v>
      </c>
      <c r="T345" t="s">
        <v>163</v>
      </c>
      <c r="U345">
        <v>3.50004195217248E-2</v>
      </c>
      <c r="V345" t="s">
        <v>162</v>
      </c>
    </row>
    <row r="346" spans="9:22" x14ac:dyDescent="0.45">
      <c r="I346" t="s">
        <v>207</v>
      </c>
      <c r="J346" t="s">
        <v>164</v>
      </c>
      <c r="K346">
        <v>6.2117761470709049E-2</v>
      </c>
      <c r="L346" t="s">
        <v>162</v>
      </c>
      <c r="N346" t="s">
        <v>319</v>
      </c>
      <c r="O346" t="s">
        <v>164</v>
      </c>
      <c r="P346">
        <v>0.20862073511409118</v>
      </c>
      <c r="Q346" t="s">
        <v>162</v>
      </c>
      <c r="S346" t="s">
        <v>431</v>
      </c>
      <c r="T346" t="s">
        <v>164</v>
      </c>
      <c r="U346">
        <v>0.2042266978401763</v>
      </c>
      <c r="V346" t="s">
        <v>162</v>
      </c>
    </row>
    <row r="347" spans="9:22" x14ac:dyDescent="0.45">
      <c r="I347" t="s">
        <v>207</v>
      </c>
      <c r="J347" t="s">
        <v>165</v>
      </c>
      <c r="K347">
        <v>2.3816801554799143E-2</v>
      </c>
      <c r="L347" t="s">
        <v>162</v>
      </c>
      <c r="N347" t="s">
        <v>319</v>
      </c>
      <c r="O347" t="s">
        <v>165</v>
      </c>
      <c r="P347">
        <v>7.8937039395103839E-2</v>
      </c>
      <c r="Q347" t="s">
        <v>162</v>
      </c>
      <c r="S347" t="s">
        <v>431</v>
      </c>
      <c r="T347" t="s">
        <v>165</v>
      </c>
      <c r="U347">
        <v>7.6020408829754985E-2</v>
      </c>
      <c r="V347" t="s">
        <v>162</v>
      </c>
    </row>
    <row r="348" spans="9:22" x14ac:dyDescent="0.45">
      <c r="I348" t="s">
        <v>207</v>
      </c>
      <c r="J348" t="s">
        <v>166</v>
      </c>
      <c r="K348">
        <v>0</v>
      </c>
      <c r="L348" t="s">
        <v>162</v>
      </c>
      <c r="N348" t="s">
        <v>319</v>
      </c>
      <c r="O348" t="s">
        <v>166</v>
      </c>
      <c r="P348">
        <v>4.9463609678783559E-3</v>
      </c>
      <c r="Q348" t="s">
        <v>162</v>
      </c>
      <c r="S348" t="s">
        <v>431</v>
      </c>
      <c r="T348" t="s">
        <v>166</v>
      </c>
      <c r="U348">
        <v>4.4761810202127213E-3</v>
      </c>
      <c r="V348" t="s">
        <v>162</v>
      </c>
    </row>
    <row r="349" spans="9:22" x14ac:dyDescent="0.45">
      <c r="I349" t="s">
        <v>207</v>
      </c>
      <c r="J349" t="s">
        <v>167</v>
      </c>
      <c r="K349">
        <v>0</v>
      </c>
      <c r="L349" t="s">
        <v>162</v>
      </c>
      <c r="N349" t="s">
        <v>319</v>
      </c>
      <c r="O349" t="s">
        <v>167</v>
      </c>
      <c r="P349">
        <v>3.2547574323590414E-2</v>
      </c>
      <c r="Q349" t="s">
        <v>162</v>
      </c>
      <c r="S349" t="s">
        <v>431</v>
      </c>
      <c r="T349" t="s">
        <v>167</v>
      </c>
      <c r="U349">
        <v>2.5539452476060289E-2</v>
      </c>
      <c r="V349" t="s">
        <v>162</v>
      </c>
    </row>
    <row r="350" spans="9:22" x14ac:dyDescent="0.45">
      <c r="I350" t="s">
        <v>207</v>
      </c>
      <c r="J350" t="s">
        <v>168</v>
      </c>
      <c r="K350">
        <v>1.4310910609425355E-2</v>
      </c>
      <c r="L350" t="s">
        <v>162</v>
      </c>
      <c r="N350" t="s">
        <v>319</v>
      </c>
      <c r="O350" t="s">
        <v>168</v>
      </c>
      <c r="P350">
        <v>0.1139539936518357</v>
      </c>
      <c r="Q350" t="s">
        <v>162</v>
      </c>
      <c r="S350" t="s">
        <v>431</v>
      </c>
      <c r="T350" t="s">
        <v>168</v>
      </c>
      <c r="U350">
        <v>6.0145256876292172E-2</v>
      </c>
      <c r="V350" t="s">
        <v>162</v>
      </c>
    </row>
    <row r="351" spans="9:22" x14ac:dyDescent="0.45">
      <c r="I351" t="s">
        <v>207</v>
      </c>
      <c r="J351" t="s">
        <v>169</v>
      </c>
      <c r="K351">
        <v>0</v>
      </c>
      <c r="L351" t="s">
        <v>162</v>
      </c>
      <c r="N351" t="s">
        <v>319</v>
      </c>
      <c r="O351" t="s">
        <v>169</v>
      </c>
      <c r="P351">
        <v>6.9851411340209326E-3</v>
      </c>
      <c r="Q351" t="s">
        <v>162</v>
      </c>
      <c r="S351" t="s">
        <v>431</v>
      </c>
      <c r="T351" t="s">
        <v>169</v>
      </c>
      <c r="U351">
        <v>3.3588929967851887E-3</v>
      </c>
      <c r="V351" t="s">
        <v>162</v>
      </c>
    </row>
    <row r="352" spans="9:22" x14ac:dyDescent="0.45">
      <c r="I352" t="s">
        <v>207</v>
      </c>
      <c r="J352" t="s">
        <v>170</v>
      </c>
      <c r="K352">
        <v>0</v>
      </c>
      <c r="L352" t="s">
        <v>162</v>
      </c>
      <c r="N352" t="s">
        <v>319</v>
      </c>
      <c r="O352" t="s">
        <v>170</v>
      </c>
      <c r="P352">
        <v>4.3967348150111454E-2</v>
      </c>
      <c r="Q352" t="s">
        <v>162</v>
      </c>
      <c r="S352" t="s">
        <v>431</v>
      </c>
      <c r="T352" t="s">
        <v>170</v>
      </c>
      <c r="U352">
        <v>1.8458853277343795E-2</v>
      </c>
      <c r="V352" t="s">
        <v>162</v>
      </c>
    </row>
    <row r="353" spans="9:22" x14ac:dyDescent="0.45">
      <c r="I353" t="s">
        <v>208</v>
      </c>
      <c r="J353" t="s">
        <v>161</v>
      </c>
      <c r="K353">
        <v>0.86337768376489921</v>
      </c>
      <c r="L353" t="s">
        <v>162</v>
      </c>
      <c r="N353" t="s">
        <v>320</v>
      </c>
      <c r="O353" t="s">
        <v>161</v>
      </c>
      <c r="P353">
        <v>0.56585798031194612</v>
      </c>
      <c r="Q353" t="s">
        <v>162</v>
      </c>
      <c r="S353" t="s">
        <v>432</v>
      </c>
      <c r="T353" t="s">
        <v>161</v>
      </c>
      <c r="U353">
        <v>0.57470496252927628</v>
      </c>
      <c r="V353" t="s">
        <v>162</v>
      </c>
    </row>
    <row r="354" spans="9:22" x14ac:dyDescent="0.45">
      <c r="I354" t="s">
        <v>208</v>
      </c>
      <c r="J354" t="s">
        <v>163</v>
      </c>
      <c r="K354">
        <v>4.6705202294948504E-2</v>
      </c>
      <c r="L354" t="s">
        <v>162</v>
      </c>
      <c r="N354" t="s">
        <v>320</v>
      </c>
      <c r="O354" t="s">
        <v>163</v>
      </c>
      <c r="P354">
        <v>3.0780298125397818E-2</v>
      </c>
      <c r="Q354" t="s">
        <v>162</v>
      </c>
      <c r="S354" t="s">
        <v>432</v>
      </c>
      <c r="T354" t="s">
        <v>163</v>
      </c>
      <c r="U354">
        <v>3.3953059722658156E-2</v>
      </c>
      <c r="V354" t="s">
        <v>162</v>
      </c>
    </row>
    <row r="355" spans="9:22" x14ac:dyDescent="0.45">
      <c r="I355" t="s">
        <v>208</v>
      </c>
      <c r="J355" t="s">
        <v>164</v>
      </c>
      <c r="K355">
        <v>5.391045234139049E-2</v>
      </c>
      <c r="L355" t="s">
        <v>162</v>
      </c>
      <c r="N355" t="s">
        <v>320</v>
      </c>
      <c r="O355" t="s">
        <v>164</v>
      </c>
      <c r="P355">
        <v>0.21477701285630921</v>
      </c>
      <c r="Q355" t="s">
        <v>162</v>
      </c>
      <c r="S355" t="s">
        <v>432</v>
      </c>
      <c r="T355" t="s">
        <v>164</v>
      </c>
      <c r="U355">
        <v>0.20320529546745902</v>
      </c>
      <c r="V355" t="s">
        <v>162</v>
      </c>
    </row>
    <row r="356" spans="9:22" x14ac:dyDescent="0.45">
      <c r="I356" t="s">
        <v>208</v>
      </c>
      <c r="J356" t="s">
        <v>165</v>
      </c>
      <c r="K356">
        <v>2.5067549040505625E-2</v>
      </c>
      <c r="L356" t="s">
        <v>162</v>
      </c>
      <c r="N356" t="s">
        <v>320</v>
      </c>
      <c r="O356" t="s">
        <v>165</v>
      </c>
      <c r="P356">
        <v>6.499038060189434E-2</v>
      </c>
      <c r="Q356" t="s">
        <v>162</v>
      </c>
      <c r="S356" t="s">
        <v>432</v>
      </c>
      <c r="T356" t="s">
        <v>165</v>
      </c>
      <c r="U356">
        <v>7.6838541104910188E-2</v>
      </c>
      <c r="V356" t="s">
        <v>162</v>
      </c>
    </row>
    <row r="357" spans="9:22" x14ac:dyDescent="0.45">
      <c r="I357" t="s">
        <v>208</v>
      </c>
      <c r="J357" t="s">
        <v>166</v>
      </c>
      <c r="K357">
        <v>0</v>
      </c>
      <c r="L357" t="s">
        <v>162</v>
      </c>
      <c r="N357" t="s">
        <v>320</v>
      </c>
      <c r="O357" t="s">
        <v>166</v>
      </c>
      <c r="P357">
        <v>4.1231096990650071E-3</v>
      </c>
      <c r="Q357" t="s">
        <v>162</v>
      </c>
      <c r="S357" t="s">
        <v>432</v>
      </c>
      <c r="T357" t="s">
        <v>166</v>
      </c>
      <c r="U357">
        <v>4.6139192685804723E-3</v>
      </c>
      <c r="V357" t="s">
        <v>162</v>
      </c>
    </row>
    <row r="358" spans="9:22" x14ac:dyDescent="0.45">
      <c r="I358" t="s">
        <v>208</v>
      </c>
      <c r="J358" t="s">
        <v>167</v>
      </c>
      <c r="K358">
        <v>0</v>
      </c>
      <c r="L358" t="s">
        <v>162</v>
      </c>
      <c r="N358" t="s">
        <v>320</v>
      </c>
      <c r="O358" t="s">
        <v>167</v>
      </c>
      <c r="P358">
        <v>2.7132800498935274E-2</v>
      </c>
      <c r="Q358" t="s">
        <v>162</v>
      </c>
      <c r="S358" t="s">
        <v>432</v>
      </c>
      <c r="T358" t="s">
        <v>167</v>
      </c>
      <c r="U358">
        <v>2.4914741267162109E-2</v>
      </c>
      <c r="V358" t="s">
        <v>162</v>
      </c>
    </row>
    <row r="359" spans="9:22" x14ac:dyDescent="0.45">
      <c r="I359" t="s">
        <v>208</v>
      </c>
      <c r="J359" t="s">
        <v>168</v>
      </c>
      <c r="K359">
        <v>1.0939112558254544E-2</v>
      </c>
      <c r="L359" t="s">
        <v>162</v>
      </c>
      <c r="N359" t="s">
        <v>320</v>
      </c>
      <c r="O359" t="s">
        <v>168</v>
      </c>
      <c r="P359">
        <v>6.2727801595329841E-2</v>
      </c>
      <c r="Q359" t="s">
        <v>162</v>
      </c>
      <c r="S359" t="s">
        <v>432</v>
      </c>
      <c r="T359" t="s">
        <v>168</v>
      </c>
      <c r="U359">
        <v>5.9819481925963786E-2</v>
      </c>
      <c r="V359" t="s">
        <v>162</v>
      </c>
    </row>
    <row r="360" spans="9:22" x14ac:dyDescent="0.45">
      <c r="I360" t="s">
        <v>208</v>
      </c>
      <c r="J360" t="s">
        <v>169</v>
      </c>
      <c r="K360">
        <v>0</v>
      </c>
      <c r="L360" t="s">
        <v>162</v>
      </c>
      <c r="N360" t="s">
        <v>320</v>
      </c>
      <c r="O360" t="s">
        <v>169</v>
      </c>
      <c r="P360">
        <v>3.8499975451531674E-3</v>
      </c>
      <c r="Q360" t="s">
        <v>162</v>
      </c>
      <c r="S360" t="s">
        <v>432</v>
      </c>
      <c r="T360" t="s">
        <v>169</v>
      </c>
      <c r="U360">
        <v>3.2424496124811926E-3</v>
      </c>
      <c r="V360" t="s">
        <v>162</v>
      </c>
    </row>
    <row r="361" spans="9:22" x14ac:dyDescent="0.45">
      <c r="I361" t="s">
        <v>208</v>
      </c>
      <c r="J361" t="s">
        <v>170</v>
      </c>
      <c r="K361">
        <v>0</v>
      </c>
      <c r="L361" t="s">
        <v>162</v>
      </c>
      <c r="N361" t="s">
        <v>320</v>
      </c>
      <c r="O361" t="s">
        <v>170</v>
      </c>
      <c r="P361">
        <v>2.5760618765971612E-2</v>
      </c>
      <c r="Q361" t="s">
        <v>162</v>
      </c>
      <c r="S361" t="s">
        <v>432</v>
      </c>
      <c r="T361" t="s">
        <v>170</v>
      </c>
      <c r="U361">
        <v>1.8707549101506987E-2</v>
      </c>
      <c r="V361" t="s">
        <v>162</v>
      </c>
    </row>
    <row r="362" spans="9:22" x14ac:dyDescent="0.45">
      <c r="I362" t="s">
        <v>209</v>
      </c>
      <c r="J362" t="s">
        <v>161</v>
      </c>
      <c r="K362">
        <v>0.81829744704401519</v>
      </c>
      <c r="L362" t="s">
        <v>162</v>
      </c>
      <c r="N362" t="s">
        <v>321</v>
      </c>
      <c r="O362" t="s">
        <v>161</v>
      </c>
      <c r="P362">
        <v>0.55932696775459922</v>
      </c>
      <c r="Q362" t="s">
        <v>162</v>
      </c>
      <c r="S362" t="s">
        <v>433</v>
      </c>
      <c r="T362" t="s">
        <v>161</v>
      </c>
      <c r="U362">
        <v>0.55904995807923918</v>
      </c>
      <c r="V362" t="s">
        <v>162</v>
      </c>
    </row>
    <row r="363" spans="9:22" x14ac:dyDescent="0.45">
      <c r="I363" t="s">
        <v>209</v>
      </c>
      <c r="J363" t="s">
        <v>163</v>
      </c>
      <c r="K363">
        <v>5.905543933793321E-2</v>
      </c>
      <c r="L363" t="s">
        <v>162</v>
      </c>
      <c r="N363" t="s">
        <v>321</v>
      </c>
      <c r="O363" t="s">
        <v>163</v>
      </c>
      <c r="P363">
        <v>3.1346337819608841E-2</v>
      </c>
      <c r="Q363" t="s">
        <v>162</v>
      </c>
      <c r="S363" t="s">
        <v>433</v>
      </c>
      <c r="T363" t="s">
        <v>163</v>
      </c>
      <c r="U363">
        <v>3.335957601311719E-2</v>
      </c>
      <c r="V363" t="s">
        <v>162</v>
      </c>
    </row>
    <row r="364" spans="9:22" x14ac:dyDescent="0.45">
      <c r="I364" t="s">
        <v>209</v>
      </c>
      <c r="J364" t="s">
        <v>164</v>
      </c>
      <c r="K364">
        <v>8.3558279474521754E-2</v>
      </c>
      <c r="L364" t="s">
        <v>162</v>
      </c>
      <c r="N364" t="s">
        <v>321</v>
      </c>
      <c r="O364" t="s">
        <v>164</v>
      </c>
      <c r="P364">
        <v>0.22381228269035294</v>
      </c>
      <c r="Q364" t="s">
        <v>162</v>
      </c>
      <c r="S364" t="s">
        <v>433</v>
      </c>
      <c r="T364" t="s">
        <v>164</v>
      </c>
      <c r="U364">
        <v>0.19942089589557951</v>
      </c>
      <c r="V364" t="s">
        <v>162</v>
      </c>
    </row>
    <row r="365" spans="9:22" x14ac:dyDescent="0.45">
      <c r="I365" t="s">
        <v>209</v>
      </c>
      <c r="J365" t="s">
        <v>165</v>
      </c>
      <c r="K365">
        <v>2.5937195123283879E-2</v>
      </c>
      <c r="L365" t="s">
        <v>162</v>
      </c>
      <c r="N365" t="s">
        <v>321</v>
      </c>
      <c r="O365" t="s">
        <v>165</v>
      </c>
      <c r="P365">
        <v>5.8009780260426434E-2</v>
      </c>
      <c r="Q365" t="s">
        <v>162</v>
      </c>
      <c r="S365" t="s">
        <v>433</v>
      </c>
      <c r="T365" t="s">
        <v>165</v>
      </c>
      <c r="U365">
        <v>8.4914848472474408E-2</v>
      </c>
      <c r="V365" t="s">
        <v>162</v>
      </c>
    </row>
    <row r="366" spans="9:22" x14ac:dyDescent="0.45">
      <c r="I366" t="s">
        <v>209</v>
      </c>
      <c r="J366" t="s">
        <v>166</v>
      </c>
      <c r="K366">
        <v>0</v>
      </c>
      <c r="L366" t="s">
        <v>162</v>
      </c>
      <c r="N366" t="s">
        <v>321</v>
      </c>
      <c r="O366" t="s">
        <v>166</v>
      </c>
      <c r="P366">
        <v>3.9069093393505313E-3</v>
      </c>
      <c r="Q366" t="s">
        <v>162</v>
      </c>
      <c r="S366" t="s">
        <v>433</v>
      </c>
      <c r="T366" t="s">
        <v>166</v>
      </c>
      <c r="U366">
        <v>5.295122153827974E-3</v>
      </c>
      <c r="V366" t="s">
        <v>162</v>
      </c>
    </row>
    <row r="367" spans="9:22" x14ac:dyDescent="0.45">
      <c r="I367" t="s">
        <v>209</v>
      </c>
      <c r="J367" t="s">
        <v>167</v>
      </c>
      <c r="K367">
        <v>0</v>
      </c>
      <c r="L367" t="s">
        <v>162</v>
      </c>
      <c r="N367" t="s">
        <v>321</v>
      </c>
      <c r="O367" t="s">
        <v>167</v>
      </c>
      <c r="P367">
        <v>2.396670103538559E-2</v>
      </c>
      <c r="Q367" t="s">
        <v>162</v>
      </c>
      <c r="S367" t="s">
        <v>433</v>
      </c>
      <c r="T367" t="s">
        <v>167</v>
      </c>
      <c r="U367">
        <v>2.9415926357359137E-2</v>
      </c>
      <c r="V367" t="s">
        <v>162</v>
      </c>
    </row>
    <row r="368" spans="9:22" x14ac:dyDescent="0.45">
      <c r="I368" t="s">
        <v>209</v>
      </c>
      <c r="J368" t="s">
        <v>168</v>
      </c>
      <c r="K368">
        <v>1.3151639020243452E-2</v>
      </c>
      <c r="L368" t="s">
        <v>162</v>
      </c>
      <c r="N368" t="s">
        <v>321</v>
      </c>
      <c r="O368" t="s">
        <v>168</v>
      </c>
      <c r="P368">
        <v>6.8109043899191687E-2</v>
      </c>
      <c r="Q368" t="s">
        <v>162</v>
      </c>
      <c r="S368" t="s">
        <v>433</v>
      </c>
      <c r="T368" t="s">
        <v>168</v>
      </c>
      <c r="U368">
        <v>6.3944596380426474E-2</v>
      </c>
      <c r="V368" t="s">
        <v>162</v>
      </c>
    </row>
    <row r="369" spans="9:22" x14ac:dyDescent="0.45">
      <c r="I369" t="s">
        <v>209</v>
      </c>
      <c r="J369" t="s">
        <v>169</v>
      </c>
      <c r="K369">
        <v>0</v>
      </c>
      <c r="L369" t="s">
        <v>162</v>
      </c>
      <c r="N369" t="s">
        <v>321</v>
      </c>
      <c r="O369" t="s">
        <v>169</v>
      </c>
      <c r="P369">
        <v>4.4283311238608736E-3</v>
      </c>
      <c r="Q369" t="s">
        <v>162</v>
      </c>
      <c r="S369" t="s">
        <v>433</v>
      </c>
      <c r="T369" t="s">
        <v>169</v>
      </c>
      <c r="U369">
        <v>3.6685042442276246E-3</v>
      </c>
      <c r="V369" t="s">
        <v>162</v>
      </c>
    </row>
    <row r="370" spans="9:22" x14ac:dyDescent="0.45">
      <c r="I370" t="s">
        <v>209</v>
      </c>
      <c r="J370" t="s">
        <v>170</v>
      </c>
      <c r="K370">
        <v>0</v>
      </c>
      <c r="L370" t="s">
        <v>162</v>
      </c>
      <c r="N370" t="s">
        <v>321</v>
      </c>
      <c r="O370" t="s">
        <v>170</v>
      </c>
      <c r="P370">
        <v>2.7093646077220604E-2</v>
      </c>
      <c r="Q370" t="s">
        <v>162</v>
      </c>
      <c r="S370" t="s">
        <v>433</v>
      </c>
      <c r="T370" t="s">
        <v>170</v>
      </c>
      <c r="U370">
        <v>2.0930572403748841E-2</v>
      </c>
      <c r="V370" t="s">
        <v>162</v>
      </c>
    </row>
    <row r="371" spans="9:22" x14ac:dyDescent="0.45">
      <c r="I371" t="s">
        <v>210</v>
      </c>
      <c r="J371" t="s">
        <v>161</v>
      </c>
      <c r="K371">
        <v>0.83269992600734222</v>
      </c>
      <c r="L371" t="s">
        <v>162</v>
      </c>
      <c r="N371" t="s">
        <v>322</v>
      </c>
      <c r="O371" t="s">
        <v>161</v>
      </c>
      <c r="P371">
        <v>0.56724647004260553</v>
      </c>
      <c r="Q371" t="s">
        <v>162</v>
      </c>
      <c r="S371" t="s">
        <v>434</v>
      </c>
      <c r="T371" t="s">
        <v>161</v>
      </c>
      <c r="U371">
        <v>0.55742975939479411</v>
      </c>
      <c r="V371" t="s">
        <v>162</v>
      </c>
    </row>
    <row r="372" spans="9:22" x14ac:dyDescent="0.45">
      <c r="I372" t="s">
        <v>210</v>
      </c>
      <c r="J372" t="s">
        <v>163</v>
      </c>
      <c r="K372">
        <v>5.3983362797021907E-2</v>
      </c>
      <c r="L372" t="s">
        <v>162</v>
      </c>
      <c r="N372" t="s">
        <v>322</v>
      </c>
      <c r="O372" t="s">
        <v>163</v>
      </c>
      <c r="P372">
        <v>3.128551477216112E-2</v>
      </c>
      <c r="Q372" t="s">
        <v>162</v>
      </c>
      <c r="S372" t="s">
        <v>434</v>
      </c>
      <c r="T372" t="s">
        <v>163</v>
      </c>
      <c r="U372">
        <v>3.1890060636059668E-2</v>
      </c>
      <c r="V372" t="s">
        <v>162</v>
      </c>
    </row>
    <row r="373" spans="9:22" x14ac:dyDescent="0.45">
      <c r="I373" t="s">
        <v>210</v>
      </c>
      <c r="J373" t="s">
        <v>164</v>
      </c>
      <c r="K373">
        <v>7.0521605115788408E-2</v>
      </c>
      <c r="L373" t="s">
        <v>162</v>
      </c>
      <c r="N373" t="s">
        <v>322</v>
      </c>
      <c r="O373" t="s">
        <v>164</v>
      </c>
      <c r="P373">
        <v>0.21492178066595105</v>
      </c>
      <c r="Q373" t="s">
        <v>162</v>
      </c>
      <c r="S373" t="s">
        <v>434</v>
      </c>
      <c r="T373" t="s">
        <v>164</v>
      </c>
      <c r="U373">
        <v>0.19403435933802551</v>
      </c>
      <c r="V373" t="s">
        <v>162</v>
      </c>
    </row>
    <row r="374" spans="9:22" x14ac:dyDescent="0.45">
      <c r="I374" t="s">
        <v>210</v>
      </c>
      <c r="J374" t="s">
        <v>165</v>
      </c>
      <c r="K374">
        <v>2.7823306716870951E-2</v>
      </c>
      <c r="L374" t="s">
        <v>162</v>
      </c>
      <c r="N374" t="s">
        <v>322</v>
      </c>
      <c r="O374" t="s">
        <v>165</v>
      </c>
      <c r="P374">
        <v>6.2158250294655222E-2</v>
      </c>
      <c r="Q374" t="s">
        <v>162</v>
      </c>
      <c r="S374" t="s">
        <v>434</v>
      </c>
      <c r="T374" t="s">
        <v>165</v>
      </c>
      <c r="U374">
        <v>7.6721782968671215E-2</v>
      </c>
      <c r="V374" t="s">
        <v>162</v>
      </c>
    </row>
    <row r="375" spans="9:22" x14ac:dyDescent="0.45">
      <c r="I375" t="s">
        <v>210</v>
      </c>
      <c r="J375" t="s">
        <v>166</v>
      </c>
      <c r="K375">
        <v>0</v>
      </c>
      <c r="L375" t="s">
        <v>162</v>
      </c>
      <c r="N375" t="s">
        <v>322</v>
      </c>
      <c r="O375" t="s">
        <v>166</v>
      </c>
      <c r="P375">
        <v>4.0301008793081116E-3</v>
      </c>
      <c r="Q375" t="s">
        <v>162</v>
      </c>
      <c r="S375" t="s">
        <v>434</v>
      </c>
      <c r="T375" t="s">
        <v>166</v>
      </c>
      <c r="U375">
        <v>4.3483920942368037E-3</v>
      </c>
      <c r="V375" t="s">
        <v>162</v>
      </c>
    </row>
    <row r="376" spans="9:22" x14ac:dyDescent="0.45">
      <c r="I376" t="s">
        <v>210</v>
      </c>
      <c r="J376" t="s">
        <v>167</v>
      </c>
      <c r="K376">
        <v>0</v>
      </c>
      <c r="L376" t="s">
        <v>162</v>
      </c>
      <c r="N376" t="s">
        <v>322</v>
      </c>
      <c r="O376" t="s">
        <v>167</v>
      </c>
      <c r="P376">
        <v>2.5934666641007884E-2</v>
      </c>
      <c r="Q376" t="s">
        <v>162</v>
      </c>
      <c r="S376" t="s">
        <v>434</v>
      </c>
      <c r="T376" t="s">
        <v>167</v>
      </c>
      <c r="U376">
        <v>2.5958022577151373E-2</v>
      </c>
      <c r="V376" t="s">
        <v>162</v>
      </c>
    </row>
    <row r="377" spans="9:22" x14ac:dyDescent="0.45">
      <c r="I377" t="s">
        <v>210</v>
      </c>
      <c r="J377" t="s">
        <v>168</v>
      </c>
      <c r="K377">
        <v>1.4971799362975484E-2</v>
      </c>
      <c r="L377" t="s">
        <v>162</v>
      </c>
      <c r="N377" t="s">
        <v>322</v>
      </c>
      <c r="O377" t="s">
        <v>168</v>
      </c>
      <c r="P377">
        <v>6.6399433538113964E-2</v>
      </c>
      <c r="Q377" t="s">
        <v>162</v>
      </c>
      <c r="S377" t="s">
        <v>434</v>
      </c>
      <c r="T377" t="s">
        <v>168</v>
      </c>
      <c r="U377">
        <v>7.9164632490596146E-2</v>
      </c>
      <c r="V377" t="s">
        <v>162</v>
      </c>
    </row>
    <row r="378" spans="9:22" x14ac:dyDescent="0.45">
      <c r="I378" t="s">
        <v>210</v>
      </c>
      <c r="J378" t="s">
        <v>169</v>
      </c>
      <c r="K378">
        <v>0</v>
      </c>
      <c r="L378" t="s">
        <v>162</v>
      </c>
      <c r="N378" t="s">
        <v>322</v>
      </c>
      <c r="O378" t="s">
        <v>169</v>
      </c>
      <c r="P378">
        <v>3.80452670170997E-3</v>
      </c>
      <c r="Q378" t="s">
        <v>162</v>
      </c>
      <c r="S378" t="s">
        <v>434</v>
      </c>
      <c r="T378" t="s">
        <v>169</v>
      </c>
      <c r="U378">
        <v>4.5188871431242582E-3</v>
      </c>
      <c r="V378" t="s">
        <v>162</v>
      </c>
    </row>
    <row r="379" spans="9:22" x14ac:dyDescent="0.45">
      <c r="I379" t="s">
        <v>210</v>
      </c>
      <c r="J379" t="s">
        <v>170</v>
      </c>
      <c r="K379">
        <v>0</v>
      </c>
      <c r="L379" t="s">
        <v>162</v>
      </c>
      <c r="N379" t="s">
        <v>322</v>
      </c>
      <c r="O379" t="s">
        <v>170</v>
      </c>
      <c r="P379">
        <v>2.4219256464484015E-2</v>
      </c>
      <c r="Q379" t="s">
        <v>162</v>
      </c>
      <c r="S379" t="s">
        <v>434</v>
      </c>
      <c r="T379" t="s">
        <v>170</v>
      </c>
      <c r="U379">
        <v>2.593410335733904E-2</v>
      </c>
      <c r="V379" t="s">
        <v>162</v>
      </c>
    </row>
    <row r="380" spans="9:22" x14ac:dyDescent="0.45">
      <c r="I380" t="s">
        <v>211</v>
      </c>
      <c r="J380" t="s">
        <v>161</v>
      </c>
      <c r="K380">
        <v>0.84833786131901256</v>
      </c>
      <c r="L380" t="s">
        <v>162</v>
      </c>
      <c r="N380" t="s">
        <v>323</v>
      </c>
      <c r="O380" t="s">
        <v>161</v>
      </c>
      <c r="P380">
        <v>0.5609591857074574</v>
      </c>
      <c r="Q380" t="s">
        <v>162</v>
      </c>
      <c r="S380" t="s">
        <v>435</v>
      </c>
      <c r="T380" t="s">
        <v>161</v>
      </c>
      <c r="U380">
        <v>0.5888735949668914</v>
      </c>
      <c r="V380" t="s">
        <v>162</v>
      </c>
    </row>
    <row r="381" spans="9:22" x14ac:dyDescent="0.45">
      <c r="I381" t="s">
        <v>211</v>
      </c>
      <c r="J381" t="s">
        <v>163</v>
      </c>
      <c r="K381">
        <v>5.0006028124212093E-2</v>
      </c>
      <c r="L381" t="s">
        <v>162</v>
      </c>
      <c r="N381" t="s">
        <v>323</v>
      </c>
      <c r="O381" t="s">
        <v>163</v>
      </c>
      <c r="P381">
        <v>3.1308741090398363E-2</v>
      </c>
      <c r="Q381" t="s">
        <v>162</v>
      </c>
      <c r="S381" t="s">
        <v>435</v>
      </c>
      <c r="T381" t="s">
        <v>163</v>
      </c>
      <c r="U381">
        <v>3.4618939235567622E-2</v>
      </c>
      <c r="V381" t="s">
        <v>162</v>
      </c>
    </row>
    <row r="382" spans="9:22" x14ac:dyDescent="0.45">
      <c r="I382" t="s">
        <v>211</v>
      </c>
      <c r="J382" t="s">
        <v>164</v>
      </c>
      <c r="K382">
        <v>6.1314997026568473E-2</v>
      </c>
      <c r="L382" t="s">
        <v>162</v>
      </c>
      <c r="N382" t="s">
        <v>323</v>
      </c>
      <c r="O382" t="s">
        <v>164</v>
      </c>
      <c r="P382">
        <v>0.2164465551119194</v>
      </c>
      <c r="Q382" t="s">
        <v>162</v>
      </c>
      <c r="S382" t="s">
        <v>435</v>
      </c>
      <c r="T382" t="s">
        <v>164</v>
      </c>
      <c r="U382">
        <v>0.21253764377685927</v>
      </c>
      <c r="V382" t="s">
        <v>162</v>
      </c>
    </row>
    <row r="383" spans="9:22" x14ac:dyDescent="0.45">
      <c r="I383" t="s">
        <v>211</v>
      </c>
      <c r="J383" t="s">
        <v>165</v>
      </c>
      <c r="K383">
        <v>2.6644471754516858E-2</v>
      </c>
      <c r="L383" t="s">
        <v>162</v>
      </c>
      <c r="N383" t="s">
        <v>323</v>
      </c>
      <c r="O383" t="s">
        <v>165</v>
      </c>
      <c r="P383">
        <v>6.6104400019768472E-2</v>
      </c>
      <c r="Q383" t="s">
        <v>162</v>
      </c>
      <c r="S383" t="s">
        <v>435</v>
      </c>
      <c r="T383" t="s">
        <v>165</v>
      </c>
      <c r="U383">
        <v>6.3773662196072584E-2</v>
      </c>
      <c r="V383" t="s">
        <v>162</v>
      </c>
    </row>
    <row r="384" spans="9:22" x14ac:dyDescent="0.45">
      <c r="I384" t="s">
        <v>211</v>
      </c>
      <c r="J384" t="s">
        <v>166</v>
      </c>
      <c r="K384">
        <v>0</v>
      </c>
      <c r="L384" t="s">
        <v>162</v>
      </c>
      <c r="N384" t="s">
        <v>323</v>
      </c>
      <c r="O384" t="s">
        <v>166</v>
      </c>
      <c r="P384">
        <v>3.8898996000857641E-3</v>
      </c>
      <c r="Q384" t="s">
        <v>162</v>
      </c>
      <c r="S384" t="s">
        <v>435</v>
      </c>
      <c r="T384" t="s">
        <v>166</v>
      </c>
      <c r="U384">
        <v>3.7253375159710354E-3</v>
      </c>
      <c r="V384" t="s">
        <v>162</v>
      </c>
    </row>
    <row r="385" spans="9:22" x14ac:dyDescent="0.45">
      <c r="I385" t="s">
        <v>211</v>
      </c>
      <c r="J385" t="s">
        <v>167</v>
      </c>
      <c r="K385">
        <v>0</v>
      </c>
      <c r="L385" t="s">
        <v>162</v>
      </c>
      <c r="N385" t="s">
        <v>323</v>
      </c>
      <c r="O385" t="s">
        <v>167</v>
      </c>
      <c r="P385">
        <v>2.7016531238012301E-2</v>
      </c>
      <c r="Q385" t="s">
        <v>162</v>
      </c>
      <c r="S385" t="s">
        <v>435</v>
      </c>
      <c r="T385" t="s">
        <v>167</v>
      </c>
      <c r="U385">
        <v>2.2517998964670358E-2</v>
      </c>
      <c r="V385" t="s">
        <v>162</v>
      </c>
    </row>
    <row r="386" spans="9:22" x14ac:dyDescent="0.45">
      <c r="I386" t="s">
        <v>211</v>
      </c>
      <c r="J386" t="s">
        <v>168</v>
      </c>
      <c r="K386">
        <v>1.3696641775692391E-2</v>
      </c>
      <c r="L386" t="s">
        <v>162</v>
      </c>
      <c r="N386" t="s">
        <v>323</v>
      </c>
      <c r="O386" t="s">
        <v>168</v>
      </c>
      <c r="P386">
        <v>6.5343877925459357E-2</v>
      </c>
      <c r="Q386" t="s">
        <v>162</v>
      </c>
      <c r="S386" t="s">
        <v>435</v>
      </c>
      <c r="T386" t="s">
        <v>168</v>
      </c>
      <c r="U386">
        <v>5.3519271223918155E-2</v>
      </c>
      <c r="V386" t="s">
        <v>162</v>
      </c>
    </row>
    <row r="387" spans="9:22" x14ac:dyDescent="0.45">
      <c r="I387" t="s">
        <v>211</v>
      </c>
      <c r="J387" t="s">
        <v>169</v>
      </c>
      <c r="K387">
        <v>0</v>
      </c>
      <c r="L387" t="s">
        <v>162</v>
      </c>
      <c r="N387" t="s">
        <v>323</v>
      </c>
      <c r="O387" t="s">
        <v>169</v>
      </c>
      <c r="P387">
        <v>4.0756870652316497E-3</v>
      </c>
      <c r="Q387" t="s">
        <v>162</v>
      </c>
      <c r="S387" t="s">
        <v>435</v>
      </c>
      <c r="T387" t="s">
        <v>169</v>
      </c>
      <c r="U387">
        <v>2.9866565761356347E-3</v>
      </c>
      <c r="V387" t="s">
        <v>162</v>
      </c>
    </row>
    <row r="388" spans="9:22" x14ac:dyDescent="0.45">
      <c r="I388" t="s">
        <v>211</v>
      </c>
      <c r="J388" t="s">
        <v>170</v>
      </c>
      <c r="K388">
        <v>0</v>
      </c>
      <c r="L388" t="s">
        <v>162</v>
      </c>
      <c r="N388" t="s">
        <v>323</v>
      </c>
      <c r="O388" t="s">
        <v>170</v>
      </c>
      <c r="P388">
        <v>2.4855122241671843E-2</v>
      </c>
      <c r="Q388" t="s">
        <v>162</v>
      </c>
      <c r="S388" t="s">
        <v>435</v>
      </c>
      <c r="T388" t="s">
        <v>170</v>
      </c>
      <c r="U388">
        <v>1.7446895543917533E-2</v>
      </c>
      <c r="V388" t="s">
        <v>162</v>
      </c>
    </row>
    <row r="389" spans="9:22" x14ac:dyDescent="0.45">
      <c r="I389" t="s">
        <v>212</v>
      </c>
      <c r="J389" t="s">
        <v>161</v>
      </c>
      <c r="K389">
        <v>0.84453039327968016</v>
      </c>
      <c r="L389" t="s">
        <v>162</v>
      </c>
      <c r="N389" t="s">
        <v>324</v>
      </c>
      <c r="O389" t="s">
        <v>161</v>
      </c>
      <c r="P389">
        <v>0.55750425286628025</v>
      </c>
      <c r="Q389" t="s">
        <v>162</v>
      </c>
      <c r="S389" t="s">
        <v>436</v>
      </c>
      <c r="T389" t="s">
        <v>161</v>
      </c>
      <c r="U389">
        <v>0.58532336531683127</v>
      </c>
      <c r="V389" t="s">
        <v>162</v>
      </c>
    </row>
    <row r="390" spans="9:22" x14ac:dyDescent="0.45">
      <c r="I390" t="s">
        <v>212</v>
      </c>
      <c r="J390" t="s">
        <v>163</v>
      </c>
      <c r="K390">
        <v>4.9565631692185794E-2</v>
      </c>
      <c r="L390" t="s">
        <v>162</v>
      </c>
      <c r="N390" t="s">
        <v>324</v>
      </c>
      <c r="O390" t="s">
        <v>163</v>
      </c>
      <c r="P390">
        <v>3.0536441051116574E-2</v>
      </c>
      <c r="Q390" t="s">
        <v>162</v>
      </c>
      <c r="S390" t="s">
        <v>436</v>
      </c>
      <c r="T390" t="s">
        <v>163</v>
      </c>
      <c r="U390">
        <v>3.4805963720353467E-2</v>
      </c>
      <c r="V390" t="s">
        <v>162</v>
      </c>
    </row>
    <row r="391" spans="9:22" x14ac:dyDescent="0.45">
      <c r="I391" t="s">
        <v>212</v>
      </c>
      <c r="J391" t="s">
        <v>164</v>
      </c>
      <c r="K391">
        <v>5.6941960454022181E-2</v>
      </c>
      <c r="L391" t="s">
        <v>162</v>
      </c>
      <c r="N391" t="s">
        <v>324</v>
      </c>
      <c r="O391" t="s">
        <v>164</v>
      </c>
      <c r="P391">
        <v>0.21581260902459873</v>
      </c>
      <c r="Q391" t="s">
        <v>162</v>
      </c>
      <c r="S391" t="s">
        <v>436</v>
      </c>
      <c r="T391" t="s">
        <v>164</v>
      </c>
      <c r="U391">
        <v>0.21501085401423267</v>
      </c>
      <c r="V391" t="s">
        <v>162</v>
      </c>
    </row>
    <row r="392" spans="9:22" x14ac:dyDescent="0.45">
      <c r="I392" t="s">
        <v>212</v>
      </c>
      <c r="J392" t="s">
        <v>165</v>
      </c>
      <c r="K392">
        <v>3.260986845749058E-2</v>
      </c>
      <c r="L392" t="s">
        <v>162</v>
      </c>
      <c r="N392" t="s">
        <v>324</v>
      </c>
      <c r="O392" t="s">
        <v>165</v>
      </c>
      <c r="P392">
        <v>7.1773821010797434E-2</v>
      </c>
      <c r="Q392" t="s">
        <v>162</v>
      </c>
      <c r="S392" t="s">
        <v>436</v>
      </c>
      <c r="T392" t="s">
        <v>165</v>
      </c>
      <c r="U392">
        <v>6.0182180392650476E-2</v>
      </c>
      <c r="V392" t="s">
        <v>162</v>
      </c>
    </row>
    <row r="393" spans="9:22" x14ac:dyDescent="0.45">
      <c r="I393" t="s">
        <v>212</v>
      </c>
      <c r="J393" t="s">
        <v>166</v>
      </c>
      <c r="K393">
        <v>0</v>
      </c>
      <c r="L393" t="s">
        <v>162</v>
      </c>
      <c r="N393" t="s">
        <v>324</v>
      </c>
      <c r="O393" t="s">
        <v>166</v>
      </c>
      <c r="P393">
        <v>4.4912022753059513E-3</v>
      </c>
      <c r="Q393" t="s">
        <v>162</v>
      </c>
      <c r="S393" t="s">
        <v>436</v>
      </c>
      <c r="T393" t="s">
        <v>166</v>
      </c>
      <c r="U393">
        <v>3.5879148126155371E-3</v>
      </c>
      <c r="V393" t="s">
        <v>162</v>
      </c>
    </row>
    <row r="394" spans="9:22" x14ac:dyDescent="0.45">
      <c r="I394" t="s">
        <v>212</v>
      </c>
      <c r="J394" t="s">
        <v>167</v>
      </c>
      <c r="K394">
        <v>0</v>
      </c>
      <c r="L394" t="s">
        <v>162</v>
      </c>
      <c r="N394" t="s">
        <v>324</v>
      </c>
      <c r="O394" t="s">
        <v>167</v>
      </c>
      <c r="P394">
        <v>2.7918188164807723E-2</v>
      </c>
      <c r="Q394" t="s">
        <v>162</v>
      </c>
      <c r="S394" t="s">
        <v>436</v>
      </c>
      <c r="T394" t="s">
        <v>167</v>
      </c>
      <c r="U394">
        <v>2.1831504068394819E-2</v>
      </c>
      <c r="V394" t="s">
        <v>162</v>
      </c>
    </row>
    <row r="395" spans="9:22" x14ac:dyDescent="0.45">
      <c r="I395" t="s">
        <v>212</v>
      </c>
      <c r="J395" t="s">
        <v>168</v>
      </c>
      <c r="K395">
        <v>1.6352146116620107E-2</v>
      </c>
      <c r="L395" t="s">
        <v>162</v>
      </c>
      <c r="N395" t="s">
        <v>324</v>
      </c>
      <c r="O395" t="s">
        <v>168</v>
      </c>
      <c r="P395">
        <v>6.1983285081784675E-2</v>
      </c>
      <c r="Q395" t="s">
        <v>162</v>
      </c>
      <c r="S395" t="s">
        <v>436</v>
      </c>
      <c r="T395" t="s">
        <v>168</v>
      </c>
      <c r="U395">
        <v>5.7592900298248761E-2</v>
      </c>
      <c r="V395" t="s">
        <v>162</v>
      </c>
    </row>
    <row r="396" spans="9:22" x14ac:dyDescent="0.45">
      <c r="I396" t="s">
        <v>212</v>
      </c>
      <c r="J396" t="s">
        <v>169</v>
      </c>
      <c r="K396">
        <v>0</v>
      </c>
      <c r="L396" t="s">
        <v>162</v>
      </c>
      <c r="N396" t="s">
        <v>324</v>
      </c>
      <c r="O396" t="s">
        <v>169</v>
      </c>
      <c r="P396">
        <v>4.3029693869104171E-3</v>
      </c>
      <c r="Q396" t="s">
        <v>162</v>
      </c>
      <c r="S396" t="s">
        <v>436</v>
      </c>
      <c r="T396" t="s">
        <v>169</v>
      </c>
      <c r="U396">
        <v>3.2827713261413616E-3</v>
      </c>
      <c r="V396" t="s">
        <v>162</v>
      </c>
    </row>
    <row r="397" spans="9:22" x14ac:dyDescent="0.45">
      <c r="I397" t="s">
        <v>212</v>
      </c>
      <c r="J397" t="s">
        <v>170</v>
      </c>
      <c r="K397">
        <v>0</v>
      </c>
      <c r="L397" t="s">
        <v>162</v>
      </c>
      <c r="N397" t="s">
        <v>324</v>
      </c>
      <c r="O397" t="s">
        <v>170</v>
      </c>
      <c r="P397">
        <v>2.5677231138397705E-2</v>
      </c>
      <c r="Q397" t="s">
        <v>162</v>
      </c>
      <c r="S397" t="s">
        <v>436</v>
      </c>
      <c r="T397" t="s">
        <v>170</v>
      </c>
      <c r="U397">
        <v>1.8382546050532928E-2</v>
      </c>
      <c r="V397" t="s">
        <v>162</v>
      </c>
    </row>
    <row r="398" spans="9:22" x14ac:dyDescent="0.45">
      <c r="I398" t="s">
        <v>213</v>
      </c>
      <c r="J398" t="s">
        <v>161</v>
      </c>
      <c r="K398">
        <v>0.86260892017723001</v>
      </c>
      <c r="L398" t="s">
        <v>162</v>
      </c>
      <c r="N398" t="s">
        <v>325</v>
      </c>
      <c r="O398" t="s">
        <v>161</v>
      </c>
      <c r="P398">
        <v>0.50368912017598622</v>
      </c>
      <c r="Q398" t="s">
        <v>162</v>
      </c>
      <c r="S398" t="s">
        <v>437</v>
      </c>
      <c r="T398" t="s">
        <v>161</v>
      </c>
      <c r="U398">
        <v>0.59389259496378499</v>
      </c>
      <c r="V398" t="s">
        <v>162</v>
      </c>
    </row>
    <row r="399" spans="9:22" x14ac:dyDescent="0.45">
      <c r="I399" t="s">
        <v>213</v>
      </c>
      <c r="J399" t="s">
        <v>163</v>
      </c>
      <c r="K399">
        <v>4.7962914250200883E-2</v>
      </c>
      <c r="L399" t="s">
        <v>162</v>
      </c>
      <c r="N399" t="s">
        <v>325</v>
      </c>
      <c r="O399" t="s">
        <v>163</v>
      </c>
      <c r="P399">
        <v>3.0607170593314349E-2</v>
      </c>
      <c r="Q399" t="s">
        <v>162</v>
      </c>
      <c r="S399" t="s">
        <v>437</v>
      </c>
      <c r="T399" t="s">
        <v>163</v>
      </c>
      <c r="U399">
        <v>3.4819346978852507E-2</v>
      </c>
      <c r="V399" t="s">
        <v>162</v>
      </c>
    </row>
    <row r="400" spans="9:22" x14ac:dyDescent="0.45">
      <c r="I400" t="s">
        <v>213</v>
      </c>
      <c r="J400" t="s">
        <v>164</v>
      </c>
      <c r="K400">
        <v>5.3752550462965849E-2</v>
      </c>
      <c r="L400" t="s">
        <v>162</v>
      </c>
      <c r="N400" t="s">
        <v>325</v>
      </c>
      <c r="O400" t="s">
        <v>164</v>
      </c>
      <c r="P400">
        <v>0.1893288457874624</v>
      </c>
      <c r="Q400" t="s">
        <v>162</v>
      </c>
      <c r="S400" t="s">
        <v>437</v>
      </c>
      <c r="T400" t="s">
        <v>164</v>
      </c>
      <c r="U400">
        <v>0.21843766668792816</v>
      </c>
      <c r="V400" t="s">
        <v>162</v>
      </c>
    </row>
    <row r="401" spans="9:22" x14ac:dyDescent="0.45">
      <c r="I401" t="s">
        <v>213</v>
      </c>
      <c r="J401" t="s">
        <v>165</v>
      </c>
      <c r="K401">
        <v>2.0871149246212566E-2</v>
      </c>
      <c r="L401" t="s">
        <v>162</v>
      </c>
      <c r="N401" t="s">
        <v>325</v>
      </c>
      <c r="O401" t="s">
        <v>165</v>
      </c>
      <c r="P401">
        <v>7.9496222335026998E-2</v>
      </c>
      <c r="Q401" t="s">
        <v>162</v>
      </c>
      <c r="S401" t="s">
        <v>437</v>
      </c>
      <c r="T401" t="s">
        <v>165</v>
      </c>
      <c r="U401">
        <v>5.541747176201816E-2</v>
      </c>
      <c r="V401" t="s">
        <v>162</v>
      </c>
    </row>
    <row r="402" spans="9:22" x14ac:dyDescent="0.45">
      <c r="I402" t="s">
        <v>213</v>
      </c>
      <c r="J402" t="s">
        <v>166</v>
      </c>
      <c r="K402">
        <v>0</v>
      </c>
      <c r="L402" t="s">
        <v>162</v>
      </c>
      <c r="N402" t="s">
        <v>325</v>
      </c>
      <c r="O402" t="s">
        <v>166</v>
      </c>
      <c r="P402">
        <v>4.9258075944387429E-3</v>
      </c>
      <c r="Q402" t="s">
        <v>162</v>
      </c>
      <c r="S402" t="s">
        <v>437</v>
      </c>
      <c r="T402" t="s">
        <v>166</v>
      </c>
      <c r="U402">
        <v>3.7908200852361717E-3</v>
      </c>
      <c r="V402" t="s">
        <v>162</v>
      </c>
    </row>
    <row r="403" spans="9:22" x14ac:dyDescent="0.45">
      <c r="I403" t="s">
        <v>213</v>
      </c>
      <c r="J403" t="s">
        <v>167</v>
      </c>
      <c r="K403">
        <v>0</v>
      </c>
      <c r="L403" t="s">
        <v>162</v>
      </c>
      <c r="N403" t="s">
        <v>325</v>
      </c>
      <c r="O403" t="s">
        <v>167</v>
      </c>
      <c r="P403">
        <v>3.1145004582256535E-2</v>
      </c>
      <c r="Q403" t="s">
        <v>162</v>
      </c>
      <c r="S403" t="s">
        <v>437</v>
      </c>
      <c r="T403" t="s">
        <v>167</v>
      </c>
      <c r="U403">
        <v>2.2189783674869783E-2</v>
      </c>
      <c r="V403" t="s">
        <v>162</v>
      </c>
    </row>
    <row r="404" spans="9:22" x14ac:dyDescent="0.45">
      <c r="I404" t="s">
        <v>213</v>
      </c>
      <c r="J404" t="s">
        <v>168</v>
      </c>
      <c r="K404">
        <v>1.480446586339172E-2</v>
      </c>
      <c r="L404" t="s">
        <v>162</v>
      </c>
      <c r="N404" t="s">
        <v>325</v>
      </c>
      <c r="O404" t="s">
        <v>168</v>
      </c>
      <c r="P404">
        <v>0.11619299902435339</v>
      </c>
      <c r="Q404" t="s">
        <v>162</v>
      </c>
      <c r="S404" t="s">
        <v>437</v>
      </c>
      <c r="T404" t="s">
        <v>168</v>
      </c>
      <c r="U404">
        <v>5.0894769730418246E-2</v>
      </c>
      <c r="V404" t="s">
        <v>162</v>
      </c>
    </row>
    <row r="405" spans="9:22" x14ac:dyDescent="0.45">
      <c r="I405" t="s">
        <v>213</v>
      </c>
      <c r="J405" t="s">
        <v>169</v>
      </c>
      <c r="K405">
        <v>0</v>
      </c>
      <c r="L405" t="s">
        <v>162</v>
      </c>
      <c r="N405" t="s">
        <v>325</v>
      </c>
      <c r="O405" t="s">
        <v>169</v>
      </c>
      <c r="P405">
        <v>5.4786569770970926E-3</v>
      </c>
      <c r="Q405" t="s">
        <v>162</v>
      </c>
      <c r="S405" t="s">
        <v>437</v>
      </c>
      <c r="T405" t="s">
        <v>169</v>
      </c>
      <c r="U405">
        <v>3.0300429102171336E-3</v>
      </c>
      <c r="V405" t="s">
        <v>162</v>
      </c>
    </row>
    <row r="406" spans="9:22" x14ac:dyDescent="0.45">
      <c r="I406" t="s">
        <v>213</v>
      </c>
      <c r="J406" t="s">
        <v>170</v>
      </c>
      <c r="K406">
        <v>0</v>
      </c>
      <c r="L406" t="s">
        <v>162</v>
      </c>
      <c r="N406" t="s">
        <v>325</v>
      </c>
      <c r="O406" t="s">
        <v>170</v>
      </c>
      <c r="P406">
        <v>3.913617293006337E-2</v>
      </c>
      <c r="Q406" t="s">
        <v>162</v>
      </c>
      <c r="S406" t="s">
        <v>437</v>
      </c>
      <c r="T406" t="s">
        <v>170</v>
      </c>
      <c r="U406">
        <v>1.7527503206675853E-2</v>
      </c>
      <c r="V406" t="s">
        <v>162</v>
      </c>
    </row>
    <row r="407" spans="9:22" x14ac:dyDescent="0.45">
      <c r="I407" t="s">
        <v>214</v>
      </c>
      <c r="J407" t="s">
        <v>161</v>
      </c>
      <c r="K407">
        <v>0.8601163561027394</v>
      </c>
      <c r="L407" t="s">
        <v>162</v>
      </c>
      <c r="N407" t="s">
        <v>326</v>
      </c>
      <c r="O407" t="s">
        <v>161</v>
      </c>
      <c r="P407">
        <v>0.53573032190648862</v>
      </c>
      <c r="Q407" t="s">
        <v>162</v>
      </c>
      <c r="S407" t="s">
        <v>438</v>
      </c>
      <c r="T407" t="s">
        <v>161</v>
      </c>
      <c r="U407">
        <v>0.59120244842048197</v>
      </c>
      <c r="V407" t="s">
        <v>162</v>
      </c>
    </row>
    <row r="408" spans="9:22" x14ac:dyDescent="0.45">
      <c r="I408" t="s">
        <v>214</v>
      </c>
      <c r="J408" t="s">
        <v>163</v>
      </c>
      <c r="K408">
        <v>4.469080237460734E-2</v>
      </c>
      <c r="L408" t="s">
        <v>162</v>
      </c>
      <c r="N408" t="s">
        <v>326</v>
      </c>
      <c r="O408" t="s">
        <v>163</v>
      </c>
      <c r="P408">
        <v>3.0265351053080571E-2</v>
      </c>
      <c r="Q408" t="s">
        <v>162</v>
      </c>
      <c r="S408" t="s">
        <v>438</v>
      </c>
      <c r="T408" t="s">
        <v>163</v>
      </c>
      <c r="U408">
        <v>3.5563326732097958E-2</v>
      </c>
      <c r="V408" t="s">
        <v>162</v>
      </c>
    </row>
    <row r="409" spans="9:22" x14ac:dyDescent="0.45">
      <c r="I409" t="s">
        <v>214</v>
      </c>
      <c r="J409" t="s">
        <v>164</v>
      </c>
      <c r="K409">
        <v>4.486004140640356E-2</v>
      </c>
      <c r="L409" t="s">
        <v>162</v>
      </c>
      <c r="N409" t="s">
        <v>326</v>
      </c>
      <c r="O409" t="s">
        <v>164</v>
      </c>
      <c r="P409">
        <v>0.22787187997001468</v>
      </c>
      <c r="Q409" t="s">
        <v>162</v>
      </c>
      <c r="S409" t="s">
        <v>438</v>
      </c>
      <c r="T409" t="s">
        <v>164</v>
      </c>
      <c r="U409">
        <v>0.21969401927905988</v>
      </c>
      <c r="V409" t="s">
        <v>162</v>
      </c>
    </row>
    <row r="410" spans="9:22" x14ac:dyDescent="0.45">
      <c r="I410" t="s">
        <v>214</v>
      </c>
      <c r="J410" t="s">
        <v>165</v>
      </c>
      <c r="K410">
        <v>3.1185267306339613E-2</v>
      </c>
      <c r="L410" t="s">
        <v>162</v>
      </c>
      <c r="N410" t="s">
        <v>326</v>
      </c>
      <c r="O410" t="s">
        <v>165</v>
      </c>
      <c r="P410">
        <v>6.1454277762550955E-2</v>
      </c>
      <c r="Q410" t="s">
        <v>162</v>
      </c>
      <c r="S410" t="s">
        <v>438</v>
      </c>
      <c r="T410" t="s">
        <v>165</v>
      </c>
      <c r="U410">
        <v>5.512470587471581E-2</v>
      </c>
      <c r="V410" t="s">
        <v>162</v>
      </c>
    </row>
    <row r="411" spans="9:22" x14ac:dyDescent="0.45">
      <c r="I411" t="s">
        <v>214</v>
      </c>
      <c r="J411" t="s">
        <v>166</v>
      </c>
      <c r="K411">
        <v>0</v>
      </c>
      <c r="L411" t="s">
        <v>162</v>
      </c>
      <c r="N411" t="s">
        <v>326</v>
      </c>
      <c r="O411" t="s">
        <v>166</v>
      </c>
      <c r="P411">
        <v>4.3094929342331126E-3</v>
      </c>
      <c r="Q411" t="s">
        <v>162</v>
      </c>
      <c r="S411" t="s">
        <v>438</v>
      </c>
      <c r="T411" t="s">
        <v>166</v>
      </c>
      <c r="U411">
        <v>3.7044701246539027E-3</v>
      </c>
      <c r="V411" t="s">
        <v>162</v>
      </c>
    </row>
    <row r="412" spans="9:22" x14ac:dyDescent="0.45">
      <c r="I412" t="s">
        <v>214</v>
      </c>
      <c r="J412" t="s">
        <v>167</v>
      </c>
      <c r="K412">
        <v>0</v>
      </c>
      <c r="L412" t="s">
        <v>162</v>
      </c>
      <c r="N412" t="s">
        <v>326</v>
      </c>
      <c r="O412" t="s">
        <v>167</v>
      </c>
      <c r="P412">
        <v>2.6837264188295351E-2</v>
      </c>
      <c r="Q412" t="s">
        <v>162</v>
      </c>
      <c r="S412" t="s">
        <v>438</v>
      </c>
      <c r="T412" t="s">
        <v>167</v>
      </c>
      <c r="U412">
        <v>2.2335212542405638E-2</v>
      </c>
      <c r="V412" t="s">
        <v>162</v>
      </c>
    </row>
    <row r="413" spans="9:22" x14ac:dyDescent="0.45">
      <c r="I413" t="s">
        <v>214</v>
      </c>
      <c r="J413" t="s">
        <v>168</v>
      </c>
      <c r="K413">
        <v>1.9147532809915012E-2</v>
      </c>
      <c r="L413" t="s">
        <v>162</v>
      </c>
      <c r="N413" t="s">
        <v>326</v>
      </c>
      <c r="O413" t="s">
        <v>168</v>
      </c>
      <c r="P413">
        <v>7.9821610605659218E-2</v>
      </c>
      <c r="Q413" t="s">
        <v>162</v>
      </c>
      <c r="S413" t="s">
        <v>438</v>
      </c>
      <c r="T413" t="s">
        <v>168</v>
      </c>
      <c r="U413">
        <v>5.1336935739122284E-2</v>
      </c>
      <c r="V413" t="s">
        <v>162</v>
      </c>
    </row>
    <row r="414" spans="9:22" x14ac:dyDescent="0.45">
      <c r="I414" t="s">
        <v>214</v>
      </c>
      <c r="J414" t="s">
        <v>169</v>
      </c>
      <c r="K414">
        <v>0</v>
      </c>
      <c r="L414" t="s">
        <v>162</v>
      </c>
      <c r="N414" t="s">
        <v>326</v>
      </c>
      <c r="O414" t="s">
        <v>169</v>
      </c>
      <c r="P414">
        <v>4.9478694893871798E-3</v>
      </c>
      <c r="Q414" t="s">
        <v>162</v>
      </c>
      <c r="S414" t="s">
        <v>438</v>
      </c>
      <c r="T414" t="s">
        <v>169</v>
      </c>
      <c r="U414">
        <v>3.1691330928418386E-3</v>
      </c>
      <c r="V414" t="s">
        <v>162</v>
      </c>
    </row>
    <row r="415" spans="9:22" x14ac:dyDescent="0.45">
      <c r="I415" t="s">
        <v>214</v>
      </c>
      <c r="J415" t="s">
        <v>170</v>
      </c>
      <c r="K415">
        <v>0</v>
      </c>
      <c r="L415" t="s">
        <v>162</v>
      </c>
      <c r="N415" t="s">
        <v>326</v>
      </c>
      <c r="O415" t="s">
        <v>170</v>
      </c>
      <c r="P415">
        <v>2.8761932090286966E-2</v>
      </c>
      <c r="Q415" t="s">
        <v>162</v>
      </c>
      <c r="S415" t="s">
        <v>438</v>
      </c>
      <c r="T415" t="s">
        <v>170</v>
      </c>
      <c r="U415">
        <v>1.7869748194624002E-2</v>
      </c>
      <c r="V415" t="s">
        <v>162</v>
      </c>
    </row>
    <row r="416" spans="9:22" x14ac:dyDescent="0.45">
      <c r="I416" t="s">
        <v>215</v>
      </c>
      <c r="J416" t="s">
        <v>161</v>
      </c>
      <c r="K416">
        <v>0.85586915280520837</v>
      </c>
      <c r="L416" t="s">
        <v>162</v>
      </c>
      <c r="N416" t="s">
        <v>327</v>
      </c>
      <c r="O416" t="s">
        <v>161</v>
      </c>
      <c r="P416">
        <v>0.53986392520017767</v>
      </c>
      <c r="Q416" t="s">
        <v>162</v>
      </c>
      <c r="S416" t="s">
        <v>439</v>
      </c>
      <c r="T416" t="s">
        <v>161</v>
      </c>
      <c r="U416">
        <v>0.56189220020193031</v>
      </c>
      <c r="V416" t="s">
        <v>162</v>
      </c>
    </row>
    <row r="417" spans="9:22" x14ac:dyDescent="0.45">
      <c r="I417" t="s">
        <v>215</v>
      </c>
      <c r="J417" t="s">
        <v>163</v>
      </c>
      <c r="K417">
        <v>4.5536777662084214E-2</v>
      </c>
      <c r="L417" t="s">
        <v>162</v>
      </c>
      <c r="N417" t="s">
        <v>327</v>
      </c>
      <c r="O417" t="s">
        <v>163</v>
      </c>
      <c r="P417">
        <v>3.4636227151580032E-2</v>
      </c>
      <c r="Q417" t="s">
        <v>162</v>
      </c>
      <c r="S417" t="s">
        <v>439</v>
      </c>
      <c r="T417" t="s">
        <v>163</v>
      </c>
      <c r="U417">
        <v>3.3096921612605273E-2</v>
      </c>
      <c r="V417" t="s">
        <v>162</v>
      </c>
    </row>
    <row r="418" spans="9:22" x14ac:dyDescent="0.45">
      <c r="I418" t="s">
        <v>215</v>
      </c>
      <c r="J418" t="s">
        <v>164</v>
      </c>
      <c r="K418">
        <v>4.4554732568093912E-2</v>
      </c>
      <c r="L418" t="s">
        <v>162</v>
      </c>
      <c r="N418" t="s">
        <v>327</v>
      </c>
      <c r="O418" t="s">
        <v>164</v>
      </c>
      <c r="P418">
        <v>0.19952723630177541</v>
      </c>
      <c r="Q418" t="s">
        <v>162</v>
      </c>
      <c r="S418" t="s">
        <v>439</v>
      </c>
      <c r="T418" t="s">
        <v>164</v>
      </c>
      <c r="U418">
        <v>0.19406686034440174</v>
      </c>
      <c r="V418" t="s">
        <v>162</v>
      </c>
    </row>
    <row r="419" spans="9:22" x14ac:dyDescent="0.45">
      <c r="I419" t="s">
        <v>215</v>
      </c>
      <c r="J419" t="s">
        <v>165</v>
      </c>
      <c r="K419">
        <v>3.031817027096927E-2</v>
      </c>
      <c r="L419" t="s">
        <v>162</v>
      </c>
      <c r="N419" t="s">
        <v>327</v>
      </c>
      <c r="O419" t="s">
        <v>165</v>
      </c>
      <c r="P419">
        <v>6.6045860030151754E-2</v>
      </c>
      <c r="Q419" t="s">
        <v>162</v>
      </c>
      <c r="S419" t="s">
        <v>439</v>
      </c>
      <c r="T419" t="s">
        <v>165</v>
      </c>
      <c r="U419">
        <v>8.175229111175783E-2</v>
      </c>
      <c r="V419" t="s">
        <v>162</v>
      </c>
    </row>
    <row r="420" spans="9:22" x14ac:dyDescent="0.45">
      <c r="I420" t="s">
        <v>215</v>
      </c>
      <c r="J420" t="s">
        <v>166</v>
      </c>
      <c r="K420">
        <v>0</v>
      </c>
      <c r="L420" t="s">
        <v>162</v>
      </c>
      <c r="N420" t="s">
        <v>327</v>
      </c>
      <c r="O420" t="s">
        <v>166</v>
      </c>
      <c r="P420">
        <v>4.1484136315970664E-3</v>
      </c>
      <c r="Q420" t="s">
        <v>162</v>
      </c>
      <c r="S420" t="s">
        <v>439</v>
      </c>
      <c r="T420" t="s">
        <v>166</v>
      </c>
      <c r="U420">
        <v>4.965593835662317E-3</v>
      </c>
      <c r="V420" t="s">
        <v>162</v>
      </c>
    </row>
    <row r="421" spans="9:22" x14ac:dyDescent="0.45">
      <c r="I421" t="s">
        <v>215</v>
      </c>
      <c r="J421" t="s">
        <v>167</v>
      </c>
      <c r="K421">
        <v>0</v>
      </c>
      <c r="L421" t="s">
        <v>162</v>
      </c>
      <c r="N421" t="s">
        <v>327</v>
      </c>
      <c r="O421" t="s">
        <v>167</v>
      </c>
      <c r="P421">
        <v>2.4633056992595753E-2</v>
      </c>
      <c r="Q421" t="s">
        <v>162</v>
      </c>
      <c r="S421" t="s">
        <v>439</v>
      </c>
      <c r="T421" t="s">
        <v>167</v>
      </c>
      <c r="U421">
        <v>2.9198250743712739E-2</v>
      </c>
      <c r="V421" t="s">
        <v>162</v>
      </c>
    </row>
    <row r="422" spans="9:22" x14ac:dyDescent="0.45">
      <c r="I422" t="s">
        <v>215</v>
      </c>
      <c r="J422" t="s">
        <v>168</v>
      </c>
      <c r="K422">
        <v>2.3721166693641726E-2</v>
      </c>
      <c r="L422" t="s">
        <v>162</v>
      </c>
      <c r="N422" t="s">
        <v>327</v>
      </c>
      <c r="O422" t="s">
        <v>168</v>
      </c>
      <c r="P422">
        <v>9.3746983456208979E-2</v>
      </c>
      <c r="Q422" t="s">
        <v>162</v>
      </c>
      <c r="S422" t="s">
        <v>439</v>
      </c>
      <c r="T422" t="s">
        <v>168</v>
      </c>
      <c r="U422">
        <v>6.7604644778331058E-2</v>
      </c>
      <c r="V422" t="s">
        <v>162</v>
      </c>
    </row>
    <row r="423" spans="9:22" x14ac:dyDescent="0.45">
      <c r="I423" t="s">
        <v>215</v>
      </c>
      <c r="J423" t="s">
        <v>169</v>
      </c>
      <c r="K423">
        <v>0</v>
      </c>
      <c r="L423" t="s">
        <v>162</v>
      </c>
      <c r="N423" t="s">
        <v>327</v>
      </c>
      <c r="O423" t="s">
        <v>169</v>
      </c>
      <c r="P423">
        <v>5.4303383667211394E-3</v>
      </c>
      <c r="Q423" t="s">
        <v>162</v>
      </c>
      <c r="S423" t="s">
        <v>439</v>
      </c>
      <c r="T423" t="s">
        <v>169</v>
      </c>
      <c r="U423">
        <v>3.9998279640486379E-3</v>
      </c>
      <c r="V423" t="s">
        <v>162</v>
      </c>
    </row>
    <row r="424" spans="9:22" x14ac:dyDescent="0.45">
      <c r="I424" t="s">
        <v>215</v>
      </c>
      <c r="J424" t="s">
        <v>170</v>
      </c>
      <c r="K424">
        <v>0</v>
      </c>
      <c r="L424" t="s">
        <v>162</v>
      </c>
      <c r="N424" t="s">
        <v>327</v>
      </c>
      <c r="O424" t="s">
        <v>170</v>
      </c>
      <c r="P424">
        <v>3.1967958869194409E-2</v>
      </c>
      <c r="Q424" t="s">
        <v>162</v>
      </c>
      <c r="S424" t="s">
        <v>439</v>
      </c>
      <c r="T424" t="s">
        <v>170</v>
      </c>
      <c r="U424">
        <v>2.3423409407549743E-2</v>
      </c>
      <c r="V424" t="s">
        <v>162</v>
      </c>
    </row>
    <row r="425" spans="9:22" x14ac:dyDescent="0.45">
      <c r="I425" t="s">
        <v>216</v>
      </c>
      <c r="J425" t="s">
        <v>161</v>
      </c>
      <c r="K425">
        <v>0.81081118829873089</v>
      </c>
      <c r="L425" t="s">
        <v>162</v>
      </c>
      <c r="N425" t="s">
        <v>328</v>
      </c>
      <c r="O425" t="s">
        <v>161</v>
      </c>
      <c r="P425">
        <v>0.54381310512633962</v>
      </c>
      <c r="Q425" t="s">
        <v>162</v>
      </c>
      <c r="S425" t="s">
        <v>440</v>
      </c>
      <c r="T425" t="s">
        <v>161</v>
      </c>
      <c r="U425">
        <v>0.56405384146191351</v>
      </c>
      <c r="V425" t="s">
        <v>162</v>
      </c>
    </row>
    <row r="426" spans="9:22" x14ac:dyDescent="0.45">
      <c r="I426" t="s">
        <v>216</v>
      </c>
      <c r="J426" t="s">
        <v>163</v>
      </c>
      <c r="K426">
        <v>5.9236407239667388E-2</v>
      </c>
      <c r="L426" t="s">
        <v>162</v>
      </c>
      <c r="N426" t="s">
        <v>328</v>
      </c>
      <c r="O426" t="s">
        <v>163</v>
      </c>
      <c r="P426">
        <v>2.8569058529310961E-2</v>
      </c>
      <c r="Q426" t="s">
        <v>162</v>
      </c>
      <c r="S426" t="s">
        <v>440</v>
      </c>
      <c r="T426" t="s">
        <v>163</v>
      </c>
      <c r="U426">
        <v>3.4083275683378024E-2</v>
      </c>
      <c r="V426" t="s">
        <v>162</v>
      </c>
    </row>
    <row r="427" spans="9:22" x14ac:dyDescent="0.45">
      <c r="I427" t="s">
        <v>216</v>
      </c>
      <c r="J427" t="s">
        <v>164</v>
      </c>
      <c r="K427">
        <v>7.6754299125618888E-2</v>
      </c>
      <c r="L427" t="s">
        <v>162</v>
      </c>
      <c r="N427" t="s">
        <v>328</v>
      </c>
      <c r="O427" t="s">
        <v>164</v>
      </c>
      <c r="P427">
        <v>0.22806863601478597</v>
      </c>
      <c r="Q427" t="s">
        <v>162</v>
      </c>
      <c r="S427" t="s">
        <v>440</v>
      </c>
      <c r="T427" t="s">
        <v>164</v>
      </c>
      <c r="U427">
        <v>0.20545878811259755</v>
      </c>
      <c r="V427" t="s">
        <v>162</v>
      </c>
    </row>
    <row r="428" spans="9:22" x14ac:dyDescent="0.45">
      <c r="I428" t="s">
        <v>216</v>
      </c>
      <c r="J428" t="s">
        <v>165</v>
      </c>
      <c r="K428">
        <v>2.9084488960025801E-2</v>
      </c>
      <c r="L428" t="s">
        <v>162</v>
      </c>
      <c r="N428" t="s">
        <v>328</v>
      </c>
      <c r="O428" t="s">
        <v>165</v>
      </c>
      <c r="P428">
        <v>5.7850861781644024E-2</v>
      </c>
      <c r="Q428" t="s">
        <v>162</v>
      </c>
      <c r="S428" t="s">
        <v>440</v>
      </c>
      <c r="T428" t="s">
        <v>165</v>
      </c>
      <c r="U428">
        <v>7.7271358639110263E-2</v>
      </c>
      <c r="V428" t="s">
        <v>162</v>
      </c>
    </row>
    <row r="429" spans="9:22" x14ac:dyDescent="0.45">
      <c r="I429" t="s">
        <v>216</v>
      </c>
      <c r="J429" t="s">
        <v>166</v>
      </c>
      <c r="K429">
        <v>1.3195208652123499E-6</v>
      </c>
      <c r="L429" t="s">
        <v>162</v>
      </c>
      <c r="N429" t="s">
        <v>328</v>
      </c>
      <c r="O429" t="s">
        <v>166</v>
      </c>
      <c r="P429">
        <v>3.3243009960543415E-3</v>
      </c>
      <c r="Q429" t="s">
        <v>162</v>
      </c>
      <c r="S429" t="s">
        <v>440</v>
      </c>
      <c r="T429" t="s">
        <v>166</v>
      </c>
      <c r="U429">
        <v>4.2045365805033616E-3</v>
      </c>
      <c r="V429" t="s">
        <v>162</v>
      </c>
    </row>
    <row r="430" spans="9:22" x14ac:dyDescent="0.45">
      <c r="I430" t="s">
        <v>216</v>
      </c>
      <c r="J430" t="s">
        <v>167</v>
      </c>
      <c r="K430">
        <v>0</v>
      </c>
      <c r="L430" t="s">
        <v>162</v>
      </c>
      <c r="N430" t="s">
        <v>328</v>
      </c>
      <c r="O430" t="s">
        <v>167</v>
      </c>
      <c r="P430">
        <v>2.2717000338363588E-2</v>
      </c>
      <c r="Q430" t="s">
        <v>162</v>
      </c>
      <c r="S430" t="s">
        <v>440</v>
      </c>
      <c r="T430" t="s">
        <v>167</v>
      </c>
      <c r="U430">
        <v>2.5582844236285394E-2</v>
      </c>
      <c r="V430" t="s">
        <v>162</v>
      </c>
    </row>
    <row r="431" spans="9:22" x14ac:dyDescent="0.45">
      <c r="I431" t="s">
        <v>216</v>
      </c>
      <c r="J431" t="s">
        <v>168</v>
      </c>
      <c r="K431">
        <v>2.4112296855090976E-2</v>
      </c>
      <c r="L431" t="s">
        <v>162</v>
      </c>
      <c r="N431" t="s">
        <v>328</v>
      </c>
      <c r="O431" t="s">
        <v>168</v>
      </c>
      <c r="P431">
        <v>8.1069001033060098E-2</v>
      </c>
      <c r="Q431" t="s">
        <v>162</v>
      </c>
      <c r="S431" t="s">
        <v>440</v>
      </c>
      <c r="T431" t="s">
        <v>168</v>
      </c>
      <c r="U431">
        <v>6.2358436577205037E-2</v>
      </c>
      <c r="V431" t="s">
        <v>162</v>
      </c>
    </row>
    <row r="432" spans="9:22" x14ac:dyDescent="0.45">
      <c r="I432" t="s">
        <v>216</v>
      </c>
      <c r="J432" t="s">
        <v>169</v>
      </c>
      <c r="K432">
        <v>0</v>
      </c>
      <c r="L432" t="s">
        <v>162</v>
      </c>
      <c r="N432" t="s">
        <v>328</v>
      </c>
      <c r="O432" t="s">
        <v>169</v>
      </c>
      <c r="P432">
        <v>4.7226455205193708E-3</v>
      </c>
      <c r="Q432" t="s">
        <v>162</v>
      </c>
      <c r="S432" t="s">
        <v>440</v>
      </c>
      <c r="T432" t="s">
        <v>169</v>
      </c>
      <c r="U432">
        <v>3.8917666369837284E-3</v>
      </c>
      <c r="V432" t="s">
        <v>162</v>
      </c>
    </row>
    <row r="433" spans="9:22" x14ac:dyDescent="0.45">
      <c r="I433" t="s">
        <v>216</v>
      </c>
      <c r="J433" t="s">
        <v>170</v>
      </c>
      <c r="K433">
        <v>0</v>
      </c>
      <c r="L433" t="s">
        <v>162</v>
      </c>
      <c r="N433" t="s">
        <v>328</v>
      </c>
      <c r="O433" t="s">
        <v>170</v>
      </c>
      <c r="P433">
        <v>2.9865390659924971E-2</v>
      </c>
      <c r="Q433" t="s">
        <v>162</v>
      </c>
      <c r="S433" t="s">
        <v>440</v>
      </c>
      <c r="T433" t="s">
        <v>170</v>
      </c>
      <c r="U433">
        <v>2.3095152072022052E-2</v>
      </c>
      <c r="V433" t="s">
        <v>162</v>
      </c>
    </row>
    <row r="434" spans="9:22" x14ac:dyDescent="0.45">
      <c r="I434" t="s">
        <v>217</v>
      </c>
      <c r="J434" t="s">
        <v>161</v>
      </c>
      <c r="K434">
        <v>0.8551643322607908</v>
      </c>
      <c r="L434" t="s">
        <v>162</v>
      </c>
      <c r="N434" t="s">
        <v>329</v>
      </c>
      <c r="O434" t="s">
        <v>161</v>
      </c>
      <c r="P434">
        <v>0.54854827857929689</v>
      </c>
      <c r="Q434" t="s">
        <v>162</v>
      </c>
      <c r="S434" t="s">
        <v>441</v>
      </c>
      <c r="T434" t="s">
        <v>161</v>
      </c>
      <c r="U434">
        <v>0.56356501548518867</v>
      </c>
      <c r="V434" t="s">
        <v>162</v>
      </c>
    </row>
    <row r="435" spans="9:22" x14ac:dyDescent="0.45">
      <c r="I435" t="s">
        <v>217</v>
      </c>
      <c r="J435" t="s">
        <v>163</v>
      </c>
      <c r="K435">
        <v>4.774312933514311E-2</v>
      </c>
      <c r="L435" t="s">
        <v>162</v>
      </c>
      <c r="N435" t="s">
        <v>329</v>
      </c>
      <c r="O435" t="s">
        <v>163</v>
      </c>
      <c r="P435">
        <v>3.0170208097024045E-2</v>
      </c>
      <c r="Q435" t="s">
        <v>162</v>
      </c>
      <c r="S435" t="s">
        <v>441</v>
      </c>
      <c r="T435" t="s">
        <v>163</v>
      </c>
      <c r="U435">
        <v>3.3649589668732535E-2</v>
      </c>
      <c r="V435" t="s">
        <v>162</v>
      </c>
    </row>
    <row r="436" spans="9:22" x14ac:dyDescent="0.45">
      <c r="I436" t="s">
        <v>217</v>
      </c>
      <c r="J436" t="s">
        <v>164</v>
      </c>
      <c r="K436">
        <v>4.1852335889589871E-2</v>
      </c>
      <c r="L436" t="s">
        <v>162</v>
      </c>
      <c r="N436" t="s">
        <v>329</v>
      </c>
      <c r="O436" t="s">
        <v>164</v>
      </c>
      <c r="P436">
        <v>0.21515031818394578</v>
      </c>
      <c r="Q436" t="s">
        <v>162</v>
      </c>
      <c r="S436" t="s">
        <v>441</v>
      </c>
      <c r="T436" t="s">
        <v>164</v>
      </c>
      <c r="U436">
        <v>0.20512769191045588</v>
      </c>
      <c r="V436" t="s">
        <v>162</v>
      </c>
    </row>
    <row r="437" spans="9:22" x14ac:dyDescent="0.45">
      <c r="I437" t="s">
        <v>217</v>
      </c>
      <c r="J437" t="s">
        <v>165</v>
      </c>
      <c r="K437">
        <v>3.0121677687459589E-2</v>
      </c>
      <c r="L437" t="s">
        <v>162</v>
      </c>
      <c r="N437" t="s">
        <v>329</v>
      </c>
      <c r="O437" t="s">
        <v>165</v>
      </c>
      <c r="P437">
        <v>5.252225275818305E-2</v>
      </c>
      <c r="Q437" t="s">
        <v>162</v>
      </c>
      <c r="S437" t="s">
        <v>441</v>
      </c>
      <c r="T437" t="s">
        <v>165</v>
      </c>
      <c r="U437">
        <v>8.7876520482732021E-2</v>
      </c>
      <c r="V437" t="s">
        <v>162</v>
      </c>
    </row>
    <row r="438" spans="9:22" x14ac:dyDescent="0.45">
      <c r="I438" t="s">
        <v>217</v>
      </c>
      <c r="J438" t="s">
        <v>166</v>
      </c>
      <c r="K438">
        <v>0</v>
      </c>
      <c r="L438" t="s">
        <v>162</v>
      </c>
      <c r="N438" t="s">
        <v>329</v>
      </c>
      <c r="O438" t="s">
        <v>166</v>
      </c>
      <c r="P438">
        <v>3.6138007809418744E-3</v>
      </c>
      <c r="Q438" t="s">
        <v>162</v>
      </c>
      <c r="S438" t="s">
        <v>441</v>
      </c>
      <c r="T438" t="s">
        <v>166</v>
      </c>
      <c r="U438">
        <v>5.2582960125444958E-3</v>
      </c>
      <c r="V438" t="s">
        <v>162</v>
      </c>
    </row>
    <row r="439" spans="9:22" x14ac:dyDescent="0.45">
      <c r="I439" t="s">
        <v>217</v>
      </c>
      <c r="J439" t="s">
        <v>167</v>
      </c>
      <c r="K439">
        <v>0</v>
      </c>
      <c r="L439" t="s">
        <v>162</v>
      </c>
      <c r="N439" t="s">
        <v>329</v>
      </c>
      <c r="O439" t="s">
        <v>167</v>
      </c>
      <c r="P439">
        <v>2.4641279572861986E-2</v>
      </c>
      <c r="Q439" t="s">
        <v>162</v>
      </c>
      <c r="S439" t="s">
        <v>441</v>
      </c>
      <c r="T439" t="s">
        <v>167</v>
      </c>
      <c r="U439">
        <v>2.9629229686459077E-2</v>
      </c>
      <c r="V439" t="s">
        <v>162</v>
      </c>
    </row>
    <row r="440" spans="9:22" x14ac:dyDescent="0.45">
      <c r="I440" t="s">
        <v>217</v>
      </c>
      <c r="J440" t="s">
        <v>168</v>
      </c>
      <c r="K440">
        <v>2.5118524827015883E-2</v>
      </c>
      <c r="L440" t="s">
        <v>162</v>
      </c>
      <c r="N440" t="s">
        <v>329</v>
      </c>
      <c r="O440" t="s">
        <v>168</v>
      </c>
      <c r="P440">
        <v>8.7070455949442974E-2</v>
      </c>
      <c r="Q440" t="s">
        <v>162</v>
      </c>
      <c r="S440" t="s">
        <v>441</v>
      </c>
      <c r="T440" t="s">
        <v>168</v>
      </c>
      <c r="U440">
        <v>5.3249115728912375E-2</v>
      </c>
      <c r="V440" t="s">
        <v>162</v>
      </c>
    </row>
    <row r="441" spans="9:22" x14ac:dyDescent="0.45">
      <c r="I441" t="s">
        <v>217</v>
      </c>
      <c r="J441" t="s">
        <v>169</v>
      </c>
      <c r="K441">
        <v>0</v>
      </c>
      <c r="L441" t="s">
        <v>162</v>
      </c>
      <c r="N441" t="s">
        <v>329</v>
      </c>
      <c r="O441" t="s">
        <v>169</v>
      </c>
      <c r="P441">
        <v>5.2491635362157821E-3</v>
      </c>
      <c r="Q441" t="s">
        <v>162</v>
      </c>
      <c r="S441" t="s">
        <v>441</v>
      </c>
      <c r="T441" t="s">
        <v>169</v>
      </c>
      <c r="U441">
        <v>3.0751539258401578E-3</v>
      </c>
      <c r="V441" t="s">
        <v>162</v>
      </c>
    </row>
    <row r="442" spans="9:22" x14ac:dyDescent="0.45">
      <c r="I442" t="s">
        <v>217</v>
      </c>
      <c r="J442" t="s">
        <v>170</v>
      </c>
      <c r="K442">
        <v>0</v>
      </c>
      <c r="L442" t="s">
        <v>162</v>
      </c>
      <c r="N442" t="s">
        <v>329</v>
      </c>
      <c r="O442" t="s">
        <v>170</v>
      </c>
      <c r="P442">
        <v>3.3034242542087054E-2</v>
      </c>
      <c r="Q442" t="s">
        <v>162</v>
      </c>
      <c r="S442" t="s">
        <v>441</v>
      </c>
      <c r="T442" t="s">
        <v>170</v>
      </c>
      <c r="U442">
        <v>1.8569387099131321E-2</v>
      </c>
      <c r="V442" t="s">
        <v>162</v>
      </c>
    </row>
    <row r="443" spans="9:22" x14ac:dyDescent="0.45">
      <c r="I443" t="s">
        <v>218</v>
      </c>
      <c r="J443" t="s">
        <v>161</v>
      </c>
      <c r="K443">
        <v>0.81202803774953547</v>
      </c>
      <c r="L443" t="s">
        <v>162</v>
      </c>
      <c r="N443" t="s">
        <v>330</v>
      </c>
      <c r="O443" t="s">
        <v>161</v>
      </c>
      <c r="P443">
        <v>0.53995822003445038</v>
      </c>
      <c r="Q443" t="s">
        <v>162</v>
      </c>
      <c r="S443" t="s">
        <v>442</v>
      </c>
      <c r="T443" t="s">
        <v>161</v>
      </c>
      <c r="U443">
        <v>0.56961696726275424</v>
      </c>
      <c r="V443" t="s">
        <v>162</v>
      </c>
    </row>
    <row r="444" spans="9:22" x14ac:dyDescent="0.45">
      <c r="I444" t="s">
        <v>218</v>
      </c>
      <c r="J444" t="s">
        <v>163</v>
      </c>
      <c r="K444">
        <v>5.8756389966607002E-2</v>
      </c>
      <c r="L444" t="s">
        <v>162</v>
      </c>
      <c r="N444" t="s">
        <v>330</v>
      </c>
      <c r="O444" t="s">
        <v>163</v>
      </c>
      <c r="P444">
        <v>3.0319551382170386E-2</v>
      </c>
      <c r="Q444" t="s">
        <v>162</v>
      </c>
      <c r="S444" t="s">
        <v>442</v>
      </c>
      <c r="T444" t="s">
        <v>163</v>
      </c>
      <c r="U444">
        <v>3.4525012666835352E-2</v>
      </c>
      <c r="V444" t="s">
        <v>162</v>
      </c>
    </row>
    <row r="445" spans="9:22" x14ac:dyDescent="0.45">
      <c r="I445" t="s">
        <v>218</v>
      </c>
      <c r="J445" t="s">
        <v>164</v>
      </c>
      <c r="K445">
        <v>6.9951462407290083E-2</v>
      </c>
      <c r="L445" t="s">
        <v>162</v>
      </c>
      <c r="N445" t="s">
        <v>330</v>
      </c>
      <c r="O445" t="s">
        <v>164</v>
      </c>
      <c r="P445">
        <v>0.23778654567706778</v>
      </c>
      <c r="Q445" t="s">
        <v>162</v>
      </c>
      <c r="S445" t="s">
        <v>442</v>
      </c>
      <c r="T445" t="s">
        <v>164</v>
      </c>
      <c r="U445">
        <v>0.20803819425507575</v>
      </c>
      <c r="V445" t="s">
        <v>162</v>
      </c>
    </row>
    <row r="446" spans="9:22" x14ac:dyDescent="0.45">
      <c r="I446" t="s">
        <v>218</v>
      </c>
      <c r="J446" t="s">
        <v>165</v>
      </c>
      <c r="K446">
        <v>3.1760201046985972E-2</v>
      </c>
      <c r="L446" t="s">
        <v>162</v>
      </c>
      <c r="N446" t="s">
        <v>330</v>
      </c>
      <c r="O446" t="s">
        <v>165</v>
      </c>
      <c r="P446">
        <v>5.1818060946243319E-2</v>
      </c>
      <c r="Q446" t="s">
        <v>162</v>
      </c>
      <c r="S446" t="s">
        <v>442</v>
      </c>
      <c r="T446" t="s">
        <v>165</v>
      </c>
      <c r="U446">
        <v>7.8613125535357098E-2</v>
      </c>
      <c r="V446" t="s">
        <v>162</v>
      </c>
    </row>
    <row r="447" spans="9:22" x14ac:dyDescent="0.45">
      <c r="I447" t="s">
        <v>218</v>
      </c>
      <c r="J447" t="s">
        <v>166</v>
      </c>
      <c r="K447">
        <v>6.672665019272217E-5</v>
      </c>
      <c r="L447" t="s">
        <v>162</v>
      </c>
      <c r="N447" t="s">
        <v>330</v>
      </c>
      <c r="O447" t="s">
        <v>166</v>
      </c>
      <c r="P447">
        <v>3.509542003525469E-3</v>
      </c>
      <c r="Q447" t="s">
        <v>162</v>
      </c>
      <c r="S447" t="s">
        <v>442</v>
      </c>
      <c r="T447" t="s">
        <v>166</v>
      </c>
      <c r="U447">
        <v>4.6461170864560931E-3</v>
      </c>
      <c r="V447" t="s">
        <v>162</v>
      </c>
    </row>
    <row r="448" spans="9:22" x14ac:dyDescent="0.45">
      <c r="I448" t="s">
        <v>218</v>
      </c>
      <c r="J448" t="s">
        <v>167</v>
      </c>
      <c r="K448">
        <v>0</v>
      </c>
      <c r="L448" t="s">
        <v>162</v>
      </c>
      <c r="N448" t="s">
        <v>330</v>
      </c>
      <c r="O448" t="s">
        <v>167</v>
      </c>
      <c r="P448">
        <v>2.3106860755620934E-2</v>
      </c>
      <c r="Q448" t="s">
        <v>162</v>
      </c>
      <c r="S448" t="s">
        <v>442</v>
      </c>
      <c r="T448" t="s">
        <v>167</v>
      </c>
      <c r="U448">
        <v>2.6800704385690363E-2</v>
      </c>
      <c r="V448" t="s">
        <v>162</v>
      </c>
    </row>
    <row r="449" spans="9:22" x14ac:dyDescent="0.45">
      <c r="I449" t="s">
        <v>218</v>
      </c>
      <c r="J449" t="s">
        <v>168</v>
      </c>
      <c r="K449">
        <v>2.7437182179388592E-2</v>
      </c>
      <c r="L449" t="s">
        <v>162</v>
      </c>
      <c r="N449" t="s">
        <v>330</v>
      </c>
      <c r="O449" t="s">
        <v>168</v>
      </c>
      <c r="P449">
        <v>7.9422216967070497E-2</v>
      </c>
      <c r="Q449" t="s">
        <v>162</v>
      </c>
      <c r="S449" t="s">
        <v>442</v>
      </c>
      <c r="T449" t="s">
        <v>168</v>
      </c>
      <c r="U449">
        <v>5.5727821343151747E-2</v>
      </c>
      <c r="V449" t="s">
        <v>162</v>
      </c>
    </row>
    <row r="450" spans="9:22" x14ac:dyDescent="0.45">
      <c r="I450" t="s">
        <v>218</v>
      </c>
      <c r="J450" t="s">
        <v>169</v>
      </c>
      <c r="K450">
        <v>0</v>
      </c>
      <c r="L450" t="s">
        <v>162</v>
      </c>
      <c r="N450" t="s">
        <v>330</v>
      </c>
      <c r="O450" t="s">
        <v>169</v>
      </c>
      <c r="P450">
        <v>4.5971993501711887E-3</v>
      </c>
      <c r="Q450" t="s">
        <v>162</v>
      </c>
      <c r="S450" t="s">
        <v>442</v>
      </c>
      <c r="T450" t="s">
        <v>169</v>
      </c>
      <c r="U450">
        <v>3.1549508409063677E-3</v>
      </c>
      <c r="V450" t="s">
        <v>162</v>
      </c>
    </row>
    <row r="451" spans="9:22" x14ac:dyDescent="0.45">
      <c r="I451" t="s">
        <v>218</v>
      </c>
      <c r="J451" t="s">
        <v>170</v>
      </c>
      <c r="K451">
        <v>0</v>
      </c>
      <c r="L451" t="s">
        <v>162</v>
      </c>
      <c r="N451" t="s">
        <v>330</v>
      </c>
      <c r="O451" t="s">
        <v>170</v>
      </c>
      <c r="P451">
        <v>2.9481802883678722E-2</v>
      </c>
      <c r="Q451" t="s">
        <v>162</v>
      </c>
      <c r="S451" t="s">
        <v>442</v>
      </c>
      <c r="T451" t="s">
        <v>170</v>
      </c>
      <c r="U451">
        <v>1.887710662377599E-2</v>
      </c>
      <c r="V451" t="s">
        <v>162</v>
      </c>
    </row>
    <row r="452" spans="9:22" x14ac:dyDescent="0.45">
      <c r="I452" t="s">
        <v>219</v>
      </c>
      <c r="J452" t="s">
        <v>161</v>
      </c>
      <c r="K452">
        <v>0.84500537823467281</v>
      </c>
      <c r="L452" t="s">
        <v>162</v>
      </c>
      <c r="N452" t="s">
        <v>331</v>
      </c>
      <c r="O452" t="s">
        <v>161</v>
      </c>
      <c r="P452">
        <v>0.555916825171201</v>
      </c>
      <c r="Q452" t="s">
        <v>162</v>
      </c>
      <c r="S452" t="s">
        <v>443</v>
      </c>
      <c r="T452" t="s">
        <v>161</v>
      </c>
      <c r="U452">
        <v>0.57832585955357774</v>
      </c>
      <c r="V452" t="s">
        <v>162</v>
      </c>
    </row>
    <row r="453" spans="9:22" x14ac:dyDescent="0.45">
      <c r="I453" t="s">
        <v>219</v>
      </c>
      <c r="J453" t="s">
        <v>163</v>
      </c>
      <c r="K453">
        <v>4.4038845817980246E-2</v>
      </c>
      <c r="L453" t="s">
        <v>162</v>
      </c>
      <c r="N453" t="s">
        <v>331</v>
      </c>
      <c r="O453" t="s">
        <v>163</v>
      </c>
      <c r="P453">
        <v>2.9977074494564833E-2</v>
      </c>
      <c r="Q453" t="s">
        <v>162</v>
      </c>
      <c r="S453" t="s">
        <v>443</v>
      </c>
      <c r="T453" t="s">
        <v>163</v>
      </c>
      <c r="U453">
        <v>3.4259236804589484E-2</v>
      </c>
      <c r="V453" t="s">
        <v>162</v>
      </c>
    </row>
    <row r="454" spans="9:22" x14ac:dyDescent="0.45">
      <c r="I454" t="s">
        <v>219</v>
      </c>
      <c r="J454" t="s">
        <v>164</v>
      </c>
      <c r="K454">
        <v>3.4340442661903517E-2</v>
      </c>
      <c r="L454" t="s">
        <v>162</v>
      </c>
      <c r="N454" t="s">
        <v>331</v>
      </c>
      <c r="O454" t="s">
        <v>164</v>
      </c>
      <c r="P454">
        <v>0.21882882324171393</v>
      </c>
      <c r="Q454" t="s">
        <v>162</v>
      </c>
      <c r="S454" t="s">
        <v>443</v>
      </c>
      <c r="T454" t="s">
        <v>164</v>
      </c>
      <c r="U454">
        <v>0.2092962366767511</v>
      </c>
      <c r="V454" t="s">
        <v>162</v>
      </c>
    </row>
    <row r="455" spans="9:22" x14ac:dyDescent="0.45">
      <c r="I455" t="s">
        <v>219</v>
      </c>
      <c r="J455" t="s">
        <v>165</v>
      </c>
      <c r="K455">
        <v>4.3536139400872954E-2</v>
      </c>
      <c r="L455" t="s">
        <v>162</v>
      </c>
      <c r="N455" t="s">
        <v>331</v>
      </c>
      <c r="O455" t="s">
        <v>165</v>
      </c>
      <c r="P455">
        <v>6.3053513522362034E-2</v>
      </c>
      <c r="Q455" t="s">
        <v>162</v>
      </c>
      <c r="S455" t="s">
        <v>443</v>
      </c>
      <c r="T455" t="s">
        <v>165</v>
      </c>
      <c r="U455">
        <v>7.5390995875418629E-2</v>
      </c>
      <c r="V455" t="s">
        <v>162</v>
      </c>
    </row>
    <row r="456" spans="9:22" x14ac:dyDescent="0.45">
      <c r="I456" t="s">
        <v>219</v>
      </c>
      <c r="J456" t="s">
        <v>166</v>
      </c>
      <c r="K456">
        <v>0</v>
      </c>
      <c r="L456" t="s">
        <v>162</v>
      </c>
      <c r="N456" t="s">
        <v>331</v>
      </c>
      <c r="O456" t="s">
        <v>166</v>
      </c>
      <c r="P456">
        <v>4.0143591945571563E-3</v>
      </c>
      <c r="Q456" t="s">
        <v>162</v>
      </c>
      <c r="S456" t="s">
        <v>443</v>
      </c>
      <c r="T456" t="s">
        <v>166</v>
      </c>
      <c r="U456">
        <v>4.2696866904519473E-3</v>
      </c>
      <c r="V456" t="s">
        <v>162</v>
      </c>
    </row>
    <row r="457" spans="9:22" x14ac:dyDescent="0.45">
      <c r="I457" t="s">
        <v>219</v>
      </c>
      <c r="J457" t="s">
        <v>167</v>
      </c>
      <c r="K457">
        <v>0</v>
      </c>
      <c r="L457" t="s">
        <v>162</v>
      </c>
      <c r="N457" t="s">
        <v>331</v>
      </c>
      <c r="O457" t="s">
        <v>167</v>
      </c>
      <c r="P457">
        <v>2.4379056419605204E-2</v>
      </c>
      <c r="Q457" t="s">
        <v>162</v>
      </c>
      <c r="S457" t="s">
        <v>443</v>
      </c>
      <c r="T457" t="s">
        <v>167</v>
      </c>
      <c r="U457">
        <v>2.6316392445042056E-2</v>
      </c>
      <c r="V457" t="s">
        <v>162</v>
      </c>
    </row>
    <row r="458" spans="9:22" x14ac:dyDescent="0.45">
      <c r="I458" t="s">
        <v>219</v>
      </c>
      <c r="J458" t="s">
        <v>168</v>
      </c>
      <c r="K458">
        <v>3.3079193884572484E-2</v>
      </c>
      <c r="L458" t="s">
        <v>162</v>
      </c>
      <c r="N458" t="s">
        <v>331</v>
      </c>
      <c r="O458" t="s">
        <v>168</v>
      </c>
      <c r="P458">
        <v>7.1203960891278437E-2</v>
      </c>
      <c r="Q458" t="s">
        <v>162</v>
      </c>
      <c r="S458" t="s">
        <v>443</v>
      </c>
      <c r="T458" t="s">
        <v>168</v>
      </c>
      <c r="U458">
        <v>5.2051397194850461E-2</v>
      </c>
      <c r="V458" t="s">
        <v>162</v>
      </c>
    </row>
    <row r="459" spans="9:22" x14ac:dyDescent="0.45">
      <c r="I459" t="s">
        <v>219</v>
      </c>
      <c r="J459" t="s">
        <v>169</v>
      </c>
      <c r="K459">
        <v>0</v>
      </c>
      <c r="L459" t="s">
        <v>162</v>
      </c>
      <c r="N459" t="s">
        <v>331</v>
      </c>
      <c r="O459" t="s">
        <v>169</v>
      </c>
      <c r="P459">
        <v>4.4924806363126121E-3</v>
      </c>
      <c r="Q459" t="s">
        <v>162</v>
      </c>
      <c r="S459" t="s">
        <v>443</v>
      </c>
      <c r="T459" t="s">
        <v>169</v>
      </c>
      <c r="U459">
        <v>2.7665596591392697E-3</v>
      </c>
      <c r="V459" t="s">
        <v>162</v>
      </c>
    </row>
    <row r="460" spans="9:22" x14ac:dyDescent="0.45">
      <c r="I460" t="s">
        <v>219</v>
      </c>
      <c r="J460" t="s">
        <v>170</v>
      </c>
      <c r="K460">
        <v>0</v>
      </c>
      <c r="L460" t="s">
        <v>162</v>
      </c>
      <c r="N460" t="s">
        <v>331</v>
      </c>
      <c r="O460" t="s">
        <v>170</v>
      </c>
      <c r="P460">
        <v>2.8133906428405707E-2</v>
      </c>
      <c r="Q460" t="s">
        <v>162</v>
      </c>
      <c r="S460" t="s">
        <v>443</v>
      </c>
      <c r="T460" t="s">
        <v>170</v>
      </c>
      <c r="U460">
        <v>1.732363510018016E-2</v>
      </c>
      <c r="V460" t="s">
        <v>162</v>
      </c>
    </row>
    <row r="461" spans="9:22" x14ac:dyDescent="0.45">
      <c r="I461" t="s">
        <v>220</v>
      </c>
      <c r="J461" t="s">
        <v>161</v>
      </c>
      <c r="K461">
        <v>0.83304710976699192</v>
      </c>
      <c r="L461" t="s">
        <v>162</v>
      </c>
      <c r="N461" t="s">
        <v>332</v>
      </c>
      <c r="O461" t="s">
        <v>161</v>
      </c>
      <c r="P461">
        <v>0.56015660423024083</v>
      </c>
      <c r="Q461" t="s">
        <v>162</v>
      </c>
      <c r="S461" t="s">
        <v>444</v>
      </c>
      <c r="T461" t="s">
        <v>161</v>
      </c>
      <c r="U461">
        <v>0.57001226329333676</v>
      </c>
      <c r="V461" t="s">
        <v>162</v>
      </c>
    </row>
    <row r="462" spans="9:22" x14ac:dyDescent="0.45">
      <c r="I462" t="s">
        <v>220</v>
      </c>
      <c r="J462" t="s">
        <v>163</v>
      </c>
      <c r="K462">
        <v>4.8917169373784333E-2</v>
      </c>
      <c r="L462" t="s">
        <v>162</v>
      </c>
      <c r="N462" t="s">
        <v>332</v>
      </c>
      <c r="O462" t="s">
        <v>163</v>
      </c>
      <c r="P462">
        <v>3.2825719920687682E-2</v>
      </c>
      <c r="Q462" t="s">
        <v>162</v>
      </c>
      <c r="S462" t="s">
        <v>444</v>
      </c>
      <c r="T462" t="s">
        <v>163</v>
      </c>
      <c r="U462">
        <v>3.3668546808985379E-2</v>
      </c>
      <c r="V462" t="s">
        <v>162</v>
      </c>
    </row>
    <row r="463" spans="9:22" x14ac:dyDescent="0.45">
      <c r="I463" t="s">
        <v>220</v>
      </c>
      <c r="J463" t="s">
        <v>164</v>
      </c>
      <c r="K463">
        <v>4.4750520413119894E-2</v>
      </c>
      <c r="L463" t="s">
        <v>162</v>
      </c>
      <c r="N463" t="s">
        <v>332</v>
      </c>
      <c r="O463" t="s">
        <v>164</v>
      </c>
      <c r="P463">
        <v>0.21146519372857731</v>
      </c>
      <c r="Q463" t="s">
        <v>162</v>
      </c>
      <c r="S463" t="s">
        <v>444</v>
      </c>
      <c r="T463" t="s">
        <v>164</v>
      </c>
      <c r="U463">
        <v>0.20919272145207193</v>
      </c>
      <c r="V463" t="s">
        <v>162</v>
      </c>
    </row>
    <row r="464" spans="9:22" x14ac:dyDescent="0.45">
      <c r="I464" t="s">
        <v>220</v>
      </c>
      <c r="J464" t="s">
        <v>165</v>
      </c>
      <c r="K464">
        <v>4.2634396130524679E-2</v>
      </c>
      <c r="L464" t="s">
        <v>162</v>
      </c>
      <c r="N464" t="s">
        <v>332</v>
      </c>
      <c r="O464" t="s">
        <v>165</v>
      </c>
      <c r="P464">
        <v>7.1575853807253662E-2</v>
      </c>
      <c r="Q464" t="s">
        <v>162</v>
      </c>
      <c r="S464" t="s">
        <v>444</v>
      </c>
      <c r="T464" t="s">
        <v>165</v>
      </c>
      <c r="U464">
        <v>6.7529949103726991E-2</v>
      </c>
      <c r="V464" t="s">
        <v>162</v>
      </c>
    </row>
    <row r="465" spans="9:22" x14ac:dyDescent="0.45">
      <c r="I465" t="s">
        <v>220</v>
      </c>
      <c r="J465" t="s">
        <v>166</v>
      </c>
      <c r="K465">
        <v>0</v>
      </c>
      <c r="L465" t="s">
        <v>162</v>
      </c>
      <c r="N465" t="s">
        <v>332</v>
      </c>
      <c r="O465" t="s">
        <v>166</v>
      </c>
      <c r="P465">
        <v>4.1214431464675991E-3</v>
      </c>
      <c r="Q465" t="s">
        <v>162</v>
      </c>
      <c r="S465" t="s">
        <v>444</v>
      </c>
      <c r="T465" t="s">
        <v>166</v>
      </c>
      <c r="U465">
        <v>3.9404636010916981E-3</v>
      </c>
      <c r="V465" t="s">
        <v>162</v>
      </c>
    </row>
    <row r="466" spans="9:22" x14ac:dyDescent="0.45">
      <c r="I466" t="s">
        <v>220</v>
      </c>
      <c r="J466" t="s">
        <v>167</v>
      </c>
      <c r="K466">
        <v>0</v>
      </c>
      <c r="L466" t="s">
        <v>162</v>
      </c>
      <c r="N466" t="s">
        <v>332</v>
      </c>
      <c r="O466" t="s">
        <v>167</v>
      </c>
      <c r="P466">
        <v>2.4208497063140648E-2</v>
      </c>
      <c r="Q466" t="s">
        <v>162</v>
      </c>
      <c r="S466" t="s">
        <v>444</v>
      </c>
      <c r="T466" t="s">
        <v>167</v>
      </c>
      <c r="U466">
        <v>2.496137797166513E-2</v>
      </c>
      <c r="V466" t="s">
        <v>162</v>
      </c>
    </row>
    <row r="467" spans="9:22" x14ac:dyDescent="0.45">
      <c r="I467" t="s">
        <v>220</v>
      </c>
      <c r="J467" t="s">
        <v>168</v>
      </c>
      <c r="K467">
        <v>3.0650804315580562E-2</v>
      </c>
      <c r="L467" t="s">
        <v>162</v>
      </c>
      <c r="N467" t="s">
        <v>332</v>
      </c>
      <c r="O467" t="s">
        <v>168</v>
      </c>
      <c r="P467">
        <v>6.4997902071248989E-2</v>
      </c>
      <c r="Q467" t="s">
        <v>162</v>
      </c>
      <c r="S467" t="s">
        <v>444</v>
      </c>
      <c r="T467" t="s">
        <v>168</v>
      </c>
      <c r="U467">
        <v>6.5207407659620797E-2</v>
      </c>
      <c r="V467" t="s">
        <v>162</v>
      </c>
    </row>
    <row r="468" spans="9:22" x14ac:dyDescent="0.45">
      <c r="I468" t="s">
        <v>220</v>
      </c>
      <c r="J468" t="s">
        <v>169</v>
      </c>
      <c r="K468">
        <v>0</v>
      </c>
      <c r="L468" t="s">
        <v>162</v>
      </c>
      <c r="N468" t="s">
        <v>332</v>
      </c>
      <c r="O468" t="s">
        <v>169</v>
      </c>
      <c r="P468">
        <v>4.0635859487579027E-3</v>
      </c>
      <c r="Q468" t="s">
        <v>162</v>
      </c>
      <c r="S468" t="s">
        <v>444</v>
      </c>
      <c r="T468" t="s">
        <v>169</v>
      </c>
      <c r="U468">
        <v>3.8210062869820384E-3</v>
      </c>
      <c r="V468" t="s">
        <v>162</v>
      </c>
    </row>
    <row r="469" spans="9:22" x14ac:dyDescent="0.45">
      <c r="I469" t="s">
        <v>220</v>
      </c>
      <c r="J469" t="s">
        <v>170</v>
      </c>
      <c r="K469">
        <v>0</v>
      </c>
      <c r="L469" t="s">
        <v>162</v>
      </c>
      <c r="N469" t="s">
        <v>332</v>
      </c>
      <c r="O469" t="s">
        <v>170</v>
      </c>
      <c r="P469">
        <v>2.6585200083628208E-2</v>
      </c>
      <c r="Q469" t="s">
        <v>162</v>
      </c>
      <c r="S469" t="s">
        <v>444</v>
      </c>
      <c r="T469" t="s">
        <v>170</v>
      </c>
      <c r="U469">
        <v>2.1666263822520154E-2</v>
      </c>
      <c r="V469" t="s">
        <v>162</v>
      </c>
    </row>
    <row r="470" spans="9:22" x14ac:dyDescent="0.45">
      <c r="I470" t="s">
        <v>221</v>
      </c>
      <c r="J470" t="s">
        <v>161</v>
      </c>
      <c r="K470">
        <v>0.84404333635767304</v>
      </c>
      <c r="L470" t="s">
        <v>162</v>
      </c>
      <c r="N470" t="s">
        <v>333</v>
      </c>
      <c r="O470" t="s">
        <v>161</v>
      </c>
      <c r="P470">
        <v>0.54610319005807451</v>
      </c>
      <c r="Q470" t="s">
        <v>162</v>
      </c>
      <c r="S470" t="s">
        <v>445</v>
      </c>
      <c r="T470" t="s">
        <v>161</v>
      </c>
      <c r="U470">
        <v>0.54998516169765643</v>
      </c>
      <c r="V470" t="s">
        <v>162</v>
      </c>
    </row>
    <row r="471" spans="9:22" x14ac:dyDescent="0.45">
      <c r="I471" t="s">
        <v>221</v>
      </c>
      <c r="J471" t="s">
        <v>163</v>
      </c>
      <c r="K471">
        <v>4.8653979976530773E-2</v>
      </c>
      <c r="L471" t="s">
        <v>162</v>
      </c>
      <c r="N471" t="s">
        <v>333</v>
      </c>
      <c r="O471" t="s">
        <v>163</v>
      </c>
      <c r="P471">
        <v>3.2012124569873228E-2</v>
      </c>
      <c r="Q471" t="s">
        <v>162</v>
      </c>
      <c r="S471" t="s">
        <v>445</v>
      </c>
      <c r="T471" t="s">
        <v>163</v>
      </c>
      <c r="U471">
        <v>3.2484377445172179E-2</v>
      </c>
      <c r="V471" t="s">
        <v>162</v>
      </c>
    </row>
    <row r="472" spans="9:22" x14ac:dyDescent="0.45">
      <c r="I472" t="s">
        <v>221</v>
      </c>
      <c r="J472" t="s">
        <v>164</v>
      </c>
      <c r="K472">
        <v>5.2423254111205665E-2</v>
      </c>
      <c r="L472" t="s">
        <v>162</v>
      </c>
      <c r="N472" t="s">
        <v>333</v>
      </c>
      <c r="O472" t="s">
        <v>164</v>
      </c>
      <c r="P472">
        <v>0.22253484112595345</v>
      </c>
      <c r="Q472" t="s">
        <v>162</v>
      </c>
      <c r="S472" t="s">
        <v>445</v>
      </c>
      <c r="T472" t="s">
        <v>164</v>
      </c>
      <c r="U472">
        <v>0.19289551286609194</v>
      </c>
      <c r="V472" t="s">
        <v>162</v>
      </c>
    </row>
    <row r="473" spans="9:22" x14ac:dyDescent="0.45">
      <c r="I473" t="s">
        <v>221</v>
      </c>
      <c r="J473" t="s">
        <v>165</v>
      </c>
      <c r="K473">
        <v>3.5051719674431776E-2</v>
      </c>
      <c r="L473" t="s">
        <v>162</v>
      </c>
      <c r="N473" t="s">
        <v>333</v>
      </c>
      <c r="O473" t="s">
        <v>165</v>
      </c>
      <c r="P473">
        <v>7.8800518077899381E-2</v>
      </c>
      <c r="Q473" t="s">
        <v>162</v>
      </c>
      <c r="S473" t="s">
        <v>445</v>
      </c>
      <c r="T473" t="s">
        <v>165</v>
      </c>
      <c r="U473">
        <v>8.0756658810631446E-2</v>
      </c>
      <c r="V473" t="s">
        <v>162</v>
      </c>
    </row>
    <row r="474" spans="9:22" x14ac:dyDescent="0.45">
      <c r="I474" t="s">
        <v>221</v>
      </c>
      <c r="J474" t="s">
        <v>166</v>
      </c>
      <c r="K474">
        <v>0</v>
      </c>
      <c r="L474" t="s">
        <v>162</v>
      </c>
      <c r="N474" t="s">
        <v>333</v>
      </c>
      <c r="O474" t="s">
        <v>166</v>
      </c>
      <c r="P474">
        <v>4.6471060437679118E-3</v>
      </c>
      <c r="Q474" t="s">
        <v>162</v>
      </c>
      <c r="S474" t="s">
        <v>445</v>
      </c>
      <c r="T474" t="s">
        <v>166</v>
      </c>
      <c r="U474">
        <v>4.6424925675747925E-3</v>
      </c>
      <c r="V474" t="s">
        <v>162</v>
      </c>
    </row>
    <row r="475" spans="9:22" x14ac:dyDescent="0.45">
      <c r="I475" t="s">
        <v>221</v>
      </c>
      <c r="J475" t="s">
        <v>167</v>
      </c>
      <c r="K475">
        <v>0</v>
      </c>
      <c r="L475" t="s">
        <v>162</v>
      </c>
      <c r="N475" t="s">
        <v>333</v>
      </c>
      <c r="O475" t="s">
        <v>167</v>
      </c>
      <c r="P475">
        <v>2.6994495459373206E-2</v>
      </c>
      <c r="Q475" t="s">
        <v>162</v>
      </c>
      <c r="S475" t="s">
        <v>445</v>
      </c>
      <c r="T475" t="s">
        <v>167</v>
      </c>
      <c r="U475">
        <v>2.8414243384799878E-2</v>
      </c>
      <c r="V475" t="s">
        <v>162</v>
      </c>
    </row>
    <row r="476" spans="9:22" x14ac:dyDescent="0.45">
      <c r="I476" t="s">
        <v>221</v>
      </c>
      <c r="J476" t="s">
        <v>168</v>
      </c>
      <c r="K476">
        <v>1.9827709880156266E-2</v>
      </c>
      <c r="L476" t="s">
        <v>162</v>
      </c>
      <c r="N476" t="s">
        <v>333</v>
      </c>
      <c r="O476" t="s">
        <v>168</v>
      </c>
      <c r="P476">
        <v>5.890406670321862E-2</v>
      </c>
      <c r="Q476" t="s">
        <v>162</v>
      </c>
      <c r="S476" t="s">
        <v>445</v>
      </c>
      <c r="T476" t="s">
        <v>168</v>
      </c>
      <c r="U476">
        <v>8.0488103244593989E-2</v>
      </c>
      <c r="V476" t="s">
        <v>162</v>
      </c>
    </row>
    <row r="477" spans="9:22" x14ac:dyDescent="0.45">
      <c r="I477" t="s">
        <v>221</v>
      </c>
      <c r="J477" t="s">
        <v>169</v>
      </c>
      <c r="K477">
        <v>0</v>
      </c>
      <c r="L477" t="s">
        <v>162</v>
      </c>
      <c r="N477" t="s">
        <v>333</v>
      </c>
      <c r="O477" t="s">
        <v>169</v>
      </c>
      <c r="P477">
        <v>4.1624053988980874E-3</v>
      </c>
      <c r="Q477" t="s">
        <v>162</v>
      </c>
      <c r="S477" t="s">
        <v>445</v>
      </c>
      <c r="T477" t="s">
        <v>169</v>
      </c>
      <c r="U477">
        <v>4.5353391941722904E-3</v>
      </c>
      <c r="V477" t="s">
        <v>162</v>
      </c>
    </row>
    <row r="478" spans="9:22" x14ac:dyDescent="0.45">
      <c r="I478" t="s">
        <v>221</v>
      </c>
      <c r="J478" t="s">
        <v>170</v>
      </c>
      <c r="K478">
        <v>0</v>
      </c>
      <c r="L478" t="s">
        <v>162</v>
      </c>
      <c r="N478" t="s">
        <v>333</v>
      </c>
      <c r="O478" t="s">
        <v>170</v>
      </c>
      <c r="P478">
        <v>2.5841252562938882E-2</v>
      </c>
      <c r="Q478" t="s">
        <v>162</v>
      </c>
      <c r="S478" t="s">
        <v>445</v>
      </c>
      <c r="T478" t="s">
        <v>170</v>
      </c>
      <c r="U478">
        <v>2.5798110789307233E-2</v>
      </c>
      <c r="V478" t="s">
        <v>162</v>
      </c>
    </row>
    <row r="479" spans="9:22" x14ac:dyDescent="0.45">
      <c r="I479" t="s">
        <v>222</v>
      </c>
      <c r="J479" t="s">
        <v>161</v>
      </c>
      <c r="K479">
        <v>0.85468572506621132</v>
      </c>
      <c r="L479" t="s">
        <v>162</v>
      </c>
      <c r="N479" t="s">
        <v>334</v>
      </c>
      <c r="O479" t="s">
        <v>161</v>
      </c>
      <c r="P479">
        <v>0.56967390524489026</v>
      </c>
      <c r="Q479" t="s">
        <v>162</v>
      </c>
      <c r="S479" t="s">
        <v>446</v>
      </c>
      <c r="T479" t="s">
        <v>161</v>
      </c>
      <c r="U479">
        <v>0.56435083963184574</v>
      </c>
      <c r="V479" t="s">
        <v>162</v>
      </c>
    </row>
    <row r="480" spans="9:22" x14ac:dyDescent="0.45">
      <c r="I480" t="s">
        <v>222</v>
      </c>
      <c r="J480" t="s">
        <v>163</v>
      </c>
      <c r="K480">
        <v>4.4335448979661407E-2</v>
      </c>
      <c r="L480" t="s">
        <v>162</v>
      </c>
      <c r="N480" t="s">
        <v>334</v>
      </c>
      <c r="O480" t="s">
        <v>163</v>
      </c>
      <c r="P480">
        <v>3.3557627805022132E-2</v>
      </c>
      <c r="Q480" t="s">
        <v>162</v>
      </c>
      <c r="S480" t="s">
        <v>446</v>
      </c>
      <c r="T480" t="s">
        <v>163</v>
      </c>
      <c r="U480">
        <v>3.450802744167538E-2</v>
      </c>
      <c r="V480" t="s">
        <v>162</v>
      </c>
    </row>
    <row r="481" spans="9:22" x14ac:dyDescent="0.45">
      <c r="I481" t="s">
        <v>222</v>
      </c>
      <c r="J481" t="s">
        <v>164</v>
      </c>
      <c r="K481">
        <v>4.2287009005681005E-2</v>
      </c>
      <c r="L481" t="s">
        <v>162</v>
      </c>
      <c r="N481" t="s">
        <v>334</v>
      </c>
      <c r="O481" t="s">
        <v>164</v>
      </c>
      <c r="P481">
        <v>0.21116880609383248</v>
      </c>
      <c r="Q481" t="s">
        <v>162</v>
      </c>
      <c r="S481" t="s">
        <v>446</v>
      </c>
      <c r="T481" t="s">
        <v>164</v>
      </c>
      <c r="U481">
        <v>0.20479221986903051</v>
      </c>
      <c r="V481" t="s">
        <v>162</v>
      </c>
    </row>
    <row r="482" spans="9:22" x14ac:dyDescent="0.45">
      <c r="I482" t="s">
        <v>222</v>
      </c>
      <c r="J482" t="s">
        <v>165</v>
      </c>
      <c r="K482">
        <v>3.5876041961014307E-2</v>
      </c>
      <c r="L482" t="s">
        <v>162</v>
      </c>
      <c r="N482" t="s">
        <v>334</v>
      </c>
      <c r="O482" t="s">
        <v>165</v>
      </c>
      <c r="P482">
        <v>7.9613575181166268E-2</v>
      </c>
      <c r="Q482" t="s">
        <v>162</v>
      </c>
      <c r="S482" t="s">
        <v>446</v>
      </c>
      <c r="T482" t="s">
        <v>165</v>
      </c>
      <c r="U482">
        <v>7.5310621957890622E-2</v>
      </c>
      <c r="V482" t="s">
        <v>162</v>
      </c>
    </row>
    <row r="483" spans="9:22" x14ac:dyDescent="0.45">
      <c r="I483" t="s">
        <v>222</v>
      </c>
      <c r="J483" t="s">
        <v>166</v>
      </c>
      <c r="K483">
        <v>0</v>
      </c>
      <c r="L483" t="s">
        <v>162</v>
      </c>
      <c r="N483" t="s">
        <v>334</v>
      </c>
      <c r="O483" t="s">
        <v>166</v>
      </c>
      <c r="P483">
        <v>4.5802362573018575E-3</v>
      </c>
      <c r="Q483" t="s">
        <v>162</v>
      </c>
      <c r="S483" t="s">
        <v>446</v>
      </c>
      <c r="T483" t="s">
        <v>166</v>
      </c>
      <c r="U483">
        <v>4.3831880722171087E-3</v>
      </c>
      <c r="V483" t="s">
        <v>162</v>
      </c>
    </row>
    <row r="484" spans="9:22" x14ac:dyDescent="0.45">
      <c r="I484" t="s">
        <v>222</v>
      </c>
      <c r="J484" t="s">
        <v>167</v>
      </c>
      <c r="K484">
        <v>0</v>
      </c>
      <c r="L484" t="s">
        <v>162</v>
      </c>
      <c r="N484" t="s">
        <v>334</v>
      </c>
      <c r="O484" t="s">
        <v>167</v>
      </c>
      <c r="P484">
        <v>2.8613784036254593E-2</v>
      </c>
      <c r="Q484" t="s">
        <v>162</v>
      </c>
      <c r="S484" t="s">
        <v>446</v>
      </c>
      <c r="T484" t="s">
        <v>167</v>
      </c>
      <c r="U484">
        <v>2.5723167486123161E-2</v>
      </c>
      <c r="V484" t="s">
        <v>162</v>
      </c>
    </row>
    <row r="485" spans="9:22" x14ac:dyDescent="0.45">
      <c r="I485" t="s">
        <v>222</v>
      </c>
      <c r="J485" t="s">
        <v>168</v>
      </c>
      <c r="K485">
        <v>2.2815774987430957E-2</v>
      </c>
      <c r="L485" t="s">
        <v>162</v>
      </c>
      <c r="N485" t="s">
        <v>334</v>
      </c>
      <c r="O485" t="s">
        <v>168</v>
      </c>
      <c r="P485">
        <v>4.834054748801303E-2</v>
      </c>
      <c r="Q485" t="s">
        <v>162</v>
      </c>
      <c r="S485" t="s">
        <v>446</v>
      </c>
      <c r="T485" t="s">
        <v>168</v>
      </c>
      <c r="U485">
        <v>6.4763911540545796E-2</v>
      </c>
      <c r="V485" t="s">
        <v>162</v>
      </c>
    </row>
    <row r="486" spans="9:22" x14ac:dyDescent="0.45">
      <c r="I486" t="s">
        <v>222</v>
      </c>
      <c r="J486" t="s">
        <v>169</v>
      </c>
      <c r="K486">
        <v>0</v>
      </c>
      <c r="L486" t="s">
        <v>162</v>
      </c>
      <c r="N486" t="s">
        <v>334</v>
      </c>
      <c r="O486" t="s">
        <v>169</v>
      </c>
      <c r="P486">
        <v>3.5294228609999753E-3</v>
      </c>
      <c r="Q486" t="s">
        <v>162</v>
      </c>
      <c r="S486" t="s">
        <v>446</v>
      </c>
      <c r="T486" t="s">
        <v>169</v>
      </c>
      <c r="U486">
        <v>3.9390101943001061E-3</v>
      </c>
      <c r="V486" t="s">
        <v>162</v>
      </c>
    </row>
    <row r="487" spans="9:22" x14ac:dyDescent="0.45">
      <c r="I487" t="s">
        <v>222</v>
      </c>
      <c r="J487" t="s">
        <v>170</v>
      </c>
      <c r="K487">
        <v>0</v>
      </c>
      <c r="L487" t="s">
        <v>162</v>
      </c>
      <c r="N487" t="s">
        <v>334</v>
      </c>
      <c r="O487" t="s">
        <v>170</v>
      </c>
      <c r="P487">
        <v>2.0922095032519003E-2</v>
      </c>
      <c r="Q487" t="s">
        <v>162</v>
      </c>
      <c r="S487" t="s">
        <v>446</v>
      </c>
      <c r="T487" t="s">
        <v>170</v>
      </c>
      <c r="U487">
        <v>2.2229013806368988E-2</v>
      </c>
      <c r="V487" t="s">
        <v>162</v>
      </c>
    </row>
    <row r="488" spans="9:22" x14ac:dyDescent="0.45">
      <c r="I488" t="s">
        <v>223</v>
      </c>
      <c r="J488" t="s">
        <v>161</v>
      </c>
      <c r="K488">
        <v>0.84926290523758885</v>
      </c>
      <c r="L488" t="s">
        <v>162</v>
      </c>
      <c r="N488" t="s">
        <v>335</v>
      </c>
      <c r="O488" t="s">
        <v>161</v>
      </c>
      <c r="P488">
        <v>0.56113239999606102</v>
      </c>
      <c r="Q488" t="s">
        <v>162</v>
      </c>
      <c r="S488" t="s">
        <v>447</v>
      </c>
      <c r="T488" t="s">
        <v>161</v>
      </c>
      <c r="U488">
        <v>0.56868232330832458</v>
      </c>
      <c r="V488" t="s">
        <v>162</v>
      </c>
    </row>
    <row r="489" spans="9:22" x14ac:dyDescent="0.45">
      <c r="I489" t="s">
        <v>223</v>
      </c>
      <c r="J489" t="s">
        <v>163</v>
      </c>
      <c r="K489">
        <v>4.5779437937711553E-2</v>
      </c>
      <c r="L489" t="s">
        <v>162</v>
      </c>
      <c r="N489" t="s">
        <v>335</v>
      </c>
      <c r="O489" t="s">
        <v>163</v>
      </c>
      <c r="P489">
        <v>3.2903010148048216E-2</v>
      </c>
      <c r="Q489" t="s">
        <v>162</v>
      </c>
      <c r="S489" t="s">
        <v>447</v>
      </c>
      <c r="T489" t="s">
        <v>163</v>
      </c>
      <c r="U489">
        <v>3.5248874609892164E-2</v>
      </c>
      <c r="V489" t="s">
        <v>162</v>
      </c>
    </row>
    <row r="490" spans="9:22" x14ac:dyDescent="0.45">
      <c r="I490" t="s">
        <v>223</v>
      </c>
      <c r="J490" t="s">
        <v>164</v>
      </c>
      <c r="K490">
        <v>4.0229147618215867E-2</v>
      </c>
      <c r="L490" t="s">
        <v>162</v>
      </c>
      <c r="N490" t="s">
        <v>335</v>
      </c>
      <c r="O490" t="s">
        <v>164</v>
      </c>
      <c r="P490">
        <v>0.20722774437319721</v>
      </c>
      <c r="Q490" t="s">
        <v>162</v>
      </c>
      <c r="S490" t="s">
        <v>447</v>
      </c>
      <c r="T490" t="s">
        <v>164</v>
      </c>
      <c r="U490">
        <v>0.20941690148784592</v>
      </c>
      <c r="V490" t="s">
        <v>162</v>
      </c>
    </row>
    <row r="491" spans="9:22" x14ac:dyDescent="0.45">
      <c r="I491" t="s">
        <v>223</v>
      </c>
      <c r="J491" t="s">
        <v>165</v>
      </c>
      <c r="K491">
        <v>3.8199262003655518E-2</v>
      </c>
      <c r="L491" t="s">
        <v>162</v>
      </c>
      <c r="N491" t="s">
        <v>335</v>
      </c>
      <c r="O491" t="s">
        <v>165</v>
      </c>
      <c r="P491">
        <v>7.5468076143976756E-2</v>
      </c>
      <c r="Q491" t="s">
        <v>162</v>
      </c>
      <c r="S491" t="s">
        <v>447</v>
      </c>
      <c r="T491" t="s">
        <v>165</v>
      </c>
      <c r="U491">
        <v>7.4066285185569E-2</v>
      </c>
      <c r="V491" t="s">
        <v>162</v>
      </c>
    </row>
    <row r="492" spans="9:22" x14ac:dyDescent="0.45">
      <c r="I492" t="s">
        <v>223</v>
      </c>
      <c r="J492" t="s">
        <v>166</v>
      </c>
      <c r="K492">
        <v>0</v>
      </c>
      <c r="L492" t="s">
        <v>162</v>
      </c>
      <c r="N492" t="s">
        <v>335</v>
      </c>
      <c r="O492" t="s">
        <v>166</v>
      </c>
      <c r="P492">
        <v>4.5191345473054E-3</v>
      </c>
      <c r="Q492" t="s">
        <v>162</v>
      </c>
      <c r="S492" t="s">
        <v>447</v>
      </c>
      <c r="T492" t="s">
        <v>166</v>
      </c>
      <c r="U492">
        <v>4.1974718606736863E-3</v>
      </c>
      <c r="V492" t="s">
        <v>162</v>
      </c>
    </row>
    <row r="493" spans="9:22" x14ac:dyDescent="0.45">
      <c r="I493" t="s">
        <v>223</v>
      </c>
      <c r="J493" t="s">
        <v>167</v>
      </c>
      <c r="K493">
        <v>0</v>
      </c>
      <c r="L493" t="s">
        <v>162</v>
      </c>
      <c r="N493" t="s">
        <v>335</v>
      </c>
      <c r="O493" t="s">
        <v>167</v>
      </c>
      <c r="P493">
        <v>2.5937674856454606E-2</v>
      </c>
      <c r="Q493" t="s">
        <v>162</v>
      </c>
      <c r="S493" t="s">
        <v>447</v>
      </c>
      <c r="T493" t="s">
        <v>167</v>
      </c>
      <c r="U493">
        <v>2.4624367090340306E-2</v>
      </c>
      <c r="V493" t="s">
        <v>162</v>
      </c>
    </row>
    <row r="494" spans="9:22" x14ac:dyDescent="0.45">
      <c r="I494" t="s">
        <v>223</v>
      </c>
      <c r="J494" t="s">
        <v>168</v>
      </c>
      <c r="K494">
        <v>2.6529247202830262E-2</v>
      </c>
      <c r="L494" t="s">
        <v>162</v>
      </c>
      <c r="N494" t="s">
        <v>335</v>
      </c>
      <c r="O494" t="s">
        <v>168</v>
      </c>
      <c r="P494">
        <v>6.0994182278203059E-2</v>
      </c>
      <c r="Q494" t="s">
        <v>162</v>
      </c>
      <c r="S494" t="s">
        <v>447</v>
      </c>
      <c r="T494" t="s">
        <v>168</v>
      </c>
      <c r="U494">
        <v>5.9400477376105092E-2</v>
      </c>
      <c r="V494" t="s">
        <v>162</v>
      </c>
    </row>
    <row r="495" spans="9:22" x14ac:dyDescent="0.45">
      <c r="I495" t="s">
        <v>223</v>
      </c>
      <c r="J495" t="s">
        <v>169</v>
      </c>
      <c r="K495">
        <v>0</v>
      </c>
      <c r="L495" t="s">
        <v>162</v>
      </c>
      <c r="N495" t="s">
        <v>335</v>
      </c>
      <c r="O495" t="s">
        <v>169</v>
      </c>
      <c r="P495">
        <v>4.3671924852599188E-3</v>
      </c>
      <c r="Q495" t="s">
        <v>162</v>
      </c>
      <c r="S495" t="s">
        <v>447</v>
      </c>
      <c r="T495" t="s">
        <v>169</v>
      </c>
      <c r="U495">
        <v>3.7088737946844412E-3</v>
      </c>
      <c r="V495" t="s">
        <v>162</v>
      </c>
    </row>
    <row r="496" spans="9:22" x14ac:dyDescent="0.45">
      <c r="I496" t="s">
        <v>223</v>
      </c>
      <c r="J496" t="s">
        <v>170</v>
      </c>
      <c r="K496">
        <v>0</v>
      </c>
      <c r="L496" t="s">
        <v>162</v>
      </c>
      <c r="N496" t="s">
        <v>335</v>
      </c>
      <c r="O496" t="s">
        <v>170</v>
      </c>
      <c r="P496">
        <v>2.7450585171493663E-2</v>
      </c>
      <c r="Q496" t="s">
        <v>162</v>
      </c>
      <c r="S496" t="s">
        <v>447</v>
      </c>
      <c r="T496" t="s">
        <v>170</v>
      </c>
      <c r="U496">
        <v>2.0654425286562108E-2</v>
      </c>
      <c r="V496" t="s">
        <v>162</v>
      </c>
    </row>
    <row r="497" spans="9:22" x14ac:dyDescent="0.45">
      <c r="I497" t="s">
        <v>224</v>
      </c>
      <c r="J497" t="s">
        <v>161</v>
      </c>
      <c r="K497">
        <v>0.83751592391002594</v>
      </c>
      <c r="L497" t="s">
        <v>162</v>
      </c>
      <c r="N497" t="s">
        <v>336</v>
      </c>
      <c r="O497" t="s">
        <v>161</v>
      </c>
      <c r="P497">
        <v>0.55505283334896849</v>
      </c>
      <c r="Q497" t="s">
        <v>162</v>
      </c>
      <c r="S497" t="s">
        <v>448</v>
      </c>
      <c r="T497" t="s">
        <v>161</v>
      </c>
      <c r="U497">
        <v>0.56067873997223039</v>
      </c>
      <c r="V497" t="s">
        <v>162</v>
      </c>
    </row>
    <row r="498" spans="9:22" x14ac:dyDescent="0.45">
      <c r="I498" t="s">
        <v>224</v>
      </c>
      <c r="J498" t="s">
        <v>163</v>
      </c>
      <c r="K498">
        <v>5.2136275090541757E-2</v>
      </c>
      <c r="L498" t="s">
        <v>162</v>
      </c>
      <c r="N498" t="s">
        <v>336</v>
      </c>
      <c r="O498" t="s">
        <v>163</v>
      </c>
      <c r="P498">
        <v>3.1996394633306655E-2</v>
      </c>
      <c r="Q498" t="s">
        <v>162</v>
      </c>
      <c r="S498" t="s">
        <v>448</v>
      </c>
      <c r="T498" t="s">
        <v>163</v>
      </c>
      <c r="U498">
        <v>3.380978141489769E-2</v>
      </c>
      <c r="V498" t="s">
        <v>162</v>
      </c>
    </row>
    <row r="499" spans="9:22" x14ac:dyDescent="0.45">
      <c r="I499" t="s">
        <v>224</v>
      </c>
      <c r="J499" t="s">
        <v>164</v>
      </c>
      <c r="K499">
        <v>5.4077517953578104E-2</v>
      </c>
      <c r="L499" t="s">
        <v>162</v>
      </c>
      <c r="N499" t="s">
        <v>336</v>
      </c>
      <c r="O499" t="s">
        <v>164</v>
      </c>
      <c r="P499">
        <v>0.21282111227311121</v>
      </c>
      <c r="Q499" t="s">
        <v>162</v>
      </c>
      <c r="S499" t="s">
        <v>448</v>
      </c>
      <c r="T499" t="s">
        <v>164</v>
      </c>
      <c r="U499">
        <v>0.20133357626147499</v>
      </c>
      <c r="V499" t="s">
        <v>162</v>
      </c>
    </row>
    <row r="500" spans="9:22" x14ac:dyDescent="0.45">
      <c r="I500" t="s">
        <v>224</v>
      </c>
      <c r="J500" t="s">
        <v>165</v>
      </c>
      <c r="K500">
        <v>3.3131353198987856E-2</v>
      </c>
      <c r="L500" t="s">
        <v>162</v>
      </c>
      <c r="N500" t="s">
        <v>336</v>
      </c>
      <c r="O500" t="s">
        <v>165</v>
      </c>
      <c r="P500">
        <v>8.4719462843924648E-2</v>
      </c>
      <c r="Q500" t="s">
        <v>162</v>
      </c>
      <c r="S500" t="s">
        <v>448</v>
      </c>
      <c r="T500" t="s">
        <v>165</v>
      </c>
      <c r="U500">
        <v>6.690601631932519E-2</v>
      </c>
      <c r="V500" t="s">
        <v>162</v>
      </c>
    </row>
    <row r="501" spans="9:22" x14ac:dyDescent="0.45">
      <c r="I501" t="s">
        <v>224</v>
      </c>
      <c r="J501" t="s">
        <v>166</v>
      </c>
      <c r="K501">
        <v>0</v>
      </c>
      <c r="L501" t="s">
        <v>162</v>
      </c>
      <c r="N501" t="s">
        <v>336</v>
      </c>
      <c r="O501" t="s">
        <v>166</v>
      </c>
      <c r="P501">
        <v>4.6522975829209143E-3</v>
      </c>
      <c r="Q501" t="s">
        <v>162</v>
      </c>
      <c r="S501" t="s">
        <v>448</v>
      </c>
      <c r="T501" t="s">
        <v>166</v>
      </c>
      <c r="U501">
        <v>3.884261127170518E-3</v>
      </c>
      <c r="V501" t="s">
        <v>162</v>
      </c>
    </row>
    <row r="502" spans="9:22" x14ac:dyDescent="0.45">
      <c r="I502" t="s">
        <v>224</v>
      </c>
      <c r="J502" t="s">
        <v>167</v>
      </c>
      <c r="K502">
        <v>0</v>
      </c>
      <c r="L502" t="s">
        <v>162</v>
      </c>
      <c r="N502" t="s">
        <v>336</v>
      </c>
      <c r="O502" t="s">
        <v>167</v>
      </c>
      <c r="P502">
        <v>2.9043944360647663E-2</v>
      </c>
      <c r="Q502" t="s">
        <v>162</v>
      </c>
      <c r="S502" t="s">
        <v>448</v>
      </c>
      <c r="T502" t="s">
        <v>167</v>
      </c>
      <c r="U502">
        <v>2.4491762776807879E-2</v>
      </c>
      <c r="V502" t="s">
        <v>162</v>
      </c>
    </row>
    <row r="503" spans="9:22" x14ac:dyDescent="0.45">
      <c r="I503" t="s">
        <v>224</v>
      </c>
      <c r="J503" t="s">
        <v>168</v>
      </c>
      <c r="K503">
        <v>2.3138929846867887E-2</v>
      </c>
      <c r="L503" t="s">
        <v>162</v>
      </c>
      <c r="N503" t="s">
        <v>336</v>
      </c>
      <c r="O503" t="s">
        <v>168</v>
      </c>
      <c r="P503">
        <v>5.6170223287407006E-2</v>
      </c>
      <c r="Q503" t="s">
        <v>162</v>
      </c>
      <c r="S503" t="s">
        <v>448</v>
      </c>
      <c r="T503" t="s">
        <v>168</v>
      </c>
      <c r="U503">
        <v>7.7268047369474416E-2</v>
      </c>
      <c r="V503" t="s">
        <v>162</v>
      </c>
    </row>
    <row r="504" spans="9:22" x14ac:dyDescent="0.45">
      <c r="I504" t="s">
        <v>224</v>
      </c>
      <c r="J504" t="s">
        <v>169</v>
      </c>
      <c r="K504">
        <v>0</v>
      </c>
      <c r="L504" t="s">
        <v>162</v>
      </c>
      <c r="N504" t="s">
        <v>336</v>
      </c>
      <c r="O504" t="s">
        <v>169</v>
      </c>
      <c r="P504">
        <v>3.7177230412603667E-3</v>
      </c>
      <c r="Q504" t="s">
        <v>162</v>
      </c>
      <c r="S504" t="s">
        <v>448</v>
      </c>
      <c r="T504" t="s">
        <v>169</v>
      </c>
      <c r="U504">
        <v>4.5160984312771256E-3</v>
      </c>
      <c r="V504" t="s">
        <v>162</v>
      </c>
    </row>
    <row r="505" spans="9:22" x14ac:dyDescent="0.45">
      <c r="I505" t="s">
        <v>224</v>
      </c>
      <c r="J505" t="s">
        <v>170</v>
      </c>
      <c r="K505">
        <v>0</v>
      </c>
      <c r="L505" t="s">
        <v>162</v>
      </c>
      <c r="N505" t="s">
        <v>336</v>
      </c>
      <c r="O505" t="s">
        <v>170</v>
      </c>
      <c r="P505">
        <v>2.1826008628454074E-2</v>
      </c>
      <c r="Q505" t="s">
        <v>162</v>
      </c>
      <c r="S505" t="s">
        <v>448</v>
      </c>
      <c r="T505" t="s">
        <v>170</v>
      </c>
      <c r="U505">
        <v>2.7111716327338786E-2</v>
      </c>
      <c r="V505" t="s">
        <v>162</v>
      </c>
    </row>
    <row r="506" spans="9:22" x14ac:dyDescent="0.45">
      <c r="I506" t="s">
        <v>225</v>
      </c>
      <c r="J506" t="s">
        <v>161</v>
      </c>
      <c r="K506">
        <v>0.82935862006190264</v>
      </c>
      <c r="L506" t="s">
        <v>162</v>
      </c>
      <c r="N506" t="s">
        <v>337</v>
      </c>
      <c r="O506" t="s">
        <v>161</v>
      </c>
      <c r="P506">
        <v>0.56957168325485052</v>
      </c>
      <c r="Q506" t="s">
        <v>162</v>
      </c>
      <c r="S506" t="s">
        <v>449</v>
      </c>
      <c r="T506" t="s">
        <v>161</v>
      </c>
      <c r="U506">
        <v>0.56844497679917327</v>
      </c>
      <c r="V506" t="s">
        <v>162</v>
      </c>
    </row>
    <row r="507" spans="9:22" x14ac:dyDescent="0.45">
      <c r="I507" t="s">
        <v>225</v>
      </c>
      <c r="J507" t="s">
        <v>163</v>
      </c>
      <c r="K507">
        <v>5.4609965376558156E-2</v>
      </c>
      <c r="L507" t="s">
        <v>162</v>
      </c>
      <c r="N507" t="s">
        <v>337</v>
      </c>
      <c r="O507" t="s">
        <v>163</v>
      </c>
      <c r="P507">
        <v>3.5074606927270734E-2</v>
      </c>
      <c r="Q507" t="s">
        <v>162</v>
      </c>
      <c r="S507" t="s">
        <v>449</v>
      </c>
      <c r="T507" t="s">
        <v>163</v>
      </c>
      <c r="U507">
        <v>3.3761171532984011E-2</v>
      </c>
      <c r="V507" t="s">
        <v>162</v>
      </c>
    </row>
    <row r="508" spans="9:22" x14ac:dyDescent="0.45">
      <c r="I508" t="s">
        <v>225</v>
      </c>
      <c r="J508" t="s">
        <v>164</v>
      </c>
      <c r="K508">
        <v>6.4950134685154093E-2</v>
      </c>
      <c r="L508" t="s">
        <v>162</v>
      </c>
      <c r="N508" t="s">
        <v>337</v>
      </c>
      <c r="O508" t="s">
        <v>164</v>
      </c>
      <c r="P508">
        <v>0.2122878798288054</v>
      </c>
      <c r="Q508" t="s">
        <v>162</v>
      </c>
      <c r="S508" t="s">
        <v>449</v>
      </c>
      <c r="T508" t="s">
        <v>164</v>
      </c>
      <c r="U508">
        <v>0.20265873006546792</v>
      </c>
      <c r="V508" t="s">
        <v>162</v>
      </c>
    </row>
    <row r="509" spans="9:22" x14ac:dyDescent="0.45">
      <c r="I509" t="s">
        <v>225</v>
      </c>
      <c r="J509" t="s">
        <v>165</v>
      </c>
      <c r="K509">
        <v>3.3072236360393345E-2</v>
      </c>
      <c r="L509" t="s">
        <v>162</v>
      </c>
      <c r="N509" t="s">
        <v>337</v>
      </c>
      <c r="O509" t="s">
        <v>165</v>
      </c>
      <c r="P509">
        <v>6.2288283398269674E-2</v>
      </c>
      <c r="Q509" t="s">
        <v>162</v>
      </c>
      <c r="S509" t="s">
        <v>449</v>
      </c>
      <c r="T509" t="s">
        <v>165</v>
      </c>
      <c r="U509">
        <v>6.8351800115786468E-2</v>
      </c>
      <c r="V509" t="s">
        <v>162</v>
      </c>
    </row>
    <row r="510" spans="9:22" x14ac:dyDescent="0.45">
      <c r="I510" t="s">
        <v>225</v>
      </c>
      <c r="J510" t="s">
        <v>166</v>
      </c>
      <c r="K510">
        <v>0</v>
      </c>
      <c r="L510" t="s">
        <v>162</v>
      </c>
      <c r="N510" t="s">
        <v>337</v>
      </c>
      <c r="O510" t="s">
        <v>166</v>
      </c>
      <c r="P510">
        <v>3.7428771190943684E-3</v>
      </c>
      <c r="Q510" t="s">
        <v>162</v>
      </c>
      <c r="S510" t="s">
        <v>449</v>
      </c>
      <c r="T510" t="s">
        <v>166</v>
      </c>
      <c r="U510">
        <v>3.7560025498335745E-3</v>
      </c>
      <c r="V510" t="s">
        <v>162</v>
      </c>
    </row>
    <row r="511" spans="9:22" x14ac:dyDescent="0.45">
      <c r="I511" t="s">
        <v>225</v>
      </c>
      <c r="J511" t="s">
        <v>167</v>
      </c>
      <c r="K511">
        <v>0</v>
      </c>
      <c r="L511" t="s">
        <v>162</v>
      </c>
      <c r="N511" t="s">
        <v>337</v>
      </c>
      <c r="O511" t="s">
        <v>167</v>
      </c>
      <c r="P511">
        <v>2.2106840788505527E-2</v>
      </c>
      <c r="Q511" t="s">
        <v>162</v>
      </c>
      <c r="S511" t="s">
        <v>449</v>
      </c>
      <c r="T511" t="s">
        <v>167</v>
      </c>
      <c r="U511">
        <v>2.4089672718233646E-2</v>
      </c>
      <c r="V511" t="s">
        <v>162</v>
      </c>
    </row>
    <row r="512" spans="9:22" x14ac:dyDescent="0.45">
      <c r="I512" t="s">
        <v>225</v>
      </c>
      <c r="J512" t="s">
        <v>168</v>
      </c>
      <c r="K512">
        <v>1.8009043515992185E-2</v>
      </c>
      <c r="L512" t="s">
        <v>162</v>
      </c>
      <c r="N512" t="s">
        <v>337</v>
      </c>
      <c r="O512" t="s">
        <v>168</v>
      </c>
      <c r="P512">
        <v>6.7201882011000427E-2</v>
      </c>
      <c r="Q512" t="s">
        <v>162</v>
      </c>
      <c r="S512" t="s">
        <v>449</v>
      </c>
      <c r="T512" t="s">
        <v>168</v>
      </c>
      <c r="U512">
        <v>7.0010293837010129E-2</v>
      </c>
      <c r="V512" t="s">
        <v>162</v>
      </c>
    </row>
    <row r="513" spans="9:22" x14ac:dyDescent="0.45">
      <c r="I513" t="s">
        <v>225</v>
      </c>
      <c r="J513" t="s">
        <v>169</v>
      </c>
      <c r="K513">
        <v>0</v>
      </c>
      <c r="L513" t="s">
        <v>162</v>
      </c>
      <c r="N513" t="s">
        <v>337</v>
      </c>
      <c r="O513" t="s">
        <v>169</v>
      </c>
      <c r="P513">
        <v>3.8005697381499294E-3</v>
      </c>
      <c r="Q513" t="s">
        <v>162</v>
      </c>
      <c r="S513" t="s">
        <v>449</v>
      </c>
      <c r="T513" t="s">
        <v>169</v>
      </c>
      <c r="U513">
        <v>4.2934331763301485E-3</v>
      </c>
      <c r="V513" t="s">
        <v>162</v>
      </c>
    </row>
    <row r="514" spans="9:22" x14ac:dyDescent="0.45">
      <c r="I514" t="s">
        <v>225</v>
      </c>
      <c r="J514" t="s">
        <v>170</v>
      </c>
      <c r="K514">
        <v>0</v>
      </c>
      <c r="L514" t="s">
        <v>162</v>
      </c>
      <c r="N514" t="s">
        <v>337</v>
      </c>
      <c r="O514" t="s">
        <v>170</v>
      </c>
      <c r="P514">
        <v>2.3925376934050738E-2</v>
      </c>
      <c r="Q514" t="s">
        <v>162</v>
      </c>
      <c r="S514" t="s">
        <v>449</v>
      </c>
      <c r="T514" t="s">
        <v>170</v>
      </c>
      <c r="U514">
        <v>2.4633919205179895E-2</v>
      </c>
      <c r="V514" t="s">
        <v>162</v>
      </c>
    </row>
    <row r="515" spans="9:22" x14ac:dyDescent="0.45">
      <c r="I515" t="s">
        <v>226</v>
      </c>
      <c r="J515" t="s">
        <v>161</v>
      </c>
      <c r="K515">
        <v>0.81681249157324387</v>
      </c>
      <c r="L515" t="s">
        <v>162</v>
      </c>
      <c r="N515" t="s">
        <v>338</v>
      </c>
      <c r="O515" t="s">
        <v>161</v>
      </c>
      <c r="P515">
        <v>0.56980751790836703</v>
      </c>
      <c r="Q515" t="s">
        <v>162</v>
      </c>
      <c r="S515" t="s">
        <v>450</v>
      </c>
      <c r="T515" t="s">
        <v>161</v>
      </c>
      <c r="U515">
        <v>0.56861782487347645</v>
      </c>
      <c r="V515" t="s">
        <v>162</v>
      </c>
    </row>
    <row r="516" spans="9:22" x14ac:dyDescent="0.45">
      <c r="I516" t="s">
        <v>226</v>
      </c>
      <c r="J516" t="s">
        <v>163</v>
      </c>
      <c r="K516">
        <v>5.7901327413005022E-2</v>
      </c>
      <c r="L516" t="s">
        <v>162</v>
      </c>
      <c r="N516" t="s">
        <v>338</v>
      </c>
      <c r="O516" t="s">
        <v>163</v>
      </c>
      <c r="P516">
        <v>3.4359389974454931E-2</v>
      </c>
      <c r="Q516" t="s">
        <v>162</v>
      </c>
      <c r="S516" t="s">
        <v>450</v>
      </c>
      <c r="T516" t="s">
        <v>163</v>
      </c>
      <c r="U516">
        <v>3.4578066109543504E-2</v>
      </c>
      <c r="V516" t="s">
        <v>162</v>
      </c>
    </row>
    <row r="517" spans="9:22" x14ac:dyDescent="0.45">
      <c r="I517" t="s">
        <v>226</v>
      </c>
      <c r="J517" t="s">
        <v>164</v>
      </c>
      <c r="K517">
        <v>7.5347536960564218E-2</v>
      </c>
      <c r="L517" t="s">
        <v>162</v>
      </c>
      <c r="N517" t="s">
        <v>338</v>
      </c>
      <c r="O517" t="s">
        <v>164</v>
      </c>
      <c r="P517">
        <v>0.20454941177056604</v>
      </c>
      <c r="Q517" t="s">
        <v>162</v>
      </c>
      <c r="S517" t="s">
        <v>450</v>
      </c>
      <c r="T517" t="s">
        <v>164</v>
      </c>
      <c r="U517">
        <v>0.20635619051975823</v>
      </c>
      <c r="V517" t="s">
        <v>162</v>
      </c>
    </row>
    <row r="518" spans="9:22" x14ac:dyDescent="0.45">
      <c r="I518" t="s">
        <v>226</v>
      </c>
      <c r="J518" t="s">
        <v>165</v>
      </c>
      <c r="K518">
        <v>3.1619526913877011E-2</v>
      </c>
      <c r="L518" t="s">
        <v>162</v>
      </c>
      <c r="N518" t="s">
        <v>338</v>
      </c>
      <c r="O518" t="s">
        <v>165</v>
      </c>
      <c r="P518">
        <v>6.4240271130684742E-2</v>
      </c>
      <c r="Q518" t="s">
        <v>162</v>
      </c>
      <c r="S518" t="s">
        <v>450</v>
      </c>
      <c r="T518" t="s">
        <v>165</v>
      </c>
      <c r="U518">
        <v>7.1937816672485055E-2</v>
      </c>
      <c r="V518" t="s">
        <v>162</v>
      </c>
    </row>
    <row r="519" spans="9:22" x14ac:dyDescent="0.45">
      <c r="I519" t="s">
        <v>226</v>
      </c>
      <c r="J519" t="s">
        <v>166</v>
      </c>
      <c r="K519">
        <v>0</v>
      </c>
      <c r="L519" t="s">
        <v>162</v>
      </c>
      <c r="N519" t="s">
        <v>338</v>
      </c>
      <c r="O519" t="s">
        <v>166</v>
      </c>
      <c r="P519">
        <v>3.8651827453276008E-3</v>
      </c>
      <c r="Q519" t="s">
        <v>162</v>
      </c>
      <c r="S519" t="s">
        <v>450</v>
      </c>
      <c r="T519" t="s">
        <v>166</v>
      </c>
      <c r="U519">
        <v>4.0006475224572844E-3</v>
      </c>
      <c r="V519" t="s">
        <v>162</v>
      </c>
    </row>
    <row r="520" spans="9:22" x14ac:dyDescent="0.45">
      <c r="I520" t="s">
        <v>226</v>
      </c>
      <c r="J520" t="s">
        <v>167</v>
      </c>
      <c r="K520">
        <v>0</v>
      </c>
      <c r="L520" t="s">
        <v>162</v>
      </c>
      <c r="N520" t="s">
        <v>338</v>
      </c>
      <c r="O520" t="s">
        <v>167</v>
      </c>
      <c r="P520">
        <v>2.2725047170581311E-2</v>
      </c>
      <c r="Q520" t="s">
        <v>162</v>
      </c>
      <c r="S520" t="s">
        <v>450</v>
      </c>
      <c r="T520" t="s">
        <v>167</v>
      </c>
      <c r="U520">
        <v>2.4131474931946201E-2</v>
      </c>
      <c r="V520" t="s">
        <v>162</v>
      </c>
    </row>
    <row r="521" spans="9:22" x14ac:dyDescent="0.45">
      <c r="I521" t="s">
        <v>226</v>
      </c>
      <c r="J521" t="s">
        <v>168</v>
      </c>
      <c r="K521">
        <v>1.8319117139305632E-2</v>
      </c>
      <c r="L521" t="s">
        <v>162</v>
      </c>
      <c r="N521" t="s">
        <v>338</v>
      </c>
      <c r="O521" t="s">
        <v>168</v>
      </c>
      <c r="P521">
        <v>7.0562860791459944E-2</v>
      </c>
      <c r="Q521" t="s">
        <v>162</v>
      </c>
      <c r="S521" t="s">
        <v>450</v>
      </c>
      <c r="T521" t="s">
        <v>168</v>
      </c>
      <c r="U521">
        <v>6.3839746438371259E-2</v>
      </c>
      <c r="V521" t="s">
        <v>162</v>
      </c>
    </row>
    <row r="522" spans="9:22" x14ac:dyDescent="0.45">
      <c r="I522" t="s">
        <v>226</v>
      </c>
      <c r="J522" t="s">
        <v>169</v>
      </c>
      <c r="K522">
        <v>0</v>
      </c>
      <c r="L522" t="s">
        <v>162</v>
      </c>
      <c r="N522" t="s">
        <v>338</v>
      </c>
      <c r="O522" t="s">
        <v>169</v>
      </c>
      <c r="P522">
        <v>3.9351139588124353E-3</v>
      </c>
      <c r="Q522" t="s">
        <v>162</v>
      </c>
      <c r="S522" t="s">
        <v>450</v>
      </c>
      <c r="T522" t="s">
        <v>169</v>
      </c>
      <c r="U522">
        <v>3.9510204326837928E-3</v>
      </c>
      <c r="V522" t="s">
        <v>162</v>
      </c>
    </row>
    <row r="523" spans="9:22" x14ac:dyDescent="0.45">
      <c r="I523" t="s">
        <v>226</v>
      </c>
      <c r="J523" t="s">
        <v>170</v>
      </c>
      <c r="K523">
        <v>0</v>
      </c>
      <c r="L523" t="s">
        <v>162</v>
      </c>
      <c r="N523" t="s">
        <v>338</v>
      </c>
      <c r="O523" t="s">
        <v>170</v>
      </c>
      <c r="P523">
        <v>2.5955204549744579E-2</v>
      </c>
      <c r="Q523" t="s">
        <v>162</v>
      </c>
      <c r="S523" t="s">
        <v>450</v>
      </c>
      <c r="T523" t="s">
        <v>170</v>
      </c>
      <c r="U523">
        <v>2.2587212499278392E-2</v>
      </c>
      <c r="V523" t="s">
        <v>162</v>
      </c>
    </row>
    <row r="524" spans="9:22" x14ac:dyDescent="0.45">
      <c r="I524" t="s">
        <v>227</v>
      </c>
      <c r="J524" t="s">
        <v>161</v>
      </c>
      <c r="K524">
        <v>0.84120504474058588</v>
      </c>
      <c r="L524" t="s">
        <v>162</v>
      </c>
      <c r="N524" t="s">
        <v>339</v>
      </c>
      <c r="O524" t="s">
        <v>161</v>
      </c>
      <c r="P524">
        <v>0.56747360344796971</v>
      </c>
      <c r="Q524" t="s">
        <v>162</v>
      </c>
      <c r="S524" t="s">
        <v>451</v>
      </c>
      <c r="T524" t="s">
        <v>161</v>
      </c>
      <c r="U524">
        <v>0.5652050761392472</v>
      </c>
      <c r="V524" t="s">
        <v>162</v>
      </c>
    </row>
    <row r="525" spans="9:22" x14ac:dyDescent="0.45">
      <c r="I525" t="s">
        <v>227</v>
      </c>
      <c r="J525" t="s">
        <v>163</v>
      </c>
      <c r="K525">
        <v>5.0180761878221174E-2</v>
      </c>
      <c r="L525" t="s">
        <v>162</v>
      </c>
      <c r="N525" t="s">
        <v>339</v>
      </c>
      <c r="O525" t="s">
        <v>163</v>
      </c>
      <c r="P525">
        <v>3.4895994685236485E-2</v>
      </c>
      <c r="Q525" t="s">
        <v>162</v>
      </c>
      <c r="S525" t="s">
        <v>451</v>
      </c>
      <c r="T525" t="s">
        <v>163</v>
      </c>
      <c r="U525">
        <v>3.394451668522732E-2</v>
      </c>
      <c r="V525" t="s">
        <v>162</v>
      </c>
    </row>
    <row r="526" spans="9:22" x14ac:dyDescent="0.45">
      <c r="I526" t="s">
        <v>227</v>
      </c>
      <c r="J526" t="s">
        <v>164</v>
      </c>
      <c r="K526">
        <v>5.8073841670185887E-2</v>
      </c>
      <c r="L526" t="s">
        <v>162</v>
      </c>
      <c r="N526" t="s">
        <v>339</v>
      </c>
      <c r="O526" t="s">
        <v>164</v>
      </c>
      <c r="P526">
        <v>0.21174091654649682</v>
      </c>
      <c r="Q526" t="s">
        <v>162</v>
      </c>
      <c r="S526" t="s">
        <v>451</v>
      </c>
      <c r="T526" t="s">
        <v>164</v>
      </c>
      <c r="U526">
        <v>0.20887048084161056</v>
      </c>
      <c r="V526" t="s">
        <v>162</v>
      </c>
    </row>
    <row r="527" spans="9:22" x14ac:dyDescent="0.45">
      <c r="I527" t="s">
        <v>227</v>
      </c>
      <c r="J527" t="s">
        <v>165</v>
      </c>
      <c r="K527">
        <v>2.0848243456110319E-2</v>
      </c>
      <c r="L527" t="s">
        <v>162</v>
      </c>
      <c r="N527" t="s">
        <v>339</v>
      </c>
      <c r="O527" t="s">
        <v>165</v>
      </c>
      <c r="P527">
        <v>6.2897649209285242E-2</v>
      </c>
      <c r="Q527" t="s">
        <v>162</v>
      </c>
      <c r="S527" t="s">
        <v>451</v>
      </c>
      <c r="T527" t="s">
        <v>165</v>
      </c>
      <c r="U527">
        <v>7.6260886152789059E-2</v>
      </c>
      <c r="V527" t="s">
        <v>162</v>
      </c>
    </row>
    <row r="528" spans="9:22" x14ac:dyDescent="0.45">
      <c r="I528" t="s">
        <v>227</v>
      </c>
      <c r="J528" t="s">
        <v>166</v>
      </c>
      <c r="K528">
        <v>0</v>
      </c>
      <c r="L528" t="s">
        <v>162</v>
      </c>
      <c r="N528" t="s">
        <v>339</v>
      </c>
      <c r="O528" t="s">
        <v>166</v>
      </c>
      <c r="P528">
        <v>4.0057811900883721E-3</v>
      </c>
      <c r="Q528" t="s">
        <v>162</v>
      </c>
      <c r="S528" t="s">
        <v>451</v>
      </c>
      <c r="T528" t="s">
        <v>166</v>
      </c>
      <c r="U528">
        <v>4.2462496044091162E-3</v>
      </c>
      <c r="V528" t="s">
        <v>162</v>
      </c>
    </row>
    <row r="529" spans="9:22" x14ac:dyDescent="0.45">
      <c r="I529" t="s">
        <v>227</v>
      </c>
      <c r="J529" t="s">
        <v>167</v>
      </c>
      <c r="K529">
        <v>0</v>
      </c>
      <c r="L529" t="s">
        <v>162</v>
      </c>
      <c r="N529" t="s">
        <v>339</v>
      </c>
      <c r="O529" t="s">
        <v>167</v>
      </c>
      <c r="P529">
        <v>2.3396880550623729E-2</v>
      </c>
      <c r="Q529" t="s">
        <v>162</v>
      </c>
      <c r="S529" t="s">
        <v>451</v>
      </c>
      <c r="T529" t="s">
        <v>167</v>
      </c>
      <c r="U529">
        <v>2.4834019754410113E-2</v>
      </c>
      <c r="V529" t="s">
        <v>162</v>
      </c>
    </row>
    <row r="530" spans="9:22" x14ac:dyDescent="0.45">
      <c r="I530" t="s">
        <v>227</v>
      </c>
      <c r="J530" t="s">
        <v>168</v>
      </c>
      <c r="K530">
        <v>2.9692108254894507E-2</v>
      </c>
      <c r="L530" t="s">
        <v>162</v>
      </c>
      <c r="N530" t="s">
        <v>339</v>
      </c>
      <c r="O530" t="s">
        <v>168</v>
      </c>
      <c r="P530">
        <v>6.759243941295455E-2</v>
      </c>
      <c r="Q530" t="s">
        <v>162</v>
      </c>
      <c r="S530" t="s">
        <v>451</v>
      </c>
      <c r="T530" t="s">
        <v>168</v>
      </c>
      <c r="U530">
        <v>5.9514367413016245E-2</v>
      </c>
      <c r="V530" t="s">
        <v>162</v>
      </c>
    </row>
    <row r="531" spans="9:22" x14ac:dyDescent="0.45">
      <c r="I531" t="s">
        <v>227</v>
      </c>
      <c r="J531" t="s">
        <v>169</v>
      </c>
      <c r="K531">
        <v>0</v>
      </c>
      <c r="L531" t="s">
        <v>162</v>
      </c>
      <c r="N531" t="s">
        <v>339</v>
      </c>
      <c r="O531" t="s">
        <v>169</v>
      </c>
      <c r="P531">
        <v>3.9376025896215947E-3</v>
      </c>
      <c r="Q531" t="s">
        <v>162</v>
      </c>
      <c r="S531" t="s">
        <v>451</v>
      </c>
      <c r="T531" t="s">
        <v>169</v>
      </c>
      <c r="U531">
        <v>3.8226287229665258E-3</v>
      </c>
      <c r="V531" t="s">
        <v>162</v>
      </c>
    </row>
    <row r="532" spans="9:22" x14ac:dyDescent="0.45">
      <c r="I532" t="s">
        <v>227</v>
      </c>
      <c r="J532" t="s">
        <v>170</v>
      </c>
      <c r="K532">
        <v>0</v>
      </c>
      <c r="L532" t="s">
        <v>162</v>
      </c>
      <c r="N532" t="s">
        <v>339</v>
      </c>
      <c r="O532" t="s">
        <v>170</v>
      </c>
      <c r="P532">
        <v>2.4059132367723498E-2</v>
      </c>
      <c r="Q532" t="s">
        <v>162</v>
      </c>
      <c r="S532" t="s">
        <v>451</v>
      </c>
      <c r="T532" t="s">
        <v>170</v>
      </c>
      <c r="U532">
        <v>2.3301774686324404E-2</v>
      </c>
      <c r="V532" t="s">
        <v>162</v>
      </c>
    </row>
    <row r="533" spans="9:22" x14ac:dyDescent="0.45">
      <c r="I533" t="s">
        <v>228</v>
      </c>
      <c r="J533" t="s">
        <v>161</v>
      </c>
      <c r="K533">
        <v>0.84759763463139526</v>
      </c>
      <c r="L533" t="s">
        <v>162</v>
      </c>
      <c r="N533" t="s">
        <v>340</v>
      </c>
      <c r="O533" t="s">
        <v>161</v>
      </c>
      <c r="P533">
        <v>0.55357728618735469</v>
      </c>
      <c r="Q533" t="s">
        <v>162</v>
      </c>
      <c r="S533" t="s">
        <v>452</v>
      </c>
      <c r="T533" t="s">
        <v>161</v>
      </c>
      <c r="U533">
        <v>0.5656507294548565</v>
      </c>
      <c r="V533" t="s">
        <v>162</v>
      </c>
    </row>
    <row r="534" spans="9:22" x14ac:dyDescent="0.45">
      <c r="I534" t="s">
        <v>228</v>
      </c>
      <c r="J534" t="s">
        <v>163</v>
      </c>
      <c r="K534">
        <v>4.7518037705069502E-2</v>
      </c>
      <c r="L534" t="s">
        <v>162</v>
      </c>
      <c r="N534" t="s">
        <v>340</v>
      </c>
      <c r="O534" t="s">
        <v>163</v>
      </c>
      <c r="P534">
        <v>3.3168170655574689E-2</v>
      </c>
      <c r="Q534" t="s">
        <v>162</v>
      </c>
      <c r="S534" t="s">
        <v>452</v>
      </c>
      <c r="T534" t="s">
        <v>163</v>
      </c>
      <c r="U534">
        <v>3.4901045049883381E-2</v>
      </c>
      <c r="V534" t="s">
        <v>162</v>
      </c>
    </row>
    <row r="535" spans="9:22" x14ac:dyDescent="0.45">
      <c r="I535" t="s">
        <v>228</v>
      </c>
      <c r="J535" t="s">
        <v>164</v>
      </c>
      <c r="K535">
        <v>4.7554540480530691E-2</v>
      </c>
      <c r="L535" t="s">
        <v>162</v>
      </c>
      <c r="N535" t="s">
        <v>340</v>
      </c>
      <c r="O535" t="s">
        <v>164</v>
      </c>
      <c r="P535">
        <v>0.20189149794935943</v>
      </c>
      <c r="Q535" t="s">
        <v>162</v>
      </c>
      <c r="S535" t="s">
        <v>452</v>
      </c>
      <c r="T535" t="s">
        <v>164</v>
      </c>
      <c r="U535">
        <v>0.21300949794492016</v>
      </c>
      <c r="V535" t="s">
        <v>162</v>
      </c>
    </row>
    <row r="536" spans="9:22" x14ac:dyDescent="0.45">
      <c r="I536" t="s">
        <v>228</v>
      </c>
      <c r="J536" t="s">
        <v>165</v>
      </c>
      <c r="K536">
        <v>2.4306669711549756E-2</v>
      </c>
      <c r="L536" t="s">
        <v>162</v>
      </c>
      <c r="N536" t="s">
        <v>340</v>
      </c>
      <c r="O536" t="s">
        <v>165</v>
      </c>
      <c r="P536">
        <v>6.8515716887279768E-2</v>
      </c>
      <c r="Q536" t="s">
        <v>162</v>
      </c>
      <c r="S536" t="s">
        <v>452</v>
      </c>
      <c r="T536" t="s">
        <v>165</v>
      </c>
      <c r="U536">
        <v>6.5289585877869871E-2</v>
      </c>
      <c r="V536" t="s">
        <v>162</v>
      </c>
    </row>
    <row r="537" spans="9:22" x14ac:dyDescent="0.45">
      <c r="I537" t="s">
        <v>228</v>
      </c>
      <c r="J537" t="s">
        <v>166</v>
      </c>
      <c r="K537">
        <v>0</v>
      </c>
      <c r="L537" t="s">
        <v>162</v>
      </c>
      <c r="N537" t="s">
        <v>340</v>
      </c>
      <c r="O537" t="s">
        <v>166</v>
      </c>
      <c r="P537">
        <v>4.2915665229294056E-3</v>
      </c>
      <c r="Q537" t="s">
        <v>162</v>
      </c>
      <c r="S537" t="s">
        <v>452</v>
      </c>
      <c r="T537" t="s">
        <v>166</v>
      </c>
      <c r="U537">
        <v>3.872278166483938E-3</v>
      </c>
      <c r="V537" t="s">
        <v>162</v>
      </c>
    </row>
    <row r="538" spans="9:22" x14ac:dyDescent="0.45">
      <c r="I538" t="s">
        <v>228</v>
      </c>
      <c r="J538" t="s">
        <v>167</v>
      </c>
      <c r="K538">
        <v>0</v>
      </c>
      <c r="L538" t="s">
        <v>162</v>
      </c>
      <c r="N538" t="s">
        <v>340</v>
      </c>
      <c r="O538" t="s">
        <v>167</v>
      </c>
      <c r="P538">
        <v>2.5726531266592533E-2</v>
      </c>
      <c r="Q538" t="s">
        <v>162</v>
      </c>
      <c r="S538" t="s">
        <v>452</v>
      </c>
      <c r="T538" t="s">
        <v>167</v>
      </c>
      <c r="U538">
        <v>2.2658881288819026E-2</v>
      </c>
      <c r="V538" t="s">
        <v>162</v>
      </c>
    </row>
    <row r="539" spans="9:22" x14ac:dyDescent="0.45">
      <c r="I539" t="s">
        <v>228</v>
      </c>
      <c r="J539" t="s">
        <v>168</v>
      </c>
      <c r="K539">
        <v>3.3023117471456719E-2</v>
      </c>
      <c r="L539" t="s">
        <v>162</v>
      </c>
      <c r="N539" t="s">
        <v>340</v>
      </c>
      <c r="O539" t="s">
        <v>168</v>
      </c>
      <c r="P539">
        <v>8.0436789577974233E-2</v>
      </c>
      <c r="Q539" t="s">
        <v>162</v>
      </c>
      <c r="S539" t="s">
        <v>452</v>
      </c>
      <c r="T539" t="s">
        <v>168</v>
      </c>
      <c r="U539">
        <v>6.5355291634430046E-2</v>
      </c>
      <c r="V539" t="s">
        <v>162</v>
      </c>
    </row>
    <row r="540" spans="9:22" x14ac:dyDescent="0.45">
      <c r="I540" t="s">
        <v>228</v>
      </c>
      <c r="J540" t="s">
        <v>169</v>
      </c>
      <c r="K540">
        <v>0</v>
      </c>
      <c r="L540" t="s">
        <v>162</v>
      </c>
      <c r="N540" t="s">
        <v>340</v>
      </c>
      <c r="O540" t="s">
        <v>169</v>
      </c>
      <c r="P540">
        <v>4.5957675109668666E-3</v>
      </c>
      <c r="Q540" t="s">
        <v>162</v>
      </c>
      <c r="S540" t="s">
        <v>452</v>
      </c>
      <c r="T540" t="s">
        <v>169</v>
      </c>
      <c r="U540">
        <v>4.2569966526211861E-3</v>
      </c>
      <c r="V540" t="s">
        <v>162</v>
      </c>
    </row>
    <row r="541" spans="9:22" x14ac:dyDescent="0.45">
      <c r="I541" t="s">
        <v>228</v>
      </c>
      <c r="J541" t="s">
        <v>170</v>
      </c>
      <c r="K541">
        <v>0</v>
      </c>
      <c r="L541" t="s">
        <v>162</v>
      </c>
      <c r="N541" t="s">
        <v>340</v>
      </c>
      <c r="O541" t="s">
        <v>170</v>
      </c>
      <c r="P541">
        <v>2.7796673441967734E-2</v>
      </c>
      <c r="Q541" t="s">
        <v>162</v>
      </c>
      <c r="S541" t="s">
        <v>452</v>
      </c>
      <c r="T541" t="s">
        <v>170</v>
      </c>
      <c r="U541">
        <v>2.5005693930118377E-2</v>
      </c>
      <c r="V541" t="s">
        <v>162</v>
      </c>
    </row>
    <row r="542" spans="9:22" x14ac:dyDescent="0.45">
      <c r="I542" t="s">
        <v>229</v>
      </c>
      <c r="J542" t="s">
        <v>161</v>
      </c>
      <c r="K542">
        <v>0.85912891430643346</v>
      </c>
      <c r="L542" t="s">
        <v>162</v>
      </c>
      <c r="N542" t="s">
        <v>341</v>
      </c>
      <c r="O542" t="s">
        <v>161</v>
      </c>
      <c r="P542">
        <v>0.56824887397023005</v>
      </c>
      <c r="Q542" t="s">
        <v>162</v>
      </c>
      <c r="S542" t="s">
        <v>453</v>
      </c>
      <c r="T542" t="s">
        <v>161</v>
      </c>
      <c r="U542">
        <v>0.51778329192237604</v>
      </c>
      <c r="V542" t="s">
        <v>162</v>
      </c>
    </row>
    <row r="543" spans="9:22" x14ac:dyDescent="0.45">
      <c r="I543" t="s">
        <v>229</v>
      </c>
      <c r="J543" t="s">
        <v>163</v>
      </c>
      <c r="K543">
        <v>4.424977359666328E-2</v>
      </c>
      <c r="L543" t="s">
        <v>162</v>
      </c>
      <c r="N543" t="s">
        <v>341</v>
      </c>
      <c r="O543" t="s">
        <v>163</v>
      </c>
      <c r="P543">
        <v>3.4475469338796728E-2</v>
      </c>
      <c r="Q543" t="s">
        <v>162</v>
      </c>
      <c r="S543" t="s">
        <v>453</v>
      </c>
      <c r="T543" t="s">
        <v>163</v>
      </c>
      <c r="U543">
        <v>3.0771015453886063E-2</v>
      </c>
      <c r="V543" t="s">
        <v>162</v>
      </c>
    </row>
    <row r="544" spans="9:22" x14ac:dyDescent="0.45">
      <c r="I544" t="s">
        <v>229</v>
      </c>
      <c r="J544" t="s">
        <v>164</v>
      </c>
      <c r="K544">
        <v>4.8964637071237743E-2</v>
      </c>
      <c r="L544" t="s">
        <v>162</v>
      </c>
      <c r="N544" t="s">
        <v>341</v>
      </c>
      <c r="O544" t="s">
        <v>164</v>
      </c>
      <c r="P544">
        <v>0.21242163113052484</v>
      </c>
      <c r="Q544" t="s">
        <v>162</v>
      </c>
      <c r="S544" t="s">
        <v>453</v>
      </c>
      <c r="T544" t="s">
        <v>164</v>
      </c>
      <c r="U544">
        <v>0.19903249685405192</v>
      </c>
      <c r="V544" t="s">
        <v>162</v>
      </c>
    </row>
    <row r="545" spans="9:22" x14ac:dyDescent="0.45">
      <c r="I545" t="s">
        <v>229</v>
      </c>
      <c r="J545" t="s">
        <v>165</v>
      </c>
      <c r="K545">
        <v>2.7182060312327425E-2</v>
      </c>
      <c r="L545" t="s">
        <v>162</v>
      </c>
      <c r="N545" t="s">
        <v>341</v>
      </c>
      <c r="O545" t="s">
        <v>165</v>
      </c>
      <c r="P545">
        <v>6.7126602247132475E-2</v>
      </c>
      <c r="Q545" t="s">
        <v>162</v>
      </c>
      <c r="S545" t="s">
        <v>453</v>
      </c>
      <c r="T545" t="s">
        <v>165</v>
      </c>
      <c r="U545">
        <v>9.1851387883786176E-2</v>
      </c>
      <c r="V545" t="s">
        <v>162</v>
      </c>
    </row>
    <row r="546" spans="9:22" x14ac:dyDescent="0.45">
      <c r="I546" t="s">
        <v>229</v>
      </c>
      <c r="J546" t="s">
        <v>166</v>
      </c>
      <c r="K546">
        <v>0</v>
      </c>
      <c r="L546" t="s">
        <v>162</v>
      </c>
      <c r="N546" t="s">
        <v>341</v>
      </c>
      <c r="O546" t="s">
        <v>166</v>
      </c>
      <c r="P546">
        <v>3.8170880909440146E-3</v>
      </c>
      <c r="Q546" t="s">
        <v>162</v>
      </c>
      <c r="S546" t="s">
        <v>453</v>
      </c>
      <c r="T546" t="s">
        <v>166</v>
      </c>
      <c r="U546">
        <v>4.9383535197815411E-3</v>
      </c>
      <c r="V546" t="s">
        <v>162</v>
      </c>
    </row>
    <row r="547" spans="9:22" x14ac:dyDescent="0.45">
      <c r="I547" t="s">
        <v>229</v>
      </c>
      <c r="J547" t="s">
        <v>167</v>
      </c>
      <c r="K547">
        <v>0</v>
      </c>
      <c r="L547" t="s">
        <v>162</v>
      </c>
      <c r="N547" t="s">
        <v>341</v>
      </c>
      <c r="O547" t="s">
        <v>167</v>
      </c>
      <c r="P547">
        <v>2.3434899421582129E-2</v>
      </c>
      <c r="Q547" t="s">
        <v>162</v>
      </c>
      <c r="S547" t="s">
        <v>453</v>
      </c>
      <c r="T547" t="s">
        <v>167</v>
      </c>
      <c r="U547">
        <v>2.9100832857254101E-2</v>
      </c>
      <c r="V547" t="s">
        <v>162</v>
      </c>
    </row>
    <row r="548" spans="9:22" x14ac:dyDescent="0.45">
      <c r="I548" t="s">
        <v>229</v>
      </c>
      <c r="J548" t="s">
        <v>168</v>
      </c>
      <c r="K548">
        <v>2.0474614713339532E-2</v>
      </c>
      <c r="L548" t="s">
        <v>162</v>
      </c>
      <c r="N548" t="s">
        <v>341</v>
      </c>
      <c r="O548" t="s">
        <v>168</v>
      </c>
      <c r="P548">
        <v>6.1367075105042079E-2</v>
      </c>
      <c r="Q548" t="s">
        <v>162</v>
      </c>
      <c r="S548" t="s">
        <v>453</v>
      </c>
      <c r="T548" t="s">
        <v>168</v>
      </c>
      <c r="U548">
        <v>8.6851137461958439E-2</v>
      </c>
      <c r="V548" t="s">
        <v>162</v>
      </c>
    </row>
    <row r="549" spans="9:22" x14ac:dyDescent="0.45">
      <c r="I549" t="s">
        <v>229</v>
      </c>
      <c r="J549" t="s">
        <v>169</v>
      </c>
      <c r="K549">
        <v>0</v>
      </c>
      <c r="L549" t="s">
        <v>162</v>
      </c>
      <c r="N549" t="s">
        <v>341</v>
      </c>
      <c r="O549" t="s">
        <v>169</v>
      </c>
      <c r="P549">
        <v>3.664510139015616E-3</v>
      </c>
      <c r="Q549" t="s">
        <v>162</v>
      </c>
      <c r="S549" t="s">
        <v>453</v>
      </c>
      <c r="T549" t="s">
        <v>169</v>
      </c>
      <c r="U549">
        <v>5.4669280492733322E-3</v>
      </c>
      <c r="V549" t="s">
        <v>162</v>
      </c>
    </row>
    <row r="550" spans="9:22" x14ac:dyDescent="0.45">
      <c r="I550" t="s">
        <v>229</v>
      </c>
      <c r="J550" t="s">
        <v>170</v>
      </c>
      <c r="K550">
        <v>0</v>
      </c>
      <c r="L550" t="s">
        <v>162</v>
      </c>
      <c r="N550" t="s">
        <v>341</v>
      </c>
      <c r="O550" t="s">
        <v>170</v>
      </c>
      <c r="P550">
        <v>2.5443850556736661E-2</v>
      </c>
      <c r="Q550" t="s">
        <v>162</v>
      </c>
      <c r="S550" t="s">
        <v>453</v>
      </c>
      <c r="T550" t="s">
        <v>170</v>
      </c>
      <c r="U550">
        <v>3.4204555997631829E-2</v>
      </c>
      <c r="V550" t="s">
        <v>162</v>
      </c>
    </row>
    <row r="551" spans="9:22" x14ac:dyDescent="0.45">
      <c r="I551" t="s">
        <v>230</v>
      </c>
      <c r="J551" t="s">
        <v>161</v>
      </c>
      <c r="K551">
        <v>0.85335179074076706</v>
      </c>
      <c r="L551" t="s">
        <v>162</v>
      </c>
      <c r="N551" t="s">
        <v>342</v>
      </c>
      <c r="O551" t="s">
        <v>161</v>
      </c>
      <c r="P551">
        <v>0.55332417807422984</v>
      </c>
      <c r="Q551" t="s">
        <v>162</v>
      </c>
      <c r="S551" t="s">
        <v>454</v>
      </c>
      <c r="T551" t="s">
        <v>161</v>
      </c>
      <c r="U551">
        <v>0.5591636677573385</v>
      </c>
      <c r="V551" t="s">
        <v>162</v>
      </c>
    </row>
    <row r="552" spans="9:22" x14ac:dyDescent="0.45">
      <c r="I552" t="s">
        <v>230</v>
      </c>
      <c r="J552" t="s">
        <v>163</v>
      </c>
      <c r="K552">
        <v>4.3386230775876694E-2</v>
      </c>
      <c r="L552" t="s">
        <v>162</v>
      </c>
      <c r="N552" t="s">
        <v>342</v>
      </c>
      <c r="O552" t="s">
        <v>163</v>
      </c>
      <c r="P552">
        <v>3.5171976151457056E-2</v>
      </c>
      <c r="Q552" t="s">
        <v>162</v>
      </c>
      <c r="S552" t="s">
        <v>454</v>
      </c>
      <c r="T552" t="s">
        <v>163</v>
      </c>
      <c r="U552">
        <v>3.4966929807154781E-2</v>
      </c>
      <c r="V552" t="s">
        <v>162</v>
      </c>
    </row>
    <row r="553" spans="9:22" x14ac:dyDescent="0.45">
      <c r="I553" t="s">
        <v>230</v>
      </c>
      <c r="J553" t="s">
        <v>164</v>
      </c>
      <c r="K553">
        <v>4.6052737018094494E-2</v>
      </c>
      <c r="L553" t="s">
        <v>162</v>
      </c>
      <c r="N553" t="s">
        <v>342</v>
      </c>
      <c r="O553" t="s">
        <v>164</v>
      </c>
      <c r="P553">
        <v>0.21996642746404438</v>
      </c>
      <c r="Q553" t="s">
        <v>162</v>
      </c>
      <c r="S553" t="s">
        <v>454</v>
      </c>
      <c r="T553" t="s">
        <v>164</v>
      </c>
      <c r="U553">
        <v>0.2134019591822047</v>
      </c>
      <c r="V553" t="s">
        <v>162</v>
      </c>
    </row>
    <row r="554" spans="9:22" x14ac:dyDescent="0.45">
      <c r="I554" t="s">
        <v>230</v>
      </c>
      <c r="J554" t="s">
        <v>165</v>
      </c>
      <c r="K554">
        <v>2.8130593738657131E-2</v>
      </c>
      <c r="L554" t="s">
        <v>162</v>
      </c>
      <c r="N554" t="s">
        <v>342</v>
      </c>
      <c r="O554" t="s">
        <v>165</v>
      </c>
      <c r="P554">
        <v>6.1918352934129763E-2</v>
      </c>
      <c r="Q554" t="s">
        <v>162</v>
      </c>
      <c r="S554" t="s">
        <v>454</v>
      </c>
      <c r="T554" t="s">
        <v>165</v>
      </c>
      <c r="U554">
        <v>7.3341475725884814E-2</v>
      </c>
      <c r="V554" t="s">
        <v>162</v>
      </c>
    </row>
    <row r="555" spans="9:22" x14ac:dyDescent="0.45">
      <c r="I555" t="s">
        <v>230</v>
      </c>
      <c r="J555" t="s">
        <v>166</v>
      </c>
      <c r="K555">
        <v>0</v>
      </c>
      <c r="L555" t="s">
        <v>162</v>
      </c>
      <c r="N555" t="s">
        <v>342</v>
      </c>
      <c r="O555" t="s">
        <v>166</v>
      </c>
      <c r="P555">
        <v>3.7788482613934577E-3</v>
      </c>
      <c r="Q555" t="s">
        <v>162</v>
      </c>
      <c r="S555" t="s">
        <v>454</v>
      </c>
      <c r="T555" t="s">
        <v>166</v>
      </c>
      <c r="U555">
        <v>4.0388921786574652E-3</v>
      </c>
      <c r="V555" t="s">
        <v>162</v>
      </c>
    </row>
    <row r="556" spans="9:22" x14ac:dyDescent="0.45">
      <c r="I556" t="s">
        <v>230</v>
      </c>
      <c r="J556" t="s">
        <v>167</v>
      </c>
      <c r="K556">
        <v>0</v>
      </c>
      <c r="L556" t="s">
        <v>162</v>
      </c>
      <c r="N556" t="s">
        <v>342</v>
      </c>
      <c r="O556" t="s">
        <v>167</v>
      </c>
      <c r="P556">
        <v>2.2088270976860187E-2</v>
      </c>
      <c r="Q556" t="s">
        <v>162</v>
      </c>
      <c r="S556" t="s">
        <v>454</v>
      </c>
      <c r="T556" t="s">
        <v>167</v>
      </c>
      <c r="U556">
        <v>2.412198974026734E-2</v>
      </c>
      <c r="V556" t="s">
        <v>162</v>
      </c>
    </row>
    <row r="557" spans="9:22" x14ac:dyDescent="0.45">
      <c r="I557" t="s">
        <v>230</v>
      </c>
      <c r="J557" t="s">
        <v>168</v>
      </c>
      <c r="K557">
        <v>2.9078647726604213E-2</v>
      </c>
      <c r="L557" t="s">
        <v>162</v>
      </c>
      <c r="N557" t="s">
        <v>342</v>
      </c>
      <c r="O557" t="s">
        <v>168</v>
      </c>
      <c r="P557">
        <v>7.284730575833176E-2</v>
      </c>
      <c r="Q557" t="s">
        <v>162</v>
      </c>
      <c r="S557" t="s">
        <v>454</v>
      </c>
      <c r="T557" t="s">
        <v>168</v>
      </c>
      <c r="U557">
        <v>6.2820324824861246E-2</v>
      </c>
      <c r="V557" t="s">
        <v>162</v>
      </c>
    </row>
    <row r="558" spans="9:22" x14ac:dyDescent="0.45">
      <c r="I558" t="s">
        <v>230</v>
      </c>
      <c r="J558" t="s">
        <v>169</v>
      </c>
      <c r="K558">
        <v>0</v>
      </c>
      <c r="L558" t="s">
        <v>162</v>
      </c>
      <c r="N558" t="s">
        <v>342</v>
      </c>
      <c r="O558" t="s">
        <v>169</v>
      </c>
      <c r="P558">
        <v>3.9064123441785777E-3</v>
      </c>
      <c r="Q558" t="s">
        <v>162</v>
      </c>
      <c r="S558" t="s">
        <v>454</v>
      </c>
      <c r="T558" t="s">
        <v>169</v>
      </c>
      <c r="U558">
        <v>3.9084379753209966E-3</v>
      </c>
      <c r="V558" t="s">
        <v>162</v>
      </c>
    </row>
    <row r="559" spans="9:22" x14ac:dyDescent="0.45">
      <c r="I559" t="s">
        <v>230</v>
      </c>
      <c r="J559" t="s">
        <v>170</v>
      </c>
      <c r="K559">
        <v>0</v>
      </c>
      <c r="L559" t="s">
        <v>162</v>
      </c>
      <c r="N559" t="s">
        <v>342</v>
      </c>
      <c r="O559" t="s">
        <v>170</v>
      </c>
      <c r="P559">
        <v>2.6998228035374976E-2</v>
      </c>
      <c r="Q559" t="s">
        <v>162</v>
      </c>
      <c r="S559" t="s">
        <v>454</v>
      </c>
      <c r="T559" t="s">
        <v>170</v>
      </c>
      <c r="U559">
        <v>2.4236322808307897E-2</v>
      </c>
      <c r="V559" t="s">
        <v>162</v>
      </c>
    </row>
    <row r="560" spans="9:22" x14ac:dyDescent="0.45">
      <c r="I560" t="s">
        <v>231</v>
      </c>
      <c r="J560" t="s">
        <v>161</v>
      </c>
      <c r="K560">
        <v>0.82566497427089391</v>
      </c>
      <c r="L560" t="s">
        <v>162</v>
      </c>
      <c r="N560" t="s">
        <v>343</v>
      </c>
      <c r="O560" t="s">
        <v>161</v>
      </c>
      <c r="P560">
        <v>0.56480027666346855</v>
      </c>
      <c r="Q560" t="s">
        <v>162</v>
      </c>
      <c r="S560" t="s">
        <v>455</v>
      </c>
      <c r="T560" t="s">
        <v>161</v>
      </c>
      <c r="U560">
        <v>0.57920561503209733</v>
      </c>
      <c r="V560" t="s">
        <v>162</v>
      </c>
    </row>
    <row r="561" spans="9:22" x14ac:dyDescent="0.45">
      <c r="I561" t="s">
        <v>231</v>
      </c>
      <c r="J561" t="s">
        <v>163</v>
      </c>
      <c r="K561">
        <v>5.5481612644314351E-2</v>
      </c>
      <c r="L561" t="s">
        <v>162</v>
      </c>
      <c r="N561" t="s">
        <v>343</v>
      </c>
      <c r="O561" t="s">
        <v>163</v>
      </c>
      <c r="P561">
        <v>3.0851299053908616E-2</v>
      </c>
      <c r="Q561" t="s">
        <v>162</v>
      </c>
      <c r="S561" t="s">
        <v>455</v>
      </c>
      <c r="T561" t="s">
        <v>163</v>
      </c>
      <c r="U561">
        <v>3.3416325519251652E-2</v>
      </c>
      <c r="V561" t="s">
        <v>162</v>
      </c>
    </row>
    <row r="562" spans="9:22" x14ac:dyDescent="0.45">
      <c r="I562" t="s">
        <v>231</v>
      </c>
      <c r="J562" t="s">
        <v>164</v>
      </c>
      <c r="K562">
        <v>7.9054724891917713E-2</v>
      </c>
      <c r="L562" t="s">
        <v>162</v>
      </c>
      <c r="N562" t="s">
        <v>343</v>
      </c>
      <c r="O562" t="s">
        <v>164</v>
      </c>
      <c r="P562">
        <v>0.19252481753342068</v>
      </c>
      <c r="Q562" t="s">
        <v>162</v>
      </c>
      <c r="S562" t="s">
        <v>455</v>
      </c>
      <c r="T562" t="s">
        <v>164</v>
      </c>
      <c r="U562">
        <v>0.20099911665806083</v>
      </c>
      <c r="V562" t="s">
        <v>162</v>
      </c>
    </row>
    <row r="563" spans="9:22" x14ac:dyDescent="0.45">
      <c r="I563" t="s">
        <v>231</v>
      </c>
      <c r="J563" t="s">
        <v>165</v>
      </c>
      <c r="K563">
        <v>1.8975547028296836E-2</v>
      </c>
      <c r="L563" t="s">
        <v>162</v>
      </c>
      <c r="N563" t="s">
        <v>343</v>
      </c>
      <c r="O563" t="s">
        <v>165</v>
      </c>
      <c r="P563">
        <v>6.9149073950137294E-2</v>
      </c>
      <c r="Q563" t="s">
        <v>162</v>
      </c>
      <c r="S563" t="s">
        <v>455</v>
      </c>
      <c r="T563" t="s">
        <v>165</v>
      </c>
      <c r="U563">
        <v>6.1583330512269135E-2</v>
      </c>
      <c r="V563" t="s">
        <v>162</v>
      </c>
    </row>
    <row r="564" spans="9:22" x14ac:dyDescent="0.45">
      <c r="I564" t="s">
        <v>231</v>
      </c>
      <c r="J564" t="s">
        <v>166</v>
      </c>
      <c r="K564">
        <v>0</v>
      </c>
      <c r="L564" t="s">
        <v>162</v>
      </c>
      <c r="N564" t="s">
        <v>343</v>
      </c>
      <c r="O564" t="s">
        <v>166</v>
      </c>
      <c r="P564">
        <v>4.2309413091192495E-3</v>
      </c>
      <c r="Q564" t="s">
        <v>162</v>
      </c>
      <c r="S564" t="s">
        <v>455</v>
      </c>
      <c r="T564" t="s">
        <v>166</v>
      </c>
      <c r="U564">
        <v>3.7625601771394215E-3</v>
      </c>
      <c r="V564" t="s">
        <v>162</v>
      </c>
    </row>
    <row r="565" spans="9:22" x14ac:dyDescent="0.45">
      <c r="I565" t="s">
        <v>231</v>
      </c>
      <c r="J565" t="s">
        <v>167</v>
      </c>
      <c r="K565">
        <v>0</v>
      </c>
      <c r="L565" t="s">
        <v>162</v>
      </c>
      <c r="N565" t="s">
        <v>343</v>
      </c>
      <c r="O565" t="s">
        <v>167</v>
      </c>
      <c r="P565">
        <v>2.661454445045762E-2</v>
      </c>
      <c r="Q565" t="s">
        <v>162</v>
      </c>
      <c r="S565" t="s">
        <v>455</v>
      </c>
      <c r="T565" t="s">
        <v>167</v>
      </c>
      <c r="U565">
        <v>2.2222792632850426E-2</v>
      </c>
      <c r="V565" t="s">
        <v>162</v>
      </c>
    </row>
    <row r="566" spans="9:22" x14ac:dyDescent="0.45">
      <c r="I566" t="s">
        <v>231</v>
      </c>
      <c r="J566" t="s">
        <v>168</v>
      </c>
      <c r="K566">
        <v>2.0823141164575554E-2</v>
      </c>
      <c r="L566" t="s">
        <v>162</v>
      </c>
      <c r="N566" t="s">
        <v>343</v>
      </c>
      <c r="O566" t="s">
        <v>168</v>
      </c>
      <c r="P566">
        <v>8.0449909525829116E-2</v>
      </c>
      <c r="Q566" t="s">
        <v>162</v>
      </c>
      <c r="S566" t="s">
        <v>455</v>
      </c>
      <c r="T566" t="s">
        <v>168</v>
      </c>
      <c r="U566">
        <v>7.0630968859633408E-2</v>
      </c>
      <c r="V566" t="s">
        <v>162</v>
      </c>
    </row>
    <row r="567" spans="9:22" x14ac:dyDescent="0.45">
      <c r="I567" t="s">
        <v>231</v>
      </c>
      <c r="J567" t="s">
        <v>169</v>
      </c>
      <c r="K567">
        <v>0</v>
      </c>
      <c r="L567" t="s">
        <v>162</v>
      </c>
      <c r="N567" t="s">
        <v>343</v>
      </c>
      <c r="O567" t="s">
        <v>169</v>
      </c>
      <c r="P567">
        <v>4.5374974501626239E-3</v>
      </c>
      <c r="Q567" t="s">
        <v>162</v>
      </c>
      <c r="S567" t="s">
        <v>455</v>
      </c>
      <c r="T567" t="s">
        <v>169</v>
      </c>
      <c r="U567">
        <v>3.9678207707837636E-3</v>
      </c>
      <c r="V567" t="s">
        <v>162</v>
      </c>
    </row>
    <row r="568" spans="9:22" x14ac:dyDescent="0.45">
      <c r="I568" t="s">
        <v>231</v>
      </c>
      <c r="J568" t="s">
        <v>170</v>
      </c>
      <c r="K568">
        <v>0</v>
      </c>
      <c r="L568" t="s">
        <v>162</v>
      </c>
      <c r="N568" t="s">
        <v>343</v>
      </c>
      <c r="O568" t="s">
        <v>170</v>
      </c>
      <c r="P568">
        <v>2.6841640063494713E-2</v>
      </c>
      <c r="Q568" t="s">
        <v>162</v>
      </c>
      <c r="S568" t="s">
        <v>455</v>
      </c>
      <c r="T568" t="s">
        <v>170</v>
      </c>
      <c r="U568">
        <v>2.4211469837911514E-2</v>
      </c>
      <c r="V568" t="s">
        <v>162</v>
      </c>
    </row>
    <row r="569" spans="9:22" x14ac:dyDescent="0.45">
      <c r="I569" t="s">
        <v>232</v>
      </c>
      <c r="J569" t="s">
        <v>161</v>
      </c>
      <c r="K569">
        <v>0.84708306295131541</v>
      </c>
      <c r="L569" t="s">
        <v>162</v>
      </c>
      <c r="N569" t="s">
        <v>344</v>
      </c>
      <c r="O569" t="s">
        <v>161</v>
      </c>
      <c r="P569">
        <v>0.56345692970335026</v>
      </c>
      <c r="Q569" t="s">
        <v>162</v>
      </c>
      <c r="S569" t="s">
        <v>456</v>
      </c>
      <c r="T569" t="s">
        <v>161</v>
      </c>
      <c r="U569">
        <v>0.57876913954359432</v>
      </c>
      <c r="V569" t="s">
        <v>162</v>
      </c>
    </row>
    <row r="570" spans="9:22" x14ac:dyDescent="0.45">
      <c r="I570" t="s">
        <v>232</v>
      </c>
      <c r="J570" t="s">
        <v>163</v>
      </c>
      <c r="K570">
        <v>4.8924311152119197E-2</v>
      </c>
      <c r="L570" t="s">
        <v>162</v>
      </c>
      <c r="N570" t="s">
        <v>344</v>
      </c>
      <c r="O570" t="s">
        <v>163</v>
      </c>
      <c r="P570">
        <v>3.2992416875790416E-2</v>
      </c>
      <c r="Q570" t="s">
        <v>162</v>
      </c>
      <c r="S570" t="s">
        <v>456</v>
      </c>
      <c r="T570" t="s">
        <v>163</v>
      </c>
      <c r="U570">
        <v>3.3360815718869986E-2</v>
      </c>
      <c r="V570" t="s">
        <v>162</v>
      </c>
    </row>
    <row r="571" spans="9:22" x14ac:dyDescent="0.45">
      <c r="I571" t="s">
        <v>232</v>
      </c>
      <c r="J571" t="s">
        <v>164</v>
      </c>
      <c r="K571">
        <v>5.9894199265120796E-2</v>
      </c>
      <c r="L571" t="s">
        <v>162</v>
      </c>
      <c r="N571" t="s">
        <v>344</v>
      </c>
      <c r="O571" t="s">
        <v>164</v>
      </c>
      <c r="P571">
        <v>0.19886507063138031</v>
      </c>
      <c r="Q571" t="s">
        <v>162</v>
      </c>
      <c r="S571" t="s">
        <v>456</v>
      </c>
      <c r="T571" t="s">
        <v>164</v>
      </c>
      <c r="U571">
        <v>0.20497982639385945</v>
      </c>
      <c r="V571" t="s">
        <v>162</v>
      </c>
    </row>
    <row r="572" spans="9:22" x14ac:dyDescent="0.45">
      <c r="I572" t="s">
        <v>232</v>
      </c>
      <c r="J572" t="s">
        <v>165</v>
      </c>
      <c r="K572">
        <v>2.3099031138238857E-2</v>
      </c>
      <c r="L572" t="s">
        <v>162</v>
      </c>
      <c r="N572" t="s">
        <v>344</v>
      </c>
      <c r="O572" t="s">
        <v>165</v>
      </c>
      <c r="P572">
        <v>6.5809275022213717E-2</v>
      </c>
      <c r="Q572" t="s">
        <v>162</v>
      </c>
      <c r="S572" t="s">
        <v>456</v>
      </c>
      <c r="T572" t="s">
        <v>165</v>
      </c>
      <c r="U572">
        <v>5.8153030062342563E-2</v>
      </c>
      <c r="V572" t="s">
        <v>162</v>
      </c>
    </row>
    <row r="573" spans="9:22" x14ac:dyDescent="0.45">
      <c r="I573" t="s">
        <v>232</v>
      </c>
      <c r="J573" t="s">
        <v>166</v>
      </c>
      <c r="K573">
        <v>0</v>
      </c>
      <c r="L573" t="s">
        <v>162</v>
      </c>
      <c r="N573" t="s">
        <v>344</v>
      </c>
      <c r="O573" t="s">
        <v>166</v>
      </c>
      <c r="P573">
        <v>3.9662803903503597E-3</v>
      </c>
      <c r="Q573" t="s">
        <v>162</v>
      </c>
      <c r="S573" t="s">
        <v>456</v>
      </c>
      <c r="T573" t="s">
        <v>166</v>
      </c>
      <c r="U573">
        <v>3.493687755311788E-3</v>
      </c>
      <c r="V573" t="s">
        <v>162</v>
      </c>
    </row>
    <row r="574" spans="9:22" x14ac:dyDescent="0.45">
      <c r="I574" t="s">
        <v>232</v>
      </c>
      <c r="J574" t="s">
        <v>167</v>
      </c>
      <c r="K574">
        <v>0</v>
      </c>
      <c r="L574" t="s">
        <v>162</v>
      </c>
      <c r="N574" t="s">
        <v>344</v>
      </c>
      <c r="O574" t="s">
        <v>167</v>
      </c>
      <c r="P574">
        <v>2.4647149259070977E-2</v>
      </c>
      <c r="Q574" t="s">
        <v>162</v>
      </c>
      <c r="S574" t="s">
        <v>456</v>
      </c>
      <c r="T574" t="s">
        <v>167</v>
      </c>
      <c r="U574">
        <v>2.1151391485101912E-2</v>
      </c>
      <c r="V574" t="s">
        <v>162</v>
      </c>
    </row>
    <row r="575" spans="9:22" x14ac:dyDescent="0.45">
      <c r="I575" t="s">
        <v>232</v>
      </c>
      <c r="J575" t="s">
        <v>168</v>
      </c>
      <c r="K575">
        <v>2.0999395493205807E-2</v>
      </c>
      <c r="L575" t="s">
        <v>162</v>
      </c>
      <c r="N575" t="s">
        <v>344</v>
      </c>
      <c r="O575" t="s">
        <v>168</v>
      </c>
      <c r="P575">
        <v>7.8202204252384014E-2</v>
      </c>
      <c r="Q575" t="s">
        <v>162</v>
      </c>
      <c r="S575" t="s">
        <v>456</v>
      </c>
      <c r="T575" t="s">
        <v>168</v>
      </c>
      <c r="U575">
        <v>7.1126592043269349E-2</v>
      </c>
      <c r="V575" t="s">
        <v>162</v>
      </c>
    </row>
    <row r="576" spans="9:22" x14ac:dyDescent="0.45">
      <c r="I576" t="s">
        <v>232</v>
      </c>
      <c r="J576" t="s">
        <v>169</v>
      </c>
      <c r="K576">
        <v>0</v>
      </c>
      <c r="L576" t="s">
        <v>162</v>
      </c>
      <c r="N576" t="s">
        <v>344</v>
      </c>
      <c r="O576" t="s">
        <v>169</v>
      </c>
      <c r="P576">
        <v>4.4368985164878472E-3</v>
      </c>
      <c r="Q576" t="s">
        <v>162</v>
      </c>
      <c r="S576" t="s">
        <v>456</v>
      </c>
      <c r="T576" t="s">
        <v>169</v>
      </c>
      <c r="U576">
        <v>4.0635869443996627E-3</v>
      </c>
      <c r="V576" t="s">
        <v>162</v>
      </c>
    </row>
    <row r="577" spans="9:22" x14ac:dyDescent="0.45">
      <c r="I577" t="s">
        <v>232</v>
      </c>
      <c r="J577" t="s">
        <v>170</v>
      </c>
      <c r="K577">
        <v>0</v>
      </c>
      <c r="L577" t="s">
        <v>162</v>
      </c>
      <c r="N577" t="s">
        <v>344</v>
      </c>
      <c r="O577" t="s">
        <v>170</v>
      </c>
      <c r="P577">
        <v>2.7623775348972611E-2</v>
      </c>
      <c r="Q577" t="s">
        <v>162</v>
      </c>
      <c r="S577" t="s">
        <v>456</v>
      </c>
      <c r="T577" t="s">
        <v>170</v>
      </c>
      <c r="U577">
        <v>2.4901930053250153E-2</v>
      </c>
      <c r="V577" t="s">
        <v>162</v>
      </c>
    </row>
    <row r="578" spans="9:22" x14ac:dyDescent="0.45">
      <c r="I578" t="s">
        <v>233</v>
      </c>
      <c r="J578" t="s">
        <v>161</v>
      </c>
      <c r="K578">
        <v>0.82940476049155842</v>
      </c>
      <c r="L578" t="s">
        <v>162</v>
      </c>
      <c r="N578" t="s">
        <v>345</v>
      </c>
      <c r="O578" t="s">
        <v>161</v>
      </c>
      <c r="P578">
        <v>0.56349034306396584</v>
      </c>
      <c r="Q578" t="s">
        <v>162</v>
      </c>
      <c r="S578" t="s">
        <v>457</v>
      </c>
      <c r="T578" t="s">
        <v>161</v>
      </c>
      <c r="U578">
        <v>0.54961333324704231</v>
      </c>
      <c r="V578" t="s">
        <v>162</v>
      </c>
    </row>
    <row r="579" spans="9:22" x14ac:dyDescent="0.45">
      <c r="I579" t="s">
        <v>233</v>
      </c>
      <c r="J579" t="s">
        <v>163</v>
      </c>
      <c r="K579">
        <v>5.2876262920334913E-2</v>
      </c>
      <c r="L579" t="s">
        <v>162</v>
      </c>
      <c r="N579" t="s">
        <v>345</v>
      </c>
      <c r="O579" t="s">
        <v>163</v>
      </c>
      <c r="P579">
        <v>3.2320779099054314E-2</v>
      </c>
      <c r="Q579" t="s">
        <v>162</v>
      </c>
      <c r="S579" t="s">
        <v>457</v>
      </c>
      <c r="T579" t="s">
        <v>163</v>
      </c>
      <c r="U579">
        <v>3.2723057356074108E-2</v>
      </c>
      <c r="V579" t="s">
        <v>162</v>
      </c>
    </row>
    <row r="580" spans="9:22" x14ac:dyDescent="0.45">
      <c r="I580" t="s">
        <v>233</v>
      </c>
      <c r="J580" t="s">
        <v>164</v>
      </c>
      <c r="K580">
        <v>5.5822113309385246E-2</v>
      </c>
      <c r="L580" t="s">
        <v>162</v>
      </c>
      <c r="N580" t="s">
        <v>345</v>
      </c>
      <c r="O580" t="s">
        <v>164</v>
      </c>
      <c r="P580">
        <v>0.19992173618566941</v>
      </c>
      <c r="Q580" t="s">
        <v>162</v>
      </c>
      <c r="S580" t="s">
        <v>457</v>
      </c>
      <c r="T580" t="s">
        <v>164</v>
      </c>
      <c r="U580">
        <v>0.19807304704911108</v>
      </c>
      <c r="V580" t="s">
        <v>162</v>
      </c>
    </row>
    <row r="581" spans="9:22" x14ac:dyDescent="0.45">
      <c r="I581" t="s">
        <v>233</v>
      </c>
      <c r="J581" t="s">
        <v>165</v>
      </c>
      <c r="K581">
        <v>2.7203046599018007E-2</v>
      </c>
      <c r="L581" t="s">
        <v>162</v>
      </c>
      <c r="N581" t="s">
        <v>345</v>
      </c>
      <c r="O581" t="s">
        <v>165</v>
      </c>
      <c r="P581">
        <v>6.4371278438499768E-2</v>
      </c>
      <c r="Q581" t="s">
        <v>162</v>
      </c>
      <c r="S581" t="s">
        <v>457</v>
      </c>
      <c r="T581" t="s">
        <v>165</v>
      </c>
      <c r="U581">
        <v>6.7902036352671585E-2</v>
      </c>
      <c r="V581" t="s">
        <v>162</v>
      </c>
    </row>
    <row r="582" spans="9:22" x14ac:dyDescent="0.45">
      <c r="I582" t="s">
        <v>233</v>
      </c>
      <c r="J582" t="s">
        <v>166</v>
      </c>
      <c r="K582">
        <v>0</v>
      </c>
      <c r="L582" t="s">
        <v>162</v>
      </c>
      <c r="N582" t="s">
        <v>345</v>
      </c>
      <c r="O582" t="s">
        <v>166</v>
      </c>
      <c r="P582">
        <v>3.9952677195541665E-3</v>
      </c>
      <c r="Q582" t="s">
        <v>162</v>
      </c>
      <c r="S582" t="s">
        <v>457</v>
      </c>
      <c r="T582" t="s">
        <v>166</v>
      </c>
      <c r="U582">
        <v>4.107482658655316E-3</v>
      </c>
      <c r="V582" t="s">
        <v>162</v>
      </c>
    </row>
    <row r="583" spans="9:22" x14ac:dyDescent="0.45">
      <c r="I583" t="s">
        <v>233</v>
      </c>
      <c r="J583" t="s">
        <v>167</v>
      </c>
      <c r="K583">
        <v>0</v>
      </c>
      <c r="L583" t="s">
        <v>162</v>
      </c>
      <c r="N583" t="s">
        <v>345</v>
      </c>
      <c r="O583" t="s">
        <v>167</v>
      </c>
      <c r="P583">
        <v>2.4710092339042526E-2</v>
      </c>
      <c r="Q583" t="s">
        <v>162</v>
      </c>
      <c r="S583" t="s">
        <v>457</v>
      </c>
      <c r="T583" t="s">
        <v>167</v>
      </c>
      <c r="U583">
        <v>2.4058901122436357E-2</v>
      </c>
      <c r="V583" t="s">
        <v>162</v>
      </c>
    </row>
    <row r="584" spans="9:22" x14ac:dyDescent="0.45">
      <c r="I584" t="s">
        <v>233</v>
      </c>
      <c r="J584" t="s">
        <v>168</v>
      </c>
      <c r="K584">
        <v>3.4693816679704254E-2</v>
      </c>
      <c r="L584" t="s">
        <v>162</v>
      </c>
      <c r="N584" t="s">
        <v>345</v>
      </c>
      <c r="O584" t="s">
        <v>168</v>
      </c>
      <c r="P584">
        <v>7.8509095574963411E-2</v>
      </c>
      <c r="Q584" t="s">
        <v>162</v>
      </c>
      <c r="S584" t="s">
        <v>457</v>
      </c>
      <c r="T584" t="s">
        <v>168</v>
      </c>
      <c r="U584">
        <v>8.7550464531712197E-2</v>
      </c>
      <c r="V584" t="s">
        <v>162</v>
      </c>
    </row>
    <row r="585" spans="9:22" x14ac:dyDescent="0.45">
      <c r="I585" t="s">
        <v>233</v>
      </c>
      <c r="J585" t="s">
        <v>169</v>
      </c>
      <c r="K585">
        <v>0</v>
      </c>
      <c r="L585" t="s">
        <v>162</v>
      </c>
      <c r="N585" t="s">
        <v>345</v>
      </c>
      <c r="O585" t="s">
        <v>169</v>
      </c>
      <c r="P585">
        <v>4.5850272129533218E-3</v>
      </c>
      <c r="Q585" t="s">
        <v>162</v>
      </c>
      <c r="S585" t="s">
        <v>457</v>
      </c>
      <c r="T585" t="s">
        <v>169</v>
      </c>
      <c r="U585">
        <v>5.1792233659787509E-3</v>
      </c>
      <c r="V585" t="s">
        <v>162</v>
      </c>
    </row>
    <row r="586" spans="9:22" x14ac:dyDescent="0.45">
      <c r="I586" t="s">
        <v>233</v>
      </c>
      <c r="J586" t="s">
        <v>170</v>
      </c>
      <c r="K586">
        <v>0</v>
      </c>
      <c r="L586" t="s">
        <v>162</v>
      </c>
      <c r="N586" t="s">
        <v>345</v>
      </c>
      <c r="O586" t="s">
        <v>170</v>
      </c>
      <c r="P586">
        <v>2.8096380366292383E-2</v>
      </c>
      <c r="Q586" t="s">
        <v>162</v>
      </c>
      <c r="S586" t="s">
        <v>457</v>
      </c>
      <c r="T586" t="s">
        <v>170</v>
      </c>
      <c r="U586">
        <v>3.0792454316319509E-2</v>
      </c>
      <c r="V586" t="s">
        <v>162</v>
      </c>
    </row>
    <row r="587" spans="9:22" x14ac:dyDescent="0.45">
      <c r="I587" t="s">
        <v>234</v>
      </c>
      <c r="J587" t="s">
        <v>161</v>
      </c>
      <c r="K587">
        <v>0.82547636160798976</v>
      </c>
      <c r="L587" t="s">
        <v>162</v>
      </c>
      <c r="N587" t="s">
        <v>346</v>
      </c>
      <c r="O587" t="s">
        <v>161</v>
      </c>
      <c r="P587">
        <v>0.53029849121808659</v>
      </c>
      <c r="Q587" t="s">
        <v>162</v>
      </c>
      <c r="S587" t="s">
        <v>458</v>
      </c>
      <c r="T587" t="s">
        <v>161</v>
      </c>
      <c r="U587">
        <v>0.5647223057405969</v>
      </c>
      <c r="V587" t="s">
        <v>162</v>
      </c>
    </row>
    <row r="588" spans="9:22" x14ac:dyDescent="0.45">
      <c r="I588" t="s">
        <v>234</v>
      </c>
      <c r="J588" t="s">
        <v>163</v>
      </c>
      <c r="K588">
        <v>5.2547961979346282E-2</v>
      </c>
      <c r="L588" t="s">
        <v>162</v>
      </c>
      <c r="N588" t="s">
        <v>346</v>
      </c>
      <c r="O588" t="s">
        <v>163</v>
      </c>
      <c r="P588">
        <v>3.1838075674356099E-2</v>
      </c>
      <c r="Q588" t="s">
        <v>162</v>
      </c>
      <c r="S588" t="s">
        <v>458</v>
      </c>
      <c r="T588" t="s">
        <v>163</v>
      </c>
      <c r="U588">
        <v>3.3223234480921779E-2</v>
      </c>
      <c r="V588" t="s">
        <v>162</v>
      </c>
    </row>
    <row r="589" spans="9:22" x14ac:dyDescent="0.45">
      <c r="I589" t="s">
        <v>234</v>
      </c>
      <c r="J589" t="s">
        <v>164</v>
      </c>
      <c r="K589">
        <v>5.2316428635166966E-2</v>
      </c>
      <c r="L589" t="s">
        <v>162</v>
      </c>
      <c r="N589" t="s">
        <v>346</v>
      </c>
      <c r="O589" t="s">
        <v>164</v>
      </c>
      <c r="P589">
        <v>0.17689576608105648</v>
      </c>
      <c r="Q589" t="s">
        <v>162</v>
      </c>
      <c r="S589" t="s">
        <v>458</v>
      </c>
      <c r="T589" t="s">
        <v>164</v>
      </c>
      <c r="U589">
        <v>0.20292759300824956</v>
      </c>
      <c r="V589" t="s">
        <v>162</v>
      </c>
    </row>
    <row r="590" spans="9:22" x14ac:dyDescent="0.45">
      <c r="I590" t="s">
        <v>234</v>
      </c>
      <c r="J590" t="s">
        <v>165</v>
      </c>
      <c r="K590">
        <v>3.5570112259075443E-2</v>
      </c>
      <c r="L590" t="s">
        <v>162</v>
      </c>
      <c r="N590" t="s">
        <v>346</v>
      </c>
      <c r="O590" t="s">
        <v>165</v>
      </c>
      <c r="P590">
        <v>7.6366831553816808E-2</v>
      </c>
      <c r="Q590" t="s">
        <v>162</v>
      </c>
      <c r="S590" t="s">
        <v>458</v>
      </c>
      <c r="T590" t="s">
        <v>165</v>
      </c>
      <c r="U590">
        <v>6.1992771101725554E-2</v>
      </c>
      <c r="V590" t="s">
        <v>162</v>
      </c>
    </row>
    <row r="591" spans="9:22" x14ac:dyDescent="0.45">
      <c r="I591" t="s">
        <v>234</v>
      </c>
      <c r="J591" t="s">
        <v>166</v>
      </c>
      <c r="K591">
        <v>0</v>
      </c>
      <c r="L591" t="s">
        <v>162</v>
      </c>
      <c r="N591" t="s">
        <v>346</v>
      </c>
      <c r="O591" t="s">
        <v>166</v>
      </c>
      <c r="P591">
        <v>4.3542821483336649E-3</v>
      </c>
      <c r="Q591" t="s">
        <v>162</v>
      </c>
      <c r="S591" t="s">
        <v>458</v>
      </c>
      <c r="T591" t="s">
        <v>166</v>
      </c>
      <c r="U591">
        <v>3.9675793758342723E-3</v>
      </c>
      <c r="V591" t="s">
        <v>162</v>
      </c>
    </row>
    <row r="592" spans="9:22" x14ac:dyDescent="0.45">
      <c r="I592" t="s">
        <v>234</v>
      </c>
      <c r="J592" t="s">
        <v>167</v>
      </c>
      <c r="K592">
        <v>0</v>
      </c>
      <c r="L592" t="s">
        <v>162</v>
      </c>
      <c r="N592" t="s">
        <v>346</v>
      </c>
      <c r="O592" t="s">
        <v>167</v>
      </c>
      <c r="P592">
        <v>2.7341797406357764E-2</v>
      </c>
      <c r="Q592" t="s">
        <v>162</v>
      </c>
      <c r="S592" t="s">
        <v>458</v>
      </c>
      <c r="T592" t="s">
        <v>167</v>
      </c>
      <c r="U592">
        <v>2.29656180515064E-2</v>
      </c>
      <c r="V592" t="s">
        <v>162</v>
      </c>
    </row>
    <row r="593" spans="9:22" x14ac:dyDescent="0.45">
      <c r="I593" t="s">
        <v>234</v>
      </c>
      <c r="J593" t="s">
        <v>168</v>
      </c>
      <c r="K593">
        <v>3.4089135518418932E-2</v>
      </c>
      <c r="L593" t="s">
        <v>162</v>
      </c>
      <c r="N593" t="s">
        <v>346</v>
      </c>
      <c r="O593" t="s">
        <v>168</v>
      </c>
      <c r="P593">
        <v>0.1086103526208667</v>
      </c>
      <c r="Q593" t="s">
        <v>162</v>
      </c>
      <c r="S593" t="s">
        <v>458</v>
      </c>
      <c r="T593" t="s">
        <v>168</v>
      </c>
      <c r="U593">
        <v>7.7877198585535171E-2</v>
      </c>
      <c r="V593" t="s">
        <v>162</v>
      </c>
    </row>
    <row r="594" spans="9:22" x14ac:dyDescent="0.45">
      <c r="I594" t="s">
        <v>234</v>
      </c>
      <c r="J594" t="s">
        <v>169</v>
      </c>
      <c r="K594">
        <v>0</v>
      </c>
      <c r="L594" t="s">
        <v>162</v>
      </c>
      <c r="N594" t="s">
        <v>346</v>
      </c>
      <c r="O594" t="s">
        <v>169</v>
      </c>
      <c r="P594">
        <v>6.267165746609021E-3</v>
      </c>
      <c r="Q594" t="s">
        <v>162</v>
      </c>
      <c r="S594" t="s">
        <v>458</v>
      </c>
      <c r="T594" t="s">
        <v>169</v>
      </c>
      <c r="U594">
        <v>4.5180873984958974E-3</v>
      </c>
      <c r="V594" t="s">
        <v>162</v>
      </c>
    </row>
    <row r="595" spans="9:22" x14ac:dyDescent="0.45">
      <c r="I595" t="s">
        <v>234</v>
      </c>
      <c r="J595" t="s">
        <v>170</v>
      </c>
      <c r="K595">
        <v>0</v>
      </c>
      <c r="L595" t="s">
        <v>162</v>
      </c>
      <c r="N595" t="s">
        <v>346</v>
      </c>
      <c r="O595" t="s">
        <v>170</v>
      </c>
      <c r="P595">
        <v>3.8027237550521051E-2</v>
      </c>
      <c r="Q595" t="s">
        <v>162</v>
      </c>
      <c r="S595" t="s">
        <v>458</v>
      </c>
      <c r="T595" t="s">
        <v>170</v>
      </c>
      <c r="U595">
        <v>2.780561225713539E-2</v>
      </c>
      <c r="V595" t="s">
        <v>162</v>
      </c>
    </row>
    <row r="596" spans="9:22" x14ac:dyDescent="0.45">
      <c r="I596" t="s">
        <v>235</v>
      </c>
      <c r="J596" t="s">
        <v>161</v>
      </c>
      <c r="K596">
        <v>0.85137504224564953</v>
      </c>
      <c r="L596" t="s">
        <v>162</v>
      </c>
      <c r="N596" t="s">
        <v>347</v>
      </c>
      <c r="O596" t="s">
        <v>161</v>
      </c>
      <c r="P596">
        <v>0.55283946162634456</v>
      </c>
      <c r="Q596" t="s">
        <v>162</v>
      </c>
      <c r="S596" t="s">
        <v>459</v>
      </c>
      <c r="T596" t="s">
        <v>161</v>
      </c>
      <c r="U596">
        <v>0.56967966513232127</v>
      </c>
      <c r="V596" t="s">
        <v>162</v>
      </c>
    </row>
    <row r="597" spans="9:22" x14ac:dyDescent="0.45">
      <c r="I597" t="s">
        <v>235</v>
      </c>
      <c r="J597" t="s">
        <v>163</v>
      </c>
      <c r="K597">
        <v>4.6892968792118017E-2</v>
      </c>
      <c r="L597" t="s">
        <v>162</v>
      </c>
      <c r="N597" t="s">
        <v>347</v>
      </c>
      <c r="O597" t="s">
        <v>163</v>
      </c>
      <c r="P597">
        <v>3.247879038516388E-2</v>
      </c>
      <c r="Q597" t="s">
        <v>162</v>
      </c>
      <c r="S597" t="s">
        <v>459</v>
      </c>
      <c r="T597" t="s">
        <v>163</v>
      </c>
      <c r="U597">
        <v>3.3111486705242284E-2</v>
      </c>
      <c r="V597" t="s">
        <v>162</v>
      </c>
    </row>
    <row r="598" spans="9:22" x14ac:dyDescent="0.45">
      <c r="I598" t="s">
        <v>235</v>
      </c>
      <c r="J598" t="s">
        <v>164</v>
      </c>
      <c r="K598">
        <v>4.4174639839892199E-2</v>
      </c>
      <c r="L598" t="s">
        <v>162</v>
      </c>
      <c r="N598" t="s">
        <v>347</v>
      </c>
      <c r="O598" t="s">
        <v>164</v>
      </c>
      <c r="P598">
        <v>0.19246523986128744</v>
      </c>
      <c r="Q598" t="s">
        <v>162</v>
      </c>
      <c r="S598" t="s">
        <v>459</v>
      </c>
      <c r="T598" t="s">
        <v>164</v>
      </c>
      <c r="U598">
        <v>0.20319387764096267</v>
      </c>
      <c r="V598" t="s">
        <v>162</v>
      </c>
    </row>
    <row r="599" spans="9:22" x14ac:dyDescent="0.45">
      <c r="I599" t="s">
        <v>235</v>
      </c>
      <c r="J599" t="s">
        <v>165</v>
      </c>
      <c r="K599">
        <v>2.3812465100853133E-2</v>
      </c>
      <c r="L599" t="s">
        <v>162</v>
      </c>
      <c r="N599" t="s">
        <v>347</v>
      </c>
      <c r="O599" t="s">
        <v>165</v>
      </c>
      <c r="P599">
        <v>6.9033800285908428E-2</v>
      </c>
      <c r="Q599" t="s">
        <v>162</v>
      </c>
      <c r="S599" t="s">
        <v>459</v>
      </c>
      <c r="T599" t="s">
        <v>165</v>
      </c>
      <c r="U599">
        <v>5.672850673423753E-2</v>
      </c>
      <c r="V599" t="s">
        <v>162</v>
      </c>
    </row>
    <row r="600" spans="9:22" x14ac:dyDescent="0.45">
      <c r="I600" t="s">
        <v>235</v>
      </c>
      <c r="J600" t="s">
        <v>166</v>
      </c>
      <c r="K600">
        <v>0</v>
      </c>
      <c r="L600" t="s">
        <v>162</v>
      </c>
      <c r="N600" t="s">
        <v>347</v>
      </c>
      <c r="O600" t="s">
        <v>166</v>
      </c>
      <c r="P600">
        <v>4.0058295717483854E-3</v>
      </c>
      <c r="Q600" t="s">
        <v>162</v>
      </c>
      <c r="S600" t="s">
        <v>459</v>
      </c>
      <c r="T600" t="s">
        <v>166</v>
      </c>
      <c r="U600">
        <v>3.5723390213870066E-3</v>
      </c>
      <c r="V600" t="s">
        <v>162</v>
      </c>
    </row>
    <row r="601" spans="9:22" x14ac:dyDescent="0.45">
      <c r="I601" t="s">
        <v>235</v>
      </c>
      <c r="J601" t="s">
        <v>167</v>
      </c>
      <c r="K601">
        <v>0</v>
      </c>
      <c r="L601" t="s">
        <v>162</v>
      </c>
      <c r="N601" t="s">
        <v>347</v>
      </c>
      <c r="O601" t="s">
        <v>167</v>
      </c>
      <c r="P601">
        <v>2.4667138516880273E-2</v>
      </c>
      <c r="Q601" t="s">
        <v>162</v>
      </c>
      <c r="S601" t="s">
        <v>459</v>
      </c>
      <c r="T601" t="s">
        <v>167</v>
      </c>
      <c r="U601">
        <v>2.0843404281330226E-2</v>
      </c>
      <c r="V601" t="s">
        <v>162</v>
      </c>
    </row>
    <row r="602" spans="9:22" x14ac:dyDescent="0.45">
      <c r="I602" t="s">
        <v>235</v>
      </c>
      <c r="J602" t="s">
        <v>168</v>
      </c>
      <c r="K602">
        <v>3.3744884021486038E-2</v>
      </c>
      <c r="L602" t="s">
        <v>162</v>
      </c>
      <c r="N602" t="s">
        <v>347</v>
      </c>
      <c r="O602" t="s">
        <v>168</v>
      </c>
      <c r="P602">
        <v>8.8197442311262239E-2</v>
      </c>
      <c r="Q602" t="s">
        <v>162</v>
      </c>
      <c r="S602" t="s">
        <v>459</v>
      </c>
      <c r="T602" t="s">
        <v>168</v>
      </c>
      <c r="U602">
        <v>7.9688557607624111E-2</v>
      </c>
      <c r="V602" t="s">
        <v>162</v>
      </c>
    </row>
    <row r="603" spans="9:22" x14ac:dyDescent="0.45">
      <c r="I603" t="s">
        <v>235</v>
      </c>
      <c r="J603" t="s">
        <v>169</v>
      </c>
      <c r="K603">
        <v>0</v>
      </c>
      <c r="L603" t="s">
        <v>162</v>
      </c>
      <c r="N603" t="s">
        <v>347</v>
      </c>
      <c r="O603" t="s">
        <v>169</v>
      </c>
      <c r="P603">
        <v>5.1840208182859417E-3</v>
      </c>
      <c r="Q603" t="s">
        <v>162</v>
      </c>
      <c r="S603" t="s">
        <v>459</v>
      </c>
      <c r="T603" t="s">
        <v>169</v>
      </c>
      <c r="U603">
        <v>4.6710239711319611E-3</v>
      </c>
      <c r="V603" t="s">
        <v>162</v>
      </c>
    </row>
    <row r="604" spans="9:22" x14ac:dyDescent="0.45">
      <c r="I604" t="s">
        <v>235</v>
      </c>
      <c r="J604" t="s">
        <v>170</v>
      </c>
      <c r="K604">
        <v>0</v>
      </c>
      <c r="L604" t="s">
        <v>162</v>
      </c>
      <c r="N604" t="s">
        <v>347</v>
      </c>
      <c r="O604" t="s">
        <v>170</v>
      </c>
      <c r="P604">
        <v>3.1128276623123084E-2</v>
      </c>
      <c r="Q604" t="s">
        <v>162</v>
      </c>
      <c r="S604" t="s">
        <v>459</v>
      </c>
      <c r="T604" t="s">
        <v>170</v>
      </c>
      <c r="U604">
        <v>2.8511138905759716E-2</v>
      </c>
      <c r="V604" t="s">
        <v>162</v>
      </c>
    </row>
    <row r="605" spans="9:22" x14ac:dyDescent="0.45">
      <c r="I605" t="s">
        <v>236</v>
      </c>
      <c r="J605" t="s">
        <v>161</v>
      </c>
      <c r="K605">
        <v>0.83256047534744893</v>
      </c>
      <c r="L605" t="s">
        <v>162</v>
      </c>
      <c r="N605" t="s">
        <v>348</v>
      </c>
      <c r="O605" t="s">
        <v>161</v>
      </c>
      <c r="P605">
        <v>0.55094515487846829</v>
      </c>
      <c r="Q605" t="s">
        <v>162</v>
      </c>
      <c r="S605" t="s">
        <v>460</v>
      </c>
      <c r="T605" t="s">
        <v>161</v>
      </c>
      <c r="U605">
        <v>0.57588805627436235</v>
      </c>
      <c r="V605" t="s">
        <v>162</v>
      </c>
    </row>
    <row r="606" spans="9:22" x14ac:dyDescent="0.45">
      <c r="I606" t="s">
        <v>236</v>
      </c>
      <c r="J606" t="s">
        <v>163</v>
      </c>
      <c r="K606">
        <v>4.7609906651800649E-2</v>
      </c>
      <c r="L606" t="s">
        <v>162</v>
      </c>
      <c r="N606" t="s">
        <v>348</v>
      </c>
      <c r="O606" t="s">
        <v>163</v>
      </c>
      <c r="P606">
        <v>3.3142124651706531E-2</v>
      </c>
      <c r="Q606" t="s">
        <v>162</v>
      </c>
      <c r="S606" t="s">
        <v>460</v>
      </c>
      <c r="T606" t="s">
        <v>163</v>
      </c>
      <c r="U606">
        <v>3.4189384299040393E-2</v>
      </c>
      <c r="V606" t="s">
        <v>162</v>
      </c>
    </row>
    <row r="607" spans="9:22" x14ac:dyDescent="0.45">
      <c r="I607" t="s">
        <v>236</v>
      </c>
      <c r="J607" t="s">
        <v>164</v>
      </c>
      <c r="K607">
        <v>4.2625708216116852E-2</v>
      </c>
      <c r="L607" t="s">
        <v>162</v>
      </c>
      <c r="N607" t="s">
        <v>348</v>
      </c>
      <c r="O607" t="s">
        <v>164</v>
      </c>
      <c r="P607">
        <v>0.19499906402804495</v>
      </c>
      <c r="Q607" t="s">
        <v>162</v>
      </c>
      <c r="S607" t="s">
        <v>460</v>
      </c>
      <c r="T607" t="s">
        <v>164</v>
      </c>
      <c r="U607">
        <v>0.20969282738366601</v>
      </c>
      <c r="V607" t="s">
        <v>162</v>
      </c>
    </row>
    <row r="608" spans="9:22" x14ac:dyDescent="0.45">
      <c r="I608" t="s">
        <v>236</v>
      </c>
      <c r="J608" t="s">
        <v>165</v>
      </c>
      <c r="K608">
        <v>3.9838736665320396E-2</v>
      </c>
      <c r="L608" t="s">
        <v>162</v>
      </c>
      <c r="N608" t="s">
        <v>348</v>
      </c>
      <c r="O608" t="s">
        <v>165</v>
      </c>
      <c r="P608">
        <v>6.8490387247072904E-2</v>
      </c>
      <c r="Q608" t="s">
        <v>162</v>
      </c>
      <c r="S608" t="s">
        <v>460</v>
      </c>
      <c r="T608" t="s">
        <v>165</v>
      </c>
      <c r="U608">
        <v>6.0205229096200442E-2</v>
      </c>
      <c r="V608" t="s">
        <v>162</v>
      </c>
    </row>
    <row r="609" spans="9:22" x14ac:dyDescent="0.45">
      <c r="I609" t="s">
        <v>236</v>
      </c>
      <c r="J609" t="s">
        <v>166</v>
      </c>
      <c r="K609">
        <v>0</v>
      </c>
      <c r="L609" t="s">
        <v>162</v>
      </c>
      <c r="N609" t="s">
        <v>348</v>
      </c>
      <c r="O609" t="s">
        <v>166</v>
      </c>
      <c r="P609">
        <v>4.2404512981441978E-3</v>
      </c>
      <c r="Q609" t="s">
        <v>162</v>
      </c>
      <c r="S609" t="s">
        <v>460</v>
      </c>
      <c r="T609" t="s">
        <v>166</v>
      </c>
      <c r="U609">
        <v>3.1934597200743826E-3</v>
      </c>
      <c r="V609" t="s">
        <v>162</v>
      </c>
    </row>
    <row r="610" spans="9:22" x14ac:dyDescent="0.45">
      <c r="I610" t="s">
        <v>236</v>
      </c>
      <c r="J610" t="s">
        <v>167</v>
      </c>
      <c r="K610">
        <v>0</v>
      </c>
      <c r="L610" t="s">
        <v>162</v>
      </c>
      <c r="N610" t="s">
        <v>348</v>
      </c>
      <c r="O610" t="s">
        <v>167</v>
      </c>
      <c r="P610">
        <v>2.6125858945117576E-2</v>
      </c>
      <c r="Q610" t="s">
        <v>162</v>
      </c>
      <c r="S610" t="s">
        <v>460</v>
      </c>
      <c r="T610" t="s">
        <v>167</v>
      </c>
      <c r="U610">
        <v>1.9163502091957777E-2</v>
      </c>
      <c r="V610" t="s">
        <v>162</v>
      </c>
    </row>
    <row r="611" spans="9:22" x14ac:dyDescent="0.45">
      <c r="I611" t="s">
        <v>236</v>
      </c>
      <c r="J611" t="s">
        <v>168</v>
      </c>
      <c r="K611">
        <v>3.7365173119311985E-2</v>
      </c>
      <c r="L611" t="s">
        <v>162</v>
      </c>
      <c r="N611" t="s">
        <v>348</v>
      </c>
      <c r="O611" t="s">
        <v>168</v>
      </c>
      <c r="P611">
        <v>8.6567231947922138E-2</v>
      </c>
      <c r="Q611" t="s">
        <v>162</v>
      </c>
      <c r="S611" t="s">
        <v>460</v>
      </c>
      <c r="T611" t="s">
        <v>168</v>
      </c>
      <c r="U611">
        <v>6.9596157743872664E-2</v>
      </c>
      <c r="V611" t="s">
        <v>162</v>
      </c>
    </row>
    <row r="612" spans="9:22" x14ac:dyDescent="0.45">
      <c r="I612" t="s">
        <v>236</v>
      </c>
      <c r="J612" t="s">
        <v>169</v>
      </c>
      <c r="K612">
        <v>0</v>
      </c>
      <c r="L612" t="s">
        <v>162</v>
      </c>
      <c r="N612" t="s">
        <v>348</v>
      </c>
      <c r="O612" t="s">
        <v>169</v>
      </c>
      <c r="P612">
        <v>4.9779665866391638E-3</v>
      </c>
      <c r="Q612" t="s">
        <v>162</v>
      </c>
      <c r="S612" t="s">
        <v>460</v>
      </c>
      <c r="T612" t="s">
        <v>169</v>
      </c>
      <c r="U612">
        <v>3.9512933258480602E-3</v>
      </c>
      <c r="V612" t="s">
        <v>162</v>
      </c>
    </row>
    <row r="613" spans="9:22" x14ac:dyDescent="0.45">
      <c r="I613" t="s">
        <v>236</v>
      </c>
      <c r="J613" t="s">
        <v>170</v>
      </c>
      <c r="K613">
        <v>0</v>
      </c>
      <c r="L613" t="s">
        <v>162</v>
      </c>
      <c r="N613" t="s">
        <v>348</v>
      </c>
      <c r="O613" t="s">
        <v>170</v>
      </c>
      <c r="P613">
        <v>3.0511760416885508E-2</v>
      </c>
      <c r="Q613" t="s">
        <v>162</v>
      </c>
      <c r="S613" t="s">
        <v>460</v>
      </c>
      <c r="T613" t="s">
        <v>170</v>
      </c>
      <c r="U613">
        <v>2.4120090064976289E-2</v>
      </c>
      <c r="V613" t="s">
        <v>162</v>
      </c>
    </row>
    <row r="614" spans="9:22" x14ac:dyDescent="0.45">
      <c r="I614" t="s">
        <v>237</v>
      </c>
      <c r="J614" t="s">
        <v>161</v>
      </c>
      <c r="K614">
        <v>0.84937735571277728</v>
      </c>
      <c r="L614" t="s">
        <v>162</v>
      </c>
      <c r="N614" t="s">
        <v>349</v>
      </c>
      <c r="O614" t="s">
        <v>161</v>
      </c>
      <c r="P614">
        <v>0.55370854765158883</v>
      </c>
      <c r="Q614" t="s">
        <v>162</v>
      </c>
      <c r="S614" t="s">
        <v>461</v>
      </c>
      <c r="T614" t="s">
        <v>161</v>
      </c>
      <c r="U614">
        <v>0.55879800386401468</v>
      </c>
      <c r="V614" t="s">
        <v>162</v>
      </c>
    </row>
    <row r="615" spans="9:22" x14ac:dyDescent="0.45">
      <c r="I615" t="s">
        <v>237</v>
      </c>
      <c r="J615" t="s">
        <v>163</v>
      </c>
      <c r="K615">
        <v>4.4994225102965087E-2</v>
      </c>
      <c r="L615" t="s">
        <v>162</v>
      </c>
      <c r="N615" t="s">
        <v>349</v>
      </c>
      <c r="O615" t="s">
        <v>163</v>
      </c>
      <c r="P615">
        <v>3.1068871985892137E-2</v>
      </c>
      <c r="Q615" t="s">
        <v>162</v>
      </c>
      <c r="S615" t="s">
        <v>461</v>
      </c>
      <c r="T615" t="s">
        <v>163</v>
      </c>
      <c r="U615">
        <v>3.405663289039805E-2</v>
      </c>
      <c r="V615" t="s">
        <v>162</v>
      </c>
    </row>
    <row r="616" spans="9:22" x14ac:dyDescent="0.45">
      <c r="I616" t="s">
        <v>237</v>
      </c>
      <c r="J616" t="s">
        <v>164</v>
      </c>
      <c r="K616">
        <v>3.7866581881573935E-2</v>
      </c>
      <c r="L616" t="s">
        <v>162</v>
      </c>
      <c r="N616" t="s">
        <v>349</v>
      </c>
      <c r="O616" t="s">
        <v>164</v>
      </c>
      <c r="P616">
        <v>0.20741779807064364</v>
      </c>
      <c r="Q616" t="s">
        <v>162</v>
      </c>
      <c r="S616" t="s">
        <v>461</v>
      </c>
      <c r="T616" t="s">
        <v>164</v>
      </c>
      <c r="U616">
        <v>0.21357279423440473</v>
      </c>
      <c r="V616" t="s">
        <v>162</v>
      </c>
    </row>
    <row r="617" spans="9:22" x14ac:dyDescent="0.45">
      <c r="I617" t="s">
        <v>237</v>
      </c>
      <c r="J617" t="s">
        <v>165</v>
      </c>
      <c r="K617">
        <v>2.9851120215885363E-2</v>
      </c>
      <c r="L617" t="s">
        <v>162</v>
      </c>
      <c r="N617" t="s">
        <v>349</v>
      </c>
      <c r="O617" t="s">
        <v>165</v>
      </c>
      <c r="P617">
        <v>9.096682653994996E-2</v>
      </c>
      <c r="Q617" t="s">
        <v>162</v>
      </c>
      <c r="S617" t="s">
        <v>461</v>
      </c>
      <c r="T617" t="s">
        <v>165</v>
      </c>
      <c r="U617">
        <v>6.0861402180164205E-2</v>
      </c>
      <c r="V617" t="s">
        <v>162</v>
      </c>
    </row>
    <row r="618" spans="9:22" x14ac:dyDescent="0.45">
      <c r="I618" t="s">
        <v>237</v>
      </c>
      <c r="J618" t="s">
        <v>166</v>
      </c>
      <c r="K618">
        <v>0</v>
      </c>
      <c r="L618" t="s">
        <v>162</v>
      </c>
      <c r="N618" t="s">
        <v>349</v>
      </c>
      <c r="O618" t="s">
        <v>166</v>
      </c>
      <c r="P618">
        <v>4.922000986076187E-3</v>
      </c>
      <c r="Q618" t="s">
        <v>162</v>
      </c>
      <c r="S618" t="s">
        <v>461</v>
      </c>
      <c r="T618" t="s">
        <v>166</v>
      </c>
      <c r="U618">
        <v>3.4107482098731765E-3</v>
      </c>
      <c r="V618" t="s">
        <v>162</v>
      </c>
    </row>
    <row r="619" spans="9:22" x14ac:dyDescent="0.45">
      <c r="I619" t="s">
        <v>237</v>
      </c>
      <c r="J619" t="s">
        <v>167</v>
      </c>
      <c r="K619">
        <v>0</v>
      </c>
      <c r="L619" t="s">
        <v>162</v>
      </c>
      <c r="N619" t="s">
        <v>349</v>
      </c>
      <c r="O619" t="s">
        <v>167</v>
      </c>
      <c r="P619">
        <v>2.8824881773666378E-2</v>
      </c>
      <c r="Q619" t="s">
        <v>162</v>
      </c>
      <c r="S619" t="s">
        <v>461</v>
      </c>
      <c r="T619" t="s">
        <v>167</v>
      </c>
      <c r="U619">
        <v>2.0945541021171157E-2</v>
      </c>
      <c r="V619" t="s">
        <v>162</v>
      </c>
    </row>
    <row r="620" spans="9:22" x14ac:dyDescent="0.45">
      <c r="I620" t="s">
        <v>237</v>
      </c>
      <c r="J620" t="s">
        <v>168</v>
      </c>
      <c r="K620">
        <v>3.7910717086799023E-2</v>
      </c>
      <c r="L620" t="s">
        <v>162</v>
      </c>
      <c r="N620" t="s">
        <v>349</v>
      </c>
      <c r="O620" t="s">
        <v>168</v>
      </c>
      <c r="P620">
        <v>5.8943416092995991E-2</v>
      </c>
      <c r="Q620" t="s">
        <v>162</v>
      </c>
      <c r="S620" t="s">
        <v>461</v>
      </c>
      <c r="T620" t="s">
        <v>168</v>
      </c>
      <c r="U620">
        <v>7.613515649782597E-2</v>
      </c>
      <c r="V620" t="s">
        <v>162</v>
      </c>
    </row>
    <row r="621" spans="9:22" x14ac:dyDescent="0.45">
      <c r="I621" t="s">
        <v>237</v>
      </c>
      <c r="J621" t="s">
        <v>169</v>
      </c>
      <c r="K621">
        <v>0</v>
      </c>
      <c r="L621" t="s">
        <v>162</v>
      </c>
      <c r="N621" t="s">
        <v>349</v>
      </c>
      <c r="O621" t="s">
        <v>169</v>
      </c>
      <c r="P621">
        <v>3.2330888068253191E-3</v>
      </c>
      <c r="Q621" t="s">
        <v>162</v>
      </c>
      <c r="S621" t="s">
        <v>461</v>
      </c>
      <c r="T621" t="s">
        <v>169</v>
      </c>
      <c r="U621">
        <v>4.4866232659815011E-3</v>
      </c>
      <c r="V621" t="s">
        <v>162</v>
      </c>
    </row>
    <row r="622" spans="9:22" x14ac:dyDescent="0.45">
      <c r="I622" t="s">
        <v>237</v>
      </c>
      <c r="J622" t="s">
        <v>170</v>
      </c>
      <c r="K622">
        <v>0</v>
      </c>
      <c r="L622" t="s">
        <v>162</v>
      </c>
      <c r="N622" t="s">
        <v>349</v>
      </c>
      <c r="O622" t="s">
        <v>170</v>
      </c>
      <c r="P622">
        <v>2.0914568092357033E-2</v>
      </c>
      <c r="Q622" t="s">
        <v>162</v>
      </c>
      <c r="S622" t="s">
        <v>461</v>
      </c>
      <c r="T622" t="s">
        <v>170</v>
      </c>
      <c r="U622">
        <v>2.7733097836167293E-2</v>
      </c>
      <c r="V622" t="s">
        <v>162</v>
      </c>
    </row>
    <row r="623" spans="9:22" x14ac:dyDescent="0.45">
      <c r="I623" t="s">
        <v>238</v>
      </c>
      <c r="J623" t="s">
        <v>161</v>
      </c>
      <c r="K623">
        <v>0.82864903135886692</v>
      </c>
      <c r="L623" t="s">
        <v>162</v>
      </c>
      <c r="N623" t="s">
        <v>350</v>
      </c>
      <c r="O623" t="s">
        <v>161</v>
      </c>
      <c r="P623">
        <v>0.5704215601910535</v>
      </c>
      <c r="Q623" t="s">
        <v>162</v>
      </c>
      <c r="S623" t="s">
        <v>462</v>
      </c>
      <c r="T623" t="s">
        <v>161</v>
      </c>
      <c r="U623">
        <v>0.55799626100463329</v>
      </c>
      <c r="V623" t="s">
        <v>162</v>
      </c>
    </row>
    <row r="624" spans="9:22" x14ac:dyDescent="0.45">
      <c r="I624" t="s">
        <v>238</v>
      </c>
      <c r="J624" t="s">
        <v>163</v>
      </c>
      <c r="K624">
        <v>5.3519568063577445E-2</v>
      </c>
      <c r="L624" t="s">
        <v>162</v>
      </c>
      <c r="N624" t="s">
        <v>350</v>
      </c>
      <c r="O624" t="s">
        <v>163</v>
      </c>
      <c r="P624">
        <v>3.2767129176308009E-2</v>
      </c>
      <c r="Q624" t="s">
        <v>162</v>
      </c>
      <c r="S624" t="s">
        <v>462</v>
      </c>
      <c r="T624" t="s">
        <v>163</v>
      </c>
      <c r="U624">
        <v>3.3672294859688506E-2</v>
      </c>
      <c r="V624" t="s">
        <v>162</v>
      </c>
    </row>
    <row r="625" spans="9:22" x14ac:dyDescent="0.45">
      <c r="I625" t="s">
        <v>238</v>
      </c>
      <c r="J625" t="s">
        <v>164</v>
      </c>
      <c r="K625">
        <v>6.5114917010644813E-2</v>
      </c>
      <c r="L625" t="s">
        <v>162</v>
      </c>
      <c r="N625" t="s">
        <v>350</v>
      </c>
      <c r="O625" t="s">
        <v>164</v>
      </c>
      <c r="P625">
        <v>0.21519922672339342</v>
      </c>
      <c r="Q625" t="s">
        <v>162</v>
      </c>
      <c r="S625" t="s">
        <v>462</v>
      </c>
      <c r="T625" t="s">
        <v>164</v>
      </c>
      <c r="U625">
        <v>0.20630210491776066</v>
      </c>
      <c r="V625" t="s">
        <v>162</v>
      </c>
    </row>
    <row r="626" spans="9:22" x14ac:dyDescent="0.45">
      <c r="I626" t="s">
        <v>238</v>
      </c>
      <c r="J626" t="s">
        <v>165</v>
      </c>
      <c r="K626">
        <v>2.2227498455133891E-2</v>
      </c>
      <c r="L626" t="s">
        <v>162</v>
      </c>
      <c r="N626" t="s">
        <v>350</v>
      </c>
      <c r="O626" t="s">
        <v>165</v>
      </c>
      <c r="P626">
        <v>7.0051482132112333E-2</v>
      </c>
      <c r="Q626" t="s">
        <v>162</v>
      </c>
      <c r="S626" t="s">
        <v>462</v>
      </c>
      <c r="T626" t="s">
        <v>165</v>
      </c>
      <c r="U626">
        <v>6.3332123936604798E-2</v>
      </c>
      <c r="V626" t="s">
        <v>162</v>
      </c>
    </row>
    <row r="627" spans="9:22" x14ac:dyDescent="0.45">
      <c r="I627" t="s">
        <v>238</v>
      </c>
      <c r="J627" t="s">
        <v>166</v>
      </c>
      <c r="K627">
        <v>0</v>
      </c>
      <c r="L627" t="s">
        <v>162</v>
      </c>
      <c r="N627" t="s">
        <v>350</v>
      </c>
      <c r="O627" t="s">
        <v>166</v>
      </c>
      <c r="P627">
        <v>3.9549396065599119E-3</v>
      </c>
      <c r="Q627" t="s">
        <v>162</v>
      </c>
      <c r="S627" t="s">
        <v>462</v>
      </c>
      <c r="T627" t="s">
        <v>166</v>
      </c>
      <c r="U627">
        <v>3.7596141779602833E-3</v>
      </c>
      <c r="V627" t="s">
        <v>162</v>
      </c>
    </row>
    <row r="628" spans="9:22" x14ac:dyDescent="0.45">
      <c r="I628" t="s">
        <v>238</v>
      </c>
      <c r="J628" t="s">
        <v>167</v>
      </c>
      <c r="K628">
        <v>0</v>
      </c>
      <c r="L628" t="s">
        <v>162</v>
      </c>
      <c r="N628" t="s">
        <v>350</v>
      </c>
      <c r="O628" t="s">
        <v>167</v>
      </c>
      <c r="P628">
        <v>2.4034604815273027E-2</v>
      </c>
      <c r="Q628" t="s">
        <v>162</v>
      </c>
      <c r="S628" t="s">
        <v>462</v>
      </c>
      <c r="T628" t="s">
        <v>167</v>
      </c>
      <c r="U628">
        <v>2.1904202780279759E-2</v>
      </c>
      <c r="V628" t="s">
        <v>162</v>
      </c>
    </row>
    <row r="629" spans="9:22" x14ac:dyDescent="0.45">
      <c r="I629" t="s">
        <v>238</v>
      </c>
      <c r="J629" t="s">
        <v>168</v>
      </c>
      <c r="K629">
        <v>3.0488985111775131E-2</v>
      </c>
      <c r="L629" t="s">
        <v>162</v>
      </c>
      <c r="N629" t="s">
        <v>350</v>
      </c>
      <c r="O629" t="s">
        <v>168</v>
      </c>
      <c r="P629">
        <v>5.8538589776733124E-2</v>
      </c>
      <c r="Q629" t="s">
        <v>162</v>
      </c>
      <c r="S629" t="s">
        <v>462</v>
      </c>
      <c r="T629" t="s">
        <v>168</v>
      </c>
      <c r="U629">
        <v>7.9150465145188392E-2</v>
      </c>
      <c r="V629" t="s">
        <v>162</v>
      </c>
    </row>
    <row r="630" spans="9:22" x14ac:dyDescent="0.45">
      <c r="I630" t="s">
        <v>238</v>
      </c>
      <c r="J630" t="s">
        <v>169</v>
      </c>
      <c r="K630">
        <v>0</v>
      </c>
      <c r="L630" t="s">
        <v>162</v>
      </c>
      <c r="N630" t="s">
        <v>350</v>
      </c>
      <c r="O630" t="s">
        <v>169</v>
      </c>
      <c r="P630">
        <v>3.6352225985498737E-3</v>
      </c>
      <c r="Q630" t="s">
        <v>162</v>
      </c>
      <c r="S630" t="s">
        <v>462</v>
      </c>
      <c r="T630" t="s">
        <v>169</v>
      </c>
      <c r="U630">
        <v>4.8675361834957919E-3</v>
      </c>
      <c r="V630" t="s">
        <v>162</v>
      </c>
    </row>
    <row r="631" spans="9:22" x14ac:dyDescent="0.45">
      <c r="I631" t="s">
        <v>238</v>
      </c>
      <c r="J631" t="s">
        <v>170</v>
      </c>
      <c r="K631">
        <v>0</v>
      </c>
      <c r="L631" t="s">
        <v>162</v>
      </c>
      <c r="N631" t="s">
        <v>350</v>
      </c>
      <c r="O631" t="s">
        <v>170</v>
      </c>
      <c r="P631">
        <v>2.1397244980019565E-2</v>
      </c>
      <c r="Q631" t="s">
        <v>162</v>
      </c>
      <c r="S631" t="s">
        <v>462</v>
      </c>
      <c r="T631" t="s">
        <v>170</v>
      </c>
      <c r="U631">
        <v>2.9015396994386045E-2</v>
      </c>
      <c r="V631" t="s">
        <v>162</v>
      </c>
    </row>
    <row r="632" spans="9:22" x14ac:dyDescent="0.45">
      <c r="I632" t="s">
        <v>239</v>
      </c>
      <c r="J632" t="s">
        <v>161</v>
      </c>
      <c r="K632">
        <v>0.81055144242468258</v>
      </c>
      <c r="L632" t="s">
        <v>162</v>
      </c>
      <c r="N632" t="s">
        <v>351</v>
      </c>
      <c r="O632" t="s">
        <v>161</v>
      </c>
      <c r="P632">
        <v>0.5753083505814377</v>
      </c>
      <c r="Q632" t="s">
        <v>162</v>
      </c>
      <c r="S632" t="s">
        <v>463</v>
      </c>
      <c r="T632" t="s">
        <v>161</v>
      </c>
      <c r="U632">
        <v>0.57296029370440915</v>
      </c>
      <c r="V632" t="s">
        <v>162</v>
      </c>
    </row>
    <row r="633" spans="9:22" x14ac:dyDescent="0.45">
      <c r="I633" t="s">
        <v>239</v>
      </c>
      <c r="J633" t="s">
        <v>163</v>
      </c>
      <c r="K633">
        <v>5.8434902688333859E-2</v>
      </c>
      <c r="L633" t="s">
        <v>162</v>
      </c>
      <c r="N633" t="s">
        <v>351</v>
      </c>
      <c r="O633" t="s">
        <v>163</v>
      </c>
      <c r="P633">
        <v>3.4827125013069463E-2</v>
      </c>
      <c r="Q633" t="s">
        <v>162</v>
      </c>
      <c r="S633" t="s">
        <v>463</v>
      </c>
      <c r="T633" t="s">
        <v>163</v>
      </c>
      <c r="U633">
        <v>3.4299819417629877E-2</v>
      </c>
      <c r="V633" t="s">
        <v>162</v>
      </c>
    </row>
    <row r="634" spans="9:22" x14ac:dyDescent="0.45">
      <c r="I634" t="s">
        <v>239</v>
      </c>
      <c r="J634" t="s">
        <v>164</v>
      </c>
      <c r="K634">
        <v>8.3685733459098313E-2</v>
      </c>
      <c r="L634" t="s">
        <v>162</v>
      </c>
      <c r="N634" t="s">
        <v>351</v>
      </c>
      <c r="O634" t="s">
        <v>164</v>
      </c>
      <c r="P634">
        <v>0.21862493895979304</v>
      </c>
      <c r="Q634" t="s">
        <v>162</v>
      </c>
      <c r="S634" t="s">
        <v>463</v>
      </c>
      <c r="T634" t="s">
        <v>164</v>
      </c>
      <c r="U634">
        <v>0.21099618453586452</v>
      </c>
      <c r="V634" t="s">
        <v>162</v>
      </c>
    </row>
    <row r="635" spans="9:22" x14ac:dyDescent="0.45">
      <c r="I635" t="s">
        <v>239</v>
      </c>
      <c r="J635" t="s">
        <v>165</v>
      </c>
      <c r="K635">
        <v>2.4382107649502612E-2</v>
      </c>
      <c r="L635" t="s">
        <v>162</v>
      </c>
      <c r="N635" t="s">
        <v>351</v>
      </c>
      <c r="O635" t="s">
        <v>165</v>
      </c>
      <c r="P635">
        <v>6.7654170117339277E-2</v>
      </c>
      <c r="Q635" t="s">
        <v>162</v>
      </c>
      <c r="S635" t="s">
        <v>463</v>
      </c>
      <c r="T635" t="s">
        <v>165</v>
      </c>
      <c r="U635">
        <v>6.594669411184978E-2</v>
      </c>
      <c r="V635" t="s">
        <v>162</v>
      </c>
    </row>
    <row r="636" spans="9:22" x14ac:dyDescent="0.45">
      <c r="I636" t="s">
        <v>239</v>
      </c>
      <c r="J636" t="s">
        <v>166</v>
      </c>
      <c r="K636">
        <v>0</v>
      </c>
      <c r="L636" t="s">
        <v>162</v>
      </c>
      <c r="N636" t="s">
        <v>351</v>
      </c>
      <c r="O636" t="s">
        <v>166</v>
      </c>
      <c r="P636">
        <v>3.9789431006635231E-3</v>
      </c>
      <c r="Q636" t="s">
        <v>162</v>
      </c>
      <c r="S636" t="s">
        <v>463</v>
      </c>
      <c r="T636" t="s">
        <v>166</v>
      </c>
      <c r="U636">
        <v>3.9473390912270166E-3</v>
      </c>
      <c r="V636" t="s">
        <v>162</v>
      </c>
    </row>
    <row r="637" spans="9:22" x14ac:dyDescent="0.45">
      <c r="I637" t="s">
        <v>239</v>
      </c>
      <c r="J637" t="s">
        <v>167</v>
      </c>
      <c r="K637">
        <v>0</v>
      </c>
      <c r="L637" t="s">
        <v>162</v>
      </c>
      <c r="N637" t="s">
        <v>351</v>
      </c>
      <c r="O637" t="s">
        <v>167</v>
      </c>
      <c r="P637">
        <v>2.3413519038484886E-2</v>
      </c>
      <c r="Q637" t="s">
        <v>162</v>
      </c>
      <c r="S637" t="s">
        <v>463</v>
      </c>
      <c r="T637" t="s">
        <v>167</v>
      </c>
      <c r="U637">
        <v>2.349079735817506E-2</v>
      </c>
      <c r="V637" t="s">
        <v>162</v>
      </c>
    </row>
    <row r="638" spans="9:22" x14ac:dyDescent="0.45">
      <c r="I638" t="s">
        <v>239</v>
      </c>
      <c r="J638" t="s">
        <v>168</v>
      </c>
      <c r="K638">
        <v>2.2945813778383152E-2</v>
      </c>
      <c r="L638" t="s">
        <v>162</v>
      </c>
      <c r="N638" t="s">
        <v>351</v>
      </c>
      <c r="O638" t="s">
        <v>168</v>
      </c>
      <c r="P638">
        <v>5.3274811482280186E-2</v>
      </c>
      <c r="Q638" t="s">
        <v>162</v>
      </c>
      <c r="S638" t="s">
        <v>463</v>
      </c>
      <c r="T638" t="s">
        <v>168</v>
      </c>
      <c r="U638">
        <v>6.0646301267673314E-2</v>
      </c>
      <c r="V638" t="s">
        <v>162</v>
      </c>
    </row>
    <row r="639" spans="9:22" x14ac:dyDescent="0.45">
      <c r="I639" t="s">
        <v>239</v>
      </c>
      <c r="J639" t="s">
        <v>169</v>
      </c>
      <c r="K639">
        <v>0</v>
      </c>
      <c r="L639" t="s">
        <v>162</v>
      </c>
      <c r="N639" t="s">
        <v>351</v>
      </c>
      <c r="O639" t="s">
        <v>169</v>
      </c>
      <c r="P639">
        <v>3.3118837236719798E-3</v>
      </c>
      <c r="Q639" t="s">
        <v>162</v>
      </c>
      <c r="S639" t="s">
        <v>463</v>
      </c>
      <c r="T639" t="s">
        <v>169</v>
      </c>
      <c r="U639">
        <v>3.933891461476352E-3</v>
      </c>
      <c r="V639" t="s">
        <v>162</v>
      </c>
    </row>
    <row r="640" spans="9:22" x14ac:dyDescent="0.45">
      <c r="I640" t="s">
        <v>239</v>
      </c>
      <c r="J640" t="s">
        <v>170</v>
      </c>
      <c r="K640">
        <v>0</v>
      </c>
      <c r="L640" t="s">
        <v>162</v>
      </c>
      <c r="N640" t="s">
        <v>351</v>
      </c>
      <c r="O640" t="s">
        <v>170</v>
      </c>
      <c r="P640">
        <v>1.9606257983256069E-2</v>
      </c>
      <c r="Q640" t="s">
        <v>162</v>
      </c>
      <c r="S640" t="s">
        <v>463</v>
      </c>
      <c r="T640" t="s">
        <v>170</v>
      </c>
      <c r="U640">
        <v>2.3778679051690718E-2</v>
      </c>
      <c r="V640" t="s">
        <v>162</v>
      </c>
    </row>
    <row r="641" spans="9:22" x14ac:dyDescent="0.45">
      <c r="I641" t="s">
        <v>240</v>
      </c>
      <c r="J641" t="s">
        <v>161</v>
      </c>
      <c r="K641">
        <v>0.81029512128853165</v>
      </c>
      <c r="L641" t="s">
        <v>162</v>
      </c>
      <c r="N641" t="s">
        <v>352</v>
      </c>
      <c r="O641" t="s">
        <v>161</v>
      </c>
      <c r="P641">
        <v>0.57368226710821146</v>
      </c>
      <c r="Q641" t="s">
        <v>162</v>
      </c>
      <c r="S641" t="s">
        <v>464</v>
      </c>
      <c r="T641" t="s">
        <v>161</v>
      </c>
      <c r="U641">
        <v>0.55718856841684539</v>
      </c>
      <c r="V641" t="s">
        <v>162</v>
      </c>
    </row>
    <row r="642" spans="9:22" x14ac:dyDescent="0.45">
      <c r="I642" t="s">
        <v>240</v>
      </c>
      <c r="J642" t="s">
        <v>163</v>
      </c>
      <c r="K642">
        <v>5.9020297527827635E-2</v>
      </c>
      <c r="L642" t="s">
        <v>162</v>
      </c>
      <c r="N642" t="s">
        <v>352</v>
      </c>
      <c r="O642" t="s">
        <v>163</v>
      </c>
      <c r="P642">
        <v>3.4045903559885751E-2</v>
      </c>
      <c r="Q642" t="s">
        <v>162</v>
      </c>
      <c r="S642" t="s">
        <v>464</v>
      </c>
      <c r="T642" t="s">
        <v>163</v>
      </c>
      <c r="U642">
        <v>3.3877743912567121E-2</v>
      </c>
      <c r="V642" t="s">
        <v>162</v>
      </c>
    </row>
    <row r="643" spans="9:22" x14ac:dyDescent="0.45">
      <c r="I643" t="s">
        <v>240</v>
      </c>
      <c r="J643" t="s">
        <v>164</v>
      </c>
      <c r="K643">
        <v>8.9933263118597895E-2</v>
      </c>
      <c r="L643" t="s">
        <v>162</v>
      </c>
      <c r="N643" t="s">
        <v>352</v>
      </c>
      <c r="O643" t="s">
        <v>164</v>
      </c>
      <c r="P643">
        <v>0.21253705071485576</v>
      </c>
      <c r="Q643" t="s">
        <v>162</v>
      </c>
      <c r="S643" t="s">
        <v>464</v>
      </c>
      <c r="T643" t="s">
        <v>164</v>
      </c>
      <c r="U643">
        <v>0.2100359863644391</v>
      </c>
      <c r="V643" t="s">
        <v>162</v>
      </c>
    </row>
    <row r="644" spans="9:22" x14ac:dyDescent="0.45">
      <c r="I644" t="s">
        <v>240</v>
      </c>
      <c r="J644" t="s">
        <v>165</v>
      </c>
      <c r="K644">
        <v>2.086593298088062E-2</v>
      </c>
      <c r="L644" t="s">
        <v>162</v>
      </c>
      <c r="N644" t="s">
        <v>352</v>
      </c>
      <c r="O644" t="s">
        <v>165</v>
      </c>
      <c r="P644">
        <v>6.1228348524113269E-2</v>
      </c>
      <c r="Q644" t="s">
        <v>162</v>
      </c>
      <c r="S644" t="s">
        <v>464</v>
      </c>
      <c r="T644" t="s">
        <v>165</v>
      </c>
      <c r="U644">
        <v>6.3227011325313484E-2</v>
      </c>
      <c r="V644" t="s">
        <v>162</v>
      </c>
    </row>
    <row r="645" spans="9:22" x14ac:dyDescent="0.45">
      <c r="I645" t="s">
        <v>240</v>
      </c>
      <c r="J645" t="s">
        <v>166</v>
      </c>
      <c r="K645">
        <v>0</v>
      </c>
      <c r="L645" t="s">
        <v>162</v>
      </c>
      <c r="N645" t="s">
        <v>352</v>
      </c>
      <c r="O645" t="s">
        <v>166</v>
      </c>
      <c r="P645">
        <v>3.5208576763947333E-3</v>
      </c>
      <c r="Q645" t="s">
        <v>162</v>
      </c>
      <c r="S645" t="s">
        <v>464</v>
      </c>
      <c r="T645" t="s">
        <v>166</v>
      </c>
      <c r="U645">
        <v>4.1180979882157326E-3</v>
      </c>
      <c r="V645" t="s">
        <v>162</v>
      </c>
    </row>
    <row r="646" spans="9:22" x14ac:dyDescent="0.45">
      <c r="I646" t="s">
        <v>240</v>
      </c>
      <c r="J646" t="s">
        <v>167</v>
      </c>
      <c r="K646">
        <v>0</v>
      </c>
      <c r="L646" t="s">
        <v>162</v>
      </c>
      <c r="N646" t="s">
        <v>352</v>
      </c>
      <c r="O646" t="s">
        <v>167</v>
      </c>
      <c r="P646">
        <v>2.1565084470293549E-2</v>
      </c>
      <c r="Q646" t="s">
        <v>162</v>
      </c>
      <c r="S646" t="s">
        <v>464</v>
      </c>
      <c r="T646" t="s">
        <v>167</v>
      </c>
      <c r="U646">
        <v>2.4222627234008455E-2</v>
      </c>
      <c r="V646" t="s">
        <v>162</v>
      </c>
    </row>
    <row r="647" spans="9:22" x14ac:dyDescent="0.45">
      <c r="I647" t="s">
        <v>240</v>
      </c>
      <c r="J647" t="s">
        <v>168</v>
      </c>
      <c r="K647">
        <v>1.9885385084161544E-2</v>
      </c>
      <c r="L647" t="s">
        <v>162</v>
      </c>
      <c r="N647" t="s">
        <v>352</v>
      </c>
      <c r="O647" t="s">
        <v>168</v>
      </c>
      <c r="P647">
        <v>6.6515940317165956E-2</v>
      </c>
      <c r="Q647" t="s">
        <v>162</v>
      </c>
      <c r="S647" t="s">
        <v>464</v>
      </c>
      <c r="T647" t="s">
        <v>168</v>
      </c>
      <c r="U647">
        <v>7.6846977519942156E-2</v>
      </c>
      <c r="V647" t="s">
        <v>162</v>
      </c>
    </row>
    <row r="648" spans="9:22" x14ac:dyDescent="0.45">
      <c r="I648" t="s">
        <v>240</v>
      </c>
      <c r="J648" t="s">
        <v>169</v>
      </c>
      <c r="K648">
        <v>0</v>
      </c>
      <c r="L648" t="s">
        <v>162</v>
      </c>
      <c r="N648" t="s">
        <v>352</v>
      </c>
      <c r="O648" t="s">
        <v>169</v>
      </c>
      <c r="P648">
        <v>3.9333308256595456E-3</v>
      </c>
      <c r="Q648" t="s">
        <v>162</v>
      </c>
      <c r="S648" t="s">
        <v>464</v>
      </c>
      <c r="T648" t="s">
        <v>169</v>
      </c>
      <c r="U648">
        <v>4.4343057755438621E-3</v>
      </c>
      <c r="V648" t="s">
        <v>162</v>
      </c>
    </row>
    <row r="649" spans="9:22" x14ac:dyDescent="0.45">
      <c r="I649" t="s">
        <v>240</v>
      </c>
      <c r="J649" t="s">
        <v>170</v>
      </c>
      <c r="K649">
        <v>0</v>
      </c>
      <c r="L649" t="s">
        <v>162</v>
      </c>
      <c r="N649" t="s">
        <v>352</v>
      </c>
      <c r="O649" t="s">
        <v>170</v>
      </c>
      <c r="P649">
        <v>2.2971216803420003E-2</v>
      </c>
      <c r="Q649" t="s">
        <v>162</v>
      </c>
      <c r="S649" t="s">
        <v>464</v>
      </c>
      <c r="T649" t="s">
        <v>170</v>
      </c>
      <c r="U649">
        <v>2.6048681463123075E-2</v>
      </c>
      <c r="V649" t="s">
        <v>162</v>
      </c>
    </row>
    <row r="650" spans="9:22" x14ac:dyDescent="0.45">
      <c r="I650" t="s">
        <v>241</v>
      </c>
      <c r="J650" t="s">
        <v>161</v>
      </c>
      <c r="K650">
        <v>0.82471942438743839</v>
      </c>
      <c r="L650" t="s">
        <v>162</v>
      </c>
      <c r="N650" t="s">
        <v>353</v>
      </c>
      <c r="O650" t="s">
        <v>161</v>
      </c>
      <c r="P650">
        <v>0.55593657662564167</v>
      </c>
      <c r="Q650" t="s">
        <v>162</v>
      </c>
      <c r="S650" t="s">
        <v>465</v>
      </c>
      <c r="T650" t="s">
        <v>161</v>
      </c>
      <c r="U650">
        <v>0.55202805380869979</v>
      </c>
      <c r="V650" t="s">
        <v>162</v>
      </c>
    </row>
    <row r="651" spans="9:22" x14ac:dyDescent="0.45">
      <c r="I651" t="s">
        <v>241</v>
      </c>
      <c r="J651" t="s">
        <v>163</v>
      </c>
      <c r="K651">
        <v>5.5681903987551809E-2</v>
      </c>
      <c r="L651" t="s">
        <v>162</v>
      </c>
      <c r="N651" t="s">
        <v>353</v>
      </c>
      <c r="O651" t="s">
        <v>163</v>
      </c>
      <c r="P651">
        <v>3.1733097719381674E-2</v>
      </c>
      <c r="Q651" t="s">
        <v>162</v>
      </c>
      <c r="S651" t="s">
        <v>465</v>
      </c>
      <c r="T651" t="s">
        <v>163</v>
      </c>
      <c r="U651">
        <v>3.5089444429889489E-2</v>
      </c>
      <c r="V651" t="s">
        <v>162</v>
      </c>
    </row>
    <row r="652" spans="9:22" x14ac:dyDescent="0.45">
      <c r="I652" t="s">
        <v>241</v>
      </c>
      <c r="J652" t="s">
        <v>164</v>
      </c>
      <c r="K652">
        <v>7.4978775544364898E-2</v>
      </c>
      <c r="L652" t="s">
        <v>162</v>
      </c>
      <c r="N652" t="s">
        <v>353</v>
      </c>
      <c r="O652" t="s">
        <v>164</v>
      </c>
      <c r="P652">
        <v>0.19593859857240109</v>
      </c>
      <c r="Q652" t="s">
        <v>162</v>
      </c>
      <c r="S652" t="s">
        <v>465</v>
      </c>
      <c r="T652" t="s">
        <v>164</v>
      </c>
      <c r="U652">
        <v>0.21431898777467656</v>
      </c>
      <c r="V652" t="s">
        <v>162</v>
      </c>
    </row>
    <row r="653" spans="9:22" x14ac:dyDescent="0.45">
      <c r="I653" t="s">
        <v>241</v>
      </c>
      <c r="J653" t="s">
        <v>165</v>
      </c>
      <c r="K653">
        <v>1.9385780009807452E-2</v>
      </c>
      <c r="L653" t="s">
        <v>162</v>
      </c>
      <c r="N653" t="s">
        <v>353</v>
      </c>
      <c r="O653" t="s">
        <v>165</v>
      </c>
      <c r="P653">
        <v>7.273241492767403E-2</v>
      </c>
      <c r="Q653" t="s">
        <v>162</v>
      </c>
      <c r="S653" t="s">
        <v>465</v>
      </c>
      <c r="T653" t="s">
        <v>165</v>
      </c>
      <c r="U653">
        <v>6.3716405240989954E-2</v>
      </c>
      <c r="V653" t="s">
        <v>162</v>
      </c>
    </row>
    <row r="654" spans="9:22" x14ac:dyDescent="0.45">
      <c r="I654" t="s">
        <v>241</v>
      </c>
      <c r="J654" t="s">
        <v>166</v>
      </c>
      <c r="K654">
        <v>0</v>
      </c>
      <c r="L654" t="s">
        <v>162</v>
      </c>
      <c r="N654" t="s">
        <v>353</v>
      </c>
      <c r="O654" t="s">
        <v>166</v>
      </c>
      <c r="P654">
        <v>4.2948134641617704E-3</v>
      </c>
      <c r="Q654" t="s">
        <v>162</v>
      </c>
      <c r="S654" t="s">
        <v>465</v>
      </c>
      <c r="T654" t="s">
        <v>166</v>
      </c>
      <c r="U654">
        <v>3.9717268213205481E-3</v>
      </c>
      <c r="V654" t="s">
        <v>162</v>
      </c>
    </row>
    <row r="655" spans="9:22" x14ac:dyDescent="0.45">
      <c r="I655" t="s">
        <v>241</v>
      </c>
      <c r="J655" t="s">
        <v>167</v>
      </c>
      <c r="K655">
        <v>0</v>
      </c>
      <c r="L655" t="s">
        <v>162</v>
      </c>
      <c r="N655" t="s">
        <v>353</v>
      </c>
      <c r="O655" t="s">
        <v>167</v>
      </c>
      <c r="P655">
        <v>2.5807753297495992E-2</v>
      </c>
      <c r="Q655" t="s">
        <v>162</v>
      </c>
      <c r="S655" t="s">
        <v>465</v>
      </c>
      <c r="T655" t="s">
        <v>167</v>
      </c>
      <c r="U655">
        <v>2.3439197926416622E-2</v>
      </c>
      <c r="V655" t="s">
        <v>162</v>
      </c>
    </row>
    <row r="656" spans="9:22" x14ac:dyDescent="0.45">
      <c r="I656" t="s">
        <v>241</v>
      </c>
      <c r="J656" t="s">
        <v>168</v>
      </c>
      <c r="K656">
        <v>2.523411607083784E-2</v>
      </c>
      <c r="L656" t="s">
        <v>162</v>
      </c>
      <c r="N656" t="s">
        <v>353</v>
      </c>
      <c r="O656" t="s">
        <v>168</v>
      </c>
      <c r="P656">
        <v>8.1075823071898132E-2</v>
      </c>
      <c r="Q656" t="s">
        <v>162</v>
      </c>
      <c r="S656" t="s">
        <v>465</v>
      </c>
      <c r="T656" t="s">
        <v>168</v>
      </c>
      <c r="U656">
        <v>7.5049898865253831E-2</v>
      </c>
      <c r="V656" t="s">
        <v>162</v>
      </c>
    </row>
    <row r="657" spans="9:22" x14ac:dyDescent="0.45">
      <c r="I657" t="s">
        <v>241</v>
      </c>
      <c r="J657" t="s">
        <v>169</v>
      </c>
      <c r="K657">
        <v>0</v>
      </c>
      <c r="L657" t="s">
        <v>162</v>
      </c>
      <c r="N657" t="s">
        <v>353</v>
      </c>
      <c r="O657" t="s">
        <v>169</v>
      </c>
      <c r="P657">
        <v>4.6933525948735953E-3</v>
      </c>
      <c r="Q657" t="s">
        <v>162</v>
      </c>
      <c r="S657" t="s">
        <v>465</v>
      </c>
      <c r="T657" t="s">
        <v>169</v>
      </c>
      <c r="U657">
        <v>4.6373231625585305E-3</v>
      </c>
      <c r="V657" t="s">
        <v>162</v>
      </c>
    </row>
    <row r="658" spans="9:22" x14ac:dyDescent="0.45">
      <c r="I658" t="s">
        <v>241</v>
      </c>
      <c r="J658" t="s">
        <v>170</v>
      </c>
      <c r="K658">
        <v>0</v>
      </c>
      <c r="L658" t="s">
        <v>162</v>
      </c>
      <c r="N658" t="s">
        <v>353</v>
      </c>
      <c r="O658" t="s">
        <v>170</v>
      </c>
      <c r="P658">
        <v>2.7787569726477519E-2</v>
      </c>
      <c r="Q658" t="s">
        <v>162</v>
      </c>
      <c r="S658" t="s">
        <v>465</v>
      </c>
      <c r="T658" t="s">
        <v>170</v>
      </c>
      <c r="U658">
        <v>2.7748961970192446E-2</v>
      </c>
      <c r="V658" t="s">
        <v>162</v>
      </c>
    </row>
    <row r="659" spans="9:22" x14ac:dyDescent="0.45">
      <c r="I659" t="s">
        <v>242</v>
      </c>
      <c r="J659" t="s">
        <v>161</v>
      </c>
      <c r="K659">
        <v>0.80385509455408621</v>
      </c>
      <c r="L659" t="s">
        <v>162</v>
      </c>
      <c r="N659" t="s">
        <v>354</v>
      </c>
      <c r="O659" t="s">
        <v>161</v>
      </c>
      <c r="P659">
        <v>0.56966143466616004</v>
      </c>
      <c r="Q659" t="s">
        <v>162</v>
      </c>
      <c r="S659" t="s">
        <v>466</v>
      </c>
      <c r="T659" t="s">
        <v>161</v>
      </c>
      <c r="U659">
        <v>0.56569015315152216</v>
      </c>
      <c r="V659" t="s">
        <v>162</v>
      </c>
    </row>
    <row r="660" spans="9:22" x14ac:dyDescent="0.45">
      <c r="I660" t="s">
        <v>242</v>
      </c>
      <c r="J660" t="s">
        <v>163</v>
      </c>
      <c r="K660">
        <v>5.6322450927347459E-2</v>
      </c>
      <c r="L660" t="s">
        <v>162</v>
      </c>
      <c r="N660" t="s">
        <v>354</v>
      </c>
      <c r="O660" t="s">
        <v>163</v>
      </c>
      <c r="P660">
        <v>3.40917297817998E-2</v>
      </c>
      <c r="Q660" t="s">
        <v>162</v>
      </c>
      <c r="S660" t="s">
        <v>466</v>
      </c>
      <c r="T660" t="s">
        <v>163</v>
      </c>
      <c r="U660">
        <v>3.1980238886944776E-2</v>
      </c>
      <c r="V660" t="s">
        <v>162</v>
      </c>
    </row>
    <row r="661" spans="9:22" x14ac:dyDescent="0.45">
      <c r="I661" t="s">
        <v>242</v>
      </c>
      <c r="J661" t="s">
        <v>164</v>
      </c>
      <c r="K661">
        <v>6.001511298422979E-2</v>
      </c>
      <c r="L661" t="s">
        <v>162</v>
      </c>
      <c r="N661" t="s">
        <v>354</v>
      </c>
      <c r="O661" t="s">
        <v>164</v>
      </c>
      <c r="P661">
        <v>0.20831395084668092</v>
      </c>
      <c r="Q661" t="s">
        <v>162</v>
      </c>
      <c r="S661" t="s">
        <v>466</v>
      </c>
      <c r="T661" t="s">
        <v>164</v>
      </c>
      <c r="U661">
        <v>0.19584548568741608</v>
      </c>
      <c r="V661" t="s">
        <v>162</v>
      </c>
    </row>
    <row r="662" spans="9:22" x14ac:dyDescent="0.45">
      <c r="I662" t="s">
        <v>242</v>
      </c>
      <c r="J662" t="s">
        <v>165</v>
      </c>
      <c r="K662">
        <v>4.4288771220554614E-2</v>
      </c>
      <c r="L662" t="s">
        <v>162</v>
      </c>
      <c r="N662" t="s">
        <v>354</v>
      </c>
      <c r="O662" t="s">
        <v>165</v>
      </c>
      <c r="P662">
        <v>6.4290721231136605E-2</v>
      </c>
      <c r="Q662" t="s">
        <v>162</v>
      </c>
      <c r="S662" t="s">
        <v>466</v>
      </c>
      <c r="T662" t="s">
        <v>165</v>
      </c>
      <c r="U662">
        <v>6.679972254339836E-2</v>
      </c>
      <c r="V662" t="s">
        <v>162</v>
      </c>
    </row>
    <row r="663" spans="9:22" x14ac:dyDescent="0.45">
      <c r="I663" t="s">
        <v>242</v>
      </c>
      <c r="J663" t="s">
        <v>166</v>
      </c>
      <c r="K663">
        <v>2.4064229477020737E-6</v>
      </c>
      <c r="L663" t="s">
        <v>162</v>
      </c>
      <c r="N663" t="s">
        <v>354</v>
      </c>
      <c r="O663" t="s">
        <v>166</v>
      </c>
      <c r="P663">
        <v>3.896046929343768E-3</v>
      </c>
      <c r="Q663" t="s">
        <v>162</v>
      </c>
      <c r="S663" t="s">
        <v>466</v>
      </c>
      <c r="T663" t="s">
        <v>166</v>
      </c>
      <c r="U663">
        <v>3.8019984529541911E-3</v>
      </c>
      <c r="V663" t="s">
        <v>162</v>
      </c>
    </row>
    <row r="664" spans="9:22" x14ac:dyDescent="0.45">
      <c r="I664" t="s">
        <v>242</v>
      </c>
      <c r="J664" t="s">
        <v>167</v>
      </c>
      <c r="K664">
        <v>0</v>
      </c>
      <c r="L664" t="s">
        <v>162</v>
      </c>
      <c r="N664" t="s">
        <v>354</v>
      </c>
      <c r="O664" t="s">
        <v>167</v>
      </c>
      <c r="P664">
        <v>2.343631998721106E-2</v>
      </c>
      <c r="Q664" t="s">
        <v>162</v>
      </c>
      <c r="S664" t="s">
        <v>466</v>
      </c>
      <c r="T664" t="s">
        <v>167</v>
      </c>
      <c r="U664">
        <v>2.5573381834499736E-2</v>
      </c>
      <c r="V664" t="s">
        <v>162</v>
      </c>
    </row>
    <row r="665" spans="9:22" x14ac:dyDescent="0.45">
      <c r="I665" t="s">
        <v>242</v>
      </c>
      <c r="J665" t="s">
        <v>168</v>
      </c>
      <c r="K665">
        <v>3.55161638908357E-2</v>
      </c>
      <c r="L665" t="s">
        <v>162</v>
      </c>
      <c r="N665" t="s">
        <v>354</v>
      </c>
      <c r="O665" t="s">
        <v>168</v>
      </c>
      <c r="P665">
        <v>6.8609176080685827E-2</v>
      </c>
      <c r="Q665" t="s">
        <v>162</v>
      </c>
      <c r="S665" t="s">
        <v>466</v>
      </c>
      <c r="T665" t="s">
        <v>168</v>
      </c>
      <c r="U665">
        <v>7.7491434053716376E-2</v>
      </c>
      <c r="V665" t="s">
        <v>162</v>
      </c>
    </row>
    <row r="666" spans="9:22" x14ac:dyDescent="0.45">
      <c r="I666" t="s">
        <v>242</v>
      </c>
      <c r="J666" t="s">
        <v>169</v>
      </c>
      <c r="K666">
        <v>0</v>
      </c>
      <c r="L666" t="s">
        <v>162</v>
      </c>
      <c r="N666" t="s">
        <v>354</v>
      </c>
      <c r="O666" t="s">
        <v>169</v>
      </c>
      <c r="P666">
        <v>3.9577502327085663E-3</v>
      </c>
      <c r="Q666" t="s">
        <v>162</v>
      </c>
      <c r="S666" t="s">
        <v>466</v>
      </c>
      <c r="T666" t="s">
        <v>169</v>
      </c>
      <c r="U666">
        <v>4.7138659588656902E-3</v>
      </c>
      <c r="V666" t="s">
        <v>162</v>
      </c>
    </row>
    <row r="667" spans="9:22" x14ac:dyDescent="0.45">
      <c r="I667" t="s">
        <v>242</v>
      </c>
      <c r="J667" t="s">
        <v>170</v>
      </c>
      <c r="K667">
        <v>0</v>
      </c>
      <c r="L667" t="s">
        <v>162</v>
      </c>
      <c r="N667" t="s">
        <v>354</v>
      </c>
      <c r="O667" t="s">
        <v>170</v>
      </c>
      <c r="P667">
        <v>2.3742870244273365E-2</v>
      </c>
      <c r="Q667" t="s">
        <v>162</v>
      </c>
      <c r="S667" t="s">
        <v>466</v>
      </c>
      <c r="T667" t="s">
        <v>170</v>
      </c>
      <c r="U667">
        <v>2.8103719430683186E-2</v>
      </c>
      <c r="V667" t="s">
        <v>162</v>
      </c>
    </row>
    <row r="668" spans="9:22" x14ac:dyDescent="0.45">
      <c r="I668" t="s">
        <v>243</v>
      </c>
      <c r="J668" t="s">
        <v>161</v>
      </c>
      <c r="K668">
        <v>0.79208922325352304</v>
      </c>
      <c r="L668" t="s">
        <v>162</v>
      </c>
      <c r="N668" t="s">
        <v>355</v>
      </c>
      <c r="O668" t="s">
        <v>161</v>
      </c>
      <c r="P668">
        <v>0.56536688408554736</v>
      </c>
      <c r="Q668" t="s">
        <v>162</v>
      </c>
      <c r="S668" t="s">
        <v>467</v>
      </c>
      <c r="T668" t="s">
        <v>161</v>
      </c>
      <c r="U668">
        <v>0.55730387316015317</v>
      </c>
      <c r="V668" t="s">
        <v>162</v>
      </c>
    </row>
    <row r="669" spans="9:22" x14ac:dyDescent="0.45">
      <c r="I669" t="s">
        <v>243</v>
      </c>
      <c r="J669" t="s">
        <v>163</v>
      </c>
      <c r="K669">
        <v>6.0071265212920742E-2</v>
      </c>
      <c r="L669" t="s">
        <v>162</v>
      </c>
      <c r="N669" t="s">
        <v>355</v>
      </c>
      <c r="O669" t="s">
        <v>163</v>
      </c>
      <c r="P669">
        <v>3.3906676923314817E-2</v>
      </c>
      <c r="Q669" t="s">
        <v>162</v>
      </c>
      <c r="S669" t="s">
        <v>467</v>
      </c>
      <c r="T669" t="s">
        <v>163</v>
      </c>
      <c r="U669">
        <v>3.3183614759559145E-2</v>
      </c>
      <c r="V669" t="s">
        <v>162</v>
      </c>
    </row>
    <row r="670" spans="9:22" x14ac:dyDescent="0.45">
      <c r="I670" t="s">
        <v>243</v>
      </c>
      <c r="J670" t="s">
        <v>164</v>
      </c>
      <c r="K670">
        <v>6.8118690846473234E-2</v>
      </c>
      <c r="L670" t="s">
        <v>162</v>
      </c>
      <c r="N670" t="s">
        <v>355</v>
      </c>
      <c r="O670" t="s">
        <v>164</v>
      </c>
      <c r="P670">
        <v>0.20586604797890498</v>
      </c>
      <c r="Q670" t="s">
        <v>162</v>
      </c>
      <c r="S670" t="s">
        <v>467</v>
      </c>
      <c r="T670" t="s">
        <v>164</v>
      </c>
      <c r="U670">
        <v>0.20028124829936911</v>
      </c>
      <c r="V670" t="s">
        <v>162</v>
      </c>
    </row>
    <row r="671" spans="9:22" x14ac:dyDescent="0.45">
      <c r="I671" t="s">
        <v>243</v>
      </c>
      <c r="J671" t="s">
        <v>165</v>
      </c>
      <c r="K671">
        <v>4.4313897777815366E-2</v>
      </c>
      <c r="L671" t="s">
        <v>162</v>
      </c>
      <c r="N671" t="s">
        <v>355</v>
      </c>
      <c r="O671" t="s">
        <v>165</v>
      </c>
      <c r="P671">
        <v>6.6504393223344116E-2</v>
      </c>
      <c r="Q671" t="s">
        <v>162</v>
      </c>
      <c r="S671" t="s">
        <v>467</v>
      </c>
      <c r="T671" t="s">
        <v>165</v>
      </c>
      <c r="U671">
        <v>6.8451808269981942E-2</v>
      </c>
      <c r="V671" t="s">
        <v>162</v>
      </c>
    </row>
    <row r="672" spans="9:22" x14ac:dyDescent="0.45">
      <c r="I672" t="s">
        <v>243</v>
      </c>
      <c r="J672" t="s">
        <v>166</v>
      </c>
      <c r="K672">
        <v>2.3326347975850681E-4</v>
      </c>
      <c r="L672" t="s">
        <v>162</v>
      </c>
      <c r="N672" t="s">
        <v>355</v>
      </c>
      <c r="O672" t="s">
        <v>166</v>
      </c>
      <c r="P672">
        <v>3.9645764570617791E-3</v>
      </c>
      <c r="Q672" t="s">
        <v>162</v>
      </c>
      <c r="S672" t="s">
        <v>467</v>
      </c>
      <c r="T672" t="s">
        <v>166</v>
      </c>
      <c r="U672">
        <v>4.0499402700787486E-3</v>
      </c>
      <c r="V672" t="s">
        <v>162</v>
      </c>
    </row>
    <row r="673" spans="9:22" x14ac:dyDescent="0.45">
      <c r="I673" t="s">
        <v>243</v>
      </c>
      <c r="J673" t="s">
        <v>167</v>
      </c>
      <c r="K673">
        <v>0</v>
      </c>
      <c r="L673" t="s">
        <v>162</v>
      </c>
      <c r="N673" t="s">
        <v>355</v>
      </c>
      <c r="O673" t="s">
        <v>167</v>
      </c>
      <c r="P673">
        <v>2.418846146343474E-2</v>
      </c>
      <c r="Q673" t="s">
        <v>162</v>
      </c>
      <c r="S673" t="s">
        <v>467</v>
      </c>
      <c r="T673" t="s">
        <v>167</v>
      </c>
      <c r="U673">
        <v>2.5283772907052471E-2</v>
      </c>
      <c r="V673" t="s">
        <v>162</v>
      </c>
    </row>
    <row r="674" spans="9:22" x14ac:dyDescent="0.45">
      <c r="I674" t="s">
        <v>243</v>
      </c>
      <c r="J674" t="s">
        <v>168</v>
      </c>
      <c r="K674">
        <v>3.5173659429506919E-2</v>
      </c>
      <c r="L674" t="s">
        <v>162</v>
      </c>
      <c r="N674" t="s">
        <v>355</v>
      </c>
      <c r="O674" t="s">
        <v>168</v>
      </c>
      <c r="P674">
        <v>7.0036586617204744E-2</v>
      </c>
      <c r="Q674" t="s">
        <v>162</v>
      </c>
      <c r="S674" t="s">
        <v>467</v>
      </c>
      <c r="T674" t="s">
        <v>168</v>
      </c>
      <c r="U674">
        <v>7.8682181172658683E-2</v>
      </c>
      <c r="V674" t="s">
        <v>162</v>
      </c>
    </row>
    <row r="675" spans="9:22" x14ac:dyDescent="0.45">
      <c r="I675" t="s">
        <v>243</v>
      </c>
      <c r="J675" t="s">
        <v>169</v>
      </c>
      <c r="K675">
        <v>0</v>
      </c>
      <c r="L675" t="s">
        <v>162</v>
      </c>
      <c r="N675" t="s">
        <v>355</v>
      </c>
      <c r="O675" t="s">
        <v>169</v>
      </c>
      <c r="P675">
        <v>4.1111331583973329E-3</v>
      </c>
      <c r="Q675" t="s">
        <v>162</v>
      </c>
      <c r="S675" t="s">
        <v>467</v>
      </c>
      <c r="T675" t="s">
        <v>169</v>
      </c>
      <c r="U675">
        <v>4.6994141804544923E-3</v>
      </c>
      <c r="V675" t="s">
        <v>162</v>
      </c>
    </row>
    <row r="676" spans="9:22" x14ac:dyDescent="0.45">
      <c r="I676" t="s">
        <v>243</v>
      </c>
      <c r="J676" t="s">
        <v>170</v>
      </c>
      <c r="K676">
        <v>0</v>
      </c>
      <c r="L676" t="s">
        <v>162</v>
      </c>
      <c r="N676" t="s">
        <v>355</v>
      </c>
      <c r="O676" t="s">
        <v>170</v>
      </c>
      <c r="P676">
        <v>2.6055240092788274E-2</v>
      </c>
      <c r="Q676" t="s">
        <v>162</v>
      </c>
      <c r="S676" t="s">
        <v>467</v>
      </c>
      <c r="T676" t="s">
        <v>170</v>
      </c>
      <c r="U676">
        <v>2.8064146980693729E-2</v>
      </c>
      <c r="V676" t="s">
        <v>162</v>
      </c>
    </row>
    <row r="677" spans="9:22" x14ac:dyDescent="0.45">
      <c r="I677" t="s">
        <v>244</v>
      </c>
      <c r="J677" t="s">
        <v>161</v>
      </c>
      <c r="K677">
        <v>0.80378441933899891</v>
      </c>
      <c r="L677" t="s">
        <v>162</v>
      </c>
      <c r="N677" t="s">
        <v>356</v>
      </c>
      <c r="O677" t="s">
        <v>161</v>
      </c>
      <c r="P677">
        <v>0.57135382762580833</v>
      </c>
      <c r="Q677" t="s">
        <v>162</v>
      </c>
      <c r="S677" t="s">
        <v>468</v>
      </c>
      <c r="T677" t="s">
        <v>161</v>
      </c>
      <c r="U677">
        <v>0.52392768817162905</v>
      </c>
      <c r="V677" t="s">
        <v>162</v>
      </c>
    </row>
    <row r="678" spans="9:22" x14ac:dyDescent="0.45">
      <c r="I678" t="s">
        <v>244</v>
      </c>
      <c r="J678" t="s">
        <v>163</v>
      </c>
      <c r="K678">
        <v>5.8600155613235012E-2</v>
      </c>
      <c r="L678" t="s">
        <v>162</v>
      </c>
      <c r="N678" t="s">
        <v>356</v>
      </c>
      <c r="O678" t="s">
        <v>163</v>
      </c>
      <c r="P678">
        <v>3.3375116557673216E-2</v>
      </c>
      <c r="Q678" t="s">
        <v>162</v>
      </c>
      <c r="S678" t="s">
        <v>468</v>
      </c>
      <c r="T678" t="s">
        <v>163</v>
      </c>
      <c r="U678">
        <v>3.1991090447305644E-2</v>
      </c>
      <c r="V678" t="s">
        <v>162</v>
      </c>
    </row>
    <row r="679" spans="9:22" x14ac:dyDescent="0.45">
      <c r="I679" t="s">
        <v>244</v>
      </c>
      <c r="J679" t="s">
        <v>164</v>
      </c>
      <c r="K679">
        <v>6.9251813133135429E-2</v>
      </c>
      <c r="L679" t="s">
        <v>162</v>
      </c>
      <c r="N679" t="s">
        <v>356</v>
      </c>
      <c r="O679" t="s">
        <v>164</v>
      </c>
      <c r="P679">
        <v>0.20189357502139779</v>
      </c>
      <c r="Q679" t="s">
        <v>162</v>
      </c>
      <c r="S679" t="s">
        <v>468</v>
      </c>
      <c r="T679" t="s">
        <v>164</v>
      </c>
      <c r="U679">
        <v>0.18171436139394384</v>
      </c>
      <c r="V679" t="s">
        <v>162</v>
      </c>
    </row>
    <row r="680" spans="9:22" x14ac:dyDescent="0.45">
      <c r="I680" t="s">
        <v>244</v>
      </c>
      <c r="J680" t="s">
        <v>165</v>
      </c>
      <c r="K680">
        <v>3.7701355911540529E-2</v>
      </c>
      <c r="L680" t="s">
        <v>162</v>
      </c>
      <c r="N680" t="s">
        <v>356</v>
      </c>
      <c r="O680" t="s">
        <v>165</v>
      </c>
      <c r="P680">
        <v>6.7411050613721782E-2</v>
      </c>
      <c r="Q680" t="s">
        <v>162</v>
      </c>
      <c r="S680" t="s">
        <v>468</v>
      </c>
      <c r="T680" t="s">
        <v>165</v>
      </c>
      <c r="U680">
        <v>7.6748694382867147E-2</v>
      </c>
      <c r="V680" t="s">
        <v>162</v>
      </c>
    </row>
    <row r="681" spans="9:22" x14ac:dyDescent="0.45">
      <c r="I681" t="s">
        <v>244</v>
      </c>
      <c r="J681" t="s">
        <v>166</v>
      </c>
      <c r="K681">
        <v>8.0187009122379162E-6</v>
      </c>
      <c r="L681" t="s">
        <v>162</v>
      </c>
      <c r="N681" t="s">
        <v>356</v>
      </c>
      <c r="O681" t="s">
        <v>166</v>
      </c>
      <c r="P681">
        <v>3.9921399196541337E-3</v>
      </c>
      <c r="Q681" t="s">
        <v>162</v>
      </c>
      <c r="S681" t="s">
        <v>468</v>
      </c>
      <c r="T681" t="s">
        <v>166</v>
      </c>
      <c r="U681">
        <v>4.2363828411285578E-3</v>
      </c>
      <c r="V681" t="s">
        <v>162</v>
      </c>
    </row>
    <row r="682" spans="9:22" x14ac:dyDescent="0.45">
      <c r="I682" t="s">
        <v>244</v>
      </c>
      <c r="J682" t="s">
        <v>167</v>
      </c>
      <c r="K682">
        <v>0</v>
      </c>
      <c r="L682" t="s">
        <v>162</v>
      </c>
      <c r="N682" t="s">
        <v>356</v>
      </c>
      <c r="O682" t="s">
        <v>167</v>
      </c>
      <c r="P682">
        <v>2.507040322694112E-2</v>
      </c>
      <c r="Q682" t="s">
        <v>162</v>
      </c>
      <c r="S682" t="s">
        <v>468</v>
      </c>
      <c r="T682" t="s">
        <v>167</v>
      </c>
      <c r="U682">
        <v>2.729411607915953E-2</v>
      </c>
      <c r="V682" t="s">
        <v>162</v>
      </c>
    </row>
    <row r="683" spans="9:22" x14ac:dyDescent="0.45">
      <c r="I683" t="s">
        <v>244</v>
      </c>
      <c r="J683" t="s">
        <v>168</v>
      </c>
      <c r="K683">
        <v>3.0654237302177798E-2</v>
      </c>
      <c r="L683" t="s">
        <v>162</v>
      </c>
      <c r="N683" t="s">
        <v>356</v>
      </c>
      <c r="O683" t="s">
        <v>168</v>
      </c>
      <c r="P683">
        <v>6.7965120106137214E-2</v>
      </c>
      <c r="Q683" t="s">
        <v>162</v>
      </c>
      <c r="S683" t="s">
        <v>468</v>
      </c>
      <c r="T683" t="s">
        <v>168</v>
      </c>
      <c r="U683">
        <v>0.1088864070407089</v>
      </c>
      <c r="V683" t="s">
        <v>162</v>
      </c>
    </row>
    <row r="684" spans="9:22" x14ac:dyDescent="0.45">
      <c r="I684" t="s">
        <v>244</v>
      </c>
      <c r="J684" t="s">
        <v>169</v>
      </c>
      <c r="K684">
        <v>0</v>
      </c>
      <c r="L684" t="s">
        <v>162</v>
      </c>
      <c r="N684" t="s">
        <v>356</v>
      </c>
      <c r="O684" t="s">
        <v>169</v>
      </c>
      <c r="P684">
        <v>4.052284809806201E-3</v>
      </c>
      <c r="Q684" t="s">
        <v>162</v>
      </c>
      <c r="S684" t="s">
        <v>468</v>
      </c>
      <c r="T684" t="s">
        <v>169</v>
      </c>
      <c r="U684">
        <v>6.3547586127054509E-3</v>
      </c>
      <c r="V684" t="s">
        <v>162</v>
      </c>
    </row>
    <row r="685" spans="9:22" x14ac:dyDescent="0.45">
      <c r="I685" t="s">
        <v>244</v>
      </c>
      <c r="J685" t="s">
        <v>170</v>
      </c>
      <c r="K685">
        <v>0</v>
      </c>
      <c r="L685" t="s">
        <v>162</v>
      </c>
      <c r="N685" t="s">
        <v>356</v>
      </c>
      <c r="O685" t="s">
        <v>170</v>
      </c>
      <c r="P685">
        <v>2.4886482118862217E-2</v>
      </c>
      <c r="Q685" t="s">
        <v>162</v>
      </c>
      <c r="S685" t="s">
        <v>468</v>
      </c>
      <c r="T685" t="s">
        <v>170</v>
      </c>
      <c r="U685">
        <v>3.8846501030551948E-2</v>
      </c>
      <c r="V685" t="s">
        <v>162</v>
      </c>
    </row>
    <row r="686" spans="9:22" x14ac:dyDescent="0.45">
      <c r="I686" t="s">
        <v>245</v>
      </c>
      <c r="J686" t="s">
        <v>161</v>
      </c>
      <c r="K686">
        <v>0.80884795736670845</v>
      </c>
      <c r="L686" t="s">
        <v>162</v>
      </c>
      <c r="N686" t="s">
        <v>357</v>
      </c>
      <c r="O686" t="s">
        <v>161</v>
      </c>
      <c r="P686">
        <v>0.57108976870302497</v>
      </c>
      <c r="Q686" t="s">
        <v>162</v>
      </c>
      <c r="S686" t="s">
        <v>469</v>
      </c>
      <c r="T686" t="s">
        <v>161</v>
      </c>
      <c r="U686">
        <v>0.54320819865477088</v>
      </c>
      <c r="V686" t="s">
        <v>162</v>
      </c>
    </row>
    <row r="687" spans="9:22" x14ac:dyDescent="0.45">
      <c r="I687" t="s">
        <v>245</v>
      </c>
      <c r="J687" t="s">
        <v>163</v>
      </c>
      <c r="K687">
        <v>5.9408926784269511E-2</v>
      </c>
      <c r="L687" t="s">
        <v>162</v>
      </c>
      <c r="N687" t="s">
        <v>357</v>
      </c>
      <c r="O687" t="s">
        <v>163</v>
      </c>
      <c r="P687">
        <v>3.2475346552413298E-2</v>
      </c>
      <c r="Q687" t="s">
        <v>162</v>
      </c>
      <c r="S687" t="s">
        <v>469</v>
      </c>
      <c r="T687" t="s">
        <v>163</v>
      </c>
      <c r="U687">
        <v>3.2040898471721119E-2</v>
      </c>
      <c r="V687" t="s">
        <v>162</v>
      </c>
    </row>
    <row r="688" spans="9:22" x14ac:dyDescent="0.45">
      <c r="I688" t="s">
        <v>245</v>
      </c>
      <c r="J688" t="s">
        <v>164</v>
      </c>
      <c r="K688">
        <v>7.7473877099417165E-2</v>
      </c>
      <c r="L688" t="s">
        <v>162</v>
      </c>
      <c r="N688" t="s">
        <v>357</v>
      </c>
      <c r="O688" t="s">
        <v>164</v>
      </c>
      <c r="P688">
        <v>0.20467343672272462</v>
      </c>
      <c r="Q688" t="s">
        <v>162</v>
      </c>
      <c r="S688" t="s">
        <v>469</v>
      </c>
      <c r="T688" t="s">
        <v>164</v>
      </c>
      <c r="U688">
        <v>0.18921284936155577</v>
      </c>
      <c r="V688" t="s">
        <v>162</v>
      </c>
    </row>
    <row r="689" spans="9:22" x14ac:dyDescent="0.45">
      <c r="I689" t="s">
        <v>245</v>
      </c>
      <c r="J689" t="s">
        <v>165</v>
      </c>
      <c r="K689">
        <v>2.9701060435024074E-2</v>
      </c>
      <c r="L689" t="s">
        <v>162</v>
      </c>
      <c r="N689" t="s">
        <v>357</v>
      </c>
      <c r="O689" t="s">
        <v>165</v>
      </c>
      <c r="P689">
        <v>6.0883991539266581E-2</v>
      </c>
      <c r="Q689" t="s">
        <v>162</v>
      </c>
      <c r="S689" t="s">
        <v>469</v>
      </c>
      <c r="T689" t="s">
        <v>165</v>
      </c>
      <c r="U689">
        <v>7.3337224405404994E-2</v>
      </c>
      <c r="V689" t="s">
        <v>162</v>
      </c>
    </row>
    <row r="690" spans="9:22" x14ac:dyDescent="0.45">
      <c r="I690" t="s">
        <v>245</v>
      </c>
      <c r="J690" t="s">
        <v>166</v>
      </c>
      <c r="K690">
        <v>0</v>
      </c>
      <c r="L690" t="s">
        <v>162</v>
      </c>
      <c r="N690" t="s">
        <v>357</v>
      </c>
      <c r="O690" t="s">
        <v>166</v>
      </c>
      <c r="P690">
        <v>3.2188077782531015E-3</v>
      </c>
      <c r="Q690" t="s">
        <v>162</v>
      </c>
      <c r="S690" t="s">
        <v>469</v>
      </c>
      <c r="T690" t="s">
        <v>166</v>
      </c>
      <c r="U690">
        <v>4.4504988966314113E-3</v>
      </c>
      <c r="V690" t="s">
        <v>162</v>
      </c>
    </row>
    <row r="691" spans="9:22" x14ac:dyDescent="0.45">
      <c r="I691" t="s">
        <v>245</v>
      </c>
      <c r="J691" t="s">
        <v>167</v>
      </c>
      <c r="K691">
        <v>0</v>
      </c>
      <c r="L691" t="s">
        <v>162</v>
      </c>
      <c r="N691" t="s">
        <v>357</v>
      </c>
      <c r="O691" t="s">
        <v>167</v>
      </c>
      <c r="P691">
        <v>2.0560580225697504E-2</v>
      </c>
      <c r="Q691" t="s">
        <v>162</v>
      </c>
      <c r="S691" t="s">
        <v>469</v>
      </c>
      <c r="T691" t="s">
        <v>167</v>
      </c>
      <c r="U691">
        <v>2.7270240941287591E-2</v>
      </c>
      <c r="V691" t="s">
        <v>162</v>
      </c>
    </row>
    <row r="692" spans="9:22" x14ac:dyDescent="0.45">
      <c r="I692" t="s">
        <v>245</v>
      </c>
      <c r="J692" t="s">
        <v>168</v>
      </c>
      <c r="K692">
        <v>2.4568178314580934E-2</v>
      </c>
      <c r="L692" t="s">
        <v>162</v>
      </c>
      <c r="N692" t="s">
        <v>357</v>
      </c>
      <c r="O692" t="s">
        <v>168</v>
      </c>
      <c r="P692">
        <v>7.5667283486669068E-2</v>
      </c>
      <c r="Q692" t="s">
        <v>162</v>
      </c>
      <c r="S692" t="s">
        <v>469</v>
      </c>
      <c r="T692" t="s">
        <v>168</v>
      </c>
      <c r="U692">
        <v>9.2932707031040881E-2</v>
      </c>
      <c r="V692" t="s">
        <v>162</v>
      </c>
    </row>
    <row r="693" spans="9:22" x14ac:dyDescent="0.45">
      <c r="I693" t="s">
        <v>245</v>
      </c>
      <c r="J693" t="s">
        <v>169</v>
      </c>
      <c r="K693">
        <v>0</v>
      </c>
      <c r="L693" t="s">
        <v>162</v>
      </c>
      <c r="N693" t="s">
        <v>357</v>
      </c>
      <c r="O693" t="s">
        <v>169</v>
      </c>
      <c r="P693">
        <v>4.5037151128237288E-3</v>
      </c>
      <c r="Q693" t="s">
        <v>162</v>
      </c>
      <c r="S693" t="s">
        <v>469</v>
      </c>
      <c r="T693" t="s">
        <v>169</v>
      </c>
      <c r="U693">
        <v>5.3834163242303225E-3</v>
      </c>
      <c r="V693" t="s">
        <v>162</v>
      </c>
    </row>
    <row r="694" spans="9:22" x14ac:dyDescent="0.45">
      <c r="I694" t="s">
        <v>245</v>
      </c>
      <c r="J694" t="s">
        <v>170</v>
      </c>
      <c r="K694">
        <v>0</v>
      </c>
      <c r="L694" t="s">
        <v>162</v>
      </c>
      <c r="N694" t="s">
        <v>357</v>
      </c>
      <c r="O694" t="s">
        <v>170</v>
      </c>
      <c r="P694">
        <v>2.6927069879126984E-2</v>
      </c>
      <c r="Q694" t="s">
        <v>162</v>
      </c>
      <c r="S694" t="s">
        <v>469</v>
      </c>
      <c r="T694" t="s">
        <v>170</v>
      </c>
      <c r="U694">
        <v>3.2163965913355956E-2</v>
      </c>
      <c r="V694" t="s">
        <v>162</v>
      </c>
    </row>
    <row r="695" spans="9:22" x14ac:dyDescent="0.45">
      <c r="I695" t="s">
        <v>246</v>
      </c>
      <c r="J695" t="s">
        <v>161</v>
      </c>
      <c r="K695">
        <v>0.8159130838294103</v>
      </c>
      <c r="L695" t="s">
        <v>162</v>
      </c>
      <c r="N695" t="s">
        <v>358</v>
      </c>
      <c r="O695" t="s">
        <v>161</v>
      </c>
      <c r="P695">
        <v>0.57205753933732939</v>
      </c>
      <c r="Q695" t="s">
        <v>162</v>
      </c>
      <c r="S695" t="s">
        <v>470</v>
      </c>
      <c r="T695" t="s">
        <v>161</v>
      </c>
      <c r="U695">
        <v>0.57381064446002616</v>
      </c>
      <c r="V695" t="s">
        <v>162</v>
      </c>
    </row>
    <row r="696" spans="9:22" x14ac:dyDescent="0.45">
      <c r="I696" t="s">
        <v>246</v>
      </c>
      <c r="J696" t="s">
        <v>163</v>
      </c>
      <c r="K696">
        <v>5.60552868496993E-2</v>
      </c>
      <c r="L696" t="s">
        <v>162</v>
      </c>
      <c r="N696" t="s">
        <v>358</v>
      </c>
      <c r="O696" t="s">
        <v>163</v>
      </c>
      <c r="P696">
        <v>3.2587967993216255E-2</v>
      </c>
      <c r="Q696" t="s">
        <v>162</v>
      </c>
      <c r="S696" t="s">
        <v>470</v>
      </c>
      <c r="T696" t="s">
        <v>163</v>
      </c>
      <c r="U696">
        <v>3.368086541474874E-2</v>
      </c>
      <c r="V696" t="s">
        <v>162</v>
      </c>
    </row>
    <row r="697" spans="9:22" x14ac:dyDescent="0.45">
      <c r="I697" t="s">
        <v>246</v>
      </c>
      <c r="J697" t="s">
        <v>164</v>
      </c>
      <c r="K697">
        <v>6.6284691996954651E-2</v>
      </c>
      <c r="L697" t="s">
        <v>162</v>
      </c>
      <c r="N697" t="s">
        <v>358</v>
      </c>
      <c r="O697" t="s">
        <v>164</v>
      </c>
      <c r="P697">
        <v>0.20592299732823366</v>
      </c>
      <c r="Q697" t="s">
        <v>162</v>
      </c>
      <c r="S697" t="s">
        <v>470</v>
      </c>
      <c r="T697" t="s">
        <v>164</v>
      </c>
      <c r="U697">
        <v>0.20447481864890354</v>
      </c>
      <c r="V697" t="s">
        <v>162</v>
      </c>
    </row>
    <row r="698" spans="9:22" x14ac:dyDescent="0.45">
      <c r="I698" t="s">
        <v>246</v>
      </c>
      <c r="J698" t="s">
        <v>165</v>
      </c>
      <c r="K698">
        <v>3.0659568423666694E-2</v>
      </c>
      <c r="L698" t="s">
        <v>162</v>
      </c>
      <c r="N698" t="s">
        <v>358</v>
      </c>
      <c r="O698" t="s">
        <v>165</v>
      </c>
      <c r="P698">
        <v>6.2640374060692061E-2</v>
      </c>
      <c r="Q698" t="s">
        <v>162</v>
      </c>
      <c r="S698" t="s">
        <v>470</v>
      </c>
      <c r="T698" t="s">
        <v>165</v>
      </c>
      <c r="U698">
        <v>6.6502242159039007E-2</v>
      </c>
      <c r="V698" t="s">
        <v>162</v>
      </c>
    </row>
    <row r="699" spans="9:22" x14ac:dyDescent="0.45">
      <c r="I699" t="s">
        <v>246</v>
      </c>
      <c r="J699" t="s">
        <v>166</v>
      </c>
      <c r="K699">
        <v>0</v>
      </c>
      <c r="L699" t="s">
        <v>162</v>
      </c>
      <c r="N699" t="s">
        <v>358</v>
      </c>
      <c r="O699" t="s">
        <v>166</v>
      </c>
      <c r="P699">
        <v>3.7234031364559192E-3</v>
      </c>
      <c r="Q699" t="s">
        <v>162</v>
      </c>
      <c r="S699" t="s">
        <v>470</v>
      </c>
      <c r="T699" t="s">
        <v>166</v>
      </c>
      <c r="U699">
        <v>3.9528965403539092E-3</v>
      </c>
      <c r="V699" t="s">
        <v>162</v>
      </c>
    </row>
    <row r="700" spans="9:22" x14ac:dyDescent="0.45">
      <c r="I700" t="s">
        <v>246</v>
      </c>
      <c r="J700" t="s">
        <v>167</v>
      </c>
      <c r="K700">
        <v>0</v>
      </c>
      <c r="L700" t="s">
        <v>162</v>
      </c>
      <c r="N700" t="s">
        <v>358</v>
      </c>
      <c r="O700" t="s">
        <v>167</v>
      </c>
      <c r="P700">
        <v>2.2851615774789353E-2</v>
      </c>
      <c r="Q700" t="s">
        <v>162</v>
      </c>
      <c r="S700" t="s">
        <v>470</v>
      </c>
      <c r="T700" t="s">
        <v>167</v>
      </c>
      <c r="U700">
        <v>2.4952557127002995E-2</v>
      </c>
      <c r="V700" t="s">
        <v>162</v>
      </c>
    </row>
    <row r="701" spans="9:22" x14ac:dyDescent="0.45">
      <c r="I701" t="s">
        <v>246</v>
      </c>
      <c r="J701" t="s">
        <v>168</v>
      </c>
      <c r="K701">
        <v>3.1087368900270647E-2</v>
      </c>
      <c r="L701" t="s">
        <v>162</v>
      </c>
      <c r="N701" t="s">
        <v>358</v>
      </c>
      <c r="O701" t="s">
        <v>168</v>
      </c>
      <c r="P701">
        <v>7.0916888926654542E-2</v>
      </c>
      <c r="Q701" t="s">
        <v>162</v>
      </c>
      <c r="S701" t="s">
        <v>470</v>
      </c>
      <c r="T701" t="s">
        <v>168</v>
      </c>
      <c r="U701">
        <v>6.600980365553781E-2</v>
      </c>
      <c r="V701" t="s">
        <v>162</v>
      </c>
    </row>
    <row r="702" spans="9:22" x14ac:dyDescent="0.45">
      <c r="I702" t="s">
        <v>246</v>
      </c>
      <c r="J702" t="s">
        <v>169</v>
      </c>
      <c r="K702">
        <v>0</v>
      </c>
      <c r="L702" t="s">
        <v>162</v>
      </c>
      <c r="N702" t="s">
        <v>358</v>
      </c>
      <c r="O702" t="s">
        <v>169</v>
      </c>
      <c r="P702">
        <v>4.1415695815675783E-3</v>
      </c>
      <c r="Q702" t="s">
        <v>162</v>
      </c>
      <c r="S702" t="s">
        <v>470</v>
      </c>
      <c r="T702" t="s">
        <v>169</v>
      </c>
      <c r="U702">
        <v>3.7777292328034164E-3</v>
      </c>
      <c r="V702" t="s">
        <v>162</v>
      </c>
    </row>
    <row r="703" spans="9:22" x14ac:dyDescent="0.45">
      <c r="I703" t="s">
        <v>246</v>
      </c>
      <c r="J703" t="s">
        <v>170</v>
      </c>
      <c r="K703">
        <v>0</v>
      </c>
      <c r="L703" t="s">
        <v>162</v>
      </c>
      <c r="N703" t="s">
        <v>358</v>
      </c>
      <c r="O703" t="s">
        <v>170</v>
      </c>
      <c r="P703">
        <v>2.5157643861060171E-2</v>
      </c>
      <c r="Q703" t="s">
        <v>162</v>
      </c>
      <c r="S703" t="s">
        <v>470</v>
      </c>
      <c r="T703" t="s">
        <v>170</v>
      </c>
      <c r="U703">
        <v>2.2838442761585229E-2</v>
      </c>
      <c r="V703" t="s">
        <v>162</v>
      </c>
    </row>
    <row r="704" spans="9:22" x14ac:dyDescent="0.45">
      <c r="I704" t="s">
        <v>247</v>
      </c>
      <c r="J704" t="s">
        <v>161</v>
      </c>
      <c r="K704">
        <v>0.85369191564033919</v>
      </c>
      <c r="L704" t="s">
        <v>162</v>
      </c>
      <c r="N704" t="s">
        <v>359</v>
      </c>
      <c r="O704" t="s">
        <v>161</v>
      </c>
      <c r="P704">
        <v>0.55615063379019603</v>
      </c>
      <c r="Q704" t="s">
        <v>162</v>
      </c>
      <c r="S704" t="s">
        <v>471</v>
      </c>
      <c r="T704" t="s">
        <v>161</v>
      </c>
      <c r="U704">
        <v>0.55840146277479741</v>
      </c>
      <c r="V704" t="s">
        <v>162</v>
      </c>
    </row>
    <row r="705" spans="9:22" x14ac:dyDescent="0.45">
      <c r="I705" t="s">
        <v>247</v>
      </c>
      <c r="J705" t="s">
        <v>163</v>
      </c>
      <c r="K705">
        <v>4.0460826985172622E-2</v>
      </c>
      <c r="L705" t="s">
        <v>162</v>
      </c>
      <c r="N705" t="s">
        <v>359</v>
      </c>
      <c r="O705" t="s">
        <v>163</v>
      </c>
      <c r="P705">
        <v>3.1206753222959682E-2</v>
      </c>
      <c r="Q705" t="s">
        <v>162</v>
      </c>
      <c r="S705" t="s">
        <v>471</v>
      </c>
      <c r="T705" t="s">
        <v>163</v>
      </c>
      <c r="U705">
        <v>3.3782229107237195E-2</v>
      </c>
      <c r="V705" t="s">
        <v>162</v>
      </c>
    </row>
    <row r="706" spans="9:22" x14ac:dyDescent="0.45">
      <c r="I706" t="s">
        <v>247</v>
      </c>
      <c r="J706" t="s">
        <v>164</v>
      </c>
      <c r="K706">
        <v>3.2818887762616419E-2</v>
      </c>
      <c r="L706" t="s">
        <v>162</v>
      </c>
      <c r="N706" t="s">
        <v>359</v>
      </c>
      <c r="O706" t="s">
        <v>164</v>
      </c>
      <c r="P706">
        <v>0.21428621259843247</v>
      </c>
      <c r="Q706" t="s">
        <v>162</v>
      </c>
      <c r="S706" t="s">
        <v>471</v>
      </c>
      <c r="T706" t="s">
        <v>164</v>
      </c>
      <c r="U706">
        <v>0.20257800208380183</v>
      </c>
      <c r="V706" t="s">
        <v>162</v>
      </c>
    </row>
    <row r="707" spans="9:22" x14ac:dyDescent="0.45">
      <c r="I707" t="s">
        <v>247</v>
      </c>
      <c r="J707" t="s">
        <v>165</v>
      </c>
      <c r="K707">
        <v>3.007458363882607E-2</v>
      </c>
      <c r="L707" t="s">
        <v>162</v>
      </c>
      <c r="N707" t="s">
        <v>359</v>
      </c>
      <c r="O707" t="s">
        <v>165</v>
      </c>
      <c r="P707">
        <v>7.5708723361664329E-2</v>
      </c>
      <c r="Q707" t="s">
        <v>162</v>
      </c>
      <c r="S707" t="s">
        <v>471</v>
      </c>
      <c r="T707" t="s">
        <v>165</v>
      </c>
      <c r="U707">
        <v>7.3536872926350721E-2</v>
      </c>
      <c r="V707" t="s">
        <v>162</v>
      </c>
    </row>
    <row r="708" spans="9:22" x14ac:dyDescent="0.45">
      <c r="I708" t="s">
        <v>247</v>
      </c>
      <c r="J708" t="s">
        <v>166</v>
      </c>
      <c r="K708">
        <v>0</v>
      </c>
      <c r="L708" t="s">
        <v>162</v>
      </c>
      <c r="N708" t="s">
        <v>359</v>
      </c>
      <c r="O708" t="s">
        <v>166</v>
      </c>
      <c r="P708">
        <v>4.1103233799874017E-3</v>
      </c>
      <c r="Q708" t="s">
        <v>162</v>
      </c>
      <c r="S708" t="s">
        <v>471</v>
      </c>
      <c r="T708" t="s">
        <v>166</v>
      </c>
      <c r="U708">
        <v>4.43679489662581E-3</v>
      </c>
      <c r="V708" t="s">
        <v>162</v>
      </c>
    </row>
    <row r="709" spans="9:22" x14ac:dyDescent="0.45">
      <c r="I709" t="s">
        <v>247</v>
      </c>
      <c r="J709" t="s">
        <v>167</v>
      </c>
      <c r="K709">
        <v>0</v>
      </c>
      <c r="L709" t="s">
        <v>162</v>
      </c>
      <c r="N709" t="s">
        <v>359</v>
      </c>
      <c r="O709" t="s">
        <v>167</v>
      </c>
      <c r="P709">
        <v>2.4776155686457503E-2</v>
      </c>
      <c r="Q709" t="s">
        <v>162</v>
      </c>
      <c r="S709" t="s">
        <v>471</v>
      </c>
      <c r="T709" t="s">
        <v>167</v>
      </c>
      <c r="U709">
        <v>2.6621310592254796E-2</v>
      </c>
      <c r="V709" t="s">
        <v>162</v>
      </c>
    </row>
    <row r="710" spans="9:22" x14ac:dyDescent="0.45">
      <c r="I710" t="s">
        <v>247</v>
      </c>
      <c r="J710" t="s">
        <v>168</v>
      </c>
      <c r="K710">
        <v>4.2953785973043813E-2</v>
      </c>
      <c r="L710" t="s">
        <v>162</v>
      </c>
      <c r="N710" t="s">
        <v>359</v>
      </c>
      <c r="O710" t="s">
        <v>168</v>
      </c>
      <c r="P710">
        <v>6.4498628435110214E-2</v>
      </c>
      <c r="Q710" t="s">
        <v>162</v>
      </c>
      <c r="S710" t="s">
        <v>471</v>
      </c>
      <c r="T710" t="s">
        <v>168</v>
      </c>
      <c r="U710">
        <v>7.2149692692378059E-2</v>
      </c>
      <c r="V710" t="s">
        <v>162</v>
      </c>
    </row>
    <row r="711" spans="9:22" x14ac:dyDescent="0.45">
      <c r="I711" t="s">
        <v>247</v>
      </c>
      <c r="J711" t="s">
        <v>169</v>
      </c>
      <c r="K711">
        <v>0</v>
      </c>
      <c r="L711" t="s">
        <v>162</v>
      </c>
      <c r="N711" t="s">
        <v>359</v>
      </c>
      <c r="O711" t="s">
        <v>169</v>
      </c>
      <c r="P711">
        <v>3.8953506559976131E-3</v>
      </c>
      <c r="Q711" t="s">
        <v>162</v>
      </c>
      <c r="S711" t="s">
        <v>471</v>
      </c>
      <c r="T711" t="s">
        <v>169</v>
      </c>
      <c r="U711">
        <v>4.1949850627409756E-3</v>
      </c>
      <c r="V711" t="s">
        <v>162</v>
      </c>
    </row>
    <row r="712" spans="9:22" x14ac:dyDescent="0.45">
      <c r="I712" t="s">
        <v>247</v>
      </c>
      <c r="J712" t="s">
        <v>170</v>
      </c>
      <c r="K712">
        <v>0</v>
      </c>
      <c r="L712" t="s">
        <v>162</v>
      </c>
      <c r="N712" t="s">
        <v>359</v>
      </c>
      <c r="O712" t="s">
        <v>170</v>
      </c>
      <c r="P712">
        <v>2.5367218869192604E-2</v>
      </c>
      <c r="Q712" t="s">
        <v>162</v>
      </c>
      <c r="S712" t="s">
        <v>471</v>
      </c>
      <c r="T712" t="s">
        <v>170</v>
      </c>
      <c r="U712">
        <v>2.4298649863821395E-2</v>
      </c>
      <c r="V712" t="s">
        <v>162</v>
      </c>
    </row>
    <row r="713" spans="9:22" x14ac:dyDescent="0.45">
      <c r="I713" t="s">
        <v>248</v>
      </c>
      <c r="J713" t="s">
        <v>161</v>
      </c>
      <c r="K713">
        <v>0.82893166467785562</v>
      </c>
      <c r="L713" t="s">
        <v>162</v>
      </c>
      <c r="N713" t="s">
        <v>360</v>
      </c>
      <c r="O713" t="s">
        <v>161</v>
      </c>
      <c r="P713">
        <v>0.54977536042881914</v>
      </c>
      <c r="Q713" t="s">
        <v>162</v>
      </c>
      <c r="S713" t="s">
        <v>472</v>
      </c>
      <c r="T713" t="s">
        <v>161</v>
      </c>
      <c r="U713">
        <v>0.55815497728040209</v>
      </c>
      <c r="V713" t="s">
        <v>162</v>
      </c>
    </row>
    <row r="714" spans="9:22" x14ac:dyDescent="0.45">
      <c r="I714" t="s">
        <v>248</v>
      </c>
      <c r="J714" t="s">
        <v>163</v>
      </c>
      <c r="K714">
        <v>4.9472051927027923E-2</v>
      </c>
      <c r="L714" t="s">
        <v>162</v>
      </c>
      <c r="N714" t="s">
        <v>360</v>
      </c>
      <c r="O714" t="s">
        <v>163</v>
      </c>
      <c r="P714">
        <v>3.196866134830402E-2</v>
      </c>
      <c r="Q714" t="s">
        <v>162</v>
      </c>
      <c r="S714" t="s">
        <v>472</v>
      </c>
      <c r="T714" t="s">
        <v>163</v>
      </c>
      <c r="U714">
        <v>2.9808922317827908E-2</v>
      </c>
      <c r="V714" t="s">
        <v>162</v>
      </c>
    </row>
    <row r="715" spans="9:22" x14ac:dyDescent="0.45">
      <c r="I715" t="s">
        <v>248</v>
      </c>
      <c r="J715" t="s">
        <v>164</v>
      </c>
      <c r="K715">
        <v>4.5337954293431404E-2</v>
      </c>
      <c r="L715" t="s">
        <v>162</v>
      </c>
      <c r="N715" t="s">
        <v>360</v>
      </c>
      <c r="O715" t="s">
        <v>164</v>
      </c>
      <c r="P715">
        <v>0.22295982829249097</v>
      </c>
      <c r="Q715" t="s">
        <v>162</v>
      </c>
      <c r="S715" t="s">
        <v>472</v>
      </c>
      <c r="T715" t="s">
        <v>164</v>
      </c>
      <c r="U715">
        <v>0.1889659375296259</v>
      </c>
      <c r="V715" t="s">
        <v>162</v>
      </c>
    </row>
    <row r="716" spans="9:22" x14ac:dyDescent="0.45">
      <c r="I716" t="s">
        <v>248</v>
      </c>
      <c r="J716" t="s">
        <v>165</v>
      </c>
      <c r="K716">
        <v>3.2982974844116081E-2</v>
      </c>
      <c r="L716" t="s">
        <v>162</v>
      </c>
      <c r="N716" t="s">
        <v>360</v>
      </c>
      <c r="O716" t="s">
        <v>165</v>
      </c>
      <c r="P716">
        <v>7.7093970239512047E-2</v>
      </c>
      <c r="Q716" t="s">
        <v>162</v>
      </c>
      <c r="S716" t="s">
        <v>472</v>
      </c>
      <c r="T716" t="s">
        <v>165</v>
      </c>
      <c r="U716">
        <v>7.3726053406945491E-2</v>
      </c>
      <c r="V716" t="s">
        <v>162</v>
      </c>
    </row>
    <row r="717" spans="9:22" x14ac:dyDescent="0.45">
      <c r="I717" t="s">
        <v>248</v>
      </c>
      <c r="J717" t="s">
        <v>166</v>
      </c>
      <c r="K717">
        <v>0</v>
      </c>
      <c r="L717" t="s">
        <v>162</v>
      </c>
      <c r="N717" t="s">
        <v>360</v>
      </c>
      <c r="O717" t="s">
        <v>166</v>
      </c>
      <c r="P717">
        <v>4.7087777672634081E-3</v>
      </c>
      <c r="Q717" t="s">
        <v>162</v>
      </c>
      <c r="S717" t="s">
        <v>472</v>
      </c>
      <c r="T717" t="s">
        <v>166</v>
      </c>
      <c r="U717">
        <v>4.386593335656907E-3</v>
      </c>
      <c r="V717" t="s">
        <v>162</v>
      </c>
    </row>
    <row r="718" spans="9:22" x14ac:dyDescent="0.45">
      <c r="I718" t="s">
        <v>248</v>
      </c>
      <c r="J718" t="s">
        <v>167</v>
      </c>
      <c r="K718">
        <v>0</v>
      </c>
      <c r="L718" t="s">
        <v>162</v>
      </c>
      <c r="N718" t="s">
        <v>360</v>
      </c>
      <c r="O718" t="s">
        <v>167</v>
      </c>
      <c r="P718">
        <v>2.657499277282007E-2</v>
      </c>
      <c r="Q718" t="s">
        <v>162</v>
      </c>
      <c r="S718" t="s">
        <v>472</v>
      </c>
      <c r="T718" t="s">
        <v>167</v>
      </c>
      <c r="U718">
        <v>2.7689437049302386E-2</v>
      </c>
      <c r="V718" t="s">
        <v>162</v>
      </c>
    </row>
    <row r="719" spans="9:22" x14ac:dyDescent="0.45">
      <c r="I719" t="s">
        <v>248</v>
      </c>
      <c r="J719" t="s">
        <v>168</v>
      </c>
      <c r="K719">
        <v>4.3275354257566477E-2</v>
      </c>
      <c r="L719" t="s">
        <v>162</v>
      </c>
      <c r="N719" t="s">
        <v>360</v>
      </c>
      <c r="O719" t="s">
        <v>168</v>
      </c>
      <c r="P719">
        <v>6.0481871666012446E-2</v>
      </c>
      <c r="Q719" t="s">
        <v>162</v>
      </c>
      <c r="S719" t="s">
        <v>472</v>
      </c>
      <c r="T719" t="s">
        <v>168</v>
      </c>
      <c r="U719">
        <v>8.4425892510489514E-2</v>
      </c>
      <c r="V719" t="s">
        <v>162</v>
      </c>
    </row>
    <row r="720" spans="9:22" x14ac:dyDescent="0.45">
      <c r="I720" t="s">
        <v>248</v>
      </c>
      <c r="J720" t="s">
        <v>169</v>
      </c>
      <c r="K720">
        <v>0</v>
      </c>
      <c r="L720" t="s">
        <v>162</v>
      </c>
      <c r="N720" t="s">
        <v>360</v>
      </c>
      <c r="O720" t="s">
        <v>169</v>
      </c>
      <c r="P720">
        <v>3.7303748669472634E-3</v>
      </c>
      <c r="Q720" t="s">
        <v>162</v>
      </c>
      <c r="S720" t="s">
        <v>472</v>
      </c>
      <c r="T720" t="s">
        <v>169</v>
      </c>
      <c r="U720">
        <v>4.7627833565181939E-3</v>
      </c>
      <c r="V720" t="s">
        <v>162</v>
      </c>
    </row>
    <row r="721" spans="9:22" x14ac:dyDescent="0.45">
      <c r="I721" t="s">
        <v>248</v>
      </c>
      <c r="J721" t="s">
        <v>170</v>
      </c>
      <c r="K721">
        <v>0</v>
      </c>
      <c r="L721" t="s">
        <v>162</v>
      </c>
      <c r="N721" t="s">
        <v>360</v>
      </c>
      <c r="O721" t="s">
        <v>170</v>
      </c>
      <c r="P721">
        <v>2.2706162617827676E-2</v>
      </c>
      <c r="Q721" t="s">
        <v>162</v>
      </c>
      <c r="S721" t="s">
        <v>472</v>
      </c>
      <c r="T721" t="s">
        <v>170</v>
      </c>
      <c r="U721">
        <v>2.8079403213231702E-2</v>
      </c>
      <c r="V721" t="s">
        <v>162</v>
      </c>
    </row>
    <row r="722" spans="9:22" x14ac:dyDescent="0.45">
      <c r="I722" t="s">
        <v>249</v>
      </c>
      <c r="J722" t="s">
        <v>161</v>
      </c>
      <c r="K722">
        <v>0.8433232693944287</v>
      </c>
      <c r="L722" t="s">
        <v>162</v>
      </c>
      <c r="N722" t="s">
        <v>361</v>
      </c>
      <c r="O722" t="s">
        <v>161</v>
      </c>
      <c r="P722">
        <v>0.55496677536398831</v>
      </c>
      <c r="Q722" t="s">
        <v>162</v>
      </c>
      <c r="S722" t="s">
        <v>473</v>
      </c>
      <c r="T722" t="s">
        <v>161</v>
      </c>
      <c r="U722">
        <v>0.56128324100044558</v>
      </c>
      <c r="V722" t="s">
        <v>162</v>
      </c>
    </row>
    <row r="723" spans="9:22" x14ac:dyDescent="0.45">
      <c r="I723" t="s">
        <v>249</v>
      </c>
      <c r="J723" t="s">
        <v>163</v>
      </c>
      <c r="K723">
        <v>4.4212235880747339E-2</v>
      </c>
      <c r="L723" t="s">
        <v>162</v>
      </c>
      <c r="N723" t="s">
        <v>361</v>
      </c>
      <c r="O723" t="s">
        <v>163</v>
      </c>
      <c r="P723">
        <v>3.2227906348621049E-2</v>
      </c>
      <c r="Q723" t="s">
        <v>162</v>
      </c>
      <c r="S723" t="s">
        <v>473</v>
      </c>
      <c r="T723" t="s">
        <v>163</v>
      </c>
      <c r="U723">
        <v>3.3865788047810416E-2</v>
      </c>
      <c r="V723" t="s">
        <v>162</v>
      </c>
    </row>
    <row r="724" spans="9:22" x14ac:dyDescent="0.45">
      <c r="I724" t="s">
        <v>249</v>
      </c>
      <c r="J724" t="s">
        <v>164</v>
      </c>
      <c r="K724">
        <v>4.1079213501487639E-2</v>
      </c>
      <c r="L724" t="s">
        <v>162</v>
      </c>
      <c r="N724" t="s">
        <v>361</v>
      </c>
      <c r="O724" t="s">
        <v>164</v>
      </c>
      <c r="P724">
        <v>0.22006726230925827</v>
      </c>
      <c r="Q724" t="s">
        <v>162</v>
      </c>
      <c r="S724" t="s">
        <v>473</v>
      </c>
      <c r="T724" t="s">
        <v>164</v>
      </c>
      <c r="U724">
        <v>0.19898406570787369</v>
      </c>
      <c r="V724" t="s">
        <v>162</v>
      </c>
    </row>
    <row r="725" spans="9:22" x14ac:dyDescent="0.45">
      <c r="I725" t="s">
        <v>249</v>
      </c>
      <c r="J725" t="s">
        <v>165</v>
      </c>
      <c r="K725">
        <v>3.1583717205415911E-2</v>
      </c>
      <c r="L725" t="s">
        <v>162</v>
      </c>
      <c r="N725" t="s">
        <v>361</v>
      </c>
      <c r="O725" t="s">
        <v>165</v>
      </c>
      <c r="P725">
        <v>7.3573437813438558E-2</v>
      </c>
      <c r="Q725" t="s">
        <v>162</v>
      </c>
      <c r="S725" t="s">
        <v>473</v>
      </c>
      <c r="T725" t="s">
        <v>165</v>
      </c>
      <c r="U725">
        <v>6.4114959654271969E-2</v>
      </c>
      <c r="V725" t="s">
        <v>162</v>
      </c>
    </row>
    <row r="726" spans="9:22" x14ac:dyDescent="0.45">
      <c r="I726" t="s">
        <v>249</v>
      </c>
      <c r="J726" t="s">
        <v>166</v>
      </c>
      <c r="K726">
        <v>0</v>
      </c>
      <c r="L726" t="s">
        <v>162</v>
      </c>
      <c r="N726" t="s">
        <v>361</v>
      </c>
      <c r="O726" t="s">
        <v>166</v>
      </c>
      <c r="P726">
        <v>4.0395764103332132E-3</v>
      </c>
      <c r="Q726" t="s">
        <v>162</v>
      </c>
      <c r="S726" t="s">
        <v>473</v>
      </c>
      <c r="T726" t="s">
        <v>166</v>
      </c>
      <c r="U726">
        <v>3.8172754736913537E-3</v>
      </c>
      <c r="V726" t="s">
        <v>162</v>
      </c>
    </row>
    <row r="727" spans="9:22" x14ac:dyDescent="0.45">
      <c r="I727" t="s">
        <v>249</v>
      </c>
      <c r="J727" t="s">
        <v>167</v>
      </c>
      <c r="K727">
        <v>0</v>
      </c>
      <c r="L727" t="s">
        <v>162</v>
      </c>
      <c r="N727" t="s">
        <v>361</v>
      </c>
      <c r="O727" t="s">
        <v>167</v>
      </c>
      <c r="P727">
        <v>2.485318450267621E-2</v>
      </c>
      <c r="Q727" t="s">
        <v>162</v>
      </c>
      <c r="S727" t="s">
        <v>473</v>
      </c>
      <c r="T727" t="s">
        <v>167</v>
      </c>
      <c r="U727">
        <v>2.3084588459021057E-2</v>
      </c>
      <c r="V727" t="s">
        <v>162</v>
      </c>
    </row>
    <row r="728" spans="9:22" x14ac:dyDescent="0.45">
      <c r="I728" t="s">
        <v>249</v>
      </c>
      <c r="J728" t="s">
        <v>168</v>
      </c>
      <c r="K728">
        <v>3.9801564017922106E-2</v>
      </c>
      <c r="L728" t="s">
        <v>162</v>
      </c>
      <c r="N728" t="s">
        <v>361</v>
      </c>
      <c r="O728" t="s">
        <v>168</v>
      </c>
      <c r="P728">
        <v>6.1124316576499596E-2</v>
      </c>
      <c r="Q728" t="s">
        <v>162</v>
      </c>
      <c r="S728" t="s">
        <v>473</v>
      </c>
      <c r="T728" t="s">
        <v>168</v>
      </c>
      <c r="U728">
        <v>8.0670251146535921E-2</v>
      </c>
      <c r="V728" t="s">
        <v>162</v>
      </c>
    </row>
    <row r="729" spans="9:22" x14ac:dyDescent="0.45">
      <c r="I729" t="s">
        <v>249</v>
      </c>
      <c r="J729" t="s">
        <v>169</v>
      </c>
      <c r="K729">
        <v>0</v>
      </c>
      <c r="L729" t="s">
        <v>162</v>
      </c>
      <c r="N729" t="s">
        <v>361</v>
      </c>
      <c r="O729" t="s">
        <v>169</v>
      </c>
      <c r="P729">
        <v>3.8248218867230682E-3</v>
      </c>
      <c r="Q729" t="s">
        <v>162</v>
      </c>
      <c r="S729" t="s">
        <v>473</v>
      </c>
      <c r="T729" t="s">
        <v>169</v>
      </c>
      <c r="U729">
        <v>4.8757522191356008E-3</v>
      </c>
      <c r="V729" t="s">
        <v>162</v>
      </c>
    </row>
    <row r="730" spans="9:22" x14ac:dyDescent="0.45">
      <c r="I730" t="s">
        <v>249</v>
      </c>
      <c r="J730" t="s">
        <v>170</v>
      </c>
      <c r="K730">
        <v>0</v>
      </c>
      <c r="L730" t="s">
        <v>162</v>
      </c>
      <c r="N730" t="s">
        <v>361</v>
      </c>
      <c r="O730" t="s">
        <v>170</v>
      </c>
      <c r="P730">
        <v>2.5322718788460329E-2</v>
      </c>
      <c r="Q730" t="s">
        <v>162</v>
      </c>
      <c r="S730" t="s">
        <v>473</v>
      </c>
      <c r="T730" t="s">
        <v>170</v>
      </c>
      <c r="U730">
        <v>2.9304078291207191E-2</v>
      </c>
      <c r="V730" t="s">
        <v>162</v>
      </c>
    </row>
    <row r="731" spans="9:22" x14ac:dyDescent="0.45">
      <c r="I731" t="s">
        <v>250</v>
      </c>
      <c r="J731" t="s">
        <v>161</v>
      </c>
      <c r="K731">
        <v>0.86390044351767448</v>
      </c>
      <c r="L731" t="s">
        <v>162</v>
      </c>
      <c r="N731" t="s">
        <v>362</v>
      </c>
      <c r="O731" t="s">
        <v>161</v>
      </c>
      <c r="P731">
        <v>0.54782059955668316</v>
      </c>
      <c r="Q731" t="s">
        <v>162</v>
      </c>
      <c r="S731" t="s">
        <v>474</v>
      </c>
      <c r="T731" t="s">
        <v>161</v>
      </c>
      <c r="U731">
        <v>0.57642650071978407</v>
      </c>
      <c r="V731" t="s">
        <v>162</v>
      </c>
    </row>
    <row r="732" spans="9:22" x14ac:dyDescent="0.45">
      <c r="I732" t="s">
        <v>250</v>
      </c>
      <c r="J732" t="s">
        <v>163</v>
      </c>
      <c r="K732">
        <v>4.4158476854751494E-2</v>
      </c>
      <c r="L732" t="s">
        <v>162</v>
      </c>
      <c r="N732" t="s">
        <v>362</v>
      </c>
      <c r="O732" t="s">
        <v>163</v>
      </c>
      <c r="P732">
        <v>3.2865027414029434E-2</v>
      </c>
      <c r="Q732" t="s">
        <v>162</v>
      </c>
      <c r="S732" t="s">
        <v>474</v>
      </c>
      <c r="T732" t="s">
        <v>163</v>
      </c>
      <c r="U732">
        <v>3.2657601054030531E-2</v>
      </c>
      <c r="V732" t="s">
        <v>162</v>
      </c>
    </row>
    <row r="733" spans="9:22" x14ac:dyDescent="0.45">
      <c r="I733" t="s">
        <v>250</v>
      </c>
      <c r="J733" t="s">
        <v>164</v>
      </c>
      <c r="K733">
        <v>4.1276772367049762E-2</v>
      </c>
      <c r="L733" t="s">
        <v>162</v>
      </c>
      <c r="N733" t="s">
        <v>362</v>
      </c>
      <c r="O733" t="s">
        <v>164</v>
      </c>
      <c r="P733">
        <v>0.22177774816266313</v>
      </c>
      <c r="Q733" t="s">
        <v>162</v>
      </c>
      <c r="S733" t="s">
        <v>474</v>
      </c>
      <c r="T733" t="s">
        <v>164</v>
      </c>
      <c r="U733">
        <v>0.2008755835055302</v>
      </c>
      <c r="V733" t="s">
        <v>162</v>
      </c>
    </row>
    <row r="734" spans="9:22" x14ac:dyDescent="0.45">
      <c r="I734" t="s">
        <v>250</v>
      </c>
      <c r="J734" t="s">
        <v>165</v>
      </c>
      <c r="K734">
        <v>2.6298069950737621E-2</v>
      </c>
      <c r="L734" t="s">
        <v>162</v>
      </c>
      <c r="N734" t="s">
        <v>362</v>
      </c>
      <c r="O734" t="s">
        <v>165</v>
      </c>
      <c r="P734">
        <v>7.1286781788554299E-2</v>
      </c>
      <c r="Q734" t="s">
        <v>162</v>
      </c>
      <c r="S734" t="s">
        <v>474</v>
      </c>
      <c r="T734" t="s">
        <v>165</v>
      </c>
      <c r="U734">
        <v>6.5027049725037242E-2</v>
      </c>
      <c r="V734" t="s">
        <v>162</v>
      </c>
    </row>
    <row r="735" spans="9:22" x14ac:dyDescent="0.45">
      <c r="I735" t="s">
        <v>250</v>
      </c>
      <c r="J735" t="s">
        <v>166</v>
      </c>
      <c r="K735">
        <v>0</v>
      </c>
      <c r="L735" t="s">
        <v>162</v>
      </c>
      <c r="N735" t="s">
        <v>362</v>
      </c>
      <c r="O735" t="s">
        <v>166</v>
      </c>
      <c r="P735">
        <v>4.0644524922981151E-3</v>
      </c>
      <c r="Q735" t="s">
        <v>162</v>
      </c>
      <c r="S735" t="s">
        <v>474</v>
      </c>
      <c r="T735" t="s">
        <v>166</v>
      </c>
      <c r="U735">
        <v>3.5866956490859412E-3</v>
      </c>
      <c r="V735" t="s">
        <v>162</v>
      </c>
    </row>
    <row r="736" spans="9:22" x14ac:dyDescent="0.45">
      <c r="I736" t="s">
        <v>250</v>
      </c>
      <c r="J736" t="s">
        <v>167</v>
      </c>
      <c r="K736">
        <v>0</v>
      </c>
      <c r="L736" t="s">
        <v>162</v>
      </c>
      <c r="N736" t="s">
        <v>362</v>
      </c>
      <c r="O736" t="s">
        <v>167</v>
      </c>
      <c r="P736">
        <v>2.5971251579507797E-2</v>
      </c>
      <c r="Q736" t="s">
        <v>162</v>
      </c>
      <c r="S736" t="s">
        <v>474</v>
      </c>
      <c r="T736" t="s">
        <v>167</v>
      </c>
      <c r="U736">
        <v>2.3036479910990115E-2</v>
      </c>
      <c r="V736" t="s">
        <v>162</v>
      </c>
    </row>
    <row r="737" spans="9:22" x14ac:dyDescent="0.45">
      <c r="I737" t="s">
        <v>250</v>
      </c>
      <c r="J737" t="s">
        <v>168</v>
      </c>
      <c r="K737">
        <v>2.4366237309785488E-2</v>
      </c>
      <c r="L737" t="s">
        <v>162</v>
      </c>
      <c r="N737" t="s">
        <v>362</v>
      </c>
      <c r="O737" t="s">
        <v>168</v>
      </c>
      <c r="P737">
        <v>6.4348951675162927E-2</v>
      </c>
      <c r="Q737" t="s">
        <v>162</v>
      </c>
      <c r="S737" t="s">
        <v>474</v>
      </c>
      <c r="T737" t="s">
        <v>168</v>
      </c>
      <c r="U737">
        <v>7.0140504340459181E-2</v>
      </c>
      <c r="V737" t="s">
        <v>162</v>
      </c>
    </row>
    <row r="738" spans="9:22" x14ac:dyDescent="0.45">
      <c r="I738" t="s">
        <v>250</v>
      </c>
      <c r="J738" t="s">
        <v>169</v>
      </c>
      <c r="K738">
        <v>0</v>
      </c>
      <c r="L738" t="s">
        <v>162</v>
      </c>
      <c r="N738" t="s">
        <v>362</v>
      </c>
      <c r="O738" t="s">
        <v>169</v>
      </c>
      <c r="P738">
        <v>4.2659319529521501E-3</v>
      </c>
      <c r="Q738" t="s">
        <v>162</v>
      </c>
      <c r="S738" t="s">
        <v>474</v>
      </c>
      <c r="T738" t="s">
        <v>169</v>
      </c>
      <c r="U738">
        <v>4.146475147340508E-3</v>
      </c>
      <c r="V738" t="s">
        <v>162</v>
      </c>
    </row>
    <row r="739" spans="9:22" x14ac:dyDescent="0.45">
      <c r="I739" t="s">
        <v>250</v>
      </c>
      <c r="J739" t="s">
        <v>170</v>
      </c>
      <c r="K739">
        <v>0</v>
      </c>
      <c r="L739" t="s">
        <v>162</v>
      </c>
      <c r="N739" t="s">
        <v>362</v>
      </c>
      <c r="O739" t="s">
        <v>170</v>
      </c>
      <c r="P739">
        <v>2.7599255378150458E-2</v>
      </c>
      <c r="Q739" t="s">
        <v>162</v>
      </c>
      <c r="S739" t="s">
        <v>474</v>
      </c>
      <c r="T739" t="s">
        <v>170</v>
      </c>
      <c r="U739">
        <v>2.4103109947743166E-2</v>
      </c>
      <c r="V739" t="s">
        <v>162</v>
      </c>
    </row>
    <row r="740" spans="9:22" x14ac:dyDescent="0.45">
      <c r="I740" t="s">
        <v>251</v>
      </c>
      <c r="J740" t="s">
        <v>161</v>
      </c>
      <c r="K740">
        <v>0.8597558259501501</v>
      </c>
      <c r="L740" t="s">
        <v>162</v>
      </c>
      <c r="N740" t="s">
        <v>363</v>
      </c>
      <c r="O740" t="s">
        <v>161</v>
      </c>
      <c r="P740">
        <v>0.55164943125506383</v>
      </c>
      <c r="Q740" t="s">
        <v>162</v>
      </c>
      <c r="S740" t="s">
        <v>475</v>
      </c>
      <c r="T740" t="s">
        <v>161</v>
      </c>
      <c r="U740">
        <v>0.56777075083056827</v>
      </c>
      <c r="V740" t="s">
        <v>162</v>
      </c>
    </row>
    <row r="741" spans="9:22" x14ac:dyDescent="0.45">
      <c r="I741" t="s">
        <v>251</v>
      </c>
      <c r="J741" t="s">
        <v>163</v>
      </c>
      <c r="K741">
        <v>4.3192198936148243E-2</v>
      </c>
      <c r="L741" t="s">
        <v>162</v>
      </c>
      <c r="N741" t="s">
        <v>363</v>
      </c>
      <c r="O741" t="s">
        <v>163</v>
      </c>
      <c r="P741">
        <v>3.222995712063878E-2</v>
      </c>
      <c r="Q741" t="s">
        <v>162</v>
      </c>
      <c r="S741" t="s">
        <v>475</v>
      </c>
      <c r="T741" t="s">
        <v>163</v>
      </c>
      <c r="U741">
        <v>3.3274369593957083E-2</v>
      </c>
      <c r="V741" t="s">
        <v>162</v>
      </c>
    </row>
    <row r="742" spans="9:22" x14ac:dyDescent="0.45">
      <c r="I742" t="s">
        <v>251</v>
      </c>
      <c r="J742" t="s">
        <v>164</v>
      </c>
      <c r="K742">
        <v>3.6281576603574034E-2</v>
      </c>
      <c r="L742" t="s">
        <v>162</v>
      </c>
      <c r="N742" t="s">
        <v>363</v>
      </c>
      <c r="O742" t="s">
        <v>164</v>
      </c>
      <c r="P742">
        <v>0.22183918093366492</v>
      </c>
      <c r="Q742" t="s">
        <v>162</v>
      </c>
      <c r="S742" t="s">
        <v>475</v>
      </c>
      <c r="T742" t="s">
        <v>164</v>
      </c>
      <c r="U742">
        <v>0.20241146078108538</v>
      </c>
      <c r="V742" t="s">
        <v>162</v>
      </c>
    </row>
    <row r="743" spans="9:22" x14ac:dyDescent="0.45">
      <c r="I743" t="s">
        <v>251</v>
      </c>
      <c r="J743" t="s">
        <v>165</v>
      </c>
      <c r="K743">
        <v>2.787252542793054E-2</v>
      </c>
      <c r="L743" t="s">
        <v>162</v>
      </c>
      <c r="N743" t="s">
        <v>363</v>
      </c>
      <c r="O743" t="s">
        <v>165</v>
      </c>
      <c r="P743">
        <v>7.0114281659939409E-2</v>
      </c>
      <c r="Q743" t="s">
        <v>162</v>
      </c>
      <c r="S743" t="s">
        <v>475</v>
      </c>
      <c r="T743" t="s">
        <v>165</v>
      </c>
      <c r="U743">
        <v>6.2979258352038506E-2</v>
      </c>
      <c r="V743" t="s">
        <v>162</v>
      </c>
    </row>
    <row r="744" spans="9:22" x14ac:dyDescent="0.45">
      <c r="I744" t="s">
        <v>251</v>
      </c>
      <c r="J744" t="s">
        <v>166</v>
      </c>
      <c r="K744">
        <v>0</v>
      </c>
      <c r="L744" t="s">
        <v>162</v>
      </c>
      <c r="N744" t="s">
        <v>363</v>
      </c>
      <c r="O744" t="s">
        <v>166</v>
      </c>
      <c r="P744">
        <v>4.340361446175162E-3</v>
      </c>
      <c r="Q744" t="s">
        <v>162</v>
      </c>
      <c r="S744" t="s">
        <v>475</v>
      </c>
      <c r="T744" t="s">
        <v>166</v>
      </c>
      <c r="U744">
        <v>3.6775879350635153E-3</v>
      </c>
      <c r="V744" t="s">
        <v>162</v>
      </c>
    </row>
    <row r="745" spans="9:22" x14ac:dyDescent="0.45">
      <c r="I745" t="s">
        <v>251</v>
      </c>
      <c r="J745" t="s">
        <v>167</v>
      </c>
      <c r="K745">
        <v>0</v>
      </c>
      <c r="L745" t="s">
        <v>162</v>
      </c>
      <c r="N745" t="s">
        <v>363</v>
      </c>
      <c r="O745" t="s">
        <v>167</v>
      </c>
      <c r="P745">
        <v>2.7332411049693525E-2</v>
      </c>
      <c r="Q745" t="s">
        <v>162</v>
      </c>
      <c r="S745" t="s">
        <v>475</v>
      </c>
      <c r="T745" t="s">
        <v>167</v>
      </c>
      <c r="U745">
        <v>2.1824893054560483E-2</v>
      </c>
      <c r="V745" t="s">
        <v>162</v>
      </c>
    </row>
    <row r="746" spans="9:22" x14ac:dyDescent="0.45">
      <c r="I746" t="s">
        <v>251</v>
      </c>
      <c r="J746" t="s">
        <v>168</v>
      </c>
      <c r="K746">
        <v>3.289787308219709E-2</v>
      </c>
      <c r="L746" t="s">
        <v>162</v>
      </c>
      <c r="N746" t="s">
        <v>363</v>
      </c>
      <c r="O746" t="s">
        <v>168</v>
      </c>
      <c r="P746">
        <v>6.1740314729208011E-2</v>
      </c>
      <c r="Q746" t="s">
        <v>162</v>
      </c>
      <c r="S746" t="s">
        <v>475</v>
      </c>
      <c r="T746" t="s">
        <v>168</v>
      </c>
      <c r="U746">
        <v>7.6384886157512294E-2</v>
      </c>
      <c r="V746" t="s">
        <v>162</v>
      </c>
    </row>
    <row r="747" spans="9:22" x14ac:dyDescent="0.45">
      <c r="I747" t="s">
        <v>251</v>
      </c>
      <c r="J747" t="s">
        <v>169</v>
      </c>
      <c r="K747">
        <v>0</v>
      </c>
      <c r="L747" t="s">
        <v>162</v>
      </c>
      <c r="N747" t="s">
        <v>363</v>
      </c>
      <c r="O747" t="s">
        <v>169</v>
      </c>
      <c r="P747">
        <v>4.2096351095409421E-3</v>
      </c>
      <c r="Q747" t="s">
        <v>162</v>
      </c>
      <c r="S747" t="s">
        <v>475</v>
      </c>
      <c r="T747" t="s">
        <v>169</v>
      </c>
      <c r="U747">
        <v>4.6660091708207304E-3</v>
      </c>
      <c r="V747" t="s">
        <v>162</v>
      </c>
    </row>
    <row r="748" spans="9:22" x14ac:dyDescent="0.45">
      <c r="I748" t="s">
        <v>251</v>
      </c>
      <c r="J748" t="s">
        <v>170</v>
      </c>
      <c r="K748">
        <v>0</v>
      </c>
      <c r="L748" t="s">
        <v>162</v>
      </c>
      <c r="N748" t="s">
        <v>363</v>
      </c>
      <c r="O748" t="s">
        <v>170</v>
      </c>
      <c r="P748">
        <v>2.6544426696075662E-2</v>
      </c>
      <c r="Q748" t="s">
        <v>162</v>
      </c>
      <c r="S748" t="s">
        <v>475</v>
      </c>
      <c r="T748" t="s">
        <v>170</v>
      </c>
      <c r="U748">
        <v>2.7010784124394661E-2</v>
      </c>
      <c r="V748" t="s">
        <v>162</v>
      </c>
    </row>
    <row r="749" spans="9:22" x14ac:dyDescent="0.45">
      <c r="I749" t="s">
        <v>252</v>
      </c>
      <c r="J749" t="s">
        <v>161</v>
      </c>
      <c r="K749">
        <v>0.84407398044686643</v>
      </c>
      <c r="L749" t="s">
        <v>162</v>
      </c>
      <c r="N749" t="s">
        <v>364</v>
      </c>
      <c r="O749" t="s">
        <v>161</v>
      </c>
      <c r="P749">
        <v>0.55835655338015777</v>
      </c>
      <c r="Q749" t="s">
        <v>162</v>
      </c>
      <c r="S749" t="s">
        <v>476</v>
      </c>
      <c r="T749" t="s">
        <v>161</v>
      </c>
      <c r="U749">
        <v>0.55848367010428568</v>
      </c>
      <c r="V749" t="s">
        <v>162</v>
      </c>
    </row>
    <row r="750" spans="9:22" x14ac:dyDescent="0.45">
      <c r="I750" t="s">
        <v>252</v>
      </c>
      <c r="J750" t="s">
        <v>163</v>
      </c>
      <c r="K750">
        <v>4.7193894913674074E-2</v>
      </c>
      <c r="L750" t="s">
        <v>162</v>
      </c>
      <c r="N750" t="s">
        <v>364</v>
      </c>
      <c r="O750" t="s">
        <v>163</v>
      </c>
      <c r="P750">
        <v>3.3857920539048063E-2</v>
      </c>
      <c r="Q750" t="s">
        <v>162</v>
      </c>
      <c r="S750" t="s">
        <v>476</v>
      </c>
      <c r="T750" t="s">
        <v>163</v>
      </c>
      <c r="U750">
        <v>3.193059817084834E-2</v>
      </c>
      <c r="V750" t="s">
        <v>162</v>
      </c>
    </row>
    <row r="751" spans="9:22" x14ac:dyDescent="0.45">
      <c r="I751" t="s">
        <v>252</v>
      </c>
      <c r="J751" t="s">
        <v>164</v>
      </c>
      <c r="K751">
        <v>5.0435072850594551E-2</v>
      </c>
      <c r="L751" t="s">
        <v>162</v>
      </c>
      <c r="N751" t="s">
        <v>364</v>
      </c>
      <c r="O751" t="s">
        <v>164</v>
      </c>
      <c r="P751">
        <v>0.22150318855467302</v>
      </c>
      <c r="Q751" t="s">
        <v>162</v>
      </c>
      <c r="S751" t="s">
        <v>476</v>
      </c>
      <c r="T751" t="s">
        <v>164</v>
      </c>
      <c r="U751">
        <v>0.19483605976595306</v>
      </c>
      <c r="V751" t="s">
        <v>162</v>
      </c>
    </row>
    <row r="752" spans="9:22" x14ac:dyDescent="0.45">
      <c r="I752" t="s">
        <v>252</v>
      </c>
      <c r="J752" t="s">
        <v>165</v>
      </c>
      <c r="K752">
        <v>2.7352174994279155E-2</v>
      </c>
      <c r="L752" t="s">
        <v>162</v>
      </c>
      <c r="N752" t="s">
        <v>364</v>
      </c>
      <c r="O752" t="s">
        <v>165</v>
      </c>
      <c r="P752">
        <v>4.5934091401736994E-2</v>
      </c>
      <c r="Q752" t="s">
        <v>162</v>
      </c>
      <c r="S752" t="s">
        <v>476</v>
      </c>
      <c r="T752" t="s">
        <v>165</v>
      </c>
      <c r="U752">
        <v>7.6347366159487631E-2</v>
      </c>
      <c r="V752" t="s">
        <v>162</v>
      </c>
    </row>
    <row r="753" spans="9:22" x14ac:dyDescent="0.45">
      <c r="I753" t="s">
        <v>252</v>
      </c>
      <c r="J753" t="s">
        <v>166</v>
      </c>
      <c r="K753">
        <v>0</v>
      </c>
      <c r="L753" t="s">
        <v>162</v>
      </c>
      <c r="N753" t="s">
        <v>364</v>
      </c>
      <c r="O753" t="s">
        <v>166</v>
      </c>
      <c r="P753">
        <v>2.6207244728729661E-3</v>
      </c>
      <c r="Q753" t="s">
        <v>162</v>
      </c>
      <c r="S753" t="s">
        <v>476</v>
      </c>
      <c r="T753" t="s">
        <v>166</v>
      </c>
      <c r="U753">
        <v>4.394148545336928E-3</v>
      </c>
      <c r="V753" t="s">
        <v>162</v>
      </c>
    </row>
    <row r="754" spans="9:22" x14ac:dyDescent="0.45">
      <c r="I754" t="s">
        <v>252</v>
      </c>
      <c r="J754" t="s">
        <v>167</v>
      </c>
      <c r="K754">
        <v>0</v>
      </c>
      <c r="L754" t="s">
        <v>162</v>
      </c>
      <c r="N754" t="s">
        <v>364</v>
      </c>
      <c r="O754" t="s">
        <v>167</v>
      </c>
      <c r="P754">
        <v>1.6168449222049651E-2</v>
      </c>
      <c r="Q754" t="s">
        <v>162</v>
      </c>
      <c r="S754" t="s">
        <v>476</v>
      </c>
      <c r="T754" t="s">
        <v>167</v>
      </c>
      <c r="U754">
        <v>2.6856083028385824E-2</v>
      </c>
      <c r="V754" t="s">
        <v>162</v>
      </c>
    </row>
    <row r="755" spans="9:22" x14ac:dyDescent="0.45">
      <c r="I755" t="s">
        <v>252</v>
      </c>
      <c r="J755" t="s">
        <v>168</v>
      </c>
      <c r="K755">
        <v>3.0944876794585106E-2</v>
      </c>
      <c r="L755" t="s">
        <v>162</v>
      </c>
      <c r="N755" t="s">
        <v>364</v>
      </c>
      <c r="O755" t="s">
        <v>168</v>
      </c>
      <c r="P755">
        <v>8.6358321893924395E-2</v>
      </c>
      <c r="Q755" t="s">
        <v>162</v>
      </c>
      <c r="S755" t="s">
        <v>476</v>
      </c>
      <c r="T755" t="s">
        <v>168</v>
      </c>
      <c r="U755">
        <v>7.5336258889540278E-2</v>
      </c>
      <c r="V755" t="s">
        <v>162</v>
      </c>
    </row>
    <row r="756" spans="9:22" x14ac:dyDescent="0.45">
      <c r="I756" t="s">
        <v>252</v>
      </c>
      <c r="J756" t="s">
        <v>169</v>
      </c>
      <c r="K756">
        <v>0</v>
      </c>
      <c r="L756" t="s">
        <v>162</v>
      </c>
      <c r="N756" t="s">
        <v>364</v>
      </c>
      <c r="O756" t="s">
        <v>169</v>
      </c>
      <c r="P756">
        <v>5.0346964112630297E-3</v>
      </c>
      <c r="Q756" t="s">
        <v>162</v>
      </c>
      <c r="S756" t="s">
        <v>476</v>
      </c>
      <c r="T756" t="s">
        <v>169</v>
      </c>
      <c r="U756">
        <v>4.4229223003047777E-3</v>
      </c>
      <c r="V756" t="s">
        <v>162</v>
      </c>
    </row>
    <row r="757" spans="9:22" x14ac:dyDescent="0.45">
      <c r="I757" t="s">
        <v>252</v>
      </c>
      <c r="J757" t="s">
        <v>170</v>
      </c>
      <c r="K757">
        <v>0</v>
      </c>
      <c r="L757" t="s">
        <v>162</v>
      </c>
      <c r="N757" t="s">
        <v>364</v>
      </c>
      <c r="O757" t="s">
        <v>170</v>
      </c>
      <c r="P757">
        <v>3.0166054124274085E-2</v>
      </c>
      <c r="Q757" t="s">
        <v>162</v>
      </c>
      <c r="S757" t="s">
        <v>476</v>
      </c>
      <c r="T757" t="s">
        <v>170</v>
      </c>
      <c r="U757">
        <v>2.7392893035860798E-2</v>
      </c>
      <c r="V757" t="s">
        <v>162</v>
      </c>
    </row>
    <row r="758" spans="9:22" x14ac:dyDescent="0.45">
      <c r="I758" t="s">
        <v>253</v>
      </c>
      <c r="J758" t="s">
        <v>161</v>
      </c>
      <c r="K758">
        <v>0.83965809747268627</v>
      </c>
      <c r="L758" t="s">
        <v>162</v>
      </c>
      <c r="N758" t="s">
        <v>365</v>
      </c>
      <c r="O758" t="s">
        <v>161</v>
      </c>
      <c r="P758">
        <v>0.5597834123385339</v>
      </c>
      <c r="Q758" t="s">
        <v>162</v>
      </c>
      <c r="S758" t="s">
        <v>477</v>
      </c>
      <c r="T758" t="s">
        <v>161</v>
      </c>
      <c r="U758">
        <v>0.56558873155129952</v>
      </c>
      <c r="V758" t="s">
        <v>162</v>
      </c>
    </row>
    <row r="759" spans="9:22" x14ac:dyDescent="0.45">
      <c r="I759" t="s">
        <v>253</v>
      </c>
      <c r="J759" t="s">
        <v>163</v>
      </c>
      <c r="K759">
        <v>4.7073425167466501E-2</v>
      </c>
      <c r="L759" t="s">
        <v>162</v>
      </c>
      <c r="N759" t="s">
        <v>365</v>
      </c>
      <c r="O759" t="s">
        <v>163</v>
      </c>
      <c r="P759">
        <v>3.2611121672278434E-2</v>
      </c>
      <c r="Q759" t="s">
        <v>162</v>
      </c>
      <c r="S759" t="s">
        <v>477</v>
      </c>
      <c r="T759" t="s">
        <v>163</v>
      </c>
      <c r="U759">
        <v>3.2772568854164914E-2</v>
      </c>
      <c r="V759" t="s">
        <v>162</v>
      </c>
    </row>
    <row r="760" spans="9:22" x14ac:dyDescent="0.45">
      <c r="I760" t="s">
        <v>253</v>
      </c>
      <c r="J760" t="s">
        <v>164</v>
      </c>
      <c r="K760">
        <v>4.7922261490642791E-2</v>
      </c>
      <c r="L760" t="s">
        <v>162</v>
      </c>
      <c r="N760" t="s">
        <v>365</v>
      </c>
      <c r="O760" t="s">
        <v>164</v>
      </c>
      <c r="P760">
        <v>0.22435082651049781</v>
      </c>
      <c r="Q760" t="s">
        <v>162</v>
      </c>
      <c r="S760" t="s">
        <v>477</v>
      </c>
      <c r="T760" t="s">
        <v>164</v>
      </c>
      <c r="U760">
        <v>0.19697525005842764</v>
      </c>
      <c r="V760" t="s">
        <v>162</v>
      </c>
    </row>
    <row r="761" spans="9:22" x14ac:dyDescent="0.45">
      <c r="I761" t="s">
        <v>253</v>
      </c>
      <c r="J761" t="s">
        <v>165</v>
      </c>
      <c r="K761">
        <v>2.8813608517609755E-2</v>
      </c>
      <c r="L761" t="s">
        <v>162</v>
      </c>
      <c r="N761" t="s">
        <v>365</v>
      </c>
      <c r="O761" t="s">
        <v>165</v>
      </c>
      <c r="P761">
        <v>5.2133236833597253E-2</v>
      </c>
      <c r="Q761" t="s">
        <v>162</v>
      </c>
      <c r="S761" t="s">
        <v>477</v>
      </c>
      <c r="T761" t="s">
        <v>165</v>
      </c>
      <c r="U761">
        <v>7.3588318231194758E-2</v>
      </c>
      <c r="V761" t="s">
        <v>162</v>
      </c>
    </row>
    <row r="762" spans="9:22" x14ac:dyDescent="0.45">
      <c r="I762" t="s">
        <v>253</v>
      </c>
      <c r="J762" t="s">
        <v>166</v>
      </c>
      <c r="K762">
        <v>0</v>
      </c>
      <c r="L762" t="s">
        <v>162</v>
      </c>
      <c r="N762" t="s">
        <v>365</v>
      </c>
      <c r="O762" t="s">
        <v>166</v>
      </c>
      <c r="P762">
        <v>3.2643777442483341E-3</v>
      </c>
      <c r="Q762" t="s">
        <v>162</v>
      </c>
      <c r="S762" t="s">
        <v>477</v>
      </c>
      <c r="T762" t="s">
        <v>166</v>
      </c>
      <c r="U762">
        <v>4.6021102662812136E-3</v>
      </c>
      <c r="V762" t="s">
        <v>162</v>
      </c>
    </row>
    <row r="763" spans="9:22" x14ac:dyDescent="0.45">
      <c r="I763" t="s">
        <v>253</v>
      </c>
      <c r="J763" t="s">
        <v>167</v>
      </c>
      <c r="K763">
        <v>0</v>
      </c>
      <c r="L763" t="s">
        <v>162</v>
      </c>
      <c r="N763" t="s">
        <v>365</v>
      </c>
      <c r="O763" t="s">
        <v>167</v>
      </c>
      <c r="P763">
        <v>1.9162002989084791E-2</v>
      </c>
      <c r="Q763" t="s">
        <v>162</v>
      </c>
      <c r="S763" t="s">
        <v>477</v>
      </c>
      <c r="T763" t="s">
        <v>167</v>
      </c>
      <c r="U763">
        <v>2.7068832421915053E-2</v>
      </c>
      <c r="V763" t="s">
        <v>162</v>
      </c>
    </row>
    <row r="764" spans="9:22" x14ac:dyDescent="0.45">
      <c r="I764" t="s">
        <v>253</v>
      </c>
      <c r="J764" t="s">
        <v>168</v>
      </c>
      <c r="K764">
        <v>3.6532607351593936E-2</v>
      </c>
      <c r="L764" t="s">
        <v>162</v>
      </c>
      <c r="N764" t="s">
        <v>365</v>
      </c>
      <c r="O764" t="s">
        <v>168</v>
      </c>
      <c r="P764">
        <v>7.5418226976010486E-2</v>
      </c>
      <c r="Q764" t="s">
        <v>162</v>
      </c>
      <c r="S764" t="s">
        <v>477</v>
      </c>
      <c r="T764" t="s">
        <v>168</v>
      </c>
      <c r="U764">
        <v>6.9216569849398224E-2</v>
      </c>
      <c r="V764" t="s">
        <v>162</v>
      </c>
    </row>
    <row r="765" spans="9:22" x14ac:dyDescent="0.45">
      <c r="I765" t="s">
        <v>253</v>
      </c>
      <c r="J765" t="s">
        <v>169</v>
      </c>
      <c r="K765">
        <v>0</v>
      </c>
      <c r="L765" t="s">
        <v>162</v>
      </c>
      <c r="N765" t="s">
        <v>365</v>
      </c>
      <c r="O765" t="s">
        <v>169</v>
      </c>
      <c r="P765">
        <v>4.771793212380868E-3</v>
      </c>
      <c r="Q765" t="s">
        <v>162</v>
      </c>
      <c r="S765" t="s">
        <v>477</v>
      </c>
      <c r="T765" t="s">
        <v>169</v>
      </c>
      <c r="U765">
        <v>4.25806643264935E-3</v>
      </c>
      <c r="V765" t="s">
        <v>162</v>
      </c>
    </row>
    <row r="766" spans="9:22" x14ac:dyDescent="0.45">
      <c r="I766" t="s">
        <v>253</v>
      </c>
      <c r="J766" t="s">
        <v>170</v>
      </c>
      <c r="K766">
        <v>0</v>
      </c>
      <c r="L766" t="s">
        <v>162</v>
      </c>
      <c r="N766" t="s">
        <v>365</v>
      </c>
      <c r="O766" t="s">
        <v>170</v>
      </c>
      <c r="P766">
        <v>2.8505001723367517E-2</v>
      </c>
      <c r="Q766" t="s">
        <v>162</v>
      </c>
      <c r="S766" t="s">
        <v>477</v>
      </c>
      <c r="T766" t="s">
        <v>170</v>
      </c>
      <c r="U766">
        <v>2.5929552334670057E-2</v>
      </c>
      <c r="V766" t="s">
        <v>162</v>
      </c>
    </row>
    <row r="767" spans="9:22" x14ac:dyDescent="0.45">
      <c r="I767" t="s">
        <v>254</v>
      </c>
      <c r="J767" t="s">
        <v>161</v>
      </c>
      <c r="K767">
        <v>0.80206285464628568</v>
      </c>
      <c r="L767" t="s">
        <v>162</v>
      </c>
      <c r="N767" t="s">
        <v>366</v>
      </c>
      <c r="O767" t="s">
        <v>161</v>
      </c>
      <c r="P767">
        <v>0.55699449846571358</v>
      </c>
      <c r="Q767" t="s">
        <v>162</v>
      </c>
      <c r="S767" t="s">
        <v>478</v>
      </c>
      <c r="T767" t="s">
        <v>161</v>
      </c>
      <c r="U767">
        <v>0.54570987529409343</v>
      </c>
      <c r="V767" t="s">
        <v>162</v>
      </c>
    </row>
    <row r="768" spans="9:22" x14ac:dyDescent="0.45">
      <c r="I768" t="s">
        <v>254</v>
      </c>
      <c r="J768" t="s">
        <v>163</v>
      </c>
      <c r="K768">
        <v>5.9571206252057848E-2</v>
      </c>
      <c r="L768" t="s">
        <v>162</v>
      </c>
      <c r="N768" t="s">
        <v>366</v>
      </c>
      <c r="O768" t="s">
        <v>163</v>
      </c>
      <c r="P768">
        <v>3.1511466049671887E-2</v>
      </c>
      <c r="Q768" t="s">
        <v>162</v>
      </c>
      <c r="S768" t="s">
        <v>478</v>
      </c>
      <c r="T768" t="s">
        <v>163</v>
      </c>
      <c r="U768">
        <v>3.2465632950318311E-2</v>
      </c>
      <c r="V768" t="s">
        <v>162</v>
      </c>
    </row>
    <row r="769" spans="9:22" x14ac:dyDescent="0.45">
      <c r="I769" t="s">
        <v>254</v>
      </c>
      <c r="J769" t="s">
        <v>164</v>
      </c>
      <c r="K769">
        <v>8.3975990969659589E-2</v>
      </c>
      <c r="L769" t="s">
        <v>162</v>
      </c>
      <c r="N769" t="s">
        <v>366</v>
      </c>
      <c r="O769" t="s">
        <v>164</v>
      </c>
      <c r="P769">
        <v>0.2068376275549427</v>
      </c>
      <c r="Q769" t="s">
        <v>162</v>
      </c>
      <c r="S769" t="s">
        <v>478</v>
      </c>
      <c r="T769" t="s">
        <v>164</v>
      </c>
      <c r="U769">
        <v>0.20400087701644312</v>
      </c>
      <c r="V769" t="s">
        <v>162</v>
      </c>
    </row>
    <row r="770" spans="9:22" x14ac:dyDescent="0.45">
      <c r="I770" t="s">
        <v>254</v>
      </c>
      <c r="J770" t="s">
        <v>165</v>
      </c>
      <c r="K770">
        <v>2.8326023124075339E-2</v>
      </c>
      <c r="L770" t="s">
        <v>162</v>
      </c>
      <c r="N770" t="s">
        <v>366</v>
      </c>
      <c r="O770" t="s">
        <v>165</v>
      </c>
      <c r="P770">
        <v>5.7932873652751474E-2</v>
      </c>
      <c r="Q770" t="s">
        <v>162</v>
      </c>
      <c r="S770" t="s">
        <v>478</v>
      </c>
      <c r="T770" t="s">
        <v>165</v>
      </c>
      <c r="U770">
        <v>9.0673648216795535E-2</v>
      </c>
      <c r="V770" t="s">
        <v>162</v>
      </c>
    </row>
    <row r="771" spans="9:22" x14ac:dyDescent="0.45">
      <c r="I771" t="s">
        <v>254</v>
      </c>
      <c r="J771" t="s">
        <v>166</v>
      </c>
      <c r="K771">
        <v>0</v>
      </c>
      <c r="L771" t="s">
        <v>162</v>
      </c>
      <c r="N771" t="s">
        <v>366</v>
      </c>
      <c r="O771" t="s">
        <v>166</v>
      </c>
      <c r="P771">
        <v>2.9309689479107407E-3</v>
      </c>
      <c r="Q771" t="s">
        <v>162</v>
      </c>
      <c r="S771" t="s">
        <v>478</v>
      </c>
      <c r="T771" t="s">
        <v>166</v>
      </c>
      <c r="U771">
        <v>5.0521271232185881E-3</v>
      </c>
      <c r="V771" t="s">
        <v>162</v>
      </c>
    </row>
    <row r="772" spans="9:22" x14ac:dyDescent="0.45">
      <c r="I772" t="s">
        <v>254</v>
      </c>
      <c r="J772" t="s">
        <v>167</v>
      </c>
      <c r="K772">
        <v>0</v>
      </c>
      <c r="L772" t="s">
        <v>162</v>
      </c>
      <c r="N772" t="s">
        <v>366</v>
      </c>
      <c r="O772" t="s">
        <v>167</v>
      </c>
      <c r="P772">
        <v>1.8742581692716392E-2</v>
      </c>
      <c r="Q772" t="s">
        <v>162</v>
      </c>
      <c r="S772" t="s">
        <v>478</v>
      </c>
      <c r="T772" t="s">
        <v>167</v>
      </c>
      <c r="U772">
        <v>3.0330968386658184E-2</v>
      </c>
      <c r="V772" t="s">
        <v>162</v>
      </c>
    </row>
    <row r="773" spans="9:22" x14ac:dyDescent="0.45">
      <c r="I773" t="s">
        <v>254</v>
      </c>
      <c r="J773" t="s">
        <v>168</v>
      </c>
      <c r="K773">
        <v>2.6063925007924933E-2</v>
      </c>
      <c r="L773" t="s">
        <v>162</v>
      </c>
      <c r="N773" t="s">
        <v>366</v>
      </c>
      <c r="O773" t="s">
        <v>168</v>
      </c>
      <c r="P773">
        <v>8.8749331888438393E-2</v>
      </c>
      <c r="Q773" t="s">
        <v>162</v>
      </c>
      <c r="S773" t="s">
        <v>478</v>
      </c>
      <c r="T773" t="s">
        <v>168</v>
      </c>
      <c r="U773">
        <v>6.5803773070955834E-2</v>
      </c>
      <c r="V773" t="s">
        <v>162</v>
      </c>
    </row>
    <row r="774" spans="9:22" x14ac:dyDescent="0.45">
      <c r="I774" t="s">
        <v>254</v>
      </c>
      <c r="J774" t="s">
        <v>169</v>
      </c>
      <c r="K774">
        <v>0</v>
      </c>
      <c r="L774" t="s">
        <v>162</v>
      </c>
      <c r="N774" t="s">
        <v>366</v>
      </c>
      <c r="O774" t="s">
        <v>169</v>
      </c>
      <c r="P774">
        <v>5.1567471631905172E-3</v>
      </c>
      <c r="Q774" t="s">
        <v>162</v>
      </c>
      <c r="S774" t="s">
        <v>478</v>
      </c>
      <c r="T774" t="s">
        <v>169</v>
      </c>
      <c r="U774">
        <v>3.5458138268207292E-3</v>
      </c>
      <c r="V774" t="s">
        <v>162</v>
      </c>
    </row>
    <row r="775" spans="9:22" x14ac:dyDescent="0.45">
      <c r="I775" t="s">
        <v>254</v>
      </c>
      <c r="J775" t="s">
        <v>170</v>
      </c>
      <c r="K775">
        <v>0</v>
      </c>
      <c r="L775" t="s">
        <v>162</v>
      </c>
      <c r="N775" t="s">
        <v>366</v>
      </c>
      <c r="O775" t="s">
        <v>170</v>
      </c>
      <c r="P775">
        <v>3.1143904584663335E-2</v>
      </c>
      <c r="Q775" t="s">
        <v>162</v>
      </c>
      <c r="S775" t="s">
        <v>478</v>
      </c>
      <c r="T775" t="s">
        <v>170</v>
      </c>
      <c r="U775">
        <v>2.2417284114698895E-2</v>
      </c>
      <c r="V775" t="s">
        <v>162</v>
      </c>
    </row>
    <row r="776" spans="9:22" x14ac:dyDescent="0.45">
      <c r="I776" t="s">
        <v>255</v>
      </c>
      <c r="J776" t="s">
        <v>161</v>
      </c>
      <c r="K776">
        <v>0.82918008308104396</v>
      </c>
      <c r="L776" t="s">
        <v>162</v>
      </c>
      <c r="N776" t="s">
        <v>367</v>
      </c>
      <c r="O776" t="s">
        <v>161</v>
      </c>
      <c r="P776">
        <v>0.5648772742696041</v>
      </c>
      <c r="Q776" t="s">
        <v>162</v>
      </c>
      <c r="S776" t="s">
        <v>479</v>
      </c>
      <c r="T776" t="s">
        <v>161</v>
      </c>
      <c r="U776">
        <v>0.55285108157929819</v>
      </c>
      <c r="V776" t="s">
        <v>162</v>
      </c>
    </row>
    <row r="777" spans="9:22" x14ac:dyDescent="0.45">
      <c r="I777" t="s">
        <v>255</v>
      </c>
      <c r="J777" t="s">
        <v>163</v>
      </c>
      <c r="K777">
        <v>5.3083169465750819E-2</v>
      </c>
      <c r="L777" t="s">
        <v>162</v>
      </c>
      <c r="N777" t="s">
        <v>367</v>
      </c>
      <c r="O777" t="s">
        <v>163</v>
      </c>
      <c r="P777">
        <v>3.1213117539021042E-2</v>
      </c>
      <c r="Q777" t="s">
        <v>162</v>
      </c>
      <c r="S777" t="s">
        <v>479</v>
      </c>
      <c r="T777" t="s">
        <v>163</v>
      </c>
      <c r="U777">
        <v>3.1900655334813434E-2</v>
      </c>
      <c r="V777" t="s">
        <v>162</v>
      </c>
    </row>
    <row r="778" spans="9:22" x14ac:dyDescent="0.45">
      <c r="I778" t="s">
        <v>255</v>
      </c>
      <c r="J778" t="s">
        <v>164</v>
      </c>
      <c r="K778">
        <v>6.3439400776050953E-2</v>
      </c>
      <c r="L778" t="s">
        <v>162</v>
      </c>
      <c r="N778" t="s">
        <v>367</v>
      </c>
      <c r="O778" t="s">
        <v>164</v>
      </c>
      <c r="P778">
        <v>0.19931770148156369</v>
      </c>
      <c r="Q778" t="s">
        <v>162</v>
      </c>
      <c r="S778" t="s">
        <v>479</v>
      </c>
      <c r="T778" t="s">
        <v>164</v>
      </c>
      <c r="U778">
        <v>0.19691936241662891</v>
      </c>
      <c r="V778" t="s">
        <v>162</v>
      </c>
    </row>
    <row r="779" spans="9:22" x14ac:dyDescent="0.45">
      <c r="I779" t="s">
        <v>255</v>
      </c>
      <c r="J779" t="s">
        <v>165</v>
      </c>
      <c r="K779">
        <v>2.7830276324839528E-2</v>
      </c>
      <c r="L779" t="s">
        <v>162</v>
      </c>
      <c r="N779" t="s">
        <v>367</v>
      </c>
      <c r="O779" t="s">
        <v>165</v>
      </c>
      <c r="P779">
        <v>6.6343074197433322E-2</v>
      </c>
      <c r="Q779" t="s">
        <v>162</v>
      </c>
      <c r="S779" t="s">
        <v>479</v>
      </c>
      <c r="T779" t="s">
        <v>165</v>
      </c>
      <c r="U779">
        <v>7.9601473385834579E-2</v>
      </c>
      <c r="V779" t="s">
        <v>162</v>
      </c>
    </row>
    <row r="780" spans="9:22" x14ac:dyDescent="0.45">
      <c r="I780" t="s">
        <v>255</v>
      </c>
      <c r="J780" t="s">
        <v>166</v>
      </c>
      <c r="K780">
        <v>0</v>
      </c>
      <c r="L780" t="s">
        <v>162</v>
      </c>
      <c r="N780" t="s">
        <v>367</v>
      </c>
      <c r="O780" t="s">
        <v>166</v>
      </c>
      <c r="P780">
        <v>3.7699271221180875E-3</v>
      </c>
      <c r="Q780" t="s">
        <v>162</v>
      </c>
      <c r="S780" t="s">
        <v>479</v>
      </c>
      <c r="T780" t="s">
        <v>166</v>
      </c>
      <c r="U780">
        <v>4.4733967817745558E-3</v>
      </c>
      <c r="V780" t="s">
        <v>162</v>
      </c>
    </row>
    <row r="781" spans="9:22" x14ac:dyDescent="0.45">
      <c r="I781" t="s">
        <v>255</v>
      </c>
      <c r="J781" t="s">
        <v>167</v>
      </c>
      <c r="K781">
        <v>0</v>
      </c>
      <c r="L781" t="s">
        <v>162</v>
      </c>
      <c r="N781" t="s">
        <v>367</v>
      </c>
      <c r="O781" t="s">
        <v>167</v>
      </c>
      <c r="P781">
        <v>2.2704758786248176E-2</v>
      </c>
      <c r="Q781" t="s">
        <v>162</v>
      </c>
      <c r="S781" t="s">
        <v>479</v>
      </c>
      <c r="T781" t="s">
        <v>167</v>
      </c>
      <c r="U781">
        <v>2.7407625088148823E-2</v>
      </c>
      <c r="V781" t="s">
        <v>162</v>
      </c>
    </row>
    <row r="782" spans="9:22" x14ac:dyDescent="0.45">
      <c r="I782" t="s">
        <v>255</v>
      </c>
      <c r="J782" t="s">
        <v>168</v>
      </c>
      <c r="K782">
        <v>2.6467070352312366E-2</v>
      </c>
      <c r="L782" t="s">
        <v>162</v>
      </c>
      <c r="N782" t="s">
        <v>367</v>
      </c>
      <c r="O782" t="s">
        <v>168</v>
      </c>
      <c r="P782">
        <v>7.9078983029283345E-2</v>
      </c>
      <c r="Q782" t="s">
        <v>162</v>
      </c>
      <c r="S782" t="s">
        <v>479</v>
      </c>
      <c r="T782" t="s">
        <v>168</v>
      </c>
      <c r="U782">
        <v>7.6153113271953482E-2</v>
      </c>
      <c r="V782" t="s">
        <v>162</v>
      </c>
    </row>
    <row r="783" spans="9:22" x14ac:dyDescent="0.45">
      <c r="I783" t="s">
        <v>255</v>
      </c>
      <c r="J783" t="s">
        <v>169</v>
      </c>
      <c r="K783">
        <v>0</v>
      </c>
      <c r="L783" t="s">
        <v>162</v>
      </c>
      <c r="N783" t="s">
        <v>367</v>
      </c>
      <c r="O783" t="s">
        <v>169</v>
      </c>
      <c r="P783">
        <v>4.7029392919728788E-3</v>
      </c>
      <c r="Q783" t="s">
        <v>162</v>
      </c>
      <c r="S783" t="s">
        <v>479</v>
      </c>
      <c r="T783" t="s">
        <v>169</v>
      </c>
      <c r="U783">
        <v>4.4767751741195206E-3</v>
      </c>
      <c r="V783" t="s">
        <v>162</v>
      </c>
    </row>
    <row r="784" spans="9:22" x14ac:dyDescent="0.45">
      <c r="I784" t="s">
        <v>255</v>
      </c>
      <c r="J784" t="s">
        <v>170</v>
      </c>
      <c r="K784">
        <v>0</v>
      </c>
      <c r="L784" t="s">
        <v>162</v>
      </c>
      <c r="N784" t="s">
        <v>367</v>
      </c>
      <c r="O784" t="s">
        <v>170</v>
      </c>
      <c r="P784">
        <v>2.7992224282757987E-2</v>
      </c>
      <c r="Q784" t="s">
        <v>162</v>
      </c>
      <c r="S784" t="s">
        <v>479</v>
      </c>
      <c r="T784" t="s">
        <v>170</v>
      </c>
      <c r="U784">
        <v>2.6216516967426787E-2</v>
      </c>
      <c r="V784" t="s">
        <v>162</v>
      </c>
    </row>
    <row r="785" spans="9:22" x14ac:dyDescent="0.45">
      <c r="I785" t="s">
        <v>256</v>
      </c>
      <c r="J785" t="s">
        <v>161</v>
      </c>
      <c r="K785">
        <v>0.81408558348236759</v>
      </c>
      <c r="L785" t="s">
        <v>162</v>
      </c>
      <c r="N785" t="s">
        <v>368</v>
      </c>
      <c r="O785" t="s">
        <v>161</v>
      </c>
      <c r="P785">
        <v>0.56170395894308978</v>
      </c>
      <c r="Q785" t="s">
        <v>162</v>
      </c>
      <c r="S785" t="s">
        <v>480</v>
      </c>
      <c r="T785" t="s">
        <v>161</v>
      </c>
      <c r="U785">
        <v>0.56744483225507958</v>
      </c>
      <c r="V785" t="s">
        <v>162</v>
      </c>
    </row>
    <row r="786" spans="9:22" x14ac:dyDescent="0.45">
      <c r="I786" t="s">
        <v>256</v>
      </c>
      <c r="J786" t="s">
        <v>163</v>
      </c>
      <c r="K786">
        <v>5.6781805041545882E-2</v>
      </c>
      <c r="L786" t="s">
        <v>162</v>
      </c>
      <c r="N786" t="s">
        <v>368</v>
      </c>
      <c r="O786" t="s">
        <v>163</v>
      </c>
      <c r="P786">
        <v>3.1394637230457802E-2</v>
      </c>
      <c r="Q786" t="s">
        <v>162</v>
      </c>
      <c r="S786" t="s">
        <v>480</v>
      </c>
      <c r="T786" t="s">
        <v>163</v>
      </c>
      <c r="U786">
        <v>3.340274690525627E-2</v>
      </c>
      <c r="V786" t="s">
        <v>162</v>
      </c>
    </row>
    <row r="787" spans="9:22" x14ac:dyDescent="0.45">
      <c r="I787" t="s">
        <v>256</v>
      </c>
      <c r="J787" t="s">
        <v>164</v>
      </c>
      <c r="K787">
        <v>7.3259230876262266E-2</v>
      </c>
      <c r="L787" t="s">
        <v>162</v>
      </c>
      <c r="N787" t="s">
        <v>368</v>
      </c>
      <c r="O787" t="s">
        <v>164</v>
      </c>
      <c r="P787">
        <v>0.21986526529199557</v>
      </c>
      <c r="Q787" t="s">
        <v>162</v>
      </c>
      <c r="S787" t="s">
        <v>480</v>
      </c>
      <c r="T787" t="s">
        <v>164</v>
      </c>
      <c r="U787">
        <v>0.20015157535032094</v>
      </c>
      <c r="V787" t="s">
        <v>162</v>
      </c>
    </row>
    <row r="788" spans="9:22" x14ac:dyDescent="0.45">
      <c r="I788" t="s">
        <v>256</v>
      </c>
      <c r="J788" t="s">
        <v>165</v>
      </c>
      <c r="K788">
        <v>3.0108662808194683E-2</v>
      </c>
      <c r="L788" t="s">
        <v>162</v>
      </c>
      <c r="N788" t="s">
        <v>368</v>
      </c>
      <c r="O788" t="s">
        <v>165</v>
      </c>
      <c r="P788">
        <v>6.9143812842109603E-2</v>
      </c>
      <c r="Q788" t="s">
        <v>162</v>
      </c>
      <c r="S788" t="s">
        <v>480</v>
      </c>
      <c r="T788" t="s">
        <v>165</v>
      </c>
      <c r="U788">
        <v>7.5671708412374611E-2</v>
      </c>
      <c r="V788" t="s">
        <v>162</v>
      </c>
    </row>
    <row r="789" spans="9:22" x14ac:dyDescent="0.45">
      <c r="I789" t="s">
        <v>256</v>
      </c>
      <c r="J789" t="s">
        <v>166</v>
      </c>
      <c r="K789">
        <v>0</v>
      </c>
      <c r="L789" t="s">
        <v>162</v>
      </c>
      <c r="N789" t="s">
        <v>368</v>
      </c>
      <c r="O789" t="s">
        <v>166</v>
      </c>
      <c r="P789">
        <v>4.4408098355400187E-3</v>
      </c>
      <c r="Q789" t="s">
        <v>162</v>
      </c>
      <c r="S789" t="s">
        <v>480</v>
      </c>
      <c r="T789" t="s">
        <v>166</v>
      </c>
      <c r="U789">
        <v>4.7837528177215941E-3</v>
      </c>
      <c r="V789" t="s">
        <v>162</v>
      </c>
    </row>
    <row r="790" spans="9:22" x14ac:dyDescent="0.45">
      <c r="I790" t="s">
        <v>256</v>
      </c>
      <c r="J790" t="s">
        <v>167</v>
      </c>
      <c r="K790">
        <v>0</v>
      </c>
      <c r="L790" t="s">
        <v>162</v>
      </c>
      <c r="N790" t="s">
        <v>368</v>
      </c>
      <c r="O790" t="s">
        <v>167</v>
      </c>
      <c r="P790">
        <v>2.5352192191199316E-2</v>
      </c>
      <c r="Q790" t="s">
        <v>162</v>
      </c>
      <c r="S790" t="s">
        <v>480</v>
      </c>
      <c r="T790" t="s">
        <v>167</v>
      </c>
      <c r="U790">
        <v>2.7292582027224909E-2</v>
      </c>
      <c r="V790" t="s">
        <v>162</v>
      </c>
    </row>
    <row r="791" spans="9:22" x14ac:dyDescent="0.45">
      <c r="I791" t="s">
        <v>256</v>
      </c>
      <c r="J791" t="s">
        <v>168</v>
      </c>
      <c r="K791">
        <v>2.5764717791629945E-2</v>
      </c>
      <c r="L791" t="s">
        <v>162</v>
      </c>
      <c r="N791" t="s">
        <v>368</v>
      </c>
      <c r="O791" t="s">
        <v>168</v>
      </c>
      <c r="P791">
        <v>5.9890003695923864E-2</v>
      </c>
      <c r="Q791" t="s">
        <v>162</v>
      </c>
      <c r="S791" t="s">
        <v>480</v>
      </c>
      <c r="T791" t="s">
        <v>168</v>
      </c>
      <c r="U791">
        <v>6.3940439032229637E-2</v>
      </c>
      <c r="V791" t="s">
        <v>162</v>
      </c>
    </row>
    <row r="792" spans="9:22" x14ac:dyDescent="0.45">
      <c r="I792" t="s">
        <v>256</v>
      </c>
      <c r="J792" t="s">
        <v>169</v>
      </c>
      <c r="K792">
        <v>0</v>
      </c>
      <c r="L792" t="s">
        <v>162</v>
      </c>
      <c r="N792" t="s">
        <v>368</v>
      </c>
      <c r="O792" t="s">
        <v>169</v>
      </c>
      <c r="P792">
        <v>3.852930015450378E-3</v>
      </c>
      <c r="Q792" t="s">
        <v>162</v>
      </c>
      <c r="S792" t="s">
        <v>480</v>
      </c>
      <c r="T792" t="s">
        <v>169</v>
      </c>
      <c r="U792">
        <v>4.0662472376805084E-3</v>
      </c>
      <c r="V792" t="s">
        <v>162</v>
      </c>
    </row>
    <row r="793" spans="9:22" x14ac:dyDescent="0.45">
      <c r="I793" t="s">
        <v>256</v>
      </c>
      <c r="J793" t="s">
        <v>170</v>
      </c>
      <c r="K793">
        <v>0</v>
      </c>
      <c r="L793" t="s">
        <v>162</v>
      </c>
      <c r="N793" t="s">
        <v>368</v>
      </c>
      <c r="O793" t="s">
        <v>170</v>
      </c>
      <c r="P793">
        <v>2.4356389954231849E-2</v>
      </c>
      <c r="Q793" t="s">
        <v>162</v>
      </c>
      <c r="S793" t="s">
        <v>480</v>
      </c>
      <c r="T793" t="s">
        <v>170</v>
      </c>
      <c r="U793">
        <v>2.324611596210667E-2</v>
      </c>
      <c r="V793" t="s">
        <v>162</v>
      </c>
    </row>
    <row r="794" spans="9:22" x14ac:dyDescent="0.45">
      <c r="I794" t="s">
        <v>257</v>
      </c>
      <c r="J794" t="s">
        <v>161</v>
      </c>
      <c r="K794">
        <v>0.80294284843476293</v>
      </c>
      <c r="L794" t="s">
        <v>162</v>
      </c>
      <c r="N794" t="s">
        <v>369</v>
      </c>
      <c r="O794" t="s">
        <v>161</v>
      </c>
      <c r="P794">
        <v>0.56315064858244657</v>
      </c>
      <c r="Q794" t="s">
        <v>162</v>
      </c>
      <c r="S794" t="s">
        <v>481</v>
      </c>
      <c r="T794" t="s">
        <v>161</v>
      </c>
      <c r="U794">
        <v>0.56108592171762439</v>
      </c>
      <c r="V794" t="s">
        <v>162</v>
      </c>
    </row>
    <row r="795" spans="9:22" x14ac:dyDescent="0.45">
      <c r="I795" t="s">
        <v>257</v>
      </c>
      <c r="J795" t="s">
        <v>163</v>
      </c>
      <c r="K795">
        <v>6.1295163076077026E-2</v>
      </c>
      <c r="L795" t="s">
        <v>162</v>
      </c>
      <c r="N795" t="s">
        <v>369</v>
      </c>
      <c r="O795" t="s">
        <v>163</v>
      </c>
      <c r="P795">
        <v>3.1969038624011584E-2</v>
      </c>
      <c r="Q795" t="s">
        <v>162</v>
      </c>
      <c r="S795" t="s">
        <v>481</v>
      </c>
      <c r="T795" t="s">
        <v>163</v>
      </c>
      <c r="U795">
        <v>3.2828410550716065E-2</v>
      </c>
      <c r="V795" t="s">
        <v>162</v>
      </c>
    </row>
    <row r="796" spans="9:22" x14ac:dyDescent="0.45">
      <c r="I796" t="s">
        <v>257</v>
      </c>
      <c r="J796" t="s">
        <v>164</v>
      </c>
      <c r="K796">
        <v>8.0042451477327997E-2</v>
      </c>
      <c r="L796" t="s">
        <v>162</v>
      </c>
      <c r="N796" t="s">
        <v>369</v>
      </c>
      <c r="O796" t="s">
        <v>164</v>
      </c>
      <c r="P796">
        <v>0.22198916450256126</v>
      </c>
      <c r="Q796" t="s">
        <v>162</v>
      </c>
      <c r="S796" t="s">
        <v>481</v>
      </c>
      <c r="T796" t="s">
        <v>164</v>
      </c>
      <c r="U796">
        <v>0.20319313027019364</v>
      </c>
      <c r="V796" t="s">
        <v>162</v>
      </c>
    </row>
    <row r="797" spans="9:22" x14ac:dyDescent="0.45">
      <c r="I797" t="s">
        <v>257</v>
      </c>
      <c r="J797" t="s">
        <v>165</v>
      </c>
      <c r="K797">
        <v>2.4686910579744339E-2</v>
      </c>
      <c r="L797" t="s">
        <v>162</v>
      </c>
      <c r="N797" t="s">
        <v>369</v>
      </c>
      <c r="O797" t="s">
        <v>165</v>
      </c>
      <c r="P797">
        <v>5.9214560582836716E-2</v>
      </c>
      <c r="Q797" t="s">
        <v>162</v>
      </c>
      <c r="S797" t="s">
        <v>481</v>
      </c>
      <c r="T797" t="s">
        <v>165</v>
      </c>
      <c r="U797">
        <v>7.3068414391883468E-2</v>
      </c>
      <c r="V797" t="s">
        <v>162</v>
      </c>
    </row>
    <row r="798" spans="9:22" x14ac:dyDescent="0.45">
      <c r="I798" t="s">
        <v>257</v>
      </c>
      <c r="J798" t="s">
        <v>166</v>
      </c>
      <c r="K798">
        <v>2.545013846017433E-8</v>
      </c>
      <c r="L798" t="s">
        <v>162</v>
      </c>
      <c r="N798" t="s">
        <v>369</v>
      </c>
      <c r="O798" t="s">
        <v>166</v>
      </c>
      <c r="P798">
        <v>4.1140050701993901E-3</v>
      </c>
      <c r="Q798" t="s">
        <v>162</v>
      </c>
      <c r="S798" t="s">
        <v>481</v>
      </c>
      <c r="T798" t="s">
        <v>166</v>
      </c>
      <c r="U798">
        <v>4.335509816455467E-3</v>
      </c>
      <c r="V798" t="s">
        <v>162</v>
      </c>
    </row>
    <row r="799" spans="9:22" x14ac:dyDescent="0.45">
      <c r="I799" t="s">
        <v>257</v>
      </c>
      <c r="J799" t="s">
        <v>167</v>
      </c>
      <c r="K799">
        <v>0</v>
      </c>
      <c r="L799" t="s">
        <v>162</v>
      </c>
      <c r="N799" t="s">
        <v>369</v>
      </c>
      <c r="O799" t="s">
        <v>167</v>
      </c>
      <c r="P799">
        <v>2.2857863487648275E-2</v>
      </c>
      <c r="Q799" t="s">
        <v>162</v>
      </c>
      <c r="S799" t="s">
        <v>481</v>
      </c>
      <c r="T799" t="s">
        <v>167</v>
      </c>
      <c r="U799">
        <v>2.7838925060675944E-2</v>
      </c>
      <c r="V799" t="s">
        <v>162</v>
      </c>
    </row>
    <row r="800" spans="9:22" x14ac:dyDescent="0.45">
      <c r="I800" t="s">
        <v>257</v>
      </c>
      <c r="J800" t="s">
        <v>168</v>
      </c>
      <c r="K800">
        <v>3.1032600981947434E-2</v>
      </c>
      <c r="L800" t="s">
        <v>162</v>
      </c>
      <c r="N800" t="s">
        <v>369</v>
      </c>
      <c r="O800" t="s">
        <v>168</v>
      </c>
      <c r="P800">
        <v>6.6292297949068352E-2</v>
      </c>
      <c r="Q800" t="s">
        <v>162</v>
      </c>
      <c r="S800" t="s">
        <v>481</v>
      </c>
      <c r="T800" t="s">
        <v>168</v>
      </c>
      <c r="U800">
        <v>6.8256009640303053E-2</v>
      </c>
      <c r="V800" t="s">
        <v>162</v>
      </c>
    </row>
    <row r="801" spans="9:22" x14ac:dyDescent="0.45">
      <c r="I801" t="s">
        <v>257</v>
      </c>
      <c r="J801" t="s">
        <v>169</v>
      </c>
      <c r="K801">
        <v>0</v>
      </c>
      <c r="L801" t="s">
        <v>162</v>
      </c>
      <c r="N801" t="s">
        <v>369</v>
      </c>
      <c r="O801" t="s">
        <v>169</v>
      </c>
      <c r="P801">
        <v>4.1579634904547937E-3</v>
      </c>
      <c r="Q801" t="s">
        <v>162</v>
      </c>
      <c r="S801" t="s">
        <v>481</v>
      </c>
      <c r="T801" t="s">
        <v>169</v>
      </c>
      <c r="U801">
        <v>4.2973209615517127E-3</v>
      </c>
      <c r="V801" t="s">
        <v>162</v>
      </c>
    </row>
    <row r="802" spans="9:22" x14ac:dyDescent="0.45">
      <c r="I802" t="s">
        <v>257</v>
      </c>
      <c r="J802" t="s">
        <v>170</v>
      </c>
      <c r="K802">
        <v>0</v>
      </c>
      <c r="L802" t="s">
        <v>162</v>
      </c>
      <c r="N802" t="s">
        <v>369</v>
      </c>
      <c r="O802" t="s">
        <v>170</v>
      </c>
      <c r="P802">
        <v>2.6254457710775069E-2</v>
      </c>
      <c r="Q802" t="s">
        <v>162</v>
      </c>
      <c r="S802" t="s">
        <v>481</v>
      </c>
      <c r="T802" t="s">
        <v>170</v>
      </c>
      <c r="U802">
        <v>2.5096357590599014E-2</v>
      </c>
      <c r="V802" t="s">
        <v>162</v>
      </c>
    </row>
    <row r="803" spans="9:22" x14ac:dyDescent="0.45">
      <c r="I803" t="s">
        <v>258</v>
      </c>
      <c r="J803" t="s">
        <v>161</v>
      </c>
      <c r="K803">
        <v>0.83165591691057361</v>
      </c>
      <c r="L803" t="s">
        <v>162</v>
      </c>
      <c r="N803" t="s">
        <v>370</v>
      </c>
      <c r="O803" t="s">
        <v>161</v>
      </c>
      <c r="P803">
        <v>0.56081496257411889</v>
      </c>
      <c r="Q803" t="s">
        <v>162</v>
      </c>
      <c r="S803" t="s">
        <v>482</v>
      </c>
      <c r="T803" t="s">
        <v>161</v>
      </c>
      <c r="U803">
        <v>0.56474212042204253</v>
      </c>
      <c r="V803" t="s">
        <v>162</v>
      </c>
    </row>
    <row r="804" spans="9:22" x14ac:dyDescent="0.45">
      <c r="I804" t="s">
        <v>258</v>
      </c>
      <c r="J804" t="s">
        <v>163</v>
      </c>
      <c r="K804">
        <v>5.1742986054808079E-2</v>
      </c>
      <c r="L804" t="s">
        <v>162</v>
      </c>
      <c r="N804" t="s">
        <v>370</v>
      </c>
      <c r="O804" t="s">
        <v>163</v>
      </c>
      <c r="P804">
        <v>3.3102711555795847E-2</v>
      </c>
      <c r="Q804" t="s">
        <v>162</v>
      </c>
      <c r="S804" t="s">
        <v>482</v>
      </c>
      <c r="T804" t="s">
        <v>163</v>
      </c>
      <c r="U804">
        <v>3.3415074013148284E-2</v>
      </c>
      <c r="V804" t="s">
        <v>162</v>
      </c>
    </row>
    <row r="805" spans="9:22" x14ac:dyDescent="0.45">
      <c r="I805" t="s">
        <v>258</v>
      </c>
      <c r="J805" t="s">
        <v>164</v>
      </c>
      <c r="K805">
        <v>5.7799321651569084E-2</v>
      </c>
      <c r="L805" t="s">
        <v>162</v>
      </c>
      <c r="N805" t="s">
        <v>370</v>
      </c>
      <c r="O805" t="s">
        <v>164</v>
      </c>
      <c r="P805">
        <v>0.23219297001295983</v>
      </c>
      <c r="Q805" t="s">
        <v>162</v>
      </c>
      <c r="S805" t="s">
        <v>482</v>
      </c>
      <c r="T805" t="s">
        <v>164</v>
      </c>
      <c r="U805">
        <v>0.20043945311418795</v>
      </c>
      <c r="V805" t="s">
        <v>162</v>
      </c>
    </row>
    <row r="806" spans="9:22" x14ac:dyDescent="0.45">
      <c r="I806" t="s">
        <v>258</v>
      </c>
      <c r="J806" t="s">
        <v>165</v>
      </c>
      <c r="K806">
        <v>2.3056805629731426E-2</v>
      </c>
      <c r="L806" t="s">
        <v>162</v>
      </c>
      <c r="N806" t="s">
        <v>370</v>
      </c>
      <c r="O806" t="s">
        <v>165</v>
      </c>
      <c r="P806">
        <v>5.3500015769638802E-2</v>
      </c>
      <c r="Q806" t="s">
        <v>162</v>
      </c>
      <c r="S806" t="s">
        <v>482</v>
      </c>
      <c r="T806" t="s">
        <v>165</v>
      </c>
      <c r="U806">
        <v>6.7475355613230786E-2</v>
      </c>
      <c r="V806" t="s">
        <v>162</v>
      </c>
    </row>
    <row r="807" spans="9:22" x14ac:dyDescent="0.45">
      <c r="I807" t="s">
        <v>258</v>
      </c>
      <c r="J807" t="s">
        <v>166</v>
      </c>
      <c r="K807">
        <v>0</v>
      </c>
      <c r="L807" t="s">
        <v>162</v>
      </c>
      <c r="N807" t="s">
        <v>370</v>
      </c>
      <c r="O807" t="s">
        <v>166</v>
      </c>
      <c r="P807">
        <v>3.6329751113384993E-3</v>
      </c>
      <c r="Q807" t="s">
        <v>162</v>
      </c>
      <c r="S807" t="s">
        <v>482</v>
      </c>
      <c r="T807" t="s">
        <v>166</v>
      </c>
      <c r="U807">
        <v>4.0448810624544125E-3</v>
      </c>
      <c r="V807" t="s">
        <v>162</v>
      </c>
    </row>
    <row r="808" spans="9:22" x14ac:dyDescent="0.45">
      <c r="I808" t="s">
        <v>258</v>
      </c>
      <c r="J808" t="s">
        <v>167</v>
      </c>
      <c r="K808">
        <v>0</v>
      </c>
      <c r="L808" t="s">
        <v>162</v>
      </c>
      <c r="N808" t="s">
        <v>370</v>
      </c>
      <c r="O808" t="s">
        <v>167</v>
      </c>
      <c r="P808">
        <v>2.1209876179043619E-2</v>
      </c>
      <c r="Q808" t="s">
        <v>162</v>
      </c>
      <c r="S808" t="s">
        <v>482</v>
      </c>
      <c r="T808" t="s">
        <v>167</v>
      </c>
      <c r="U808">
        <v>2.3788345894513386E-2</v>
      </c>
      <c r="V808" t="s">
        <v>162</v>
      </c>
    </row>
    <row r="809" spans="9:22" x14ac:dyDescent="0.45">
      <c r="I809" t="s">
        <v>258</v>
      </c>
      <c r="J809" t="s">
        <v>168</v>
      </c>
      <c r="K809">
        <v>3.5744969753316876E-2</v>
      </c>
      <c r="L809" t="s">
        <v>162</v>
      </c>
      <c r="N809" t="s">
        <v>370</v>
      </c>
      <c r="O809" t="s">
        <v>168</v>
      </c>
      <c r="P809">
        <v>6.3858780557445857E-2</v>
      </c>
      <c r="Q809" t="s">
        <v>162</v>
      </c>
      <c r="S809" t="s">
        <v>482</v>
      </c>
      <c r="T809" t="s">
        <v>168</v>
      </c>
      <c r="U809">
        <v>7.4879197847975851E-2</v>
      </c>
      <c r="V809" t="s">
        <v>162</v>
      </c>
    </row>
    <row r="810" spans="9:22" x14ac:dyDescent="0.45">
      <c r="I810" t="s">
        <v>258</v>
      </c>
      <c r="J810" t="s">
        <v>169</v>
      </c>
      <c r="K810">
        <v>0</v>
      </c>
      <c r="L810" t="s">
        <v>162</v>
      </c>
      <c r="N810" t="s">
        <v>370</v>
      </c>
      <c r="O810" t="s">
        <v>169</v>
      </c>
      <c r="P810">
        <v>4.6305100554202691E-3</v>
      </c>
      <c r="Q810" t="s">
        <v>162</v>
      </c>
      <c r="S810" t="s">
        <v>482</v>
      </c>
      <c r="T810" t="s">
        <v>169</v>
      </c>
      <c r="U810">
        <v>4.3471727294912494E-3</v>
      </c>
      <c r="V810" t="s">
        <v>162</v>
      </c>
    </row>
    <row r="811" spans="9:22" x14ac:dyDescent="0.45">
      <c r="I811" t="s">
        <v>258</v>
      </c>
      <c r="J811" t="s">
        <v>170</v>
      </c>
      <c r="K811">
        <v>0</v>
      </c>
      <c r="L811" t="s">
        <v>162</v>
      </c>
      <c r="N811" t="s">
        <v>370</v>
      </c>
      <c r="O811" t="s">
        <v>170</v>
      </c>
      <c r="P811">
        <v>2.7057198184241373E-2</v>
      </c>
      <c r="Q811" t="s">
        <v>162</v>
      </c>
      <c r="S811" t="s">
        <v>482</v>
      </c>
      <c r="T811" t="s">
        <v>170</v>
      </c>
      <c r="U811">
        <v>2.6868399302957726E-2</v>
      </c>
      <c r="V811" t="s">
        <v>162</v>
      </c>
    </row>
    <row r="812" spans="9:22" x14ac:dyDescent="0.45">
      <c r="I812" t="s">
        <v>259</v>
      </c>
      <c r="J812" t="s">
        <v>161</v>
      </c>
      <c r="K812">
        <v>0.82070347492746232</v>
      </c>
      <c r="L812" t="s">
        <v>162</v>
      </c>
      <c r="N812" t="s">
        <v>371</v>
      </c>
      <c r="O812" t="s">
        <v>161</v>
      </c>
      <c r="P812">
        <v>0.55672907733073962</v>
      </c>
      <c r="Q812" t="s">
        <v>162</v>
      </c>
      <c r="S812" t="s">
        <v>483</v>
      </c>
      <c r="T812" t="s">
        <v>161</v>
      </c>
      <c r="U812">
        <v>0.56569546666030557</v>
      </c>
      <c r="V812" t="s">
        <v>162</v>
      </c>
    </row>
    <row r="813" spans="9:22" x14ac:dyDescent="0.45">
      <c r="I813" t="s">
        <v>259</v>
      </c>
      <c r="J813" t="s">
        <v>163</v>
      </c>
      <c r="K813">
        <v>5.7589003712065392E-2</v>
      </c>
      <c r="L813" t="s">
        <v>162</v>
      </c>
      <c r="N813" t="s">
        <v>371</v>
      </c>
      <c r="O813" t="s">
        <v>163</v>
      </c>
      <c r="P813">
        <v>3.2992531750351564E-2</v>
      </c>
      <c r="Q813" t="s">
        <v>162</v>
      </c>
      <c r="S813" t="s">
        <v>483</v>
      </c>
      <c r="T813" t="s">
        <v>163</v>
      </c>
      <c r="U813">
        <v>3.7158789531817137E-2</v>
      </c>
      <c r="V813" t="s">
        <v>162</v>
      </c>
    </row>
    <row r="814" spans="9:22" x14ac:dyDescent="0.45">
      <c r="I814" t="s">
        <v>259</v>
      </c>
      <c r="J814" t="s">
        <v>164</v>
      </c>
      <c r="K814">
        <v>6.8223292119390294E-2</v>
      </c>
      <c r="L814" t="s">
        <v>162</v>
      </c>
      <c r="N814" t="s">
        <v>371</v>
      </c>
      <c r="O814" t="s">
        <v>164</v>
      </c>
      <c r="P814">
        <v>0.2315065498286166</v>
      </c>
      <c r="Q814" t="s">
        <v>162</v>
      </c>
      <c r="S814" t="s">
        <v>483</v>
      </c>
      <c r="T814" t="s">
        <v>164</v>
      </c>
      <c r="U814">
        <v>0.21118686787703292</v>
      </c>
      <c r="V814" t="s">
        <v>162</v>
      </c>
    </row>
    <row r="815" spans="9:22" x14ac:dyDescent="0.45">
      <c r="I815" t="s">
        <v>259</v>
      </c>
      <c r="J815" t="s">
        <v>165</v>
      </c>
      <c r="K815">
        <v>2.1439932563955575E-2</v>
      </c>
      <c r="L815" t="s">
        <v>162</v>
      </c>
      <c r="N815" t="s">
        <v>371</v>
      </c>
      <c r="O815" t="s">
        <v>165</v>
      </c>
      <c r="P815">
        <v>6.7246704944575353E-2</v>
      </c>
      <c r="Q815" t="s">
        <v>162</v>
      </c>
      <c r="S815" t="s">
        <v>483</v>
      </c>
      <c r="T815" t="s">
        <v>165</v>
      </c>
      <c r="U815">
        <v>6.8802879137209505E-2</v>
      </c>
      <c r="V815" t="s">
        <v>162</v>
      </c>
    </row>
    <row r="816" spans="9:22" x14ac:dyDescent="0.45">
      <c r="I816" t="s">
        <v>259</v>
      </c>
      <c r="J816" t="s">
        <v>166</v>
      </c>
      <c r="K816">
        <v>0</v>
      </c>
      <c r="L816" t="s">
        <v>162</v>
      </c>
      <c r="N816" t="s">
        <v>371</v>
      </c>
      <c r="O816" t="s">
        <v>166</v>
      </c>
      <c r="P816">
        <v>3.8125771998237861E-3</v>
      </c>
      <c r="Q816" t="s">
        <v>162</v>
      </c>
      <c r="S816" t="s">
        <v>483</v>
      </c>
      <c r="T816" t="s">
        <v>166</v>
      </c>
      <c r="U816">
        <v>4.3601668025263513E-3</v>
      </c>
      <c r="V816" t="s">
        <v>162</v>
      </c>
    </row>
    <row r="817" spans="9:22" x14ac:dyDescent="0.45">
      <c r="I817" t="s">
        <v>259</v>
      </c>
      <c r="J817" t="s">
        <v>167</v>
      </c>
      <c r="K817">
        <v>0</v>
      </c>
      <c r="L817" t="s">
        <v>162</v>
      </c>
      <c r="N817" t="s">
        <v>371</v>
      </c>
      <c r="O817" t="s">
        <v>167</v>
      </c>
      <c r="P817">
        <v>2.2105159837991026E-2</v>
      </c>
      <c r="Q817" t="s">
        <v>162</v>
      </c>
      <c r="S817" t="s">
        <v>483</v>
      </c>
      <c r="T817" t="s">
        <v>167</v>
      </c>
      <c r="U817">
        <v>2.620069895299949E-2</v>
      </c>
      <c r="V817" t="s">
        <v>162</v>
      </c>
    </row>
    <row r="818" spans="9:22" x14ac:dyDescent="0.45">
      <c r="I818" t="s">
        <v>259</v>
      </c>
      <c r="J818" t="s">
        <v>168</v>
      </c>
      <c r="K818">
        <v>3.2044296677123323E-2</v>
      </c>
      <c r="L818" t="s">
        <v>162</v>
      </c>
      <c r="N818" t="s">
        <v>371</v>
      </c>
      <c r="O818" t="s">
        <v>168</v>
      </c>
      <c r="P818">
        <v>5.6720585537495288E-2</v>
      </c>
      <c r="Q818" t="s">
        <v>162</v>
      </c>
      <c r="S818" t="s">
        <v>483</v>
      </c>
      <c r="T818" t="s">
        <v>168</v>
      </c>
      <c r="U818">
        <v>6.031582471270331E-2</v>
      </c>
      <c r="V818" t="s">
        <v>162</v>
      </c>
    </row>
    <row r="819" spans="9:22" x14ac:dyDescent="0.45">
      <c r="I819" t="s">
        <v>259</v>
      </c>
      <c r="J819" t="s">
        <v>169</v>
      </c>
      <c r="K819">
        <v>0</v>
      </c>
      <c r="L819" t="s">
        <v>162</v>
      </c>
      <c r="N819" t="s">
        <v>371</v>
      </c>
      <c r="O819" t="s">
        <v>169</v>
      </c>
      <c r="P819">
        <v>4.0253770041890789E-3</v>
      </c>
      <c r="Q819" t="s">
        <v>162</v>
      </c>
      <c r="S819" t="s">
        <v>483</v>
      </c>
      <c r="T819" t="s">
        <v>169</v>
      </c>
      <c r="U819">
        <v>3.6444724372835594E-3</v>
      </c>
      <c r="V819" t="s">
        <v>162</v>
      </c>
    </row>
    <row r="820" spans="9:22" x14ac:dyDescent="0.45">
      <c r="I820" t="s">
        <v>259</v>
      </c>
      <c r="J820" t="s">
        <v>170</v>
      </c>
      <c r="K820">
        <v>0</v>
      </c>
      <c r="L820" t="s">
        <v>162</v>
      </c>
      <c r="N820" t="s">
        <v>371</v>
      </c>
      <c r="O820" t="s">
        <v>170</v>
      </c>
      <c r="P820">
        <v>2.4861436566215814E-2</v>
      </c>
      <c r="Q820" t="s">
        <v>162</v>
      </c>
      <c r="S820" t="s">
        <v>483</v>
      </c>
      <c r="T820" t="s">
        <v>170</v>
      </c>
      <c r="U820">
        <v>2.2634833888118409E-2</v>
      </c>
      <c r="V820" t="s">
        <v>162</v>
      </c>
    </row>
    <row r="821" spans="9:22" x14ac:dyDescent="0.45">
      <c r="I821" t="s">
        <v>260</v>
      </c>
      <c r="J821" t="s">
        <v>161</v>
      </c>
      <c r="K821">
        <v>0.80262887256405591</v>
      </c>
      <c r="L821" t="s">
        <v>162</v>
      </c>
      <c r="N821" t="s">
        <v>372</v>
      </c>
      <c r="O821" t="s">
        <v>161</v>
      </c>
      <c r="P821">
        <v>0.56182989596418464</v>
      </c>
      <c r="Q821" t="s">
        <v>162</v>
      </c>
      <c r="S821" t="s">
        <v>484</v>
      </c>
      <c r="T821" t="s">
        <v>161</v>
      </c>
      <c r="U821">
        <v>0.54138057285137364</v>
      </c>
      <c r="V821" t="s">
        <v>162</v>
      </c>
    </row>
    <row r="822" spans="9:22" x14ac:dyDescent="0.45">
      <c r="I822" t="s">
        <v>260</v>
      </c>
      <c r="J822" t="s">
        <v>163</v>
      </c>
      <c r="K822">
        <v>6.0090452335380198E-2</v>
      </c>
      <c r="L822" t="s">
        <v>162</v>
      </c>
      <c r="N822" t="s">
        <v>372</v>
      </c>
      <c r="O822" t="s">
        <v>163</v>
      </c>
      <c r="P822">
        <v>3.2874754870577366E-2</v>
      </c>
      <c r="Q822" t="s">
        <v>162</v>
      </c>
      <c r="S822" t="s">
        <v>484</v>
      </c>
      <c r="T822" t="s">
        <v>163</v>
      </c>
      <c r="U822">
        <v>3.3176806711120402E-2</v>
      </c>
      <c r="V822" t="s">
        <v>162</v>
      </c>
    </row>
    <row r="823" spans="9:22" x14ac:dyDescent="0.45">
      <c r="I823" t="s">
        <v>260</v>
      </c>
      <c r="J823" t="s">
        <v>164</v>
      </c>
      <c r="K823">
        <v>7.3116390850507959E-2</v>
      </c>
      <c r="L823" t="s">
        <v>162</v>
      </c>
      <c r="N823" t="s">
        <v>372</v>
      </c>
      <c r="O823" t="s">
        <v>164</v>
      </c>
      <c r="P823">
        <v>0.2342046968439174</v>
      </c>
      <c r="Q823" t="s">
        <v>162</v>
      </c>
      <c r="S823" t="s">
        <v>484</v>
      </c>
      <c r="T823" t="s">
        <v>164</v>
      </c>
      <c r="U823">
        <v>0.19560980854611923</v>
      </c>
      <c r="V823" t="s">
        <v>162</v>
      </c>
    </row>
    <row r="824" spans="9:22" x14ac:dyDescent="0.45">
      <c r="I824" t="s">
        <v>260</v>
      </c>
      <c r="J824" t="s">
        <v>165</v>
      </c>
      <c r="K824">
        <v>2.6006200022335862E-2</v>
      </c>
      <c r="L824" t="s">
        <v>162</v>
      </c>
      <c r="N824" t="s">
        <v>372</v>
      </c>
      <c r="O824" t="s">
        <v>165</v>
      </c>
      <c r="P824">
        <v>5.8421542541808251E-2</v>
      </c>
      <c r="Q824" t="s">
        <v>162</v>
      </c>
      <c r="S824" t="s">
        <v>484</v>
      </c>
      <c r="T824" t="s">
        <v>165</v>
      </c>
      <c r="U824">
        <v>7.6354864700441075E-2</v>
      </c>
      <c r="V824" t="s">
        <v>162</v>
      </c>
    </row>
    <row r="825" spans="9:22" x14ac:dyDescent="0.45">
      <c r="I825" t="s">
        <v>260</v>
      </c>
      <c r="J825" t="s">
        <v>166</v>
      </c>
      <c r="K825">
        <v>2.7357127871405724E-5</v>
      </c>
      <c r="L825" t="s">
        <v>162</v>
      </c>
      <c r="N825" t="s">
        <v>372</v>
      </c>
      <c r="O825" t="s">
        <v>166</v>
      </c>
      <c r="P825">
        <v>3.6092747897598161E-3</v>
      </c>
      <c r="Q825" t="s">
        <v>162</v>
      </c>
      <c r="S825" t="s">
        <v>484</v>
      </c>
      <c r="T825" t="s">
        <v>166</v>
      </c>
      <c r="U825">
        <v>4.4235464182793864E-3</v>
      </c>
      <c r="V825" t="s">
        <v>162</v>
      </c>
    </row>
    <row r="826" spans="9:22" x14ac:dyDescent="0.45">
      <c r="I826" t="s">
        <v>260</v>
      </c>
      <c r="J826" t="s">
        <v>167</v>
      </c>
      <c r="K826">
        <v>0</v>
      </c>
      <c r="L826" t="s">
        <v>162</v>
      </c>
      <c r="N826" t="s">
        <v>372</v>
      </c>
      <c r="O826" t="s">
        <v>167</v>
      </c>
      <c r="P826">
        <v>2.0855542183438519E-2</v>
      </c>
      <c r="Q826" t="s">
        <v>162</v>
      </c>
      <c r="S826" t="s">
        <v>484</v>
      </c>
      <c r="T826" t="s">
        <v>167</v>
      </c>
      <c r="U826">
        <v>2.7321513909183914E-2</v>
      </c>
      <c r="V826" t="s">
        <v>162</v>
      </c>
    </row>
    <row r="827" spans="9:22" x14ac:dyDescent="0.45">
      <c r="I827" t="s">
        <v>260</v>
      </c>
      <c r="J827" t="s">
        <v>168</v>
      </c>
      <c r="K827">
        <v>3.8130727099846148E-2</v>
      </c>
      <c r="L827" t="s">
        <v>162</v>
      </c>
      <c r="N827" t="s">
        <v>372</v>
      </c>
      <c r="O827" t="s">
        <v>168</v>
      </c>
      <c r="P827">
        <v>5.731868406181484E-2</v>
      </c>
      <c r="Q827" t="s">
        <v>162</v>
      </c>
      <c r="S827" t="s">
        <v>484</v>
      </c>
      <c r="T827" t="s">
        <v>168</v>
      </c>
      <c r="U827">
        <v>8.5254710627497218E-2</v>
      </c>
      <c r="V827" t="s">
        <v>162</v>
      </c>
    </row>
    <row r="828" spans="9:22" x14ac:dyDescent="0.45">
      <c r="I828" t="s">
        <v>260</v>
      </c>
      <c r="J828" t="s">
        <v>169</v>
      </c>
      <c r="K828">
        <v>0</v>
      </c>
      <c r="L828" t="s">
        <v>162</v>
      </c>
      <c r="N828" t="s">
        <v>372</v>
      </c>
      <c r="O828" t="s">
        <v>169</v>
      </c>
      <c r="P828">
        <v>4.3083260502914224E-3</v>
      </c>
      <c r="Q828" t="s">
        <v>162</v>
      </c>
      <c r="S828" t="s">
        <v>484</v>
      </c>
      <c r="T828" t="s">
        <v>169</v>
      </c>
      <c r="U828">
        <v>5.1158916687159264E-3</v>
      </c>
      <c r="V828" t="s">
        <v>162</v>
      </c>
    </row>
    <row r="829" spans="9:22" x14ac:dyDescent="0.45">
      <c r="I829" t="s">
        <v>260</v>
      </c>
      <c r="J829" t="s">
        <v>170</v>
      </c>
      <c r="K829">
        <v>0</v>
      </c>
      <c r="L829" t="s">
        <v>162</v>
      </c>
      <c r="N829" t="s">
        <v>372</v>
      </c>
      <c r="O829" t="s">
        <v>170</v>
      </c>
      <c r="P829">
        <v>2.6577282694207928E-2</v>
      </c>
      <c r="Q829" t="s">
        <v>162</v>
      </c>
      <c r="S829" t="s">
        <v>484</v>
      </c>
      <c r="T829" t="s">
        <v>170</v>
      </c>
      <c r="U829">
        <v>3.1362284567267536E-2</v>
      </c>
      <c r="V829" t="s">
        <v>162</v>
      </c>
    </row>
    <row r="830" spans="9:22" x14ac:dyDescent="0.45">
      <c r="I830" t="s">
        <v>261</v>
      </c>
      <c r="J830" t="s">
        <v>161</v>
      </c>
      <c r="K830">
        <v>0.82192176863410138</v>
      </c>
      <c r="L830" t="s">
        <v>162</v>
      </c>
      <c r="N830" t="s">
        <v>373</v>
      </c>
      <c r="O830" t="s">
        <v>161</v>
      </c>
      <c r="P830">
        <v>0.57209125655596471</v>
      </c>
      <c r="Q830" t="s">
        <v>162</v>
      </c>
      <c r="S830" t="s">
        <v>485</v>
      </c>
      <c r="T830" t="s">
        <v>161</v>
      </c>
      <c r="U830">
        <v>0.54099975878602824</v>
      </c>
      <c r="V830" t="s">
        <v>162</v>
      </c>
    </row>
    <row r="831" spans="9:22" x14ac:dyDescent="0.45">
      <c r="I831" t="s">
        <v>261</v>
      </c>
      <c r="J831" t="s">
        <v>163</v>
      </c>
      <c r="K831">
        <v>5.5326464040815648E-2</v>
      </c>
      <c r="L831" t="s">
        <v>162</v>
      </c>
      <c r="N831" t="s">
        <v>373</v>
      </c>
      <c r="O831" t="s">
        <v>163</v>
      </c>
      <c r="P831">
        <v>3.1536309513270695E-2</v>
      </c>
      <c r="Q831" t="s">
        <v>162</v>
      </c>
      <c r="S831" t="s">
        <v>485</v>
      </c>
      <c r="T831" t="s">
        <v>163</v>
      </c>
      <c r="U831">
        <v>3.5042059559509474E-2</v>
      </c>
      <c r="V831" t="s">
        <v>162</v>
      </c>
    </row>
    <row r="832" spans="9:22" x14ac:dyDescent="0.45">
      <c r="I832" t="s">
        <v>261</v>
      </c>
      <c r="J832" t="s">
        <v>164</v>
      </c>
      <c r="K832">
        <v>6.1272217271585959E-2</v>
      </c>
      <c r="L832" t="s">
        <v>162</v>
      </c>
      <c r="N832" t="s">
        <v>373</v>
      </c>
      <c r="O832" t="s">
        <v>164</v>
      </c>
      <c r="P832">
        <v>0.20330565580435911</v>
      </c>
      <c r="Q832" t="s">
        <v>162</v>
      </c>
      <c r="S832" t="s">
        <v>485</v>
      </c>
      <c r="T832" t="s">
        <v>164</v>
      </c>
      <c r="U832">
        <v>0.20281439460345818</v>
      </c>
      <c r="V832" t="s">
        <v>162</v>
      </c>
    </row>
    <row r="833" spans="9:22" x14ac:dyDescent="0.45">
      <c r="I833" t="s">
        <v>261</v>
      </c>
      <c r="J833" t="s">
        <v>165</v>
      </c>
      <c r="K833">
        <v>2.3029424348128734E-2</v>
      </c>
      <c r="L833" t="s">
        <v>162</v>
      </c>
      <c r="N833" t="s">
        <v>373</v>
      </c>
      <c r="O833" t="s">
        <v>165</v>
      </c>
      <c r="P833">
        <v>7.3305206475622067E-2</v>
      </c>
      <c r="Q833" t="s">
        <v>162</v>
      </c>
      <c r="S833" t="s">
        <v>485</v>
      </c>
      <c r="T833" t="s">
        <v>165</v>
      </c>
      <c r="U833">
        <v>7.6987192952683289E-2</v>
      </c>
      <c r="V833" t="s">
        <v>162</v>
      </c>
    </row>
    <row r="834" spans="9:22" x14ac:dyDescent="0.45">
      <c r="I834" t="s">
        <v>261</v>
      </c>
      <c r="J834" t="s">
        <v>166</v>
      </c>
      <c r="K834">
        <v>0</v>
      </c>
      <c r="L834" t="s">
        <v>162</v>
      </c>
      <c r="N834" t="s">
        <v>373</v>
      </c>
      <c r="O834" t="s">
        <v>166</v>
      </c>
      <c r="P834">
        <v>4.7245588774672293E-3</v>
      </c>
      <c r="Q834" t="s">
        <v>162</v>
      </c>
      <c r="S834" t="s">
        <v>485</v>
      </c>
      <c r="T834" t="s">
        <v>166</v>
      </c>
      <c r="U834">
        <v>4.3897810879826504E-3</v>
      </c>
      <c r="V834" t="s">
        <v>162</v>
      </c>
    </row>
    <row r="835" spans="9:22" x14ac:dyDescent="0.45">
      <c r="I835" t="s">
        <v>261</v>
      </c>
      <c r="J835" t="s">
        <v>167</v>
      </c>
      <c r="K835">
        <v>0</v>
      </c>
      <c r="L835" t="s">
        <v>162</v>
      </c>
      <c r="N835" t="s">
        <v>373</v>
      </c>
      <c r="O835" t="s">
        <v>167</v>
      </c>
      <c r="P835">
        <v>2.8969863995727745E-2</v>
      </c>
      <c r="Q835" t="s">
        <v>162</v>
      </c>
      <c r="S835" t="s">
        <v>485</v>
      </c>
      <c r="T835" t="s">
        <v>167</v>
      </c>
      <c r="U835">
        <v>2.7058949919730117E-2</v>
      </c>
      <c r="V835" t="s">
        <v>162</v>
      </c>
    </row>
    <row r="836" spans="9:22" x14ac:dyDescent="0.45">
      <c r="I836" t="s">
        <v>261</v>
      </c>
      <c r="J836" t="s">
        <v>168</v>
      </c>
      <c r="K836">
        <v>3.8450125705366531E-2</v>
      </c>
      <c r="L836" t="s">
        <v>162</v>
      </c>
      <c r="N836" t="s">
        <v>373</v>
      </c>
      <c r="O836" t="s">
        <v>168</v>
      </c>
      <c r="P836">
        <v>5.8865808654652962E-2</v>
      </c>
      <c r="Q836" t="s">
        <v>162</v>
      </c>
      <c r="S836" t="s">
        <v>485</v>
      </c>
      <c r="T836" t="s">
        <v>168</v>
      </c>
      <c r="U836">
        <v>7.7225908728761408E-2</v>
      </c>
      <c r="V836" t="s">
        <v>162</v>
      </c>
    </row>
    <row r="837" spans="9:22" x14ac:dyDescent="0.45">
      <c r="I837" t="s">
        <v>261</v>
      </c>
      <c r="J837" t="s">
        <v>169</v>
      </c>
      <c r="K837">
        <v>0</v>
      </c>
      <c r="L837" t="s">
        <v>162</v>
      </c>
      <c r="N837" t="s">
        <v>373</v>
      </c>
      <c r="O837" t="s">
        <v>169</v>
      </c>
      <c r="P837">
        <v>3.9469468540360535E-3</v>
      </c>
      <c r="Q837" t="s">
        <v>162</v>
      </c>
      <c r="S837" t="s">
        <v>485</v>
      </c>
      <c r="T837" t="s">
        <v>169</v>
      </c>
      <c r="U837">
        <v>5.1734607749979542E-3</v>
      </c>
      <c r="V837" t="s">
        <v>162</v>
      </c>
    </row>
    <row r="838" spans="9:22" x14ac:dyDescent="0.45">
      <c r="I838" t="s">
        <v>261</v>
      </c>
      <c r="J838" t="s">
        <v>170</v>
      </c>
      <c r="K838">
        <v>0</v>
      </c>
      <c r="L838" t="s">
        <v>162</v>
      </c>
      <c r="N838" t="s">
        <v>373</v>
      </c>
      <c r="O838" t="s">
        <v>170</v>
      </c>
      <c r="P838">
        <v>2.3254393268899973E-2</v>
      </c>
      <c r="Q838" t="s">
        <v>162</v>
      </c>
      <c r="S838" t="s">
        <v>485</v>
      </c>
      <c r="T838" t="s">
        <v>170</v>
      </c>
      <c r="U838">
        <v>3.0308493586851046E-2</v>
      </c>
      <c r="V838" t="s">
        <v>162</v>
      </c>
    </row>
    <row r="839" spans="9:22" x14ac:dyDescent="0.45">
      <c r="I839" t="s">
        <v>262</v>
      </c>
      <c r="J839" t="s">
        <v>161</v>
      </c>
      <c r="K839">
        <v>0.80745803710273689</v>
      </c>
      <c r="L839" t="s">
        <v>162</v>
      </c>
      <c r="N839" t="s">
        <v>374</v>
      </c>
      <c r="O839" t="s">
        <v>161</v>
      </c>
      <c r="P839">
        <v>0.56278793955874196</v>
      </c>
      <c r="Q839" t="s">
        <v>162</v>
      </c>
      <c r="S839" t="s">
        <v>486</v>
      </c>
      <c r="T839" t="s">
        <v>161</v>
      </c>
      <c r="U839">
        <v>0.54231173349911099</v>
      </c>
      <c r="V839" t="s">
        <v>162</v>
      </c>
    </row>
    <row r="840" spans="9:22" x14ac:dyDescent="0.45">
      <c r="I840" t="s">
        <v>262</v>
      </c>
      <c r="J840" t="s">
        <v>163</v>
      </c>
      <c r="K840">
        <v>5.7084830595640006E-2</v>
      </c>
      <c r="L840" t="s">
        <v>162</v>
      </c>
      <c r="N840" t="s">
        <v>374</v>
      </c>
      <c r="O840" t="s">
        <v>163</v>
      </c>
      <c r="P840">
        <v>3.1158288057013584E-2</v>
      </c>
      <c r="Q840" t="s">
        <v>162</v>
      </c>
      <c r="S840" t="s">
        <v>486</v>
      </c>
      <c r="T840" t="s">
        <v>163</v>
      </c>
      <c r="U840">
        <v>3.2951943716234666E-2</v>
      </c>
      <c r="V840" t="s">
        <v>162</v>
      </c>
    </row>
    <row r="841" spans="9:22" x14ac:dyDescent="0.45">
      <c r="I841" t="s">
        <v>262</v>
      </c>
      <c r="J841" t="s">
        <v>164</v>
      </c>
      <c r="K841">
        <v>6.3220157424418139E-2</v>
      </c>
      <c r="L841" t="s">
        <v>162</v>
      </c>
      <c r="N841" t="s">
        <v>374</v>
      </c>
      <c r="O841" t="s">
        <v>164</v>
      </c>
      <c r="P841">
        <v>0.20737361710666138</v>
      </c>
      <c r="Q841" t="s">
        <v>162</v>
      </c>
      <c r="S841" t="s">
        <v>486</v>
      </c>
      <c r="T841" t="s">
        <v>164</v>
      </c>
      <c r="U841">
        <v>0.19559363671154492</v>
      </c>
      <c r="V841" t="s">
        <v>162</v>
      </c>
    </row>
    <row r="842" spans="9:22" x14ac:dyDescent="0.45">
      <c r="I842" t="s">
        <v>262</v>
      </c>
      <c r="J842" t="s">
        <v>165</v>
      </c>
      <c r="K842">
        <v>2.9710127659677798E-2</v>
      </c>
      <c r="L842" t="s">
        <v>162</v>
      </c>
      <c r="N842" t="s">
        <v>374</v>
      </c>
      <c r="O842" t="s">
        <v>165</v>
      </c>
      <c r="P842">
        <v>8.3453510437783915E-2</v>
      </c>
      <c r="Q842" t="s">
        <v>162</v>
      </c>
      <c r="S842" t="s">
        <v>486</v>
      </c>
      <c r="T842" t="s">
        <v>165</v>
      </c>
      <c r="U842">
        <v>7.8056004055497799E-2</v>
      </c>
      <c r="V842" t="s">
        <v>162</v>
      </c>
    </row>
    <row r="843" spans="9:22" x14ac:dyDescent="0.45">
      <c r="I843" t="s">
        <v>262</v>
      </c>
      <c r="J843" t="s">
        <v>166</v>
      </c>
      <c r="K843">
        <v>8.799951828027343E-5</v>
      </c>
      <c r="L843" t="s">
        <v>162</v>
      </c>
      <c r="N843" t="s">
        <v>374</v>
      </c>
      <c r="O843" t="s">
        <v>166</v>
      </c>
      <c r="P843">
        <v>5.5853535501352476E-3</v>
      </c>
      <c r="Q843" t="s">
        <v>162</v>
      </c>
      <c r="S843" t="s">
        <v>486</v>
      </c>
      <c r="T843" t="s">
        <v>166</v>
      </c>
      <c r="U843">
        <v>4.3709470055601461E-3</v>
      </c>
      <c r="V843" t="s">
        <v>162</v>
      </c>
    </row>
    <row r="844" spans="9:22" x14ac:dyDescent="0.45">
      <c r="I844" t="s">
        <v>262</v>
      </c>
      <c r="J844" t="s">
        <v>167</v>
      </c>
      <c r="K844">
        <v>0</v>
      </c>
      <c r="L844" t="s">
        <v>162</v>
      </c>
      <c r="N844" t="s">
        <v>374</v>
      </c>
      <c r="O844" t="s">
        <v>167</v>
      </c>
      <c r="P844">
        <v>3.2881009649314993E-2</v>
      </c>
      <c r="Q844" t="s">
        <v>162</v>
      </c>
      <c r="S844" t="s">
        <v>486</v>
      </c>
      <c r="T844" t="s">
        <v>167</v>
      </c>
      <c r="U844">
        <v>2.7251025442274646E-2</v>
      </c>
      <c r="V844" t="s">
        <v>162</v>
      </c>
    </row>
    <row r="845" spans="9:22" x14ac:dyDescent="0.45">
      <c r="I845" t="s">
        <v>262</v>
      </c>
      <c r="J845" t="s">
        <v>168</v>
      </c>
      <c r="K845">
        <v>4.2438847699246281E-2</v>
      </c>
      <c r="L845" t="s">
        <v>162</v>
      </c>
      <c r="N845" t="s">
        <v>374</v>
      </c>
      <c r="O845" t="s">
        <v>168</v>
      </c>
      <c r="P845">
        <v>5.3609510195639545E-2</v>
      </c>
      <c r="Q845" t="s">
        <v>162</v>
      </c>
      <c r="S845" t="s">
        <v>486</v>
      </c>
      <c r="T845" t="s">
        <v>168</v>
      </c>
      <c r="U845">
        <v>8.328683199132611E-2</v>
      </c>
      <c r="V845" t="s">
        <v>162</v>
      </c>
    </row>
    <row r="846" spans="9:22" x14ac:dyDescent="0.45">
      <c r="I846" t="s">
        <v>262</v>
      </c>
      <c r="J846" t="s">
        <v>169</v>
      </c>
      <c r="K846">
        <v>0</v>
      </c>
      <c r="L846" t="s">
        <v>162</v>
      </c>
      <c r="N846" t="s">
        <v>374</v>
      </c>
      <c r="O846" t="s">
        <v>169</v>
      </c>
      <c r="P846">
        <v>3.4263955262419381E-3</v>
      </c>
      <c r="Q846" t="s">
        <v>162</v>
      </c>
      <c r="S846" t="s">
        <v>486</v>
      </c>
      <c r="T846" t="s">
        <v>169</v>
      </c>
      <c r="U846">
        <v>5.2242968447929724E-3</v>
      </c>
      <c r="V846" t="s">
        <v>162</v>
      </c>
    </row>
    <row r="847" spans="9:22" x14ac:dyDescent="0.45">
      <c r="I847" t="s">
        <v>262</v>
      </c>
      <c r="J847" t="s">
        <v>170</v>
      </c>
      <c r="K847">
        <v>0</v>
      </c>
      <c r="L847" t="s">
        <v>162</v>
      </c>
      <c r="N847" t="s">
        <v>374</v>
      </c>
      <c r="O847" t="s">
        <v>170</v>
      </c>
      <c r="P847">
        <v>1.9724375918470552E-2</v>
      </c>
      <c r="Q847" t="s">
        <v>162</v>
      </c>
      <c r="S847" t="s">
        <v>486</v>
      </c>
      <c r="T847" t="s">
        <v>170</v>
      </c>
      <c r="U847">
        <v>3.0953580733655461E-2</v>
      </c>
      <c r="V847" t="s">
        <v>162</v>
      </c>
    </row>
    <row r="848" spans="9:22" x14ac:dyDescent="0.45">
      <c r="I848" t="s">
        <v>263</v>
      </c>
      <c r="J848" t="s">
        <v>161</v>
      </c>
      <c r="K848">
        <v>0.8250228574333649</v>
      </c>
      <c r="L848" t="s">
        <v>162</v>
      </c>
      <c r="N848" t="s">
        <v>375</v>
      </c>
      <c r="O848" t="s">
        <v>161</v>
      </c>
      <c r="P848">
        <v>0.55378643711393449</v>
      </c>
      <c r="Q848" t="s">
        <v>162</v>
      </c>
      <c r="S848" t="s">
        <v>487</v>
      </c>
      <c r="T848" t="s">
        <v>161</v>
      </c>
      <c r="U848">
        <v>0.57770924886351294</v>
      </c>
      <c r="V848" t="s">
        <v>162</v>
      </c>
    </row>
    <row r="849" spans="9:22" x14ac:dyDescent="0.45">
      <c r="I849" t="s">
        <v>263</v>
      </c>
      <c r="J849" t="s">
        <v>163</v>
      </c>
      <c r="K849">
        <v>5.4941898832493237E-2</v>
      </c>
      <c r="L849" t="s">
        <v>162</v>
      </c>
      <c r="N849" t="s">
        <v>375</v>
      </c>
      <c r="O849" t="s">
        <v>163</v>
      </c>
      <c r="P849">
        <v>3.0874193040895209E-2</v>
      </c>
      <c r="Q849" t="s">
        <v>162</v>
      </c>
      <c r="S849" t="s">
        <v>487</v>
      </c>
      <c r="T849" t="s">
        <v>163</v>
      </c>
      <c r="U849">
        <v>3.3308238404571908E-2</v>
      </c>
      <c r="V849" t="s">
        <v>162</v>
      </c>
    </row>
    <row r="850" spans="9:22" x14ac:dyDescent="0.45">
      <c r="I850" t="s">
        <v>263</v>
      </c>
      <c r="J850" t="s">
        <v>164</v>
      </c>
      <c r="K850">
        <v>5.3222224652910759E-2</v>
      </c>
      <c r="L850" t="s">
        <v>162</v>
      </c>
      <c r="N850" t="s">
        <v>375</v>
      </c>
      <c r="O850" t="s">
        <v>164</v>
      </c>
      <c r="P850">
        <v>0.21531593922535827</v>
      </c>
      <c r="Q850" t="s">
        <v>162</v>
      </c>
      <c r="S850" t="s">
        <v>487</v>
      </c>
      <c r="T850" t="s">
        <v>164</v>
      </c>
      <c r="U850">
        <v>0.19953942293397625</v>
      </c>
      <c r="V850" t="s">
        <v>162</v>
      </c>
    </row>
    <row r="851" spans="9:22" x14ac:dyDescent="0.45">
      <c r="I851" t="s">
        <v>263</v>
      </c>
      <c r="J851" t="s">
        <v>165</v>
      </c>
      <c r="K851">
        <v>2.8158541658121521E-2</v>
      </c>
      <c r="L851" t="s">
        <v>162</v>
      </c>
      <c r="N851" t="s">
        <v>375</v>
      </c>
      <c r="O851" t="s">
        <v>165</v>
      </c>
      <c r="P851">
        <v>8.7511855713640299E-2</v>
      </c>
      <c r="Q851" t="s">
        <v>162</v>
      </c>
      <c r="S851" t="s">
        <v>487</v>
      </c>
      <c r="T851" t="s">
        <v>165</v>
      </c>
      <c r="U851">
        <v>6.5170385583295326E-2</v>
      </c>
      <c r="V851" t="s">
        <v>162</v>
      </c>
    </row>
    <row r="852" spans="9:22" x14ac:dyDescent="0.45">
      <c r="I852" t="s">
        <v>263</v>
      </c>
      <c r="J852" t="s">
        <v>166</v>
      </c>
      <c r="K852">
        <v>0</v>
      </c>
      <c r="L852" t="s">
        <v>162</v>
      </c>
      <c r="N852" t="s">
        <v>375</v>
      </c>
      <c r="O852" t="s">
        <v>166</v>
      </c>
      <c r="P852">
        <v>5.4806423409387147E-3</v>
      </c>
      <c r="Q852" t="s">
        <v>162</v>
      </c>
      <c r="S852" t="s">
        <v>487</v>
      </c>
      <c r="T852" t="s">
        <v>166</v>
      </c>
      <c r="U852">
        <v>3.6269611264915743E-3</v>
      </c>
      <c r="V852" t="s">
        <v>162</v>
      </c>
    </row>
    <row r="853" spans="9:22" x14ac:dyDescent="0.45">
      <c r="I853" t="s">
        <v>263</v>
      </c>
      <c r="J853" t="s">
        <v>167</v>
      </c>
      <c r="K853">
        <v>0</v>
      </c>
      <c r="L853" t="s">
        <v>162</v>
      </c>
      <c r="N853" t="s">
        <v>375</v>
      </c>
      <c r="O853" t="s">
        <v>167</v>
      </c>
      <c r="P853">
        <v>3.4423368116808149E-2</v>
      </c>
      <c r="Q853" t="s">
        <v>162</v>
      </c>
      <c r="S853" t="s">
        <v>487</v>
      </c>
      <c r="T853" t="s">
        <v>167</v>
      </c>
      <c r="U853">
        <v>2.4306987556975811E-2</v>
      </c>
      <c r="V853" t="s">
        <v>162</v>
      </c>
    </row>
    <row r="854" spans="9:22" x14ac:dyDescent="0.45">
      <c r="I854" t="s">
        <v>263</v>
      </c>
      <c r="J854" t="s">
        <v>168</v>
      </c>
      <c r="K854">
        <v>3.8654477423108388E-2</v>
      </c>
      <c r="L854" t="s">
        <v>162</v>
      </c>
      <c r="N854" t="s">
        <v>375</v>
      </c>
      <c r="O854" t="s">
        <v>168</v>
      </c>
      <c r="P854">
        <v>5.0684575311200394E-2</v>
      </c>
      <c r="Q854" t="s">
        <v>162</v>
      </c>
      <c r="S854" t="s">
        <v>487</v>
      </c>
      <c r="T854" t="s">
        <v>168</v>
      </c>
      <c r="U854">
        <v>6.8669381660388717E-2</v>
      </c>
      <c r="V854" t="s">
        <v>162</v>
      </c>
    </row>
    <row r="855" spans="9:22" x14ac:dyDescent="0.45">
      <c r="I855" t="s">
        <v>263</v>
      </c>
      <c r="J855" t="s">
        <v>169</v>
      </c>
      <c r="K855">
        <v>0</v>
      </c>
      <c r="L855" t="s">
        <v>162</v>
      </c>
      <c r="N855" t="s">
        <v>375</v>
      </c>
      <c r="O855" t="s">
        <v>169</v>
      </c>
      <c r="P855">
        <v>3.0501706215803185E-3</v>
      </c>
      <c r="Q855" t="s">
        <v>162</v>
      </c>
      <c r="S855" t="s">
        <v>487</v>
      </c>
      <c r="T855" t="s">
        <v>169</v>
      </c>
      <c r="U855">
        <v>4.0304070234117549E-3</v>
      </c>
      <c r="V855" t="s">
        <v>162</v>
      </c>
    </row>
    <row r="856" spans="9:22" x14ac:dyDescent="0.45">
      <c r="I856" t="s">
        <v>263</v>
      </c>
      <c r="J856" t="s">
        <v>170</v>
      </c>
      <c r="K856">
        <v>0</v>
      </c>
      <c r="L856" t="s">
        <v>162</v>
      </c>
      <c r="N856" t="s">
        <v>375</v>
      </c>
      <c r="O856" t="s">
        <v>170</v>
      </c>
      <c r="P856">
        <v>1.8872818515644357E-2</v>
      </c>
      <c r="Q856" t="s">
        <v>162</v>
      </c>
      <c r="S856" t="s">
        <v>487</v>
      </c>
      <c r="T856" t="s">
        <v>170</v>
      </c>
      <c r="U856">
        <v>2.3638966847373891E-2</v>
      </c>
      <c r="V856" t="s">
        <v>162</v>
      </c>
    </row>
    <row r="857" spans="9:22" x14ac:dyDescent="0.45">
      <c r="I857" t="s">
        <v>264</v>
      </c>
      <c r="J857" t="s">
        <v>161</v>
      </c>
      <c r="K857">
        <v>0.84732322014759331</v>
      </c>
      <c r="L857" t="s">
        <v>162</v>
      </c>
      <c r="N857" t="s">
        <v>376</v>
      </c>
      <c r="O857" t="s">
        <v>161</v>
      </c>
      <c r="P857">
        <v>0.55349873769404656</v>
      </c>
      <c r="Q857" t="s">
        <v>162</v>
      </c>
      <c r="S857" t="s">
        <v>488</v>
      </c>
      <c r="T857" t="s">
        <v>161</v>
      </c>
      <c r="U857">
        <v>0.58133540079389401</v>
      </c>
      <c r="V857" t="s">
        <v>162</v>
      </c>
    </row>
    <row r="858" spans="9:22" x14ac:dyDescent="0.45">
      <c r="I858" t="s">
        <v>264</v>
      </c>
      <c r="J858" t="s">
        <v>163</v>
      </c>
      <c r="K858">
        <v>4.5930561702948645E-2</v>
      </c>
      <c r="L858" t="s">
        <v>162</v>
      </c>
      <c r="N858" t="s">
        <v>376</v>
      </c>
      <c r="O858" t="s">
        <v>163</v>
      </c>
      <c r="P858">
        <v>3.0321337707699847E-2</v>
      </c>
      <c r="Q858" t="s">
        <v>162</v>
      </c>
      <c r="S858" t="s">
        <v>488</v>
      </c>
      <c r="T858" t="s">
        <v>163</v>
      </c>
      <c r="U858">
        <v>3.3768251192364464E-2</v>
      </c>
      <c r="V858" t="s">
        <v>162</v>
      </c>
    </row>
    <row r="859" spans="9:22" x14ac:dyDescent="0.45">
      <c r="I859" t="s">
        <v>264</v>
      </c>
      <c r="J859" t="s">
        <v>164</v>
      </c>
      <c r="K859">
        <v>2.9946128431062927E-2</v>
      </c>
      <c r="L859" t="s">
        <v>162</v>
      </c>
      <c r="N859" t="s">
        <v>376</v>
      </c>
      <c r="O859" t="s">
        <v>164</v>
      </c>
      <c r="P859">
        <v>0.21532428420897146</v>
      </c>
      <c r="Q859" t="s">
        <v>162</v>
      </c>
      <c r="S859" t="s">
        <v>488</v>
      </c>
      <c r="T859" t="s">
        <v>164</v>
      </c>
      <c r="U859">
        <v>0.20520555314903161</v>
      </c>
      <c r="V859" t="s">
        <v>162</v>
      </c>
    </row>
    <row r="860" spans="9:22" x14ac:dyDescent="0.45">
      <c r="I860" t="s">
        <v>264</v>
      </c>
      <c r="J860" t="s">
        <v>165</v>
      </c>
      <c r="K860">
        <v>4.5643305959084848E-2</v>
      </c>
      <c r="L860" t="s">
        <v>162</v>
      </c>
      <c r="N860" t="s">
        <v>376</v>
      </c>
      <c r="O860" t="s">
        <v>165</v>
      </c>
      <c r="P860">
        <v>8.8122698003176791E-2</v>
      </c>
      <c r="Q860" t="s">
        <v>162</v>
      </c>
      <c r="S860" t="s">
        <v>488</v>
      </c>
      <c r="T860" t="s">
        <v>165</v>
      </c>
      <c r="U860">
        <v>5.9703946461211299E-2</v>
      </c>
      <c r="V860" t="s">
        <v>162</v>
      </c>
    </row>
    <row r="861" spans="9:22" x14ac:dyDescent="0.45">
      <c r="I861" t="s">
        <v>264</v>
      </c>
      <c r="J861" t="s">
        <v>166</v>
      </c>
      <c r="K861">
        <v>0</v>
      </c>
      <c r="L861" t="s">
        <v>162</v>
      </c>
      <c r="N861" t="s">
        <v>376</v>
      </c>
      <c r="O861" t="s">
        <v>166</v>
      </c>
      <c r="P861">
        <v>6.0211675357399012E-3</v>
      </c>
      <c r="Q861" t="s">
        <v>162</v>
      </c>
      <c r="S861" t="s">
        <v>488</v>
      </c>
      <c r="T861" t="s">
        <v>166</v>
      </c>
      <c r="U861">
        <v>3.5592815406693783E-3</v>
      </c>
      <c r="V861" t="s">
        <v>162</v>
      </c>
    </row>
    <row r="862" spans="9:22" x14ac:dyDescent="0.45">
      <c r="I862" t="s">
        <v>264</v>
      </c>
      <c r="J862" t="s">
        <v>167</v>
      </c>
      <c r="K862">
        <v>0</v>
      </c>
      <c r="L862" t="s">
        <v>162</v>
      </c>
      <c r="N862" t="s">
        <v>376</v>
      </c>
      <c r="O862" t="s">
        <v>167</v>
      </c>
      <c r="P862">
        <v>3.647965139975471E-2</v>
      </c>
      <c r="Q862" t="s">
        <v>162</v>
      </c>
      <c r="S862" t="s">
        <v>488</v>
      </c>
      <c r="T862" t="s">
        <v>167</v>
      </c>
      <c r="U862">
        <v>2.2033439291077195E-2</v>
      </c>
      <c r="V862" t="s">
        <v>162</v>
      </c>
    </row>
    <row r="863" spans="9:22" x14ac:dyDescent="0.45">
      <c r="I863" t="s">
        <v>264</v>
      </c>
      <c r="J863" t="s">
        <v>168</v>
      </c>
      <c r="K863">
        <v>3.1156783759311128E-2</v>
      </c>
      <c r="L863" t="s">
        <v>162</v>
      </c>
      <c r="N863" t="s">
        <v>376</v>
      </c>
      <c r="O863" t="s">
        <v>168</v>
      </c>
      <c r="P863">
        <v>4.901896415622823E-2</v>
      </c>
      <c r="Q863" t="s">
        <v>162</v>
      </c>
      <c r="S863" t="s">
        <v>488</v>
      </c>
      <c r="T863" t="s">
        <v>168</v>
      </c>
      <c r="U863">
        <v>6.7351951627788592E-2</v>
      </c>
      <c r="V863" t="s">
        <v>162</v>
      </c>
    </row>
    <row r="864" spans="9:22" x14ac:dyDescent="0.45">
      <c r="I864" t="s">
        <v>264</v>
      </c>
      <c r="J864" t="s">
        <v>169</v>
      </c>
      <c r="K864">
        <v>0</v>
      </c>
      <c r="L864" t="s">
        <v>162</v>
      </c>
      <c r="N864" t="s">
        <v>376</v>
      </c>
      <c r="O864" t="s">
        <v>169</v>
      </c>
      <c r="P864">
        <v>2.5141593678545382E-3</v>
      </c>
      <c r="Q864" t="s">
        <v>162</v>
      </c>
      <c r="S864" t="s">
        <v>488</v>
      </c>
      <c r="T864" t="s">
        <v>169</v>
      </c>
      <c r="U864">
        <v>3.8566443148023029E-3</v>
      </c>
      <c r="V864" t="s">
        <v>162</v>
      </c>
    </row>
    <row r="865" spans="9:22" x14ac:dyDescent="0.45">
      <c r="I865" t="s">
        <v>264</v>
      </c>
      <c r="J865" t="s">
        <v>170</v>
      </c>
      <c r="K865">
        <v>0</v>
      </c>
      <c r="L865" t="s">
        <v>162</v>
      </c>
      <c r="N865" t="s">
        <v>376</v>
      </c>
      <c r="O865" t="s">
        <v>170</v>
      </c>
      <c r="P865">
        <v>1.8698999926529222E-2</v>
      </c>
      <c r="Q865" t="s">
        <v>162</v>
      </c>
      <c r="S865" t="s">
        <v>488</v>
      </c>
      <c r="T865" t="s">
        <v>170</v>
      </c>
      <c r="U865">
        <v>2.3185531629159976E-2</v>
      </c>
      <c r="V865" t="s">
        <v>162</v>
      </c>
    </row>
    <row r="866" spans="9:22" x14ac:dyDescent="0.45">
      <c r="I866" t="s">
        <v>265</v>
      </c>
      <c r="J866" t="s">
        <v>161</v>
      </c>
      <c r="K866">
        <v>0.84638748925273832</v>
      </c>
      <c r="L866" t="s">
        <v>162</v>
      </c>
      <c r="N866" t="s">
        <v>377</v>
      </c>
      <c r="O866" t="s">
        <v>161</v>
      </c>
      <c r="P866">
        <v>0.55303475819044334</v>
      </c>
      <c r="Q866" t="s">
        <v>162</v>
      </c>
      <c r="S866" t="s">
        <v>489</v>
      </c>
      <c r="T866" t="s">
        <v>161</v>
      </c>
      <c r="U866">
        <v>0.57374224317265721</v>
      </c>
      <c r="V866" t="s">
        <v>162</v>
      </c>
    </row>
    <row r="867" spans="9:22" x14ac:dyDescent="0.45">
      <c r="I867" t="s">
        <v>265</v>
      </c>
      <c r="J867" t="s">
        <v>163</v>
      </c>
      <c r="K867">
        <v>4.7251484547373671E-2</v>
      </c>
      <c r="L867" t="s">
        <v>162</v>
      </c>
      <c r="N867" t="s">
        <v>377</v>
      </c>
      <c r="O867" t="s">
        <v>163</v>
      </c>
      <c r="P867">
        <v>2.9951552699483193E-2</v>
      </c>
      <c r="Q867" t="s">
        <v>162</v>
      </c>
      <c r="S867" t="s">
        <v>489</v>
      </c>
      <c r="T867" t="s">
        <v>163</v>
      </c>
      <c r="U867">
        <v>3.5366989879152953E-2</v>
      </c>
      <c r="V867" t="s">
        <v>162</v>
      </c>
    </row>
    <row r="868" spans="9:22" x14ac:dyDescent="0.45">
      <c r="I868" t="s">
        <v>265</v>
      </c>
      <c r="J868" t="s">
        <v>164</v>
      </c>
      <c r="K868">
        <v>3.5825273309173837E-2</v>
      </c>
      <c r="L868" t="s">
        <v>162</v>
      </c>
      <c r="N868" t="s">
        <v>377</v>
      </c>
      <c r="O868" t="s">
        <v>164</v>
      </c>
      <c r="P868">
        <v>0.21542843135543832</v>
      </c>
      <c r="Q868" t="s">
        <v>162</v>
      </c>
      <c r="S868" t="s">
        <v>489</v>
      </c>
      <c r="T868" t="s">
        <v>164</v>
      </c>
      <c r="U868">
        <v>0.20893104999065731</v>
      </c>
      <c r="V868" t="s">
        <v>162</v>
      </c>
    </row>
    <row r="869" spans="9:22" x14ac:dyDescent="0.45">
      <c r="I869" t="s">
        <v>265</v>
      </c>
      <c r="J869" t="s">
        <v>165</v>
      </c>
      <c r="K869">
        <v>3.6874795173405306E-2</v>
      </c>
      <c r="L869" t="s">
        <v>162</v>
      </c>
      <c r="N869" t="s">
        <v>377</v>
      </c>
      <c r="O869" t="s">
        <v>165</v>
      </c>
      <c r="P869">
        <v>9.177891499602113E-2</v>
      </c>
      <c r="Q869" t="s">
        <v>162</v>
      </c>
      <c r="S869" t="s">
        <v>489</v>
      </c>
      <c r="T869" t="s">
        <v>165</v>
      </c>
      <c r="U869">
        <v>5.8733421372906512E-2</v>
      </c>
      <c r="V869" t="s">
        <v>162</v>
      </c>
    </row>
    <row r="870" spans="9:22" x14ac:dyDescent="0.45">
      <c r="I870" t="s">
        <v>265</v>
      </c>
      <c r="J870" t="s">
        <v>166</v>
      </c>
      <c r="K870">
        <v>0</v>
      </c>
      <c r="L870" t="s">
        <v>162</v>
      </c>
      <c r="N870" t="s">
        <v>377</v>
      </c>
      <c r="O870" t="s">
        <v>166</v>
      </c>
      <c r="P870">
        <v>5.8056384767742643E-3</v>
      </c>
      <c r="Q870" t="s">
        <v>162</v>
      </c>
      <c r="S870" t="s">
        <v>489</v>
      </c>
      <c r="T870" t="s">
        <v>166</v>
      </c>
      <c r="U870">
        <v>3.4814062201874527E-3</v>
      </c>
      <c r="V870" t="s">
        <v>162</v>
      </c>
    </row>
    <row r="871" spans="9:22" x14ac:dyDescent="0.45">
      <c r="I871" t="s">
        <v>265</v>
      </c>
      <c r="J871" t="s">
        <v>167</v>
      </c>
      <c r="K871">
        <v>0</v>
      </c>
      <c r="L871" t="s">
        <v>162</v>
      </c>
      <c r="N871" t="s">
        <v>377</v>
      </c>
      <c r="O871" t="s">
        <v>167</v>
      </c>
      <c r="P871">
        <v>3.3182548342126979E-2</v>
      </c>
      <c r="Q871" t="s">
        <v>162</v>
      </c>
      <c r="S871" t="s">
        <v>489</v>
      </c>
      <c r="T871" t="s">
        <v>167</v>
      </c>
      <c r="U871">
        <v>2.1358957205805735E-2</v>
      </c>
      <c r="V871" t="s">
        <v>162</v>
      </c>
    </row>
    <row r="872" spans="9:22" x14ac:dyDescent="0.45">
      <c r="I872" t="s">
        <v>265</v>
      </c>
      <c r="J872" t="s">
        <v>168</v>
      </c>
      <c r="K872">
        <v>3.3660957717304339E-2</v>
      </c>
      <c r="L872" t="s">
        <v>162</v>
      </c>
      <c r="N872" t="s">
        <v>377</v>
      </c>
      <c r="O872" t="s">
        <v>168</v>
      </c>
      <c r="P872">
        <v>4.8275949456559053E-2</v>
      </c>
      <c r="Q872" t="s">
        <v>162</v>
      </c>
      <c r="S872" t="s">
        <v>489</v>
      </c>
      <c r="T872" t="s">
        <v>168</v>
      </c>
      <c r="U872">
        <v>6.8387384641374269E-2</v>
      </c>
      <c r="V872" t="s">
        <v>162</v>
      </c>
    </row>
    <row r="873" spans="9:22" x14ac:dyDescent="0.45">
      <c r="I873" t="s">
        <v>265</v>
      </c>
      <c r="J873" t="s">
        <v>169</v>
      </c>
      <c r="K873">
        <v>0</v>
      </c>
      <c r="L873" t="s">
        <v>162</v>
      </c>
      <c r="N873" t="s">
        <v>377</v>
      </c>
      <c r="O873" t="s">
        <v>169</v>
      </c>
      <c r="P873">
        <v>2.6914245145719146E-3</v>
      </c>
      <c r="Q873" t="s">
        <v>162</v>
      </c>
      <c r="S873" t="s">
        <v>489</v>
      </c>
      <c r="T873" t="s">
        <v>169</v>
      </c>
      <c r="U873">
        <v>4.2294725767392082E-3</v>
      </c>
      <c r="V873" t="s">
        <v>162</v>
      </c>
    </row>
    <row r="874" spans="9:22" x14ac:dyDescent="0.45">
      <c r="I874" t="s">
        <v>265</v>
      </c>
      <c r="J874" t="s">
        <v>170</v>
      </c>
      <c r="K874">
        <v>0</v>
      </c>
      <c r="L874" t="s">
        <v>162</v>
      </c>
      <c r="N874" t="s">
        <v>377</v>
      </c>
      <c r="O874" t="s">
        <v>170</v>
      </c>
      <c r="P874">
        <v>1.9850781968583739E-2</v>
      </c>
      <c r="Q874" t="s">
        <v>162</v>
      </c>
      <c r="S874" t="s">
        <v>489</v>
      </c>
      <c r="T874" t="s">
        <v>170</v>
      </c>
      <c r="U874">
        <v>2.5769074940518066E-2</v>
      </c>
      <c r="V874" t="s">
        <v>162</v>
      </c>
    </row>
    <row r="875" spans="9:22" x14ac:dyDescent="0.45">
      <c r="I875" t="s">
        <v>266</v>
      </c>
      <c r="J875" t="s">
        <v>161</v>
      </c>
      <c r="K875">
        <v>0.84774966828438725</v>
      </c>
      <c r="L875" t="s">
        <v>162</v>
      </c>
      <c r="N875" t="s">
        <v>378</v>
      </c>
      <c r="O875" t="s">
        <v>161</v>
      </c>
      <c r="P875">
        <v>0.53615680522881515</v>
      </c>
      <c r="Q875" t="s">
        <v>162</v>
      </c>
      <c r="S875" t="s">
        <v>490</v>
      </c>
      <c r="T875" t="s">
        <v>161</v>
      </c>
      <c r="U875">
        <v>0.56759718308504503</v>
      </c>
      <c r="V875" t="s">
        <v>162</v>
      </c>
    </row>
    <row r="876" spans="9:22" x14ac:dyDescent="0.45">
      <c r="I876" t="s">
        <v>266</v>
      </c>
      <c r="J876" t="s">
        <v>163</v>
      </c>
      <c r="K876">
        <v>4.340159303208263E-2</v>
      </c>
      <c r="L876" t="s">
        <v>162</v>
      </c>
      <c r="N876" t="s">
        <v>378</v>
      </c>
      <c r="O876" t="s">
        <v>163</v>
      </c>
      <c r="P876">
        <v>2.8643547398995925E-2</v>
      </c>
      <c r="Q876" t="s">
        <v>162</v>
      </c>
      <c r="S876" t="s">
        <v>490</v>
      </c>
      <c r="T876" t="s">
        <v>163</v>
      </c>
      <c r="U876">
        <v>3.6228851233915067E-2</v>
      </c>
      <c r="V876" t="s">
        <v>162</v>
      </c>
    </row>
    <row r="877" spans="9:22" x14ac:dyDescent="0.45">
      <c r="I877" t="s">
        <v>266</v>
      </c>
      <c r="J877" t="s">
        <v>164</v>
      </c>
      <c r="K877">
        <v>3.507805975261221E-2</v>
      </c>
      <c r="L877" t="s">
        <v>162</v>
      </c>
      <c r="N877" t="s">
        <v>378</v>
      </c>
      <c r="O877" t="s">
        <v>164</v>
      </c>
      <c r="P877">
        <v>0.2026627350640246</v>
      </c>
      <c r="Q877" t="s">
        <v>162</v>
      </c>
      <c r="S877" t="s">
        <v>490</v>
      </c>
      <c r="T877" t="s">
        <v>164</v>
      </c>
      <c r="U877">
        <v>0.21531306808719872</v>
      </c>
      <c r="V877" t="s">
        <v>162</v>
      </c>
    </row>
    <row r="878" spans="9:22" x14ac:dyDescent="0.45">
      <c r="I878" t="s">
        <v>266</v>
      </c>
      <c r="J878" t="s">
        <v>165</v>
      </c>
      <c r="K878">
        <v>3.2773094774097324E-2</v>
      </c>
      <c r="L878" t="s">
        <v>162</v>
      </c>
      <c r="N878" t="s">
        <v>378</v>
      </c>
      <c r="O878" t="s">
        <v>165</v>
      </c>
      <c r="P878">
        <v>9.032418195456271E-2</v>
      </c>
      <c r="Q878" t="s">
        <v>162</v>
      </c>
      <c r="S878" t="s">
        <v>490</v>
      </c>
      <c r="T878" t="s">
        <v>165</v>
      </c>
      <c r="U878">
        <v>6.0513971641608474E-2</v>
      </c>
      <c r="V878" t="s">
        <v>162</v>
      </c>
    </row>
    <row r="879" spans="9:22" x14ac:dyDescent="0.45">
      <c r="I879" t="s">
        <v>266</v>
      </c>
      <c r="J879" t="s">
        <v>166</v>
      </c>
      <c r="K879">
        <v>0</v>
      </c>
      <c r="L879" t="s">
        <v>162</v>
      </c>
      <c r="N879" t="s">
        <v>378</v>
      </c>
      <c r="O879" t="s">
        <v>166</v>
      </c>
      <c r="P879">
        <v>5.2018606704330736E-3</v>
      </c>
      <c r="Q879" t="s">
        <v>162</v>
      </c>
      <c r="S879" t="s">
        <v>490</v>
      </c>
      <c r="T879" t="s">
        <v>166</v>
      </c>
      <c r="U879">
        <v>3.5043686625929617E-3</v>
      </c>
      <c r="V879" t="s">
        <v>162</v>
      </c>
    </row>
    <row r="880" spans="9:22" x14ac:dyDescent="0.45">
      <c r="I880" t="s">
        <v>266</v>
      </c>
      <c r="J880" t="s">
        <v>167</v>
      </c>
      <c r="K880">
        <v>0</v>
      </c>
      <c r="L880" t="s">
        <v>162</v>
      </c>
      <c r="N880" t="s">
        <v>378</v>
      </c>
      <c r="O880" t="s">
        <v>167</v>
      </c>
      <c r="P880">
        <v>3.1614360730078825E-2</v>
      </c>
      <c r="Q880" t="s">
        <v>162</v>
      </c>
      <c r="S880" t="s">
        <v>490</v>
      </c>
      <c r="T880" t="s">
        <v>167</v>
      </c>
      <c r="U880">
        <v>2.1211569224271115E-2</v>
      </c>
      <c r="V880" t="s">
        <v>162</v>
      </c>
    </row>
    <row r="881" spans="9:22" x14ac:dyDescent="0.45">
      <c r="I881" t="s">
        <v>266</v>
      </c>
      <c r="J881" t="s">
        <v>168</v>
      </c>
      <c r="K881">
        <v>4.099758415682183E-2</v>
      </c>
      <c r="L881" t="s">
        <v>162</v>
      </c>
      <c r="N881" t="s">
        <v>378</v>
      </c>
      <c r="O881" t="s">
        <v>168</v>
      </c>
      <c r="P881">
        <v>7.3656379964892479E-2</v>
      </c>
      <c r="Q881" t="s">
        <v>162</v>
      </c>
      <c r="S881" t="s">
        <v>490</v>
      </c>
      <c r="T881" t="s">
        <v>168</v>
      </c>
      <c r="U881">
        <v>6.665062974510004E-2</v>
      </c>
      <c r="V881" t="s">
        <v>162</v>
      </c>
    </row>
    <row r="882" spans="9:22" x14ac:dyDescent="0.45">
      <c r="I882" t="s">
        <v>266</v>
      </c>
      <c r="J882" t="s">
        <v>169</v>
      </c>
      <c r="K882">
        <v>0</v>
      </c>
      <c r="L882" t="s">
        <v>162</v>
      </c>
      <c r="N882" t="s">
        <v>378</v>
      </c>
      <c r="O882" t="s">
        <v>169</v>
      </c>
      <c r="P882">
        <v>4.2437867110058994E-3</v>
      </c>
      <c r="Q882" t="s">
        <v>162</v>
      </c>
      <c r="S882" t="s">
        <v>490</v>
      </c>
      <c r="T882" t="s">
        <v>169</v>
      </c>
      <c r="U882">
        <v>3.8940277363103096E-3</v>
      </c>
      <c r="V882" t="s">
        <v>162</v>
      </c>
    </row>
    <row r="883" spans="9:22" x14ac:dyDescent="0.45">
      <c r="I883" t="s">
        <v>266</v>
      </c>
      <c r="J883" t="s">
        <v>170</v>
      </c>
      <c r="K883">
        <v>0</v>
      </c>
      <c r="L883" t="s">
        <v>162</v>
      </c>
      <c r="N883" t="s">
        <v>378</v>
      </c>
      <c r="O883" t="s">
        <v>170</v>
      </c>
      <c r="P883">
        <v>2.7496342277190566E-2</v>
      </c>
      <c r="Q883" t="s">
        <v>162</v>
      </c>
      <c r="S883" t="s">
        <v>490</v>
      </c>
      <c r="T883" t="s">
        <v>170</v>
      </c>
      <c r="U883">
        <v>2.5086330583959406E-2</v>
      </c>
      <c r="V883" t="s">
        <v>162</v>
      </c>
    </row>
    <row r="884" spans="9:22" x14ac:dyDescent="0.45">
      <c r="I884" t="s">
        <v>267</v>
      </c>
      <c r="J884" t="s">
        <v>161</v>
      </c>
      <c r="K884">
        <v>0.82674742393197564</v>
      </c>
      <c r="L884" t="s">
        <v>162</v>
      </c>
      <c r="N884" t="s">
        <v>379</v>
      </c>
      <c r="O884" t="s">
        <v>161</v>
      </c>
      <c r="P884">
        <v>0.54115549225814952</v>
      </c>
      <c r="Q884" t="s">
        <v>162</v>
      </c>
      <c r="S884" t="s">
        <v>491</v>
      </c>
      <c r="T884" t="s">
        <v>161</v>
      </c>
      <c r="U884">
        <v>0.56749652021020214</v>
      </c>
      <c r="V884" t="s">
        <v>162</v>
      </c>
    </row>
    <row r="885" spans="9:22" x14ac:dyDescent="0.45">
      <c r="I885" t="s">
        <v>267</v>
      </c>
      <c r="J885" t="s">
        <v>163</v>
      </c>
      <c r="K885">
        <v>5.3302268343227988E-2</v>
      </c>
      <c r="L885" t="s">
        <v>162</v>
      </c>
      <c r="N885" t="s">
        <v>379</v>
      </c>
      <c r="O885" t="s">
        <v>163</v>
      </c>
      <c r="P885">
        <v>3.010047769503062E-2</v>
      </c>
      <c r="Q885" t="s">
        <v>162</v>
      </c>
      <c r="S885" t="s">
        <v>491</v>
      </c>
      <c r="T885" t="s">
        <v>163</v>
      </c>
      <c r="U885">
        <v>3.5662473151217677E-2</v>
      </c>
      <c r="V885" t="s">
        <v>162</v>
      </c>
    </row>
    <row r="886" spans="9:22" x14ac:dyDescent="0.45">
      <c r="I886" t="s">
        <v>267</v>
      </c>
      <c r="J886" t="s">
        <v>164</v>
      </c>
      <c r="K886">
        <v>5.5993340656407493E-2</v>
      </c>
      <c r="L886" t="s">
        <v>162</v>
      </c>
      <c r="N886" t="s">
        <v>379</v>
      </c>
      <c r="O886" t="s">
        <v>164</v>
      </c>
      <c r="P886">
        <v>0.21084416025264816</v>
      </c>
      <c r="Q886" t="s">
        <v>162</v>
      </c>
      <c r="S886" t="s">
        <v>491</v>
      </c>
      <c r="T886" t="s">
        <v>164</v>
      </c>
      <c r="U886">
        <v>0.20504084650219001</v>
      </c>
      <c r="V886" t="s">
        <v>162</v>
      </c>
    </row>
    <row r="887" spans="9:22" x14ac:dyDescent="0.45">
      <c r="I887" t="s">
        <v>267</v>
      </c>
      <c r="J887" t="s">
        <v>165</v>
      </c>
      <c r="K887">
        <v>2.6757159532564252E-2</v>
      </c>
      <c r="L887" t="s">
        <v>162</v>
      </c>
      <c r="N887" t="s">
        <v>379</v>
      </c>
      <c r="O887" t="s">
        <v>165</v>
      </c>
      <c r="P887">
        <v>9.281998466943564E-2</v>
      </c>
      <c r="Q887" t="s">
        <v>162</v>
      </c>
      <c r="S887" t="s">
        <v>491</v>
      </c>
      <c r="T887" t="s">
        <v>165</v>
      </c>
      <c r="U887">
        <v>6.1703933815120918E-2</v>
      </c>
      <c r="V887" t="s">
        <v>162</v>
      </c>
    </row>
    <row r="888" spans="9:22" x14ac:dyDescent="0.45">
      <c r="I888" t="s">
        <v>267</v>
      </c>
      <c r="J888" t="s">
        <v>166</v>
      </c>
      <c r="K888">
        <v>0</v>
      </c>
      <c r="L888" t="s">
        <v>162</v>
      </c>
      <c r="N888" t="s">
        <v>379</v>
      </c>
      <c r="O888" t="s">
        <v>166</v>
      </c>
      <c r="P888">
        <v>5.4481335679223602E-3</v>
      </c>
      <c r="Q888" t="s">
        <v>162</v>
      </c>
      <c r="S888" t="s">
        <v>491</v>
      </c>
      <c r="T888" t="s">
        <v>166</v>
      </c>
      <c r="U888">
        <v>3.8763399729487779E-3</v>
      </c>
      <c r="V888" t="s">
        <v>162</v>
      </c>
    </row>
    <row r="889" spans="9:22" x14ac:dyDescent="0.45">
      <c r="I889" t="s">
        <v>267</v>
      </c>
      <c r="J889" t="s">
        <v>167</v>
      </c>
      <c r="K889">
        <v>0</v>
      </c>
      <c r="L889" t="s">
        <v>162</v>
      </c>
      <c r="N889" t="s">
        <v>379</v>
      </c>
      <c r="O889" t="s">
        <v>167</v>
      </c>
      <c r="P889">
        <v>3.1505414260009135E-2</v>
      </c>
      <c r="Q889" t="s">
        <v>162</v>
      </c>
      <c r="S889" t="s">
        <v>491</v>
      </c>
      <c r="T889" t="s">
        <v>167</v>
      </c>
      <c r="U889">
        <v>2.3010366757184611E-2</v>
      </c>
      <c r="V889" t="s">
        <v>162</v>
      </c>
    </row>
    <row r="890" spans="9:22" x14ac:dyDescent="0.45">
      <c r="I890" t="s">
        <v>267</v>
      </c>
      <c r="J890" t="s">
        <v>168</v>
      </c>
      <c r="K890">
        <v>3.7199807535824227E-2</v>
      </c>
      <c r="L890" t="s">
        <v>162</v>
      </c>
      <c r="N890" t="s">
        <v>379</v>
      </c>
      <c r="O890" t="s">
        <v>168</v>
      </c>
      <c r="P890">
        <v>5.9311255804435803E-2</v>
      </c>
      <c r="Q890" t="s">
        <v>162</v>
      </c>
      <c r="S890" t="s">
        <v>491</v>
      </c>
      <c r="T890" t="s">
        <v>168</v>
      </c>
      <c r="U890">
        <v>7.4200405233035518E-2</v>
      </c>
      <c r="V890" t="s">
        <v>162</v>
      </c>
    </row>
    <row r="891" spans="9:22" x14ac:dyDescent="0.45">
      <c r="I891" t="s">
        <v>267</v>
      </c>
      <c r="J891" t="s">
        <v>169</v>
      </c>
      <c r="K891">
        <v>0</v>
      </c>
      <c r="L891" t="s">
        <v>162</v>
      </c>
      <c r="N891" t="s">
        <v>379</v>
      </c>
      <c r="O891" t="s">
        <v>169</v>
      </c>
      <c r="P891">
        <v>3.6123472495028595E-3</v>
      </c>
      <c r="Q891" t="s">
        <v>162</v>
      </c>
      <c r="S891" t="s">
        <v>491</v>
      </c>
      <c r="T891" t="s">
        <v>169</v>
      </c>
      <c r="U891">
        <v>4.0707293768056582E-3</v>
      </c>
      <c r="V891" t="s">
        <v>162</v>
      </c>
    </row>
    <row r="892" spans="9:22" x14ac:dyDescent="0.45">
      <c r="I892" t="s">
        <v>267</v>
      </c>
      <c r="J892" t="s">
        <v>170</v>
      </c>
      <c r="K892">
        <v>0</v>
      </c>
      <c r="L892" t="s">
        <v>162</v>
      </c>
      <c r="N892" t="s">
        <v>379</v>
      </c>
      <c r="O892" t="s">
        <v>170</v>
      </c>
      <c r="P892">
        <v>2.5202734242863602E-2</v>
      </c>
      <c r="Q892" t="s">
        <v>162</v>
      </c>
      <c r="S892" t="s">
        <v>491</v>
      </c>
      <c r="T892" t="s">
        <v>170</v>
      </c>
      <c r="U892">
        <v>2.493838498129055E-2</v>
      </c>
      <c r="V892" t="s">
        <v>162</v>
      </c>
    </row>
    <row r="893" spans="9:22" x14ac:dyDescent="0.45">
      <c r="I893" t="s">
        <v>268</v>
      </c>
      <c r="J893" t="s">
        <v>161</v>
      </c>
      <c r="K893">
        <v>0.80744830630638398</v>
      </c>
      <c r="L893" t="s">
        <v>162</v>
      </c>
      <c r="N893" t="s">
        <v>380</v>
      </c>
      <c r="O893" t="s">
        <v>161</v>
      </c>
      <c r="P893">
        <v>0.54873032479154316</v>
      </c>
      <c r="Q893" t="s">
        <v>162</v>
      </c>
      <c r="S893" t="s">
        <v>492</v>
      </c>
      <c r="T893" t="s">
        <v>161</v>
      </c>
      <c r="U893">
        <v>0.56854324675930812</v>
      </c>
      <c r="V893" t="s">
        <v>162</v>
      </c>
    </row>
    <row r="894" spans="9:22" x14ac:dyDescent="0.45">
      <c r="I894" t="s">
        <v>268</v>
      </c>
      <c r="J894" t="s">
        <v>163</v>
      </c>
      <c r="K894">
        <v>5.8057390166515246E-2</v>
      </c>
      <c r="L894" t="s">
        <v>162</v>
      </c>
      <c r="N894" t="s">
        <v>380</v>
      </c>
      <c r="O894" t="s">
        <v>163</v>
      </c>
      <c r="P894">
        <v>2.7622566600079224E-2</v>
      </c>
      <c r="Q894" t="s">
        <v>162</v>
      </c>
      <c r="S894" t="s">
        <v>492</v>
      </c>
      <c r="T894" t="s">
        <v>163</v>
      </c>
      <c r="U894">
        <v>3.3251795143824529E-2</v>
      </c>
      <c r="V894" t="s">
        <v>162</v>
      </c>
    </row>
    <row r="895" spans="9:22" x14ac:dyDescent="0.45">
      <c r="I895" t="s">
        <v>268</v>
      </c>
      <c r="J895" t="s">
        <v>164</v>
      </c>
      <c r="K895">
        <v>6.6296294523877627E-2</v>
      </c>
      <c r="L895" t="s">
        <v>162</v>
      </c>
      <c r="N895" t="s">
        <v>380</v>
      </c>
      <c r="O895" t="s">
        <v>164</v>
      </c>
      <c r="P895">
        <v>0.21716026938811414</v>
      </c>
      <c r="Q895" t="s">
        <v>162</v>
      </c>
      <c r="S895" t="s">
        <v>492</v>
      </c>
      <c r="T895" t="s">
        <v>164</v>
      </c>
      <c r="U895">
        <v>0.19807275538847002</v>
      </c>
      <c r="V895" t="s">
        <v>162</v>
      </c>
    </row>
    <row r="896" spans="9:22" x14ac:dyDescent="0.45">
      <c r="I896" t="s">
        <v>268</v>
      </c>
      <c r="J896" t="s">
        <v>165</v>
      </c>
      <c r="K896">
        <v>2.8490985523066493E-2</v>
      </c>
      <c r="L896" t="s">
        <v>162</v>
      </c>
      <c r="N896" t="s">
        <v>380</v>
      </c>
      <c r="O896" t="s">
        <v>165</v>
      </c>
      <c r="P896">
        <v>8.7710523655986181E-2</v>
      </c>
      <c r="Q896" t="s">
        <v>162</v>
      </c>
      <c r="S896" t="s">
        <v>492</v>
      </c>
      <c r="T896" t="s">
        <v>165</v>
      </c>
      <c r="U896">
        <v>6.8582252713057318E-2</v>
      </c>
      <c r="V896" t="s">
        <v>162</v>
      </c>
    </row>
    <row r="897" spans="9:22" x14ac:dyDescent="0.45">
      <c r="I897" t="s">
        <v>268</v>
      </c>
      <c r="J897" t="s">
        <v>166</v>
      </c>
      <c r="K897">
        <v>3.6499915319325828E-4</v>
      </c>
      <c r="L897" t="s">
        <v>162</v>
      </c>
      <c r="N897" t="s">
        <v>380</v>
      </c>
      <c r="O897" t="s">
        <v>166</v>
      </c>
      <c r="P897">
        <v>4.4885530377475873E-3</v>
      </c>
      <c r="Q897" t="s">
        <v>162</v>
      </c>
      <c r="S897" t="s">
        <v>492</v>
      </c>
      <c r="T897" t="s">
        <v>166</v>
      </c>
      <c r="U897">
        <v>4.1151346110589416E-3</v>
      </c>
      <c r="V897" t="s">
        <v>162</v>
      </c>
    </row>
    <row r="898" spans="9:22" x14ac:dyDescent="0.45">
      <c r="I898" t="s">
        <v>268</v>
      </c>
      <c r="J898" t="s">
        <v>167</v>
      </c>
      <c r="K898">
        <v>0</v>
      </c>
      <c r="L898" t="s">
        <v>162</v>
      </c>
      <c r="N898" t="s">
        <v>380</v>
      </c>
      <c r="O898" t="s">
        <v>167</v>
      </c>
      <c r="P898">
        <v>3.37427063653091E-2</v>
      </c>
      <c r="Q898" t="s">
        <v>162</v>
      </c>
      <c r="S898" t="s">
        <v>492</v>
      </c>
      <c r="T898" t="s">
        <v>167</v>
      </c>
      <c r="U898">
        <v>2.4276921703060044E-2</v>
      </c>
      <c r="V898" t="s">
        <v>162</v>
      </c>
    </row>
    <row r="899" spans="9:22" x14ac:dyDescent="0.45">
      <c r="I899" t="s">
        <v>268</v>
      </c>
      <c r="J899" t="s">
        <v>168</v>
      </c>
      <c r="K899">
        <v>3.9342024326962807E-2</v>
      </c>
      <c r="L899" t="s">
        <v>162</v>
      </c>
      <c r="N899" t="s">
        <v>380</v>
      </c>
      <c r="O899" t="s">
        <v>168</v>
      </c>
      <c r="P899">
        <v>5.7943000606802963E-2</v>
      </c>
      <c r="Q899" t="s">
        <v>162</v>
      </c>
      <c r="S899" t="s">
        <v>492</v>
      </c>
      <c r="T899" t="s">
        <v>168</v>
      </c>
      <c r="U899">
        <v>7.1165562498835003E-2</v>
      </c>
      <c r="V899" t="s">
        <v>162</v>
      </c>
    </row>
    <row r="900" spans="9:22" x14ac:dyDescent="0.45">
      <c r="I900" t="s">
        <v>268</v>
      </c>
      <c r="J900" t="s">
        <v>169</v>
      </c>
      <c r="K900">
        <v>0</v>
      </c>
      <c r="L900" t="s">
        <v>162</v>
      </c>
      <c r="N900" t="s">
        <v>380</v>
      </c>
      <c r="O900" t="s">
        <v>169</v>
      </c>
      <c r="P900">
        <v>2.7564991947005863E-3</v>
      </c>
      <c r="Q900" t="s">
        <v>162</v>
      </c>
      <c r="S900" t="s">
        <v>492</v>
      </c>
      <c r="T900" t="s">
        <v>169</v>
      </c>
      <c r="U900">
        <v>4.0127633299635607E-3</v>
      </c>
      <c r="V900" t="s">
        <v>162</v>
      </c>
    </row>
    <row r="901" spans="9:22" x14ac:dyDescent="0.45">
      <c r="I901" t="s">
        <v>268</v>
      </c>
      <c r="J901" t="s">
        <v>170</v>
      </c>
      <c r="K901">
        <v>0</v>
      </c>
      <c r="L901" t="s">
        <v>162</v>
      </c>
      <c r="N901" t="s">
        <v>380</v>
      </c>
      <c r="O901" t="s">
        <v>170</v>
      </c>
      <c r="P901">
        <v>1.9845556359718894E-2</v>
      </c>
      <c r="Q901" t="s">
        <v>162</v>
      </c>
      <c r="S901" t="s">
        <v>492</v>
      </c>
      <c r="T901" t="s">
        <v>170</v>
      </c>
      <c r="U901">
        <v>2.7979567852422785E-2</v>
      </c>
      <c r="V901" t="s">
        <v>162</v>
      </c>
    </row>
    <row r="902" spans="9:22" x14ac:dyDescent="0.45">
      <c r="I902" t="s">
        <v>269</v>
      </c>
      <c r="J902" t="s">
        <v>161</v>
      </c>
      <c r="K902">
        <v>0.81903630876959455</v>
      </c>
      <c r="L902" t="s">
        <v>162</v>
      </c>
      <c r="N902" t="s">
        <v>381</v>
      </c>
      <c r="O902" t="s">
        <v>161</v>
      </c>
      <c r="P902">
        <v>0.54354156321517333</v>
      </c>
      <c r="Q902" t="s">
        <v>162</v>
      </c>
      <c r="S902" t="s">
        <v>493</v>
      </c>
      <c r="T902" t="s">
        <v>161</v>
      </c>
      <c r="U902">
        <v>0.56404832425731632</v>
      </c>
      <c r="V902" t="s">
        <v>162</v>
      </c>
    </row>
    <row r="903" spans="9:22" x14ac:dyDescent="0.45">
      <c r="I903" t="s">
        <v>269</v>
      </c>
      <c r="J903" t="s">
        <v>163</v>
      </c>
      <c r="K903">
        <v>5.3305218883678313E-2</v>
      </c>
      <c r="L903" t="s">
        <v>162</v>
      </c>
      <c r="N903" t="s">
        <v>381</v>
      </c>
      <c r="O903" t="s">
        <v>163</v>
      </c>
      <c r="P903">
        <v>2.7210418950813726E-2</v>
      </c>
      <c r="Q903" t="s">
        <v>162</v>
      </c>
      <c r="S903" t="s">
        <v>493</v>
      </c>
      <c r="T903" t="s">
        <v>163</v>
      </c>
      <c r="U903">
        <v>3.6348288535118151E-2</v>
      </c>
      <c r="V903" t="s">
        <v>162</v>
      </c>
    </row>
    <row r="904" spans="9:22" x14ac:dyDescent="0.45">
      <c r="I904" t="s">
        <v>269</v>
      </c>
      <c r="J904" t="s">
        <v>164</v>
      </c>
      <c r="K904">
        <v>5.4167551744557105E-2</v>
      </c>
      <c r="L904" t="s">
        <v>162</v>
      </c>
      <c r="N904" t="s">
        <v>381</v>
      </c>
      <c r="O904" t="s">
        <v>164</v>
      </c>
      <c r="P904">
        <v>0.21724469410778269</v>
      </c>
      <c r="Q904" t="s">
        <v>162</v>
      </c>
      <c r="S904" t="s">
        <v>493</v>
      </c>
      <c r="T904" t="s">
        <v>164</v>
      </c>
      <c r="U904">
        <v>0.21039116918004788</v>
      </c>
      <c r="V904" t="s">
        <v>162</v>
      </c>
    </row>
    <row r="905" spans="9:22" x14ac:dyDescent="0.45">
      <c r="I905" t="s">
        <v>269</v>
      </c>
      <c r="J905" t="s">
        <v>165</v>
      </c>
      <c r="K905">
        <v>3.6532708272110068E-2</v>
      </c>
      <c r="L905" t="s">
        <v>162</v>
      </c>
      <c r="N905" t="s">
        <v>381</v>
      </c>
      <c r="O905" t="s">
        <v>165</v>
      </c>
      <c r="P905">
        <v>8.8008614742723326E-2</v>
      </c>
      <c r="Q905" t="s">
        <v>162</v>
      </c>
      <c r="S905" t="s">
        <v>493</v>
      </c>
      <c r="T905" t="s">
        <v>165</v>
      </c>
      <c r="U905">
        <v>6.6923437907646655E-2</v>
      </c>
      <c r="V905" t="s">
        <v>162</v>
      </c>
    </row>
    <row r="906" spans="9:22" x14ac:dyDescent="0.45">
      <c r="I906" t="s">
        <v>269</v>
      </c>
      <c r="J906" t="s">
        <v>166</v>
      </c>
      <c r="K906">
        <v>0</v>
      </c>
      <c r="L906" t="s">
        <v>162</v>
      </c>
      <c r="N906" t="s">
        <v>381</v>
      </c>
      <c r="O906" t="s">
        <v>166</v>
      </c>
      <c r="P906">
        <v>5.3319198462506582E-3</v>
      </c>
      <c r="Q906" t="s">
        <v>162</v>
      </c>
      <c r="S906" t="s">
        <v>493</v>
      </c>
      <c r="T906" t="s">
        <v>166</v>
      </c>
      <c r="U906">
        <v>4.2897886179146683E-3</v>
      </c>
      <c r="V906" t="s">
        <v>162</v>
      </c>
    </row>
    <row r="907" spans="9:22" x14ac:dyDescent="0.45">
      <c r="I907" t="s">
        <v>269</v>
      </c>
      <c r="J907" t="s">
        <v>167</v>
      </c>
      <c r="K907">
        <v>0</v>
      </c>
      <c r="L907" t="s">
        <v>162</v>
      </c>
      <c r="N907" t="s">
        <v>381</v>
      </c>
      <c r="O907" t="s">
        <v>167</v>
      </c>
      <c r="P907">
        <v>3.6183611807860276E-2</v>
      </c>
      <c r="Q907" t="s">
        <v>162</v>
      </c>
      <c r="S907" t="s">
        <v>493</v>
      </c>
      <c r="T907" t="s">
        <v>167</v>
      </c>
      <c r="U907">
        <v>2.4190175160135295E-2</v>
      </c>
      <c r="V907" t="s">
        <v>162</v>
      </c>
    </row>
    <row r="908" spans="9:22" x14ac:dyDescent="0.45">
      <c r="I908" t="s">
        <v>269</v>
      </c>
      <c r="J908" t="s">
        <v>168</v>
      </c>
      <c r="K908">
        <v>3.695821233006006E-2</v>
      </c>
      <c r="L908" t="s">
        <v>162</v>
      </c>
      <c r="N908" t="s">
        <v>381</v>
      </c>
      <c r="O908" t="s">
        <v>168</v>
      </c>
      <c r="P908">
        <v>5.7117798670656257E-2</v>
      </c>
      <c r="Q908" t="s">
        <v>162</v>
      </c>
      <c r="S908" t="s">
        <v>493</v>
      </c>
      <c r="T908" t="s">
        <v>168</v>
      </c>
      <c r="U908">
        <v>6.3859220238437139E-2</v>
      </c>
      <c r="V908" t="s">
        <v>162</v>
      </c>
    </row>
    <row r="909" spans="9:22" x14ac:dyDescent="0.45">
      <c r="I909" t="s">
        <v>269</v>
      </c>
      <c r="J909" t="s">
        <v>169</v>
      </c>
      <c r="K909">
        <v>0</v>
      </c>
      <c r="L909" t="s">
        <v>162</v>
      </c>
      <c r="N909" t="s">
        <v>381</v>
      </c>
      <c r="O909" t="s">
        <v>169</v>
      </c>
      <c r="P909">
        <v>2.8658462682558073E-3</v>
      </c>
      <c r="Q909" t="s">
        <v>162</v>
      </c>
      <c r="S909" t="s">
        <v>493</v>
      </c>
      <c r="T909" t="s">
        <v>169</v>
      </c>
      <c r="U909">
        <v>4.1240583988061364E-3</v>
      </c>
      <c r="V909" t="s">
        <v>162</v>
      </c>
    </row>
    <row r="910" spans="9:22" x14ac:dyDescent="0.45">
      <c r="I910" t="s">
        <v>269</v>
      </c>
      <c r="J910" t="s">
        <v>170</v>
      </c>
      <c r="K910">
        <v>0</v>
      </c>
      <c r="L910" t="s">
        <v>162</v>
      </c>
      <c r="N910" t="s">
        <v>381</v>
      </c>
      <c r="O910" t="s">
        <v>170</v>
      </c>
      <c r="P910">
        <v>2.2495532390486905E-2</v>
      </c>
      <c r="Q910" t="s">
        <v>162</v>
      </c>
      <c r="S910" t="s">
        <v>493</v>
      </c>
      <c r="T910" t="s">
        <v>170</v>
      </c>
      <c r="U910">
        <v>2.5825537704577673E-2</v>
      </c>
      <c r="V910" t="s">
        <v>162</v>
      </c>
    </row>
    <row r="911" spans="9:22" x14ac:dyDescent="0.45">
      <c r="I911" t="s">
        <v>270</v>
      </c>
      <c r="J911" t="s">
        <v>161</v>
      </c>
      <c r="K911">
        <v>0.81565221851625369</v>
      </c>
      <c r="L911" t="s">
        <v>162</v>
      </c>
      <c r="N911" t="s">
        <v>382</v>
      </c>
      <c r="O911" t="s">
        <v>161</v>
      </c>
      <c r="P911">
        <v>0.53741595150319388</v>
      </c>
      <c r="Q911" t="s">
        <v>162</v>
      </c>
      <c r="S911" t="s">
        <v>494</v>
      </c>
      <c r="T911" t="s">
        <v>161</v>
      </c>
      <c r="U911">
        <v>0.57009387663398914</v>
      </c>
      <c r="V911" t="s">
        <v>162</v>
      </c>
    </row>
    <row r="912" spans="9:22" x14ac:dyDescent="0.45">
      <c r="I912" t="s">
        <v>270</v>
      </c>
      <c r="J912" t="s">
        <v>163</v>
      </c>
      <c r="K912">
        <v>5.7962290293276916E-2</v>
      </c>
      <c r="L912" t="s">
        <v>162</v>
      </c>
      <c r="N912" t="s">
        <v>382</v>
      </c>
      <c r="O912" t="s">
        <v>163</v>
      </c>
      <c r="P912">
        <v>3.3130479532916902E-2</v>
      </c>
      <c r="Q912" t="s">
        <v>162</v>
      </c>
      <c r="S912" t="s">
        <v>494</v>
      </c>
      <c r="T912" t="s">
        <v>163</v>
      </c>
      <c r="U912">
        <v>3.5469770641798785E-2</v>
      </c>
      <c r="V912" t="s">
        <v>162</v>
      </c>
    </row>
    <row r="913" spans="9:22" x14ac:dyDescent="0.45">
      <c r="I913" t="s">
        <v>270</v>
      </c>
      <c r="J913" t="s">
        <v>164</v>
      </c>
      <c r="K913">
        <v>6.2638430228911995E-2</v>
      </c>
      <c r="L913" t="s">
        <v>162</v>
      </c>
      <c r="N913" t="s">
        <v>382</v>
      </c>
      <c r="O913" t="s">
        <v>164</v>
      </c>
      <c r="P913">
        <v>0.21725061824225059</v>
      </c>
      <c r="Q913" t="s">
        <v>162</v>
      </c>
      <c r="S913" t="s">
        <v>494</v>
      </c>
      <c r="T913" t="s">
        <v>164</v>
      </c>
      <c r="U913">
        <v>0.20316406923415994</v>
      </c>
      <c r="V913" t="s">
        <v>162</v>
      </c>
    </row>
    <row r="914" spans="9:22" x14ac:dyDescent="0.45">
      <c r="I914" t="s">
        <v>270</v>
      </c>
      <c r="J914" t="s">
        <v>165</v>
      </c>
      <c r="K914">
        <v>2.8698503259323296E-2</v>
      </c>
      <c r="L914" t="s">
        <v>162</v>
      </c>
      <c r="N914" t="s">
        <v>382</v>
      </c>
      <c r="O914" t="s">
        <v>165</v>
      </c>
      <c r="P914">
        <v>8.9440131458514746E-2</v>
      </c>
      <c r="Q914" t="s">
        <v>162</v>
      </c>
      <c r="S914" t="s">
        <v>494</v>
      </c>
      <c r="T914" t="s">
        <v>165</v>
      </c>
      <c r="U914">
        <v>6.3659071728554298E-2</v>
      </c>
      <c r="V914" t="s">
        <v>162</v>
      </c>
    </row>
    <row r="915" spans="9:22" x14ac:dyDescent="0.45">
      <c r="I915" t="s">
        <v>270</v>
      </c>
      <c r="J915" t="s">
        <v>166</v>
      </c>
      <c r="K915">
        <v>2.4509027251834139E-4</v>
      </c>
      <c r="L915" t="s">
        <v>162</v>
      </c>
      <c r="N915" t="s">
        <v>382</v>
      </c>
      <c r="O915" t="s">
        <v>166</v>
      </c>
      <c r="P915">
        <v>4.327036257074768E-3</v>
      </c>
      <c r="Q915" t="s">
        <v>162</v>
      </c>
      <c r="S915" t="s">
        <v>494</v>
      </c>
      <c r="T915" t="s">
        <v>166</v>
      </c>
      <c r="U915">
        <v>4.0351149744542606E-3</v>
      </c>
      <c r="V915" t="s">
        <v>162</v>
      </c>
    </row>
    <row r="916" spans="9:22" x14ac:dyDescent="0.45">
      <c r="I916" t="s">
        <v>270</v>
      </c>
      <c r="J916" t="s">
        <v>167</v>
      </c>
      <c r="K916">
        <v>0</v>
      </c>
      <c r="L916" t="s">
        <v>162</v>
      </c>
      <c r="N916" t="s">
        <v>382</v>
      </c>
      <c r="O916" t="s">
        <v>167</v>
      </c>
      <c r="P916">
        <v>2.8859382456794706E-2</v>
      </c>
      <c r="Q916" t="s">
        <v>162</v>
      </c>
      <c r="S916" t="s">
        <v>494</v>
      </c>
      <c r="T916" t="s">
        <v>167</v>
      </c>
      <c r="U916">
        <v>2.4010352182538865E-2</v>
      </c>
      <c r="V916" t="s">
        <v>162</v>
      </c>
    </row>
    <row r="917" spans="9:22" x14ac:dyDescent="0.45">
      <c r="I917" t="s">
        <v>270</v>
      </c>
      <c r="J917" t="s">
        <v>168</v>
      </c>
      <c r="K917">
        <v>3.4803467429717849E-2</v>
      </c>
      <c r="L917" t="s">
        <v>162</v>
      </c>
      <c r="N917" t="s">
        <v>382</v>
      </c>
      <c r="O917" t="s">
        <v>168</v>
      </c>
      <c r="P917">
        <v>5.92216452453833E-2</v>
      </c>
      <c r="Q917" t="s">
        <v>162</v>
      </c>
      <c r="S917" t="s">
        <v>494</v>
      </c>
      <c r="T917" t="s">
        <v>168</v>
      </c>
      <c r="U917">
        <v>6.97812505094422E-2</v>
      </c>
      <c r="V917" t="s">
        <v>162</v>
      </c>
    </row>
    <row r="918" spans="9:22" x14ac:dyDescent="0.45">
      <c r="I918" t="s">
        <v>270</v>
      </c>
      <c r="J918" t="s">
        <v>169</v>
      </c>
      <c r="K918">
        <v>0</v>
      </c>
      <c r="L918" t="s">
        <v>162</v>
      </c>
      <c r="N918" t="s">
        <v>382</v>
      </c>
      <c r="O918" t="s">
        <v>169</v>
      </c>
      <c r="P918">
        <v>3.8259923956362853E-3</v>
      </c>
      <c r="Q918" t="s">
        <v>162</v>
      </c>
      <c r="S918" t="s">
        <v>494</v>
      </c>
      <c r="T918" t="s">
        <v>169</v>
      </c>
      <c r="U918">
        <v>3.8420308843226704E-3</v>
      </c>
      <c r="V918" t="s">
        <v>162</v>
      </c>
    </row>
    <row r="919" spans="9:22" x14ac:dyDescent="0.45">
      <c r="I919" t="s">
        <v>270</v>
      </c>
      <c r="J919" t="s">
        <v>170</v>
      </c>
      <c r="K919">
        <v>0</v>
      </c>
      <c r="L919" t="s">
        <v>162</v>
      </c>
      <c r="N919" t="s">
        <v>382</v>
      </c>
      <c r="O919" t="s">
        <v>170</v>
      </c>
      <c r="P919">
        <v>2.6528762908236764E-2</v>
      </c>
      <c r="Q919" t="s">
        <v>162</v>
      </c>
      <c r="S919" t="s">
        <v>494</v>
      </c>
      <c r="T919" t="s">
        <v>170</v>
      </c>
      <c r="U919">
        <v>2.5944463210739045E-2</v>
      </c>
      <c r="V919" t="s">
        <v>162</v>
      </c>
    </row>
    <row r="920" spans="9:22" x14ac:dyDescent="0.45">
      <c r="I920" t="s">
        <v>271</v>
      </c>
      <c r="J920" t="s">
        <v>161</v>
      </c>
      <c r="K920">
        <v>0.81562221902936405</v>
      </c>
      <c r="L920" t="s">
        <v>162</v>
      </c>
      <c r="N920" t="s">
        <v>383</v>
      </c>
      <c r="O920" t="s">
        <v>161</v>
      </c>
      <c r="P920">
        <v>0.53953478998941962</v>
      </c>
      <c r="Q920" t="s">
        <v>162</v>
      </c>
      <c r="S920" t="s">
        <v>495</v>
      </c>
      <c r="T920" t="s">
        <v>161</v>
      </c>
      <c r="U920">
        <v>0.56624669081336165</v>
      </c>
      <c r="V920" t="s">
        <v>162</v>
      </c>
    </row>
    <row r="921" spans="9:22" x14ac:dyDescent="0.45">
      <c r="I921" t="s">
        <v>271</v>
      </c>
      <c r="J921" t="s">
        <v>163</v>
      </c>
      <c r="K921">
        <v>5.2867696156679432E-2</v>
      </c>
      <c r="L921" t="s">
        <v>162</v>
      </c>
      <c r="N921" t="s">
        <v>383</v>
      </c>
      <c r="O921" t="s">
        <v>163</v>
      </c>
      <c r="P921">
        <v>3.069324436025006E-2</v>
      </c>
      <c r="Q921" t="s">
        <v>162</v>
      </c>
      <c r="S921" t="s">
        <v>495</v>
      </c>
      <c r="T921" t="s">
        <v>163</v>
      </c>
      <c r="U921">
        <v>3.2998222923005596E-2</v>
      </c>
      <c r="V921" t="s">
        <v>162</v>
      </c>
    </row>
    <row r="922" spans="9:22" x14ac:dyDescent="0.45">
      <c r="I922" t="s">
        <v>271</v>
      </c>
      <c r="J922" t="s">
        <v>164</v>
      </c>
      <c r="K922">
        <v>4.6945461125278719E-2</v>
      </c>
      <c r="L922" t="s">
        <v>162</v>
      </c>
      <c r="N922" t="s">
        <v>383</v>
      </c>
      <c r="O922" t="s">
        <v>164</v>
      </c>
      <c r="P922">
        <v>0.22285683155718711</v>
      </c>
      <c r="Q922" t="s">
        <v>162</v>
      </c>
      <c r="S922" t="s">
        <v>495</v>
      </c>
      <c r="T922" t="s">
        <v>164</v>
      </c>
      <c r="U922">
        <v>0.20257082990375563</v>
      </c>
      <c r="V922" t="s">
        <v>162</v>
      </c>
    </row>
    <row r="923" spans="9:22" x14ac:dyDescent="0.45">
      <c r="I923" t="s">
        <v>271</v>
      </c>
      <c r="J923" t="s">
        <v>165</v>
      </c>
      <c r="K923">
        <v>4.9005053933746726E-2</v>
      </c>
      <c r="L923" t="s">
        <v>162</v>
      </c>
      <c r="N923" t="s">
        <v>383</v>
      </c>
      <c r="O923" t="s">
        <v>165</v>
      </c>
      <c r="P923">
        <v>9.778515029379356E-2</v>
      </c>
      <c r="Q923" t="s">
        <v>162</v>
      </c>
      <c r="S923" t="s">
        <v>495</v>
      </c>
      <c r="T923" t="s">
        <v>165</v>
      </c>
      <c r="U923">
        <v>7.1369988956273472E-2</v>
      </c>
      <c r="V923" t="s">
        <v>162</v>
      </c>
    </row>
    <row r="924" spans="9:22" x14ac:dyDescent="0.45">
      <c r="I924" t="s">
        <v>271</v>
      </c>
      <c r="J924" t="s">
        <v>166</v>
      </c>
      <c r="K924">
        <v>4.8843570172424668E-5</v>
      </c>
      <c r="L924" t="s">
        <v>162</v>
      </c>
      <c r="N924" t="s">
        <v>383</v>
      </c>
      <c r="O924" t="s">
        <v>166</v>
      </c>
      <c r="P924">
        <v>5.3145063793038263E-3</v>
      </c>
      <c r="Q924" t="s">
        <v>162</v>
      </c>
      <c r="S924" t="s">
        <v>495</v>
      </c>
      <c r="T924" t="s">
        <v>166</v>
      </c>
      <c r="U924">
        <v>3.8434246620767339E-3</v>
      </c>
      <c r="V924" t="s">
        <v>162</v>
      </c>
    </row>
    <row r="925" spans="9:22" x14ac:dyDescent="0.45">
      <c r="I925" t="s">
        <v>271</v>
      </c>
      <c r="J925" t="s">
        <v>167</v>
      </c>
      <c r="K925">
        <v>0</v>
      </c>
      <c r="L925" t="s">
        <v>162</v>
      </c>
      <c r="N925" t="s">
        <v>383</v>
      </c>
      <c r="O925" t="s">
        <v>167</v>
      </c>
      <c r="P925">
        <v>3.1144297031280268E-2</v>
      </c>
      <c r="Q925" t="s">
        <v>162</v>
      </c>
      <c r="S925" t="s">
        <v>495</v>
      </c>
      <c r="T925" t="s">
        <v>167</v>
      </c>
      <c r="U925">
        <v>2.2303379085947421E-2</v>
      </c>
      <c r="V925" t="s">
        <v>162</v>
      </c>
    </row>
    <row r="926" spans="9:22" x14ac:dyDescent="0.45">
      <c r="I926" t="s">
        <v>271</v>
      </c>
      <c r="J926" t="s">
        <v>168</v>
      </c>
      <c r="K926">
        <v>3.5510726184759825E-2</v>
      </c>
      <c r="L926" t="s">
        <v>162</v>
      </c>
      <c r="N926" t="s">
        <v>383</v>
      </c>
      <c r="O926" t="s">
        <v>168</v>
      </c>
      <c r="P926">
        <v>4.6633275561822944E-2</v>
      </c>
      <c r="Q926" t="s">
        <v>162</v>
      </c>
      <c r="S926" t="s">
        <v>495</v>
      </c>
      <c r="T926" t="s">
        <v>168</v>
      </c>
      <c r="U926">
        <v>6.9476664746361591E-2</v>
      </c>
      <c r="V926" t="s">
        <v>162</v>
      </c>
    </row>
    <row r="927" spans="9:22" x14ac:dyDescent="0.45">
      <c r="I927" t="s">
        <v>271</v>
      </c>
      <c r="J927" t="s">
        <v>169</v>
      </c>
      <c r="K927">
        <v>0</v>
      </c>
      <c r="L927" t="s">
        <v>162</v>
      </c>
      <c r="N927" t="s">
        <v>383</v>
      </c>
      <c r="O927" t="s">
        <v>169</v>
      </c>
      <c r="P927">
        <v>3.2911883705405401E-3</v>
      </c>
      <c r="Q927" t="s">
        <v>162</v>
      </c>
      <c r="S927" t="s">
        <v>495</v>
      </c>
      <c r="T927" t="s">
        <v>169</v>
      </c>
      <c r="U927">
        <v>4.2301054118770703E-3</v>
      </c>
      <c r="V927" t="s">
        <v>162</v>
      </c>
    </row>
    <row r="928" spans="9:22" x14ac:dyDescent="0.45">
      <c r="I928" t="s">
        <v>271</v>
      </c>
      <c r="J928" t="s">
        <v>170</v>
      </c>
      <c r="K928">
        <v>0</v>
      </c>
      <c r="L928" t="s">
        <v>162</v>
      </c>
      <c r="N928" t="s">
        <v>383</v>
      </c>
      <c r="O928" t="s">
        <v>170</v>
      </c>
      <c r="P928">
        <v>2.2746716456404456E-2</v>
      </c>
      <c r="Q928" t="s">
        <v>162</v>
      </c>
      <c r="S928" t="s">
        <v>495</v>
      </c>
      <c r="T928" t="s">
        <v>170</v>
      </c>
      <c r="U928">
        <v>2.6960693497344864E-2</v>
      </c>
      <c r="V928" t="s">
        <v>162</v>
      </c>
    </row>
    <row r="929" spans="9:22" x14ac:dyDescent="0.45">
      <c r="I929" t="s">
        <v>272</v>
      </c>
      <c r="J929" t="s">
        <v>161</v>
      </c>
      <c r="K929">
        <v>0.79931654470079683</v>
      </c>
      <c r="L929" t="s">
        <v>162</v>
      </c>
      <c r="N929" t="s">
        <v>384</v>
      </c>
      <c r="O929" t="s">
        <v>161</v>
      </c>
      <c r="P929">
        <v>0.53985418017871212</v>
      </c>
      <c r="Q929" t="s">
        <v>162</v>
      </c>
      <c r="S929" t="s">
        <v>496</v>
      </c>
      <c r="T929" t="s">
        <v>161</v>
      </c>
      <c r="U929">
        <v>0.54998794194820799</v>
      </c>
      <c r="V929" t="s">
        <v>162</v>
      </c>
    </row>
    <row r="930" spans="9:22" x14ac:dyDescent="0.45">
      <c r="I930" t="s">
        <v>272</v>
      </c>
      <c r="J930" t="s">
        <v>163</v>
      </c>
      <c r="K930">
        <v>6.0616872859035109E-2</v>
      </c>
      <c r="L930" t="s">
        <v>162</v>
      </c>
      <c r="N930" t="s">
        <v>384</v>
      </c>
      <c r="O930" t="s">
        <v>163</v>
      </c>
      <c r="P930">
        <v>3.157608392858581E-2</v>
      </c>
      <c r="Q930" t="s">
        <v>162</v>
      </c>
      <c r="S930" t="s">
        <v>496</v>
      </c>
      <c r="T930" t="s">
        <v>163</v>
      </c>
      <c r="U930">
        <v>3.3968570904296211E-2</v>
      </c>
      <c r="V930" t="s">
        <v>162</v>
      </c>
    </row>
    <row r="931" spans="9:22" x14ac:dyDescent="0.45">
      <c r="I931" t="s">
        <v>272</v>
      </c>
      <c r="J931" t="s">
        <v>164</v>
      </c>
      <c r="K931">
        <v>6.2590459134399104E-2</v>
      </c>
      <c r="L931" t="s">
        <v>162</v>
      </c>
      <c r="N931" t="s">
        <v>384</v>
      </c>
      <c r="O931" t="s">
        <v>164</v>
      </c>
      <c r="P931">
        <v>0.22781141169027666</v>
      </c>
      <c r="Q931" t="s">
        <v>162</v>
      </c>
      <c r="S931" t="s">
        <v>496</v>
      </c>
      <c r="T931" t="s">
        <v>164</v>
      </c>
      <c r="U931">
        <v>0.21566765713850594</v>
      </c>
      <c r="V931" t="s">
        <v>162</v>
      </c>
    </row>
    <row r="932" spans="9:22" x14ac:dyDescent="0.45">
      <c r="I932" t="s">
        <v>272</v>
      </c>
      <c r="J932" t="s">
        <v>165</v>
      </c>
      <c r="K932">
        <v>4.4064560139543976E-2</v>
      </c>
      <c r="L932" t="s">
        <v>162</v>
      </c>
      <c r="N932" t="s">
        <v>384</v>
      </c>
      <c r="O932" t="s">
        <v>165</v>
      </c>
      <c r="P932">
        <v>9.1904957105415533E-2</v>
      </c>
      <c r="Q932" t="s">
        <v>162</v>
      </c>
      <c r="S932" t="s">
        <v>496</v>
      </c>
      <c r="T932" t="s">
        <v>165</v>
      </c>
      <c r="U932">
        <v>7.7489951536948473E-2</v>
      </c>
      <c r="V932" t="s">
        <v>162</v>
      </c>
    </row>
    <row r="933" spans="9:22" x14ac:dyDescent="0.45">
      <c r="I933" t="s">
        <v>272</v>
      </c>
      <c r="J933" t="s">
        <v>166</v>
      </c>
      <c r="K933">
        <v>8.5247793655633545E-4</v>
      </c>
      <c r="L933" t="s">
        <v>162</v>
      </c>
      <c r="N933" t="s">
        <v>384</v>
      </c>
      <c r="O933" t="s">
        <v>166</v>
      </c>
      <c r="P933">
        <v>4.7620281646874821E-3</v>
      </c>
      <c r="Q933" t="s">
        <v>162</v>
      </c>
      <c r="S933" t="s">
        <v>496</v>
      </c>
      <c r="T933" t="s">
        <v>166</v>
      </c>
      <c r="U933">
        <v>4.3454748006482684E-3</v>
      </c>
      <c r="V933" t="s">
        <v>162</v>
      </c>
    </row>
    <row r="934" spans="9:22" x14ac:dyDescent="0.45">
      <c r="I934" t="s">
        <v>272</v>
      </c>
      <c r="J934" t="s">
        <v>167</v>
      </c>
      <c r="K934">
        <v>0</v>
      </c>
      <c r="L934" t="s">
        <v>162</v>
      </c>
      <c r="N934" t="s">
        <v>384</v>
      </c>
      <c r="O934" t="s">
        <v>167</v>
      </c>
      <c r="P934">
        <v>3.0355293270532061E-2</v>
      </c>
      <c r="Q934" t="s">
        <v>162</v>
      </c>
      <c r="S934" t="s">
        <v>496</v>
      </c>
      <c r="T934" t="s">
        <v>167</v>
      </c>
      <c r="U934">
        <v>2.4970916811287745E-2</v>
      </c>
      <c r="V934" t="s">
        <v>162</v>
      </c>
    </row>
    <row r="935" spans="9:22" x14ac:dyDescent="0.45">
      <c r="I935" t="s">
        <v>272</v>
      </c>
      <c r="J935" t="s">
        <v>168</v>
      </c>
      <c r="K935">
        <v>3.2499335855364297E-2</v>
      </c>
      <c r="L935" t="s">
        <v>162</v>
      </c>
      <c r="N935" t="s">
        <v>384</v>
      </c>
      <c r="O935" t="s">
        <v>168</v>
      </c>
      <c r="P935">
        <v>4.7252027083982441E-2</v>
      </c>
      <c r="Q935" t="s">
        <v>162</v>
      </c>
      <c r="S935" t="s">
        <v>496</v>
      </c>
      <c r="T935" t="s">
        <v>168</v>
      </c>
      <c r="U935">
        <v>6.3877560552173085E-2</v>
      </c>
      <c r="V935" t="s">
        <v>162</v>
      </c>
    </row>
    <row r="936" spans="9:22" x14ac:dyDescent="0.45">
      <c r="I936" t="s">
        <v>272</v>
      </c>
      <c r="J936" t="s">
        <v>169</v>
      </c>
      <c r="K936">
        <v>5.9749374304536801E-5</v>
      </c>
      <c r="L936" t="s">
        <v>162</v>
      </c>
      <c r="N936" t="s">
        <v>384</v>
      </c>
      <c r="O936" t="s">
        <v>169</v>
      </c>
      <c r="P936">
        <v>3.5398531192214972E-3</v>
      </c>
      <c r="Q936" t="s">
        <v>162</v>
      </c>
      <c r="S936" t="s">
        <v>496</v>
      </c>
      <c r="T936" t="s">
        <v>169</v>
      </c>
      <c r="U936">
        <v>4.0875965108739826E-3</v>
      </c>
      <c r="V936" t="s">
        <v>162</v>
      </c>
    </row>
    <row r="937" spans="9:22" x14ac:dyDescent="0.45">
      <c r="I937" t="s">
        <v>272</v>
      </c>
      <c r="J937" t="s">
        <v>170</v>
      </c>
      <c r="K937">
        <v>0</v>
      </c>
      <c r="L937" t="s">
        <v>162</v>
      </c>
      <c r="N937" t="s">
        <v>384</v>
      </c>
      <c r="O937" t="s">
        <v>170</v>
      </c>
      <c r="P937">
        <v>2.294416545858495E-2</v>
      </c>
      <c r="Q937" t="s">
        <v>162</v>
      </c>
      <c r="S937" t="s">
        <v>496</v>
      </c>
      <c r="T937" t="s">
        <v>170</v>
      </c>
      <c r="U937">
        <v>2.560432979705992E-2</v>
      </c>
      <c r="V937" t="s">
        <v>162</v>
      </c>
    </row>
    <row r="938" spans="9:22" x14ac:dyDescent="0.45">
      <c r="I938" t="s">
        <v>273</v>
      </c>
      <c r="J938" t="s">
        <v>161</v>
      </c>
      <c r="K938">
        <v>0.83817885598890418</v>
      </c>
      <c r="L938" t="s">
        <v>162</v>
      </c>
      <c r="N938" t="s">
        <v>385</v>
      </c>
      <c r="O938" t="s">
        <v>161</v>
      </c>
      <c r="P938">
        <v>0.54613815223191353</v>
      </c>
      <c r="Q938" t="s">
        <v>162</v>
      </c>
      <c r="S938" t="s">
        <v>497</v>
      </c>
      <c r="T938" t="s">
        <v>161</v>
      </c>
      <c r="U938">
        <v>0.56073324768913491</v>
      </c>
      <c r="V938" t="s">
        <v>162</v>
      </c>
    </row>
    <row r="939" spans="9:22" x14ac:dyDescent="0.45">
      <c r="I939" t="s">
        <v>273</v>
      </c>
      <c r="J939" t="s">
        <v>163</v>
      </c>
      <c r="K939">
        <v>5.229247232660237E-2</v>
      </c>
      <c r="L939" t="s">
        <v>162</v>
      </c>
      <c r="N939" t="s">
        <v>385</v>
      </c>
      <c r="O939" t="s">
        <v>163</v>
      </c>
      <c r="P939">
        <v>3.4263438719566122E-2</v>
      </c>
      <c r="Q939" t="s">
        <v>162</v>
      </c>
      <c r="S939" t="s">
        <v>497</v>
      </c>
      <c r="T939" t="s">
        <v>163</v>
      </c>
      <c r="U939">
        <v>3.3446799363107772E-2</v>
      </c>
      <c r="V939" t="s">
        <v>162</v>
      </c>
    </row>
    <row r="940" spans="9:22" x14ac:dyDescent="0.45">
      <c r="I940" t="s">
        <v>273</v>
      </c>
      <c r="J940" t="s">
        <v>164</v>
      </c>
      <c r="K940">
        <v>4.3645477283149312E-2</v>
      </c>
      <c r="L940" t="s">
        <v>162</v>
      </c>
      <c r="N940" t="s">
        <v>385</v>
      </c>
      <c r="O940" t="s">
        <v>164</v>
      </c>
      <c r="P940">
        <v>0.22870426442326608</v>
      </c>
      <c r="Q940" t="s">
        <v>162</v>
      </c>
      <c r="S940" t="s">
        <v>497</v>
      </c>
      <c r="T940" t="s">
        <v>164</v>
      </c>
      <c r="U940">
        <v>0.20346504841629032</v>
      </c>
      <c r="V940" t="s">
        <v>162</v>
      </c>
    </row>
    <row r="941" spans="9:22" x14ac:dyDescent="0.45">
      <c r="I941" t="s">
        <v>273</v>
      </c>
      <c r="J941" t="s">
        <v>165</v>
      </c>
      <c r="K941">
        <v>3.4278227924823365E-2</v>
      </c>
      <c r="L941" t="s">
        <v>162</v>
      </c>
      <c r="N941" t="s">
        <v>385</v>
      </c>
      <c r="O941" t="s">
        <v>165</v>
      </c>
      <c r="P941">
        <v>7.9499494811051272E-2</v>
      </c>
      <c r="Q941" t="s">
        <v>162</v>
      </c>
      <c r="S941" t="s">
        <v>497</v>
      </c>
      <c r="T941" t="s">
        <v>165</v>
      </c>
      <c r="U941">
        <v>8.0142783347530028E-2</v>
      </c>
      <c r="V941" t="s">
        <v>162</v>
      </c>
    </row>
    <row r="942" spans="9:22" x14ac:dyDescent="0.45">
      <c r="I942" t="s">
        <v>273</v>
      </c>
      <c r="J942" t="s">
        <v>166</v>
      </c>
      <c r="K942">
        <v>0</v>
      </c>
      <c r="L942" t="s">
        <v>162</v>
      </c>
      <c r="N942" t="s">
        <v>385</v>
      </c>
      <c r="O942" t="s">
        <v>166</v>
      </c>
      <c r="P942">
        <v>4.7761339364637435E-3</v>
      </c>
      <c r="Q942" t="s">
        <v>162</v>
      </c>
      <c r="S942" t="s">
        <v>497</v>
      </c>
      <c r="T942" t="s">
        <v>166</v>
      </c>
      <c r="U942">
        <v>4.7577814923475698E-3</v>
      </c>
      <c r="V942" t="s">
        <v>162</v>
      </c>
    </row>
    <row r="943" spans="9:22" x14ac:dyDescent="0.45">
      <c r="I943" t="s">
        <v>273</v>
      </c>
      <c r="J943" t="s">
        <v>167</v>
      </c>
      <c r="K943">
        <v>0</v>
      </c>
      <c r="L943" t="s">
        <v>162</v>
      </c>
      <c r="N943" t="s">
        <v>385</v>
      </c>
      <c r="O943" t="s">
        <v>167</v>
      </c>
      <c r="P943">
        <v>2.9414199306924547E-2</v>
      </c>
      <c r="Q943" t="s">
        <v>162</v>
      </c>
      <c r="S943" t="s">
        <v>497</v>
      </c>
      <c r="T943" t="s">
        <v>167</v>
      </c>
      <c r="U943">
        <v>2.7548142410239659E-2</v>
      </c>
      <c r="V943" t="s">
        <v>162</v>
      </c>
    </row>
    <row r="944" spans="9:22" x14ac:dyDescent="0.45">
      <c r="I944" t="s">
        <v>273</v>
      </c>
      <c r="J944" t="s">
        <v>168</v>
      </c>
      <c r="K944">
        <v>3.1604966476521931E-2</v>
      </c>
      <c r="L944" t="s">
        <v>162</v>
      </c>
      <c r="N944" t="s">
        <v>385</v>
      </c>
      <c r="O944" t="s">
        <v>168</v>
      </c>
      <c r="P944">
        <v>5.2154781066327038E-2</v>
      </c>
      <c r="Q944" t="s">
        <v>162</v>
      </c>
      <c r="S944" t="s">
        <v>497</v>
      </c>
      <c r="T944" t="s">
        <v>168</v>
      </c>
      <c r="U944">
        <v>5.9792425227753167E-2</v>
      </c>
      <c r="V944" t="s">
        <v>162</v>
      </c>
    </row>
    <row r="945" spans="9:22" x14ac:dyDescent="0.45">
      <c r="I945" t="s">
        <v>273</v>
      </c>
      <c r="J945" t="s">
        <v>169</v>
      </c>
      <c r="K945">
        <v>0</v>
      </c>
      <c r="L945" t="s">
        <v>162</v>
      </c>
      <c r="N945" t="s">
        <v>385</v>
      </c>
      <c r="O945" t="s">
        <v>169</v>
      </c>
      <c r="P945">
        <v>3.1492052330501035E-3</v>
      </c>
      <c r="Q945" t="s">
        <v>162</v>
      </c>
      <c r="S945" t="s">
        <v>497</v>
      </c>
      <c r="T945" t="s">
        <v>169</v>
      </c>
      <c r="U945">
        <v>4.287276274558399E-3</v>
      </c>
      <c r="V945" t="s">
        <v>162</v>
      </c>
    </row>
    <row r="946" spans="9:22" x14ac:dyDescent="0.45">
      <c r="I946" t="s">
        <v>273</v>
      </c>
      <c r="J946" t="s">
        <v>170</v>
      </c>
      <c r="K946">
        <v>0</v>
      </c>
      <c r="L946" t="s">
        <v>162</v>
      </c>
      <c r="N946" t="s">
        <v>385</v>
      </c>
      <c r="O946" t="s">
        <v>170</v>
      </c>
      <c r="P946">
        <v>2.1900330271437979E-2</v>
      </c>
      <c r="Q946" t="s">
        <v>162</v>
      </c>
      <c r="S946" t="s">
        <v>497</v>
      </c>
      <c r="T946" t="s">
        <v>170</v>
      </c>
      <c r="U946">
        <v>2.582649577903558E-2</v>
      </c>
      <c r="V946" t="s">
        <v>162</v>
      </c>
    </row>
    <row r="947" spans="9:22" x14ac:dyDescent="0.45">
      <c r="I947" t="s">
        <v>274</v>
      </c>
      <c r="J947" t="s">
        <v>161</v>
      </c>
      <c r="K947">
        <v>0.83106506519327739</v>
      </c>
      <c r="L947" t="s">
        <v>162</v>
      </c>
      <c r="N947" t="s">
        <v>386</v>
      </c>
      <c r="O947" t="s">
        <v>161</v>
      </c>
      <c r="P947">
        <v>0.54676876453701195</v>
      </c>
      <c r="Q947" t="s">
        <v>162</v>
      </c>
      <c r="S947" t="s">
        <v>498</v>
      </c>
      <c r="T947" t="s">
        <v>161</v>
      </c>
      <c r="U947">
        <v>0.5622053969379317</v>
      </c>
      <c r="V947" t="s">
        <v>162</v>
      </c>
    </row>
    <row r="948" spans="9:22" x14ac:dyDescent="0.45">
      <c r="I948" t="s">
        <v>274</v>
      </c>
      <c r="J948" t="s">
        <v>163</v>
      </c>
      <c r="K948">
        <v>5.4274386324486119E-2</v>
      </c>
      <c r="L948" t="s">
        <v>162</v>
      </c>
      <c r="N948" t="s">
        <v>386</v>
      </c>
      <c r="O948" t="s">
        <v>163</v>
      </c>
      <c r="P948">
        <v>3.2728841666008514E-2</v>
      </c>
      <c r="Q948" t="s">
        <v>162</v>
      </c>
      <c r="S948" t="s">
        <v>498</v>
      </c>
      <c r="T948" t="s">
        <v>163</v>
      </c>
      <c r="U948">
        <v>3.4678914008644431E-2</v>
      </c>
      <c r="V948" t="s">
        <v>162</v>
      </c>
    </row>
    <row r="949" spans="9:22" x14ac:dyDescent="0.45">
      <c r="I949" t="s">
        <v>274</v>
      </c>
      <c r="J949" t="s">
        <v>164</v>
      </c>
      <c r="K949">
        <v>4.8852929675600239E-2</v>
      </c>
      <c r="L949" t="s">
        <v>162</v>
      </c>
      <c r="N949" t="s">
        <v>386</v>
      </c>
      <c r="O949" t="s">
        <v>164</v>
      </c>
      <c r="P949">
        <v>0.23261517425048894</v>
      </c>
      <c r="Q949" t="s">
        <v>162</v>
      </c>
      <c r="S949" t="s">
        <v>498</v>
      </c>
      <c r="T949" t="s">
        <v>164</v>
      </c>
      <c r="U949">
        <v>0.2100657024061888</v>
      </c>
      <c r="V949" t="s">
        <v>162</v>
      </c>
    </row>
    <row r="950" spans="9:22" x14ac:dyDescent="0.45">
      <c r="I950" t="s">
        <v>274</v>
      </c>
      <c r="J950" t="s">
        <v>165</v>
      </c>
      <c r="K950">
        <v>3.2949616836885118E-2</v>
      </c>
      <c r="L950" t="s">
        <v>162</v>
      </c>
      <c r="N950" t="s">
        <v>386</v>
      </c>
      <c r="O950" t="s">
        <v>165</v>
      </c>
      <c r="P950">
        <v>8.1696233525196491E-2</v>
      </c>
      <c r="Q950" t="s">
        <v>162</v>
      </c>
      <c r="S950" t="s">
        <v>498</v>
      </c>
      <c r="T950" t="s">
        <v>165</v>
      </c>
      <c r="U950">
        <v>6.6566890209511689E-2</v>
      </c>
      <c r="V950" t="s">
        <v>162</v>
      </c>
    </row>
    <row r="951" spans="9:22" x14ac:dyDescent="0.45">
      <c r="I951" t="s">
        <v>274</v>
      </c>
      <c r="J951" t="s">
        <v>166</v>
      </c>
      <c r="K951">
        <v>0</v>
      </c>
      <c r="L951" t="s">
        <v>162</v>
      </c>
      <c r="N951" t="s">
        <v>386</v>
      </c>
      <c r="O951" t="s">
        <v>166</v>
      </c>
      <c r="P951">
        <v>5.0497200333169236E-3</v>
      </c>
      <c r="Q951" t="s">
        <v>162</v>
      </c>
      <c r="S951" t="s">
        <v>498</v>
      </c>
      <c r="T951" t="s">
        <v>166</v>
      </c>
      <c r="U951">
        <v>4.1524071956568036E-3</v>
      </c>
      <c r="V951" t="s">
        <v>162</v>
      </c>
    </row>
    <row r="952" spans="9:22" x14ac:dyDescent="0.45">
      <c r="I952" t="s">
        <v>274</v>
      </c>
      <c r="J952" t="s">
        <v>167</v>
      </c>
      <c r="K952">
        <v>0</v>
      </c>
      <c r="L952" t="s">
        <v>162</v>
      </c>
      <c r="N952" t="s">
        <v>386</v>
      </c>
      <c r="O952" t="s">
        <v>167</v>
      </c>
      <c r="P952">
        <v>3.099262536476452E-2</v>
      </c>
      <c r="Q952" t="s">
        <v>162</v>
      </c>
      <c r="S952" t="s">
        <v>498</v>
      </c>
      <c r="T952" t="s">
        <v>167</v>
      </c>
      <c r="U952">
        <v>2.3371821472616943E-2</v>
      </c>
      <c r="V952" t="s">
        <v>162</v>
      </c>
    </row>
    <row r="953" spans="9:22" x14ac:dyDescent="0.45">
      <c r="I953" t="s">
        <v>274</v>
      </c>
      <c r="J953" t="s">
        <v>168</v>
      </c>
      <c r="K953">
        <v>3.2858001969749903E-2</v>
      </c>
      <c r="L953" t="s">
        <v>162</v>
      </c>
      <c r="N953" t="s">
        <v>386</v>
      </c>
      <c r="O953" t="s">
        <v>168</v>
      </c>
      <c r="P953">
        <v>4.4225105121425141E-2</v>
      </c>
      <c r="Q953" t="s">
        <v>162</v>
      </c>
      <c r="S953" t="s">
        <v>498</v>
      </c>
      <c r="T953" t="s">
        <v>168</v>
      </c>
      <c r="U953">
        <v>7.0303885775108446E-2</v>
      </c>
      <c r="V953" t="s">
        <v>162</v>
      </c>
    </row>
    <row r="954" spans="9:22" x14ac:dyDescent="0.45">
      <c r="I954" t="s">
        <v>274</v>
      </c>
      <c r="J954" t="s">
        <v>169</v>
      </c>
      <c r="K954">
        <v>0</v>
      </c>
      <c r="L954" t="s">
        <v>162</v>
      </c>
      <c r="N954" t="s">
        <v>386</v>
      </c>
      <c r="O954" t="s">
        <v>169</v>
      </c>
      <c r="P954">
        <v>3.2666840369794778E-3</v>
      </c>
      <c r="Q954" t="s">
        <v>162</v>
      </c>
      <c r="S954" t="s">
        <v>498</v>
      </c>
      <c r="T954" t="s">
        <v>169</v>
      </c>
      <c r="U954">
        <v>3.894786496498992E-3</v>
      </c>
      <c r="V954" t="s">
        <v>162</v>
      </c>
    </row>
    <row r="955" spans="9:22" x14ac:dyDescent="0.45">
      <c r="I955" t="s">
        <v>274</v>
      </c>
      <c r="J955" t="s">
        <v>170</v>
      </c>
      <c r="K955">
        <v>0</v>
      </c>
      <c r="L955" t="s">
        <v>162</v>
      </c>
      <c r="N955" t="s">
        <v>386</v>
      </c>
      <c r="O955" t="s">
        <v>170</v>
      </c>
      <c r="P955">
        <v>2.2656851464809811E-2</v>
      </c>
      <c r="Q955" t="s">
        <v>162</v>
      </c>
      <c r="S955" t="s">
        <v>498</v>
      </c>
      <c r="T955" t="s">
        <v>170</v>
      </c>
      <c r="U955">
        <v>2.4760195497843359E-2</v>
      </c>
      <c r="V955" t="s">
        <v>162</v>
      </c>
    </row>
    <row r="956" spans="9:22" x14ac:dyDescent="0.45">
      <c r="I956" t="s">
        <v>275</v>
      </c>
      <c r="J956" t="s">
        <v>161</v>
      </c>
      <c r="K956">
        <v>0.827453236297924</v>
      </c>
      <c r="L956" t="s">
        <v>162</v>
      </c>
      <c r="N956" t="s">
        <v>387</v>
      </c>
      <c r="O956" t="s">
        <v>161</v>
      </c>
      <c r="P956">
        <v>0.54962356771367493</v>
      </c>
      <c r="Q956" t="s">
        <v>162</v>
      </c>
      <c r="S956" t="s">
        <v>499</v>
      </c>
      <c r="T956" t="s">
        <v>161</v>
      </c>
      <c r="U956">
        <v>0.56144419491914355</v>
      </c>
      <c r="V956" t="s">
        <v>162</v>
      </c>
    </row>
    <row r="957" spans="9:22" x14ac:dyDescent="0.45">
      <c r="I957" t="s">
        <v>275</v>
      </c>
      <c r="J957" t="s">
        <v>163</v>
      </c>
      <c r="K957">
        <v>5.5814590973482812E-2</v>
      </c>
      <c r="L957" t="s">
        <v>162</v>
      </c>
      <c r="N957" t="s">
        <v>387</v>
      </c>
      <c r="O957" t="s">
        <v>163</v>
      </c>
      <c r="P957">
        <v>3.1985590916590166E-2</v>
      </c>
      <c r="Q957" t="s">
        <v>162</v>
      </c>
      <c r="S957" t="s">
        <v>499</v>
      </c>
      <c r="T957" t="s">
        <v>163</v>
      </c>
      <c r="U957">
        <v>3.5425459888747193E-2</v>
      </c>
      <c r="V957" t="s">
        <v>162</v>
      </c>
    </row>
    <row r="958" spans="9:22" x14ac:dyDescent="0.45">
      <c r="I958" t="s">
        <v>275</v>
      </c>
      <c r="J958" t="s">
        <v>164</v>
      </c>
      <c r="K958">
        <v>5.6886081702396105E-2</v>
      </c>
      <c r="L958" t="s">
        <v>162</v>
      </c>
      <c r="N958" t="s">
        <v>387</v>
      </c>
      <c r="O958" t="s">
        <v>164</v>
      </c>
      <c r="P958">
        <v>0.232178675419868</v>
      </c>
      <c r="Q958" t="s">
        <v>162</v>
      </c>
      <c r="S958" t="s">
        <v>499</v>
      </c>
      <c r="T958" t="s">
        <v>164</v>
      </c>
      <c r="U958">
        <v>0.2132231673548918</v>
      </c>
      <c r="V958" t="s">
        <v>162</v>
      </c>
    </row>
    <row r="959" spans="9:22" x14ac:dyDescent="0.45">
      <c r="I959" t="s">
        <v>275</v>
      </c>
      <c r="J959" t="s">
        <v>165</v>
      </c>
      <c r="K959">
        <v>3.2732479258367551E-2</v>
      </c>
      <c r="L959" t="s">
        <v>162</v>
      </c>
      <c r="N959" t="s">
        <v>387</v>
      </c>
      <c r="O959" t="s">
        <v>165</v>
      </c>
      <c r="P959">
        <v>8.0036392919247926E-2</v>
      </c>
      <c r="Q959" t="s">
        <v>162</v>
      </c>
      <c r="S959" t="s">
        <v>499</v>
      </c>
      <c r="T959" t="s">
        <v>165</v>
      </c>
      <c r="U959">
        <v>6.487418193719853E-2</v>
      </c>
      <c r="V959" t="s">
        <v>162</v>
      </c>
    </row>
    <row r="960" spans="9:22" x14ac:dyDescent="0.45">
      <c r="I960" t="s">
        <v>275</v>
      </c>
      <c r="J960" t="s">
        <v>166</v>
      </c>
      <c r="K960">
        <v>0</v>
      </c>
      <c r="L960" t="s">
        <v>162</v>
      </c>
      <c r="N960" t="s">
        <v>387</v>
      </c>
      <c r="O960" t="s">
        <v>166</v>
      </c>
      <c r="P960">
        <v>4.5408749194710317E-3</v>
      </c>
      <c r="Q960" t="s">
        <v>162</v>
      </c>
      <c r="S960" t="s">
        <v>499</v>
      </c>
      <c r="T960" t="s">
        <v>166</v>
      </c>
      <c r="U960">
        <v>4.0741085835839224E-3</v>
      </c>
      <c r="V960" t="s">
        <v>162</v>
      </c>
    </row>
    <row r="961" spans="9:22" x14ac:dyDescent="0.45">
      <c r="I961" t="s">
        <v>275</v>
      </c>
      <c r="J961" t="s">
        <v>167</v>
      </c>
      <c r="K961">
        <v>0</v>
      </c>
      <c r="L961" t="s">
        <v>162</v>
      </c>
      <c r="N961" t="s">
        <v>387</v>
      </c>
      <c r="O961" t="s">
        <v>167</v>
      </c>
      <c r="P961">
        <v>2.958434827517141E-2</v>
      </c>
      <c r="Q961" t="s">
        <v>162</v>
      </c>
      <c r="S961" t="s">
        <v>499</v>
      </c>
      <c r="T961" t="s">
        <v>167</v>
      </c>
      <c r="U961">
        <v>2.3582830362929533E-2</v>
      </c>
      <c r="V961" t="s">
        <v>162</v>
      </c>
    </row>
    <row r="962" spans="9:22" x14ac:dyDescent="0.45">
      <c r="I962" t="s">
        <v>275</v>
      </c>
      <c r="J962" t="s">
        <v>168</v>
      </c>
      <c r="K962">
        <v>2.7113611767831624E-2</v>
      </c>
      <c r="L962" t="s">
        <v>162</v>
      </c>
      <c r="N962" t="s">
        <v>387</v>
      </c>
      <c r="O962" t="s">
        <v>168</v>
      </c>
      <c r="P962">
        <v>4.5360138593003071E-2</v>
      </c>
      <c r="Q962" t="s">
        <v>162</v>
      </c>
      <c r="S962" t="s">
        <v>499</v>
      </c>
      <c r="T962" t="s">
        <v>168</v>
      </c>
      <c r="U962">
        <v>6.6410049095529014E-2</v>
      </c>
      <c r="V962" t="s">
        <v>162</v>
      </c>
    </row>
    <row r="963" spans="9:22" x14ac:dyDescent="0.45">
      <c r="I963" t="s">
        <v>275</v>
      </c>
      <c r="J963" t="s">
        <v>169</v>
      </c>
      <c r="K963">
        <v>0</v>
      </c>
      <c r="L963" t="s">
        <v>162</v>
      </c>
      <c r="N963" t="s">
        <v>387</v>
      </c>
      <c r="O963" t="s">
        <v>169</v>
      </c>
      <c r="P963">
        <v>3.6417507824820449E-3</v>
      </c>
      <c r="Q963" t="s">
        <v>162</v>
      </c>
      <c r="S963" t="s">
        <v>499</v>
      </c>
      <c r="T963" t="s">
        <v>169</v>
      </c>
      <c r="U963">
        <v>4.1232904967888834E-3</v>
      </c>
      <c r="V963" t="s">
        <v>162</v>
      </c>
    </row>
    <row r="964" spans="9:22" x14ac:dyDescent="0.45">
      <c r="I964" t="s">
        <v>275</v>
      </c>
      <c r="J964" t="s">
        <v>170</v>
      </c>
      <c r="K964">
        <v>0</v>
      </c>
      <c r="L964" t="s">
        <v>162</v>
      </c>
      <c r="N964" t="s">
        <v>387</v>
      </c>
      <c r="O964" t="s">
        <v>170</v>
      </c>
      <c r="P964">
        <v>2.3048660460486838E-2</v>
      </c>
      <c r="Q964" t="s">
        <v>162</v>
      </c>
      <c r="S964" t="s">
        <v>499</v>
      </c>
      <c r="T964" t="s">
        <v>170</v>
      </c>
      <c r="U964">
        <v>2.6842717361189657E-2</v>
      </c>
      <c r="V964" t="s">
        <v>162</v>
      </c>
    </row>
    <row r="965" spans="9:22" x14ac:dyDescent="0.45">
      <c r="I965" t="s">
        <v>276</v>
      </c>
      <c r="J965" t="s">
        <v>161</v>
      </c>
      <c r="K965">
        <v>0.85041457600744019</v>
      </c>
      <c r="L965" t="s">
        <v>162</v>
      </c>
      <c r="N965" t="s">
        <v>388</v>
      </c>
      <c r="O965" t="s">
        <v>161</v>
      </c>
      <c r="P965">
        <v>0.54774338774745623</v>
      </c>
      <c r="Q965" t="s">
        <v>162</v>
      </c>
      <c r="S965" t="s">
        <v>500</v>
      </c>
      <c r="T965" t="s">
        <v>161</v>
      </c>
      <c r="U965">
        <v>0.57430508618845755</v>
      </c>
      <c r="V965" t="s">
        <v>162</v>
      </c>
    </row>
    <row r="966" spans="9:22" x14ac:dyDescent="0.45">
      <c r="I966" t="s">
        <v>276</v>
      </c>
      <c r="J966" t="s">
        <v>163</v>
      </c>
      <c r="K966">
        <v>4.3985258690432315E-2</v>
      </c>
      <c r="L966" t="s">
        <v>162</v>
      </c>
      <c r="N966" t="s">
        <v>388</v>
      </c>
      <c r="O966" t="s">
        <v>163</v>
      </c>
      <c r="P966">
        <v>3.1610115536800591E-2</v>
      </c>
      <c r="Q966" t="s">
        <v>162</v>
      </c>
      <c r="S966" t="s">
        <v>500</v>
      </c>
      <c r="T966" t="s">
        <v>163</v>
      </c>
      <c r="U966">
        <v>3.3867536086877398E-2</v>
      </c>
      <c r="V966" t="s">
        <v>162</v>
      </c>
    </row>
    <row r="967" spans="9:22" x14ac:dyDescent="0.45">
      <c r="I967" t="s">
        <v>276</v>
      </c>
      <c r="J967" t="s">
        <v>164</v>
      </c>
      <c r="K967">
        <v>2.8777156804099539E-2</v>
      </c>
      <c r="L967" t="s">
        <v>162</v>
      </c>
      <c r="N967" t="s">
        <v>388</v>
      </c>
      <c r="O967" t="s">
        <v>164</v>
      </c>
      <c r="P967">
        <v>0.22159203493845209</v>
      </c>
      <c r="Q967" t="s">
        <v>162</v>
      </c>
      <c r="S967" t="s">
        <v>500</v>
      </c>
      <c r="T967" t="s">
        <v>164</v>
      </c>
      <c r="U967">
        <v>0.20423993414173072</v>
      </c>
      <c r="V967" t="s">
        <v>162</v>
      </c>
    </row>
    <row r="968" spans="9:22" x14ac:dyDescent="0.45">
      <c r="I968" t="s">
        <v>276</v>
      </c>
      <c r="J968" t="s">
        <v>165</v>
      </c>
      <c r="K968">
        <v>4.6893767346742915E-2</v>
      </c>
      <c r="L968" t="s">
        <v>162</v>
      </c>
      <c r="N968" t="s">
        <v>388</v>
      </c>
      <c r="O968" t="s">
        <v>165</v>
      </c>
      <c r="P968">
        <v>8.9037150379577004E-2</v>
      </c>
      <c r="Q968" t="s">
        <v>162</v>
      </c>
      <c r="S968" t="s">
        <v>500</v>
      </c>
      <c r="T968" t="s">
        <v>165</v>
      </c>
      <c r="U968">
        <v>6.2423272656619011E-2</v>
      </c>
      <c r="V968" t="s">
        <v>162</v>
      </c>
    </row>
    <row r="969" spans="9:22" x14ac:dyDescent="0.45">
      <c r="I969" t="s">
        <v>276</v>
      </c>
      <c r="J969" t="s">
        <v>166</v>
      </c>
      <c r="K969">
        <v>0</v>
      </c>
      <c r="L969" t="s">
        <v>162</v>
      </c>
      <c r="N969" t="s">
        <v>388</v>
      </c>
      <c r="O969" t="s">
        <v>166</v>
      </c>
      <c r="P969">
        <v>4.9049802007802316E-3</v>
      </c>
      <c r="Q969" t="s">
        <v>162</v>
      </c>
      <c r="S969" t="s">
        <v>500</v>
      </c>
      <c r="T969" t="s">
        <v>166</v>
      </c>
      <c r="U969">
        <v>3.6926354840426685E-3</v>
      </c>
      <c r="V969" t="s">
        <v>162</v>
      </c>
    </row>
    <row r="970" spans="9:22" x14ac:dyDescent="0.45">
      <c r="I970" t="s">
        <v>276</v>
      </c>
      <c r="J970" t="s">
        <v>167</v>
      </c>
      <c r="K970">
        <v>0</v>
      </c>
      <c r="L970" t="s">
        <v>162</v>
      </c>
      <c r="N970" t="s">
        <v>388</v>
      </c>
      <c r="O970" t="s">
        <v>167</v>
      </c>
      <c r="P970">
        <v>3.0402003917870499E-2</v>
      </c>
      <c r="Q970" t="s">
        <v>162</v>
      </c>
      <c r="S970" t="s">
        <v>500</v>
      </c>
      <c r="T970" t="s">
        <v>167</v>
      </c>
      <c r="U970">
        <v>2.143389463920534E-2</v>
      </c>
      <c r="V970" t="s">
        <v>162</v>
      </c>
    </row>
    <row r="971" spans="9:22" x14ac:dyDescent="0.45">
      <c r="I971" t="s">
        <v>276</v>
      </c>
      <c r="J971" t="s">
        <v>168</v>
      </c>
      <c r="K971">
        <v>2.9929241151285629E-2</v>
      </c>
      <c r="L971" t="s">
        <v>162</v>
      </c>
      <c r="N971" t="s">
        <v>388</v>
      </c>
      <c r="O971" t="s">
        <v>168</v>
      </c>
      <c r="P971">
        <v>4.9651281111274904E-2</v>
      </c>
      <c r="Q971" t="s">
        <v>162</v>
      </c>
      <c r="S971" t="s">
        <v>500</v>
      </c>
      <c r="T971" t="s">
        <v>168</v>
      </c>
      <c r="U971">
        <v>6.996531454136784E-2</v>
      </c>
      <c r="V971" t="s">
        <v>162</v>
      </c>
    </row>
    <row r="972" spans="9:22" x14ac:dyDescent="0.45">
      <c r="I972" t="s">
        <v>276</v>
      </c>
      <c r="J972" t="s">
        <v>169</v>
      </c>
      <c r="K972">
        <v>0</v>
      </c>
      <c r="L972" t="s">
        <v>162</v>
      </c>
      <c r="N972" t="s">
        <v>388</v>
      </c>
      <c r="O972" t="s">
        <v>169</v>
      </c>
      <c r="P972">
        <v>3.2410134717370904E-3</v>
      </c>
      <c r="Q972" t="s">
        <v>162</v>
      </c>
      <c r="S972" t="s">
        <v>500</v>
      </c>
      <c r="T972" t="s">
        <v>169</v>
      </c>
      <c r="U972">
        <v>3.9272479228906641E-3</v>
      </c>
      <c r="V972" t="s">
        <v>162</v>
      </c>
    </row>
    <row r="973" spans="9:22" x14ac:dyDescent="0.45">
      <c r="I973" t="s">
        <v>276</v>
      </c>
      <c r="J973" t="s">
        <v>170</v>
      </c>
      <c r="K973">
        <v>0</v>
      </c>
      <c r="L973" t="s">
        <v>162</v>
      </c>
      <c r="N973" t="s">
        <v>388</v>
      </c>
      <c r="O973" t="s">
        <v>170</v>
      </c>
      <c r="P973">
        <v>2.1818032696053737E-2</v>
      </c>
      <c r="Q973" t="s">
        <v>162</v>
      </c>
      <c r="S973" t="s">
        <v>500</v>
      </c>
      <c r="T973" t="s">
        <v>170</v>
      </c>
      <c r="U973">
        <v>2.6145078338808234E-2</v>
      </c>
      <c r="V973" t="s">
        <v>162</v>
      </c>
    </row>
    <row r="974" spans="9:22" x14ac:dyDescent="0.45">
      <c r="I974" t="s">
        <v>277</v>
      </c>
      <c r="J974" t="s">
        <v>161</v>
      </c>
      <c r="K974">
        <v>0.80641272364184835</v>
      </c>
      <c r="L974" t="s">
        <v>162</v>
      </c>
      <c r="N974" t="s">
        <v>389</v>
      </c>
      <c r="O974" t="s">
        <v>161</v>
      </c>
      <c r="P974">
        <v>0.55840381179015219</v>
      </c>
      <c r="Q974" t="s">
        <v>162</v>
      </c>
    </row>
    <row r="975" spans="9:22" x14ac:dyDescent="0.45">
      <c r="I975" t="s">
        <v>277</v>
      </c>
      <c r="J975" t="s">
        <v>163</v>
      </c>
      <c r="K975">
        <v>6.2159146359291373E-2</v>
      </c>
      <c r="L975" t="s">
        <v>162</v>
      </c>
      <c r="N975" t="s">
        <v>389</v>
      </c>
      <c r="O975" t="s">
        <v>163</v>
      </c>
      <c r="P975">
        <v>3.0335184997620654E-2</v>
      </c>
      <c r="Q975" t="s">
        <v>162</v>
      </c>
    </row>
    <row r="976" spans="9:22" x14ac:dyDescent="0.45">
      <c r="I976" t="s">
        <v>277</v>
      </c>
      <c r="J976" t="s">
        <v>164</v>
      </c>
      <c r="K976">
        <v>6.1892620867092206E-2</v>
      </c>
      <c r="L976" t="s">
        <v>162</v>
      </c>
      <c r="N976" t="s">
        <v>389</v>
      </c>
      <c r="O976" t="s">
        <v>164</v>
      </c>
      <c r="P976">
        <v>0.219580338537845</v>
      </c>
      <c r="Q976" t="s">
        <v>162</v>
      </c>
    </row>
    <row r="977" spans="9:17" x14ac:dyDescent="0.45">
      <c r="I977" t="s">
        <v>277</v>
      </c>
      <c r="J977" t="s">
        <v>165</v>
      </c>
      <c r="K977">
        <v>3.9400199302154416E-2</v>
      </c>
      <c r="L977" t="s">
        <v>162</v>
      </c>
      <c r="N977" t="s">
        <v>389</v>
      </c>
      <c r="O977" t="s">
        <v>165</v>
      </c>
      <c r="P977">
        <v>7.3279531486293334E-2</v>
      </c>
      <c r="Q977" t="s">
        <v>162</v>
      </c>
    </row>
    <row r="978" spans="9:17" x14ac:dyDescent="0.45">
      <c r="I978" t="s">
        <v>277</v>
      </c>
      <c r="J978" t="s">
        <v>166</v>
      </c>
      <c r="K978">
        <v>6.2348366642312012E-4</v>
      </c>
      <c r="L978" t="s">
        <v>162</v>
      </c>
      <c r="N978" t="s">
        <v>389</v>
      </c>
      <c r="O978" t="s">
        <v>166</v>
      </c>
      <c r="P978">
        <v>4.8399396104517626E-3</v>
      </c>
      <c r="Q978" t="s">
        <v>162</v>
      </c>
    </row>
    <row r="979" spans="9:17" x14ac:dyDescent="0.45">
      <c r="I979" t="s">
        <v>277</v>
      </c>
      <c r="J979" t="s">
        <v>167</v>
      </c>
      <c r="K979">
        <v>0</v>
      </c>
      <c r="L979" t="s">
        <v>162</v>
      </c>
      <c r="N979" t="s">
        <v>389</v>
      </c>
      <c r="O979" t="s">
        <v>167</v>
      </c>
      <c r="P979">
        <v>2.7871469701018888E-2</v>
      </c>
      <c r="Q979" t="s">
        <v>162</v>
      </c>
    </row>
    <row r="980" spans="9:17" x14ac:dyDescent="0.45">
      <c r="I980" t="s">
        <v>277</v>
      </c>
      <c r="J980" t="s">
        <v>168</v>
      </c>
      <c r="K980">
        <v>2.9506709718764772E-2</v>
      </c>
      <c r="L980" t="s">
        <v>162</v>
      </c>
      <c r="N980" t="s">
        <v>389</v>
      </c>
      <c r="O980" t="s">
        <v>168</v>
      </c>
      <c r="P980">
        <v>5.9390216601093268E-2</v>
      </c>
      <c r="Q980" t="s">
        <v>162</v>
      </c>
    </row>
    <row r="981" spans="9:17" x14ac:dyDescent="0.45">
      <c r="I981" t="s">
        <v>277</v>
      </c>
      <c r="J981" t="s">
        <v>169</v>
      </c>
      <c r="K981">
        <v>5.1164444229220151E-6</v>
      </c>
      <c r="L981" t="s">
        <v>162</v>
      </c>
      <c r="N981" t="s">
        <v>389</v>
      </c>
      <c r="O981" t="s">
        <v>169</v>
      </c>
      <c r="P981">
        <v>3.8580572711123455E-3</v>
      </c>
      <c r="Q981" t="s">
        <v>162</v>
      </c>
    </row>
    <row r="982" spans="9:17" x14ac:dyDescent="0.45">
      <c r="I982" t="s">
        <v>277</v>
      </c>
      <c r="J982" t="s">
        <v>170</v>
      </c>
      <c r="K982">
        <v>0</v>
      </c>
      <c r="L982" t="s">
        <v>162</v>
      </c>
      <c r="N982" t="s">
        <v>389</v>
      </c>
      <c r="O982" t="s">
        <v>170</v>
      </c>
      <c r="P982">
        <v>2.2441450004410033E-2</v>
      </c>
      <c r="Q982" t="s">
        <v>162</v>
      </c>
    </row>
    <row r="983" spans="9:17" x14ac:dyDescent="0.45">
      <c r="I983" t="s">
        <v>278</v>
      </c>
      <c r="J983" t="s">
        <v>161</v>
      </c>
      <c r="K983">
        <v>0.83692469528373759</v>
      </c>
      <c r="L983" t="s">
        <v>162</v>
      </c>
      <c r="N983" t="s">
        <v>390</v>
      </c>
      <c r="O983" t="s">
        <v>161</v>
      </c>
      <c r="P983">
        <v>0.55769022049703976</v>
      </c>
      <c r="Q983" t="s">
        <v>162</v>
      </c>
    </row>
    <row r="984" spans="9:17" x14ac:dyDescent="0.45">
      <c r="I984" t="s">
        <v>278</v>
      </c>
      <c r="J984" t="s">
        <v>163</v>
      </c>
      <c r="K984">
        <v>4.9225645996032977E-2</v>
      </c>
      <c r="L984" t="s">
        <v>162</v>
      </c>
      <c r="N984" t="s">
        <v>390</v>
      </c>
      <c r="O984" t="s">
        <v>163</v>
      </c>
      <c r="P984">
        <v>3.2529856319238395E-2</v>
      </c>
      <c r="Q984" t="s">
        <v>162</v>
      </c>
    </row>
    <row r="985" spans="9:17" x14ac:dyDescent="0.45">
      <c r="I985" t="s">
        <v>278</v>
      </c>
      <c r="J985" t="s">
        <v>164</v>
      </c>
      <c r="K985">
        <v>4.3548509068086189E-2</v>
      </c>
      <c r="L985" t="s">
        <v>162</v>
      </c>
      <c r="N985" t="s">
        <v>390</v>
      </c>
      <c r="O985" t="s">
        <v>164</v>
      </c>
      <c r="P985">
        <v>0.22561844468102984</v>
      </c>
      <c r="Q985" t="s">
        <v>162</v>
      </c>
    </row>
    <row r="986" spans="9:17" x14ac:dyDescent="0.45">
      <c r="I986" t="s">
        <v>278</v>
      </c>
      <c r="J986" t="s">
        <v>165</v>
      </c>
      <c r="K986">
        <v>3.57056003150375E-2</v>
      </c>
      <c r="L986" t="s">
        <v>162</v>
      </c>
      <c r="N986" t="s">
        <v>390</v>
      </c>
      <c r="O986" t="s">
        <v>165</v>
      </c>
      <c r="P986">
        <v>7.2459422880967225E-2</v>
      </c>
      <c r="Q986" t="s">
        <v>162</v>
      </c>
    </row>
    <row r="987" spans="9:17" x14ac:dyDescent="0.45">
      <c r="I987" t="s">
        <v>278</v>
      </c>
      <c r="J987" t="s">
        <v>166</v>
      </c>
      <c r="K987">
        <v>0</v>
      </c>
      <c r="L987" t="s">
        <v>162</v>
      </c>
      <c r="N987" t="s">
        <v>390</v>
      </c>
      <c r="O987" t="s">
        <v>166</v>
      </c>
      <c r="P987">
        <v>4.7920257382100609E-3</v>
      </c>
      <c r="Q987" t="s">
        <v>162</v>
      </c>
    </row>
    <row r="988" spans="9:17" x14ac:dyDescent="0.45">
      <c r="I988" t="s">
        <v>278</v>
      </c>
      <c r="J988" t="s">
        <v>167</v>
      </c>
      <c r="K988">
        <v>0</v>
      </c>
      <c r="L988" t="s">
        <v>162</v>
      </c>
      <c r="N988" t="s">
        <v>390</v>
      </c>
      <c r="O988" t="s">
        <v>167</v>
      </c>
      <c r="P988">
        <v>2.8140563064091233E-2</v>
      </c>
      <c r="Q988" t="s">
        <v>162</v>
      </c>
    </row>
    <row r="989" spans="9:17" x14ac:dyDescent="0.45">
      <c r="I989" t="s">
        <v>278</v>
      </c>
      <c r="J989" t="s">
        <v>168</v>
      </c>
      <c r="K989">
        <v>3.4595549337106811E-2</v>
      </c>
      <c r="L989" t="s">
        <v>162</v>
      </c>
      <c r="N989" t="s">
        <v>390</v>
      </c>
      <c r="O989" t="s">
        <v>168</v>
      </c>
      <c r="P989">
        <v>5.1846772691335613E-2</v>
      </c>
      <c r="Q989" t="s">
        <v>162</v>
      </c>
    </row>
    <row r="990" spans="9:17" x14ac:dyDescent="0.45">
      <c r="I990" t="s">
        <v>278</v>
      </c>
      <c r="J990" t="s">
        <v>169</v>
      </c>
      <c r="K990">
        <v>0</v>
      </c>
      <c r="L990" t="s">
        <v>162</v>
      </c>
      <c r="N990" t="s">
        <v>390</v>
      </c>
      <c r="O990" t="s">
        <v>169</v>
      </c>
      <c r="P990">
        <v>3.9067013592556359E-3</v>
      </c>
      <c r="Q990" t="s">
        <v>162</v>
      </c>
    </row>
    <row r="991" spans="9:17" x14ac:dyDescent="0.45">
      <c r="I991" t="s">
        <v>278</v>
      </c>
      <c r="J991" t="s">
        <v>170</v>
      </c>
      <c r="K991">
        <v>0</v>
      </c>
      <c r="L991" t="s">
        <v>162</v>
      </c>
      <c r="N991" t="s">
        <v>390</v>
      </c>
      <c r="O991" t="s">
        <v>170</v>
      </c>
      <c r="P991">
        <v>2.3015992768832844E-2</v>
      </c>
      <c r="Q991" t="s">
        <v>162</v>
      </c>
    </row>
    <row r="992" spans="9:17" x14ac:dyDescent="0.45">
      <c r="I992" t="s">
        <v>279</v>
      </c>
      <c r="J992" t="s">
        <v>161</v>
      </c>
      <c r="K992">
        <v>0.83017766329714415</v>
      </c>
      <c r="L992" t="s">
        <v>162</v>
      </c>
      <c r="N992" t="s">
        <v>391</v>
      </c>
      <c r="O992" t="s">
        <v>161</v>
      </c>
      <c r="P992">
        <v>0.54257190172251502</v>
      </c>
      <c r="Q992" t="s">
        <v>162</v>
      </c>
    </row>
    <row r="993" spans="9:17" x14ac:dyDescent="0.45">
      <c r="I993" t="s">
        <v>279</v>
      </c>
      <c r="J993" t="s">
        <v>163</v>
      </c>
      <c r="K993">
        <v>5.2019830142652414E-2</v>
      </c>
      <c r="L993" t="s">
        <v>162</v>
      </c>
      <c r="N993" t="s">
        <v>391</v>
      </c>
      <c r="O993" t="s">
        <v>163</v>
      </c>
      <c r="P993">
        <v>3.189146667769429E-2</v>
      </c>
      <c r="Q993" t="s">
        <v>162</v>
      </c>
    </row>
    <row r="994" spans="9:17" x14ac:dyDescent="0.45">
      <c r="I994" t="s">
        <v>279</v>
      </c>
      <c r="J994" t="s">
        <v>164</v>
      </c>
      <c r="K994">
        <v>5.1672362720410196E-2</v>
      </c>
      <c r="L994" t="s">
        <v>162</v>
      </c>
      <c r="N994" t="s">
        <v>391</v>
      </c>
      <c r="O994" t="s">
        <v>164</v>
      </c>
      <c r="P994">
        <v>0.22133107158973023</v>
      </c>
      <c r="Q994" t="s">
        <v>162</v>
      </c>
    </row>
    <row r="995" spans="9:17" x14ac:dyDescent="0.45">
      <c r="I995" t="s">
        <v>279</v>
      </c>
      <c r="J995" t="s">
        <v>165</v>
      </c>
      <c r="K995">
        <v>3.0711679526110376E-2</v>
      </c>
      <c r="L995" t="s">
        <v>162</v>
      </c>
      <c r="N995" t="s">
        <v>391</v>
      </c>
      <c r="O995" t="s">
        <v>165</v>
      </c>
      <c r="P995">
        <v>7.5311335697695575E-2</v>
      </c>
      <c r="Q995" t="s">
        <v>162</v>
      </c>
    </row>
    <row r="996" spans="9:17" x14ac:dyDescent="0.45">
      <c r="I996" t="s">
        <v>279</v>
      </c>
      <c r="J996" t="s">
        <v>166</v>
      </c>
      <c r="K996">
        <v>0</v>
      </c>
      <c r="L996" t="s">
        <v>162</v>
      </c>
      <c r="N996" t="s">
        <v>391</v>
      </c>
      <c r="O996" t="s">
        <v>166</v>
      </c>
      <c r="P996">
        <v>5.0352479526166276E-3</v>
      </c>
      <c r="Q996" t="s">
        <v>162</v>
      </c>
    </row>
    <row r="997" spans="9:17" x14ac:dyDescent="0.45">
      <c r="I997" t="s">
        <v>279</v>
      </c>
      <c r="J997" t="s">
        <v>167</v>
      </c>
      <c r="K997">
        <v>0</v>
      </c>
      <c r="L997" t="s">
        <v>162</v>
      </c>
      <c r="N997" t="s">
        <v>391</v>
      </c>
      <c r="O997" t="s">
        <v>167</v>
      </c>
      <c r="P997">
        <v>3.1600125734513873E-2</v>
      </c>
      <c r="Q997" t="s">
        <v>162</v>
      </c>
    </row>
    <row r="998" spans="9:17" x14ac:dyDescent="0.45">
      <c r="I998" t="s">
        <v>279</v>
      </c>
      <c r="J998" t="s">
        <v>168</v>
      </c>
      <c r="K998">
        <v>3.5418464313681619E-2</v>
      </c>
      <c r="L998" t="s">
        <v>162</v>
      </c>
      <c r="N998" t="s">
        <v>391</v>
      </c>
      <c r="O998" t="s">
        <v>168</v>
      </c>
      <c r="P998">
        <v>6.1775377411823526E-2</v>
      </c>
      <c r="Q998" t="s">
        <v>162</v>
      </c>
    </row>
    <row r="999" spans="9:17" x14ac:dyDescent="0.45">
      <c r="I999" t="s">
        <v>279</v>
      </c>
      <c r="J999" t="s">
        <v>169</v>
      </c>
      <c r="K999">
        <v>0</v>
      </c>
      <c r="L999" t="s">
        <v>162</v>
      </c>
      <c r="N999" t="s">
        <v>391</v>
      </c>
      <c r="O999" t="s">
        <v>169</v>
      </c>
      <c r="P999">
        <v>4.4689793443856134E-3</v>
      </c>
      <c r="Q999" t="s">
        <v>162</v>
      </c>
    </row>
    <row r="1000" spans="9:17" x14ac:dyDescent="0.45">
      <c r="I1000" t="s">
        <v>279</v>
      </c>
      <c r="J1000" t="s">
        <v>170</v>
      </c>
      <c r="K1000">
        <v>0</v>
      </c>
      <c r="L1000" t="s">
        <v>162</v>
      </c>
      <c r="N1000" t="s">
        <v>391</v>
      </c>
      <c r="O1000" t="s">
        <v>170</v>
      </c>
      <c r="P1000">
        <v>2.6014493869026184E-2</v>
      </c>
      <c r="Q1000" t="s">
        <v>162</v>
      </c>
    </row>
    <row r="1001" spans="9:17" x14ac:dyDescent="0.45">
      <c r="I1001" t="s">
        <v>280</v>
      </c>
      <c r="J1001" t="s">
        <v>161</v>
      </c>
      <c r="K1001">
        <v>0.82505603094874613</v>
      </c>
      <c r="L1001" t="s">
        <v>162</v>
      </c>
      <c r="N1001" t="s">
        <v>392</v>
      </c>
      <c r="O1001" t="s">
        <v>161</v>
      </c>
      <c r="P1001">
        <v>0.55022935825806185</v>
      </c>
      <c r="Q1001" t="s">
        <v>162</v>
      </c>
    </row>
    <row r="1002" spans="9:17" x14ac:dyDescent="0.45">
      <c r="I1002" t="s">
        <v>280</v>
      </c>
      <c r="J1002" t="s">
        <v>163</v>
      </c>
      <c r="K1002">
        <v>5.1181502681669405E-2</v>
      </c>
      <c r="L1002" t="s">
        <v>162</v>
      </c>
      <c r="N1002" t="s">
        <v>392</v>
      </c>
      <c r="O1002" t="s">
        <v>163</v>
      </c>
      <c r="P1002">
        <v>3.3578980327240493E-2</v>
      </c>
      <c r="Q1002" t="s">
        <v>162</v>
      </c>
    </row>
    <row r="1003" spans="9:17" x14ac:dyDescent="0.45">
      <c r="I1003" t="s">
        <v>280</v>
      </c>
      <c r="J1003" t="s">
        <v>164</v>
      </c>
      <c r="K1003">
        <v>4.61834943970909E-2</v>
      </c>
      <c r="L1003" t="s">
        <v>162</v>
      </c>
      <c r="N1003" t="s">
        <v>392</v>
      </c>
      <c r="O1003" t="s">
        <v>164</v>
      </c>
      <c r="P1003">
        <v>0.22422765393399063</v>
      </c>
      <c r="Q1003" t="s">
        <v>162</v>
      </c>
    </row>
    <row r="1004" spans="9:17" x14ac:dyDescent="0.45">
      <c r="I1004" t="s">
        <v>280</v>
      </c>
      <c r="J1004" t="s">
        <v>165</v>
      </c>
      <c r="K1004">
        <v>4.3439260600072756E-2</v>
      </c>
      <c r="L1004" t="s">
        <v>162</v>
      </c>
      <c r="N1004" t="s">
        <v>392</v>
      </c>
      <c r="O1004" t="s">
        <v>165</v>
      </c>
      <c r="P1004">
        <v>7.1753054350267756E-2</v>
      </c>
      <c r="Q1004" t="s">
        <v>162</v>
      </c>
    </row>
    <row r="1005" spans="9:17" x14ac:dyDescent="0.45">
      <c r="I1005" t="s">
        <v>280</v>
      </c>
      <c r="J1005" t="s">
        <v>166</v>
      </c>
      <c r="K1005">
        <v>0</v>
      </c>
      <c r="L1005" t="s">
        <v>162</v>
      </c>
      <c r="N1005" t="s">
        <v>392</v>
      </c>
      <c r="O1005" t="s">
        <v>166</v>
      </c>
      <c r="P1005">
        <v>4.7995993096261232E-3</v>
      </c>
      <c r="Q1005" t="s">
        <v>162</v>
      </c>
    </row>
    <row r="1006" spans="9:17" x14ac:dyDescent="0.45">
      <c r="I1006" t="s">
        <v>280</v>
      </c>
      <c r="J1006" t="s">
        <v>167</v>
      </c>
      <c r="K1006">
        <v>0</v>
      </c>
      <c r="L1006" t="s">
        <v>162</v>
      </c>
      <c r="N1006" t="s">
        <v>392</v>
      </c>
      <c r="O1006" t="s">
        <v>167</v>
      </c>
      <c r="P1006">
        <v>2.842685884345366E-2</v>
      </c>
      <c r="Q1006" t="s">
        <v>162</v>
      </c>
    </row>
    <row r="1007" spans="9:17" x14ac:dyDescent="0.45">
      <c r="I1007" t="s">
        <v>280</v>
      </c>
      <c r="J1007" t="s">
        <v>168</v>
      </c>
      <c r="K1007">
        <v>3.41397113724249E-2</v>
      </c>
      <c r="L1007" t="s">
        <v>162</v>
      </c>
      <c r="N1007" t="s">
        <v>392</v>
      </c>
      <c r="O1007" t="s">
        <v>168</v>
      </c>
      <c r="P1007">
        <v>5.9086035759065354E-2</v>
      </c>
      <c r="Q1007" t="s">
        <v>162</v>
      </c>
    </row>
    <row r="1008" spans="9:17" x14ac:dyDescent="0.45">
      <c r="I1008" t="s">
        <v>280</v>
      </c>
      <c r="J1008" t="s">
        <v>169</v>
      </c>
      <c r="K1008">
        <v>0</v>
      </c>
      <c r="L1008" t="s">
        <v>162</v>
      </c>
      <c r="N1008" t="s">
        <v>392</v>
      </c>
      <c r="O1008" t="s">
        <v>169</v>
      </c>
      <c r="P1008">
        <v>3.8663298243119381E-3</v>
      </c>
      <c r="Q1008" t="s">
        <v>162</v>
      </c>
    </row>
    <row r="1009" spans="9:17" x14ac:dyDescent="0.45">
      <c r="I1009" t="s">
        <v>280</v>
      </c>
      <c r="J1009" t="s">
        <v>170</v>
      </c>
      <c r="K1009">
        <v>0</v>
      </c>
      <c r="L1009" t="s">
        <v>162</v>
      </c>
      <c r="N1009" t="s">
        <v>392</v>
      </c>
      <c r="O1009" t="s">
        <v>170</v>
      </c>
      <c r="P1009">
        <v>2.4032129393982919E-2</v>
      </c>
      <c r="Q1009" t="s">
        <v>162</v>
      </c>
    </row>
    <row r="1010" spans="9:17" x14ac:dyDescent="0.45">
      <c r="I1010" t="s">
        <v>281</v>
      </c>
      <c r="J1010" t="s">
        <v>161</v>
      </c>
      <c r="K1010">
        <v>0.8411703377334987</v>
      </c>
      <c r="L1010" t="s">
        <v>162</v>
      </c>
      <c r="N1010" t="s">
        <v>393</v>
      </c>
      <c r="O1010" t="s">
        <v>161</v>
      </c>
      <c r="P1010">
        <v>0.55826790752687294</v>
      </c>
      <c r="Q1010" t="s">
        <v>162</v>
      </c>
    </row>
    <row r="1011" spans="9:17" x14ac:dyDescent="0.45">
      <c r="I1011" t="s">
        <v>281</v>
      </c>
      <c r="J1011" t="s">
        <v>163</v>
      </c>
      <c r="K1011">
        <v>4.5114052068388873E-2</v>
      </c>
      <c r="L1011" t="s">
        <v>162</v>
      </c>
      <c r="N1011" t="s">
        <v>393</v>
      </c>
      <c r="O1011" t="s">
        <v>163</v>
      </c>
      <c r="P1011">
        <v>3.3542330770450074E-2</v>
      </c>
      <c r="Q1011" t="s">
        <v>162</v>
      </c>
    </row>
    <row r="1012" spans="9:17" x14ac:dyDescent="0.45">
      <c r="I1012" t="s">
        <v>281</v>
      </c>
      <c r="J1012" t="s">
        <v>164</v>
      </c>
      <c r="K1012">
        <v>3.3894865563866339E-2</v>
      </c>
      <c r="L1012" t="s">
        <v>162</v>
      </c>
      <c r="N1012" t="s">
        <v>393</v>
      </c>
      <c r="O1012" t="s">
        <v>164</v>
      </c>
      <c r="P1012">
        <v>0.20844515365103847</v>
      </c>
      <c r="Q1012" t="s">
        <v>162</v>
      </c>
    </row>
    <row r="1013" spans="9:17" x14ac:dyDescent="0.45">
      <c r="I1013" t="s">
        <v>281</v>
      </c>
      <c r="J1013" t="s">
        <v>165</v>
      </c>
      <c r="K1013">
        <v>4.8383088962265883E-2</v>
      </c>
      <c r="L1013" t="s">
        <v>162</v>
      </c>
      <c r="N1013" t="s">
        <v>393</v>
      </c>
      <c r="O1013" t="s">
        <v>165</v>
      </c>
      <c r="P1013">
        <v>6.8533598217118505E-2</v>
      </c>
      <c r="Q1013" t="s">
        <v>162</v>
      </c>
    </row>
    <row r="1014" spans="9:17" x14ac:dyDescent="0.45">
      <c r="I1014" t="s">
        <v>281</v>
      </c>
      <c r="J1014" t="s">
        <v>166</v>
      </c>
      <c r="K1014">
        <v>0</v>
      </c>
      <c r="L1014" t="s">
        <v>162</v>
      </c>
      <c r="N1014" t="s">
        <v>393</v>
      </c>
      <c r="O1014" t="s">
        <v>166</v>
      </c>
      <c r="P1014">
        <v>4.0937539173056979E-3</v>
      </c>
      <c r="Q1014" t="s">
        <v>162</v>
      </c>
    </row>
    <row r="1015" spans="9:17" x14ac:dyDescent="0.45">
      <c r="I1015" t="s">
        <v>281</v>
      </c>
      <c r="J1015" t="s">
        <v>167</v>
      </c>
      <c r="K1015">
        <v>0</v>
      </c>
      <c r="L1015" t="s">
        <v>162</v>
      </c>
      <c r="N1015" t="s">
        <v>393</v>
      </c>
      <c r="O1015" t="s">
        <v>167</v>
      </c>
      <c r="P1015">
        <v>2.528723932879328E-2</v>
      </c>
      <c r="Q1015" t="s">
        <v>162</v>
      </c>
    </row>
    <row r="1016" spans="9:17" x14ac:dyDescent="0.45">
      <c r="I1016" t="s">
        <v>281</v>
      </c>
      <c r="J1016" t="s">
        <v>168</v>
      </c>
      <c r="K1016">
        <v>3.1437655671976733E-2</v>
      </c>
      <c r="L1016" t="s">
        <v>162</v>
      </c>
      <c r="N1016" t="s">
        <v>393</v>
      </c>
      <c r="O1016" t="s">
        <v>168</v>
      </c>
      <c r="P1016">
        <v>7.127327278809252E-2</v>
      </c>
      <c r="Q1016" t="s">
        <v>162</v>
      </c>
    </row>
    <row r="1017" spans="9:17" x14ac:dyDescent="0.45">
      <c r="I1017" t="s">
        <v>281</v>
      </c>
      <c r="J1017" t="s">
        <v>169</v>
      </c>
      <c r="K1017">
        <v>0</v>
      </c>
      <c r="L1017" t="s">
        <v>162</v>
      </c>
      <c r="N1017" t="s">
        <v>393</v>
      </c>
      <c r="O1017" t="s">
        <v>169</v>
      </c>
      <c r="P1017">
        <v>4.2688690918474478E-3</v>
      </c>
      <c r="Q1017" t="s">
        <v>162</v>
      </c>
    </row>
    <row r="1018" spans="9:17" x14ac:dyDescent="0.45">
      <c r="I1018" t="s">
        <v>281</v>
      </c>
      <c r="J1018" t="s">
        <v>170</v>
      </c>
      <c r="K1018">
        <v>0</v>
      </c>
      <c r="L1018" t="s">
        <v>162</v>
      </c>
      <c r="N1018" t="s">
        <v>393</v>
      </c>
      <c r="O1018" t="s">
        <v>170</v>
      </c>
      <c r="P1018">
        <v>2.6287874708479615E-2</v>
      </c>
      <c r="Q1018" t="s">
        <v>162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DFE14-151B-4924-BE66-BB2D3A88F87D}">
  <dimension ref="A9:AN471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127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122</v>
      </c>
      <c r="K10" t="s">
        <v>159</v>
      </c>
      <c r="L10" t="s">
        <v>30</v>
      </c>
      <c r="N10" t="s">
        <v>13</v>
      </c>
      <c r="O10" t="s">
        <v>122</v>
      </c>
      <c r="P10" t="s">
        <v>159</v>
      </c>
      <c r="Q10" t="s">
        <v>30</v>
      </c>
      <c r="S10" t="s">
        <v>13</v>
      </c>
      <c r="T10" t="s">
        <v>122</v>
      </c>
      <c r="U10" t="s">
        <v>159</v>
      </c>
      <c r="V10" t="s">
        <v>30</v>
      </c>
      <c r="X10" t="s">
        <v>501</v>
      </c>
      <c r="Y10" t="s">
        <v>159</v>
      </c>
      <c r="Z10" t="s">
        <v>122</v>
      </c>
      <c r="AA10" t="s">
        <v>13</v>
      </c>
      <c r="AC10" t="s">
        <v>13</v>
      </c>
      <c r="AD10" t="s">
        <v>122</v>
      </c>
      <c r="AE10" t="s">
        <v>159</v>
      </c>
      <c r="AG10" t="s">
        <v>13</v>
      </c>
      <c r="AH10" t="s">
        <v>122</v>
      </c>
      <c r="AI10" t="s">
        <v>507</v>
      </c>
      <c r="AK10" t="s">
        <v>47</v>
      </c>
      <c r="AL10" t="s">
        <v>122</v>
      </c>
      <c r="AM10" t="s">
        <v>508</v>
      </c>
      <c r="AN10" t="s">
        <v>509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153</v>
      </c>
      <c r="F11" t="s">
        <v>511</v>
      </c>
      <c r="G11" t="s">
        <v>152</v>
      </c>
      <c r="I11" t="s">
        <v>160</v>
      </c>
      <c r="J11" t="s">
        <v>161</v>
      </c>
      <c r="K11">
        <v>3.5211625983794835E-5</v>
      </c>
      <c r="L11" t="s">
        <v>162</v>
      </c>
      <c r="N11" t="s">
        <v>282</v>
      </c>
      <c r="O11" t="s">
        <v>161</v>
      </c>
      <c r="P11">
        <v>3.7940928162453119E-2</v>
      </c>
      <c r="Q11" t="s">
        <v>162</v>
      </c>
      <c r="S11" t="s">
        <v>394</v>
      </c>
      <c r="T11" t="s">
        <v>161</v>
      </c>
      <c r="U11">
        <v>2.2978317017868854E-2</v>
      </c>
      <c r="V11" t="s">
        <v>162</v>
      </c>
      <c r="X11">
        <v>3.1849315068493152E-2</v>
      </c>
      <c r="Y11">
        <v>2.021297930702998E-2</v>
      </c>
      <c r="Z11" t="s">
        <v>161</v>
      </c>
      <c r="AA11" t="s">
        <v>25</v>
      </c>
      <c r="AC11" t="s">
        <v>22</v>
      </c>
      <c r="AD11" t="s">
        <v>161</v>
      </c>
      <c r="AE11">
        <v>3.5089499212390074E-2</v>
      </c>
      <c r="AG11" t="s">
        <v>97</v>
      </c>
      <c r="AH11" t="s">
        <v>161</v>
      </c>
      <c r="AI11">
        <v>9.4915987507157684E-2</v>
      </c>
      <c r="AK11">
        <v>2020</v>
      </c>
      <c r="AL11" t="s">
        <v>151</v>
      </c>
      <c r="AM11">
        <v>0.64050487437584191</v>
      </c>
      <c r="AN11" t="s">
        <v>510</v>
      </c>
    </row>
    <row r="12" spans="1:40" x14ac:dyDescent="0.45">
      <c r="C12" t="s">
        <v>155</v>
      </c>
      <c r="E12" t="s">
        <v>156</v>
      </c>
      <c r="G12" t="s">
        <v>152</v>
      </c>
      <c r="I12" t="s">
        <v>160</v>
      </c>
      <c r="J12" t="s">
        <v>163</v>
      </c>
      <c r="K12">
        <v>3.1375999176663197E-3</v>
      </c>
      <c r="L12" t="s">
        <v>162</v>
      </c>
      <c r="N12" t="s">
        <v>282</v>
      </c>
      <c r="O12" t="s">
        <v>163</v>
      </c>
      <c r="P12">
        <v>4.3617659132395292E-3</v>
      </c>
      <c r="Q12" t="s">
        <v>162</v>
      </c>
      <c r="S12" t="s">
        <v>394</v>
      </c>
      <c r="T12" t="s">
        <v>163</v>
      </c>
      <c r="U12">
        <v>2.4772951222406469E-3</v>
      </c>
      <c r="V12" t="s">
        <v>162</v>
      </c>
      <c r="X12">
        <v>3.5388127853881279E-3</v>
      </c>
      <c r="Y12">
        <v>4.4803553522445696E-3</v>
      </c>
      <c r="Z12" t="s">
        <v>163</v>
      </c>
      <c r="AA12" t="s">
        <v>25</v>
      </c>
      <c r="AC12" t="s">
        <v>22</v>
      </c>
      <c r="AD12" t="s">
        <v>163</v>
      </c>
      <c r="AE12">
        <v>3.4894367167016961E-3</v>
      </c>
      <c r="AG12" t="s">
        <v>97</v>
      </c>
      <c r="AH12" t="s">
        <v>163</v>
      </c>
      <c r="AI12">
        <v>3.9283514735155789E-2</v>
      </c>
      <c r="AK12">
        <v>2020</v>
      </c>
      <c r="AL12" t="s">
        <v>155</v>
      </c>
      <c r="AM12">
        <v>0.61065495923671653</v>
      </c>
      <c r="AN12" t="s">
        <v>510</v>
      </c>
    </row>
    <row r="13" spans="1:40" x14ac:dyDescent="0.45">
      <c r="C13" t="s">
        <v>157</v>
      </c>
      <c r="E13" t="s">
        <v>158</v>
      </c>
      <c r="G13" t="s">
        <v>152</v>
      </c>
      <c r="I13" t="s">
        <v>160</v>
      </c>
      <c r="J13" t="s">
        <v>164</v>
      </c>
      <c r="K13">
        <v>1.2408934546517848E-2</v>
      </c>
      <c r="L13" t="s">
        <v>162</v>
      </c>
      <c r="N13" t="s">
        <v>282</v>
      </c>
      <c r="O13" t="s">
        <v>164</v>
      </c>
      <c r="P13">
        <v>7.5449040436474744E-3</v>
      </c>
      <c r="Q13" t="s">
        <v>162</v>
      </c>
      <c r="S13" t="s">
        <v>394</v>
      </c>
      <c r="T13" t="s">
        <v>164</v>
      </c>
      <c r="U13">
        <v>4.9566414330893729E-3</v>
      </c>
      <c r="V13" t="s">
        <v>162</v>
      </c>
      <c r="X13">
        <v>7.0776255707762558E-3</v>
      </c>
      <c r="Y13">
        <v>8.7243616836138547E-3</v>
      </c>
      <c r="Z13" t="s">
        <v>164</v>
      </c>
      <c r="AA13" t="s">
        <v>25</v>
      </c>
      <c r="AC13" t="s">
        <v>22</v>
      </c>
      <c r="AD13" t="s">
        <v>164</v>
      </c>
      <c r="AE13">
        <v>7.0808273546945286E-3</v>
      </c>
      <c r="AG13" t="s">
        <v>97</v>
      </c>
      <c r="AH13" t="s">
        <v>164</v>
      </c>
      <c r="AI13">
        <v>6.2184035625157064E-2</v>
      </c>
      <c r="AK13">
        <v>2020</v>
      </c>
      <c r="AL13" t="s">
        <v>157</v>
      </c>
      <c r="AM13">
        <v>0.49600737100737091</v>
      </c>
      <c r="AN13" t="s">
        <v>510</v>
      </c>
    </row>
    <row r="14" spans="1:40" x14ac:dyDescent="0.45">
      <c r="C14" t="s">
        <v>512</v>
      </c>
      <c r="E14" t="s">
        <v>513</v>
      </c>
      <c r="G14" t="s">
        <v>152</v>
      </c>
      <c r="I14" t="s">
        <v>160</v>
      </c>
      <c r="J14" t="s">
        <v>519</v>
      </c>
      <c r="K14">
        <v>2.4126331356395789E-2</v>
      </c>
      <c r="L14" t="s">
        <v>162</v>
      </c>
      <c r="N14" t="s">
        <v>282</v>
      </c>
      <c r="O14" t="s">
        <v>519</v>
      </c>
      <c r="P14">
        <v>1.7831145686871254E-2</v>
      </c>
      <c r="Q14" t="s">
        <v>162</v>
      </c>
      <c r="S14" t="s">
        <v>394</v>
      </c>
      <c r="T14" t="s">
        <v>519</v>
      </c>
      <c r="U14">
        <v>1.272193025620825E-2</v>
      </c>
      <c r="V14" t="s">
        <v>162</v>
      </c>
      <c r="X14">
        <v>1.7694063926940638E-2</v>
      </c>
      <c r="Y14">
        <v>2.5926459985580387E-2</v>
      </c>
      <c r="Z14" t="s">
        <v>519</v>
      </c>
      <c r="AA14" t="s">
        <v>25</v>
      </c>
      <c r="AC14" t="s">
        <v>22</v>
      </c>
      <c r="AD14" t="s">
        <v>519</v>
      </c>
      <c r="AE14">
        <v>2.0560231965686217E-2</v>
      </c>
      <c r="AG14" t="s">
        <v>97</v>
      </c>
      <c r="AH14" t="s">
        <v>519</v>
      </c>
      <c r="AI14">
        <v>9.8871414907058863E-2</v>
      </c>
      <c r="AK14">
        <v>2020</v>
      </c>
      <c r="AL14" t="s">
        <v>512</v>
      </c>
      <c r="AM14">
        <v>0.4895382919576467</v>
      </c>
      <c r="AN14" t="s">
        <v>510</v>
      </c>
    </row>
    <row r="15" spans="1:40" x14ac:dyDescent="0.45">
      <c r="C15" t="s">
        <v>514</v>
      </c>
      <c r="E15" t="s">
        <v>515</v>
      </c>
      <c r="G15" t="s">
        <v>152</v>
      </c>
      <c r="I15" t="s">
        <v>160</v>
      </c>
      <c r="J15" t="s">
        <v>520</v>
      </c>
      <c r="K15">
        <v>0</v>
      </c>
      <c r="L15" t="s">
        <v>162</v>
      </c>
      <c r="N15" t="s">
        <v>282</v>
      </c>
      <c r="O15" t="s">
        <v>520</v>
      </c>
      <c r="P15">
        <v>4.2269138794403414E-3</v>
      </c>
      <c r="Q15" t="s">
        <v>162</v>
      </c>
      <c r="S15" t="s">
        <v>394</v>
      </c>
      <c r="T15" t="s">
        <v>520</v>
      </c>
      <c r="U15">
        <v>2.5756704702275036E-3</v>
      </c>
      <c r="V15" t="s">
        <v>162</v>
      </c>
      <c r="X15">
        <v>3.5388127853881279E-3</v>
      </c>
      <c r="Y15">
        <v>6.8849497385409693E-3</v>
      </c>
      <c r="Z15" t="s">
        <v>520</v>
      </c>
      <c r="AA15" t="s">
        <v>25</v>
      </c>
      <c r="AC15" t="s">
        <v>22</v>
      </c>
      <c r="AD15" t="s">
        <v>520</v>
      </c>
      <c r="AE15">
        <v>4.089972754120502E-3</v>
      </c>
      <c r="AG15" t="s">
        <v>97</v>
      </c>
      <c r="AH15" t="s">
        <v>520</v>
      </c>
      <c r="AI15">
        <v>3.7216553439633815E-2</v>
      </c>
      <c r="AK15">
        <v>2020</v>
      </c>
      <c r="AL15" t="s">
        <v>514</v>
      </c>
      <c r="AM15">
        <v>0.47463152301861961</v>
      </c>
      <c r="AN15" t="s">
        <v>510</v>
      </c>
    </row>
    <row r="16" spans="1:40" x14ac:dyDescent="0.45">
      <c r="C16" t="s">
        <v>516</v>
      </c>
      <c r="E16" t="s">
        <v>517</v>
      </c>
      <c r="G16" t="s">
        <v>152</v>
      </c>
      <c r="I16" t="s">
        <v>160</v>
      </c>
      <c r="J16" t="s">
        <v>521</v>
      </c>
      <c r="K16">
        <v>0</v>
      </c>
      <c r="L16" t="s">
        <v>162</v>
      </c>
      <c r="N16" t="s">
        <v>282</v>
      </c>
      <c r="O16" t="s">
        <v>521</v>
      </c>
      <c r="P16">
        <v>2.5530611809432953E-2</v>
      </c>
      <c r="Q16" t="s">
        <v>162</v>
      </c>
      <c r="S16" t="s">
        <v>394</v>
      </c>
      <c r="T16" t="s">
        <v>521</v>
      </c>
      <c r="U16">
        <v>1.614242992762073E-2</v>
      </c>
      <c r="V16" t="s">
        <v>162</v>
      </c>
      <c r="X16">
        <v>2.1232876712328767E-2</v>
      </c>
      <c r="Y16">
        <v>1.8702400782305319E-2</v>
      </c>
      <c r="Z16" t="s">
        <v>521</v>
      </c>
      <c r="AA16" t="s">
        <v>25</v>
      </c>
      <c r="AC16" t="s">
        <v>22</v>
      </c>
      <c r="AD16" t="s">
        <v>521</v>
      </c>
      <c r="AE16">
        <v>2.4626048863440268E-2</v>
      </c>
      <c r="AG16" t="s">
        <v>97</v>
      </c>
      <c r="AH16" t="s">
        <v>521</v>
      </c>
      <c r="AI16">
        <v>4.5398357912954213E-2</v>
      </c>
      <c r="AK16">
        <v>2020</v>
      </c>
      <c r="AL16" t="s">
        <v>516</v>
      </c>
      <c r="AM16">
        <v>0.53695741195741187</v>
      </c>
      <c r="AN16" t="s">
        <v>510</v>
      </c>
    </row>
    <row r="17" spans="3:40" x14ac:dyDescent="0.45">
      <c r="C17" t="s">
        <v>518</v>
      </c>
      <c r="I17" t="s">
        <v>160</v>
      </c>
      <c r="J17" t="s">
        <v>165</v>
      </c>
      <c r="K17">
        <v>1.5725066055779915E-2</v>
      </c>
      <c r="L17" t="s">
        <v>162</v>
      </c>
      <c r="N17" t="s">
        <v>282</v>
      </c>
      <c r="O17" t="s">
        <v>165</v>
      </c>
      <c r="P17">
        <v>6.3754486571772004E-2</v>
      </c>
      <c r="Q17" t="s">
        <v>162</v>
      </c>
      <c r="S17" t="s">
        <v>394</v>
      </c>
      <c r="T17" t="s">
        <v>165</v>
      </c>
      <c r="U17">
        <v>5.2448800222947893E-2</v>
      </c>
      <c r="V17" t="s">
        <v>162</v>
      </c>
      <c r="X17">
        <v>6.0616438356164384E-2</v>
      </c>
      <c r="Y17">
        <v>3.8469863842411904E-2</v>
      </c>
      <c r="Z17" t="s">
        <v>165</v>
      </c>
      <c r="AA17" t="s">
        <v>25</v>
      </c>
      <c r="AC17" t="s">
        <v>22</v>
      </c>
      <c r="AD17" t="s">
        <v>165</v>
      </c>
      <c r="AE17">
        <v>6.7952712663924719E-2</v>
      </c>
      <c r="AG17" t="s">
        <v>97</v>
      </c>
      <c r="AH17" t="s">
        <v>165</v>
      </c>
      <c r="AI17">
        <v>0.17762771233560071</v>
      </c>
      <c r="AK17">
        <v>2020</v>
      </c>
      <c r="AL17" t="s">
        <v>518</v>
      </c>
      <c r="AM17">
        <v>0.63489075585849775</v>
      </c>
      <c r="AN17" t="s">
        <v>510</v>
      </c>
    </row>
    <row r="18" spans="3:40" x14ac:dyDescent="0.45">
      <c r="I18" t="s">
        <v>160</v>
      </c>
      <c r="J18" t="s">
        <v>166</v>
      </c>
      <c r="K18">
        <v>1.7255463479588513E-2</v>
      </c>
      <c r="L18" t="s">
        <v>162</v>
      </c>
      <c r="N18" t="s">
        <v>282</v>
      </c>
      <c r="O18" t="s">
        <v>166</v>
      </c>
      <c r="P18">
        <v>5.7602783946055797E-3</v>
      </c>
      <c r="Q18" t="s">
        <v>162</v>
      </c>
      <c r="S18" t="s">
        <v>394</v>
      </c>
      <c r="T18" t="s">
        <v>166</v>
      </c>
      <c r="U18">
        <v>5.8279395068599376E-3</v>
      </c>
      <c r="V18" t="s">
        <v>162</v>
      </c>
      <c r="X18">
        <v>6.735159817351598E-3</v>
      </c>
      <c r="Y18">
        <v>8.5271279284654736E-3</v>
      </c>
      <c r="Z18" t="s">
        <v>166</v>
      </c>
      <c r="AA18" t="s">
        <v>25</v>
      </c>
      <c r="AC18" t="s">
        <v>22</v>
      </c>
      <c r="AD18" t="s">
        <v>166</v>
      </c>
      <c r="AE18">
        <v>6.7703597996485437E-3</v>
      </c>
      <c r="AG18" t="s">
        <v>97</v>
      </c>
      <c r="AH18" t="s">
        <v>166</v>
      </c>
      <c r="AI18">
        <v>5.9970409767631017E-2</v>
      </c>
      <c r="AK18">
        <v>2021</v>
      </c>
      <c r="AL18" t="s">
        <v>151</v>
      </c>
      <c r="AM18">
        <v>0.64943358111323313</v>
      </c>
      <c r="AN18" t="s">
        <v>510</v>
      </c>
    </row>
    <row r="19" spans="3:40" x14ac:dyDescent="0.45">
      <c r="I19" t="s">
        <v>160</v>
      </c>
      <c r="J19" t="s">
        <v>167</v>
      </c>
      <c r="K19">
        <v>4.2438579737872822E-2</v>
      </c>
      <c r="L19" t="s">
        <v>162</v>
      </c>
      <c r="N19" t="s">
        <v>282</v>
      </c>
      <c r="O19" t="s">
        <v>167</v>
      </c>
      <c r="P19">
        <v>1.0475018894871185E-2</v>
      </c>
      <c r="Q19" t="s">
        <v>162</v>
      </c>
      <c r="S19" t="s">
        <v>394</v>
      </c>
      <c r="T19" t="s">
        <v>167</v>
      </c>
      <c r="U19">
        <v>1.1275227312617047E-2</v>
      </c>
      <c r="V19" t="s">
        <v>162</v>
      </c>
      <c r="X19">
        <v>1.3470319634703196E-2</v>
      </c>
      <c r="Y19">
        <v>1.6604430301071525E-2</v>
      </c>
      <c r="Z19" t="s">
        <v>167</v>
      </c>
      <c r="AA19" t="s">
        <v>25</v>
      </c>
      <c r="AC19" t="s">
        <v>22</v>
      </c>
      <c r="AD19" t="s">
        <v>167</v>
      </c>
      <c r="AE19">
        <v>1.4050452811834981E-2</v>
      </c>
      <c r="AG19" t="s">
        <v>97</v>
      </c>
      <c r="AH19" t="s">
        <v>167</v>
      </c>
      <c r="AI19">
        <v>0.10475373827926027</v>
      </c>
      <c r="AK19">
        <v>2021</v>
      </c>
      <c r="AL19" t="s">
        <v>155</v>
      </c>
      <c r="AM19">
        <v>0.61395657285408844</v>
      </c>
      <c r="AN19" t="s">
        <v>510</v>
      </c>
    </row>
    <row r="20" spans="3:40" x14ac:dyDescent="0.45">
      <c r="I20" t="s">
        <v>160</v>
      </c>
      <c r="J20" t="s">
        <v>522</v>
      </c>
      <c r="K20">
        <v>9.7311333821139101E-2</v>
      </c>
      <c r="L20" t="s">
        <v>162</v>
      </c>
      <c r="N20" t="s">
        <v>282</v>
      </c>
      <c r="O20" t="s">
        <v>522</v>
      </c>
      <c r="P20">
        <v>2.8540711591352675E-2</v>
      </c>
      <c r="Q20" t="s">
        <v>162</v>
      </c>
      <c r="S20" t="s">
        <v>394</v>
      </c>
      <c r="T20" t="s">
        <v>522</v>
      </c>
      <c r="U20">
        <v>2.87369560249706E-2</v>
      </c>
      <c r="V20" t="s">
        <v>162</v>
      </c>
      <c r="X20">
        <v>3.3675799086757989E-2</v>
      </c>
      <c r="Y20">
        <v>4.9343907714491715E-2</v>
      </c>
      <c r="Z20" t="s">
        <v>522</v>
      </c>
      <c r="AA20" t="s">
        <v>25</v>
      </c>
      <c r="AC20" t="s">
        <v>22</v>
      </c>
      <c r="AD20" t="s">
        <v>522</v>
      </c>
      <c r="AE20">
        <v>4.006076393236481E-2</v>
      </c>
      <c r="AG20" t="s">
        <v>97</v>
      </c>
      <c r="AH20" t="s">
        <v>522</v>
      </c>
      <c r="AI20">
        <v>0.13260801737372319</v>
      </c>
      <c r="AK20">
        <v>2021</v>
      </c>
      <c r="AL20" t="s">
        <v>157</v>
      </c>
      <c r="AM20">
        <v>0.49941717914707179</v>
      </c>
      <c r="AN20" t="s">
        <v>510</v>
      </c>
    </row>
    <row r="21" spans="3:40" x14ac:dyDescent="0.45">
      <c r="I21" t="s">
        <v>160</v>
      </c>
      <c r="J21" t="s">
        <v>523</v>
      </c>
      <c r="K21">
        <v>8.4679576353210422E-3</v>
      </c>
      <c r="L21" t="s">
        <v>162</v>
      </c>
      <c r="N21" t="s">
        <v>282</v>
      </c>
      <c r="O21" t="s">
        <v>523</v>
      </c>
      <c r="P21">
        <v>7.2178446758487313E-3</v>
      </c>
      <c r="Q21" t="s">
        <v>162</v>
      </c>
      <c r="S21" t="s">
        <v>394</v>
      </c>
      <c r="T21" t="s">
        <v>523</v>
      </c>
      <c r="U21">
        <v>6.3132162238669406E-3</v>
      </c>
      <c r="V21" t="s">
        <v>162</v>
      </c>
      <c r="X21">
        <v>6.735159817351598E-3</v>
      </c>
      <c r="Y21">
        <v>1.3103614018513452E-2</v>
      </c>
      <c r="Z21" t="s">
        <v>523</v>
      </c>
      <c r="AA21" t="s">
        <v>25</v>
      </c>
      <c r="AC21" t="s">
        <v>22</v>
      </c>
      <c r="AD21" t="s">
        <v>523</v>
      </c>
      <c r="AE21">
        <v>7.9786427227305379E-3</v>
      </c>
      <c r="AG21" t="s">
        <v>97</v>
      </c>
      <c r="AH21" t="s">
        <v>523</v>
      </c>
      <c r="AI21">
        <v>8.7852385704065394E-2</v>
      </c>
      <c r="AK21">
        <v>2021</v>
      </c>
      <c r="AL21" t="s">
        <v>512</v>
      </c>
      <c r="AM21">
        <v>0.47222103367394963</v>
      </c>
      <c r="AN21" t="s">
        <v>510</v>
      </c>
    </row>
    <row r="22" spans="3:40" x14ac:dyDescent="0.45">
      <c r="I22" t="s">
        <v>160</v>
      </c>
      <c r="J22" t="s">
        <v>524</v>
      </c>
      <c r="K22">
        <v>2.1483222730078405E-3</v>
      </c>
      <c r="L22" t="s">
        <v>162</v>
      </c>
      <c r="N22" t="s">
        <v>282</v>
      </c>
      <c r="O22" t="s">
        <v>524</v>
      </c>
      <c r="P22">
        <v>4.9691176901633161E-2</v>
      </c>
      <c r="Q22" t="s">
        <v>162</v>
      </c>
      <c r="S22" t="s">
        <v>394</v>
      </c>
      <c r="T22" t="s">
        <v>524</v>
      </c>
      <c r="U22">
        <v>3.6953817836453989E-2</v>
      </c>
      <c r="V22" t="s">
        <v>162</v>
      </c>
      <c r="X22">
        <v>4.041095890410959E-2</v>
      </c>
      <c r="Y22">
        <v>3.5594891811484314E-2</v>
      </c>
      <c r="Z22" t="s">
        <v>524</v>
      </c>
      <c r="AA22" t="s">
        <v>25</v>
      </c>
      <c r="AC22" t="s">
        <v>22</v>
      </c>
      <c r="AD22" t="s">
        <v>524</v>
      </c>
      <c r="AE22">
        <v>4.828928729462735E-2</v>
      </c>
      <c r="AG22" t="s">
        <v>97</v>
      </c>
      <c r="AH22" t="s">
        <v>524</v>
      </c>
      <c r="AI22">
        <v>0.12654281288243663</v>
      </c>
      <c r="AK22">
        <v>2021</v>
      </c>
      <c r="AL22" t="s">
        <v>514</v>
      </c>
      <c r="AM22">
        <v>0.44442881323382943</v>
      </c>
      <c r="AN22" t="s">
        <v>510</v>
      </c>
    </row>
    <row r="23" spans="3:40" x14ac:dyDescent="0.45">
      <c r="I23" t="s">
        <v>160</v>
      </c>
      <c r="J23" t="s">
        <v>168</v>
      </c>
      <c r="K23">
        <v>2.4182614700429799E-2</v>
      </c>
      <c r="L23" t="s">
        <v>162</v>
      </c>
      <c r="N23" t="s">
        <v>282</v>
      </c>
      <c r="O23" t="s">
        <v>168</v>
      </c>
      <c r="P23">
        <v>3.8748032089877857E-2</v>
      </c>
      <c r="Q23" t="s">
        <v>162</v>
      </c>
      <c r="S23" t="s">
        <v>394</v>
      </c>
      <c r="T23" t="s">
        <v>168</v>
      </c>
      <c r="U23">
        <v>2.6843983648059393E-2</v>
      </c>
      <c r="V23" t="s">
        <v>162</v>
      </c>
      <c r="X23">
        <v>3.0821917808219176E-2</v>
      </c>
      <c r="Y23">
        <v>1.9560947716480627E-2</v>
      </c>
      <c r="Z23" t="s">
        <v>168</v>
      </c>
      <c r="AA23" t="s">
        <v>25</v>
      </c>
      <c r="AC23" t="s">
        <v>22</v>
      </c>
      <c r="AD23" t="s">
        <v>168</v>
      </c>
      <c r="AE23">
        <v>2.8923522184826682E-2</v>
      </c>
      <c r="AG23" t="s">
        <v>97</v>
      </c>
      <c r="AH23" t="s">
        <v>168</v>
      </c>
      <c r="AI23">
        <v>0.10411050546771849</v>
      </c>
      <c r="AK23">
        <v>2021</v>
      </c>
      <c r="AL23" t="s">
        <v>516</v>
      </c>
      <c r="AM23">
        <v>0.50611626941061405</v>
      </c>
      <c r="AN23" t="s">
        <v>510</v>
      </c>
    </row>
    <row r="24" spans="3:40" x14ac:dyDescent="0.45">
      <c r="I24" t="s">
        <v>160</v>
      </c>
      <c r="J24" t="s">
        <v>169</v>
      </c>
      <c r="K24">
        <v>1.2787786270724842E-2</v>
      </c>
      <c r="L24" t="s">
        <v>162</v>
      </c>
      <c r="N24" t="s">
        <v>282</v>
      </c>
      <c r="O24" t="s">
        <v>169</v>
      </c>
      <c r="P24">
        <v>3.5012303729225033E-3</v>
      </c>
      <c r="Q24" t="s">
        <v>162</v>
      </c>
      <c r="S24" t="s">
        <v>394</v>
      </c>
      <c r="T24" t="s">
        <v>169</v>
      </c>
      <c r="U24">
        <v>2.5730106832192669E-3</v>
      </c>
      <c r="V24" t="s">
        <v>162</v>
      </c>
      <c r="X24">
        <v>3.4246575342465752E-3</v>
      </c>
      <c r="Y24">
        <v>4.3358277602366805E-3</v>
      </c>
      <c r="Z24" t="s">
        <v>169</v>
      </c>
      <c r="AA24" t="s">
        <v>25</v>
      </c>
      <c r="AC24" t="s">
        <v>22</v>
      </c>
      <c r="AD24" t="s">
        <v>169</v>
      </c>
      <c r="AE24">
        <v>2.8999277013289034E-3</v>
      </c>
      <c r="AG24" t="s">
        <v>97</v>
      </c>
      <c r="AH24" t="s">
        <v>169</v>
      </c>
      <c r="AI24">
        <v>3.7501944743780324E-2</v>
      </c>
      <c r="AK24">
        <v>2021</v>
      </c>
      <c r="AL24" t="s">
        <v>518</v>
      </c>
      <c r="AM24">
        <v>0.60210774989659621</v>
      </c>
      <c r="AN24" t="s">
        <v>510</v>
      </c>
    </row>
    <row r="25" spans="3:40" x14ac:dyDescent="0.45">
      <c r="I25" t="s">
        <v>160</v>
      </c>
      <c r="J25" t="s">
        <v>170</v>
      </c>
      <c r="K25">
        <v>2.7584363960059439E-2</v>
      </c>
      <c r="L25" t="s">
        <v>162</v>
      </c>
      <c r="N25" t="s">
        <v>282</v>
      </c>
      <c r="O25" t="s">
        <v>170</v>
      </c>
      <c r="P25">
        <v>8.3826415301102332E-3</v>
      </c>
      <c r="Q25" t="s">
        <v>162</v>
      </c>
      <c r="S25" t="s">
        <v>394</v>
      </c>
      <c r="T25" t="s">
        <v>170</v>
      </c>
      <c r="U25">
        <v>4.9949423970957795E-3</v>
      </c>
      <c r="V25" t="s">
        <v>162</v>
      </c>
      <c r="X25">
        <v>6.8493150684931503E-3</v>
      </c>
      <c r="Y25">
        <v>8.4429306615617945E-3</v>
      </c>
      <c r="Z25" t="s">
        <v>170</v>
      </c>
      <c r="AA25" t="s">
        <v>25</v>
      </c>
      <c r="AC25" t="s">
        <v>22</v>
      </c>
      <c r="AD25" t="s">
        <v>170</v>
      </c>
      <c r="AE25">
        <v>6.2479470235076735E-3</v>
      </c>
      <c r="AG25" t="s">
        <v>97</v>
      </c>
      <c r="AH25" t="s">
        <v>170</v>
      </c>
      <c r="AI25">
        <v>8.847779428842073E-2</v>
      </c>
      <c r="AK25">
        <v>2022</v>
      </c>
      <c r="AL25" t="s">
        <v>151</v>
      </c>
      <c r="AM25">
        <v>0.64808468951951714</v>
      </c>
      <c r="AN25" t="s">
        <v>510</v>
      </c>
    </row>
    <row r="26" spans="3:40" x14ac:dyDescent="0.45">
      <c r="I26" t="s">
        <v>160</v>
      </c>
      <c r="J26" t="s">
        <v>525</v>
      </c>
      <c r="K26">
        <v>6.0708144204891651E-2</v>
      </c>
      <c r="L26" t="s">
        <v>162</v>
      </c>
      <c r="N26" t="s">
        <v>282</v>
      </c>
      <c r="O26" t="s">
        <v>525</v>
      </c>
      <c r="P26">
        <v>2.2389128002326734E-2</v>
      </c>
      <c r="Q26" t="s">
        <v>162</v>
      </c>
      <c r="S26" t="s">
        <v>394</v>
      </c>
      <c r="T26" t="s">
        <v>525</v>
      </c>
      <c r="U26">
        <v>1.3010371375312324E-2</v>
      </c>
      <c r="V26" t="s">
        <v>162</v>
      </c>
      <c r="X26">
        <v>1.7123287671232876E-2</v>
      </c>
      <c r="Y26">
        <v>2.5090122566690701E-2</v>
      </c>
      <c r="Z26" t="s">
        <v>525</v>
      </c>
      <c r="AA26" t="s">
        <v>25</v>
      </c>
      <c r="AC26" t="s">
        <v>22</v>
      </c>
      <c r="AD26" t="s">
        <v>525</v>
      </c>
      <c r="AE26">
        <v>1.7612182226495594E-2</v>
      </c>
      <c r="AG26" t="s">
        <v>97</v>
      </c>
      <c r="AH26" t="s">
        <v>525</v>
      </c>
      <c r="AI26">
        <v>6.2082569820615774E-2</v>
      </c>
      <c r="AK26">
        <v>2022</v>
      </c>
      <c r="AL26" t="s">
        <v>155</v>
      </c>
      <c r="AM26">
        <v>0.59701624288902266</v>
      </c>
      <c r="AN26" t="s">
        <v>510</v>
      </c>
    </row>
    <row r="27" spans="3:40" x14ac:dyDescent="0.45">
      <c r="I27" t="s">
        <v>160</v>
      </c>
      <c r="J27" t="s">
        <v>526</v>
      </c>
      <c r="K27">
        <v>6.890216067533669E-3</v>
      </c>
      <c r="L27" t="s">
        <v>162</v>
      </c>
      <c r="N27" t="s">
        <v>282</v>
      </c>
      <c r="O27" t="s">
        <v>526</v>
      </c>
      <c r="P27">
        <v>4.0056344629945005E-3</v>
      </c>
      <c r="Q27" t="s">
        <v>162</v>
      </c>
      <c r="S27" t="s">
        <v>394</v>
      </c>
      <c r="T27" t="s">
        <v>526</v>
      </c>
      <c r="U27">
        <v>2.7076292342687E-3</v>
      </c>
      <c r="V27" t="s">
        <v>162</v>
      </c>
      <c r="X27">
        <v>3.4246575342465752E-3</v>
      </c>
      <c r="Y27">
        <v>6.662854585684809E-3</v>
      </c>
      <c r="Z27" t="s">
        <v>526</v>
      </c>
      <c r="AA27" t="s">
        <v>25</v>
      </c>
      <c r="AC27" t="s">
        <v>22</v>
      </c>
      <c r="AD27" t="s">
        <v>526</v>
      </c>
      <c r="AE27">
        <v>3.4983043662922915E-3</v>
      </c>
      <c r="AG27" t="s">
        <v>97</v>
      </c>
      <c r="AH27" t="s">
        <v>526</v>
      </c>
      <c r="AI27">
        <v>3.6946753289874179E-2</v>
      </c>
      <c r="AK27">
        <v>2022</v>
      </c>
      <c r="AL27" t="s">
        <v>157</v>
      </c>
      <c r="AM27">
        <v>0.51881193400818892</v>
      </c>
      <c r="AN27" t="s">
        <v>510</v>
      </c>
    </row>
    <row r="28" spans="3:40" x14ac:dyDescent="0.45">
      <c r="I28" t="s">
        <v>160</v>
      </c>
      <c r="J28" t="s">
        <v>527</v>
      </c>
      <c r="K28">
        <v>5.1151114462617111E-3</v>
      </c>
      <c r="L28" t="s">
        <v>162</v>
      </c>
      <c r="N28" t="s">
        <v>282</v>
      </c>
      <c r="O28" t="s">
        <v>527</v>
      </c>
      <c r="P28">
        <v>2.866494260344301E-2</v>
      </c>
      <c r="Q28" t="s">
        <v>162</v>
      </c>
      <c r="S28" t="s">
        <v>394</v>
      </c>
      <c r="T28" t="s">
        <v>527</v>
      </c>
      <c r="U28">
        <v>1.7961762511728197E-2</v>
      </c>
      <c r="V28" t="s">
        <v>162</v>
      </c>
      <c r="X28">
        <v>2.0547945205479451E-2</v>
      </c>
      <c r="Y28">
        <v>1.8099097531263209E-2</v>
      </c>
      <c r="Z28" t="s">
        <v>527</v>
      </c>
      <c r="AA28" t="s">
        <v>25</v>
      </c>
      <c r="AC28" t="s">
        <v>22</v>
      </c>
      <c r="AD28" t="s">
        <v>527</v>
      </c>
      <c r="AE28">
        <v>2.1066462083570405E-2</v>
      </c>
      <c r="AG28" t="s">
        <v>97</v>
      </c>
      <c r="AH28" t="s">
        <v>527</v>
      </c>
      <c r="AI28">
        <v>4.524176421887427E-2</v>
      </c>
      <c r="AK28">
        <v>2022</v>
      </c>
      <c r="AL28" t="s">
        <v>512</v>
      </c>
      <c r="AM28">
        <v>0.49133112110100502</v>
      </c>
      <c r="AN28" t="s">
        <v>510</v>
      </c>
    </row>
    <row r="29" spans="3:40" x14ac:dyDescent="0.45">
      <c r="I29" t="s">
        <v>160</v>
      </c>
      <c r="J29" t="s">
        <v>528</v>
      </c>
      <c r="K29">
        <v>7.9003579297552071E-2</v>
      </c>
      <c r="L29" t="s">
        <v>162</v>
      </c>
      <c r="N29" t="s">
        <v>282</v>
      </c>
      <c r="O29" t="s">
        <v>528</v>
      </c>
      <c r="P29">
        <v>8.0451959693660521E-2</v>
      </c>
      <c r="Q29" t="s">
        <v>162</v>
      </c>
      <c r="S29" t="s">
        <v>394</v>
      </c>
      <c r="T29" t="s">
        <v>528</v>
      </c>
      <c r="U29">
        <v>0.10174127085729967</v>
      </c>
      <c r="V29" t="s">
        <v>162</v>
      </c>
      <c r="X29">
        <v>9.452054794520548E-2</v>
      </c>
      <c r="Y29">
        <v>5.9986906330540594E-2</v>
      </c>
      <c r="Z29" t="s">
        <v>528</v>
      </c>
      <c r="AA29" t="s">
        <v>25</v>
      </c>
      <c r="AC29" t="s">
        <v>22</v>
      </c>
      <c r="AD29" t="s">
        <v>528</v>
      </c>
      <c r="AE29">
        <v>7.9889244006575141E-2</v>
      </c>
      <c r="AG29" t="s">
        <v>97</v>
      </c>
      <c r="AH29" t="s">
        <v>528</v>
      </c>
      <c r="AI29">
        <v>0.23900861012383001</v>
      </c>
      <c r="AK29">
        <v>2022</v>
      </c>
      <c r="AL29" t="s">
        <v>514</v>
      </c>
      <c r="AM29">
        <v>0.4833611475729333</v>
      </c>
      <c r="AN29" t="s">
        <v>510</v>
      </c>
    </row>
    <row r="30" spans="3:40" x14ac:dyDescent="0.45">
      <c r="I30" t="s">
        <v>160</v>
      </c>
      <c r="J30" t="s">
        <v>529</v>
      </c>
      <c r="K30">
        <v>3.0702558187695385E-2</v>
      </c>
      <c r="L30" t="s">
        <v>162</v>
      </c>
      <c r="N30" t="s">
        <v>282</v>
      </c>
      <c r="O30" t="s">
        <v>529</v>
      </c>
      <c r="P30">
        <v>6.3137960946366371E-3</v>
      </c>
      <c r="Q30" t="s">
        <v>162</v>
      </c>
      <c r="S30" t="s">
        <v>394</v>
      </c>
      <c r="T30" t="s">
        <v>529</v>
      </c>
      <c r="U30">
        <v>1.0117825723675204E-2</v>
      </c>
      <c r="V30" t="s">
        <v>162</v>
      </c>
      <c r="X30">
        <v>1.0502283105022832E-2</v>
      </c>
      <c r="Y30">
        <v>1.3296538464725824E-2</v>
      </c>
      <c r="Z30" t="s">
        <v>529</v>
      </c>
      <c r="AA30" t="s">
        <v>25</v>
      </c>
      <c r="AC30" t="s">
        <v>22</v>
      </c>
      <c r="AD30" t="s">
        <v>529</v>
      </c>
      <c r="AE30">
        <v>7.1009635866254783E-3</v>
      </c>
      <c r="AG30" t="s">
        <v>97</v>
      </c>
      <c r="AH30" t="s">
        <v>529</v>
      </c>
      <c r="AI30">
        <v>0.10095438183753114</v>
      </c>
      <c r="AK30">
        <v>2022</v>
      </c>
      <c r="AL30" t="s">
        <v>516</v>
      </c>
      <c r="AM30">
        <v>0.54531935608637083</v>
      </c>
      <c r="AN30" t="s">
        <v>510</v>
      </c>
    </row>
    <row r="31" spans="3:40" x14ac:dyDescent="0.45">
      <c r="I31" t="s">
        <v>160</v>
      </c>
      <c r="J31" t="s">
        <v>530</v>
      </c>
      <c r="K31">
        <v>6.6440476666828535E-2</v>
      </c>
      <c r="L31" t="s">
        <v>162</v>
      </c>
      <c r="N31" t="s">
        <v>282</v>
      </c>
      <c r="O31" t="s">
        <v>530</v>
      </c>
      <c r="P31">
        <v>1.5181545283593003E-2</v>
      </c>
      <c r="Q31" t="s">
        <v>162</v>
      </c>
      <c r="S31" t="s">
        <v>394</v>
      </c>
      <c r="T31" t="s">
        <v>530</v>
      </c>
      <c r="U31">
        <v>2.0274983148686889E-2</v>
      </c>
      <c r="V31" t="s">
        <v>162</v>
      </c>
      <c r="X31">
        <v>2.1004566210045664E-2</v>
      </c>
      <c r="Y31">
        <v>2.5891654028789502E-2</v>
      </c>
      <c r="Z31" t="s">
        <v>530</v>
      </c>
      <c r="AA31" t="s">
        <v>25</v>
      </c>
      <c r="AC31" t="s">
        <v>22</v>
      </c>
      <c r="AD31" t="s">
        <v>530</v>
      </c>
      <c r="AE31">
        <v>1.49504457329179E-2</v>
      </c>
      <c r="AG31" t="s">
        <v>97</v>
      </c>
      <c r="AH31" t="s">
        <v>530</v>
      </c>
      <c r="AI31">
        <v>9.533475957200821E-2</v>
      </c>
      <c r="AK31">
        <v>2022</v>
      </c>
      <c r="AL31" t="s">
        <v>518</v>
      </c>
      <c r="AM31">
        <v>0.62517504901372389</v>
      </c>
      <c r="AN31" t="s">
        <v>510</v>
      </c>
    </row>
    <row r="32" spans="3:40" x14ac:dyDescent="0.45">
      <c r="I32" t="s">
        <v>160</v>
      </c>
      <c r="J32" t="s">
        <v>531</v>
      </c>
      <c r="K32">
        <v>0.1525117944070242</v>
      </c>
      <c r="L32" t="s">
        <v>162</v>
      </c>
      <c r="N32" t="s">
        <v>282</v>
      </c>
      <c r="O32" t="s">
        <v>531</v>
      </c>
      <c r="P32">
        <v>4.1301174516102546E-2</v>
      </c>
      <c r="Q32" t="s">
        <v>162</v>
      </c>
      <c r="S32" t="s">
        <v>394</v>
      </c>
      <c r="T32" t="s">
        <v>531</v>
      </c>
      <c r="U32">
        <v>5.2102431631099268E-2</v>
      </c>
      <c r="V32" t="s">
        <v>162</v>
      </c>
      <c r="X32">
        <v>5.2511415525114152E-2</v>
      </c>
      <c r="Y32">
        <v>7.6943042537851489E-2</v>
      </c>
      <c r="Z32" t="s">
        <v>531</v>
      </c>
      <c r="AA32" t="s">
        <v>25</v>
      </c>
      <c r="AC32" t="s">
        <v>22</v>
      </c>
      <c r="AD32" t="s">
        <v>531</v>
      </c>
      <c r="AE32">
        <v>5.0402161091032974E-2</v>
      </c>
      <c r="AG32" t="s">
        <v>97</v>
      </c>
      <c r="AH32" t="s">
        <v>531</v>
      </c>
      <c r="AI32">
        <v>0.16666696906462608</v>
      </c>
      <c r="AK32">
        <v>2025</v>
      </c>
      <c r="AL32" t="s">
        <v>151</v>
      </c>
      <c r="AM32">
        <v>0.72699999999999998</v>
      </c>
      <c r="AN32" t="s">
        <v>510</v>
      </c>
    </row>
    <row r="33" spans="9:40" x14ac:dyDescent="0.45">
      <c r="I33" t="s">
        <v>160</v>
      </c>
      <c r="J33" t="s">
        <v>532</v>
      </c>
      <c r="K33">
        <v>2.1243787138535385E-2</v>
      </c>
      <c r="L33" t="s">
        <v>162</v>
      </c>
      <c r="N33" t="s">
        <v>282</v>
      </c>
      <c r="O33" t="s">
        <v>532</v>
      </c>
      <c r="P33">
        <v>6.5250291860633504E-3</v>
      </c>
      <c r="Q33" t="s">
        <v>162</v>
      </c>
      <c r="S33" t="s">
        <v>394</v>
      </c>
      <c r="T33" t="s">
        <v>532</v>
      </c>
      <c r="U33">
        <v>1.0477630668714565E-2</v>
      </c>
      <c r="V33" t="s">
        <v>162</v>
      </c>
      <c r="X33">
        <v>1.0502283105022832E-2</v>
      </c>
      <c r="Y33">
        <v>2.0432754062766744E-2</v>
      </c>
      <c r="Z33" t="s">
        <v>532</v>
      </c>
      <c r="AA33" t="s">
        <v>25</v>
      </c>
      <c r="AC33" t="s">
        <v>22</v>
      </c>
      <c r="AD33" t="s">
        <v>532</v>
      </c>
      <c r="AE33">
        <v>1.0802341486195945E-2</v>
      </c>
      <c r="AG33" t="s">
        <v>97</v>
      </c>
      <c r="AH33" t="s">
        <v>532</v>
      </c>
      <c r="AI33">
        <v>0.11400217699283544</v>
      </c>
      <c r="AK33">
        <v>2025</v>
      </c>
      <c r="AL33" t="s">
        <v>155</v>
      </c>
      <c r="AM33">
        <v>0.65620000000000001</v>
      </c>
      <c r="AN33" t="s">
        <v>510</v>
      </c>
    </row>
    <row r="34" spans="9:40" x14ac:dyDescent="0.45">
      <c r="I34" t="s">
        <v>160</v>
      </c>
      <c r="J34" t="s">
        <v>533</v>
      </c>
      <c r="K34">
        <v>3.1716705901950429E-2</v>
      </c>
      <c r="L34" t="s">
        <v>162</v>
      </c>
      <c r="N34" t="s">
        <v>282</v>
      </c>
      <c r="O34" t="s">
        <v>533</v>
      </c>
      <c r="P34">
        <v>5.4144423693304765E-2</v>
      </c>
      <c r="Q34" t="s">
        <v>162</v>
      </c>
      <c r="S34" t="s">
        <v>394</v>
      </c>
      <c r="T34" t="s">
        <v>533</v>
      </c>
      <c r="U34">
        <v>6.5841069418610038E-2</v>
      </c>
      <c r="V34" t="s">
        <v>162</v>
      </c>
      <c r="X34">
        <v>6.3013698630136991E-2</v>
      </c>
      <c r="Y34">
        <v>5.5503899095873853E-2</v>
      </c>
      <c r="Z34" t="s">
        <v>533</v>
      </c>
      <c r="AA34" t="s">
        <v>25</v>
      </c>
      <c r="AC34" t="s">
        <v>22</v>
      </c>
      <c r="AD34" t="s">
        <v>533</v>
      </c>
      <c r="AE34">
        <v>6.4657550218165147E-2</v>
      </c>
      <c r="AG34" t="s">
        <v>97</v>
      </c>
      <c r="AH34" t="s">
        <v>533</v>
      </c>
      <c r="AI34">
        <v>0.11951343067540776</v>
      </c>
      <c r="AK34">
        <v>2025</v>
      </c>
      <c r="AL34" t="s">
        <v>157</v>
      </c>
      <c r="AM34">
        <v>0.52349999999999997</v>
      </c>
      <c r="AN34" t="s">
        <v>510</v>
      </c>
    </row>
    <row r="35" spans="9:40" x14ac:dyDescent="0.45">
      <c r="I35" t="s">
        <v>160</v>
      </c>
      <c r="J35" t="s">
        <v>534</v>
      </c>
      <c r="K35">
        <v>2.9613574868405681E-2</v>
      </c>
      <c r="L35" t="s">
        <v>162</v>
      </c>
      <c r="N35" t="s">
        <v>282</v>
      </c>
      <c r="O35" t="s">
        <v>534</v>
      </c>
      <c r="P35">
        <v>9.2635799105872316E-2</v>
      </c>
      <c r="Q35" t="s">
        <v>162</v>
      </c>
      <c r="S35" t="s">
        <v>394</v>
      </c>
      <c r="T35" t="s">
        <v>534</v>
      </c>
      <c r="U35">
        <v>0.12401148837854051</v>
      </c>
      <c r="V35" t="s">
        <v>162</v>
      </c>
      <c r="X35">
        <v>9.452054794520548E-2</v>
      </c>
      <c r="Y35">
        <v>5.9986906330540594E-2</v>
      </c>
      <c r="Z35" t="s">
        <v>534</v>
      </c>
      <c r="AA35" t="s">
        <v>25</v>
      </c>
      <c r="AC35" t="s">
        <v>22</v>
      </c>
      <c r="AD35" t="s">
        <v>534</v>
      </c>
      <c r="AE35">
        <v>7.9889327593785225E-2</v>
      </c>
      <c r="AG35" t="s">
        <v>97</v>
      </c>
      <c r="AH35" t="s">
        <v>534</v>
      </c>
      <c r="AI35">
        <v>0.22357364545277125</v>
      </c>
      <c r="AK35">
        <v>2025</v>
      </c>
      <c r="AL35" t="s">
        <v>512</v>
      </c>
      <c r="AM35">
        <v>0.50793333333333335</v>
      </c>
      <c r="AN35" t="s">
        <v>510</v>
      </c>
    </row>
    <row r="36" spans="9:40" x14ac:dyDescent="0.45">
      <c r="I36" t="s">
        <v>160</v>
      </c>
      <c r="J36" t="s">
        <v>535</v>
      </c>
      <c r="K36">
        <v>1.7956483802643662E-2</v>
      </c>
      <c r="L36" t="s">
        <v>162</v>
      </c>
      <c r="N36" t="s">
        <v>282</v>
      </c>
      <c r="O36" t="s">
        <v>535</v>
      </c>
      <c r="P36">
        <v>7.0527093643163903E-3</v>
      </c>
      <c r="Q36" t="s">
        <v>162</v>
      </c>
      <c r="S36" t="s">
        <v>394</v>
      </c>
      <c r="T36" t="s">
        <v>535</v>
      </c>
      <c r="U36">
        <v>1.2974614251606589E-2</v>
      </c>
      <c r="V36" t="s">
        <v>162</v>
      </c>
      <c r="X36">
        <v>1.0502283105022832E-2</v>
      </c>
      <c r="Y36">
        <v>1.3296538464725824E-2</v>
      </c>
      <c r="Z36" t="s">
        <v>535</v>
      </c>
      <c r="AA36" t="s">
        <v>25</v>
      </c>
      <c r="AC36" t="s">
        <v>22</v>
      </c>
      <c r="AD36" t="s">
        <v>535</v>
      </c>
      <c r="AE36">
        <v>7.1983896869668379E-3</v>
      </c>
      <c r="AG36" t="s">
        <v>97</v>
      </c>
      <c r="AH36" t="s">
        <v>535</v>
      </c>
      <c r="AI36">
        <v>0.10898797171546493</v>
      </c>
      <c r="AK36">
        <v>2025</v>
      </c>
      <c r="AL36" t="s">
        <v>514</v>
      </c>
      <c r="AM36">
        <v>0.47193333333333332</v>
      </c>
      <c r="AN36" t="s">
        <v>510</v>
      </c>
    </row>
    <row r="37" spans="9:40" x14ac:dyDescent="0.45">
      <c r="I37" t="s">
        <v>160</v>
      </c>
      <c r="J37" t="s">
        <v>536</v>
      </c>
      <c r="K37">
        <v>4.0234378202208494E-2</v>
      </c>
      <c r="L37" t="s">
        <v>162</v>
      </c>
      <c r="N37" t="s">
        <v>282</v>
      </c>
      <c r="O37" t="s">
        <v>536</v>
      </c>
      <c r="P37">
        <v>1.469342202210854E-2</v>
      </c>
      <c r="Q37" t="s">
        <v>162</v>
      </c>
      <c r="S37" t="s">
        <v>394</v>
      </c>
      <c r="T37" t="s">
        <v>536</v>
      </c>
      <c r="U37">
        <v>2.5270318810679353E-2</v>
      </c>
      <c r="V37" t="s">
        <v>162</v>
      </c>
      <c r="X37">
        <v>2.1004566210045664E-2</v>
      </c>
      <c r="Y37">
        <v>2.5891654028789502E-2</v>
      </c>
      <c r="Z37" t="s">
        <v>536</v>
      </c>
      <c r="AA37" t="s">
        <v>25</v>
      </c>
      <c r="AC37" t="s">
        <v>22</v>
      </c>
      <c r="AD37" t="s">
        <v>536</v>
      </c>
      <c r="AE37">
        <v>1.5263643675463444E-2</v>
      </c>
      <c r="AG37" t="s">
        <v>97</v>
      </c>
      <c r="AH37" t="s">
        <v>536</v>
      </c>
      <c r="AI37">
        <v>0.13929227749140805</v>
      </c>
      <c r="AK37">
        <v>2025</v>
      </c>
      <c r="AL37" t="s">
        <v>516</v>
      </c>
      <c r="AM37">
        <v>0.61119999999999997</v>
      </c>
      <c r="AN37" t="s">
        <v>510</v>
      </c>
    </row>
    <row r="38" spans="9:40" x14ac:dyDescent="0.45">
      <c r="I38" t="s">
        <v>160</v>
      </c>
      <c r="J38" t="s">
        <v>537</v>
      </c>
      <c r="K38">
        <v>8.8546373374692386E-2</v>
      </c>
      <c r="L38" t="s">
        <v>162</v>
      </c>
      <c r="N38" t="s">
        <v>282</v>
      </c>
      <c r="O38" t="s">
        <v>537</v>
      </c>
      <c r="P38">
        <v>3.933165813214725E-2</v>
      </c>
      <c r="Q38" t="s">
        <v>162</v>
      </c>
      <c r="S38" t="s">
        <v>394</v>
      </c>
      <c r="T38" t="s">
        <v>537</v>
      </c>
      <c r="U38">
        <v>6.3094142261852698E-2</v>
      </c>
      <c r="V38" t="s">
        <v>162</v>
      </c>
      <c r="X38">
        <v>5.2511415525114152E-2</v>
      </c>
      <c r="Y38">
        <v>7.6943042537851489E-2</v>
      </c>
      <c r="Z38" t="s">
        <v>537</v>
      </c>
      <c r="AA38" t="s">
        <v>25</v>
      </c>
      <c r="AC38" t="s">
        <v>22</v>
      </c>
      <c r="AD38" t="s">
        <v>537</v>
      </c>
      <c r="AE38">
        <v>5.0235474859679427E-2</v>
      </c>
      <c r="AG38" t="s">
        <v>97</v>
      </c>
      <c r="AH38" t="s">
        <v>537</v>
      </c>
      <c r="AI38">
        <v>0.14392796581251988</v>
      </c>
      <c r="AK38">
        <v>2025</v>
      </c>
      <c r="AL38" t="s">
        <v>518</v>
      </c>
      <c r="AM38">
        <v>0.59570000000000001</v>
      </c>
      <c r="AN38" t="s">
        <v>510</v>
      </c>
    </row>
    <row r="39" spans="9:40" x14ac:dyDescent="0.45">
      <c r="I39" t="s">
        <v>160</v>
      </c>
      <c r="J39" t="s">
        <v>538</v>
      </c>
      <c r="K39">
        <v>9.0963613036838548E-3</v>
      </c>
      <c r="L39" t="s">
        <v>162</v>
      </c>
      <c r="N39" t="s">
        <v>282</v>
      </c>
      <c r="O39" t="s">
        <v>538</v>
      </c>
      <c r="P39">
        <v>8.6695137274700462E-3</v>
      </c>
      <c r="Q39" t="s">
        <v>162</v>
      </c>
      <c r="S39" t="s">
        <v>394</v>
      </c>
      <c r="T39" t="s">
        <v>538</v>
      </c>
      <c r="U39">
        <v>1.2530404519157143E-2</v>
      </c>
      <c r="V39" t="s">
        <v>162</v>
      </c>
      <c r="X39">
        <v>1.0502283105022832E-2</v>
      </c>
      <c r="Y39">
        <v>2.0432754062766744E-2</v>
      </c>
      <c r="Z39" t="s">
        <v>538</v>
      </c>
      <c r="AA39" t="s">
        <v>25</v>
      </c>
      <c r="AC39" t="s">
        <v>22</v>
      </c>
      <c r="AD39" t="s">
        <v>538</v>
      </c>
      <c r="AE39">
        <v>1.0669758026117523E-2</v>
      </c>
      <c r="AG39" t="s">
        <v>97</v>
      </c>
      <c r="AH39" t="s">
        <v>538</v>
      </c>
      <c r="AI39">
        <v>0.10563950214576501</v>
      </c>
      <c r="AK39">
        <v>2026</v>
      </c>
      <c r="AL39" t="s">
        <v>151</v>
      </c>
      <c r="AM39">
        <v>0.70340000000000003</v>
      </c>
      <c r="AN39" t="s">
        <v>510</v>
      </c>
    </row>
    <row r="40" spans="9:40" x14ac:dyDescent="0.45">
      <c r="I40" t="s">
        <v>160</v>
      </c>
      <c r="J40" t="s">
        <v>539</v>
      </c>
      <c r="K40">
        <v>6.0899748631551053E-3</v>
      </c>
      <c r="L40" t="s">
        <v>162</v>
      </c>
      <c r="N40" t="s">
        <v>282</v>
      </c>
      <c r="O40" t="s">
        <v>539</v>
      </c>
      <c r="P40">
        <v>6.9480012414040088E-2</v>
      </c>
      <c r="Q40" t="s">
        <v>162</v>
      </c>
      <c r="S40" t="s">
        <v>394</v>
      </c>
      <c r="T40" t="s">
        <v>539</v>
      </c>
      <c r="U40">
        <v>7.9008346277559691E-2</v>
      </c>
      <c r="V40" t="s">
        <v>162</v>
      </c>
      <c r="X40">
        <v>6.3013698630136991E-2</v>
      </c>
      <c r="Y40">
        <v>5.5503899095873853E-2</v>
      </c>
      <c r="Z40" t="s">
        <v>539</v>
      </c>
      <c r="AA40" t="s">
        <v>25</v>
      </c>
      <c r="AC40" t="s">
        <v>22</v>
      </c>
      <c r="AD40" t="s">
        <v>539</v>
      </c>
      <c r="AE40">
        <v>6.396945518787038E-2</v>
      </c>
      <c r="AG40" t="s">
        <v>97</v>
      </c>
      <c r="AH40" t="s">
        <v>539</v>
      </c>
      <c r="AI40">
        <v>0.10830979931924145</v>
      </c>
      <c r="AK40">
        <v>2026</v>
      </c>
      <c r="AL40" t="s">
        <v>155</v>
      </c>
      <c r="AM40">
        <v>0.58729999999999993</v>
      </c>
      <c r="AN40" t="s">
        <v>510</v>
      </c>
    </row>
    <row r="41" spans="9:40" x14ac:dyDescent="0.45">
      <c r="I41" t="s">
        <v>160</v>
      </c>
      <c r="J41" t="s">
        <v>540</v>
      </c>
      <c r="K41">
        <v>1.1125668290100951E-3</v>
      </c>
      <c r="L41" t="s">
        <v>162</v>
      </c>
      <c r="N41" t="s">
        <v>282</v>
      </c>
      <c r="O41" t="s">
        <v>540</v>
      </c>
      <c r="P41">
        <v>3.5558308071518795E-2</v>
      </c>
      <c r="Q41" t="s">
        <v>162</v>
      </c>
      <c r="S41" t="s">
        <v>394</v>
      </c>
      <c r="T41" t="s">
        <v>540</v>
      </c>
      <c r="U41">
        <v>2.9019792746508521E-2</v>
      </c>
      <c r="V41" t="s">
        <v>162</v>
      </c>
      <c r="X41">
        <v>3.0821917808219176E-2</v>
      </c>
      <c r="Y41">
        <v>1.9560947716480627E-2</v>
      </c>
      <c r="Z41" t="s">
        <v>540</v>
      </c>
      <c r="AA41" t="s">
        <v>25</v>
      </c>
      <c r="AC41" t="s">
        <v>22</v>
      </c>
      <c r="AD41" t="s">
        <v>540</v>
      </c>
      <c r="AE41">
        <v>3.1259840837255644E-2</v>
      </c>
      <c r="AG41" t="s">
        <v>97</v>
      </c>
      <c r="AH41" t="s">
        <v>540</v>
      </c>
      <c r="AI41">
        <v>8.8890201935581947E-2</v>
      </c>
      <c r="AK41">
        <v>2026</v>
      </c>
      <c r="AL41" t="s">
        <v>157</v>
      </c>
      <c r="AM41">
        <v>0.49840000000000001</v>
      </c>
      <c r="AN41" t="s">
        <v>510</v>
      </c>
    </row>
    <row r="42" spans="9:40" x14ac:dyDescent="0.45">
      <c r="I42" t="s">
        <v>160</v>
      </c>
      <c r="J42" t="s">
        <v>541</v>
      </c>
      <c r="K42">
        <v>2.9120482132685764E-3</v>
      </c>
      <c r="L42" t="s">
        <v>162</v>
      </c>
      <c r="N42" t="s">
        <v>282</v>
      </c>
      <c r="O42" t="s">
        <v>541</v>
      </c>
      <c r="P42">
        <v>3.1807731701123353E-3</v>
      </c>
      <c r="Q42" t="s">
        <v>162</v>
      </c>
      <c r="S42" t="s">
        <v>394</v>
      </c>
      <c r="T42" t="s">
        <v>541</v>
      </c>
      <c r="U42">
        <v>3.0743376546341844E-3</v>
      </c>
      <c r="V42" t="s">
        <v>162</v>
      </c>
      <c r="X42">
        <v>3.4246575342465752E-3</v>
      </c>
      <c r="Y42">
        <v>4.3358277602366805E-3</v>
      </c>
      <c r="Z42" t="s">
        <v>541</v>
      </c>
      <c r="AA42" t="s">
        <v>25</v>
      </c>
      <c r="AC42" t="s">
        <v>22</v>
      </c>
      <c r="AD42" t="s">
        <v>541</v>
      </c>
      <c r="AE42">
        <v>3.0652363097038843E-3</v>
      </c>
      <c r="AG42" t="s">
        <v>97</v>
      </c>
      <c r="AH42" t="s">
        <v>541</v>
      </c>
      <c r="AI42">
        <v>1.9323360267523348E-2</v>
      </c>
      <c r="AK42">
        <v>2026</v>
      </c>
      <c r="AL42" t="s">
        <v>512</v>
      </c>
      <c r="AM42">
        <v>0.49636666666666662</v>
      </c>
      <c r="AN42" t="s">
        <v>510</v>
      </c>
    </row>
    <row r="43" spans="9:40" x14ac:dyDescent="0.45">
      <c r="I43" t="s">
        <v>160</v>
      </c>
      <c r="J43" t="s">
        <v>542</v>
      </c>
      <c r="K43">
        <v>9.177439369488994E-3</v>
      </c>
      <c r="L43" t="s">
        <v>162</v>
      </c>
      <c r="N43" t="s">
        <v>282</v>
      </c>
      <c r="O43" t="s">
        <v>542</v>
      </c>
      <c r="P43">
        <v>5.2935271289458411E-3</v>
      </c>
      <c r="Q43" t="s">
        <v>162</v>
      </c>
      <c r="S43" t="s">
        <v>394</v>
      </c>
      <c r="T43" t="s">
        <v>542</v>
      </c>
      <c r="U43">
        <v>6.0615120328796675E-3</v>
      </c>
      <c r="V43" t="s">
        <v>162</v>
      </c>
      <c r="X43">
        <v>6.8493150684931503E-3</v>
      </c>
      <c r="Y43">
        <v>8.4429306615617945E-3</v>
      </c>
      <c r="Z43" t="s">
        <v>542</v>
      </c>
      <c r="AA43" t="s">
        <v>25</v>
      </c>
      <c r="AC43" t="s">
        <v>22</v>
      </c>
      <c r="AD43" t="s">
        <v>542</v>
      </c>
      <c r="AE43">
        <v>6.2630313992973769E-3</v>
      </c>
      <c r="AG43" t="s">
        <v>97</v>
      </c>
      <c r="AH43" t="s">
        <v>542</v>
      </c>
      <c r="AI43">
        <v>8.7181075950451214E-2</v>
      </c>
      <c r="AK43">
        <v>2026</v>
      </c>
      <c r="AL43" t="s">
        <v>514</v>
      </c>
      <c r="AM43">
        <v>0.48086666666666672</v>
      </c>
      <c r="AN43" t="s">
        <v>510</v>
      </c>
    </row>
    <row r="44" spans="9:40" x14ac:dyDescent="0.45">
      <c r="I44" t="s">
        <v>160</v>
      </c>
      <c r="J44" t="s">
        <v>543</v>
      </c>
      <c r="K44">
        <v>1.5377306064695553E-2</v>
      </c>
      <c r="L44" t="s">
        <v>162</v>
      </c>
      <c r="N44" t="s">
        <v>282</v>
      </c>
      <c r="O44" t="s">
        <v>543</v>
      </c>
      <c r="P44">
        <v>1.4973732129194971E-2</v>
      </c>
      <c r="Q44" t="s">
        <v>162</v>
      </c>
      <c r="S44" t="s">
        <v>394</v>
      </c>
      <c r="T44" t="s">
        <v>543</v>
      </c>
      <c r="U44">
        <v>1.5534975457950368E-2</v>
      </c>
      <c r="V44" t="s">
        <v>162</v>
      </c>
      <c r="X44">
        <v>1.7123287671232876E-2</v>
      </c>
      <c r="Y44">
        <v>2.5090122566690701E-2</v>
      </c>
      <c r="Z44" t="s">
        <v>543</v>
      </c>
      <c r="AA44" t="s">
        <v>25</v>
      </c>
      <c r="AC44" t="s">
        <v>22</v>
      </c>
      <c r="AD44" t="s">
        <v>543</v>
      </c>
      <c r="AE44">
        <v>1.8857866740750649E-2</v>
      </c>
      <c r="AG44" t="s">
        <v>97</v>
      </c>
      <c r="AH44" t="s">
        <v>543</v>
      </c>
      <c r="AI44">
        <v>8.5230705853658106E-2</v>
      </c>
      <c r="AK44">
        <v>2026</v>
      </c>
      <c r="AL44" t="s">
        <v>516</v>
      </c>
      <c r="AM44">
        <v>0.55859999999999999</v>
      </c>
      <c r="AN44" t="s">
        <v>510</v>
      </c>
    </row>
    <row r="45" spans="9:40" x14ac:dyDescent="0.45">
      <c r="I45" t="s">
        <v>160</v>
      </c>
      <c r="J45" t="s">
        <v>544</v>
      </c>
      <c r="K45">
        <v>0</v>
      </c>
      <c r="L45" t="s">
        <v>162</v>
      </c>
      <c r="N45" t="s">
        <v>282</v>
      </c>
      <c r="O45" t="s">
        <v>544</v>
      </c>
      <c r="P45">
        <v>4.052491879506002E-3</v>
      </c>
      <c r="Q45" t="s">
        <v>162</v>
      </c>
      <c r="S45" t="s">
        <v>394</v>
      </c>
      <c r="T45" t="s">
        <v>544</v>
      </c>
      <c r="U45">
        <v>3.1889079874464353E-3</v>
      </c>
      <c r="V45" t="s">
        <v>162</v>
      </c>
      <c r="X45">
        <v>3.4246575342465752E-3</v>
      </c>
      <c r="Y45">
        <v>6.662854585684809E-3</v>
      </c>
      <c r="Z45" t="s">
        <v>544</v>
      </c>
      <c r="AA45" t="s">
        <v>25</v>
      </c>
      <c r="AC45" t="s">
        <v>22</v>
      </c>
      <c r="AD45" t="s">
        <v>544</v>
      </c>
      <c r="AE45">
        <v>3.7597948205972411E-3</v>
      </c>
      <c r="AG45" t="s">
        <v>97</v>
      </c>
      <c r="AH45" t="s">
        <v>544</v>
      </c>
      <c r="AI45">
        <v>2.7959799127617257E-2</v>
      </c>
      <c r="AK45">
        <v>2026</v>
      </c>
      <c r="AL45" t="s">
        <v>518</v>
      </c>
      <c r="AM45">
        <v>0.62880000000000003</v>
      </c>
      <c r="AN45" t="s">
        <v>510</v>
      </c>
    </row>
    <row r="46" spans="9:40" x14ac:dyDescent="0.45">
      <c r="I46" t="s">
        <v>160</v>
      </c>
      <c r="J46" t="s">
        <v>545</v>
      </c>
      <c r="K46">
        <v>0</v>
      </c>
      <c r="L46" t="s">
        <v>162</v>
      </c>
      <c r="N46" t="s">
        <v>282</v>
      </c>
      <c r="O46" t="s">
        <v>545</v>
      </c>
      <c r="P46">
        <v>2.5137464943540227E-2</v>
      </c>
      <c r="Q46" t="s">
        <v>162</v>
      </c>
      <c r="S46" t="s">
        <v>394</v>
      </c>
      <c r="T46" t="s">
        <v>545</v>
      </c>
      <c r="U46">
        <v>2.0278568658722795E-2</v>
      </c>
      <c r="V46" t="s">
        <v>162</v>
      </c>
      <c r="X46">
        <v>2.0547945205479451E-2</v>
      </c>
      <c r="Y46">
        <v>1.8099097531263209E-2</v>
      </c>
      <c r="Z46" t="s">
        <v>545</v>
      </c>
      <c r="AA46" t="s">
        <v>25</v>
      </c>
      <c r="AC46" t="s">
        <v>22</v>
      </c>
      <c r="AD46" t="s">
        <v>545</v>
      </c>
      <c r="AE46">
        <v>2.2650149198626596E-2</v>
      </c>
      <c r="AG46" t="s">
        <v>97</v>
      </c>
      <c r="AH46" t="s">
        <v>545</v>
      </c>
      <c r="AI46">
        <v>2.9472206881267171E-2</v>
      </c>
      <c r="AK46">
        <v>2027</v>
      </c>
      <c r="AL46" t="s">
        <v>151</v>
      </c>
      <c r="AM46">
        <v>0.62549999999999994</v>
      </c>
      <c r="AN46" t="s">
        <v>510</v>
      </c>
    </row>
    <row r="47" spans="9:40" x14ac:dyDescent="0.45">
      <c r="I47" t="s">
        <v>160</v>
      </c>
      <c r="J47" t="s">
        <v>546</v>
      </c>
      <c r="K47">
        <v>1.8701795649110499E-8</v>
      </c>
      <c r="L47" t="s">
        <v>162</v>
      </c>
      <c r="N47" t="s">
        <v>282</v>
      </c>
      <c r="O47" t="s">
        <v>546</v>
      </c>
      <c r="P47">
        <v>4.0766436236361767E-2</v>
      </c>
      <c r="Q47" t="s">
        <v>162</v>
      </c>
      <c r="S47" t="s">
        <v>394</v>
      </c>
      <c r="T47" t="s">
        <v>546</v>
      </c>
      <c r="U47">
        <v>2.8705629377585792E-2</v>
      </c>
      <c r="V47" t="s">
        <v>162</v>
      </c>
      <c r="X47">
        <v>3.1849315068493152E-2</v>
      </c>
      <c r="Y47">
        <v>2.021297930702998E-2</v>
      </c>
      <c r="Z47" t="s">
        <v>546</v>
      </c>
      <c r="AA47" t="s">
        <v>25</v>
      </c>
      <c r="AC47" t="s">
        <v>22</v>
      </c>
      <c r="AD47" t="s">
        <v>546</v>
      </c>
      <c r="AE47">
        <v>3.6416990863339056E-2</v>
      </c>
      <c r="AG47" t="s">
        <v>97</v>
      </c>
      <c r="AH47" t="s">
        <v>546</v>
      </c>
      <c r="AI47">
        <v>9.607820578589088E-2</v>
      </c>
      <c r="AK47">
        <v>2027</v>
      </c>
      <c r="AL47" t="s">
        <v>155</v>
      </c>
      <c r="AM47">
        <v>0.62319999999999998</v>
      </c>
      <c r="AN47" t="s">
        <v>510</v>
      </c>
    </row>
    <row r="48" spans="9:40" x14ac:dyDescent="0.45">
      <c r="I48" t="s">
        <v>160</v>
      </c>
      <c r="J48" t="s">
        <v>547</v>
      </c>
      <c r="K48">
        <v>3.49467798339595E-3</v>
      </c>
      <c r="L48" t="s">
        <v>162</v>
      </c>
      <c r="N48" t="s">
        <v>282</v>
      </c>
      <c r="O48" t="s">
        <v>547</v>
      </c>
      <c r="P48">
        <v>4.6160755753744606E-3</v>
      </c>
      <c r="Q48" t="s">
        <v>162</v>
      </c>
      <c r="S48" t="s">
        <v>394</v>
      </c>
      <c r="T48" t="s">
        <v>547</v>
      </c>
      <c r="U48">
        <v>3.1456395916982741E-3</v>
      </c>
      <c r="V48" t="s">
        <v>162</v>
      </c>
      <c r="X48">
        <v>3.5388127853881279E-3</v>
      </c>
      <c r="Y48">
        <v>4.4803553522445696E-3</v>
      </c>
      <c r="Z48" t="s">
        <v>547</v>
      </c>
      <c r="AA48" t="s">
        <v>25</v>
      </c>
      <c r="AC48" t="s">
        <v>22</v>
      </c>
      <c r="AD48" t="s">
        <v>547</v>
      </c>
      <c r="AE48">
        <v>3.5619044706102854E-3</v>
      </c>
      <c r="AG48" t="s">
        <v>97</v>
      </c>
      <c r="AH48" t="s">
        <v>547</v>
      </c>
      <c r="AI48">
        <v>3.7309208362048318E-2</v>
      </c>
      <c r="AK48">
        <v>2027</v>
      </c>
      <c r="AL48" t="s">
        <v>157</v>
      </c>
      <c r="AM48">
        <v>0.56259999999999999</v>
      </c>
      <c r="AN48" t="s">
        <v>510</v>
      </c>
    </row>
    <row r="49" spans="9:40" x14ac:dyDescent="0.45">
      <c r="I49" t="s">
        <v>160</v>
      </c>
      <c r="J49" t="s">
        <v>548</v>
      </c>
      <c r="K49">
        <v>1.2826177926319977E-2</v>
      </c>
      <c r="L49" t="s">
        <v>162</v>
      </c>
      <c r="N49" t="s">
        <v>282</v>
      </c>
      <c r="O49" t="s">
        <v>548</v>
      </c>
      <c r="P49">
        <v>8.3148643791056357E-3</v>
      </c>
      <c r="Q49" t="s">
        <v>162</v>
      </c>
      <c r="S49" t="s">
        <v>394</v>
      </c>
      <c r="T49" t="s">
        <v>548</v>
      </c>
      <c r="U49">
        <v>6.3094100289746895E-3</v>
      </c>
      <c r="V49" t="s">
        <v>162</v>
      </c>
      <c r="X49">
        <v>7.0776255707762558E-3</v>
      </c>
      <c r="Y49">
        <v>8.7243616836138547E-3</v>
      </c>
      <c r="Z49" t="s">
        <v>548</v>
      </c>
      <c r="AA49" t="s">
        <v>25</v>
      </c>
      <c r="AC49" t="s">
        <v>22</v>
      </c>
      <c r="AD49" t="s">
        <v>548</v>
      </c>
      <c r="AE49">
        <v>7.2595339919577307E-3</v>
      </c>
      <c r="AG49" t="s">
        <v>97</v>
      </c>
      <c r="AH49" t="s">
        <v>548</v>
      </c>
      <c r="AI49">
        <v>5.6925064357008504E-2</v>
      </c>
      <c r="AK49">
        <v>2027</v>
      </c>
      <c r="AL49" t="s">
        <v>512</v>
      </c>
      <c r="AM49">
        <v>0.49849999999999994</v>
      </c>
      <c r="AN49" t="s">
        <v>510</v>
      </c>
    </row>
    <row r="50" spans="9:40" x14ac:dyDescent="0.45">
      <c r="I50" t="s">
        <v>160</v>
      </c>
      <c r="J50" t="s">
        <v>549</v>
      </c>
      <c r="K50">
        <v>2.162067979847666E-2</v>
      </c>
      <c r="L50" t="s">
        <v>162</v>
      </c>
      <c r="N50" t="s">
        <v>282</v>
      </c>
      <c r="O50" t="s">
        <v>549</v>
      </c>
      <c r="P50">
        <v>2.0956729123459195E-2</v>
      </c>
      <c r="Q50" t="s">
        <v>162</v>
      </c>
      <c r="S50" t="s">
        <v>394</v>
      </c>
      <c r="T50" t="s">
        <v>549</v>
      </c>
      <c r="U50">
        <v>1.5585261622599217E-2</v>
      </c>
      <c r="V50" t="s">
        <v>162</v>
      </c>
      <c r="X50">
        <v>1.7694063926940638E-2</v>
      </c>
      <c r="Y50">
        <v>2.5926459985580387E-2</v>
      </c>
      <c r="Z50" t="s">
        <v>549</v>
      </c>
      <c r="AA50" t="s">
        <v>25</v>
      </c>
      <c r="AC50" t="s">
        <v>22</v>
      </c>
      <c r="AD50" t="s">
        <v>549</v>
      </c>
      <c r="AE50">
        <v>2.1330306353774576E-2</v>
      </c>
      <c r="AG50" t="s">
        <v>97</v>
      </c>
      <c r="AH50" t="s">
        <v>549</v>
      </c>
      <c r="AI50">
        <v>8.0838826315115853E-2</v>
      </c>
      <c r="AK50">
        <v>2027</v>
      </c>
      <c r="AL50" t="s">
        <v>514</v>
      </c>
      <c r="AM50">
        <v>0.50236666666666674</v>
      </c>
      <c r="AN50" t="s">
        <v>510</v>
      </c>
    </row>
    <row r="51" spans="9:40" x14ac:dyDescent="0.45">
      <c r="I51" t="s">
        <v>160</v>
      </c>
      <c r="J51" t="s">
        <v>550</v>
      </c>
      <c r="K51">
        <v>0</v>
      </c>
      <c r="L51" t="s">
        <v>162</v>
      </c>
      <c r="N51" t="s">
        <v>282</v>
      </c>
      <c r="O51" t="s">
        <v>550</v>
      </c>
      <c r="P51">
        <v>4.8869045014668291E-3</v>
      </c>
      <c r="Q51" t="s">
        <v>162</v>
      </c>
      <c r="S51" t="s">
        <v>394</v>
      </c>
      <c r="T51" t="s">
        <v>550</v>
      </c>
      <c r="U51">
        <v>2.8761436264620414E-3</v>
      </c>
      <c r="V51" t="s">
        <v>162</v>
      </c>
      <c r="X51">
        <v>3.5388127853881279E-3</v>
      </c>
      <c r="Y51">
        <v>6.8849497385409693E-3</v>
      </c>
      <c r="Z51" t="s">
        <v>550</v>
      </c>
      <c r="AA51" t="s">
        <v>25</v>
      </c>
      <c r="AC51" t="s">
        <v>22</v>
      </c>
      <c r="AD51" t="s">
        <v>550</v>
      </c>
      <c r="AE51">
        <v>4.3153701768352025E-3</v>
      </c>
      <c r="AG51" t="s">
        <v>97</v>
      </c>
      <c r="AH51" t="s">
        <v>550</v>
      </c>
      <c r="AI51">
        <v>3.752614082300898E-2</v>
      </c>
      <c r="AK51">
        <v>2027</v>
      </c>
      <c r="AL51" t="s">
        <v>516</v>
      </c>
      <c r="AM51">
        <v>0.54249999999999998</v>
      </c>
      <c r="AN51" t="s">
        <v>510</v>
      </c>
    </row>
    <row r="52" spans="9:40" x14ac:dyDescent="0.45">
      <c r="I52" t="s">
        <v>160</v>
      </c>
      <c r="J52" t="s">
        <v>551</v>
      </c>
      <c r="K52">
        <v>0</v>
      </c>
      <c r="L52" t="s">
        <v>162</v>
      </c>
      <c r="N52" t="s">
        <v>282</v>
      </c>
      <c r="O52" t="s">
        <v>551</v>
      </c>
      <c r="P52">
        <v>2.7914254041255974E-2</v>
      </c>
      <c r="Q52" t="s">
        <v>162</v>
      </c>
      <c r="S52" t="s">
        <v>394</v>
      </c>
      <c r="T52" t="s">
        <v>551</v>
      </c>
      <c r="U52">
        <v>1.7275354062400248E-2</v>
      </c>
      <c r="V52" t="s">
        <v>162</v>
      </c>
      <c r="X52">
        <v>2.1232876712328767E-2</v>
      </c>
      <c r="Y52">
        <v>1.8702400782305319E-2</v>
      </c>
      <c r="Z52" t="s">
        <v>551</v>
      </c>
      <c r="AA52" t="s">
        <v>25</v>
      </c>
      <c r="AC52" t="s">
        <v>22</v>
      </c>
      <c r="AD52" t="s">
        <v>551</v>
      </c>
      <c r="AE52">
        <v>2.5944638007670596E-2</v>
      </c>
      <c r="AG52" t="s">
        <v>97</v>
      </c>
      <c r="AH52" t="s">
        <v>551</v>
      </c>
      <c r="AI52">
        <v>4.6362699810135855E-2</v>
      </c>
      <c r="AK52">
        <v>2027</v>
      </c>
      <c r="AL52" t="s">
        <v>518</v>
      </c>
      <c r="AM52">
        <v>0.56930000000000003</v>
      </c>
      <c r="AN52" t="s">
        <v>510</v>
      </c>
    </row>
    <row r="53" spans="9:40" x14ac:dyDescent="0.45">
      <c r="I53" t="s">
        <v>171</v>
      </c>
      <c r="J53" t="s">
        <v>161</v>
      </c>
      <c r="K53">
        <v>5.2218982906760401E-4</v>
      </c>
      <c r="L53" t="s">
        <v>162</v>
      </c>
      <c r="N53" t="s">
        <v>283</v>
      </c>
      <c r="O53" t="s">
        <v>161</v>
      </c>
      <c r="P53">
        <v>3.1938149477889276E-2</v>
      </c>
      <c r="Q53" t="s">
        <v>162</v>
      </c>
      <c r="S53" t="s">
        <v>395</v>
      </c>
      <c r="T53" t="s">
        <v>161</v>
      </c>
      <c r="U53">
        <v>2.2605963003353949E-2</v>
      </c>
      <c r="V53" t="s">
        <v>162</v>
      </c>
      <c r="AC53" t="s">
        <v>19</v>
      </c>
      <c r="AD53" t="s">
        <v>161</v>
      </c>
      <c r="AE53">
        <v>3.1839496332304602E-2</v>
      </c>
      <c r="AK53">
        <v>2028</v>
      </c>
      <c r="AL53" t="s">
        <v>151</v>
      </c>
      <c r="AM53">
        <v>0.65229999999999999</v>
      </c>
      <c r="AN53" t="s">
        <v>510</v>
      </c>
    </row>
    <row r="54" spans="9:40" x14ac:dyDescent="0.45">
      <c r="I54" t="s">
        <v>171</v>
      </c>
      <c r="J54" t="s">
        <v>163</v>
      </c>
      <c r="K54">
        <v>4.064897879822984E-3</v>
      </c>
      <c r="L54" t="s">
        <v>162</v>
      </c>
      <c r="N54" t="s">
        <v>283</v>
      </c>
      <c r="O54" t="s">
        <v>163</v>
      </c>
      <c r="P54">
        <v>3.7895027519594927E-3</v>
      </c>
      <c r="Q54" t="s">
        <v>162</v>
      </c>
      <c r="S54" t="s">
        <v>395</v>
      </c>
      <c r="T54" t="s">
        <v>163</v>
      </c>
      <c r="U54">
        <v>2.4696370033469874E-3</v>
      </c>
      <c r="V54" t="s">
        <v>162</v>
      </c>
      <c r="AC54" t="s">
        <v>19</v>
      </c>
      <c r="AD54" t="s">
        <v>163</v>
      </c>
      <c r="AE54">
        <v>3.5106813129096226E-3</v>
      </c>
      <c r="AK54">
        <v>2028</v>
      </c>
      <c r="AL54" t="s">
        <v>155</v>
      </c>
      <c r="AM54">
        <v>0.67745</v>
      </c>
      <c r="AN54" t="s">
        <v>510</v>
      </c>
    </row>
    <row r="55" spans="9:40" x14ac:dyDescent="0.45">
      <c r="I55" t="s">
        <v>171</v>
      </c>
      <c r="J55" t="s">
        <v>164</v>
      </c>
      <c r="K55">
        <v>1.3410987115726983E-2</v>
      </c>
      <c r="L55" t="s">
        <v>162</v>
      </c>
      <c r="N55" t="s">
        <v>283</v>
      </c>
      <c r="O55" t="s">
        <v>164</v>
      </c>
      <c r="P55">
        <v>6.505758908890491E-3</v>
      </c>
      <c r="Q55" t="s">
        <v>162</v>
      </c>
      <c r="S55" t="s">
        <v>395</v>
      </c>
      <c r="T55" t="s">
        <v>164</v>
      </c>
      <c r="U55">
        <v>5.1041183515062377E-3</v>
      </c>
      <c r="V55" t="s">
        <v>162</v>
      </c>
      <c r="AC55" t="s">
        <v>19</v>
      </c>
      <c r="AD55" t="s">
        <v>164</v>
      </c>
      <c r="AE55">
        <v>7.028096647715306E-3</v>
      </c>
      <c r="AK55">
        <v>2028</v>
      </c>
      <c r="AL55" t="s">
        <v>157</v>
      </c>
      <c r="AM55">
        <v>0.47839999999999999</v>
      </c>
      <c r="AN55" t="s">
        <v>510</v>
      </c>
    </row>
    <row r="56" spans="9:40" x14ac:dyDescent="0.45">
      <c r="I56" t="s">
        <v>171</v>
      </c>
      <c r="J56" t="s">
        <v>519</v>
      </c>
      <c r="K56">
        <v>2.5276364456376908E-2</v>
      </c>
      <c r="L56" t="s">
        <v>162</v>
      </c>
      <c r="N56" t="s">
        <v>283</v>
      </c>
      <c r="O56" t="s">
        <v>519</v>
      </c>
      <c r="P56">
        <v>1.4478003832939682E-2</v>
      </c>
      <c r="Q56" t="s">
        <v>162</v>
      </c>
      <c r="S56" t="s">
        <v>395</v>
      </c>
      <c r="T56" t="s">
        <v>519</v>
      </c>
      <c r="U56">
        <v>1.288843391896994E-2</v>
      </c>
      <c r="V56" t="s">
        <v>162</v>
      </c>
      <c r="AC56" t="s">
        <v>19</v>
      </c>
      <c r="AD56" t="s">
        <v>519</v>
      </c>
      <c r="AE56">
        <v>1.7759022353559466E-2</v>
      </c>
      <c r="AK56">
        <v>2028</v>
      </c>
      <c r="AL56" t="s">
        <v>512</v>
      </c>
      <c r="AM56">
        <v>0.49026666666666663</v>
      </c>
      <c r="AN56" t="s">
        <v>510</v>
      </c>
    </row>
    <row r="57" spans="9:40" x14ac:dyDescent="0.45">
      <c r="I57" t="s">
        <v>171</v>
      </c>
      <c r="J57" t="s">
        <v>520</v>
      </c>
      <c r="K57">
        <v>0</v>
      </c>
      <c r="L57" t="s">
        <v>162</v>
      </c>
      <c r="N57" t="s">
        <v>283</v>
      </c>
      <c r="O57" t="s">
        <v>520</v>
      </c>
      <c r="P57">
        <v>3.3834675767775088E-3</v>
      </c>
      <c r="Q57" t="s">
        <v>162</v>
      </c>
      <c r="S57" t="s">
        <v>395</v>
      </c>
      <c r="T57" t="s">
        <v>520</v>
      </c>
      <c r="U57">
        <v>2.4732403913075825E-3</v>
      </c>
      <c r="V57" t="s">
        <v>162</v>
      </c>
      <c r="AC57" t="s">
        <v>19</v>
      </c>
      <c r="AD57" t="s">
        <v>520</v>
      </c>
      <c r="AE57">
        <v>3.550346514347076E-3</v>
      </c>
      <c r="AK57">
        <v>2028</v>
      </c>
      <c r="AL57" t="s">
        <v>514</v>
      </c>
      <c r="AM57">
        <v>0.46623333333333333</v>
      </c>
      <c r="AN57" t="s">
        <v>510</v>
      </c>
    </row>
    <row r="58" spans="9:40" x14ac:dyDescent="0.45">
      <c r="I58" t="s">
        <v>171</v>
      </c>
      <c r="J58" t="s">
        <v>521</v>
      </c>
      <c r="K58">
        <v>0</v>
      </c>
      <c r="L58" t="s">
        <v>162</v>
      </c>
      <c r="N58" t="s">
        <v>283</v>
      </c>
      <c r="O58" t="s">
        <v>521</v>
      </c>
      <c r="P58">
        <v>1.8347927151813308E-2</v>
      </c>
      <c r="Q58" t="s">
        <v>162</v>
      </c>
      <c r="S58" t="s">
        <v>395</v>
      </c>
      <c r="T58" t="s">
        <v>521</v>
      </c>
      <c r="U58">
        <v>1.5541387218415768E-2</v>
      </c>
      <c r="V58" t="s">
        <v>162</v>
      </c>
      <c r="AC58" t="s">
        <v>19</v>
      </c>
      <c r="AD58" t="s">
        <v>521</v>
      </c>
      <c r="AE58">
        <v>2.1307773381792527E-2</v>
      </c>
      <c r="AK58">
        <v>2028</v>
      </c>
      <c r="AL58" t="s">
        <v>516</v>
      </c>
      <c r="AM58">
        <v>0.54769999999999996</v>
      </c>
      <c r="AN58" t="s">
        <v>510</v>
      </c>
    </row>
    <row r="59" spans="9:40" x14ac:dyDescent="0.45">
      <c r="I59" t="s">
        <v>171</v>
      </c>
      <c r="J59" t="s">
        <v>165</v>
      </c>
      <c r="K59">
        <v>1.8764104051660267E-2</v>
      </c>
      <c r="L59" t="s">
        <v>162</v>
      </c>
      <c r="N59" t="s">
        <v>283</v>
      </c>
      <c r="O59" t="s">
        <v>165</v>
      </c>
      <c r="P59">
        <v>6.2121957884032644E-2</v>
      </c>
      <c r="Q59" t="s">
        <v>162</v>
      </c>
      <c r="S59" t="s">
        <v>395</v>
      </c>
      <c r="T59" t="s">
        <v>165</v>
      </c>
      <c r="U59">
        <v>5.3185167124153575E-2</v>
      </c>
      <c r="V59" t="s">
        <v>162</v>
      </c>
      <c r="AC59" t="s">
        <v>19</v>
      </c>
      <c r="AD59" t="s">
        <v>165</v>
      </c>
      <c r="AE59">
        <v>6.0576160265579777E-2</v>
      </c>
      <c r="AK59">
        <v>2028</v>
      </c>
      <c r="AL59" t="s">
        <v>518</v>
      </c>
      <c r="AM59">
        <v>0.63260000000000005</v>
      </c>
      <c r="AN59" t="s">
        <v>510</v>
      </c>
    </row>
    <row r="60" spans="9:40" x14ac:dyDescent="0.45">
      <c r="I60" t="s">
        <v>171</v>
      </c>
      <c r="J60" t="s">
        <v>166</v>
      </c>
      <c r="K60">
        <v>1.8157628503799466E-2</v>
      </c>
      <c r="L60" t="s">
        <v>162</v>
      </c>
      <c r="N60" t="s">
        <v>283</v>
      </c>
      <c r="O60" t="s">
        <v>166</v>
      </c>
      <c r="P60">
        <v>4.9360110165035231E-3</v>
      </c>
      <c r="Q60" t="s">
        <v>162</v>
      </c>
      <c r="S60" t="s">
        <v>395</v>
      </c>
      <c r="T60" t="s">
        <v>166</v>
      </c>
      <c r="U60">
        <v>5.8860937227658691E-3</v>
      </c>
      <c r="V60" t="s">
        <v>162</v>
      </c>
      <c r="AC60" t="s">
        <v>19</v>
      </c>
      <c r="AD60" t="s">
        <v>166</v>
      </c>
      <c r="AE60">
        <v>6.6791695955088909E-3</v>
      </c>
      <c r="AK60">
        <v>2029</v>
      </c>
      <c r="AL60" t="s">
        <v>151</v>
      </c>
      <c r="AM60">
        <v>0.62119999999999997</v>
      </c>
      <c r="AN60" t="s">
        <v>510</v>
      </c>
    </row>
    <row r="61" spans="9:40" x14ac:dyDescent="0.45">
      <c r="I61" t="s">
        <v>171</v>
      </c>
      <c r="J61" t="s">
        <v>167</v>
      </c>
      <c r="K61">
        <v>4.1396766930985623E-2</v>
      </c>
      <c r="L61" t="s">
        <v>162</v>
      </c>
      <c r="N61" t="s">
        <v>283</v>
      </c>
      <c r="O61" t="s">
        <v>167</v>
      </c>
      <c r="P61">
        <v>8.1020589879988256E-3</v>
      </c>
      <c r="Q61" t="s">
        <v>162</v>
      </c>
      <c r="S61" t="s">
        <v>395</v>
      </c>
      <c r="T61" t="s">
        <v>167</v>
      </c>
      <c r="U61">
        <v>1.1550774312559957E-2</v>
      </c>
      <c r="V61" t="s">
        <v>162</v>
      </c>
      <c r="AC61" t="s">
        <v>19</v>
      </c>
      <c r="AD61" t="s">
        <v>167</v>
      </c>
      <c r="AE61">
        <v>1.3392006896692163E-2</v>
      </c>
      <c r="AK61">
        <v>2029</v>
      </c>
      <c r="AL61" t="s">
        <v>155</v>
      </c>
      <c r="AM61">
        <v>0.64084999999999992</v>
      </c>
      <c r="AN61" t="s">
        <v>510</v>
      </c>
    </row>
    <row r="62" spans="9:40" x14ac:dyDescent="0.45">
      <c r="I62" t="s">
        <v>171</v>
      </c>
      <c r="J62" t="s">
        <v>522</v>
      </c>
      <c r="K62">
        <v>9.3592651169779217E-2</v>
      </c>
      <c r="L62" t="s">
        <v>162</v>
      </c>
      <c r="N62" t="s">
        <v>283</v>
      </c>
      <c r="O62" t="s">
        <v>522</v>
      </c>
      <c r="P62">
        <v>2.1157406161911061E-2</v>
      </c>
      <c r="Q62" t="s">
        <v>162</v>
      </c>
      <c r="S62" t="s">
        <v>395</v>
      </c>
      <c r="T62" t="s">
        <v>522</v>
      </c>
      <c r="U62">
        <v>2.9184171524308487E-2</v>
      </c>
      <c r="V62" t="s">
        <v>162</v>
      </c>
      <c r="AC62" t="s">
        <v>19</v>
      </c>
      <c r="AD62" t="s">
        <v>522</v>
      </c>
      <c r="AE62">
        <v>3.3805948003995133E-2</v>
      </c>
      <c r="AK62">
        <v>2029</v>
      </c>
      <c r="AL62" t="s">
        <v>157</v>
      </c>
      <c r="AM62">
        <v>0.52290000000000003</v>
      </c>
      <c r="AN62" t="s">
        <v>510</v>
      </c>
    </row>
    <row r="63" spans="9:40" x14ac:dyDescent="0.45">
      <c r="I63" t="s">
        <v>171</v>
      </c>
      <c r="J63" t="s">
        <v>523</v>
      </c>
      <c r="K63">
        <v>8.6837648723870377E-3</v>
      </c>
      <c r="L63" t="s">
        <v>162</v>
      </c>
      <c r="N63" t="s">
        <v>283</v>
      </c>
      <c r="O63" t="s">
        <v>523</v>
      </c>
      <c r="P63">
        <v>6.6215272353312591E-3</v>
      </c>
      <c r="Q63" t="s">
        <v>162</v>
      </c>
      <c r="S63" t="s">
        <v>395</v>
      </c>
      <c r="T63" t="s">
        <v>523</v>
      </c>
      <c r="U63">
        <v>6.1856306788250172E-3</v>
      </c>
      <c r="V63" t="s">
        <v>162</v>
      </c>
      <c r="AC63" t="s">
        <v>19</v>
      </c>
      <c r="AD63" t="s">
        <v>523</v>
      </c>
      <c r="AE63">
        <v>6.7589762724628317E-3</v>
      </c>
      <c r="AK63">
        <v>2029</v>
      </c>
      <c r="AL63" t="s">
        <v>512</v>
      </c>
      <c r="AM63">
        <v>0.47953333333333337</v>
      </c>
      <c r="AN63" t="s">
        <v>510</v>
      </c>
    </row>
    <row r="64" spans="9:40" x14ac:dyDescent="0.45">
      <c r="I64" t="s">
        <v>171</v>
      </c>
      <c r="J64" t="s">
        <v>524</v>
      </c>
      <c r="K64">
        <v>1.8424977710045443E-3</v>
      </c>
      <c r="L64" t="s">
        <v>162</v>
      </c>
      <c r="N64" t="s">
        <v>283</v>
      </c>
      <c r="O64" t="s">
        <v>524</v>
      </c>
      <c r="P64">
        <v>4.8572297970570159E-2</v>
      </c>
      <c r="Q64" t="s">
        <v>162</v>
      </c>
      <c r="S64" t="s">
        <v>395</v>
      </c>
      <c r="T64" t="s">
        <v>524</v>
      </c>
      <c r="U64">
        <v>3.5887522279053938E-2</v>
      </c>
      <c r="V64" t="s">
        <v>162</v>
      </c>
      <c r="AC64" t="s">
        <v>19</v>
      </c>
      <c r="AD64" t="s">
        <v>524</v>
      </c>
      <c r="AE64">
        <v>4.0581428807884519E-2</v>
      </c>
      <c r="AK64">
        <v>2029</v>
      </c>
      <c r="AL64" t="s">
        <v>514</v>
      </c>
      <c r="AM64">
        <v>0.47526666666666673</v>
      </c>
      <c r="AN64" t="s">
        <v>510</v>
      </c>
    </row>
    <row r="65" spans="9:40" x14ac:dyDescent="0.45">
      <c r="I65" t="s">
        <v>171</v>
      </c>
      <c r="J65" t="s">
        <v>168</v>
      </c>
      <c r="K65">
        <v>2.3914446839721413E-2</v>
      </c>
      <c r="L65" t="s">
        <v>162</v>
      </c>
      <c r="N65" t="s">
        <v>283</v>
      </c>
      <c r="O65" t="s">
        <v>168</v>
      </c>
      <c r="P65">
        <v>3.8631772696580031E-2</v>
      </c>
      <c r="Q65" t="s">
        <v>162</v>
      </c>
      <c r="S65" t="s">
        <v>395</v>
      </c>
      <c r="T65" t="s">
        <v>168</v>
      </c>
      <c r="U65">
        <v>2.4649687491099661E-2</v>
      </c>
      <c r="V65" t="s">
        <v>162</v>
      </c>
      <c r="AC65" t="s">
        <v>19</v>
      </c>
      <c r="AD65" t="s">
        <v>168</v>
      </c>
      <c r="AE65">
        <v>3.0740010072327666E-2</v>
      </c>
      <c r="AK65">
        <v>2029</v>
      </c>
      <c r="AL65" t="s">
        <v>516</v>
      </c>
      <c r="AM65">
        <v>0.50219999999999998</v>
      </c>
      <c r="AN65" t="s">
        <v>510</v>
      </c>
    </row>
    <row r="66" spans="9:40" x14ac:dyDescent="0.45">
      <c r="I66" t="s">
        <v>171</v>
      </c>
      <c r="J66" t="s">
        <v>169</v>
      </c>
      <c r="K66">
        <v>1.2349632067808296E-2</v>
      </c>
      <c r="L66" t="s">
        <v>162</v>
      </c>
      <c r="N66" t="s">
        <v>283</v>
      </c>
      <c r="O66" t="s">
        <v>169</v>
      </c>
      <c r="P66">
        <v>3.0910775746283052E-3</v>
      </c>
      <c r="Q66" t="s">
        <v>162</v>
      </c>
      <c r="S66" t="s">
        <v>395</v>
      </c>
      <c r="T66" t="s">
        <v>169</v>
      </c>
      <c r="U66">
        <v>2.6524910732307404E-3</v>
      </c>
      <c r="V66" t="s">
        <v>162</v>
      </c>
      <c r="AC66" t="s">
        <v>19</v>
      </c>
      <c r="AD66" t="s">
        <v>169</v>
      </c>
      <c r="AE66">
        <v>3.3948304902951263E-3</v>
      </c>
      <c r="AK66">
        <v>2029</v>
      </c>
      <c r="AL66" t="s">
        <v>518</v>
      </c>
      <c r="AM66">
        <v>0.57550000000000001</v>
      </c>
      <c r="AN66" t="s">
        <v>510</v>
      </c>
    </row>
    <row r="67" spans="9:40" x14ac:dyDescent="0.45">
      <c r="I67" t="s">
        <v>171</v>
      </c>
      <c r="J67" t="s">
        <v>170</v>
      </c>
      <c r="K67">
        <v>2.5756070219425119E-2</v>
      </c>
      <c r="L67" t="s">
        <v>162</v>
      </c>
      <c r="N67" t="s">
        <v>283</v>
      </c>
      <c r="O67" t="s">
        <v>170</v>
      </c>
      <c r="P67">
        <v>7.2724442329137979E-3</v>
      </c>
      <c r="Q67" t="s">
        <v>162</v>
      </c>
      <c r="S67" t="s">
        <v>395</v>
      </c>
      <c r="T67" t="s">
        <v>170</v>
      </c>
      <c r="U67">
        <v>5.2874643180311444E-3</v>
      </c>
      <c r="V67" t="s">
        <v>162</v>
      </c>
      <c r="AC67" t="s">
        <v>19</v>
      </c>
      <c r="AD67" t="s">
        <v>170</v>
      </c>
      <c r="AE67">
        <v>6.8192572800560422E-3</v>
      </c>
      <c r="AK67">
        <v>2030</v>
      </c>
      <c r="AL67" t="s">
        <v>151</v>
      </c>
      <c r="AM67">
        <v>0.60970000000000002</v>
      </c>
      <c r="AN67" t="s">
        <v>510</v>
      </c>
    </row>
    <row r="68" spans="9:40" x14ac:dyDescent="0.45">
      <c r="I68" t="s">
        <v>171</v>
      </c>
      <c r="J68" t="s">
        <v>525</v>
      </c>
      <c r="K68">
        <v>5.9235879626611178E-2</v>
      </c>
      <c r="L68" t="s">
        <v>162</v>
      </c>
      <c r="N68" t="s">
        <v>283</v>
      </c>
      <c r="O68" t="s">
        <v>525</v>
      </c>
      <c r="P68">
        <v>2.0012838415490508E-2</v>
      </c>
      <c r="Q68" t="s">
        <v>162</v>
      </c>
      <c r="S68" t="s">
        <v>395</v>
      </c>
      <c r="T68" t="s">
        <v>525</v>
      </c>
      <c r="U68">
        <v>1.3738287780366218E-2</v>
      </c>
      <c r="V68" t="s">
        <v>162</v>
      </c>
      <c r="AC68" t="s">
        <v>19</v>
      </c>
      <c r="AD68" t="s">
        <v>525</v>
      </c>
      <c r="AE68">
        <v>1.7179734907711602E-2</v>
      </c>
      <c r="AK68">
        <v>2030</v>
      </c>
      <c r="AL68" t="s">
        <v>155</v>
      </c>
      <c r="AM68">
        <v>0.56725000000000003</v>
      </c>
      <c r="AN68" t="s">
        <v>510</v>
      </c>
    </row>
    <row r="69" spans="9:40" x14ac:dyDescent="0.45">
      <c r="I69" t="s">
        <v>171</v>
      </c>
      <c r="J69" t="s">
        <v>526</v>
      </c>
      <c r="K69">
        <v>7.6815057366930971E-3</v>
      </c>
      <c r="L69" t="s">
        <v>162</v>
      </c>
      <c r="N69" t="s">
        <v>283</v>
      </c>
      <c r="O69" t="s">
        <v>526</v>
      </c>
      <c r="P69">
        <v>3.7756400895026226E-3</v>
      </c>
      <c r="Q69" t="s">
        <v>162</v>
      </c>
      <c r="S69" t="s">
        <v>395</v>
      </c>
      <c r="T69" t="s">
        <v>526</v>
      </c>
      <c r="U69">
        <v>2.6845005854891583E-3</v>
      </c>
      <c r="V69" t="s">
        <v>162</v>
      </c>
      <c r="AC69" t="s">
        <v>19</v>
      </c>
      <c r="AD69" t="s">
        <v>526</v>
      </c>
      <c r="AE69">
        <v>3.4343530659148342E-3</v>
      </c>
      <c r="AK69">
        <v>2030</v>
      </c>
      <c r="AL69" t="s">
        <v>157</v>
      </c>
      <c r="AM69">
        <v>0.51600000000000001</v>
      </c>
      <c r="AN69" t="s">
        <v>510</v>
      </c>
    </row>
    <row r="70" spans="9:40" x14ac:dyDescent="0.45">
      <c r="I70" t="s">
        <v>171</v>
      </c>
      <c r="J70" t="s">
        <v>527</v>
      </c>
      <c r="K70">
        <v>6.0014009006430814E-3</v>
      </c>
      <c r="L70" t="s">
        <v>162</v>
      </c>
      <c r="N70" t="s">
        <v>283</v>
      </c>
      <c r="O70" t="s">
        <v>527</v>
      </c>
      <c r="P70">
        <v>3.0560423639135244E-2</v>
      </c>
      <c r="Q70" t="s">
        <v>162</v>
      </c>
      <c r="S70" t="s">
        <v>395</v>
      </c>
      <c r="T70" t="s">
        <v>527</v>
      </c>
      <c r="U70">
        <v>1.6499072491726208E-2</v>
      </c>
      <c r="V70" t="s">
        <v>162</v>
      </c>
      <c r="AC70" t="s">
        <v>19</v>
      </c>
      <c r="AD70" t="s">
        <v>527</v>
      </c>
      <c r="AE70">
        <v>2.061118016973543E-2</v>
      </c>
      <c r="AK70">
        <v>2030</v>
      </c>
      <c r="AL70" t="s">
        <v>512</v>
      </c>
      <c r="AM70">
        <v>0.51826666666666676</v>
      </c>
      <c r="AN70" t="s">
        <v>510</v>
      </c>
    </row>
    <row r="71" spans="9:40" x14ac:dyDescent="0.45">
      <c r="I71" t="s">
        <v>171</v>
      </c>
      <c r="J71" t="s">
        <v>528</v>
      </c>
      <c r="K71">
        <v>8.2732069954423448E-2</v>
      </c>
      <c r="L71" t="s">
        <v>162</v>
      </c>
      <c r="N71" t="s">
        <v>283</v>
      </c>
      <c r="O71" t="s">
        <v>528</v>
      </c>
      <c r="P71">
        <v>8.5123015113471312E-2</v>
      </c>
      <c r="Q71" t="s">
        <v>162</v>
      </c>
      <c r="S71" t="s">
        <v>395</v>
      </c>
      <c r="T71" t="s">
        <v>528</v>
      </c>
      <c r="U71">
        <v>9.8911723279636182E-2</v>
      </c>
      <c r="V71" t="s">
        <v>162</v>
      </c>
      <c r="AC71" t="s">
        <v>19</v>
      </c>
      <c r="AD71" t="s">
        <v>528</v>
      </c>
      <c r="AE71">
        <v>9.4096749433148025E-2</v>
      </c>
      <c r="AK71">
        <v>2030</v>
      </c>
      <c r="AL71" t="s">
        <v>514</v>
      </c>
      <c r="AM71">
        <v>0.4677</v>
      </c>
      <c r="AN71" t="s">
        <v>510</v>
      </c>
    </row>
    <row r="72" spans="9:40" x14ac:dyDescent="0.45">
      <c r="I72" t="s">
        <v>171</v>
      </c>
      <c r="J72" t="s">
        <v>529</v>
      </c>
      <c r="K72">
        <v>3.0884522391224828E-2</v>
      </c>
      <c r="L72" t="s">
        <v>162</v>
      </c>
      <c r="N72" t="s">
        <v>283</v>
      </c>
      <c r="O72" t="s">
        <v>529</v>
      </c>
      <c r="P72">
        <v>6.2136951114399545E-3</v>
      </c>
      <c r="Q72" t="s">
        <v>162</v>
      </c>
      <c r="S72" t="s">
        <v>395</v>
      </c>
      <c r="T72" t="s">
        <v>529</v>
      </c>
      <c r="U72">
        <v>1.0205945537071749E-2</v>
      </c>
      <c r="V72" t="s">
        <v>162</v>
      </c>
      <c r="AC72" t="s">
        <v>19</v>
      </c>
      <c r="AD72" t="s">
        <v>529</v>
      </c>
      <c r="AE72">
        <v>1.033791534385689E-2</v>
      </c>
      <c r="AK72">
        <v>2030</v>
      </c>
      <c r="AL72" t="s">
        <v>516</v>
      </c>
      <c r="AM72">
        <v>0.5736</v>
      </c>
      <c r="AN72" t="s">
        <v>510</v>
      </c>
    </row>
    <row r="73" spans="9:40" x14ac:dyDescent="0.45">
      <c r="I73" t="s">
        <v>171</v>
      </c>
      <c r="J73" t="s">
        <v>530</v>
      </c>
      <c r="K73">
        <v>6.6364456281782544E-2</v>
      </c>
      <c r="L73" t="s">
        <v>162</v>
      </c>
      <c r="N73" t="s">
        <v>283</v>
      </c>
      <c r="O73" t="s">
        <v>530</v>
      </c>
      <c r="P73">
        <v>1.454838938633257E-2</v>
      </c>
      <c r="Q73" t="s">
        <v>162</v>
      </c>
      <c r="S73" t="s">
        <v>395</v>
      </c>
      <c r="T73" t="s">
        <v>530</v>
      </c>
      <c r="U73">
        <v>2.0532682832502265E-2</v>
      </c>
      <c r="V73" t="s">
        <v>162</v>
      </c>
      <c r="AC73" t="s">
        <v>19</v>
      </c>
      <c r="AD73" t="s">
        <v>530</v>
      </c>
      <c r="AE73">
        <v>2.0725270084517466E-2</v>
      </c>
      <c r="AK73">
        <v>2030</v>
      </c>
      <c r="AL73" t="s">
        <v>518</v>
      </c>
      <c r="AM73">
        <v>0.65869999999999995</v>
      </c>
      <c r="AN73" t="s">
        <v>510</v>
      </c>
    </row>
    <row r="74" spans="9:40" x14ac:dyDescent="0.45">
      <c r="I74" t="s">
        <v>171</v>
      </c>
      <c r="J74" t="s">
        <v>531</v>
      </c>
      <c r="K74">
        <v>0.14805602282462882</v>
      </c>
      <c r="L74" t="s">
        <v>162</v>
      </c>
      <c r="N74" t="s">
        <v>283</v>
      </c>
      <c r="O74" t="s">
        <v>531</v>
      </c>
      <c r="P74">
        <v>4.0753635289231295E-2</v>
      </c>
      <c r="Q74" t="s">
        <v>162</v>
      </c>
      <c r="S74" t="s">
        <v>395</v>
      </c>
      <c r="T74" t="s">
        <v>531</v>
      </c>
      <c r="U74">
        <v>5.2581307242763338E-2</v>
      </c>
      <c r="V74" t="s">
        <v>162</v>
      </c>
      <c r="AC74" t="s">
        <v>19</v>
      </c>
      <c r="AD74" t="s">
        <v>531</v>
      </c>
      <c r="AE74">
        <v>5.2673541178405003E-2</v>
      </c>
      <c r="AK74">
        <v>2031</v>
      </c>
      <c r="AL74" t="s">
        <v>151</v>
      </c>
      <c r="AM74">
        <v>0.69120000000000004</v>
      </c>
      <c r="AN74" t="s">
        <v>510</v>
      </c>
    </row>
    <row r="75" spans="9:40" x14ac:dyDescent="0.45">
      <c r="I75" t="s">
        <v>171</v>
      </c>
      <c r="J75" t="s">
        <v>532</v>
      </c>
      <c r="K75">
        <v>2.0888403053644432E-2</v>
      </c>
      <c r="L75" t="s">
        <v>162</v>
      </c>
      <c r="N75" t="s">
        <v>283</v>
      </c>
      <c r="O75" t="s">
        <v>532</v>
      </c>
      <c r="P75">
        <v>7.2085319908044929E-3</v>
      </c>
      <c r="Q75" t="s">
        <v>162</v>
      </c>
      <c r="S75" t="s">
        <v>395</v>
      </c>
      <c r="T75" t="s">
        <v>532</v>
      </c>
      <c r="U75">
        <v>1.0384981239162174E-2</v>
      </c>
      <c r="V75" t="s">
        <v>162</v>
      </c>
      <c r="AC75" t="s">
        <v>19</v>
      </c>
      <c r="AD75" t="s">
        <v>532</v>
      </c>
      <c r="AE75">
        <v>1.0582390097801115E-2</v>
      </c>
      <c r="AK75">
        <v>2031</v>
      </c>
      <c r="AL75" t="s">
        <v>155</v>
      </c>
      <c r="AM75">
        <v>0.5865499999999999</v>
      </c>
      <c r="AN75" t="s">
        <v>510</v>
      </c>
    </row>
    <row r="76" spans="9:40" x14ac:dyDescent="0.45">
      <c r="I76" t="s">
        <v>171</v>
      </c>
      <c r="J76" t="s">
        <v>533</v>
      </c>
      <c r="K76">
        <v>2.9422034547550588E-2</v>
      </c>
      <c r="L76" t="s">
        <v>162</v>
      </c>
      <c r="N76" t="s">
        <v>283</v>
      </c>
      <c r="O76" t="s">
        <v>533</v>
      </c>
      <c r="P76">
        <v>6.1557708782778622E-2</v>
      </c>
      <c r="Q76" t="s">
        <v>162</v>
      </c>
      <c r="S76" t="s">
        <v>395</v>
      </c>
      <c r="T76" t="s">
        <v>533</v>
      </c>
      <c r="U76">
        <v>6.5418611517890704E-2</v>
      </c>
      <c r="V76" t="s">
        <v>162</v>
      </c>
      <c r="AC76" t="s">
        <v>19</v>
      </c>
      <c r="AD76" t="s">
        <v>533</v>
      </c>
      <c r="AE76">
        <v>6.3484003900855859E-2</v>
      </c>
      <c r="AK76">
        <v>2031</v>
      </c>
      <c r="AL76" t="s">
        <v>157</v>
      </c>
      <c r="AM76">
        <v>0.52229999999999999</v>
      </c>
      <c r="AN76" t="s">
        <v>510</v>
      </c>
    </row>
    <row r="77" spans="9:40" x14ac:dyDescent="0.45">
      <c r="I77" t="s">
        <v>171</v>
      </c>
      <c r="J77" t="s">
        <v>534</v>
      </c>
      <c r="K77">
        <v>2.9964340537496019E-2</v>
      </c>
      <c r="L77" t="s">
        <v>162</v>
      </c>
      <c r="N77" t="s">
        <v>283</v>
      </c>
      <c r="O77" t="s">
        <v>534</v>
      </c>
      <c r="P77">
        <v>0.10441844078965601</v>
      </c>
      <c r="Q77" t="s">
        <v>162</v>
      </c>
      <c r="S77" t="s">
        <v>395</v>
      </c>
      <c r="T77" t="s">
        <v>534</v>
      </c>
      <c r="U77">
        <v>0.12923716105911498</v>
      </c>
      <c r="V77" t="s">
        <v>162</v>
      </c>
      <c r="AC77" t="s">
        <v>19</v>
      </c>
      <c r="AD77" t="s">
        <v>534</v>
      </c>
      <c r="AE77">
        <v>9.4109656554838911E-2</v>
      </c>
      <c r="AK77">
        <v>2031</v>
      </c>
      <c r="AL77" t="s">
        <v>512</v>
      </c>
      <c r="AM77">
        <v>0.49933333333333341</v>
      </c>
      <c r="AN77" t="s">
        <v>510</v>
      </c>
    </row>
    <row r="78" spans="9:40" x14ac:dyDescent="0.45">
      <c r="I78" t="s">
        <v>171</v>
      </c>
      <c r="J78" t="s">
        <v>535</v>
      </c>
      <c r="K78">
        <v>1.8336357034249445E-2</v>
      </c>
      <c r="L78" t="s">
        <v>162</v>
      </c>
      <c r="N78" t="s">
        <v>283</v>
      </c>
      <c r="O78" t="s">
        <v>535</v>
      </c>
      <c r="P78">
        <v>7.2646053721197217E-3</v>
      </c>
      <c r="Q78" t="s">
        <v>162</v>
      </c>
      <c r="S78" t="s">
        <v>395</v>
      </c>
      <c r="T78" t="s">
        <v>535</v>
      </c>
      <c r="U78">
        <v>1.4075924073229509E-2</v>
      </c>
      <c r="V78" t="s">
        <v>162</v>
      </c>
      <c r="AC78" t="s">
        <v>19</v>
      </c>
      <c r="AD78" t="s">
        <v>535</v>
      </c>
      <c r="AE78">
        <v>1.0345783815914276E-2</v>
      </c>
      <c r="AK78">
        <v>2031</v>
      </c>
      <c r="AL78" t="s">
        <v>514</v>
      </c>
      <c r="AM78">
        <v>0.48666666666666664</v>
      </c>
      <c r="AN78" t="s">
        <v>510</v>
      </c>
    </row>
    <row r="79" spans="9:40" x14ac:dyDescent="0.45">
      <c r="I79" t="s">
        <v>171</v>
      </c>
      <c r="J79" t="s">
        <v>536</v>
      </c>
      <c r="K79">
        <v>4.006684070980851E-2</v>
      </c>
      <c r="L79" t="s">
        <v>162</v>
      </c>
      <c r="N79" t="s">
        <v>283</v>
      </c>
      <c r="O79" t="s">
        <v>536</v>
      </c>
      <c r="P79">
        <v>1.5073724145860237E-2</v>
      </c>
      <c r="Q79" t="s">
        <v>162</v>
      </c>
      <c r="S79" t="s">
        <v>395</v>
      </c>
      <c r="T79" t="s">
        <v>536</v>
      </c>
      <c r="U79">
        <v>2.8116561278956634E-2</v>
      </c>
      <c r="V79" t="s">
        <v>162</v>
      </c>
      <c r="AC79" t="s">
        <v>19</v>
      </c>
      <c r="AD79" t="s">
        <v>536</v>
      </c>
      <c r="AE79">
        <v>2.0748823724713348E-2</v>
      </c>
      <c r="AK79">
        <v>2031</v>
      </c>
      <c r="AL79" t="s">
        <v>516</v>
      </c>
      <c r="AM79">
        <v>0.59799999999999998</v>
      </c>
      <c r="AN79" t="s">
        <v>510</v>
      </c>
    </row>
    <row r="80" spans="9:40" x14ac:dyDescent="0.45">
      <c r="I80" t="s">
        <v>171</v>
      </c>
      <c r="J80" t="s">
        <v>537</v>
      </c>
      <c r="K80">
        <v>8.8857858395725756E-2</v>
      </c>
      <c r="L80" t="s">
        <v>162</v>
      </c>
      <c r="N80" t="s">
        <v>283</v>
      </c>
      <c r="O80" t="s">
        <v>537</v>
      </c>
      <c r="P80">
        <v>4.58988650516957E-2</v>
      </c>
      <c r="Q80" t="s">
        <v>162</v>
      </c>
      <c r="S80" t="s">
        <v>395</v>
      </c>
      <c r="T80" t="s">
        <v>537</v>
      </c>
      <c r="U80">
        <v>6.7960472908137198E-2</v>
      </c>
      <c r="V80" t="s">
        <v>162</v>
      </c>
      <c r="AC80" t="s">
        <v>19</v>
      </c>
      <c r="AD80" t="s">
        <v>537</v>
      </c>
      <c r="AE80">
        <v>5.2669699165391902E-2</v>
      </c>
      <c r="AK80">
        <v>2031</v>
      </c>
      <c r="AL80" t="s">
        <v>518</v>
      </c>
      <c r="AM80">
        <v>0.59260000000000002</v>
      </c>
      <c r="AN80" t="s">
        <v>510</v>
      </c>
    </row>
    <row r="81" spans="9:40" x14ac:dyDescent="0.45">
      <c r="I81" t="s">
        <v>171</v>
      </c>
      <c r="J81" t="s">
        <v>538</v>
      </c>
      <c r="K81">
        <v>9.24876881653015E-3</v>
      </c>
      <c r="L81" t="s">
        <v>162</v>
      </c>
      <c r="N81" t="s">
        <v>283</v>
      </c>
      <c r="O81" t="s">
        <v>538</v>
      </c>
      <c r="P81">
        <v>9.965464995846586E-3</v>
      </c>
      <c r="Q81" t="s">
        <v>162</v>
      </c>
      <c r="S81" t="s">
        <v>395</v>
      </c>
      <c r="T81" t="s">
        <v>538</v>
      </c>
      <c r="U81">
        <v>1.287969402860881E-2</v>
      </c>
      <c r="V81" t="s">
        <v>162</v>
      </c>
      <c r="AC81" t="s">
        <v>19</v>
      </c>
      <c r="AD81" t="s">
        <v>538</v>
      </c>
      <c r="AE81">
        <v>1.0575066516462664E-2</v>
      </c>
      <c r="AK81">
        <v>2032</v>
      </c>
      <c r="AL81" t="s">
        <v>151</v>
      </c>
      <c r="AM81">
        <v>0.70809999999999995</v>
      </c>
      <c r="AN81" t="s">
        <v>510</v>
      </c>
    </row>
    <row r="82" spans="9:40" x14ac:dyDescent="0.45">
      <c r="I82" t="s">
        <v>171</v>
      </c>
      <c r="J82" t="s">
        <v>539</v>
      </c>
      <c r="K82">
        <v>5.3054149093842594E-3</v>
      </c>
      <c r="L82" t="s">
        <v>162</v>
      </c>
      <c r="N82" t="s">
        <v>283</v>
      </c>
      <c r="O82" t="s">
        <v>539</v>
      </c>
      <c r="P82">
        <v>7.8396790791842544E-2</v>
      </c>
      <c r="Q82" t="s">
        <v>162</v>
      </c>
      <c r="S82" t="s">
        <v>395</v>
      </c>
      <c r="T82" t="s">
        <v>539</v>
      </c>
      <c r="U82">
        <v>8.0430141191740828E-2</v>
      </c>
      <c r="V82" t="s">
        <v>162</v>
      </c>
      <c r="AC82" t="s">
        <v>19</v>
      </c>
      <c r="AD82" t="s">
        <v>539</v>
      </c>
      <c r="AE82">
        <v>6.3447156524847587E-2</v>
      </c>
      <c r="AK82">
        <v>2032</v>
      </c>
      <c r="AL82" t="s">
        <v>155</v>
      </c>
      <c r="AM82">
        <v>0.76265000000000005</v>
      </c>
      <c r="AN82" t="s">
        <v>510</v>
      </c>
    </row>
    <row r="83" spans="9:40" x14ac:dyDescent="0.45">
      <c r="I83" t="s">
        <v>171</v>
      </c>
      <c r="J83" t="s">
        <v>540</v>
      </c>
      <c r="K83">
        <v>1.7263927671299409E-3</v>
      </c>
      <c r="L83" t="s">
        <v>162</v>
      </c>
      <c r="N83" t="s">
        <v>283</v>
      </c>
      <c r="O83" t="s">
        <v>540</v>
      </c>
      <c r="P83">
        <v>3.7357693384654167E-2</v>
      </c>
      <c r="Q83" t="s">
        <v>162</v>
      </c>
      <c r="S83" t="s">
        <v>395</v>
      </c>
      <c r="T83" t="s">
        <v>540</v>
      </c>
      <c r="U83">
        <v>2.9684834581801524E-2</v>
      </c>
      <c r="V83" t="s">
        <v>162</v>
      </c>
      <c r="AC83" t="s">
        <v>19</v>
      </c>
      <c r="AD83" t="s">
        <v>540</v>
      </c>
      <c r="AE83">
        <v>3.0768864377002013E-2</v>
      </c>
      <c r="AK83">
        <v>2032</v>
      </c>
      <c r="AL83" t="s">
        <v>157</v>
      </c>
      <c r="AM83">
        <v>0.55020000000000002</v>
      </c>
      <c r="AN83" t="s">
        <v>510</v>
      </c>
    </row>
    <row r="84" spans="9:40" x14ac:dyDescent="0.45">
      <c r="I84" t="s">
        <v>171</v>
      </c>
      <c r="J84" t="s">
        <v>541</v>
      </c>
      <c r="K84">
        <v>3.3355181027496946E-3</v>
      </c>
      <c r="L84" t="s">
        <v>162</v>
      </c>
      <c r="N84" t="s">
        <v>283</v>
      </c>
      <c r="O84" t="s">
        <v>541</v>
      </c>
      <c r="P84">
        <v>3.660362331530268E-3</v>
      </c>
      <c r="Q84" t="s">
        <v>162</v>
      </c>
      <c r="S84" t="s">
        <v>395</v>
      </c>
      <c r="T84" t="s">
        <v>541</v>
      </c>
      <c r="U84">
        <v>3.1782692963029575E-3</v>
      </c>
      <c r="V84" t="s">
        <v>162</v>
      </c>
      <c r="AC84" t="s">
        <v>19</v>
      </c>
      <c r="AD84" t="s">
        <v>541</v>
      </c>
      <c r="AE84">
        <v>3.3918092067331189E-3</v>
      </c>
      <c r="AK84">
        <v>2032</v>
      </c>
      <c r="AL84" t="s">
        <v>512</v>
      </c>
      <c r="AM84">
        <v>0.57866666666666666</v>
      </c>
      <c r="AN84" t="s">
        <v>510</v>
      </c>
    </row>
    <row r="85" spans="9:40" x14ac:dyDescent="0.45">
      <c r="I85" t="s">
        <v>171</v>
      </c>
      <c r="J85" t="s">
        <v>542</v>
      </c>
      <c r="K85">
        <v>9.1205269454263469E-3</v>
      </c>
      <c r="L85" t="s">
        <v>162</v>
      </c>
      <c r="N85" t="s">
        <v>283</v>
      </c>
      <c r="O85" t="s">
        <v>542</v>
      </c>
      <c r="P85">
        <v>5.6178879838743815E-3</v>
      </c>
      <c r="Q85" t="s">
        <v>162</v>
      </c>
      <c r="S85" t="s">
        <v>395</v>
      </c>
      <c r="T85" t="s">
        <v>542</v>
      </c>
      <c r="U85">
        <v>6.1617825791827193E-3</v>
      </c>
      <c r="V85" t="s">
        <v>162</v>
      </c>
      <c r="AC85" t="s">
        <v>19</v>
      </c>
      <c r="AD85" t="s">
        <v>542</v>
      </c>
      <c r="AE85">
        <v>6.7923738758848187E-3</v>
      </c>
      <c r="AK85">
        <v>2032</v>
      </c>
      <c r="AL85" t="s">
        <v>514</v>
      </c>
      <c r="AM85">
        <v>0.55066666666666675</v>
      </c>
      <c r="AN85" t="s">
        <v>510</v>
      </c>
    </row>
    <row r="86" spans="9:40" x14ac:dyDescent="0.45">
      <c r="I86" t="s">
        <v>171</v>
      </c>
      <c r="J86" t="s">
        <v>543</v>
      </c>
      <c r="K86">
        <v>1.5391112848771222E-2</v>
      </c>
      <c r="L86" t="s">
        <v>162</v>
      </c>
      <c r="N86" t="s">
        <v>283</v>
      </c>
      <c r="O86" t="s">
        <v>543</v>
      </c>
      <c r="P86">
        <v>1.5698775747183182E-2</v>
      </c>
      <c r="Q86" t="s">
        <v>162</v>
      </c>
      <c r="S86" t="s">
        <v>395</v>
      </c>
      <c r="T86" t="s">
        <v>543</v>
      </c>
      <c r="U86">
        <v>1.4558878804238638E-2</v>
      </c>
      <c r="V86" t="s">
        <v>162</v>
      </c>
      <c r="AC86" t="s">
        <v>19</v>
      </c>
      <c r="AD86" t="s">
        <v>543</v>
      </c>
      <c r="AE86">
        <v>1.719231264188719E-2</v>
      </c>
      <c r="AK86">
        <v>2032</v>
      </c>
      <c r="AL86" t="s">
        <v>516</v>
      </c>
      <c r="AM86">
        <v>0.68169999999999997</v>
      </c>
      <c r="AN86" t="s">
        <v>510</v>
      </c>
    </row>
    <row r="87" spans="9:40" x14ac:dyDescent="0.45">
      <c r="I87" t="s">
        <v>171</v>
      </c>
      <c r="J87" t="s">
        <v>544</v>
      </c>
      <c r="K87">
        <v>0</v>
      </c>
      <c r="L87" t="s">
        <v>162</v>
      </c>
      <c r="N87" t="s">
        <v>283</v>
      </c>
      <c r="O87" t="s">
        <v>544</v>
      </c>
      <c r="P87">
        <v>4.2298979936203221E-3</v>
      </c>
      <c r="Q87" t="s">
        <v>162</v>
      </c>
      <c r="S87" t="s">
        <v>395</v>
      </c>
      <c r="T87" t="s">
        <v>544</v>
      </c>
      <c r="U87">
        <v>2.6947301878670511E-3</v>
      </c>
      <c r="V87" t="s">
        <v>162</v>
      </c>
      <c r="AC87" t="s">
        <v>19</v>
      </c>
      <c r="AD87" t="s">
        <v>544</v>
      </c>
      <c r="AE87">
        <v>3.43768456063044E-3</v>
      </c>
      <c r="AK87">
        <v>2032</v>
      </c>
      <c r="AL87" t="s">
        <v>518</v>
      </c>
      <c r="AM87">
        <v>0.75839999999999996</v>
      </c>
      <c r="AN87" t="s">
        <v>510</v>
      </c>
    </row>
    <row r="88" spans="9:40" x14ac:dyDescent="0.45">
      <c r="I88" t="s">
        <v>171</v>
      </c>
      <c r="J88" t="s">
        <v>545</v>
      </c>
      <c r="K88">
        <v>0</v>
      </c>
      <c r="L88" t="s">
        <v>162</v>
      </c>
      <c r="N88" t="s">
        <v>283</v>
      </c>
      <c r="O88" t="s">
        <v>545</v>
      </c>
      <c r="P88">
        <v>2.4772244161284877E-2</v>
      </c>
      <c r="Q88" t="s">
        <v>162</v>
      </c>
      <c r="S88" t="s">
        <v>395</v>
      </c>
      <c r="T88" t="s">
        <v>545</v>
      </c>
      <c r="U88">
        <v>1.7416797779767405E-2</v>
      </c>
      <c r="V88" t="s">
        <v>162</v>
      </c>
      <c r="AC88" t="s">
        <v>19</v>
      </c>
      <c r="AD88" t="s">
        <v>545</v>
      </c>
      <c r="AE88">
        <v>2.0632142999932931E-2</v>
      </c>
      <c r="AK88">
        <v>2033</v>
      </c>
      <c r="AL88" t="s">
        <v>151</v>
      </c>
      <c r="AM88">
        <v>0.81189999999999996</v>
      </c>
      <c r="AN88" t="s">
        <v>510</v>
      </c>
    </row>
    <row r="89" spans="9:40" x14ac:dyDescent="0.45">
      <c r="I89" t="s">
        <v>171</v>
      </c>
      <c r="J89" t="s">
        <v>546</v>
      </c>
      <c r="K89">
        <v>7.1506366296068621E-5</v>
      </c>
      <c r="L89" t="s">
        <v>162</v>
      </c>
      <c r="N89" t="s">
        <v>283</v>
      </c>
      <c r="O89" t="s">
        <v>546</v>
      </c>
      <c r="P89">
        <v>3.7590454645455226E-2</v>
      </c>
      <c r="Q89" t="s">
        <v>162</v>
      </c>
      <c r="S89" t="s">
        <v>395</v>
      </c>
      <c r="T89" t="s">
        <v>546</v>
      </c>
      <c r="U89">
        <v>2.5014947240662045E-2</v>
      </c>
      <c r="V89" t="s">
        <v>162</v>
      </c>
      <c r="AC89" t="s">
        <v>19</v>
      </c>
      <c r="AD89" t="s">
        <v>546</v>
      </c>
      <c r="AE89">
        <v>3.1840084375346092E-2</v>
      </c>
      <c r="AK89">
        <v>2033</v>
      </c>
      <c r="AL89" t="s">
        <v>155</v>
      </c>
      <c r="AM89">
        <v>0.67935000000000001</v>
      </c>
      <c r="AN89" t="s">
        <v>510</v>
      </c>
    </row>
    <row r="90" spans="9:40" x14ac:dyDescent="0.45">
      <c r="I90" t="s">
        <v>171</v>
      </c>
      <c r="J90" t="s">
        <v>547</v>
      </c>
      <c r="K90">
        <v>4.143858036944322E-3</v>
      </c>
      <c r="L90" t="s">
        <v>162</v>
      </c>
      <c r="N90" t="s">
        <v>283</v>
      </c>
      <c r="O90" t="s">
        <v>547</v>
      </c>
      <c r="P90">
        <v>4.3733765220684388E-3</v>
      </c>
      <c r="Q90" t="s">
        <v>162</v>
      </c>
      <c r="S90" t="s">
        <v>395</v>
      </c>
      <c r="T90" t="s">
        <v>547</v>
      </c>
      <c r="U90">
        <v>2.7868361775263539E-3</v>
      </c>
      <c r="V90" t="s">
        <v>162</v>
      </c>
      <c r="AC90" t="s">
        <v>19</v>
      </c>
      <c r="AD90" t="s">
        <v>547</v>
      </c>
      <c r="AE90">
        <v>3.5057908579109089E-3</v>
      </c>
      <c r="AK90">
        <v>2033</v>
      </c>
      <c r="AL90" t="s">
        <v>157</v>
      </c>
      <c r="AM90">
        <v>0.61250000000000004</v>
      </c>
      <c r="AN90" t="s">
        <v>510</v>
      </c>
    </row>
    <row r="91" spans="9:40" x14ac:dyDescent="0.45">
      <c r="I91" t="s">
        <v>171</v>
      </c>
      <c r="J91" t="s">
        <v>548</v>
      </c>
      <c r="K91">
        <v>1.3246803745842783E-2</v>
      </c>
      <c r="L91" t="s">
        <v>162</v>
      </c>
      <c r="N91" t="s">
        <v>283</v>
      </c>
      <c r="O91" t="s">
        <v>548</v>
      </c>
      <c r="P91">
        <v>7.9777650971995726E-3</v>
      </c>
      <c r="Q91" t="s">
        <v>162</v>
      </c>
      <c r="S91" t="s">
        <v>395</v>
      </c>
      <c r="T91" t="s">
        <v>548</v>
      </c>
      <c r="U91">
        <v>5.5803469241051604E-3</v>
      </c>
      <c r="V91" t="s">
        <v>162</v>
      </c>
      <c r="AC91" t="s">
        <v>19</v>
      </c>
      <c r="AD91" t="s">
        <v>548</v>
      </c>
      <c r="AE91">
        <v>7.0205463093551837E-3</v>
      </c>
      <c r="AK91">
        <v>2033</v>
      </c>
      <c r="AL91" t="s">
        <v>512</v>
      </c>
      <c r="AM91">
        <v>0.58990000000000009</v>
      </c>
      <c r="AN91" t="s">
        <v>510</v>
      </c>
    </row>
    <row r="92" spans="9:40" x14ac:dyDescent="0.45">
      <c r="I92" t="s">
        <v>171</v>
      </c>
      <c r="J92" t="s">
        <v>549</v>
      </c>
      <c r="K92">
        <v>2.2186403758878325E-2</v>
      </c>
      <c r="L92" t="s">
        <v>162</v>
      </c>
      <c r="N92" t="s">
        <v>283</v>
      </c>
      <c r="O92" t="s">
        <v>549</v>
      </c>
      <c r="P92">
        <v>1.8161694977389738E-2</v>
      </c>
      <c r="Q92" t="s">
        <v>162</v>
      </c>
      <c r="S92" t="s">
        <v>395</v>
      </c>
      <c r="T92" t="s">
        <v>549</v>
      </c>
      <c r="U92">
        <v>1.4386582705671429E-2</v>
      </c>
      <c r="V92" t="s">
        <v>162</v>
      </c>
      <c r="AC92" t="s">
        <v>19</v>
      </c>
      <c r="AD92" t="s">
        <v>549</v>
      </c>
      <c r="AE92">
        <v>1.7761500877777118E-2</v>
      </c>
      <c r="AK92">
        <v>2033</v>
      </c>
      <c r="AL92" t="s">
        <v>514</v>
      </c>
      <c r="AM92">
        <v>0.54049999999999998</v>
      </c>
      <c r="AN92" t="s">
        <v>510</v>
      </c>
    </row>
    <row r="93" spans="9:40" x14ac:dyDescent="0.45">
      <c r="I93" t="s">
        <v>171</v>
      </c>
      <c r="J93" t="s">
        <v>550</v>
      </c>
      <c r="K93">
        <v>0</v>
      </c>
      <c r="L93" t="s">
        <v>162</v>
      </c>
      <c r="N93" t="s">
        <v>283</v>
      </c>
      <c r="O93" t="s">
        <v>550</v>
      </c>
      <c r="P93">
        <v>4.2997404666518142E-3</v>
      </c>
      <c r="Q93" t="s">
        <v>162</v>
      </c>
      <c r="S93" t="s">
        <v>395</v>
      </c>
      <c r="T93" t="s">
        <v>550</v>
      </c>
      <c r="U93">
        <v>2.7995222002721522E-3</v>
      </c>
      <c r="V93" t="s">
        <v>162</v>
      </c>
      <c r="AC93" t="s">
        <v>19</v>
      </c>
      <c r="AD93" t="s">
        <v>550</v>
      </c>
      <c r="AE93">
        <v>3.5555570120655877E-3</v>
      </c>
      <c r="AK93">
        <v>2033</v>
      </c>
      <c r="AL93" t="s">
        <v>516</v>
      </c>
      <c r="AM93">
        <v>0.66639999999999999</v>
      </c>
      <c r="AN93" t="s">
        <v>510</v>
      </c>
    </row>
    <row r="94" spans="9:40" x14ac:dyDescent="0.45">
      <c r="I94" t="s">
        <v>171</v>
      </c>
      <c r="J94" t="s">
        <v>551</v>
      </c>
      <c r="K94">
        <v>0</v>
      </c>
      <c r="L94" t="s">
        <v>162</v>
      </c>
      <c r="N94" t="s">
        <v>283</v>
      </c>
      <c r="O94" t="s">
        <v>551</v>
      </c>
      <c r="P94">
        <v>2.6538974263136453E-2</v>
      </c>
      <c r="Q94" t="s">
        <v>162</v>
      </c>
      <c r="S94" t="s">
        <v>395</v>
      </c>
      <c r="T94" t="s">
        <v>551</v>
      </c>
      <c r="U94">
        <v>1.6527622065273955E-2</v>
      </c>
      <c r="V94" t="s">
        <v>162</v>
      </c>
      <c r="AC94" t="s">
        <v>19</v>
      </c>
      <c r="AD94" t="s">
        <v>551</v>
      </c>
      <c r="AE94">
        <v>2.1336804193929013E-2</v>
      </c>
      <c r="AK94">
        <v>2033</v>
      </c>
      <c r="AL94" t="s">
        <v>518</v>
      </c>
      <c r="AM94">
        <v>0.78049999999999997</v>
      </c>
      <c r="AN94" t="s">
        <v>510</v>
      </c>
    </row>
    <row r="95" spans="9:40" x14ac:dyDescent="0.45">
      <c r="I95" t="s">
        <v>172</v>
      </c>
      <c r="J95" t="s">
        <v>161</v>
      </c>
      <c r="K95">
        <v>9.8344747286331989E-6</v>
      </c>
      <c r="L95" t="s">
        <v>162</v>
      </c>
      <c r="N95" t="s">
        <v>284</v>
      </c>
      <c r="O95" t="s">
        <v>161</v>
      </c>
      <c r="P95">
        <v>2.6020912213996911E-2</v>
      </c>
      <c r="Q95" t="s">
        <v>162</v>
      </c>
      <c r="S95" t="s">
        <v>396</v>
      </c>
      <c r="T95" t="s">
        <v>161</v>
      </c>
      <c r="U95">
        <v>2.9558262901085368E-2</v>
      </c>
      <c r="V95" t="s">
        <v>162</v>
      </c>
      <c r="AK95">
        <v>2034</v>
      </c>
      <c r="AL95" t="s">
        <v>151</v>
      </c>
      <c r="AM95">
        <v>0.7117</v>
      </c>
      <c r="AN95" t="s">
        <v>510</v>
      </c>
    </row>
    <row r="96" spans="9:40" x14ac:dyDescent="0.45">
      <c r="I96" t="s">
        <v>172</v>
      </c>
      <c r="J96" t="s">
        <v>163</v>
      </c>
      <c r="K96">
        <v>3.8550557045285618E-3</v>
      </c>
      <c r="L96" t="s">
        <v>162</v>
      </c>
      <c r="N96" t="s">
        <v>284</v>
      </c>
      <c r="O96" t="s">
        <v>163</v>
      </c>
      <c r="P96">
        <v>2.0019379662144293E-3</v>
      </c>
      <c r="Q96" t="s">
        <v>162</v>
      </c>
      <c r="S96" t="s">
        <v>396</v>
      </c>
      <c r="T96" t="s">
        <v>163</v>
      </c>
      <c r="U96">
        <v>3.2196035208470791E-3</v>
      </c>
      <c r="V96" t="s">
        <v>162</v>
      </c>
      <c r="AK96">
        <v>2034</v>
      </c>
      <c r="AL96" t="s">
        <v>155</v>
      </c>
      <c r="AM96">
        <v>0.68130000000000002</v>
      </c>
      <c r="AN96" t="s">
        <v>510</v>
      </c>
    </row>
    <row r="97" spans="9:40" x14ac:dyDescent="0.45">
      <c r="I97" t="s">
        <v>172</v>
      </c>
      <c r="J97" t="s">
        <v>164</v>
      </c>
      <c r="K97">
        <v>1.30112767641278E-2</v>
      </c>
      <c r="L97" t="s">
        <v>162</v>
      </c>
      <c r="N97" t="s">
        <v>284</v>
      </c>
      <c r="O97" t="s">
        <v>164</v>
      </c>
      <c r="P97">
        <v>3.2304349160173058E-3</v>
      </c>
      <c r="Q97" t="s">
        <v>162</v>
      </c>
      <c r="S97" t="s">
        <v>396</v>
      </c>
      <c r="T97" t="s">
        <v>164</v>
      </c>
      <c r="U97">
        <v>6.4884543756583996E-3</v>
      </c>
      <c r="V97" t="s">
        <v>162</v>
      </c>
      <c r="AK97">
        <v>2034</v>
      </c>
      <c r="AL97" t="s">
        <v>157</v>
      </c>
      <c r="AM97">
        <v>0.63759999999999994</v>
      </c>
      <c r="AN97" t="s">
        <v>510</v>
      </c>
    </row>
    <row r="98" spans="9:40" x14ac:dyDescent="0.45">
      <c r="I98" t="s">
        <v>172</v>
      </c>
      <c r="J98" t="s">
        <v>519</v>
      </c>
      <c r="K98">
        <v>2.7392805325653479E-2</v>
      </c>
      <c r="L98" t="s">
        <v>162</v>
      </c>
      <c r="N98" t="s">
        <v>284</v>
      </c>
      <c r="O98" t="s">
        <v>519</v>
      </c>
      <c r="P98">
        <v>6.9525209561842839E-3</v>
      </c>
      <c r="Q98" t="s">
        <v>162</v>
      </c>
      <c r="S98" t="s">
        <v>396</v>
      </c>
      <c r="T98" t="s">
        <v>519</v>
      </c>
      <c r="U98">
        <v>1.6496699029625896E-2</v>
      </c>
      <c r="V98" t="s">
        <v>162</v>
      </c>
      <c r="AK98">
        <v>2034</v>
      </c>
      <c r="AL98" t="s">
        <v>512</v>
      </c>
      <c r="AM98">
        <v>0.56296666666666673</v>
      </c>
      <c r="AN98" t="s">
        <v>510</v>
      </c>
    </row>
    <row r="99" spans="9:40" x14ac:dyDescent="0.45">
      <c r="I99" t="s">
        <v>172</v>
      </c>
      <c r="J99" t="s">
        <v>520</v>
      </c>
      <c r="K99">
        <v>0</v>
      </c>
      <c r="L99" t="s">
        <v>162</v>
      </c>
      <c r="N99" t="s">
        <v>284</v>
      </c>
      <c r="O99" t="s">
        <v>520</v>
      </c>
      <c r="P99">
        <v>1.8958959684615237E-3</v>
      </c>
      <c r="Q99" t="s">
        <v>162</v>
      </c>
      <c r="S99" t="s">
        <v>396</v>
      </c>
      <c r="T99" t="s">
        <v>520</v>
      </c>
      <c r="U99">
        <v>3.2062890101362896E-3</v>
      </c>
      <c r="V99" t="s">
        <v>162</v>
      </c>
      <c r="AK99">
        <v>2034</v>
      </c>
      <c r="AL99" t="s">
        <v>514</v>
      </c>
      <c r="AM99">
        <v>0.57786666666666664</v>
      </c>
      <c r="AN99" t="s">
        <v>510</v>
      </c>
    </row>
    <row r="100" spans="9:40" x14ac:dyDescent="0.45">
      <c r="I100" t="s">
        <v>172</v>
      </c>
      <c r="J100" t="s">
        <v>521</v>
      </c>
      <c r="K100">
        <v>0</v>
      </c>
      <c r="L100" t="s">
        <v>162</v>
      </c>
      <c r="N100" t="s">
        <v>284</v>
      </c>
      <c r="O100" t="s">
        <v>521</v>
      </c>
      <c r="P100">
        <v>1.4391364860218693E-2</v>
      </c>
      <c r="Q100" t="s">
        <v>162</v>
      </c>
      <c r="S100" t="s">
        <v>396</v>
      </c>
      <c r="T100" t="s">
        <v>521</v>
      </c>
      <c r="U100">
        <v>1.9745454087631141E-2</v>
      </c>
      <c r="V100" t="s">
        <v>162</v>
      </c>
      <c r="AK100">
        <v>2034</v>
      </c>
      <c r="AL100" t="s">
        <v>516</v>
      </c>
      <c r="AM100">
        <v>0.65900000000000003</v>
      </c>
      <c r="AN100" t="s">
        <v>510</v>
      </c>
    </row>
    <row r="101" spans="9:40" x14ac:dyDescent="0.45">
      <c r="I101" t="s">
        <v>172</v>
      </c>
      <c r="J101" t="s">
        <v>165</v>
      </c>
      <c r="K101">
        <v>1.5381042342129671E-2</v>
      </c>
      <c r="L101" t="s">
        <v>162</v>
      </c>
      <c r="N101" t="s">
        <v>284</v>
      </c>
      <c r="O101" t="s">
        <v>165</v>
      </c>
      <c r="P101">
        <v>4.8150447721480312E-2</v>
      </c>
      <c r="Q101" t="s">
        <v>162</v>
      </c>
      <c r="S101" t="s">
        <v>396</v>
      </c>
      <c r="T101" t="s">
        <v>165</v>
      </c>
      <c r="U101">
        <v>6.4564254979392818E-2</v>
      </c>
      <c r="V101" t="s">
        <v>162</v>
      </c>
      <c r="AK101">
        <v>2034</v>
      </c>
      <c r="AL101" t="s">
        <v>518</v>
      </c>
      <c r="AM101">
        <v>0.67869999999999997</v>
      </c>
      <c r="AN101" t="s">
        <v>510</v>
      </c>
    </row>
    <row r="102" spans="9:40" x14ac:dyDescent="0.45">
      <c r="I102" t="s">
        <v>172</v>
      </c>
      <c r="J102" t="s">
        <v>166</v>
      </c>
      <c r="K102">
        <v>1.7222456961021673E-2</v>
      </c>
      <c r="L102" t="s">
        <v>162</v>
      </c>
      <c r="N102" t="s">
        <v>284</v>
      </c>
      <c r="O102" t="s">
        <v>166</v>
      </c>
      <c r="P102">
        <v>4.2704193131911788E-3</v>
      </c>
      <c r="Q102" t="s">
        <v>162</v>
      </c>
      <c r="S102" t="s">
        <v>396</v>
      </c>
      <c r="T102" t="s">
        <v>166</v>
      </c>
      <c r="U102">
        <v>6.6746025065944747E-3</v>
      </c>
      <c r="V102" t="s">
        <v>162</v>
      </c>
      <c r="AK102">
        <v>2035</v>
      </c>
      <c r="AL102" t="s">
        <v>151</v>
      </c>
      <c r="AM102">
        <v>0.77859999999999996</v>
      </c>
      <c r="AN102" t="s">
        <v>510</v>
      </c>
    </row>
    <row r="103" spans="9:40" x14ac:dyDescent="0.45">
      <c r="I103" t="s">
        <v>172</v>
      </c>
      <c r="J103" t="s">
        <v>167</v>
      </c>
      <c r="K103">
        <v>4.1855928703458535E-2</v>
      </c>
      <c r="L103" t="s">
        <v>162</v>
      </c>
      <c r="N103" t="s">
        <v>284</v>
      </c>
      <c r="O103" t="s">
        <v>167</v>
      </c>
      <c r="P103">
        <v>6.9501041512119617E-3</v>
      </c>
      <c r="Q103" t="s">
        <v>162</v>
      </c>
      <c r="S103" t="s">
        <v>396</v>
      </c>
      <c r="T103" t="s">
        <v>167</v>
      </c>
      <c r="U103">
        <v>1.3026908305905258E-2</v>
      </c>
      <c r="V103" t="s">
        <v>162</v>
      </c>
      <c r="AK103">
        <v>2035</v>
      </c>
      <c r="AL103" t="s">
        <v>155</v>
      </c>
      <c r="AM103">
        <v>0.70679999999999998</v>
      </c>
      <c r="AN103" t="s">
        <v>510</v>
      </c>
    </row>
    <row r="104" spans="9:40" x14ac:dyDescent="0.45">
      <c r="I104" t="s">
        <v>172</v>
      </c>
      <c r="J104" t="s">
        <v>522</v>
      </c>
      <c r="K104">
        <v>9.6845782140458289E-2</v>
      </c>
      <c r="L104" t="s">
        <v>162</v>
      </c>
      <c r="N104" t="s">
        <v>284</v>
      </c>
      <c r="O104" t="s">
        <v>522</v>
      </c>
      <c r="P104">
        <v>1.6507535812133871E-2</v>
      </c>
      <c r="Q104" t="s">
        <v>162</v>
      </c>
      <c r="S104" t="s">
        <v>396</v>
      </c>
      <c r="T104" t="s">
        <v>522</v>
      </c>
      <c r="U104">
        <v>3.3605506712109906E-2</v>
      </c>
      <c r="V104" t="s">
        <v>162</v>
      </c>
      <c r="AK104">
        <v>2035</v>
      </c>
      <c r="AL104" t="s">
        <v>157</v>
      </c>
      <c r="AM104">
        <v>0.62150000000000005</v>
      </c>
      <c r="AN104" t="s">
        <v>510</v>
      </c>
    </row>
    <row r="105" spans="9:40" x14ac:dyDescent="0.45">
      <c r="I105" t="s">
        <v>172</v>
      </c>
      <c r="J105" t="s">
        <v>523</v>
      </c>
      <c r="K105">
        <v>1.0253972630018907E-2</v>
      </c>
      <c r="L105" t="s">
        <v>162</v>
      </c>
      <c r="N105" t="s">
        <v>284</v>
      </c>
      <c r="O105" t="s">
        <v>523</v>
      </c>
      <c r="P105">
        <v>4.6873350445809179E-3</v>
      </c>
      <c r="Q105" t="s">
        <v>162</v>
      </c>
      <c r="S105" t="s">
        <v>396</v>
      </c>
      <c r="T105" t="s">
        <v>523</v>
      </c>
      <c r="U105">
        <v>7.4651789787629243E-3</v>
      </c>
      <c r="V105" t="s">
        <v>162</v>
      </c>
      <c r="AK105">
        <v>2035</v>
      </c>
      <c r="AL105" t="s">
        <v>512</v>
      </c>
      <c r="AM105">
        <v>0.59509999999999996</v>
      </c>
      <c r="AN105" t="s">
        <v>510</v>
      </c>
    </row>
    <row r="106" spans="9:40" x14ac:dyDescent="0.45">
      <c r="I106" t="s">
        <v>172</v>
      </c>
      <c r="J106" t="s">
        <v>524</v>
      </c>
      <c r="K106">
        <v>2.9061839569566351E-3</v>
      </c>
      <c r="L106" t="s">
        <v>162</v>
      </c>
      <c r="N106" t="s">
        <v>284</v>
      </c>
      <c r="O106" t="s">
        <v>524</v>
      </c>
      <c r="P106">
        <v>3.8398999713854243E-2</v>
      </c>
      <c r="Q106" t="s">
        <v>162</v>
      </c>
      <c r="S106" t="s">
        <v>396</v>
      </c>
      <c r="T106" t="s">
        <v>524</v>
      </c>
      <c r="U106">
        <v>4.5269551345681926E-2</v>
      </c>
      <c r="V106" t="s">
        <v>162</v>
      </c>
      <c r="AK106">
        <v>2035</v>
      </c>
      <c r="AL106" t="s">
        <v>514</v>
      </c>
      <c r="AM106">
        <v>0.53169999999999995</v>
      </c>
      <c r="AN106" t="s">
        <v>510</v>
      </c>
    </row>
    <row r="107" spans="9:40" x14ac:dyDescent="0.45">
      <c r="I107" t="s">
        <v>172</v>
      </c>
      <c r="J107" t="s">
        <v>168</v>
      </c>
      <c r="K107">
        <v>1.8362100188355785E-2</v>
      </c>
      <c r="L107" t="s">
        <v>162</v>
      </c>
      <c r="N107" t="s">
        <v>284</v>
      </c>
      <c r="O107" t="s">
        <v>168</v>
      </c>
      <c r="P107">
        <v>4.9518099571677854E-2</v>
      </c>
      <c r="Q107" t="s">
        <v>162</v>
      </c>
      <c r="S107" t="s">
        <v>396</v>
      </c>
      <c r="T107" t="s">
        <v>168</v>
      </c>
      <c r="U107">
        <v>1.9086215766799568E-2</v>
      </c>
      <c r="V107" t="s">
        <v>162</v>
      </c>
      <c r="AK107">
        <v>2035</v>
      </c>
      <c r="AL107" t="s">
        <v>516</v>
      </c>
      <c r="AM107">
        <v>0.68869999999999998</v>
      </c>
      <c r="AN107" t="s">
        <v>510</v>
      </c>
    </row>
    <row r="108" spans="9:40" x14ac:dyDescent="0.45">
      <c r="I108" t="s">
        <v>172</v>
      </c>
      <c r="J108" t="s">
        <v>169</v>
      </c>
      <c r="K108">
        <v>1.0673469584706632E-2</v>
      </c>
      <c r="L108" t="s">
        <v>162</v>
      </c>
      <c r="N108" t="s">
        <v>284</v>
      </c>
      <c r="O108" t="s">
        <v>169</v>
      </c>
      <c r="P108">
        <v>4.3781160984354087E-3</v>
      </c>
      <c r="Q108" t="s">
        <v>162</v>
      </c>
      <c r="S108" t="s">
        <v>396</v>
      </c>
      <c r="T108" t="s">
        <v>169</v>
      </c>
      <c r="U108">
        <v>1.8137659062620244E-3</v>
      </c>
      <c r="V108" t="s">
        <v>162</v>
      </c>
      <c r="AK108">
        <v>2035</v>
      </c>
      <c r="AL108" t="s">
        <v>518</v>
      </c>
      <c r="AM108">
        <v>0.76219999999999999</v>
      </c>
      <c r="AN108" t="s">
        <v>510</v>
      </c>
    </row>
    <row r="109" spans="9:40" x14ac:dyDescent="0.45">
      <c r="I109" t="s">
        <v>172</v>
      </c>
      <c r="J109" t="s">
        <v>170</v>
      </c>
      <c r="K109">
        <v>2.3720788701461982E-2</v>
      </c>
      <c r="L109" t="s">
        <v>162</v>
      </c>
      <c r="N109" t="s">
        <v>284</v>
      </c>
      <c r="O109" t="s">
        <v>170</v>
      </c>
      <c r="P109">
        <v>9.2634904767501594E-3</v>
      </c>
      <c r="Q109" t="s">
        <v>162</v>
      </c>
      <c r="S109" t="s">
        <v>396</v>
      </c>
      <c r="T109" t="s">
        <v>170</v>
      </c>
      <c r="U109">
        <v>3.8188034649556876E-3</v>
      </c>
      <c r="V109" t="s">
        <v>162</v>
      </c>
      <c r="AK109">
        <v>2036</v>
      </c>
      <c r="AL109" t="s">
        <v>151</v>
      </c>
      <c r="AM109">
        <v>0.69230000000000003</v>
      </c>
      <c r="AN109" t="s">
        <v>510</v>
      </c>
    </row>
    <row r="110" spans="9:40" x14ac:dyDescent="0.45">
      <c r="I110" t="s">
        <v>172</v>
      </c>
      <c r="J110" t="s">
        <v>525</v>
      </c>
      <c r="K110">
        <v>5.5383582944973204E-2</v>
      </c>
      <c r="L110" t="s">
        <v>162</v>
      </c>
      <c r="N110" t="s">
        <v>284</v>
      </c>
      <c r="O110" t="s">
        <v>525</v>
      </c>
      <c r="P110">
        <v>2.0749291065292868E-2</v>
      </c>
      <c r="Q110" t="s">
        <v>162</v>
      </c>
      <c r="S110" t="s">
        <v>396</v>
      </c>
      <c r="T110" t="s">
        <v>525</v>
      </c>
      <c r="U110">
        <v>1.1122022859410731E-2</v>
      </c>
      <c r="V110" t="s">
        <v>162</v>
      </c>
      <c r="AK110">
        <v>2036</v>
      </c>
      <c r="AL110" t="s">
        <v>155</v>
      </c>
      <c r="AM110">
        <v>0.72855000000000003</v>
      </c>
      <c r="AN110" t="s">
        <v>510</v>
      </c>
    </row>
    <row r="111" spans="9:40" x14ac:dyDescent="0.45">
      <c r="I111" t="s">
        <v>172</v>
      </c>
      <c r="J111" t="s">
        <v>526</v>
      </c>
      <c r="K111">
        <v>6.9550156603667727E-3</v>
      </c>
      <c r="L111" t="s">
        <v>162</v>
      </c>
      <c r="N111" t="s">
        <v>284</v>
      </c>
      <c r="O111" t="s">
        <v>526</v>
      </c>
      <c r="P111">
        <v>3.3834236068271102E-3</v>
      </c>
      <c r="Q111" t="s">
        <v>162</v>
      </c>
      <c r="S111" t="s">
        <v>396</v>
      </c>
      <c r="T111" t="s">
        <v>526</v>
      </c>
      <c r="U111">
        <v>2.4144819455029103E-3</v>
      </c>
      <c r="V111" t="s">
        <v>162</v>
      </c>
      <c r="AK111">
        <v>2036</v>
      </c>
      <c r="AL111" t="s">
        <v>157</v>
      </c>
      <c r="AM111">
        <v>0.58050000000000002</v>
      </c>
      <c r="AN111" t="s">
        <v>510</v>
      </c>
    </row>
    <row r="112" spans="9:40" x14ac:dyDescent="0.45">
      <c r="I112" t="s">
        <v>172</v>
      </c>
      <c r="J112" t="s">
        <v>527</v>
      </c>
      <c r="K112">
        <v>5.7995199562896425E-3</v>
      </c>
      <c r="L112" t="s">
        <v>162</v>
      </c>
      <c r="N112" t="s">
        <v>284</v>
      </c>
      <c r="O112" t="s">
        <v>527</v>
      </c>
      <c r="P112">
        <v>3.5565060102214045E-2</v>
      </c>
      <c r="Q112" t="s">
        <v>162</v>
      </c>
      <c r="S112" t="s">
        <v>396</v>
      </c>
      <c r="T112" t="s">
        <v>527</v>
      </c>
      <c r="U112">
        <v>1.5197907546710031E-2</v>
      </c>
      <c r="V112" t="s">
        <v>162</v>
      </c>
      <c r="AK112">
        <v>2036</v>
      </c>
      <c r="AL112" t="s">
        <v>512</v>
      </c>
      <c r="AM112">
        <v>0.59</v>
      </c>
      <c r="AN112" t="s">
        <v>510</v>
      </c>
    </row>
    <row r="113" spans="9:40" x14ac:dyDescent="0.45">
      <c r="I113" t="s">
        <v>172</v>
      </c>
      <c r="J113" t="s">
        <v>528</v>
      </c>
      <c r="K113">
        <v>7.5127683260081402E-2</v>
      </c>
      <c r="L113" t="s">
        <v>162</v>
      </c>
      <c r="N113" t="s">
        <v>284</v>
      </c>
      <c r="O113" t="s">
        <v>528</v>
      </c>
      <c r="P113">
        <v>9.8915261071216787E-2</v>
      </c>
      <c r="Q113" t="s">
        <v>162</v>
      </c>
      <c r="S113" t="s">
        <v>396</v>
      </c>
      <c r="T113" t="s">
        <v>528</v>
      </c>
      <c r="U113">
        <v>9.0372040701216252E-2</v>
      </c>
      <c r="V113" t="s">
        <v>162</v>
      </c>
      <c r="AK113">
        <v>2036</v>
      </c>
      <c r="AL113" t="s">
        <v>514</v>
      </c>
      <c r="AM113">
        <v>0.55993333333333328</v>
      </c>
      <c r="AN113" t="s">
        <v>510</v>
      </c>
    </row>
    <row r="114" spans="9:40" x14ac:dyDescent="0.45">
      <c r="I114" t="s">
        <v>172</v>
      </c>
      <c r="J114" t="s">
        <v>529</v>
      </c>
      <c r="K114">
        <v>3.1130462864666156E-2</v>
      </c>
      <c r="L114" t="s">
        <v>162</v>
      </c>
      <c r="N114" t="s">
        <v>284</v>
      </c>
      <c r="O114" t="s">
        <v>529</v>
      </c>
      <c r="P114">
        <v>7.8846927563336923E-3</v>
      </c>
      <c r="Q114" t="s">
        <v>162</v>
      </c>
      <c r="S114" t="s">
        <v>396</v>
      </c>
      <c r="T114" t="s">
        <v>529</v>
      </c>
      <c r="U114">
        <v>8.8015572362827432E-3</v>
      </c>
      <c r="V114" t="s">
        <v>162</v>
      </c>
      <c r="AK114">
        <v>2036</v>
      </c>
      <c r="AL114" t="s">
        <v>516</v>
      </c>
      <c r="AM114">
        <v>0.58489999999999998</v>
      </c>
      <c r="AN114" t="s">
        <v>510</v>
      </c>
    </row>
    <row r="115" spans="9:40" x14ac:dyDescent="0.45">
      <c r="I115" t="s">
        <v>172</v>
      </c>
      <c r="J115" t="s">
        <v>530</v>
      </c>
      <c r="K115">
        <v>6.6841861959773943E-2</v>
      </c>
      <c r="L115" t="s">
        <v>162</v>
      </c>
      <c r="N115" t="s">
        <v>284</v>
      </c>
      <c r="O115" t="s">
        <v>530</v>
      </c>
      <c r="P115">
        <v>1.7150086085068548E-2</v>
      </c>
      <c r="Q115" t="s">
        <v>162</v>
      </c>
      <c r="S115" t="s">
        <v>396</v>
      </c>
      <c r="T115" t="s">
        <v>530</v>
      </c>
      <c r="U115">
        <v>1.7150051900628405E-2</v>
      </c>
      <c r="V115" t="s">
        <v>162</v>
      </c>
      <c r="AK115">
        <v>2036</v>
      </c>
      <c r="AL115" t="s">
        <v>518</v>
      </c>
      <c r="AM115">
        <v>0.75529999999999997</v>
      </c>
      <c r="AN115" t="s">
        <v>510</v>
      </c>
    </row>
    <row r="116" spans="9:40" x14ac:dyDescent="0.45">
      <c r="I116" t="s">
        <v>172</v>
      </c>
      <c r="J116" t="s">
        <v>531</v>
      </c>
      <c r="K116">
        <v>0.15469800294377403</v>
      </c>
      <c r="L116" t="s">
        <v>162</v>
      </c>
      <c r="N116" t="s">
        <v>284</v>
      </c>
      <c r="O116" t="s">
        <v>531</v>
      </c>
      <c r="P116">
        <v>4.3652476911579155E-2</v>
      </c>
      <c r="Q116" t="s">
        <v>162</v>
      </c>
      <c r="S116" t="s">
        <v>396</v>
      </c>
      <c r="T116" t="s">
        <v>531</v>
      </c>
      <c r="U116">
        <v>4.1824808888080302E-2</v>
      </c>
      <c r="V116" t="s">
        <v>162</v>
      </c>
      <c r="AK116">
        <v>2037</v>
      </c>
      <c r="AL116" t="s">
        <v>151</v>
      </c>
      <c r="AM116">
        <v>0.6512</v>
      </c>
      <c r="AN116" t="s">
        <v>510</v>
      </c>
    </row>
    <row r="117" spans="9:40" x14ac:dyDescent="0.45">
      <c r="I117" t="s">
        <v>172</v>
      </c>
      <c r="J117" t="s">
        <v>532</v>
      </c>
      <c r="K117">
        <v>2.3018181236170918E-2</v>
      </c>
      <c r="L117" t="s">
        <v>162</v>
      </c>
      <c r="N117" t="s">
        <v>284</v>
      </c>
      <c r="O117" t="s">
        <v>532</v>
      </c>
      <c r="P117">
        <v>7.889211347876169E-3</v>
      </c>
      <c r="Q117" t="s">
        <v>162</v>
      </c>
      <c r="S117" t="s">
        <v>396</v>
      </c>
      <c r="T117" t="s">
        <v>532</v>
      </c>
      <c r="U117">
        <v>8.681826639899512E-3</v>
      </c>
      <c r="V117" t="s">
        <v>162</v>
      </c>
      <c r="AK117">
        <v>2037</v>
      </c>
      <c r="AL117" t="s">
        <v>155</v>
      </c>
      <c r="AM117">
        <v>0.62724999999999997</v>
      </c>
      <c r="AN117" t="s">
        <v>510</v>
      </c>
    </row>
    <row r="118" spans="9:40" x14ac:dyDescent="0.45">
      <c r="I118" t="s">
        <v>172</v>
      </c>
      <c r="J118" t="s">
        <v>533</v>
      </c>
      <c r="K118">
        <v>3.4781989731509866E-2</v>
      </c>
      <c r="L118" t="s">
        <v>162</v>
      </c>
      <c r="N118" t="s">
        <v>284</v>
      </c>
      <c r="O118" t="s">
        <v>533</v>
      </c>
      <c r="P118">
        <v>6.1050623251129747E-2</v>
      </c>
      <c r="Q118" t="s">
        <v>162</v>
      </c>
      <c r="S118" t="s">
        <v>396</v>
      </c>
      <c r="T118" t="s">
        <v>533</v>
      </c>
      <c r="U118">
        <v>5.5127467495438454E-2</v>
      </c>
      <c r="V118" t="s">
        <v>162</v>
      </c>
      <c r="AK118">
        <v>2037</v>
      </c>
      <c r="AL118" t="s">
        <v>157</v>
      </c>
      <c r="AM118">
        <v>0.55069999999999997</v>
      </c>
      <c r="AN118" t="s">
        <v>510</v>
      </c>
    </row>
    <row r="119" spans="9:40" x14ac:dyDescent="0.45">
      <c r="I119" t="s">
        <v>172</v>
      </c>
      <c r="J119" t="s">
        <v>534</v>
      </c>
      <c r="K119">
        <v>2.8517632739308459E-2</v>
      </c>
      <c r="L119" t="s">
        <v>162</v>
      </c>
      <c r="N119" t="s">
        <v>284</v>
      </c>
      <c r="O119" t="s">
        <v>534</v>
      </c>
      <c r="P119">
        <v>0.13070024811255204</v>
      </c>
      <c r="Q119" t="s">
        <v>162</v>
      </c>
      <c r="S119" t="s">
        <v>396</v>
      </c>
      <c r="T119" t="s">
        <v>534</v>
      </c>
      <c r="U119">
        <v>0.12028746887417056</v>
      </c>
      <c r="V119" t="s">
        <v>162</v>
      </c>
      <c r="AK119">
        <v>2037</v>
      </c>
      <c r="AL119" t="s">
        <v>512</v>
      </c>
      <c r="AM119">
        <v>0.51</v>
      </c>
      <c r="AN119" t="s">
        <v>510</v>
      </c>
    </row>
    <row r="120" spans="9:40" x14ac:dyDescent="0.45">
      <c r="I120" t="s">
        <v>172</v>
      </c>
      <c r="J120" t="s">
        <v>535</v>
      </c>
      <c r="K120">
        <v>1.7962039489208412E-2</v>
      </c>
      <c r="L120" t="s">
        <v>162</v>
      </c>
      <c r="N120" t="s">
        <v>284</v>
      </c>
      <c r="O120" t="s">
        <v>535</v>
      </c>
      <c r="P120">
        <v>1.1516423584493573E-2</v>
      </c>
      <c r="Q120" t="s">
        <v>162</v>
      </c>
      <c r="S120" t="s">
        <v>396</v>
      </c>
      <c r="T120" t="s">
        <v>535</v>
      </c>
      <c r="U120">
        <v>1.2949168711306381E-2</v>
      </c>
      <c r="V120" t="s">
        <v>162</v>
      </c>
      <c r="AK120">
        <v>2037</v>
      </c>
      <c r="AL120" t="s">
        <v>514</v>
      </c>
      <c r="AM120">
        <v>0.48706666666666659</v>
      </c>
      <c r="AN120" t="s">
        <v>510</v>
      </c>
    </row>
    <row r="121" spans="9:40" x14ac:dyDescent="0.45">
      <c r="I121" t="s">
        <v>172</v>
      </c>
      <c r="J121" t="s">
        <v>536</v>
      </c>
      <c r="K121">
        <v>4.0988150584258969E-2</v>
      </c>
      <c r="L121" t="s">
        <v>162</v>
      </c>
      <c r="N121" t="s">
        <v>284</v>
      </c>
      <c r="O121" t="s">
        <v>536</v>
      </c>
      <c r="P121">
        <v>2.2522698536875194E-2</v>
      </c>
      <c r="Q121" t="s">
        <v>162</v>
      </c>
      <c r="S121" t="s">
        <v>396</v>
      </c>
      <c r="T121" t="s">
        <v>536</v>
      </c>
      <c r="U121">
        <v>2.4934086638397773E-2</v>
      </c>
      <c r="V121" t="s">
        <v>162</v>
      </c>
      <c r="AK121">
        <v>2037</v>
      </c>
      <c r="AL121" t="s">
        <v>516</v>
      </c>
      <c r="AM121">
        <v>0.59860000000000002</v>
      </c>
      <c r="AN121" t="s">
        <v>510</v>
      </c>
    </row>
    <row r="122" spans="9:40" x14ac:dyDescent="0.45">
      <c r="I122" t="s">
        <v>172</v>
      </c>
      <c r="J122" t="s">
        <v>537</v>
      </c>
      <c r="K122">
        <v>9.4383459681190801E-2</v>
      </c>
      <c r="L122" t="s">
        <v>162</v>
      </c>
      <c r="N122" t="s">
        <v>284</v>
      </c>
      <c r="O122" t="s">
        <v>537</v>
      </c>
      <c r="P122">
        <v>5.5811327625071121E-2</v>
      </c>
      <c r="Q122" t="s">
        <v>162</v>
      </c>
      <c r="S122" t="s">
        <v>396</v>
      </c>
      <c r="T122" t="s">
        <v>537</v>
      </c>
      <c r="U122">
        <v>6.194811588020227E-2</v>
      </c>
      <c r="V122" t="s">
        <v>162</v>
      </c>
      <c r="AK122">
        <v>2037</v>
      </c>
      <c r="AL122" t="s">
        <v>518</v>
      </c>
      <c r="AM122">
        <v>0.65239999999999998</v>
      </c>
      <c r="AN122" t="s">
        <v>510</v>
      </c>
    </row>
    <row r="123" spans="9:40" x14ac:dyDescent="0.45">
      <c r="I123" t="s">
        <v>172</v>
      </c>
      <c r="J123" t="s">
        <v>538</v>
      </c>
      <c r="K123">
        <v>1.0476217404723485E-2</v>
      </c>
      <c r="L123" t="s">
        <v>162</v>
      </c>
      <c r="N123" t="s">
        <v>284</v>
      </c>
      <c r="O123" t="s">
        <v>538</v>
      </c>
      <c r="P123">
        <v>1.1672451916126978E-2</v>
      </c>
      <c r="Q123" t="s">
        <v>162</v>
      </c>
      <c r="S123" t="s">
        <v>396</v>
      </c>
      <c r="T123" t="s">
        <v>538</v>
      </c>
      <c r="U123">
        <v>1.2714949206967554E-2</v>
      </c>
      <c r="V123" t="s">
        <v>162</v>
      </c>
      <c r="AK123">
        <v>2038</v>
      </c>
      <c r="AL123" t="s">
        <v>151</v>
      </c>
      <c r="AM123">
        <v>0.71760000000000002</v>
      </c>
      <c r="AN123" t="s">
        <v>510</v>
      </c>
    </row>
    <row r="124" spans="9:40" x14ac:dyDescent="0.45">
      <c r="I124" t="s">
        <v>172</v>
      </c>
      <c r="J124" t="s">
        <v>539</v>
      </c>
      <c r="K124">
        <v>7.7221978058287259E-3</v>
      </c>
      <c r="L124" t="s">
        <v>162</v>
      </c>
      <c r="N124" t="s">
        <v>284</v>
      </c>
      <c r="O124" t="s">
        <v>539</v>
      </c>
      <c r="P124">
        <v>9.195082884137705E-2</v>
      </c>
      <c r="Q124" t="s">
        <v>162</v>
      </c>
      <c r="S124" t="s">
        <v>396</v>
      </c>
      <c r="T124" t="s">
        <v>539</v>
      </c>
      <c r="U124">
        <v>7.711679414853044E-2</v>
      </c>
      <c r="V124" t="s">
        <v>162</v>
      </c>
      <c r="AK124">
        <v>2038</v>
      </c>
      <c r="AL124" t="s">
        <v>155</v>
      </c>
      <c r="AM124">
        <v>0.64179999999999993</v>
      </c>
      <c r="AN124" t="s">
        <v>510</v>
      </c>
    </row>
    <row r="125" spans="9:40" x14ac:dyDescent="0.45">
      <c r="I125" t="s">
        <v>172</v>
      </c>
      <c r="J125" t="s">
        <v>540</v>
      </c>
      <c r="K125">
        <v>1.1056479184620809E-3</v>
      </c>
      <c r="L125" t="s">
        <v>162</v>
      </c>
      <c r="N125" t="s">
        <v>284</v>
      </c>
      <c r="O125" t="s">
        <v>540</v>
      </c>
      <c r="P125">
        <v>3.5414812786776211E-2</v>
      </c>
      <c r="Q125" t="s">
        <v>162</v>
      </c>
      <c r="S125" t="s">
        <v>396</v>
      </c>
      <c r="T125" t="s">
        <v>540</v>
      </c>
      <c r="U125">
        <v>3.2408840882258524E-2</v>
      </c>
      <c r="V125" t="s">
        <v>162</v>
      </c>
      <c r="AK125">
        <v>2038</v>
      </c>
      <c r="AL125" t="s">
        <v>157</v>
      </c>
      <c r="AM125">
        <v>0.5141</v>
      </c>
      <c r="AN125" t="s">
        <v>510</v>
      </c>
    </row>
    <row r="126" spans="9:40" x14ac:dyDescent="0.45">
      <c r="I126" t="s">
        <v>172</v>
      </c>
      <c r="J126" t="s">
        <v>541</v>
      </c>
      <c r="K126">
        <v>3.0469952595048744E-3</v>
      </c>
      <c r="L126" t="s">
        <v>162</v>
      </c>
      <c r="N126" t="s">
        <v>284</v>
      </c>
      <c r="O126" t="s">
        <v>541</v>
      </c>
      <c r="P126">
        <v>3.2437648981062089E-3</v>
      </c>
      <c r="Q126" t="s">
        <v>162</v>
      </c>
      <c r="S126" t="s">
        <v>396</v>
      </c>
      <c r="T126" t="s">
        <v>541</v>
      </c>
      <c r="U126">
        <v>3.4506749883792529E-3</v>
      </c>
      <c r="V126" t="s">
        <v>162</v>
      </c>
      <c r="AK126">
        <v>2038</v>
      </c>
      <c r="AL126" t="s">
        <v>512</v>
      </c>
      <c r="AM126">
        <v>0.47449999999999998</v>
      </c>
      <c r="AN126" t="s">
        <v>510</v>
      </c>
    </row>
    <row r="127" spans="9:40" x14ac:dyDescent="0.45">
      <c r="I127" t="s">
        <v>172</v>
      </c>
      <c r="J127" t="s">
        <v>542</v>
      </c>
      <c r="K127">
        <v>8.7275286860790235E-3</v>
      </c>
      <c r="L127" t="s">
        <v>162</v>
      </c>
      <c r="N127" t="s">
        <v>284</v>
      </c>
      <c r="O127" t="s">
        <v>542</v>
      </c>
      <c r="P127">
        <v>5.4605447422804484E-3</v>
      </c>
      <c r="Q127" t="s">
        <v>162</v>
      </c>
      <c r="S127" t="s">
        <v>396</v>
      </c>
      <c r="T127" t="s">
        <v>542</v>
      </c>
      <c r="U127">
        <v>6.9758759646499583E-3</v>
      </c>
      <c r="V127" t="s">
        <v>162</v>
      </c>
      <c r="AK127">
        <v>2038</v>
      </c>
      <c r="AL127" t="s">
        <v>514</v>
      </c>
      <c r="AM127">
        <v>0.46226666666666666</v>
      </c>
      <c r="AN127" t="s">
        <v>510</v>
      </c>
    </row>
    <row r="128" spans="9:40" x14ac:dyDescent="0.45">
      <c r="I128" t="s">
        <v>172</v>
      </c>
      <c r="J128" t="s">
        <v>543</v>
      </c>
      <c r="K128">
        <v>1.4542217461774655E-2</v>
      </c>
      <c r="L128" t="s">
        <v>162</v>
      </c>
      <c r="N128" t="s">
        <v>284</v>
      </c>
      <c r="O128" t="s">
        <v>543</v>
      </c>
      <c r="P128">
        <v>1.4109807655948658E-2</v>
      </c>
      <c r="Q128" t="s">
        <v>162</v>
      </c>
      <c r="S128" t="s">
        <v>396</v>
      </c>
      <c r="T128" t="s">
        <v>543</v>
      </c>
      <c r="U128">
        <v>1.7962011062126589E-2</v>
      </c>
      <c r="V128" t="s">
        <v>162</v>
      </c>
      <c r="AK128">
        <v>2038</v>
      </c>
      <c r="AL128" t="s">
        <v>516</v>
      </c>
      <c r="AM128">
        <v>0.50700000000000001</v>
      </c>
      <c r="AN128" t="s">
        <v>510</v>
      </c>
    </row>
    <row r="129" spans="9:40" x14ac:dyDescent="0.45">
      <c r="I129" t="s">
        <v>172</v>
      </c>
      <c r="J129" t="s">
        <v>544</v>
      </c>
      <c r="K129">
        <v>0</v>
      </c>
      <c r="L129" t="s">
        <v>162</v>
      </c>
      <c r="N129" t="s">
        <v>284</v>
      </c>
      <c r="O129" t="s">
        <v>544</v>
      </c>
      <c r="P129">
        <v>3.7457899261583443E-3</v>
      </c>
      <c r="Q129" t="s">
        <v>162</v>
      </c>
      <c r="S129" t="s">
        <v>396</v>
      </c>
      <c r="T129" t="s">
        <v>544</v>
      </c>
      <c r="U129">
        <v>3.740624634180293E-3</v>
      </c>
      <c r="V129" t="s">
        <v>162</v>
      </c>
      <c r="AK129">
        <v>2038</v>
      </c>
      <c r="AL129" t="s">
        <v>518</v>
      </c>
      <c r="AM129">
        <v>0.60250000000000004</v>
      </c>
      <c r="AN129" t="s">
        <v>510</v>
      </c>
    </row>
    <row r="130" spans="9:40" x14ac:dyDescent="0.45">
      <c r="I130" t="s">
        <v>172</v>
      </c>
      <c r="J130" t="s">
        <v>545</v>
      </c>
      <c r="K130">
        <v>0</v>
      </c>
      <c r="L130" t="s">
        <v>162</v>
      </c>
      <c r="N130" t="s">
        <v>284</v>
      </c>
      <c r="O130" t="s">
        <v>545</v>
      </c>
      <c r="P130">
        <v>2.4048699763832632E-2</v>
      </c>
      <c r="Q130" t="s">
        <v>162</v>
      </c>
      <c r="S130" t="s">
        <v>396</v>
      </c>
      <c r="T130" t="s">
        <v>545</v>
      </c>
      <c r="U130">
        <v>2.2654507762689423E-2</v>
      </c>
      <c r="V130" t="s">
        <v>162</v>
      </c>
      <c r="AK130">
        <v>2039</v>
      </c>
      <c r="AL130" t="s">
        <v>151</v>
      </c>
      <c r="AM130">
        <v>0.77510000000000001</v>
      </c>
      <c r="AN130" t="s">
        <v>510</v>
      </c>
    </row>
    <row r="131" spans="9:40" x14ac:dyDescent="0.45">
      <c r="I131" t="s">
        <v>172</v>
      </c>
      <c r="J131" t="s">
        <v>546</v>
      </c>
      <c r="K131">
        <v>2.2611123396700061E-7</v>
      </c>
      <c r="L131" t="s">
        <v>162</v>
      </c>
      <c r="N131" t="s">
        <v>284</v>
      </c>
      <c r="O131" t="s">
        <v>546</v>
      </c>
      <c r="P131">
        <v>1.9081224314785178E-2</v>
      </c>
      <c r="Q131" t="s">
        <v>162</v>
      </c>
      <c r="S131" t="s">
        <v>396</v>
      </c>
      <c r="T131" t="s">
        <v>546</v>
      </c>
      <c r="U131">
        <v>2.9299260194289155E-2</v>
      </c>
      <c r="V131" t="s">
        <v>162</v>
      </c>
      <c r="AK131">
        <v>2039</v>
      </c>
      <c r="AL131" t="s">
        <v>155</v>
      </c>
      <c r="AM131">
        <v>0.70689999999999997</v>
      </c>
      <c r="AN131" t="s">
        <v>510</v>
      </c>
    </row>
    <row r="132" spans="9:40" x14ac:dyDescent="0.45">
      <c r="I132" t="s">
        <v>172</v>
      </c>
      <c r="J132" t="s">
        <v>547</v>
      </c>
      <c r="K132">
        <v>3.2716442048298564E-3</v>
      </c>
      <c r="L132" t="s">
        <v>162</v>
      </c>
      <c r="N132" t="s">
        <v>284</v>
      </c>
      <c r="O132" t="s">
        <v>547</v>
      </c>
      <c r="P132">
        <v>2.5865315146867073E-3</v>
      </c>
      <c r="Q132" t="s">
        <v>162</v>
      </c>
      <c r="S132" t="s">
        <v>396</v>
      </c>
      <c r="T132" t="s">
        <v>547</v>
      </c>
      <c r="U132">
        <v>3.1187907701673047E-3</v>
      </c>
      <c r="V132" t="s">
        <v>162</v>
      </c>
      <c r="AK132">
        <v>2039</v>
      </c>
      <c r="AL132" t="s">
        <v>157</v>
      </c>
      <c r="AM132">
        <v>0.64119999999999999</v>
      </c>
      <c r="AN132" t="s">
        <v>510</v>
      </c>
    </row>
    <row r="133" spans="9:40" x14ac:dyDescent="0.45">
      <c r="I133" t="s">
        <v>172</v>
      </c>
      <c r="J133" t="s">
        <v>548</v>
      </c>
      <c r="K133">
        <v>1.1583210760830348E-2</v>
      </c>
      <c r="L133" t="s">
        <v>162</v>
      </c>
      <c r="N133" t="s">
        <v>284</v>
      </c>
      <c r="O133" t="s">
        <v>548</v>
      </c>
      <c r="P133">
        <v>4.9386370621766189E-3</v>
      </c>
      <c r="Q133" t="s">
        <v>162</v>
      </c>
      <c r="S133" t="s">
        <v>396</v>
      </c>
      <c r="T133" t="s">
        <v>548</v>
      </c>
      <c r="U133">
        <v>6.2430884551477059E-3</v>
      </c>
      <c r="V133" t="s">
        <v>162</v>
      </c>
      <c r="AK133">
        <v>2039</v>
      </c>
      <c r="AL133" t="s">
        <v>512</v>
      </c>
      <c r="AM133">
        <v>0.52710000000000001</v>
      </c>
      <c r="AN133" t="s">
        <v>510</v>
      </c>
    </row>
    <row r="134" spans="9:40" x14ac:dyDescent="0.45">
      <c r="I134" t="s">
        <v>172</v>
      </c>
      <c r="J134" t="s">
        <v>549</v>
      </c>
      <c r="K134">
        <v>2.2445833857555528E-2</v>
      </c>
      <c r="L134" t="s">
        <v>162</v>
      </c>
      <c r="N134" t="s">
        <v>284</v>
      </c>
      <c r="O134" t="s">
        <v>549</v>
      </c>
      <c r="P134">
        <v>1.1912895531265238E-2</v>
      </c>
      <c r="Q134" t="s">
        <v>162</v>
      </c>
      <c r="S134" t="s">
        <v>396</v>
      </c>
      <c r="T134" t="s">
        <v>549</v>
      </c>
      <c r="U134">
        <v>1.6288817874059055E-2</v>
      </c>
      <c r="V134" t="s">
        <v>162</v>
      </c>
      <c r="AK134">
        <v>2039</v>
      </c>
      <c r="AL134" t="s">
        <v>514</v>
      </c>
      <c r="AM134">
        <v>0.57223333333333326</v>
      </c>
      <c r="AN134" t="s">
        <v>510</v>
      </c>
    </row>
    <row r="135" spans="9:40" x14ac:dyDescent="0.45">
      <c r="I135" t="s">
        <v>172</v>
      </c>
      <c r="J135" t="s">
        <v>550</v>
      </c>
      <c r="K135">
        <v>0</v>
      </c>
      <c r="L135" t="s">
        <v>162</v>
      </c>
      <c r="N135" t="s">
        <v>284</v>
      </c>
      <c r="O135" t="s">
        <v>550</v>
      </c>
      <c r="P135">
        <v>2.8633689010266173E-3</v>
      </c>
      <c r="Q135" t="s">
        <v>162</v>
      </c>
      <c r="S135" t="s">
        <v>396</v>
      </c>
      <c r="T135" t="s">
        <v>550</v>
      </c>
      <c r="U135">
        <v>3.4020715695557706E-3</v>
      </c>
      <c r="V135" t="s">
        <v>162</v>
      </c>
      <c r="AK135">
        <v>2039</v>
      </c>
      <c r="AL135" t="s">
        <v>516</v>
      </c>
      <c r="AM135">
        <v>0.63229999999999997</v>
      </c>
      <c r="AN135" t="s">
        <v>510</v>
      </c>
    </row>
    <row r="136" spans="9:40" x14ac:dyDescent="0.45">
      <c r="I136" t="s">
        <v>172</v>
      </c>
      <c r="J136" t="s">
        <v>551</v>
      </c>
      <c r="K136">
        <v>0</v>
      </c>
      <c r="L136" t="s">
        <v>162</v>
      </c>
      <c r="N136" t="s">
        <v>284</v>
      </c>
      <c r="O136" t="s">
        <v>551</v>
      </c>
      <c r="P136">
        <v>1.5562203304514693E-2</v>
      </c>
      <c r="Q136" t="s">
        <v>162</v>
      </c>
      <c r="S136" t="s">
        <v>396</v>
      </c>
      <c r="T136" t="s">
        <v>551</v>
      </c>
      <c r="U136">
        <v>1.977313627829964E-2</v>
      </c>
      <c r="V136" t="s">
        <v>162</v>
      </c>
      <c r="AK136">
        <v>2039</v>
      </c>
      <c r="AL136" t="s">
        <v>518</v>
      </c>
      <c r="AM136">
        <v>0.68730000000000002</v>
      </c>
      <c r="AN136" t="s">
        <v>510</v>
      </c>
    </row>
    <row r="137" spans="9:40" x14ac:dyDescent="0.45">
      <c r="I137" t="s">
        <v>173</v>
      </c>
      <c r="J137" t="s">
        <v>161</v>
      </c>
      <c r="K137">
        <v>2.1757222193697651E-3</v>
      </c>
      <c r="L137" t="s">
        <v>162</v>
      </c>
      <c r="N137" t="s">
        <v>285</v>
      </c>
      <c r="O137" t="s">
        <v>161</v>
      </c>
      <c r="P137">
        <v>3.1573230399865829E-2</v>
      </c>
      <c r="Q137" t="s">
        <v>162</v>
      </c>
      <c r="S137" t="s">
        <v>397</v>
      </c>
      <c r="T137" t="s">
        <v>161</v>
      </c>
      <c r="U137">
        <v>2.6356215127125916E-2</v>
      </c>
      <c r="V137" t="s">
        <v>162</v>
      </c>
      <c r="AK137">
        <v>2040</v>
      </c>
      <c r="AL137" t="s">
        <v>151</v>
      </c>
      <c r="AM137">
        <v>0.6694</v>
      </c>
      <c r="AN137" t="s">
        <v>510</v>
      </c>
    </row>
    <row r="138" spans="9:40" x14ac:dyDescent="0.45">
      <c r="I138" t="s">
        <v>173</v>
      </c>
      <c r="J138" t="s">
        <v>163</v>
      </c>
      <c r="K138">
        <v>5.4185069087794996E-3</v>
      </c>
      <c r="L138" t="s">
        <v>162</v>
      </c>
      <c r="N138" t="s">
        <v>285</v>
      </c>
      <c r="O138" t="s">
        <v>163</v>
      </c>
      <c r="P138">
        <v>2.9658352862803592E-3</v>
      </c>
      <c r="Q138" t="s">
        <v>162</v>
      </c>
      <c r="S138" t="s">
        <v>397</v>
      </c>
      <c r="T138" t="s">
        <v>163</v>
      </c>
      <c r="U138">
        <v>3.0238148605820675E-3</v>
      </c>
      <c r="V138" t="s">
        <v>162</v>
      </c>
      <c r="AK138">
        <v>2040</v>
      </c>
      <c r="AL138" t="s">
        <v>155</v>
      </c>
      <c r="AM138">
        <v>0.63095000000000001</v>
      </c>
      <c r="AN138" t="s">
        <v>510</v>
      </c>
    </row>
    <row r="139" spans="9:40" x14ac:dyDescent="0.45">
      <c r="I139" t="s">
        <v>173</v>
      </c>
      <c r="J139" t="s">
        <v>164</v>
      </c>
      <c r="K139">
        <v>1.4927940259867141E-2</v>
      </c>
      <c r="L139" t="s">
        <v>162</v>
      </c>
      <c r="N139" t="s">
        <v>285</v>
      </c>
      <c r="O139" t="s">
        <v>164</v>
      </c>
      <c r="P139">
        <v>4.9020202235828215E-3</v>
      </c>
      <c r="Q139" t="s">
        <v>162</v>
      </c>
      <c r="S139" t="s">
        <v>397</v>
      </c>
      <c r="T139" t="s">
        <v>164</v>
      </c>
      <c r="U139">
        <v>5.9949312854747621E-3</v>
      </c>
      <c r="V139" t="s">
        <v>162</v>
      </c>
      <c r="AK139">
        <v>2040</v>
      </c>
      <c r="AL139" t="s">
        <v>157</v>
      </c>
      <c r="AM139">
        <v>0.4718</v>
      </c>
      <c r="AN139" t="s">
        <v>510</v>
      </c>
    </row>
    <row r="140" spans="9:40" x14ac:dyDescent="0.45">
      <c r="I140" t="s">
        <v>173</v>
      </c>
      <c r="J140" t="s">
        <v>519</v>
      </c>
      <c r="K140">
        <v>2.8781365276014322E-2</v>
      </c>
      <c r="L140" t="s">
        <v>162</v>
      </c>
      <c r="N140" t="s">
        <v>285</v>
      </c>
      <c r="O140" t="s">
        <v>519</v>
      </c>
      <c r="P140">
        <v>8.3852192457250525E-3</v>
      </c>
      <c r="Q140" t="s">
        <v>162</v>
      </c>
      <c r="S140" t="s">
        <v>397</v>
      </c>
      <c r="T140" t="s">
        <v>519</v>
      </c>
      <c r="U140">
        <v>1.5068820152799351E-2</v>
      </c>
      <c r="V140" t="s">
        <v>162</v>
      </c>
      <c r="AK140">
        <v>2040</v>
      </c>
      <c r="AL140" t="s">
        <v>512</v>
      </c>
      <c r="AM140">
        <v>0.48456666666666665</v>
      </c>
      <c r="AN140" t="s">
        <v>510</v>
      </c>
    </row>
    <row r="141" spans="9:40" x14ac:dyDescent="0.45">
      <c r="I141" t="s">
        <v>173</v>
      </c>
      <c r="J141" t="s">
        <v>520</v>
      </c>
      <c r="K141">
        <v>0</v>
      </c>
      <c r="L141" t="s">
        <v>162</v>
      </c>
      <c r="N141" t="s">
        <v>285</v>
      </c>
      <c r="O141" t="s">
        <v>520</v>
      </c>
      <c r="P141">
        <v>2.0622532818650105E-3</v>
      </c>
      <c r="Q141" t="s">
        <v>162</v>
      </c>
      <c r="S141" t="s">
        <v>397</v>
      </c>
      <c r="T141" t="s">
        <v>520</v>
      </c>
      <c r="U141">
        <v>2.8842107058922747E-3</v>
      </c>
      <c r="V141" t="s">
        <v>162</v>
      </c>
      <c r="AK141">
        <v>2040</v>
      </c>
      <c r="AL141" t="s">
        <v>514</v>
      </c>
      <c r="AM141">
        <v>0.49336666666666668</v>
      </c>
      <c r="AN141" t="s">
        <v>510</v>
      </c>
    </row>
    <row r="142" spans="9:40" x14ac:dyDescent="0.45">
      <c r="I142" t="s">
        <v>173</v>
      </c>
      <c r="J142" t="s">
        <v>521</v>
      </c>
      <c r="K142">
        <v>0</v>
      </c>
      <c r="L142" t="s">
        <v>162</v>
      </c>
      <c r="N142" t="s">
        <v>285</v>
      </c>
      <c r="O142" t="s">
        <v>521</v>
      </c>
      <c r="P142">
        <v>1.4611675812851565E-2</v>
      </c>
      <c r="Q142" t="s">
        <v>162</v>
      </c>
      <c r="S142" t="s">
        <v>397</v>
      </c>
      <c r="T142" t="s">
        <v>521</v>
      </c>
      <c r="U142">
        <v>1.6431875801784342E-2</v>
      </c>
      <c r="V142" t="s">
        <v>162</v>
      </c>
      <c r="AK142">
        <v>2040</v>
      </c>
      <c r="AL142" t="s">
        <v>516</v>
      </c>
      <c r="AM142">
        <v>0.51990000000000003</v>
      </c>
      <c r="AN142" t="s">
        <v>510</v>
      </c>
    </row>
    <row r="143" spans="9:40" x14ac:dyDescent="0.45">
      <c r="I143" t="s">
        <v>173</v>
      </c>
      <c r="J143" t="s">
        <v>165</v>
      </c>
      <c r="K143">
        <v>2.0446087636883211E-2</v>
      </c>
      <c r="L143" t="s">
        <v>162</v>
      </c>
      <c r="N143" t="s">
        <v>285</v>
      </c>
      <c r="O143" t="s">
        <v>165</v>
      </c>
      <c r="P143">
        <v>5.4653227432102568E-2</v>
      </c>
      <c r="Q143" t="s">
        <v>162</v>
      </c>
      <c r="S143" t="s">
        <v>397</v>
      </c>
      <c r="T143" t="s">
        <v>165</v>
      </c>
      <c r="U143">
        <v>6.5315019997575052E-2</v>
      </c>
      <c r="V143" t="s">
        <v>162</v>
      </c>
      <c r="AK143">
        <v>2040</v>
      </c>
      <c r="AL143" t="s">
        <v>518</v>
      </c>
      <c r="AM143">
        <v>0.59309999999999996</v>
      </c>
      <c r="AN143" t="s">
        <v>510</v>
      </c>
    </row>
    <row r="144" spans="9:40" x14ac:dyDescent="0.45">
      <c r="I144" t="s">
        <v>173</v>
      </c>
      <c r="J144" t="s">
        <v>166</v>
      </c>
      <c r="K144">
        <v>1.6830524269969879E-2</v>
      </c>
      <c r="L144" t="s">
        <v>162</v>
      </c>
      <c r="N144" t="s">
        <v>285</v>
      </c>
      <c r="O144" t="s">
        <v>166</v>
      </c>
      <c r="P144">
        <v>3.9679654568462895E-3</v>
      </c>
      <c r="Q144" t="s">
        <v>162</v>
      </c>
      <c r="S144" t="s">
        <v>397</v>
      </c>
      <c r="T144" t="s">
        <v>166</v>
      </c>
      <c r="U144">
        <v>7.4285141575705024E-3</v>
      </c>
      <c r="V144" t="s">
        <v>162</v>
      </c>
      <c r="AK144">
        <v>2041</v>
      </c>
      <c r="AL144" t="s">
        <v>151</v>
      </c>
      <c r="AM144">
        <v>0.68159999999999998</v>
      </c>
      <c r="AN144" t="s">
        <v>510</v>
      </c>
    </row>
    <row r="145" spans="9:40" x14ac:dyDescent="0.45">
      <c r="I145" t="s">
        <v>173</v>
      </c>
      <c r="J145" t="s">
        <v>167</v>
      </c>
      <c r="K145">
        <v>3.7736523617726739E-2</v>
      </c>
      <c r="L145" t="s">
        <v>162</v>
      </c>
      <c r="N145" t="s">
        <v>285</v>
      </c>
      <c r="O145" t="s">
        <v>167</v>
      </c>
      <c r="P145">
        <v>6.0990057248427017E-3</v>
      </c>
      <c r="Q145" t="s">
        <v>162</v>
      </c>
      <c r="S145" t="s">
        <v>397</v>
      </c>
      <c r="T145" t="s">
        <v>167</v>
      </c>
      <c r="U145">
        <v>1.495075282416773E-2</v>
      </c>
      <c r="V145" t="s">
        <v>162</v>
      </c>
      <c r="AK145">
        <v>2041</v>
      </c>
      <c r="AL145" t="s">
        <v>155</v>
      </c>
      <c r="AM145">
        <v>0.59370000000000001</v>
      </c>
      <c r="AN145" t="s">
        <v>510</v>
      </c>
    </row>
    <row r="146" spans="9:40" x14ac:dyDescent="0.45">
      <c r="I146" t="s">
        <v>173</v>
      </c>
      <c r="J146" t="s">
        <v>522</v>
      </c>
      <c r="K146">
        <v>8.3602247457122095E-2</v>
      </c>
      <c r="L146" t="s">
        <v>162</v>
      </c>
      <c r="N146" t="s">
        <v>285</v>
      </c>
      <c r="O146" t="s">
        <v>522</v>
      </c>
      <c r="P146">
        <v>1.5795363280656245E-2</v>
      </c>
      <c r="Q146" t="s">
        <v>162</v>
      </c>
      <c r="S146" t="s">
        <v>397</v>
      </c>
      <c r="T146" t="s">
        <v>522</v>
      </c>
      <c r="U146">
        <v>3.6743476300049149E-2</v>
      </c>
      <c r="V146" t="s">
        <v>162</v>
      </c>
      <c r="AK146">
        <v>2041</v>
      </c>
      <c r="AL146" t="s">
        <v>157</v>
      </c>
      <c r="AM146">
        <v>0.57389999999999997</v>
      </c>
      <c r="AN146" t="s">
        <v>510</v>
      </c>
    </row>
    <row r="147" spans="9:40" x14ac:dyDescent="0.45">
      <c r="I147" t="s">
        <v>173</v>
      </c>
      <c r="J147" t="s">
        <v>523</v>
      </c>
      <c r="K147">
        <v>7.0630834080620897E-3</v>
      </c>
      <c r="L147" t="s">
        <v>162</v>
      </c>
      <c r="N147" t="s">
        <v>285</v>
      </c>
      <c r="O147" t="s">
        <v>523</v>
      </c>
      <c r="P147">
        <v>5.3368695304592357E-3</v>
      </c>
      <c r="Q147" t="s">
        <v>162</v>
      </c>
      <c r="S147" t="s">
        <v>397</v>
      </c>
      <c r="T147" t="s">
        <v>523</v>
      </c>
      <c r="U147">
        <v>7.3637624709803366E-3</v>
      </c>
      <c r="V147" t="s">
        <v>162</v>
      </c>
      <c r="AK147">
        <v>2041</v>
      </c>
      <c r="AL147" t="s">
        <v>512</v>
      </c>
      <c r="AM147">
        <v>0.49090000000000006</v>
      </c>
      <c r="AN147" t="s">
        <v>510</v>
      </c>
    </row>
    <row r="148" spans="9:40" x14ac:dyDescent="0.45">
      <c r="I148" t="s">
        <v>173</v>
      </c>
      <c r="J148" t="s">
        <v>524</v>
      </c>
      <c r="K148">
        <v>9.9447034454565862E-4</v>
      </c>
      <c r="L148" t="s">
        <v>162</v>
      </c>
      <c r="N148" t="s">
        <v>285</v>
      </c>
      <c r="O148" t="s">
        <v>524</v>
      </c>
      <c r="P148">
        <v>4.4344788692843147E-2</v>
      </c>
      <c r="Q148" t="s">
        <v>162</v>
      </c>
      <c r="S148" t="s">
        <v>397</v>
      </c>
      <c r="T148" t="s">
        <v>524</v>
      </c>
      <c r="U148">
        <v>4.5126655701779934E-2</v>
      </c>
      <c r="V148" t="s">
        <v>162</v>
      </c>
      <c r="AK148">
        <v>2041</v>
      </c>
      <c r="AL148" t="s">
        <v>514</v>
      </c>
      <c r="AM148">
        <v>0.48353333333333332</v>
      </c>
      <c r="AN148" t="s">
        <v>510</v>
      </c>
    </row>
    <row r="149" spans="9:40" x14ac:dyDescent="0.45">
      <c r="I149" t="s">
        <v>173</v>
      </c>
      <c r="J149" t="s">
        <v>168</v>
      </c>
      <c r="K149">
        <v>2.6008681038957898E-2</v>
      </c>
      <c r="L149" t="s">
        <v>162</v>
      </c>
      <c r="N149" t="s">
        <v>285</v>
      </c>
      <c r="O149" t="s">
        <v>168</v>
      </c>
      <c r="P149">
        <v>4.9240901128602466E-2</v>
      </c>
      <c r="Q149" t="s">
        <v>162</v>
      </c>
      <c r="S149" t="s">
        <v>397</v>
      </c>
      <c r="T149" t="s">
        <v>168</v>
      </c>
      <c r="U149">
        <v>2.4644673547185213E-2</v>
      </c>
      <c r="V149" t="s">
        <v>162</v>
      </c>
      <c r="AK149">
        <v>2041</v>
      </c>
      <c r="AL149" t="s">
        <v>516</v>
      </c>
      <c r="AM149">
        <v>0.54059999999999997</v>
      </c>
      <c r="AN149" t="s">
        <v>510</v>
      </c>
    </row>
    <row r="150" spans="9:40" x14ac:dyDescent="0.45">
      <c r="I150" t="s">
        <v>173</v>
      </c>
      <c r="J150" t="s">
        <v>169</v>
      </c>
      <c r="K150">
        <v>1.1838928794829763E-2</v>
      </c>
      <c r="L150" t="s">
        <v>162</v>
      </c>
      <c r="N150" t="s">
        <v>285</v>
      </c>
      <c r="O150" t="s">
        <v>169</v>
      </c>
      <c r="P150">
        <v>3.6060177250012396E-3</v>
      </c>
      <c r="Q150" t="s">
        <v>162</v>
      </c>
      <c r="S150" t="s">
        <v>397</v>
      </c>
      <c r="T150" t="s">
        <v>169</v>
      </c>
      <c r="U150">
        <v>2.7842196577815789E-3</v>
      </c>
      <c r="V150" t="s">
        <v>162</v>
      </c>
      <c r="AK150">
        <v>2041</v>
      </c>
      <c r="AL150" t="s">
        <v>518</v>
      </c>
      <c r="AM150">
        <v>0.60719999999999996</v>
      </c>
      <c r="AN150" t="s">
        <v>510</v>
      </c>
    </row>
    <row r="151" spans="9:40" x14ac:dyDescent="0.45">
      <c r="I151" t="s">
        <v>173</v>
      </c>
      <c r="J151" t="s">
        <v>170</v>
      </c>
      <c r="K151">
        <v>2.4810981802423564E-2</v>
      </c>
      <c r="L151" t="s">
        <v>162</v>
      </c>
      <c r="N151" t="s">
        <v>285</v>
      </c>
      <c r="O151" t="s">
        <v>170</v>
      </c>
      <c r="P151">
        <v>8.4006500108065648E-3</v>
      </c>
      <c r="Q151" t="s">
        <v>162</v>
      </c>
      <c r="S151" t="s">
        <v>397</v>
      </c>
      <c r="T151" t="s">
        <v>170</v>
      </c>
      <c r="U151">
        <v>5.5250365640388092E-3</v>
      </c>
      <c r="V151" t="s">
        <v>162</v>
      </c>
      <c r="AK151">
        <v>2042</v>
      </c>
      <c r="AL151" t="s">
        <v>151</v>
      </c>
      <c r="AM151">
        <v>0.60729999999999995</v>
      </c>
      <c r="AN151" t="s">
        <v>510</v>
      </c>
    </row>
    <row r="152" spans="9:40" x14ac:dyDescent="0.45">
      <c r="I152" t="s">
        <v>173</v>
      </c>
      <c r="J152" t="s">
        <v>525</v>
      </c>
      <c r="K152">
        <v>5.8616152931691076E-2</v>
      </c>
      <c r="L152" t="s">
        <v>162</v>
      </c>
      <c r="N152" t="s">
        <v>285</v>
      </c>
      <c r="O152" t="s">
        <v>525</v>
      </c>
      <c r="P152">
        <v>2.3695077289350702E-2</v>
      </c>
      <c r="Q152" t="s">
        <v>162</v>
      </c>
      <c r="S152" t="s">
        <v>397</v>
      </c>
      <c r="T152" t="s">
        <v>525</v>
      </c>
      <c r="U152">
        <v>1.4342030883414176E-2</v>
      </c>
      <c r="V152" t="s">
        <v>162</v>
      </c>
      <c r="AK152">
        <v>2042</v>
      </c>
      <c r="AL152" t="s">
        <v>155</v>
      </c>
      <c r="AM152">
        <v>0.66284999999999994</v>
      </c>
      <c r="AN152" t="s">
        <v>510</v>
      </c>
    </row>
    <row r="153" spans="9:40" x14ac:dyDescent="0.45">
      <c r="I153" t="s">
        <v>173</v>
      </c>
      <c r="J153" t="s">
        <v>526</v>
      </c>
      <c r="K153">
        <v>7.9779546030346905E-3</v>
      </c>
      <c r="L153" t="s">
        <v>162</v>
      </c>
      <c r="N153" t="s">
        <v>285</v>
      </c>
      <c r="O153" t="s">
        <v>526</v>
      </c>
      <c r="P153">
        <v>4.3271152842720186E-3</v>
      </c>
      <c r="Q153" t="s">
        <v>162</v>
      </c>
      <c r="S153" t="s">
        <v>397</v>
      </c>
      <c r="T153" t="s">
        <v>526</v>
      </c>
      <c r="U153">
        <v>3.0993016120461391E-3</v>
      </c>
      <c r="V153" t="s">
        <v>162</v>
      </c>
      <c r="AK153">
        <v>2042</v>
      </c>
      <c r="AL153" t="s">
        <v>157</v>
      </c>
      <c r="AM153">
        <v>0.55320000000000003</v>
      </c>
      <c r="AN153" t="s">
        <v>510</v>
      </c>
    </row>
    <row r="154" spans="9:40" x14ac:dyDescent="0.45">
      <c r="I154" t="s">
        <v>173</v>
      </c>
      <c r="J154" t="s">
        <v>527</v>
      </c>
      <c r="K154">
        <v>5.18977971626921E-3</v>
      </c>
      <c r="L154" t="s">
        <v>162</v>
      </c>
      <c r="N154" t="s">
        <v>285</v>
      </c>
      <c r="O154" t="s">
        <v>527</v>
      </c>
      <c r="P154">
        <v>3.7335671281215566E-2</v>
      </c>
      <c r="Q154" t="s">
        <v>162</v>
      </c>
      <c r="S154" t="s">
        <v>397</v>
      </c>
      <c r="T154" t="s">
        <v>527</v>
      </c>
      <c r="U154">
        <v>1.8509947975345806E-2</v>
      </c>
      <c r="V154" t="s">
        <v>162</v>
      </c>
      <c r="AK154">
        <v>2042</v>
      </c>
      <c r="AL154" t="s">
        <v>512</v>
      </c>
      <c r="AM154">
        <v>0.50103333333333333</v>
      </c>
      <c r="AN154" t="s">
        <v>510</v>
      </c>
    </row>
    <row r="155" spans="9:40" x14ac:dyDescent="0.45">
      <c r="I155" t="s">
        <v>173</v>
      </c>
      <c r="J155" t="s">
        <v>528</v>
      </c>
      <c r="K155">
        <v>8.7083835308205806E-2</v>
      </c>
      <c r="L155" t="s">
        <v>162</v>
      </c>
      <c r="N155" t="s">
        <v>285</v>
      </c>
      <c r="O155" t="s">
        <v>528</v>
      </c>
      <c r="P155">
        <v>9.4537710518158596E-2</v>
      </c>
      <c r="Q155" t="s">
        <v>162</v>
      </c>
      <c r="S155" t="s">
        <v>397</v>
      </c>
      <c r="T155" t="s">
        <v>528</v>
      </c>
      <c r="U155">
        <v>7.3523410154036364E-2</v>
      </c>
      <c r="V155" t="s">
        <v>162</v>
      </c>
      <c r="AK155">
        <v>2042</v>
      </c>
      <c r="AL155" t="s">
        <v>514</v>
      </c>
      <c r="AM155">
        <v>0.44273333333333337</v>
      </c>
      <c r="AN155" t="s">
        <v>510</v>
      </c>
    </row>
    <row r="156" spans="9:40" x14ac:dyDescent="0.45">
      <c r="I156" t="s">
        <v>173</v>
      </c>
      <c r="J156" t="s">
        <v>529</v>
      </c>
      <c r="K156">
        <v>3.1052561782654649E-2</v>
      </c>
      <c r="L156" t="s">
        <v>162</v>
      </c>
      <c r="N156" t="s">
        <v>285</v>
      </c>
      <c r="O156" t="s">
        <v>529</v>
      </c>
      <c r="P156">
        <v>6.895660590873977E-3</v>
      </c>
      <c r="Q156" t="s">
        <v>162</v>
      </c>
      <c r="S156" t="s">
        <v>397</v>
      </c>
      <c r="T156" t="s">
        <v>529</v>
      </c>
      <c r="U156">
        <v>7.043085743162294E-3</v>
      </c>
      <c r="V156" t="s">
        <v>162</v>
      </c>
      <c r="AK156">
        <v>2042</v>
      </c>
      <c r="AL156" t="s">
        <v>516</v>
      </c>
      <c r="AM156">
        <v>0.53349999999999997</v>
      </c>
      <c r="AN156" t="s">
        <v>510</v>
      </c>
    </row>
    <row r="157" spans="9:40" x14ac:dyDescent="0.45">
      <c r="I157" t="s">
        <v>173</v>
      </c>
      <c r="J157" t="s">
        <v>530</v>
      </c>
      <c r="K157">
        <v>6.3662240363028075E-2</v>
      </c>
      <c r="L157" t="s">
        <v>162</v>
      </c>
      <c r="N157" t="s">
        <v>285</v>
      </c>
      <c r="O157" t="s">
        <v>530</v>
      </c>
      <c r="P157">
        <v>1.5848650220366127E-2</v>
      </c>
      <c r="Q157" t="s">
        <v>162</v>
      </c>
      <c r="S157" t="s">
        <v>397</v>
      </c>
      <c r="T157" t="s">
        <v>530</v>
      </c>
      <c r="U157">
        <v>1.4271885502098406E-2</v>
      </c>
      <c r="V157" t="s">
        <v>162</v>
      </c>
      <c r="AK157">
        <v>2042</v>
      </c>
      <c r="AL157" t="s">
        <v>518</v>
      </c>
      <c r="AM157">
        <v>0.62680000000000002</v>
      </c>
      <c r="AN157" t="s">
        <v>510</v>
      </c>
    </row>
    <row r="158" spans="9:40" x14ac:dyDescent="0.45">
      <c r="I158" t="s">
        <v>173</v>
      </c>
      <c r="J158" t="s">
        <v>531</v>
      </c>
      <c r="K158">
        <v>0.14251073919466584</v>
      </c>
      <c r="L158" t="s">
        <v>162</v>
      </c>
      <c r="N158" t="s">
        <v>285</v>
      </c>
      <c r="O158" t="s">
        <v>531</v>
      </c>
      <c r="P158">
        <v>4.2220570654917397E-2</v>
      </c>
      <c r="Q158" t="s">
        <v>162</v>
      </c>
      <c r="S158" t="s">
        <v>397</v>
      </c>
      <c r="T158" t="s">
        <v>531</v>
      </c>
      <c r="U158">
        <v>3.720683263938962E-2</v>
      </c>
      <c r="V158" t="s">
        <v>162</v>
      </c>
      <c r="AK158">
        <v>2043</v>
      </c>
      <c r="AL158" t="s">
        <v>151</v>
      </c>
      <c r="AM158">
        <v>0.64259999999999995</v>
      </c>
      <c r="AN158" t="s">
        <v>510</v>
      </c>
    </row>
    <row r="159" spans="9:40" x14ac:dyDescent="0.45">
      <c r="I159" t="s">
        <v>173</v>
      </c>
      <c r="J159" t="s">
        <v>532</v>
      </c>
      <c r="K159">
        <v>1.9538626918886987E-2</v>
      </c>
      <c r="L159" t="s">
        <v>162</v>
      </c>
      <c r="N159" t="s">
        <v>285</v>
      </c>
      <c r="O159" t="s">
        <v>532</v>
      </c>
      <c r="P159">
        <v>7.5686907678817628E-3</v>
      </c>
      <c r="Q159" t="s">
        <v>162</v>
      </c>
      <c r="S159" t="s">
        <v>397</v>
      </c>
      <c r="T159" t="s">
        <v>532</v>
      </c>
      <c r="U159">
        <v>7.8637427380323158E-3</v>
      </c>
      <c r="V159" t="s">
        <v>162</v>
      </c>
      <c r="AK159">
        <v>2043</v>
      </c>
      <c r="AL159" t="s">
        <v>155</v>
      </c>
      <c r="AM159">
        <v>0.61304999999999998</v>
      </c>
      <c r="AN159" t="s">
        <v>510</v>
      </c>
    </row>
    <row r="160" spans="9:40" x14ac:dyDescent="0.45">
      <c r="I160" t="s">
        <v>173</v>
      </c>
      <c r="J160" t="s">
        <v>533</v>
      </c>
      <c r="K160">
        <v>2.4231580803414317E-2</v>
      </c>
      <c r="L160" t="s">
        <v>162</v>
      </c>
      <c r="N160" t="s">
        <v>285</v>
      </c>
      <c r="O160" t="s">
        <v>533</v>
      </c>
      <c r="P160">
        <v>6.5851786448923796E-2</v>
      </c>
      <c r="Q160" t="s">
        <v>162</v>
      </c>
      <c r="S160" t="s">
        <v>397</v>
      </c>
      <c r="T160" t="s">
        <v>533</v>
      </c>
      <c r="U160">
        <v>5.1643190216894619E-2</v>
      </c>
      <c r="V160" t="s">
        <v>162</v>
      </c>
      <c r="AK160">
        <v>2043</v>
      </c>
      <c r="AL160" t="s">
        <v>157</v>
      </c>
      <c r="AM160">
        <v>0.5706</v>
      </c>
      <c r="AN160" t="s">
        <v>510</v>
      </c>
    </row>
    <row r="161" spans="9:40" x14ac:dyDescent="0.45">
      <c r="I161" t="s">
        <v>173</v>
      </c>
      <c r="J161" t="s">
        <v>534</v>
      </c>
      <c r="K161">
        <v>3.8401109081986469E-2</v>
      </c>
      <c r="L161" t="s">
        <v>162</v>
      </c>
      <c r="N161" t="s">
        <v>285</v>
      </c>
      <c r="O161" t="s">
        <v>534</v>
      </c>
      <c r="P161">
        <v>0.12188968278834823</v>
      </c>
      <c r="Q161" t="s">
        <v>162</v>
      </c>
      <c r="S161" t="s">
        <v>397</v>
      </c>
      <c r="T161" t="s">
        <v>534</v>
      </c>
      <c r="U161">
        <v>0.12391866967491755</v>
      </c>
      <c r="V161" t="s">
        <v>162</v>
      </c>
      <c r="AK161">
        <v>2043</v>
      </c>
      <c r="AL161" t="s">
        <v>512</v>
      </c>
      <c r="AM161">
        <v>0.47199999999999998</v>
      </c>
      <c r="AN161" t="s">
        <v>510</v>
      </c>
    </row>
    <row r="162" spans="9:40" x14ac:dyDescent="0.45">
      <c r="I162" t="s">
        <v>173</v>
      </c>
      <c r="J162" t="s">
        <v>535</v>
      </c>
      <c r="K162">
        <v>2.0344233614985305E-2</v>
      </c>
      <c r="L162" t="s">
        <v>162</v>
      </c>
      <c r="N162" t="s">
        <v>285</v>
      </c>
      <c r="O162" t="s">
        <v>535</v>
      </c>
      <c r="P162">
        <v>9.3715747634126653E-3</v>
      </c>
      <c r="Q162" t="s">
        <v>162</v>
      </c>
      <c r="S162" t="s">
        <v>397</v>
      </c>
      <c r="T162" t="s">
        <v>535</v>
      </c>
      <c r="U162">
        <v>1.3008417507749424E-2</v>
      </c>
      <c r="V162" t="s">
        <v>162</v>
      </c>
      <c r="AK162">
        <v>2043</v>
      </c>
      <c r="AL162" t="s">
        <v>514</v>
      </c>
      <c r="AM162">
        <v>0.48759999999999998</v>
      </c>
      <c r="AN162" t="s">
        <v>510</v>
      </c>
    </row>
    <row r="163" spans="9:40" x14ac:dyDescent="0.45">
      <c r="I163" t="s">
        <v>173</v>
      </c>
      <c r="J163" t="s">
        <v>536</v>
      </c>
      <c r="K163">
        <v>4.2568837207321644E-2</v>
      </c>
      <c r="L163" t="s">
        <v>162</v>
      </c>
      <c r="N163" t="s">
        <v>285</v>
      </c>
      <c r="O163" t="s">
        <v>536</v>
      </c>
      <c r="P163">
        <v>1.7128846529344724E-2</v>
      </c>
      <c r="Q163" t="s">
        <v>162</v>
      </c>
      <c r="S163" t="s">
        <v>397</v>
      </c>
      <c r="T163" t="s">
        <v>536</v>
      </c>
      <c r="U163">
        <v>2.5502151812501941E-2</v>
      </c>
      <c r="V163" t="s">
        <v>162</v>
      </c>
      <c r="AK163">
        <v>2043</v>
      </c>
      <c r="AL163" t="s">
        <v>516</v>
      </c>
      <c r="AM163">
        <v>0.56310000000000004</v>
      </c>
      <c r="AN163" t="s">
        <v>510</v>
      </c>
    </row>
    <row r="164" spans="9:40" x14ac:dyDescent="0.45">
      <c r="I164" t="s">
        <v>173</v>
      </c>
      <c r="J164" t="s">
        <v>537</v>
      </c>
      <c r="K164">
        <v>8.9491841353164722E-2</v>
      </c>
      <c r="L164" t="s">
        <v>162</v>
      </c>
      <c r="N164" t="s">
        <v>285</v>
      </c>
      <c r="O164" t="s">
        <v>537</v>
      </c>
      <c r="P164">
        <v>4.4167441324511086E-2</v>
      </c>
      <c r="Q164" t="s">
        <v>162</v>
      </c>
      <c r="S164" t="s">
        <v>397</v>
      </c>
      <c r="T164" t="s">
        <v>537</v>
      </c>
      <c r="U164">
        <v>6.4424957649067277E-2</v>
      </c>
      <c r="V164" t="s">
        <v>162</v>
      </c>
      <c r="AK164">
        <v>2043</v>
      </c>
      <c r="AL164" t="s">
        <v>518</v>
      </c>
      <c r="AM164">
        <v>0.63109999999999999</v>
      </c>
      <c r="AN164" t="s">
        <v>510</v>
      </c>
    </row>
    <row r="165" spans="9:40" x14ac:dyDescent="0.45">
      <c r="I165" t="s">
        <v>173</v>
      </c>
      <c r="J165" t="s">
        <v>538</v>
      </c>
      <c r="K165">
        <v>8.8242544500619514E-3</v>
      </c>
      <c r="L165" t="s">
        <v>162</v>
      </c>
      <c r="N165" t="s">
        <v>285</v>
      </c>
      <c r="O165" t="s">
        <v>538</v>
      </c>
      <c r="P165">
        <v>9.8383165700749002E-3</v>
      </c>
      <c r="Q165" t="s">
        <v>162</v>
      </c>
      <c r="S165" t="s">
        <v>397</v>
      </c>
      <c r="T165" t="s">
        <v>538</v>
      </c>
      <c r="U165">
        <v>1.4099049599312314E-2</v>
      </c>
      <c r="V165" t="s">
        <v>162</v>
      </c>
      <c r="AK165">
        <v>2044</v>
      </c>
      <c r="AL165" t="s">
        <v>151</v>
      </c>
      <c r="AM165">
        <v>0.68430000000000002</v>
      </c>
      <c r="AN165" t="s">
        <v>510</v>
      </c>
    </row>
    <row r="166" spans="9:40" x14ac:dyDescent="0.45">
      <c r="I166" t="s">
        <v>173</v>
      </c>
      <c r="J166" t="s">
        <v>539</v>
      </c>
      <c r="K166">
        <v>5.413859308026253E-3</v>
      </c>
      <c r="L166" t="s">
        <v>162</v>
      </c>
      <c r="N166" t="s">
        <v>285</v>
      </c>
      <c r="O166" t="s">
        <v>539</v>
      </c>
      <c r="P166">
        <v>8.0763509790354293E-2</v>
      </c>
      <c r="Q166" t="s">
        <v>162</v>
      </c>
      <c r="S166" t="s">
        <v>397</v>
      </c>
      <c r="T166" t="s">
        <v>539</v>
      </c>
      <c r="U166">
        <v>8.8668083398525541E-2</v>
      </c>
      <c r="V166" t="s">
        <v>162</v>
      </c>
      <c r="AK166">
        <v>2044</v>
      </c>
      <c r="AL166" t="s">
        <v>155</v>
      </c>
      <c r="AM166">
        <v>0.56774999999999998</v>
      </c>
      <c r="AN166" t="s">
        <v>510</v>
      </c>
    </row>
    <row r="167" spans="9:40" x14ac:dyDescent="0.45">
      <c r="I167" t="s">
        <v>173</v>
      </c>
      <c r="J167" t="s">
        <v>540</v>
      </c>
      <c r="K167">
        <v>3.0587473023718655E-3</v>
      </c>
      <c r="L167" t="s">
        <v>162</v>
      </c>
      <c r="N167" t="s">
        <v>285</v>
      </c>
      <c r="O167" t="s">
        <v>540</v>
      </c>
      <c r="P167">
        <v>3.263124527439995E-2</v>
      </c>
      <c r="Q167" t="s">
        <v>162</v>
      </c>
      <c r="S167" t="s">
        <v>397</v>
      </c>
      <c r="T167" t="s">
        <v>540</v>
      </c>
      <c r="U167">
        <v>3.1746153663041919E-2</v>
      </c>
      <c r="V167" t="s">
        <v>162</v>
      </c>
      <c r="AK167">
        <v>2044</v>
      </c>
      <c r="AL167" t="s">
        <v>157</v>
      </c>
      <c r="AM167">
        <v>0.48959999999999998</v>
      </c>
      <c r="AN167" t="s">
        <v>510</v>
      </c>
    </row>
    <row r="168" spans="9:40" x14ac:dyDescent="0.45">
      <c r="I168" t="s">
        <v>173</v>
      </c>
      <c r="J168" t="s">
        <v>541</v>
      </c>
      <c r="K168">
        <v>4.4836135978233134E-3</v>
      </c>
      <c r="L168" t="s">
        <v>162</v>
      </c>
      <c r="N168" t="s">
        <v>285</v>
      </c>
      <c r="O168" t="s">
        <v>541</v>
      </c>
      <c r="P168">
        <v>3.2716548710870165E-3</v>
      </c>
      <c r="Q168" t="s">
        <v>162</v>
      </c>
      <c r="S168" t="s">
        <v>397</v>
      </c>
      <c r="T168" t="s">
        <v>541</v>
      </c>
      <c r="U168">
        <v>3.7882239655472475E-3</v>
      </c>
      <c r="V168" t="s">
        <v>162</v>
      </c>
      <c r="AK168">
        <v>2044</v>
      </c>
      <c r="AL168" t="s">
        <v>512</v>
      </c>
      <c r="AM168">
        <v>0.48059999999999997</v>
      </c>
      <c r="AN168" t="s">
        <v>510</v>
      </c>
    </row>
    <row r="169" spans="9:40" x14ac:dyDescent="0.45">
      <c r="I169" t="s">
        <v>173</v>
      </c>
      <c r="J169" t="s">
        <v>542</v>
      </c>
      <c r="K169">
        <v>1.0118345852628521E-2</v>
      </c>
      <c r="L169" t="s">
        <v>162</v>
      </c>
      <c r="N169" t="s">
        <v>285</v>
      </c>
      <c r="O169" t="s">
        <v>542</v>
      </c>
      <c r="P169">
        <v>4.8210884433482855E-3</v>
      </c>
      <c r="Q169" t="s">
        <v>162</v>
      </c>
      <c r="S169" t="s">
        <v>397</v>
      </c>
      <c r="T169" t="s">
        <v>542</v>
      </c>
      <c r="U169">
        <v>7.707706717969354E-3</v>
      </c>
      <c r="V169" t="s">
        <v>162</v>
      </c>
      <c r="AK169">
        <v>2044</v>
      </c>
      <c r="AL169" t="s">
        <v>514</v>
      </c>
      <c r="AM169">
        <v>0.47276666666666661</v>
      </c>
      <c r="AN169" t="s">
        <v>510</v>
      </c>
    </row>
    <row r="170" spans="9:40" x14ac:dyDescent="0.45">
      <c r="I170" t="s">
        <v>173</v>
      </c>
      <c r="J170" t="s">
        <v>543</v>
      </c>
      <c r="K170">
        <v>1.6841843643944546E-2</v>
      </c>
      <c r="L170" t="s">
        <v>162</v>
      </c>
      <c r="N170" t="s">
        <v>285</v>
      </c>
      <c r="O170" t="s">
        <v>543</v>
      </c>
      <c r="P170">
        <v>1.19091203218092E-2</v>
      </c>
      <c r="Q170" t="s">
        <v>162</v>
      </c>
      <c r="S170" t="s">
        <v>397</v>
      </c>
      <c r="T170" t="s">
        <v>543</v>
      </c>
      <c r="U170">
        <v>1.9258795547242139E-2</v>
      </c>
      <c r="V170" t="s">
        <v>162</v>
      </c>
      <c r="AK170">
        <v>2044</v>
      </c>
      <c r="AL170" t="s">
        <v>516</v>
      </c>
      <c r="AM170">
        <v>0.58240000000000003</v>
      </c>
      <c r="AN170" t="s">
        <v>510</v>
      </c>
    </row>
    <row r="171" spans="9:40" x14ac:dyDescent="0.45">
      <c r="I171" t="s">
        <v>173</v>
      </c>
      <c r="J171" t="s">
        <v>544</v>
      </c>
      <c r="K171">
        <v>0</v>
      </c>
      <c r="L171" t="s">
        <v>162</v>
      </c>
      <c r="N171" t="s">
        <v>285</v>
      </c>
      <c r="O171" t="s">
        <v>544</v>
      </c>
      <c r="P171">
        <v>3.6847957842833512E-3</v>
      </c>
      <c r="Q171" t="s">
        <v>162</v>
      </c>
      <c r="S171" t="s">
        <v>397</v>
      </c>
      <c r="T171" t="s">
        <v>544</v>
      </c>
      <c r="U171">
        <v>3.9496653488936681E-3</v>
      </c>
      <c r="V171" t="s">
        <v>162</v>
      </c>
      <c r="AK171">
        <v>2044</v>
      </c>
      <c r="AL171" t="s">
        <v>518</v>
      </c>
      <c r="AM171">
        <v>0.67710000000000004</v>
      </c>
      <c r="AN171" t="s">
        <v>510</v>
      </c>
    </row>
    <row r="172" spans="9:40" x14ac:dyDescent="0.45">
      <c r="I172" t="s">
        <v>173</v>
      </c>
      <c r="J172" t="s">
        <v>545</v>
      </c>
      <c r="K172">
        <v>0</v>
      </c>
      <c r="L172" t="s">
        <v>162</v>
      </c>
      <c r="N172" t="s">
        <v>285</v>
      </c>
      <c r="O172" t="s">
        <v>545</v>
      </c>
      <c r="P172">
        <v>2.3872526254551711E-2</v>
      </c>
      <c r="Q172" t="s">
        <v>162</v>
      </c>
      <c r="S172" t="s">
        <v>397</v>
      </c>
      <c r="T172" t="s">
        <v>545</v>
      </c>
      <c r="U172">
        <v>2.2131437900686269E-2</v>
      </c>
      <c r="V172" t="s">
        <v>162</v>
      </c>
      <c r="AK172">
        <v>2045</v>
      </c>
      <c r="AL172" t="s">
        <v>151</v>
      </c>
      <c r="AM172">
        <v>0.70760000000000001</v>
      </c>
      <c r="AN172" t="s">
        <v>510</v>
      </c>
    </row>
    <row r="173" spans="9:40" x14ac:dyDescent="0.45">
      <c r="I173" t="s">
        <v>173</v>
      </c>
      <c r="J173" t="s">
        <v>546</v>
      </c>
      <c r="K173">
        <v>1.2748172208776778E-3</v>
      </c>
      <c r="L173" t="s">
        <v>162</v>
      </c>
      <c r="N173" t="s">
        <v>285</v>
      </c>
      <c r="O173" t="s">
        <v>546</v>
      </c>
      <c r="P173">
        <v>3.249716019613022E-2</v>
      </c>
      <c r="Q173" t="s">
        <v>162</v>
      </c>
      <c r="S173" t="s">
        <v>397</v>
      </c>
      <c r="T173" t="s">
        <v>546</v>
      </c>
      <c r="U173">
        <v>2.8537631624438314E-2</v>
      </c>
      <c r="V173" t="s">
        <v>162</v>
      </c>
      <c r="AK173">
        <v>2045</v>
      </c>
      <c r="AL173" t="s">
        <v>155</v>
      </c>
      <c r="AM173">
        <v>0.58030000000000004</v>
      </c>
      <c r="AN173" t="s">
        <v>510</v>
      </c>
    </row>
    <row r="174" spans="9:40" x14ac:dyDescent="0.45">
      <c r="I174" t="s">
        <v>173</v>
      </c>
      <c r="J174" t="s">
        <v>547</v>
      </c>
      <c r="K174">
        <v>4.7248313954414509E-3</v>
      </c>
      <c r="L174" t="s">
        <v>162</v>
      </c>
      <c r="N174" t="s">
        <v>285</v>
      </c>
      <c r="O174" t="s">
        <v>547</v>
      </c>
      <c r="P174">
        <v>3.7241541752687899E-3</v>
      </c>
      <c r="Q174" t="s">
        <v>162</v>
      </c>
      <c r="S174" t="s">
        <v>397</v>
      </c>
      <c r="T174" t="s">
        <v>547</v>
      </c>
      <c r="U174">
        <v>3.2019714722923412E-3</v>
      </c>
      <c r="V174" t="s">
        <v>162</v>
      </c>
      <c r="AK174">
        <v>2045</v>
      </c>
      <c r="AL174" t="s">
        <v>157</v>
      </c>
      <c r="AM174">
        <v>0.55049999999999999</v>
      </c>
      <c r="AN174" t="s">
        <v>510</v>
      </c>
    </row>
    <row r="175" spans="9:40" x14ac:dyDescent="0.45">
      <c r="I175" t="s">
        <v>173</v>
      </c>
      <c r="J175" t="s">
        <v>548</v>
      </c>
      <c r="K175">
        <v>1.2682181456094564E-2</v>
      </c>
      <c r="L175" t="s">
        <v>162</v>
      </c>
      <c r="N175" t="s">
        <v>285</v>
      </c>
      <c r="O175" t="s">
        <v>548</v>
      </c>
      <c r="P175">
        <v>6.3197022001830905E-3</v>
      </c>
      <c r="Q175" t="s">
        <v>162</v>
      </c>
      <c r="S175" t="s">
        <v>397</v>
      </c>
      <c r="T175" t="s">
        <v>548</v>
      </c>
      <c r="U175">
        <v>6.2098905222608674E-3</v>
      </c>
      <c r="V175" t="s">
        <v>162</v>
      </c>
      <c r="AK175">
        <v>2045</v>
      </c>
      <c r="AL175" t="s">
        <v>512</v>
      </c>
      <c r="AM175">
        <v>0.47260000000000008</v>
      </c>
      <c r="AN175" t="s">
        <v>510</v>
      </c>
    </row>
    <row r="176" spans="9:40" x14ac:dyDescent="0.45">
      <c r="I176" t="s">
        <v>173</v>
      </c>
      <c r="J176" t="s">
        <v>549</v>
      </c>
      <c r="K176">
        <v>2.127294985887037E-2</v>
      </c>
      <c r="L176" t="s">
        <v>162</v>
      </c>
      <c r="N176" t="s">
        <v>285</v>
      </c>
      <c r="O176" t="s">
        <v>549</v>
      </c>
      <c r="P176">
        <v>1.4335914403803078E-2</v>
      </c>
      <c r="Q176" t="s">
        <v>162</v>
      </c>
      <c r="S176" t="s">
        <v>397</v>
      </c>
      <c r="T176" t="s">
        <v>549</v>
      </c>
      <c r="U176">
        <v>1.5225926436532847E-2</v>
      </c>
      <c r="V176" t="s">
        <v>162</v>
      </c>
      <c r="AK176">
        <v>2045</v>
      </c>
      <c r="AL176" t="s">
        <v>514</v>
      </c>
      <c r="AM176">
        <v>0.43180000000000002</v>
      </c>
      <c r="AN176" t="s">
        <v>510</v>
      </c>
    </row>
    <row r="177" spans="9:40" x14ac:dyDescent="0.45">
      <c r="I177" t="s">
        <v>173</v>
      </c>
      <c r="J177" t="s">
        <v>550</v>
      </c>
      <c r="K177">
        <v>0</v>
      </c>
      <c r="L177" t="s">
        <v>162</v>
      </c>
      <c r="N177" t="s">
        <v>285</v>
      </c>
      <c r="O177" t="s">
        <v>550</v>
      </c>
      <c r="P177">
        <v>3.7249598797612022E-3</v>
      </c>
      <c r="Q177" t="s">
        <v>162</v>
      </c>
      <c r="S177" t="s">
        <v>397</v>
      </c>
      <c r="T177" t="s">
        <v>550</v>
      </c>
      <c r="U177">
        <v>3.1295275963357503E-3</v>
      </c>
      <c r="V177" t="s">
        <v>162</v>
      </c>
      <c r="AK177">
        <v>2045</v>
      </c>
      <c r="AL177" t="s">
        <v>516</v>
      </c>
      <c r="AM177">
        <v>0.56230000000000002</v>
      </c>
      <c r="AN177" t="s">
        <v>510</v>
      </c>
    </row>
    <row r="178" spans="9:40" x14ac:dyDescent="0.45">
      <c r="I178" t="s">
        <v>173</v>
      </c>
      <c r="J178" t="s">
        <v>551</v>
      </c>
      <c r="K178">
        <v>0</v>
      </c>
      <c r="L178" t="s">
        <v>162</v>
      </c>
      <c r="N178" t="s">
        <v>285</v>
      </c>
      <c r="O178" t="s">
        <v>551</v>
      </c>
      <c r="P178">
        <v>2.182235014103363E-2</v>
      </c>
      <c r="Q178" t="s">
        <v>162</v>
      </c>
      <c r="S178" t="s">
        <v>397</v>
      </c>
      <c r="T178" t="s">
        <v>551</v>
      </c>
      <c r="U178">
        <v>1.8346332943478295E-2</v>
      </c>
      <c r="V178" t="s">
        <v>162</v>
      </c>
      <c r="AK178">
        <v>2045</v>
      </c>
      <c r="AL178" t="s">
        <v>518</v>
      </c>
      <c r="AM178">
        <v>0.60299999999999998</v>
      </c>
      <c r="AN178" t="s">
        <v>510</v>
      </c>
    </row>
    <row r="179" spans="9:40" x14ac:dyDescent="0.45">
      <c r="I179" t="s">
        <v>174</v>
      </c>
      <c r="J179" t="s">
        <v>161</v>
      </c>
      <c r="K179">
        <v>1.0267311649255267E-3</v>
      </c>
      <c r="L179" t="s">
        <v>162</v>
      </c>
      <c r="N179" t="s">
        <v>286</v>
      </c>
      <c r="O179" t="s">
        <v>161</v>
      </c>
      <c r="P179">
        <v>3.0721802226960616E-2</v>
      </c>
      <c r="Q179" t="s">
        <v>162</v>
      </c>
      <c r="S179" t="s">
        <v>398</v>
      </c>
      <c r="T179" t="s">
        <v>161</v>
      </c>
      <c r="U179">
        <v>2.4704160318484283E-2</v>
      </c>
      <c r="V179" t="s">
        <v>162</v>
      </c>
      <c r="AK179">
        <v>2046</v>
      </c>
      <c r="AL179" t="s">
        <v>151</v>
      </c>
      <c r="AM179">
        <v>0.68100000000000005</v>
      </c>
      <c r="AN179" t="s">
        <v>510</v>
      </c>
    </row>
    <row r="180" spans="9:40" x14ac:dyDescent="0.45">
      <c r="I180" t="s">
        <v>174</v>
      </c>
      <c r="J180" t="s">
        <v>163</v>
      </c>
      <c r="K180">
        <v>4.3644065645950551E-3</v>
      </c>
      <c r="L180" t="s">
        <v>162</v>
      </c>
      <c r="N180" t="s">
        <v>286</v>
      </c>
      <c r="O180" t="s">
        <v>163</v>
      </c>
      <c r="P180">
        <v>3.4872157443898398E-3</v>
      </c>
      <c r="Q180" t="s">
        <v>162</v>
      </c>
      <c r="S180" t="s">
        <v>398</v>
      </c>
      <c r="T180" t="s">
        <v>163</v>
      </c>
      <c r="U180">
        <v>2.8419946582043175E-3</v>
      </c>
      <c r="V180" t="s">
        <v>162</v>
      </c>
      <c r="AK180">
        <v>2046</v>
      </c>
      <c r="AL180" t="s">
        <v>155</v>
      </c>
      <c r="AM180">
        <v>0.64200000000000002</v>
      </c>
      <c r="AN180" t="s">
        <v>510</v>
      </c>
    </row>
    <row r="181" spans="9:40" x14ac:dyDescent="0.45">
      <c r="I181" t="s">
        <v>174</v>
      </c>
      <c r="J181" t="s">
        <v>164</v>
      </c>
      <c r="K181">
        <v>1.4246860195661676E-2</v>
      </c>
      <c r="L181" t="s">
        <v>162</v>
      </c>
      <c r="N181" t="s">
        <v>286</v>
      </c>
      <c r="O181" t="s">
        <v>164</v>
      </c>
      <c r="P181">
        <v>6.0587470538130605E-3</v>
      </c>
      <c r="Q181" t="s">
        <v>162</v>
      </c>
      <c r="S181" t="s">
        <v>398</v>
      </c>
      <c r="T181" t="s">
        <v>164</v>
      </c>
      <c r="U181">
        <v>5.6975685591309855E-3</v>
      </c>
      <c r="V181" t="s">
        <v>162</v>
      </c>
      <c r="AK181">
        <v>2046</v>
      </c>
      <c r="AL181" t="s">
        <v>157</v>
      </c>
      <c r="AM181">
        <v>0.49990000000000001</v>
      </c>
      <c r="AN181" t="s">
        <v>510</v>
      </c>
    </row>
    <row r="182" spans="9:40" x14ac:dyDescent="0.45">
      <c r="I182" t="s">
        <v>174</v>
      </c>
      <c r="J182" t="s">
        <v>519</v>
      </c>
      <c r="K182">
        <v>2.5673989428409857E-2</v>
      </c>
      <c r="L182" t="s">
        <v>162</v>
      </c>
      <c r="N182" t="s">
        <v>286</v>
      </c>
      <c r="O182" t="s">
        <v>519</v>
      </c>
      <c r="P182">
        <v>1.4023167599620074E-2</v>
      </c>
      <c r="Q182" t="s">
        <v>162</v>
      </c>
      <c r="S182" t="s">
        <v>398</v>
      </c>
      <c r="T182" t="s">
        <v>519</v>
      </c>
      <c r="U182">
        <v>1.403215720894992E-2</v>
      </c>
      <c r="V182" t="s">
        <v>162</v>
      </c>
      <c r="AK182">
        <v>2046</v>
      </c>
      <c r="AL182" t="s">
        <v>512</v>
      </c>
      <c r="AM182">
        <v>0.48626666666666668</v>
      </c>
      <c r="AN182" t="s">
        <v>510</v>
      </c>
    </row>
    <row r="183" spans="9:40" x14ac:dyDescent="0.45">
      <c r="I183" t="s">
        <v>174</v>
      </c>
      <c r="J183" t="s">
        <v>520</v>
      </c>
      <c r="K183">
        <v>0</v>
      </c>
      <c r="L183" t="s">
        <v>162</v>
      </c>
      <c r="N183" t="s">
        <v>286</v>
      </c>
      <c r="O183" t="s">
        <v>520</v>
      </c>
      <c r="P183">
        <v>3.1186557934790925E-3</v>
      </c>
      <c r="Q183" t="s">
        <v>162</v>
      </c>
      <c r="S183" t="s">
        <v>398</v>
      </c>
      <c r="T183" t="s">
        <v>520</v>
      </c>
      <c r="U183">
        <v>2.46383216975294E-3</v>
      </c>
      <c r="V183" t="s">
        <v>162</v>
      </c>
      <c r="AK183">
        <v>2046</v>
      </c>
      <c r="AL183" t="s">
        <v>514</v>
      </c>
      <c r="AM183">
        <v>0.47533333333333333</v>
      </c>
      <c r="AN183" t="s">
        <v>510</v>
      </c>
    </row>
    <row r="184" spans="9:40" x14ac:dyDescent="0.45">
      <c r="I184" t="s">
        <v>174</v>
      </c>
      <c r="J184" t="s">
        <v>521</v>
      </c>
      <c r="K184">
        <v>0</v>
      </c>
      <c r="L184" t="s">
        <v>162</v>
      </c>
      <c r="N184" t="s">
        <v>286</v>
      </c>
      <c r="O184" t="s">
        <v>521</v>
      </c>
      <c r="P184">
        <v>1.837207608675806E-2</v>
      </c>
      <c r="Q184" t="s">
        <v>162</v>
      </c>
      <c r="S184" t="s">
        <v>398</v>
      </c>
      <c r="T184" t="s">
        <v>521</v>
      </c>
      <c r="U184">
        <v>1.4261323410595175E-2</v>
      </c>
      <c r="V184" t="s">
        <v>162</v>
      </c>
      <c r="AK184">
        <v>2046</v>
      </c>
      <c r="AL184" t="s">
        <v>516</v>
      </c>
      <c r="AM184">
        <v>0.50009999999999999</v>
      </c>
      <c r="AN184" t="s">
        <v>510</v>
      </c>
    </row>
    <row r="185" spans="9:40" x14ac:dyDescent="0.45">
      <c r="I185" t="s">
        <v>174</v>
      </c>
      <c r="J185" t="s">
        <v>165</v>
      </c>
      <c r="K185">
        <v>1.9607736304581378E-2</v>
      </c>
      <c r="L185" t="s">
        <v>162</v>
      </c>
      <c r="N185" t="s">
        <v>286</v>
      </c>
      <c r="O185" t="s">
        <v>165</v>
      </c>
      <c r="P185">
        <v>4.7768938832058405E-2</v>
      </c>
      <c r="Q185" t="s">
        <v>162</v>
      </c>
      <c r="S185" t="s">
        <v>398</v>
      </c>
      <c r="T185" t="s">
        <v>165</v>
      </c>
      <c r="U185">
        <v>5.9925203710277618E-2</v>
      </c>
      <c r="V185" t="s">
        <v>162</v>
      </c>
      <c r="AK185">
        <v>2046</v>
      </c>
      <c r="AL185" t="s">
        <v>518</v>
      </c>
      <c r="AM185">
        <v>0.56020000000000003</v>
      </c>
      <c r="AN185" t="s">
        <v>510</v>
      </c>
    </row>
    <row r="186" spans="9:40" x14ac:dyDescent="0.45">
      <c r="I186" t="s">
        <v>174</v>
      </c>
      <c r="J186" t="s">
        <v>166</v>
      </c>
      <c r="K186">
        <v>1.7921394435845353E-2</v>
      </c>
      <c r="L186" t="s">
        <v>162</v>
      </c>
      <c r="N186" t="s">
        <v>286</v>
      </c>
      <c r="O186" t="s">
        <v>166</v>
      </c>
      <c r="P186">
        <v>4.0337024019801221E-3</v>
      </c>
      <c r="Q186" t="s">
        <v>162</v>
      </c>
      <c r="S186" t="s">
        <v>398</v>
      </c>
      <c r="T186" t="s">
        <v>166</v>
      </c>
      <c r="U186">
        <v>6.1951236007903336E-3</v>
      </c>
      <c r="V186" t="s">
        <v>162</v>
      </c>
      <c r="AK186">
        <v>2047</v>
      </c>
      <c r="AL186" t="s">
        <v>151</v>
      </c>
      <c r="AM186">
        <v>0.59460000000000002</v>
      </c>
      <c r="AN186" t="s">
        <v>510</v>
      </c>
    </row>
    <row r="187" spans="9:40" x14ac:dyDescent="0.45">
      <c r="I187" t="s">
        <v>174</v>
      </c>
      <c r="J187" t="s">
        <v>167</v>
      </c>
      <c r="K187">
        <v>4.076187898703322E-2</v>
      </c>
      <c r="L187" t="s">
        <v>162</v>
      </c>
      <c r="N187" t="s">
        <v>286</v>
      </c>
      <c r="O187" t="s">
        <v>167</v>
      </c>
      <c r="P187">
        <v>6.5345409095348157E-3</v>
      </c>
      <c r="Q187" t="s">
        <v>162</v>
      </c>
      <c r="S187" t="s">
        <v>398</v>
      </c>
      <c r="T187" t="s">
        <v>167</v>
      </c>
      <c r="U187">
        <v>1.2269598366702711E-2</v>
      </c>
      <c r="V187" t="s">
        <v>162</v>
      </c>
      <c r="AK187">
        <v>2047</v>
      </c>
      <c r="AL187" t="s">
        <v>155</v>
      </c>
      <c r="AM187">
        <v>0.62129999999999996</v>
      </c>
      <c r="AN187" t="s">
        <v>510</v>
      </c>
    </row>
    <row r="188" spans="9:40" x14ac:dyDescent="0.45">
      <c r="I188" t="s">
        <v>174</v>
      </c>
      <c r="J188" t="s">
        <v>522</v>
      </c>
      <c r="K188">
        <v>8.837706173184029E-2</v>
      </c>
      <c r="L188" t="s">
        <v>162</v>
      </c>
      <c r="N188" t="s">
        <v>286</v>
      </c>
      <c r="O188" t="s">
        <v>522</v>
      </c>
      <c r="P188">
        <v>1.7908260681833484E-2</v>
      </c>
      <c r="Q188" t="s">
        <v>162</v>
      </c>
      <c r="S188" t="s">
        <v>398</v>
      </c>
      <c r="T188" t="s">
        <v>522</v>
      </c>
      <c r="U188">
        <v>3.2067368370773335E-2</v>
      </c>
      <c r="V188" t="s">
        <v>162</v>
      </c>
      <c r="AK188">
        <v>2047</v>
      </c>
      <c r="AL188" t="s">
        <v>157</v>
      </c>
      <c r="AM188">
        <v>0.50890000000000002</v>
      </c>
      <c r="AN188" t="s">
        <v>510</v>
      </c>
    </row>
    <row r="189" spans="9:40" x14ac:dyDescent="0.45">
      <c r="I189" t="s">
        <v>174</v>
      </c>
      <c r="J189" t="s">
        <v>523</v>
      </c>
      <c r="K189">
        <v>6.4306839304912999E-3</v>
      </c>
      <c r="L189" t="s">
        <v>162</v>
      </c>
      <c r="N189" t="s">
        <v>286</v>
      </c>
      <c r="O189" t="s">
        <v>523</v>
      </c>
      <c r="P189">
        <v>6.1236213826470331E-3</v>
      </c>
      <c r="Q189" t="s">
        <v>162</v>
      </c>
      <c r="S189" t="s">
        <v>398</v>
      </c>
      <c r="T189" t="s">
        <v>523</v>
      </c>
      <c r="U189">
        <v>7.0292340067846029E-3</v>
      </c>
      <c r="V189" t="s">
        <v>162</v>
      </c>
      <c r="AK189">
        <v>2047</v>
      </c>
      <c r="AL189" t="s">
        <v>512</v>
      </c>
      <c r="AM189">
        <v>0.4669666666666667</v>
      </c>
      <c r="AN189" t="s">
        <v>510</v>
      </c>
    </row>
    <row r="190" spans="9:40" x14ac:dyDescent="0.45">
      <c r="I190" t="s">
        <v>174</v>
      </c>
      <c r="J190" t="s">
        <v>524</v>
      </c>
      <c r="K190">
        <v>8.8549043486049891E-4</v>
      </c>
      <c r="L190" t="s">
        <v>162</v>
      </c>
      <c r="N190" t="s">
        <v>286</v>
      </c>
      <c r="O190" t="s">
        <v>524</v>
      </c>
      <c r="P190">
        <v>3.9450171498803921E-2</v>
      </c>
      <c r="Q190" t="s">
        <v>162</v>
      </c>
      <c r="S190" t="s">
        <v>398</v>
      </c>
      <c r="T190" t="s">
        <v>524</v>
      </c>
      <c r="U190">
        <v>4.284101885796375E-2</v>
      </c>
      <c r="V190" t="s">
        <v>162</v>
      </c>
      <c r="AK190">
        <v>2047</v>
      </c>
      <c r="AL190" t="s">
        <v>514</v>
      </c>
      <c r="AM190">
        <v>0.49346666666666672</v>
      </c>
      <c r="AN190" t="s">
        <v>510</v>
      </c>
    </row>
    <row r="191" spans="9:40" x14ac:dyDescent="0.45">
      <c r="I191" t="s">
        <v>174</v>
      </c>
      <c r="J191" t="s">
        <v>168</v>
      </c>
      <c r="K191">
        <v>2.8307355209019777E-2</v>
      </c>
      <c r="L191" t="s">
        <v>162</v>
      </c>
      <c r="N191" t="s">
        <v>286</v>
      </c>
      <c r="O191" t="s">
        <v>168</v>
      </c>
      <c r="P191">
        <v>3.7472755785288296E-2</v>
      </c>
      <c r="Q191" t="s">
        <v>162</v>
      </c>
      <c r="S191" t="s">
        <v>398</v>
      </c>
      <c r="T191" t="s">
        <v>168</v>
      </c>
      <c r="U191">
        <v>2.2331706628035096E-2</v>
      </c>
      <c r="V191" t="s">
        <v>162</v>
      </c>
      <c r="AK191">
        <v>2047</v>
      </c>
      <c r="AL191" t="s">
        <v>516</v>
      </c>
      <c r="AM191">
        <v>0.59099999999999997</v>
      </c>
      <c r="AN191" t="s">
        <v>510</v>
      </c>
    </row>
    <row r="192" spans="9:40" x14ac:dyDescent="0.45">
      <c r="I192" t="s">
        <v>174</v>
      </c>
      <c r="J192" t="s">
        <v>169</v>
      </c>
      <c r="K192">
        <v>1.3147258729159639E-2</v>
      </c>
      <c r="L192" t="s">
        <v>162</v>
      </c>
      <c r="N192" t="s">
        <v>286</v>
      </c>
      <c r="O192" t="s">
        <v>169</v>
      </c>
      <c r="P192">
        <v>2.7421415154442255E-3</v>
      </c>
      <c r="Q192" t="s">
        <v>162</v>
      </c>
      <c r="S192" t="s">
        <v>398</v>
      </c>
      <c r="T192" t="s">
        <v>169</v>
      </c>
      <c r="U192">
        <v>2.377557939795813E-3</v>
      </c>
      <c r="V192" t="s">
        <v>162</v>
      </c>
      <c r="AK192">
        <v>2047</v>
      </c>
      <c r="AL192" t="s">
        <v>518</v>
      </c>
      <c r="AM192">
        <v>0.58819999999999995</v>
      </c>
      <c r="AN192" t="s">
        <v>510</v>
      </c>
    </row>
    <row r="193" spans="9:40" x14ac:dyDescent="0.45">
      <c r="I193" t="s">
        <v>174</v>
      </c>
      <c r="J193" t="s">
        <v>170</v>
      </c>
      <c r="K193">
        <v>2.7635385932847707E-2</v>
      </c>
      <c r="L193" t="s">
        <v>162</v>
      </c>
      <c r="N193" t="s">
        <v>286</v>
      </c>
      <c r="O193" t="s">
        <v>170</v>
      </c>
      <c r="P193">
        <v>6.0795547011791625E-3</v>
      </c>
      <c r="Q193" t="s">
        <v>162</v>
      </c>
      <c r="S193" t="s">
        <v>398</v>
      </c>
      <c r="T193" t="s">
        <v>170</v>
      </c>
      <c r="U193">
        <v>4.7702488976072927E-3</v>
      </c>
      <c r="V193" t="s">
        <v>162</v>
      </c>
      <c r="AK193">
        <v>2048</v>
      </c>
      <c r="AL193" t="s">
        <v>151</v>
      </c>
      <c r="AM193">
        <v>0.62839999999999996</v>
      </c>
      <c r="AN193" t="s">
        <v>510</v>
      </c>
    </row>
    <row r="194" spans="9:40" x14ac:dyDescent="0.45">
      <c r="I194" t="s">
        <v>174</v>
      </c>
      <c r="J194" t="s">
        <v>525</v>
      </c>
      <c r="K194">
        <v>6.3650084131463863E-2</v>
      </c>
      <c r="L194" t="s">
        <v>162</v>
      </c>
      <c r="N194" t="s">
        <v>286</v>
      </c>
      <c r="O194" t="s">
        <v>525</v>
      </c>
      <c r="P194">
        <v>1.7668488926796379E-2</v>
      </c>
      <c r="Q194" t="s">
        <v>162</v>
      </c>
      <c r="S194" t="s">
        <v>398</v>
      </c>
      <c r="T194" t="s">
        <v>525</v>
      </c>
      <c r="U194">
        <v>1.2948479554467195E-2</v>
      </c>
      <c r="V194" t="s">
        <v>162</v>
      </c>
      <c r="AK194">
        <v>2048</v>
      </c>
      <c r="AL194" t="s">
        <v>155</v>
      </c>
      <c r="AM194">
        <v>0.61675000000000002</v>
      </c>
      <c r="AN194" t="s">
        <v>510</v>
      </c>
    </row>
    <row r="195" spans="9:40" x14ac:dyDescent="0.45">
      <c r="I195" t="s">
        <v>174</v>
      </c>
      <c r="J195" t="s">
        <v>526</v>
      </c>
      <c r="K195">
        <v>7.4245532711094322E-3</v>
      </c>
      <c r="L195" t="s">
        <v>162</v>
      </c>
      <c r="N195" t="s">
        <v>286</v>
      </c>
      <c r="O195" t="s">
        <v>526</v>
      </c>
      <c r="P195">
        <v>3.8243769785577877E-3</v>
      </c>
      <c r="Q195" t="s">
        <v>162</v>
      </c>
      <c r="S195" t="s">
        <v>398</v>
      </c>
      <c r="T195" t="s">
        <v>526</v>
      </c>
      <c r="U195">
        <v>2.6616979933746076E-3</v>
      </c>
      <c r="V195" t="s">
        <v>162</v>
      </c>
      <c r="AK195">
        <v>2048</v>
      </c>
      <c r="AL195" t="s">
        <v>157</v>
      </c>
      <c r="AM195">
        <v>0.54420000000000002</v>
      </c>
      <c r="AN195" t="s">
        <v>510</v>
      </c>
    </row>
    <row r="196" spans="9:40" x14ac:dyDescent="0.45">
      <c r="I196" t="s">
        <v>174</v>
      </c>
      <c r="J196" t="s">
        <v>527</v>
      </c>
      <c r="K196">
        <v>4.8540079517068856E-3</v>
      </c>
      <c r="L196" t="s">
        <v>162</v>
      </c>
      <c r="N196" t="s">
        <v>286</v>
      </c>
      <c r="O196" t="s">
        <v>527</v>
      </c>
      <c r="P196">
        <v>2.936370718023126E-2</v>
      </c>
      <c r="Q196" t="s">
        <v>162</v>
      </c>
      <c r="S196" t="s">
        <v>398</v>
      </c>
      <c r="T196" t="s">
        <v>527</v>
      </c>
      <c r="U196">
        <v>1.6016812442003515E-2</v>
      </c>
      <c r="V196" t="s">
        <v>162</v>
      </c>
      <c r="AK196">
        <v>2048</v>
      </c>
      <c r="AL196" t="s">
        <v>512</v>
      </c>
      <c r="AM196">
        <v>0.47653333333333331</v>
      </c>
      <c r="AN196" t="s">
        <v>510</v>
      </c>
    </row>
    <row r="197" spans="9:40" x14ac:dyDescent="0.45">
      <c r="I197" t="s">
        <v>174</v>
      </c>
      <c r="J197" t="s">
        <v>528</v>
      </c>
      <c r="K197">
        <v>8.7515541030761881E-2</v>
      </c>
      <c r="L197" t="s">
        <v>162</v>
      </c>
      <c r="N197" t="s">
        <v>286</v>
      </c>
      <c r="O197" t="s">
        <v>528</v>
      </c>
      <c r="P197">
        <v>9.1538938848160334E-2</v>
      </c>
      <c r="Q197" t="s">
        <v>162</v>
      </c>
      <c r="S197" t="s">
        <v>398</v>
      </c>
      <c r="T197" t="s">
        <v>528</v>
      </c>
      <c r="U197">
        <v>8.5212423410013352E-2</v>
      </c>
      <c r="V197" t="s">
        <v>162</v>
      </c>
      <c r="AK197">
        <v>2048</v>
      </c>
      <c r="AL197" t="s">
        <v>514</v>
      </c>
      <c r="AM197">
        <v>0.45886666666666659</v>
      </c>
      <c r="AN197" t="s">
        <v>510</v>
      </c>
    </row>
    <row r="198" spans="9:40" x14ac:dyDescent="0.45">
      <c r="I198" t="s">
        <v>174</v>
      </c>
      <c r="J198" t="s">
        <v>529</v>
      </c>
      <c r="K198">
        <v>3.0774457073754553E-2</v>
      </c>
      <c r="L198" t="s">
        <v>162</v>
      </c>
      <c r="N198" t="s">
        <v>286</v>
      </c>
      <c r="O198" t="s">
        <v>529</v>
      </c>
      <c r="P198">
        <v>7.498039096141192E-3</v>
      </c>
      <c r="Q198" t="s">
        <v>162</v>
      </c>
      <c r="S198" t="s">
        <v>398</v>
      </c>
      <c r="T198" t="s">
        <v>529</v>
      </c>
      <c r="U198">
        <v>8.2635014191276227E-3</v>
      </c>
      <c r="V198" t="s">
        <v>162</v>
      </c>
      <c r="AK198">
        <v>2048</v>
      </c>
      <c r="AL198" t="s">
        <v>516</v>
      </c>
      <c r="AM198">
        <v>0.58299999999999996</v>
      </c>
      <c r="AN198" t="s">
        <v>510</v>
      </c>
    </row>
    <row r="199" spans="9:40" x14ac:dyDescent="0.45">
      <c r="I199" t="s">
        <v>174</v>
      </c>
      <c r="J199" t="s">
        <v>530</v>
      </c>
      <c r="K199">
        <v>6.6177456193538264E-2</v>
      </c>
      <c r="L199" t="s">
        <v>162</v>
      </c>
      <c r="N199" t="s">
        <v>286</v>
      </c>
      <c r="O199" t="s">
        <v>530</v>
      </c>
      <c r="P199">
        <v>1.7458941867746072E-2</v>
      </c>
      <c r="Q199" t="s">
        <v>162</v>
      </c>
      <c r="S199" t="s">
        <v>398</v>
      </c>
      <c r="T199" t="s">
        <v>530</v>
      </c>
      <c r="U199">
        <v>1.6489444243182987E-2</v>
      </c>
      <c r="V199" t="s">
        <v>162</v>
      </c>
      <c r="AK199">
        <v>2048</v>
      </c>
      <c r="AL199" t="s">
        <v>518</v>
      </c>
      <c r="AM199">
        <v>0.57969999999999999</v>
      </c>
      <c r="AN199" t="s">
        <v>510</v>
      </c>
    </row>
    <row r="200" spans="9:40" x14ac:dyDescent="0.45">
      <c r="I200" t="s">
        <v>174</v>
      </c>
      <c r="J200" t="s">
        <v>531</v>
      </c>
      <c r="K200">
        <v>0.14351996477328155</v>
      </c>
      <c r="L200" t="s">
        <v>162</v>
      </c>
      <c r="N200" t="s">
        <v>286</v>
      </c>
      <c r="O200" t="s">
        <v>531</v>
      </c>
      <c r="P200">
        <v>4.7631574550022725E-2</v>
      </c>
      <c r="Q200" t="s">
        <v>162</v>
      </c>
      <c r="S200" t="s">
        <v>398</v>
      </c>
      <c r="T200" t="s">
        <v>531</v>
      </c>
      <c r="U200">
        <v>4.1415036251711952E-2</v>
      </c>
      <c r="V200" t="s">
        <v>162</v>
      </c>
      <c r="AK200">
        <v>2049</v>
      </c>
      <c r="AL200" t="s">
        <v>151</v>
      </c>
      <c r="AM200">
        <v>0.69479999999999997</v>
      </c>
      <c r="AN200" t="s">
        <v>510</v>
      </c>
    </row>
    <row r="201" spans="9:40" x14ac:dyDescent="0.45">
      <c r="I201" t="s">
        <v>174</v>
      </c>
      <c r="J201" t="s">
        <v>532</v>
      </c>
      <c r="K201">
        <v>1.9300298547001282E-2</v>
      </c>
      <c r="L201" t="s">
        <v>162</v>
      </c>
      <c r="N201" t="s">
        <v>286</v>
      </c>
      <c r="O201" t="s">
        <v>532</v>
      </c>
      <c r="P201">
        <v>8.7859199886311402E-3</v>
      </c>
      <c r="Q201" t="s">
        <v>162</v>
      </c>
      <c r="S201" t="s">
        <v>398</v>
      </c>
      <c r="T201" t="s">
        <v>532</v>
      </c>
      <c r="U201">
        <v>8.6115965692802818E-3</v>
      </c>
      <c r="V201" t="s">
        <v>162</v>
      </c>
      <c r="AK201">
        <v>2049</v>
      </c>
      <c r="AL201" t="s">
        <v>155</v>
      </c>
      <c r="AM201">
        <v>0.61575000000000002</v>
      </c>
      <c r="AN201" t="s">
        <v>510</v>
      </c>
    </row>
    <row r="202" spans="9:40" x14ac:dyDescent="0.45">
      <c r="I202" t="s">
        <v>174</v>
      </c>
      <c r="J202" t="s">
        <v>533</v>
      </c>
      <c r="K202">
        <v>2.5410848744844072E-2</v>
      </c>
      <c r="L202" t="s">
        <v>162</v>
      </c>
      <c r="N202" t="s">
        <v>286</v>
      </c>
      <c r="O202" t="s">
        <v>533</v>
      </c>
      <c r="P202">
        <v>7.0271386249618525E-2</v>
      </c>
      <c r="Q202" t="s">
        <v>162</v>
      </c>
      <c r="S202" t="s">
        <v>398</v>
      </c>
      <c r="T202" t="s">
        <v>533</v>
      </c>
      <c r="U202">
        <v>5.5378146841086051E-2</v>
      </c>
      <c r="V202" t="s">
        <v>162</v>
      </c>
      <c r="AK202">
        <v>2049</v>
      </c>
      <c r="AL202" t="s">
        <v>157</v>
      </c>
      <c r="AM202">
        <v>0.48859999999999998</v>
      </c>
      <c r="AN202" t="s">
        <v>510</v>
      </c>
    </row>
    <row r="203" spans="9:40" x14ac:dyDescent="0.45">
      <c r="I203" t="s">
        <v>174</v>
      </c>
      <c r="J203" t="s">
        <v>534</v>
      </c>
      <c r="K203">
        <v>3.6779005723287288E-2</v>
      </c>
      <c r="L203" t="s">
        <v>162</v>
      </c>
      <c r="N203" t="s">
        <v>286</v>
      </c>
      <c r="O203" t="s">
        <v>534</v>
      </c>
      <c r="P203">
        <v>9.9445748796906278E-2</v>
      </c>
      <c r="Q203" t="s">
        <v>162</v>
      </c>
      <c r="S203" t="s">
        <v>398</v>
      </c>
      <c r="T203" t="s">
        <v>534</v>
      </c>
      <c r="U203">
        <v>0.12796698895187975</v>
      </c>
      <c r="V203" t="s">
        <v>162</v>
      </c>
      <c r="AK203">
        <v>2049</v>
      </c>
      <c r="AL203" t="s">
        <v>512</v>
      </c>
      <c r="AM203">
        <v>0.49613333333333332</v>
      </c>
      <c r="AN203" t="s">
        <v>510</v>
      </c>
    </row>
    <row r="204" spans="9:40" x14ac:dyDescent="0.45">
      <c r="I204" t="s">
        <v>174</v>
      </c>
      <c r="J204" t="s">
        <v>535</v>
      </c>
      <c r="K204">
        <v>1.8784406139478578E-2</v>
      </c>
      <c r="L204" t="s">
        <v>162</v>
      </c>
      <c r="N204" t="s">
        <v>286</v>
      </c>
      <c r="O204" t="s">
        <v>535</v>
      </c>
      <c r="P204">
        <v>8.8415120362588893E-3</v>
      </c>
      <c r="Q204" t="s">
        <v>162</v>
      </c>
      <c r="S204" t="s">
        <v>398</v>
      </c>
      <c r="T204" t="s">
        <v>535</v>
      </c>
      <c r="U204">
        <v>1.402803814513121E-2</v>
      </c>
      <c r="V204" t="s">
        <v>162</v>
      </c>
      <c r="AK204">
        <v>2049</v>
      </c>
      <c r="AL204" t="s">
        <v>514</v>
      </c>
      <c r="AM204">
        <v>0.46029999999999999</v>
      </c>
      <c r="AN204" t="s">
        <v>510</v>
      </c>
    </row>
    <row r="205" spans="9:40" x14ac:dyDescent="0.45">
      <c r="I205" t="s">
        <v>174</v>
      </c>
      <c r="J205" t="s">
        <v>536</v>
      </c>
      <c r="K205">
        <v>4.0118380934049437E-2</v>
      </c>
      <c r="L205" t="s">
        <v>162</v>
      </c>
      <c r="N205" t="s">
        <v>286</v>
      </c>
      <c r="O205" t="s">
        <v>536</v>
      </c>
      <c r="P205">
        <v>1.820083145650022E-2</v>
      </c>
      <c r="Q205" t="s">
        <v>162</v>
      </c>
      <c r="S205" t="s">
        <v>398</v>
      </c>
      <c r="T205" t="s">
        <v>536</v>
      </c>
      <c r="U205">
        <v>2.7102350440601376E-2</v>
      </c>
      <c r="V205" t="s">
        <v>162</v>
      </c>
      <c r="AK205">
        <v>2049</v>
      </c>
      <c r="AL205" t="s">
        <v>516</v>
      </c>
      <c r="AM205">
        <v>0.49469999999999997</v>
      </c>
      <c r="AN205" t="s">
        <v>510</v>
      </c>
    </row>
    <row r="206" spans="9:40" x14ac:dyDescent="0.45">
      <c r="I206" t="s">
        <v>174</v>
      </c>
      <c r="J206" t="s">
        <v>537</v>
      </c>
      <c r="K206">
        <v>8.3228735591743805E-2</v>
      </c>
      <c r="L206" t="s">
        <v>162</v>
      </c>
      <c r="N206" t="s">
        <v>286</v>
      </c>
      <c r="O206" t="s">
        <v>537</v>
      </c>
      <c r="P206">
        <v>5.3033957740583518E-2</v>
      </c>
      <c r="Q206" t="s">
        <v>162</v>
      </c>
      <c r="S206" t="s">
        <v>398</v>
      </c>
      <c r="T206" t="s">
        <v>537</v>
      </c>
      <c r="U206">
        <v>6.8221403812955592E-2</v>
      </c>
      <c r="V206" t="s">
        <v>162</v>
      </c>
      <c r="AK206">
        <v>2049</v>
      </c>
      <c r="AL206" t="s">
        <v>518</v>
      </c>
      <c r="AM206">
        <v>0.61419999999999997</v>
      </c>
      <c r="AN206" t="s">
        <v>510</v>
      </c>
    </row>
    <row r="207" spans="9:40" x14ac:dyDescent="0.45">
      <c r="I207" t="s">
        <v>174</v>
      </c>
      <c r="J207" t="s">
        <v>538</v>
      </c>
      <c r="K207">
        <v>7.4492058601925634E-3</v>
      </c>
      <c r="L207" t="s">
        <v>162</v>
      </c>
      <c r="N207" t="s">
        <v>286</v>
      </c>
      <c r="O207" t="s">
        <v>538</v>
      </c>
      <c r="P207">
        <v>1.1293002789816351E-2</v>
      </c>
      <c r="Q207" t="s">
        <v>162</v>
      </c>
      <c r="S207" t="s">
        <v>398</v>
      </c>
      <c r="T207" t="s">
        <v>538</v>
      </c>
      <c r="U207">
        <v>1.4632281190563687E-2</v>
      </c>
      <c r="V207" t="s">
        <v>162</v>
      </c>
      <c r="AK207">
        <v>2050</v>
      </c>
      <c r="AL207" t="s">
        <v>151</v>
      </c>
      <c r="AM207">
        <v>0.59340000000000004</v>
      </c>
      <c r="AN207" t="s">
        <v>510</v>
      </c>
    </row>
    <row r="208" spans="9:40" x14ac:dyDescent="0.45">
      <c r="I208" t="s">
        <v>174</v>
      </c>
      <c r="J208" t="s">
        <v>539</v>
      </c>
      <c r="K208">
        <v>4.9728993173842372E-3</v>
      </c>
      <c r="L208" t="s">
        <v>162</v>
      </c>
      <c r="N208" t="s">
        <v>286</v>
      </c>
      <c r="O208" t="s">
        <v>539</v>
      </c>
      <c r="P208">
        <v>7.5240369192622364E-2</v>
      </c>
      <c r="Q208" t="s">
        <v>162</v>
      </c>
      <c r="S208" t="s">
        <v>398</v>
      </c>
      <c r="T208" t="s">
        <v>539</v>
      </c>
      <c r="U208">
        <v>8.7991849774950795E-2</v>
      </c>
      <c r="V208" t="s">
        <v>162</v>
      </c>
      <c r="AK208">
        <v>2050</v>
      </c>
      <c r="AL208" t="s">
        <v>155</v>
      </c>
      <c r="AM208">
        <v>0.65944999999999998</v>
      </c>
      <c r="AN208" t="s">
        <v>510</v>
      </c>
    </row>
    <row r="209" spans="9:40" x14ac:dyDescent="0.45">
      <c r="I209" t="s">
        <v>174</v>
      </c>
      <c r="J209" t="s">
        <v>540</v>
      </c>
      <c r="K209">
        <v>1.7651090702402068E-3</v>
      </c>
      <c r="L209" t="s">
        <v>162</v>
      </c>
      <c r="N209" t="s">
        <v>286</v>
      </c>
      <c r="O209" t="s">
        <v>540</v>
      </c>
      <c r="P209">
        <v>3.7377129855134604E-2</v>
      </c>
      <c r="Q209" t="s">
        <v>162</v>
      </c>
      <c r="S209" t="s">
        <v>398</v>
      </c>
      <c r="T209" t="s">
        <v>540</v>
      </c>
      <c r="U209">
        <v>3.4100571584348774E-2</v>
      </c>
      <c r="V209" t="s">
        <v>162</v>
      </c>
      <c r="AK209">
        <v>2050</v>
      </c>
      <c r="AL209" t="s">
        <v>157</v>
      </c>
      <c r="AM209">
        <v>0.56430000000000002</v>
      </c>
      <c r="AN209" t="s">
        <v>510</v>
      </c>
    </row>
    <row r="210" spans="9:40" x14ac:dyDescent="0.45">
      <c r="I210" t="s">
        <v>174</v>
      </c>
      <c r="J210" t="s">
        <v>541</v>
      </c>
      <c r="K210">
        <v>3.4244023436084178E-3</v>
      </c>
      <c r="L210" t="s">
        <v>162</v>
      </c>
      <c r="N210" t="s">
        <v>286</v>
      </c>
      <c r="O210" t="s">
        <v>541</v>
      </c>
      <c r="P210">
        <v>3.7606061436724204E-3</v>
      </c>
      <c r="Q210" t="s">
        <v>162</v>
      </c>
      <c r="S210" t="s">
        <v>398</v>
      </c>
      <c r="T210" t="s">
        <v>541</v>
      </c>
      <c r="U210">
        <v>3.9216039796478161E-3</v>
      </c>
      <c r="V210" t="s">
        <v>162</v>
      </c>
      <c r="AK210">
        <v>2050</v>
      </c>
      <c r="AL210" t="s">
        <v>512</v>
      </c>
      <c r="AM210">
        <v>0.46329999999999999</v>
      </c>
      <c r="AN210" t="s">
        <v>510</v>
      </c>
    </row>
    <row r="211" spans="9:40" x14ac:dyDescent="0.45">
      <c r="I211" t="s">
        <v>174</v>
      </c>
      <c r="J211" t="s">
        <v>542</v>
      </c>
      <c r="K211">
        <v>9.4522268597311086E-3</v>
      </c>
      <c r="L211" t="s">
        <v>162</v>
      </c>
      <c r="N211" t="s">
        <v>286</v>
      </c>
      <c r="O211" t="s">
        <v>542</v>
      </c>
      <c r="P211">
        <v>6.2661514597708804E-3</v>
      </c>
      <c r="Q211" t="s">
        <v>162</v>
      </c>
      <c r="S211" t="s">
        <v>398</v>
      </c>
      <c r="T211" t="s">
        <v>542</v>
      </c>
      <c r="U211">
        <v>7.9210959940617248E-3</v>
      </c>
      <c r="V211" t="s">
        <v>162</v>
      </c>
      <c r="AK211">
        <v>2050</v>
      </c>
      <c r="AL211" t="s">
        <v>514</v>
      </c>
      <c r="AM211">
        <v>0.44940000000000002</v>
      </c>
      <c r="AN211" t="s">
        <v>510</v>
      </c>
    </row>
    <row r="212" spans="9:40" x14ac:dyDescent="0.45">
      <c r="I212" t="s">
        <v>174</v>
      </c>
      <c r="J212" t="s">
        <v>543</v>
      </c>
      <c r="K212">
        <v>1.4942623354390304E-2</v>
      </c>
      <c r="L212" t="s">
        <v>162</v>
      </c>
      <c r="N212" t="s">
        <v>286</v>
      </c>
      <c r="O212" t="s">
        <v>543</v>
      </c>
      <c r="P212">
        <v>1.4701761932165804E-2</v>
      </c>
      <c r="Q212" t="s">
        <v>162</v>
      </c>
      <c r="S212" t="s">
        <v>398</v>
      </c>
      <c r="T212" t="s">
        <v>543</v>
      </c>
      <c r="U212">
        <v>2.0103194793706532E-2</v>
      </c>
      <c r="V212" t="s">
        <v>162</v>
      </c>
      <c r="AK212">
        <v>2050</v>
      </c>
      <c r="AL212" t="s">
        <v>516</v>
      </c>
      <c r="AM212">
        <v>0.55459999999999998</v>
      </c>
      <c r="AN212" t="s">
        <v>510</v>
      </c>
    </row>
    <row r="213" spans="9:40" x14ac:dyDescent="0.45">
      <c r="I213" t="s">
        <v>174</v>
      </c>
      <c r="J213" t="s">
        <v>544</v>
      </c>
      <c r="K213">
        <v>0</v>
      </c>
      <c r="L213" t="s">
        <v>162</v>
      </c>
      <c r="N213" t="s">
        <v>286</v>
      </c>
      <c r="O213" t="s">
        <v>544</v>
      </c>
      <c r="P213">
        <v>3.5528797374689042E-3</v>
      </c>
      <c r="Q213" t="s">
        <v>162</v>
      </c>
      <c r="S213" t="s">
        <v>398</v>
      </c>
      <c r="T213" t="s">
        <v>544</v>
      </c>
      <c r="U213">
        <v>4.0660077945845127E-3</v>
      </c>
      <c r="V213" t="s">
        <v>162</v>
      </c>
      <c r="AK213">
        <v>2050</v>
      </c>
      <c r="AL213" t="s">
        <v>518</v>
      </c>
      <c r="AM213">
        <v>0.61770000000000003</v>
      </c>
      <c r="AN213" t="s">
        <v>510</v>
      </c>
    </row>
    <row r="214" spans="9:40" x14ac:dyDescent="0.45">
      <c r="I214" t="s">
        <v>174</v>
      </c>
      <c r="J214" t="s">
        <v>545</v>
      </c>
      <c r="K214">
        <v>0</v>
      </c>
      <c r="L214" t="s">
        <v>162</v>
      </c>
      <c r="N214" t="s">
        <v>286</v>
      </c>
      <c r="O214" t="s">
        <v>545</v>
      </c>
      <c r="P214">
        <v>2.2739333715809214E-2</v>
      </c>
      <c r="Q214" t="s">
        <v>162</v>
      </c>
      <c r="S214" t="s">
        <v>398</v>
      </c>
      <c r="T214" t="s">
        <v>545</v>
      </c>
      <c r="U214">
        <v>2.3182182658688526E-2</v>
      </c>
      <c r="V214" t="s">
        <v>162</v>
      </c>
    </row>
    <row r="215" spans="9:40" x14ac:dyDescent="0.45">
      <c r="I215" t="s">
        <v>174</v>
      </c>
      <c r="J215" t="s">
        <v>546</v>
      </c>
      <c r="K215">
        <v>2.4547744681844766E-4</v>
      </c>
      <c r="L215" t="s">
        <v>162</v>
      </c>
      <c r="N215" t="s">
        <v>286</v>
      </c>
      <c r="O215" t="s">
        <v>546</v>
      </c>
      <c r="P215">
        <v>3.8213201952572051E-2</v>
      </c>
      <c r="Q215" t="s">
        <v>162</v>
      </c>
      <c r="S215" t="s">
        <v>398</v>
      </c>
      <c r="T215" t="s">
        <v>546</v>
      </c>
      <c r="U215">
        <v>2.5828586648031563E-2</v>
      </c>
      <c r="V215" t="s">
        <v>162</v>
      </c>
    </row>
    <row r="216" spans="9:40" x14ac:dyDescent="0.45">
      <c r="I216" t="s">
        <v>174</v>
      </c>
      <c r="J216" t="s">
        <v>547</v>
      </c>
      <c r="K216">
        <v>4.815699841110346E-3</v>
      </c>
      <c r="L216" t="s">
        <v>162</v>
      </c>
      <c r="N216" t="s">
        <v>286</v>
      </c>
      <c r="O216" t="s">
        <v>547</v>
      </c>
      <c r="P216">
        <v>4.4197807309258718E-3</v>
      </c>
      <c r="Q216" t="s">
        <v>162</v>
      </c>
      <c r="S216" t="s">
        <v>398</v>
      </c>
      <c r="T216" t="s">
        <v>547</v>
      </c>
      <c r="U216">
        <v>2.685519775271367E-3</v>
      </c>
      <c r="V216" t="s">
        <v>162</v>
      </c>
    </row>
    <row r="217" spans="9:40" x14ac:dyDescent="0.45">
      <c r="I217" t="s">
        <v>174</v>
      </c>
      <c r="J217" t="s">
        <v>548</v>
      </c>
      <c r="K217">
        <v>1.4025718389215926E-2</v>
      </c>
      <c r="L217" t="s">
        <v>162</v>
      </c>
      <c r="N217" t="s">
        <v>286</v>
      </c>
      <c r="O217" t="s">
        <v>548</v>
      </c>
      <c r="P217">
        <v>8.6849318566153549E-3</v>
      </c>
      <c r="Q217" t="s">
        <v>162</v>
      </c>
      <c r="S217" t="s">
        <v>398</v>
      </c>
      <c r="T217" t="s">
        <v>548</v>
      </c>
      <c r="U217">
        <v>5.2006123488688924E-3</v>
      </c>
      <c r="V217" t="s">
        <v>162</v>
      </c>
    </row>
    <row r="218" spans="9:40" x14ac:dyDescent="0.45">
      <c r="I218" t="s">
        <v>174</v>
      </c>
      <c r="J218" t="s">
        <v>549</v>
      </c>
      <c r="K218">
        <v>2.2982664362017388E-2</v>
      </c>
      <c r="L218" t="s">
        <v>162</v>
      </c>
      <c r="N218" t="s">
        <v>286</v>
      </c>
      <c r="O218" t="s">
        <v>549</v>
      </c>
      <c r="P218">
        <v>2.1917392001700911E-2</v>
      </c>
      <c r="Q218" t="s">
        <v>162</v>
      </c>
      <c r="S218" t="s">
        <v>398</v>
      </c>
      <c r="T218" t="s">
        <v>549</v>
      </c>
      <c r="U218">
        <v>1.2926691303292605E-2</v>
      </c>
      <c r="V218" t="s">
        <v>162</v>
      </c>
    </row>
    <row r="219" spans="9:40" x14ac:dyDescent="0.45">
      <c r="I219" t="s">
        <v>174</v>
      </c>
      <c r="J219" t="s">
        <v>550</v>
      </c>
      <c r="K219">
        <v>0</v>
      </c>
      <c r="L219" t="s">
        <v>162</v>
      </c>
      <c r="N219" t="s">
        <v>286</v>
      </c>
      <c r="O219" t="s">
        <v>550</v>
      </c>
      <c r="P219">
        <v>4.9789840644844522E-3</v>
      </c>
      <c r="Q219" t="s">
        <v>162</v>
      </c>
      <c r="S219" t="s">
        <v>398</v>
      </c>
      <c r="T219" t="s">
        <v>550</v>
      </c>
      <c r="U219">
        <v>2.6422195880960488E-3</v>
      </c>
      <c r="V219" t="s">
        <v>162</v>
      </c>
    </row>
    <row r="220" spans="9:40" x14ac:dyDescent="0.45">
      <c r="I220" t="s">
        <v>174</v>
      </c>
      <c r="J220" t="s">
        <v>551</v>
      </c>
      <c r="K220">
        <v>0</v>
      </c>
      <c r="L220" t="s">
        <v>162</v>
      </c>
      <c r="N220" t="s">
        <v>286</v>
      </c>
      <c r="O220" t="s">
        <v>551</v>
      </c>
      <c r="P220">
        <v>2.9395698637298229E-2</v>
      </c>
      <c r="Q220" t="s">
        <v>162</v>
      </c>
      <c r="S220" t="s">
        <v>398</v>
      </c>
      <c r="T220" t="s">
        <v>551</v>
      </c>
      <c r="U220">
        <v>1.6673565787224062E-2</v>
      </c>
      <c r="V220" t="s">
        <v>162</v>
      </c>
    </row>
    <row r="221" spans="9:40" x14ac:dyDescent="0.45">
      <c r="I221" t="s">
        <v>175</v>
      </c>
      <c r="J221" t="s">
        <v>161</v>
      </c>
      <c r="K221">
        <v>6.1403079552937783E-4</v>
      </c>
      <c r="L221" t="s">
        <v>162</v>
      </c>
      <c r="N221" t="s">
        <v>287</v>
      </c>
      <c r="O221" t="s">
        <v>161</v>
      </c>
      <c r="P221">
        <v>3.1383772660062884E-2</v>
      </c>
      <c r="Q221" t="s">
        <v>162</v>
      </c>
      <c r="S221" t="s">
        <v>399</v>
      </c>
      <c r="T221" t="s">
        <v>161</v>
      </c>
      <c r="U221">
        <v>2.2351386816798022E-2</v>
      </c>
      <c r="V221" t="s">
        <v>162</v>
      </c>
    </row>
    <row r="222" spans="9:40" x14ac:dyDescent="0.45">
      <c r="I222" t="s">
        <v>175</v>
      </c>
      <c r="J222" t="s">
        <v>163</v>
      </c>
      <c r="K222">
        <v>4.251610268158487E-3</v>
      </c>
      <c r="L222" t="s">
        <v>162</v>
      </c>
      <c r="N222" t="s">
        <v>287</v>
      </c>
      <c r="O222" t="s">
        <v>163</v>
      </c>
      <c r="P222">
        <v>3.3823677307654948E-3</v>
      </c>
      <c r="Q222" t="s">
        <v>162</v>
      </c>
      <c r="S222" t="s">
        <v>399</v>
      </c>
      <c r="T222" t="s">
        <v>163</v>
      </c>
      <c r="U222">
        <v>2.3809441383181198E-3</v>
      </c>
      <c r="V222" t="s">
        <v>162</v>
      </c>
    </row>
    <row r="223" spans="9:40" x14ac:dyDescent="0.45">
      <c r="I223" t="s">
        <v>175</v>
      </c>
      <c r="J223" t="s">
        <v>164</v>
      </c>
      <c r="K223">
        <v>1.3701862958200466E-2</v>
      </c>
      <c r="L223" t="s">
        <v>162</v>
      </c>
      <c r="N223" t="s">
        <v>287</v>
      </c>
      <c r="O223" t="s">
        <v>164</v>
      </c>
      <c r="P223">
        <v>6.0442887846984877E-3</v>
      </c>
      <c r="Q223" t="s">
        <v>162</v>
      </c>
      <c r="S223" t="s">
        <v>399</v>
      </c>
      <c r="T223" t="s">
        <v>164</v>
      </c>
      <c r="U223">
        <v>5.116128342378558E-3</v>
      </c>
      <c r="V223" t="s">
        <v>162</v>
      </c>
    </row>
    <row r="224" spans="9:40" x14ac:dyDescent="0.45">
      <c r="I224" t="s">
        <v>175</v>
      </c>
      <c r="J224" t="s">
        <v>519</v>
      </c>
      <c r="K224">
        <v>2.5252138795146175E-2</v>
      </c>
      <c r="L224" t="s">
        <v>162</v>
      </c>
      <c r="N224" t="s">
        <v>287</v>
      </c>
      <c r="O224" t="s">
        <v>519</v>
      </c>
      <c r="P224">
        <v>1.3754319790915473E-2</v>
      </c>
      <c r="Q224" t="s">
        <v>162</v>
      </c>
      <c r="S224" t="s">
        <v>399</v>
      </c>
      <c r="T224" t="s">
        <v>519</v>
      </c>
      <c r="U224">
        <v>1.3625190918186625E-2</v>
      </c>
      <c r="V224" t="s">
        <v>162</v>
      </c>
    </row>
    <row r="225" spans="9:22" x14ac:dyDescent="0.45">
      <c r="I225" t="s">
        <v>175</v>
      </c>
      <c r="J225" t="s">
        <v>520</v>
      </c>
      <c r="K225">
        <v>0</v>
      </c>
      <c r="L225" t="s">
        <v>162</v>
      </c>
      <c r="N225" t="s">
        <v>287</v>
      </c>
      <c r="O225" t="s">
        <v>520</v>
      </c>
      <c r="P225">
        <v>2.8817002457000238E-3</v>
      </c>
      <c r="Q225" t="s">
        <v>162</v>
      </c>
      <c r="S225" t="s">
        <v>399</v>
      </c>
      <c r="T225" t="s">
        <v>520</v>
      </c>
      <c r="U225">
        <v>2.5615177924531466E-3</v>
      </c>
      <c r="V225" t="s">
        <v>162</v>
      </c>
    </row>
    <row r="226" spans="9:22" x14ac:dyDescent="0.45">
      <c r="I226" t="s">
        <v>175</v>
      </c>
      <c r="J226" t="s">
        <v>521</v>
      </c>
      <c r="K226">
        <v>0</v>
      </c>
      <c r="L226" t="s">
        <v>162</v>
      </c>
      <c r="N226" t="s">
        <v>287</v>
      </c>
      <c r="O226" t="s">
        <v>521</v>
      </c>
      <c r="P226">
        <v>1.601624272179902E-2</v>
      </c>
      <c r="Q226" t="s">
        <v>162</v>
      </c>
      <c r="S226" t="s">
        <v>399</v>
      </c>
      <c r="T226" t="s">
        <v>521</v>
      </c>
      <c r="U226">
        <v>1.6613167262417225E-2</v>
      </c>
      <c r="V226" t="s">
        <v>162</v>
      </c>
    </row>
    <row r="227" spans="9:22" x14ac:dyDescent="0.45">
      <c r="I227" t="s">
        <v>175</v>
      </c>
      <c r="J227" t="s">
        <v>165</v>
      </c>
      <c r="K227">
        <v>1.6833870237087711E-2</v>
      </c>
      <c r="L227" t="s">
        <v>162</v>
      </c>
      <c r="N227" t="s">
        <v>287</v>
      </c>
      <c r="O227" t="s">
        <v>165</v>
      </c>
      <c r="P227">
        <v>5.779652696284264E-2</v>
      </c>
      <c r="Q227" t="s">
        <v>162</v>
      </c>
      <c r="S227" t="s">
        <v>399</v>
      </c>
      <c r="T227" t="s">
        <v>165</v>
      </c>
      <c r="U227">
        <v>4.585498264612544E-2</v>
      </c>
      <c r="V227" t="s">
        <v>162</v>
      </c>
    </row>
    <row r="228" spans="9:22" x14ac:dyDescent="0.45">
      <c r="I228" t="s">
        <v>175</v>
      </c>
      <c r="J228" t="s">
        <v>166</v>
      </c>
      <c r="K228">
        <v>1.6672940193215025E-2</v>
      </c>
      <c r="L228" t="s">
        <v>162</v>
      </c>
      <c r="N228" t="s">
        <v>287</v>
      </c>
      <c r="O228" t="s">
        <v>166</v>
      </c>
      <c r="P228">
        <v>4.6470397989572748E-3</v>
      </c>
      <c r="Q228" t="s">
        <v>162</v>
      </c>
      <c r="S228" t="s">
        <v>399</v>
      </c>
      <c r="T228" t="s">
        <v>166</v>
      </c>
      <c r="U228">
        <v>5.3358661436240786E-3</v>
      </c>
      <c r="V228" t="s">
        <v>162</v>
      </c>
    </row>
    <row r="229" spans="9:22" x14ac:dyDescent="0.45">
      <c r="I229" t="s">
        <v>175</v>
      </c>
      <c r="J229" t="s">
        <v>167</v>
      </c>
      <c r="K229">
        <v>3.9231742318458579E-2</v>
      </c>
      <c r="L229" t="s">
        <v>162</v>
      </c>
      <c r="N229" t="s">
        <v>287</v>
      </c>
      <c r="O229" t="s">
        <v>167</v>
      </c>
      <c r="P229">
        <v>7.2218051504290334E-3</v>
      </c>
      <c r="Q229" t="s">
        <v>162</v>
      </c>
      <c r="S229" t="s">
        <v>399</v>
      </c>
      <c r="T229" t="s">
        <v>167</v>
      </c>
      <c r="U229">
        <v>1.0517061532195575E-2</v>
      </c>
      <c r="V229" t="s">
        <v>162</v>
      </c>
    </row>
    <row r="230" spans="9:22" x14ac:dyDescent="0.45">
      <c r="I230" t="s">
        <v>175</v>
      </c>
      <c r="J230" t="s">
        <v>522</v>
      </c>
      <c r="K230">
        <v>8.6035663185925509E-2</v>
      </c>
      <c r="L230" t="s">
        <v>162</v>
      </c>
      <c r="N230" t="s">
        <v>287</v>
      </c>
      <c r="O230" t="s">
        <v>522</v>
      </c>
      <c r="P230">
        <v>1.9745095655107466E-2</v>
      </c>
      <c r="Q230" t="s">
        <v>162</v>
      </c>
      <c r="S230" t="s">
        <v>399</v>
      </c>
      <c r="T230" t="s">
        <v>522</v>
      </c>
      <c r="U230">
        <v>2.5180642769494214E-2</v>
      </c>
      <c r="V230" t="s">
        <v>162</v>
      </c>
    </row>
    <row r="231" spans="9:22" x14ac:dyDescent="0.45">
      <c r="I231" t="s">
        <v>175</v>
      </c>
      <c r="J231" t="s">
        <v>523</v>
      </c>
      <c r="K231">
        <v>5.5180795992753372E-3</v>
      </c>
      <c r="L231" t="s">
        <v>162</v>
      </c>
      <c r="N231" t="s">
        <v>287</v>
      </c>
      <c r="O231" t="s">
        <v>523</v>
      </c>
      <c r="P231">
        <v>6.689208232050309E-3</v>
      </c>
      <c r="Q231" t="s">
        <v>162</v>
      </c>
      <c r="S231" t="s">
        <v>399</v>
      </c>
      <c r="T231" t="s">
        <v>523</v>
      </c>
      <c r="U231">
        <v>4.9307218732964047E-3</v>
      </c>
      <c r="V231" t="s">
        <v>162</v>
      </c>
    </row>
    <row r="232" spans="9:22" x14ac:dyDescent="0.45">
      <c r="I232" t="s">
        <v>175</v>
      </c>
      <c r="J232" t="s">
        <v>524</v>
      </c>
      <c r="K232">
        <v>1.0040632315846114E-3</v>
      </c>
      <c r="L232" t="s">
        <v>162</v>
      </c>
      <c r="N232" t="s">
        <v>287</v>
      </c>
      <c r="O232" t="s">
        <v>524</v>
      </c>
      <c r="P232">
        <v>4.5632920858383025E-2</v>
      </c>
      <c r="Q232" t="s">
        <v>162</v>
      </c>
      <c r="S232" t="s">
        <v>399</v>
      </c>
      <c r="T232" t="s">
        <v>524</v>
      </c>
      <c r="U232">
        <v>2.9942644311895306E-2</v>
      </c>
      <c r="V232" t="s">
        <v>162</v>
      </c>
    </row>
    <row r="233" spans="9:22" x14ac:dyDescent="0.45">
      <c r="I233" t="s">
        <v>175</v>
      </c>
      <c r="J233" t="s">
        <v>168</v>
      </c>
      <c r="K233">
        <v>2.9215997337851924E-2</v>
      </c>
      <c r="L233" t="s">
        <v>162</v>
      </c>
      <c r="N233" t="s">
        <v>287</v>
      </c>
      <c r="O233" t="s">
        <v>168</v>
      </c>
      <c r="P233">
        <v>4.3861453082053442E-2</v>
      </c>
      <c r="Q233" t="s">
        <v>162</v>
      </c>
      <c r="S233" t="s">
        <v>399</v>
      </c>
      <c r="T233" t="s">
        <v>168</v>
      </c>
      <c r="U233">
        <v>2.6764371510261727E-2</v>
      </c>
      <c r="V233" t="s">
        <v>162</v>
      </c>
    </row>
    <row r="234" spans="9:22" x14ac:dyDescent="0.45">
      <c r="I234" t="s">
        <v>175</v>
      </c>
      <c r="J234" t="s">
        <v>169</v>
      </c>
      <c r="K234">
        <v>1.3761201250053251E-2</v>
      </c>
      <c r="L234" t="s">
        <v>162</v>
      </c>
      <c r="N234" t="s">
        <v>287</v>
      </c>
      <c r="O234" t="s">
        <v>169</v>
      </c>
      <c r="P234">
        <v>3.0618910425420903E-3</v>
      </c>
      <c r="Q234" t="s">
        <v>162</v>
      </c>
      <c r="S234" t="s">
        <v>399</v>
      </c>
      <c r="T234" t="s">
        <v>169</v>
      </c>
      <c r="U234">
        <v>2.7385242817469899E-3</v>
      </c>
      <c r="V234" t="s">
        <v>162</v>
      </c>
    </row>
    <row r="235" spans="9:22" x14ac:dyDescent="0.45">
      <c r="I235" t="s">
        <v>175</v>
      </c>
      <c r="J235" t="s">
        <v>170</v>
      </c>
      <c r="K235">
        <v>2.8616277784152641E-2</v>
      </c>
      <c r="L235" t="s">
        <v>162</v>
      </c>
      <c r="N235" t="s">
        <v>287</v>
      </c>
      <c r="O235" t="s">
        <v>170</v>
      </c>
      <c r="P235">
        <v>6.7641867650962157E-3</v>
      </c>
      <c r="Q235" t="s">
        <v>162</v>
      </c>
      <c r="S235" t="s">
        <v>399</v>
      </c>
      <c r="T235" t="s">
        <v>170</v>
      </c>
      <c r="U235">
        <v>5.5449512392585594E-3</v>
      </c>
      <c r="V235" t="s">
        <v>162</v>
      </c>
    </row>
    <row r="236" spans="9:22" x14ac:dyDescent="0.45">
      <c r="I236" t="s">
        <v>175</v>
      </c>
      <c r="J236" t="s">
        <v>525</v>
      </c>
      <c r="K236">
        <v>6.4115204488170152E-2</v>
      </c>
      <c r="L236" t="s">
        <v>162</v>
      </c>
      <c r="N236" t="s">
        <v>287</v>
      </c>
      <c r="O236" t="s">
        <v>525</v>
      </c>
      <c r="P236">
        <v>2.1982294488523079E-2</v>
      </c>
      <c r="Q236" t="s">
        <v>162</v>
      </c>
      <c r="S236" t="s">
        <v>399</v>
      </c>
      <c r="T236" t="s">
        <v>525</v>
      </c>
      <c r="U236">
        <v>1.4564896605349677E-2</v>
      </c>
      <c r="V236" t="s">
        <v>162</v>
      </c>
    </row>
    <row r="237" spans="9:22" x14ac:dyDescent="0.45">
      <c r="I237" t="s">
        <v>175</v>
      </c>
      <c r="J237" t="s">
        <v>526</v>
      </c>
      <c r="K237">
        <v>7.4178293495987839E-3</v>
      </c>
      <c r="L237" t="s">
        <v>162</v>
      </c>
      <c r="N237" t="s">
        <v>287</v>
      </c>
      <c r="O237" t="s">
        <v>526</v>
      </c>
      <c r="P237">
        <v>4.6585096869717867E-3</v>
      </c>
      <c r="Q237" t="s">
        <v>162</v>
      </c>
      <c r="S237" t="s">
        <v>399</v>
      </c>
      <c r="T237" t="s">
        <v>526</v>
      </c>
      <c r="U237">
        <v>2.952592570355096E-3</v>
      </c>
      <c r="V237" t="s">
        <v>162</v>
      </c>
    </row>
    <row r="238" spans="9:22" x14ac:dyDescent="0.45">
      <c r="I238" t="s">
        <v>175</v>
      </c>
      <c r="J238" t="s">
        <v>527</v>
      </c>
      <c r="K238">
        <v>4.9249960635800996E-3</v>
      </c>
      <c r="L238" t="s">
        <v>162</v>
      </c>
      <c r="N238" t="s">
        <v>287</v>
      </c>
      <c r="O238" t="s">
        <v>527</v>
      </c>
      <c r="P238">
        <v>3.957146648694497E-2</v>
      </c>
      <c r="Q238" t="s">
        <v>162</v>
      </c>
      <c r="S238" t="s">
        <v>399</v>
      </c>
      <c r="T238" t="s">
        <v>527</v>
      </c>
      <c r="U238">
        <v>1.8448653353264208E-2</v>
      </c>
      <c r="V238" t="s">
        <v>162</v>
      </c>
    </row>
    <row r="239" spans="9:22" x14ac:dyDescent="0.45">
      <c r="I239" t="s">
        <v>175</v>
      </c>
      <c r="J239" t="s">
        <v>528</v>
      </c>
      <c r="K239">
        <v>8.4405399530114458E-2</v>
      </c>
      <c r="L239" t="s">
        <v>162</v>
      </c>
      <c r="N239" t="s">
        <v>287</v>
      </c>
      <c r="O239" t="s">
        <v>528</v>
      </c>
      <c r="P239">
        <v>9.1547665155875632E-2</v>
      </c>
      <c r="Q239" t="s">
        <v>162</v>
      </c>
      <c r="S239" t="s">
        <v>399</v>
      </c>
      <c r="T239" t="s">
        <v>528</v>
      </c>
      <c r="U239">
        <v>9.7826998486103489E-2</v>
      </c>
      <c r="V239" t="s">
        <v>162</v>
      </c>
    </row>
    <row r="240" spans="9:22" x14ac:dyDescent="0.45">
      <c r="I240" t="s">
        <v>175</v>
      </c>
      <c r="J240" t="s">
        <v>529</v>
      </c>
      <c r="K240">
        <v>3.0965866927988417E-2</v>
      </c>
      <c r="L240" t="s">
        <v>162</v>
      </c>
      <c r="N240" t="s">
        <v>287</v>
      </c>
      <c r="O240" t="s">
        <v>529</v>
      </c>
      <c r="P240">
        <v>6.848950386170935E-3</v>
      </c>
      <c r="Q240" t="s">
        <v>162</v>
      </c>
      <c r="S240" t="s">
        <v>399</v>
      </c>
      <c r="T240" t="s">
        <v>529</v>
      </c>
      <c r="U240">
        <v>1.0721844977954016E-2</v>
      </c>
      <c r="V240" t="s">
        <v>162</v>
      </c>
    </row>
    <row r="241" spans="9:22" x14ac:dyDescent="0.45">
      <c r="I241" t="s">
        <v>175</v>
      </c>
      <c r="J241" t="s">
        <v>530</v>
      </c>
      <c r="K241">
        <v>6.5269149500866805E-2</v>
      </c>
      <c r="L241" t="s">
        <v>162</v>
      </c>
      <c r="N241" t="s">
        <v>287</v>
      </c>
      <c r="O241" t="s">
        <v>530</v>
      </c>
      <c r="P241">
        <v>1.6205145409780155E-2</v>
      </c>
      <c r="Q241" t="s">
        <v>162</v>
      </c>
      <c r="S241" t="s">
        <v>399</v>
      </c>
      <c r="T241" t="s">
        <v>530</v>
      </c>
      <c r="U241">
        <v>2.1530576208649569E-2</v>
      </c>
      <c r="V241" t="s">
        <v>162</v>
      </c>
    </row>
    <row r="242" spans="9:22" x14ac:dyDescent="0.45">
      <c r="I242" t="s">
        <v>175</v>
      </c>
      <c r="J242" t="s">
        <v>531</v>
      </c>
      <c r="K242">
        <v>0.14704987841925138</v>
      </c>
      <c r="L242" t="s">
        <v>162</v>
      </c>
      <c r="N242" t="s">
        <v>287</v>
      </c>
      <c r="O242" t="s">
        <v>531</v>
      </c>
      <c r="P242">
        <v>4.7108305690962131E-2</v>
      </c>
      <c r="Q242" t="s">
        <v>162</v>
      </c>
      <c r="S242" t="s">
        <v>399</v>
      </c>
      <c r="T242" t="s">
        <v>531</v>
      </c>
      <c r="U242">
        <v>5.5444752137580308E-2</v>
      </c>
      <c r="V242" t="s">
        <v>162</v>
      </c>
    </row>
    <row r="243" spans="9:22" x14ac:dyDescent="0.45">
      <c r="I243" t="s">
        <v>175</v>
      </c>
      <c r="J243" t="s">
        <v>532</v>
      </c>
      <c r="K243">
        <v>1.9334674059851922E-2</v>
      </c>
      <c r="L243" t="s">
        <v>162</v>
      </c>
      <c r="N243" t="s">
        <v>287</v>
      </c>
      <c r="O243" t="s">
        <v>532</v>
      </c>
      <c r="P243">
        <v>8.6123535943459992E-3</v>
      </c>
      <c r="Q243" t="s">
        <v>162</v>
      </c>
      <c r="S243" t="s">
        <v>399</v>
      </c>
      <c r="T243" t="s">
        <v>532</v>
      </c>
      <c r="U243">
        <v>1.1031909031763593E-2</v>
      </c>
      <c r="V243" t="s">
        <v>162</v>
      </c>
    </row>
    <row r="244" spans="9:22" x14ac:dyDescent="0.45">
      <c r="I244" t="s">
        <v>175</v>
      </c>
      <c r="J244" t="s">
        <v>533</v>
      </c>
      <c r="K244">
        <v>2.7175065084016545E-2</v>
      </c>
      <c r="L244" t="s">
        <v>162</v>
      </c>
      <c r="N244" t="s">
        <v>287</v>
      </c>
      <c r="O244" t="s">
        <v>533</v>
      </c>
      <c r="P244">
        <v>6.9536719155876781E-2</v>
      </c>
      <c r="Q244" t="s">
        <v>162</v>
      </c>
      <c r="S244" t="s">
        <v>399</v>
      </c>
      <c r="T244" t="s">
        <v>533</v>
      </c>
      <c r="U244">
        <v>6.5901718815049443E-2</v>
      </c>
      <c r="V244" t="s">
        <v>162</v>
      </c>
    </row>
    <row r="245" spans="9:22" x14ac:dyDescent="0.45">
      <c r="I245" t="s">
        <v>175</v>
      </c>
      <c r="J245" t="s">
        <v>534</v>
      </c>
      <c r="K245">
        <v>3.911813881479502E-2</v>
      </c>
      <c r="L245" t="s">
        <v>162</v>
      </c>
      <c r="N245" t="s">
        <v>287</v>
      </c>
      <c r="O245" t="s">
        <v>534</v>
      </c>
      <c r="P245">
        <v>9.6731173571323575E-2</v>
      </c>
      <c r="Q245" t="s">
        <v>162</v>
      </c>
      <c r="S245" t="s">
        <v>399</v>
      </c>
      <c r="T245" t="s">
        <v>534</v>
      </c>
      <c r="U245">
        <v>0.1209852428342006</v>
      </c>
      <c r="V245" t="s">
        <v>162</v>
      </c>
    </row>
    <row r="246" spans="9:22" x14ac:dyDescent="0.45">
      <c r="I246" t="s">
        <v>175</v>
      </c>
      <c r="J246" t="s">
        <v>535</v>
      </c>
      <c r="K246">
        <v>1.9689585219668671E-2</v>
      </c>
      <c r="L246" t="s">
        <v>162</v>
      </c>
      <c r="N246" t="s">
        <v>287</v>
      </c>
      <c r="O246" t="s">
        <v>535</v>
      </c>
      <c r="P246">
        <v>7.6617408954795969E-3</v>
      </c>
      <c r="Q246" t="s">
        <v>162</v>
      </c>
      <c r="S246" t="s">
        <v>399</v>
      </c>
      <c r="T246" t="s">
        <v>535</v>
      </c>
      <c r="U246">
        <v>1.3134975643694672E-2</v>
      </c>
      <c r="V246" t="s">
        <v>162</v>
      </c>
    </row>
    <row r="247" spans="9:22" x14ac:dyDescent="0.45">
      <c r="I247" t="s">
        <v>175</v>
      </c>
      <c r="J247" t="s">
        <v>536</v>
      </c>
      <c r="K247">
        <v>4.1706427473915383E-2</v>
      </c>
      <c r="L247" t="s">
        <v>162</v>
      </c>
      <c r="N247" t="s">
        <v>287</v>
      </c>
      <c r="O247" t="s">
        <v>536</v>
      </c>
      <c r="P247">
        <v>1.5351598807552883E-2</v>
      </c>
      <c r="Q247" t="s">
        <v>162</v>
      </c>
      <c r="S247" t="s">
        <v>399</v>
      </c>
      <c r="T247" t="s">
        <v>536</v>
      </c>
      <c r="U247">
        <v>2.6172002628876496E-2</v>
      </c>
      <c r="V247" t="s">
        <v>162</v>
      </c>
    </row>
    <row r="248" spans="9:22" x14ac:dyDescent="0.45">
      <c r="I248" t="s">
        <v>175</v>
      </c>
      <c r="J248" t="s">
        <v>537</v>
      </c>
      <c r="K248">
        <v>8.5345820297785396E-2</v>
      </c>
      <c r="L248" t="s">
        <v>162</v>
      </c>
      <c r="N248" t="s">
        <v>287</v>
      </c>
      <c r="O248" t="s">
        <v>537</v>
      </c>
      <c r="P248">
        <v>4.4367684655176931E-2</v>
      </c>
      <c r="Q248" t="s">
        <v>162</v>
      </c>
      <c r="S248" t="s">
        <v>399</v>
      </c>
      <c r="T248" t="s">
        <v>537</v>
      </c>
      <c r="U248">
        <v>6.8241156988990956E-2</v>
      </c>
      <c r="V248" t="s">
        <v>162</v>
      </c>
    </row>
    <row r="249" spans="9:22" x14ac:dyDescent="0.45">
      <c r="I249" t="s">
        <v>175</v>
      </c>
      <c r="J249" t="s">
        <v>538</v>
      </c>
      <c r="K249">
        <v>7.5841560272382558E-3</v>
      </c>
      <c r="L249" t="s">
        <v>162</v>
      </c>
      <c r="N249" t="s">
        <v>287</v>
      </c>
      <c r="O249" t="s">
        <v>538</v>
      </c>
      <c r="P249">
        <v>9.3689764806697932E-3</v>
      </c>
      <c r="Q249" t="s">
        <v>162</v>
      </c>
      <c r="S249" t="s">
        <v>399</v>
      </c>
      <c r="T249" t="s">
        <v>538</v>
      </c>
      <c r="U249">
        <v>1.3562942137025686E-2</v>
      </c>
      <c r="V249" t="s">
        <v>162</v>
      </c>
    </row>
    <row r="250" spans="9:22" x14ac:dyDescent="0.45">
      <c r="I250" t="s">
        <v>175</v>
      </c>
      <c r="J250" t="s">
        <v>539</v>
      </c>
      <c r="K250">
        <v>5.0821252962982861E-3</v>
      </c>
      <c r="L250" t="s">
        <v>162</v>
      </c>
      <c r="N250" t="s">
        <v>287</v>
      </c>
      <c r="O250" t="s">
        <v>539</v>
      </c>
      <c r="P250">
        <v>7.2440689226465085E-2</v>
      </c>
      <c r="Q250" t="s">
        <v>162</v>
      </c>
      <c r="S250" t="s">
        <v>399</v>
      </c>
      <c r="T250" t="s">
        <v>539</v>
      </c>
      <c r="U250">
        <v>8.1753566060606034E-2</v>
      </c>
      <c r="V250" t="s">
        <v>162</v>
      </c>
    </row>
    <row r="251" spans="9:22" x14ac:dyDescent="0.45">
      <c r="I251" t="s">
        <v>175</v>
      </c>
      <c r="J251" t="s">
        <v>540</v>
      </c>
      <c r="K251">
        <v>1.8007863105229214E-3</v>
      </c>
      <c r="L251" t="s">
        <v>162</v>
      </c>
      <c r="N251" t="s">
        <v>287</v>
      </c>
      <c r="O251" t="s">
        <v>540</v>
      </c>
      <c r="P251">
        <v>3.5467537905812627E-2</v>
      </c>
      <c r="Q251" t="s">
        <v>162</v>
      </c>
      <c r="S251" t="s">
        <v>399</v>
      </c>
      <c r="T251" t="s">
        <v>540</v>
      </c>
      <c r="U251">
        <v>3.1116269495669254E-2</v>
      </c>
      <c r="V251" t="s">
        <v>162</v>
      </c>
    </row>
    <row r="252" spans="9:22" x14ac:dyDescent="0.45">
      <c r="I252" t="s">
        <v>175</v>
      </c>
      <c r="J252" t="s">
        <v>541</v>
      </c>
      <c r="K252">
        <v>3.5741585858212691E-3</v>
      </c>
      <c r="L252" t="s">
        <v>162</v>
      </c>
      <c r="N252" t="s">
        <v>287</v>
      </c>
      <c r="O252" t="s">
        <v>541</v>
      </c>
      <c r="P252">
        <v>3.2865817373495111E-3</v>
      </c>
      <c r="Q252" t="s">
        <v>162</v>
      </c>
      <c r="S252" t="s">
        <v>399</v>
      </c>
      <c r="T252" t="s">
        <v>541</v>
      </c>
      <c r="U252">
        <v>3.096031666696007E-3</v>
      </c>
      <c r="V252" t="s">
        <v>162</v>
      </c>
    </row>
    <row r="253" spans="9:22" x14ac:dyDescent="0.45">
      <c r="I253" t="s">
        <v>175</v>
      </c>
      <c r="J253" t="s">
        <v>542</v>
      </c>
      <c r="K253">
        <v>9.4473146060325541E-3</v>
      </c>
      <c r="L253" t="s">
        <v>162</v>
      </c>
      <c r="N253" t="s">
        <v>287</v>
      </c>
      <c r="O253" t="s">
        <v>542</v>
      </c>
      <c r="P253">
        <v>5.2997061741529537E-3</v>
      </c>
      <c r="Q253" t="s">
        <v>162</v>
      </c>
      <c r="S253" t="s">
        <v>399</v>
      </c>
      <c r="T253" t="s">
        <v>542</v>
      </c>
      <c r="U253">
        <v>6.0986796294675823E-3</v>
      </c>
      <c r="V253" t="s">
        <v>162</v>
      </c>
    </row>
    <row r="254" spans="9:22" x14ac:dyDescent="0.45">
      <c r="I254" t="s">
        <v>175</v>
      </c>
      <c r="J254" t="s">
        <v>543</v>
      </c>
      <c r="K254">
        <v>1.4595731500121993E-2</v>
      </c>
      <c r="L254" t="s">
        <v>162</v>
      </c>
      <c r="N254" t="s">
        <v>287</v>
      </c>
      <c r="O254" t="s">
        <v>543</v>
      </c>
      <c r="P254">
        <v>1.3220704097468396E-2</v>
      </c>
      <c r="Q254" t="s">
        <v>162</v>
      </c>
      <c r="S254" t="s">
        <v>399</v>
      </c>
      <c r="T254" t="s">
        <v>543</v>
      </c>
      <c r="U254">
        <v>1.499617829185137E-2</v>
      </c>
      <c r="V254" t="s">
        <v>162</v>
      </c>
    </row>
    <row r="255" spans="9:22" x14ac:dyDescent="0.45">
      <c r="I255" t="s">
        <v>175</v>
      </c>
      <c r="J255" t="s">
        <v>544</v>
      </c>
      <c r="K255">
        <v>0</v>
      </c>
      <c r="L255" t="s">
        <v>162</v>
      </c>
      <c r="N255" t="s">
        <v>287</v>
      </c>
      <c r="O255" t="s">
        <v>544</v>
      </c>
      <c r="P255">
        <v>3.5950803941982193E-3</v>
      </c>
      <c r="Q255" t="s">
        <v>162</v>
      </c>
      <c r="S255" t="s">
        <v>399</v>
      </c>
      <c r="T255" t="s">
        <v>544</v>
      </c>
      <c r="U255">
        <v>2.8352158364718283E-3</v>
      </c>
      <c r="V255" t="s">
        <v>162</v>
      </c>
    </row>
    <row r="256" spans="9:22" x14ac:dyDescent="0.45">
      <c r="I256" t="s">
        <v>175</v>
      </c>
      <c r="J256" t="s">
        <v>545</v>
      </c>
      <c r="K256">
        <v>0</v>
      </c>
      <c r="L256" t="s">
        <v>162</v>
      </c>
      <c r="N256" t="s">
        <v>287</v>
      </c>
      <c r="O256" t="s">
        <v>545</v>
      </c>
      <c r="P256">
        <v>2.4033184128237663E-2</v>
      </c>
      <c r="Q256" t="s">
        <v>162</v>
      </c>
      <c r="S256" t="s">
        <v>399</v>
      </c>
      <c r="T256" t="s">
        <v>545</v>
      </c>
      <c r="U256">
        <v>1.7857274473811829E-2</v>
      </c>
      <c r="V256" t="s">
        <v>162</v>
      </c>
    </row>
    <row r="257" spans="9:22" x14ac:dyDescent="0.45">
      <c r="I257" t="s">
        <v>175</v>
      </c>
      <c r="J257" t="s">
        <v>546</v>
      </c>
      <c r="K257">
        <v>2.5417971507248642E-5</v>
      </c>
      <c r="L257" t="s">
        <v>162</v>
      </c>
      <c r="N257" t="s">
        <v>287</v>
      </c>
      <c r="O257" t="s">
        <v>546</v>
      </c>
      <c r="P257">
        <v>3.3925823567382447E-2</v>
      </c>
      <c r="Q257" t="s">
        <v>162</v>
      </c>
      <c r="S257" t="s">
        <v>399</v>
      </c>
      <c r="T257" t="s">
        <v>546</v>
      </c>
      <c r="U257">
        <v>3.2114322206735837E-2</v>
      </c>
      <c r="V257" t="s">
        <v>162</v>
      </c>
    </row>
    <row r="258" spans="9:22" x14ac:dyDescent="0.45">
      <c r="I258" t="s">
        <v>175</v>
      </c>
      <c r="J258" t="s">
        <v>547</v>
      </c>
      <c r="K258">
        <v>4.5437516469587066E-3</v>
      </c>
      <c r="L258" t="s">
        <v>162</v>
      </c>
      <c r="N258" t="s">
        <v>287</v>
      </c>
      <c r="O258" t="s">
        <v>547</v>
      </c>
      <c r="P258">
        <v>4.9319552101757423E-3</v>
      </c>
      <c r="Q258" t="s">
        <v>162</v>
      </c>
      <c r="S258" t="s">
        <v>399</v>
      </c>
      <c r="T258" t="s">
        <v>547</v>
      </c>
      <c r="U258">
        <v>3.5491160746971705E-3</v>
      </c>
      <c r="V258" t="s">
        <v>162</v>
      </c>
    </row>
    <row r="259" spans="9:22" x14ac:dyDescent="0.45">
      <c r="I259" t="s">
        <v>175</v>
      </c>
      <c r="J259" t="s">
        <v>548</v>
      </c>
      <c r="K259">
        <v>1.3935648605891065E-2</v>
      </c>
      <c r="L259" t="s">
        <v>162</v>
      </c>
      <c r="N259" t="s">
        <v>287</v>
      </c>
      <c r="O259" t="s">
        <v>548</v>
      </c>
      <c r="P259">
        <v>8.8540434836572989E-3</v>
      </c>
      <c r="Q259" t="s">
        <v>162</v>
      </c>
      <c r="S259" t="s">
        <v>399</v>
      </c>
      <c r="T259" t="s">
        <v>548</v>
      </c>
      <c r="U259">
        <v>7.0689893971371577E-3</v>
      </c>
      <c r="V259" t="s">
        <v>162</v>
      </c>
    </row>
    <row r="260" spans="9:22" x14ac:dyDescent="0.45">
      <c r="I260" t="s">
        <v>175</v>
      </c>
      <c r="J260" t="s">
        <v>549</v>
      </c>
      <c r="K260">
        <v>2.2183396265364103E-2</v>
      </c>
      <c r="L260" t="s">
        <v>162</v>
      </c>
      <c r="N260" t="s">
        <v>287</v>
      </c>
      <c r="O260" t="s">
        <v>549</v>
      </c>
      <c r="P260">
        <v>1.8495335761166912E-2</v>
      </c>
      <c r="Q260" t="s">
        <v>162</v>
      </c>
      <c r="S260" t="s">
        <v>399</v>
      </c>
      <c r="T260" t="s">
        <v>549</v>
      </c>
      <c r="U260">
        <v>1.6880185441765481E-2</v>
      </c>
      <c r="V260" t="s">
        <v>162</v>
      </c>
    </row>
    <row r="261" spans="9:22" x14ac:dyDescent="0.45">
      <c r="I261" t="s">
        <v>175</v>
      </c>
      <c r="J261" t="s">
        <v>550</v>
      </c>
      <c r="K261">
        <v>0</v>
      </c>
      <c r="L261" t="s">
        <v>162</v>
      </c>
      <c r="N261" t="s">
        <v>287</v>
      </c>
      <c r="O261" t="s">
        <v>550</v>
      </c>
      <c r="P261">
        <v>4.0665421122258313E-3</v>
      </c>
      <c r="Q261" t="s">
        <v>162</v>
      </c>
      <c r="S261" t="s">
        <v>399</v>
      </c>
      <c r="T261" t="s">
        <v>550</v>
      </c>
      <c r="U261">
        <v>3.1970158316763121E-3</v>
      </c>
      <c r="V261" t="s">
        <v>162</v>
      </c>
    </row>
    <row r="262" spans="9:22" x14ac:dyDescent="0.45">
      <c r="I262" t="s">
        <v>175</v>
      </c>
      <c r="J262" t="s">
        <v>551</v>
      </c>
      <c r="K262">
        <v>0</v>
      </c>
      <c r="L262" t="s">
        <v>162</v>
      </c>
      <c r="N262" t="s">
        <v>287</v>
      </c>
      <c r="O262" t="s">
        <v>551</v>
      </c>
      <c r="P262">
        <v>2.3947412254650951E-2</v>
      </c>
      <c r="Q262" t="s">
        <v>162</v>
      </c>
      <c r="S262" t="s">
        <v>399</v>
      </c>
      <c r="T262" t="s">
        <v>551</v>
      </c>
      <c r="U262">
        <v>1.9458791596105519E-2</v>
      </c>
      <c r="V262" t="s">
        <v>162</v>
      </c>
    </row>
    <row r="263" spans="9:22" x14ac:dyDescent="0.45">
      <c r="I263" t="s">
        <v>176</v>
      </c>
      <c r="J263" t="s">
        <v>161</v>
      </c>
      <c r="K263">
        <v>0</v>
      </c>
      <c r="L263" t="s">
        <v>162</v>
      </c>
      <c r="N263" t="s">
        <v>288</v>
      </c>
      <c r="O263" t="s">
        <v>161</v>
      </c>
      <c r="P263">
        <v>2.6276010814250513E-2</v>
      </c>
      <c r="Q263" t="s">
        <v>162</v>
      </c>
      <c r="S263" t="s">
        <v>400</v>
      </c>
      <c r="T263" t="s">
        <v>161</v>
      </c>
      <c r="U263">
        <v>2.4449002711835439E-2</v>
      </c>
      <c r="V263" t="s">
        <v>162</v>
      </c>
    </row>
    <row r="264" spans="9:22" x14ac:dyDescent="0.45">
      <c r="I264" t="s">
        <v>176</v>
      </c>
      <c r="J264" t="s">
        <v>163</v>
      </c>
      <c r="K264">
        <v>2.1115751265087212E-4</v>
      </c>
      <c r="L264" t="s">
        <v>162</v>
      </c>
      <c r="N264" t="s">
        <v>288</v>
      </c>
      <c r="O264" t="s">
        <v>163</v>
      </c>
      <c r="P264">
        <v>2.787491530226319E-3</v>
      </c>
      <c r="Q264" t="s">
        <v>162</v>
      </c>
      <c r="S264" t="s">
        <v>400</v>
      </c>
      <c r="T264" t="s">
        <v>163</v>
      </c>
      <c r="U264">
        <v>2.6875527365725405E-3</v>
      </c>
      <c r="V264" t="s">
        <v>162</v>
      </c>
    </row>
    <row r="265" spans="9:22" x14ac:dyDescent="0.45">
      <c r="I265" t="s">
        <v>176</v>
      </c>
      <c r="J265" t="s">
        <v>164</v>
      </c>
      <c r="K265">
        <v>7.825708547843745E-3</v>
      </c>
      <c r="L265" t="s">
        <v>162</v>
      </c>
      <c r="N265" t="s">
        <v>288</v>
      </c>
      <c r="O265" t="s">
        <v>164</v>
      </c>
      <c r="P265">
        <v>4.9085922996861854E-3</v>
      </c>
      <c r="Q265" t="s">
        <v>162</v>
      </c>
      <c r="S265" t="s">
        <v>400</v>
      </c>
      <c r="T265" t="s">
        <v>164</v>
      </c>
      <c r="U265">
        <v>5.3824571445762253E-3</v>
      </c>
      <c r="V265" t="s">
        <v>162</v>
      </c>
    </row>
    <row r="266" spans="9:22" x14ac:dyDescent="0.45">
      <c r="I266" t="s">
        <v>176</v>
      </c>
      <c r="J266" t="s">
        <v>519</v>
      </c>
      <c r="K266">
        <v>2.0669750360285351E-2</v>
      </c>
      <c r="L266" t="s">
        <v>162</v>
      </c>
      <c r="N266" t="s">
        <v>288</v>
      </c>
      <c r="O266" t="s">
        <v>519</v>
      </c>
      <c r="P266">
        <v>1.00430954047134E-2</v>
      </c>
      <c r="Q266" t="s">
        <v>162</v>
      </c>
      <c r="S266" t="s">
        <v>400</v>
      </c>
      <c r="T266" t="s">
        <v>519</v>
      </c>
      <c r="U266">
        <v>1.3661248608715126E-2</v>
      </c>
      <c r="V266" t="s">
        <v>162</v>
      </c>
    </row>
    <row r="267" spans="9:22" x14ac:dyDescent="0.45">
      <c r="I267" t="s">
        <v>176</v>
      </c>
      <c r="J267" t="s">
        <v>520</v>
      </c>
      <c r="K267">
        <v>0</v>
      </c>
      <c r="L267" t="s">
        <v>162</v>
      </c>
      <c r="N267" t="s">
        <v>288</v>
      </c>
      <c r="O267" t="s">
        <v>520</v>
      </c>
      <c r="P267">
        <v>2.1601996302738021E-3</v>
      </c>
      <c r="Q267" t="s">
        <v>162</v>
      </c>
      <c r="S267" t="s">
        <v>400</v>
      </c>
      <c r="T267" t="s">
        <v>520</v>
      </c>
      <c r="U267">
        <v>2.5803520501763919E-3</v>
      </c>
      <c r="V267" t="s">
        <v>162</v>
      </c>
    </row>
    <row r="268" spans="9:22" x14ac:dyDescent="0.45">
      <c r="I268" t="s">
        <v>176</v>
      </c>
      <c r="J268" t="s">
        <v>521</v>
      </c>
      <c r="K268">
        <v>0</v>
      </c>
      <c r="L268" t="s">
        <v>162</v>
      </c>
      <c r="N268" t="s">
        <v>288</v>
      </c>
      <c r="O268" t="s">
        <v>521</v>
      </c>
      <c r="P268">
        <v>1.4627466251390331E-2</v>
      </c>
      <c r="Q268" t="s">
        <v>162</v>
      </c>
      <c r="S268" t="s">
        <v>400</v>
      </c>
      <c r="T268" t="s">
        <v>521</v>
      </c>
      <c r="U268">
        <v>1.7225119766294768E-2</v>
      </c>
      <c r="V268" t="s">
        <v>162</v>
      </c>
    </row>
    <row r="269" spans="9:22" x14ac:dyDescent="0.45">
      <c r="I269" t="s">
        <v>176</v>
      </c>
      <c r="J269" t="s">
        <v>165</v>
      </c>
      <c r="K269">
        <v>6.8922794339461146E-3</v>
      </c>
      <c r="L269" t="s">
        <v>162</v>
      </c>
      <c r="N269" t="s">
        <v>288</v>
      </c>
      <c r="O269" t="s">
        <v>165</v>
      </c>
      <c r="P269">
        <v>5.0024032902385045E-2</v>
      </c>
      <c r="Q269" t="s">
        <v>162</v>
      </c>
      <c r="S269" t="s">
        <v>400</v>
      </c>
      <c r="T269" t="s">
        <v>165</v>
      </c>
      <c r="U269">
        <v>4.5976594123431684E-2</v>
      </c>
      <c r="V269" t="s">
        <v>162</v>
      </c>
    </row>
    <row r="270" spans="9:22" x14ac:dyDescent="0.45">
      <c r="I270" t="s">
        <v>176</v>
      </c>
      <c r="J270" t="s">
        <v>166</v>
      </c>
      <c r="K270">
        <v>1.1810420634906667E-2</v>
      </c>
      <c r="L270" t="s">
        <v>162</v>
      </c>
      <c r="N270" t="s">
        <v>288</v>
      </c>
      <c r="O270" t="s">
        <v>166</v>
      </c>
      <c r="P270">
        <v>4.0154804411660951E-3</v>
      </c>
      <c r="Q270" t="s">
        <v>162</v>
      </c>
      <c r="S270" t="s">
        <v>400</v>
      </c>
      <c r="T270" t="s">
        <v>166</v>
      </c>
      <c r="U270">
        <v>5.206343285715398E-3</v>
      </c>
      <c r="V270" t="s">
        <v>162</v>
      </c>
    </row>
    <row r="271" spans="9:22" x14ac:dyDescent="0.45">
      <c r="I271" t="s">
        <v>176</v>
      </c>
      <c r="J271" t="s">
        <v>167</v>
      </c>
      <c r="K271">
        <v>3.369156651003103E-2</v>
      </c>
      <c r="L271" t="s">
        <v>162</v>
      </c>
      <c r="N271" t="s">
        <v>288</v>
      </c>
      <c r="O271" t="s">
        <v>167</v>
      </c>
      <c r="P271">
        <v>6.3151903945545861E-3</v>
      </c>
      <c r="Q271" t="s">
        <v>162</v>
      </c>
      <c r="S271" t="s">
        <v>400</v>
      </c>
      <c r="T271" t="s">
        <v>167</v>
      </c>
      <c r="U271">
        <v>1.0184784318907524E-2</v>
      </c>
      <c r="V271" t="s">
        <v>162</v>
      </c>
    </row>
    <row r="272" spans="9:22" x14ac:dyDescent="0.45">
      <c r="I272" t="s">
        <v>176</v>
      </c>
      <c r="J272" t="s">
        <v>522</v>
      </c>
      <c r="K272">
        <v>8.223932764917892E-2</v>
      </c>
      <c r="L272" t="s">
        <v>162</v>
      </c>
      <c r="N272" t="s">
        <v>288</v>
      </c>
      <c r="O272" t="s">
        <v>522</v>
      </c>
      <c r="P272">
        <v>1.5509241139758817E-2</v>
      </c>
      <c r="Q272" t="s">
        <v>162</v>
      </c>
      <c r="S272" t="s">
        <v>400</v>
      </c>
      <c r="T272" t="s">
        <v>522</v>
      </c>
      <c r="U272">
        <v>2.4114630516641169E-2</v>
      </c>
      <c r="V272" t="s">
        <v>162</v>
      </c>
    </row>
    <row r="273" spans="9:22" x14ac:dyDescent="0.45">
      <c r="I273" t="s">
        <v>176</v>
      </c>
      <c r="J273" t="s">
        <v>523</v>
      </c>
      <c r="K273">
        <v>9.8377588078098592E-3</v>
      </c>
      <c r="L273" t="s">
        <v>162</v>
      </c>
      <c r="N273" t="s">
        <v>288</v>
      </c>
      <c r="O273" t="s">
        <v>523</v>
      </c>
      <c r="P273">
        <v>4.866301600823888E-3</v>
      </c>
      <c r="Q273" t="s">
        <v>162</v>
      </c>
      <c r="S273" t="s">
        <v>400</v>
      </c>
      <c r="T273" t="s">
        <v>523</v>
      </c>
      <c r="U273">
        <v>4.8952594738998368E-3</v>
      </c>
      <c r="V273" t="s">
        <v>162</v>
      </c>
    </row>
    <row r="274" spans="9:22" x14ac:dyDescent="0.45">
      <c r="I274" t="s">
        <v>176</v>
      </c>
      <c r="J274" t="s">
        <v>524</v>
      </c>
      <c r="K274">
        <v>4.150762047235813E-3</v>
      </c>
      <c r="L274" t="s">
        <v>162</v>
      </c>
      <c r="N274" t="s">
        <v>288</v>
      </c>
      <c r="O274" t="s">
        <v>524</v>
      </c>
      <c r="P274">
        <v>3.728973452584735E-2</v>
      </c>
      <c r="Q274" t="s">
        <v>162</v>
      </c>
      <c r="S274" t="s">
        <v>400</v>
      </c>
      <c r="T274" t="s">
        <v>524</v>
      </c>
      <c r="U274">
        <v>3.0088120104544105E-2</v>
      </c>
      <c r="V274" t="s">
        <v>162</v>
      </c>
    </row>
    <row r="275" spans="9:22" x14ac:dyDescent="0.45">
      <c r="I275" t="s">
        <v>176</v>
      </c>
      <c r="J275" t="s">
        <v>168</v>
      </c>
      <c r="K275">
        <v>2.0653748134346145E-2</v>
      </c>
      <c r="L275" t="s">
        <v>162</v>
      </c>
      <c r="N275" t="s">
        <v>288</v>
      </c>
      <c r="O275" t="s">
        <v>168</v>
      </c>
      <c r="P275">
        <v>3.7570119126199238E-2</v>
      </c>
      <c r="Q275" t="s">
        <v>162</v>
      </c>
      <c r="S275" t="s">
        <v>400</v>
      </c>
      <c r="T275" t="s">
        <v>168</v>
      </c>
      <c r="U275">
        <v>2.4220628981265358E-2</v>
      </c>
      <c r="V275" t="s">
        <v>162</v>
      </c>
    </row>
    <row r="276" spans="9:22" x14ac:dyDescent="0.45">
      <c r="I276" t="s">
        <v>176</v>
      </c>
      <c r="J276" t="s">
        <v>169</v>
      </c>
      <c r="K276">
        <v>1.2059993836154333E-2</v>
      </c>
      <c r="L276" t="s">
        <v>162</v>
      </c>
      <c r="N276" t="s">
        <v>288</v>
      </c>
      <c r="O276" t="s">
        <v>169</v>
      </c>
      <c r="P276">
        <v>2.7218336796698394E-3</v>
      </c>
      <c r="Q276" t="s">
        <v>162</v>
      </c>
      <c r="S276" t="s">
        <v>400</v>
      </c>
      <c r="T276" t="s">
        <v>169</v>
      </c>
      <c r="U276">
        <v>2.8351298443993946E-3</v>
      </c>
      <c r="V276" t="s">
        <v>162</v>
      </c>
    </row>
    <row r="277" spans="9:22" x14ac:dyDescent="0.45">
      <c r="I277" t="s">
        <v>176</v>
      </c>
      <c r="J277" t="s">
        <v>170</v>
      </c>
      <c r="K277">
        <v>2.6685628676650062E-2</v>
      </c>
      <c r="L277" t="s">
        <v>162</v>
      </c>
      <c r="N277" t="s">
        <v>288</v>
      </c>
      <c r="O277" t="s">
        <v>170</v>
      </c>
      <c r="P277">
        <v>6.5334711764121044E-3</v>
      </c>
      <c r="Q277" t="s">
        <v>162</v>
      </c>
      <c r="S277" t="s">
        <v>400</v>
      </c>
      <c r="T277" t="s">
        <v>170</v>
      </c>
      <c r="U277">
        <v>5.9727359730837436E-3</v>
      </c>
      <c r="V277" t="s">
        <v>162</v>
      </c>
    </row>
    <row r="278" spans="9:22" x14ac:dyDescent="0.45">
      <c r="I278" t="s">
        <v>176</v>
      </c>
      <c r="J278" t="s">
        <v>525</v>
      </c>
      <c r="K278">
        <v>6.3254714906446047E-2</v>
      </c>
      <c r="L278" t="s">
        <v>162</v>
      </c>
      <c r="N278" t="s">
        <v>288</v>
      </c>
      <c r="O278" t="s">
        <v>525</v>
      </c>
      <c r="P278">
        <v>2.2074234541610588E-2</v>
      </c>
      <c r="Q278" t="s">
        <v>162</v>
      </c>
      <c r="S278" t="s">
        <v>400</v>
      </c>
      <c r="T278" t="s">
        <v>525</v>
      </c>
      <c r="U278">
        <v>1.572881380110621E-2</v>
      </c>
      <c r="V278" t="s">
        <v>162</v>
      </c>
    </row>
    <row r="279" spans="9:22" x14ac:dyDescent="0.45">
      <c r="I279" t="s">
        <v>176</v>
      </c>
      <c r="J279" t="s">
        <v>526</v>
      </c>
      <c r="K279">
        <v>1.050794901466367E-2</v>
      </c>
      <c r="L279" t="s">
        <v>162</v>
      </c>
      <c r="N279" t="s">
        <v>288</v>
      </c>
      <c r="O279" t="s">
        <v>526</v>
      </c>
      <c r="P279">
        <v>4.2472251946239891E-3</v>
      </c>
      <c r="Q279" t="s">
        <v>162</v>
      </c>
      <c r="S279" t="s">
        <v>400</v>
      </c>
      <c r="T279" t="s">
        <v>526</v>
      </c>
      <c r="U279">
        <v>3.1127021266691844E-3</v>
      </c>
      <c r="V279" t="s">
        <v>162</v>
      </c>
    </row>
    <row r="280" spans="9:22" x14ac:dyDescent="0.45">
      <c r="I280" t="s">
        <v>176</v>
      </c>
      <c r="J280" t="s">
        <v>527</v>
      </c>
      <c r="K280">
        <v>1.2831180172860416E-2</v>
      </c>
      <c r="L280" t="s">
        <v>162</v>
      </c>
      <c r="N280" t="s">
        <v>288</v>
      </c>
      <c r="O280" t="s">
        <v>527</v>
      </c>
      <c r="P280">
        <v>3.2268158836715896E-2</v>
      </c>
      <c r="Q280" t="s">
        <v>162</v>
      </c>
      <c r="S280" t="s">
        <v>400</v>
      </c>
      <c r="T280" t="s">
        <v>527</v>
      </c>
      <c r="U280">
        <v>1.7837143336926552E-2</v>
      </c>
      <c r="V280" t="s">
        <v>162</v>
      </c>
    </row>
    <row r="281" spans="9:22" x14ac:dyDescent="0.45">
      <c r="I281" t="s">
        <v>176</v>
      </c>
      <c r="J281" t="s">
        <v>528</v>
      </c>
      <c r="K281">
        <v>6.7273942058957148E-2</v>
      </c>
      <c r="L281" t="s">
        <v>162</v>
      </c>
      <c r="N281" t="s">
        <v>288</v>
      </c>
      <c r="O281" t="s">
        <v>528</v>
      </c>
      <c r="P281">
        <v>9.7226937426488844E-2</v>
      </c>
      <c r="Q281" t="s">
        <v>162</v>
      </c>
      <c r="S281" t="s">
        <v>400</v>
      </c>
      <c r="T281" t="s">
        <v>528</v>
      </c>
      <c r="U281">
        <v>9.5130236630995735E-2</v>
      </c>
      <c r="V281" t="s">
        <v>162</v>
      </c>
    </row>
    <row r="282" spans="9:22" x14ac:dyDescent="0.45">
      <c r="I282" t="s">
        <v>176</v>
      </c>
      <c r="J282" t="s">
        <v>529</v>
      </c>
      <c r="K282">
        <v>2.932406051403965E-2</v>
      </c>
      <c r="L282" t="s">
        <v>162</v>
      </c>
      <c r="N282" t="s">
        <v>288</v>
      </c>
      <c r="O282" t="s">
        <v>529</v>
      </c>
      <c r="P282">
        <v>7.4251220642267976E-3</v>
      </c>
      <c r="Q282" t="s">
        <v>162</v>
      </c>
      <c r="S282" t="s">
        <v>400</v>
      </c>
      <c r="T282" t="s">
        <v>529</v>
      </c>
      <c r="U282">
        <v>1.0172859429006609E-2</v>
      </c>
      <c r="V282" t="s">
        <v>162</v>
      </c>
    </row>
    <row r="283" spans="9:22" x14ac:dyDescent="0.45">
      <c r="I283" t="s">
        <v>176</v>
      </c>
      <c r="J283" t="s">
        <v>530</v>
      </c>
      <c r="K283">
        <v>6.5483773202672679E-2</v>
      </c>
      <c r="L283" t="s">
        <v>162</v>
      </c>
      <c r="N283" t="s">
        <v>288</v>
      </c>
      <c r="O283" t="s">
        <v>530</v>
      </c>
      <c r="P283">
        <v>1.7071015358224067E-2</v>
      </c>
      <c r="Q283" t="s">
        <v>162</v>
      </c>
      <c r="S283" t="s">
        <v>400</v>
      </c>
      <c r="T283" t="s">
        <v>530</v>
      </c>
      <c r="U283">
        <v>2.0400293655857497E-2</v>
      </c>
      <c r="V283" t="s">
        <v>162</v>
      </c>
    </row>
    <row r="284" spans="9:22" x14ac:dyDescent="0.45">
      <c r="I284" t="s">
        <v>176</v>
      </c>
      <c r="J284" t="s">
        <v>531</v>
      </c>
      <c r="K284">
        <v>0.16120741993737217</v>
      </c>
      <c r="L284" t="s">
        <v>162</v>
      </c>
      <c r="N284" t="s">
        <v>288</v>
      </c>
      <c r="O284" t="s">
        <v>531</v>
      </c>
      <c r="P284">
        <v>4.771919892901038E-2</v>
      </c>
      <c r="Q284" t="s">
        <v>162</v>
      </c>
      <c r="S284" t="s">
        <v>400</v>
      </c>
      <c r="T284" t="s">
        <v>531</v>
      </c>
      <c r="U284">
        <v>5.2075921286113352E-2</v>
      </c>
      <c r="V284" t="s">
        <v>162</v>
      </c>
    </row>
    <row r="285" spans="9:22" x14ac:dyDescent="0.45">
      <c r="I285" t="s">
        <v>176</v>
      </c>
      <c r="J285" t="s">
        <v>532</v>
      </c>
      <c r="K285">
        <v>2.5882619731618921E-2</v>
      </c>
      <c r="L285" t="s">
        <v>162</v>
      </c>
      <c r="N285" t="s">
        <v>288</v>
      </c>
      <c r="O285" t="s">
        <v>532</v>
      </c>
      <c r="P285">
        <v>8.8284053763509496E-3</v>
      </c>
      <c r="Q285" t="s">
        <v>162</v>
      </c>
      <c r="S285" t="s">
        <v>400</v>
      </c>
      <c r="T285" t="s">
        <v>532</v>
      </c>
      <c r="U285">
        <v>1.0375289027947456E-2</v>
      </c>
      <c r="V285" t="s">
        <v>162</v>
      </c>
    </row>
    <row r="286" spans="9:22" x14ac:dyDescent="0.45">
      <c r="I286" t="s">
        <v>176</v>
      </c>
      <c r="J286" t="s">
        <v>533</v>
      </c>
      <c r="K286">
        <v>4.8511638600317972E-2</v>
      </c>
      <c r="L286" t="s">
        <v>162</v>
      </c>
      <c r="N286" t="s">
        <v>288</v>
      </c>
      <c r="O286" t="s">
        <v>533</v>
      </c>
      <c r="P286">
        <v>7.1282840416426074E-2</v>
      </c>
      <c r="Q286" t="s">
        <v>162</v>
      </c>
      <c r="S286" t="s">
        <v>400</v>
      </c>
      <c r="T286" t="s">
        <v>533</v>
      </c>
      <c r="U286">
        <v>6.2927349444828223E-2</v>
      </c>
      <c r="V286" t="s">
        <v>162</v>
      </c>
    </row>
    <row r="287" spans="9:22" x14ac:dyDescent="0.45">
      <c r="I287" t="s">
        <v>176</v>
      </c>
      <c r="J287" t="s">
        <v>534</v>
      </c>
      <c r="K287">
        <v>2.9087820111329481E-2</v>
      </c>
      <c r="L287" t="s">
        <v>162</v>
      </c>
      <c r="N287" t="s">
        <v>288</v>
      </c>
      <c r="O287" t="s">
        <v>534</v>
      </c>
      <c r="P287">
        <v>0.11927035268738155</v>
      </c>
      <c r="Q287" t="s">
        <v>162</v>
      </c>
      <c r="S287" t="s">
        <v>400</v>
      </c>
      <c r="T287" t="s">
        <v>534</v>
      </c>
      <c r="U287">
        <v>0.11423638596375753</v>
      </c>
      <c r="V287" t="s">
        <v>162</v>
      </c>
    </row>
    <row r="288" spans="9:22" x14ac:dyDescent="0.45">
      <c r="I288" t="s">
        <v>176</v>
      </c>
      <c r="J288" t="s">
        <v>535</v>
      </c>
      <c r="K288">
        <v>1.9971321244742126E-2</v>
      </c>
      <c r="L288" t="s">
        <v>162</v>
      </c>
      <c r="N288" t="s">
        <v>288</v>
      </c>
      <c r="O288" t="s">
        <v>535</v>
      </c>
      <c r="P288">
        <v>1.027202342842299E-2</v>
      </c>
      <c r="Q288" t="s">
        <v>162</v>
      </c>
      <c r="S288" t="s">
        <v>400</v>
      </c>
      <c r="T288" t="s">
        <v>535</v>
      </c>
      <c r="U288">
        <v>1.2625515380711336E-2</v>
      </c>
      <c r="V288" t="s">
        <v>162</v>
      </c>
    </row>
    <row r="289" spans="9:22" x14ac:dyDescent="0.45">
      <c r="I289" t="s">
        <v>176</v>
      </c>
      <c r="J289" t="s">
        <v>536</v>
      </c>
      <c r="K289">
        <v>4.6562134421026385E-2</v>
      </c>
      <c r="L289" t="s">
        <v>162</v>
      </c>
      <c r="N289" t="s">
        <v>288</v>
      </c>
      <c r="O289" t="s">
        <v>536</v>
      </c>
      <c r="P289">
        <v>1.9346572066035881E-2</v>
      </c>
      <c r="Q289" t="s">
        <v>162</v>
      </c>
      <c r="S289" t="s">
        <v>400</v>
      </c>
      <c r="T289" t="s">
        <v>536</v>
      </c>
      <c r="U289">
        <v>2.5560941269379321E-2</v>
      </c>
      <c r="V289" t="s">
        <v>162</v>
      </c>
    </row>
    <row r="290" spans="9:22" x14ac:dyDescent="0.45">
      <c r="I290" t="s">
        <v>176</v>
      </c>
      <c r="J290" t="s">
        <v>537</v>
      </c>
      <c r="K290">
        <v>0.10371631509824075</v>
      </c>
      <c r="L290" t="s">
        <v>162</v>
      </c>
      <c r="N290" t="s">
        <v>288</v>
      </c>
      <c r="O290" t="s">
        <v>537</v>
      </c>
      <c r="P290">
        <v>5.0680889773237793E-2</v>
      </c>
      <c r="Q290" t="s">
        <v>162</v>
      </c>
      <c r="S290" t="s">
        <v>400</v>
      </c>
      <c r="T290" t="s">
        <v>537</v>
      </c>
      <c r="U290">
        <v>6.5569305067151737E-2</v>
      </c>
      <c r="V290" t="s">
        <v>162</v>
      </c>
    </row>
    <row r="291" spans="9:22" x14ac:dyDescent="0.45">
      <c r="I291" t="s">
        <v>176</v>
      </c>
      <c r="J291" t="s">
        <v>538</v>
      </c>
      <c r="K291">
        <v>1.3641795721130043E-2</v>
      </c>
      <c r="L291" t="s">
        <v>162</v>
      </c>
      <c r="N291" t="s">
        <v>288</v>
      </c>
      <c r="O291" t="s">
        <v>538</v>
      </c>
      <c r="P291">
        <v>1.0828306135986808E-2</v>
      </c>
      <c r="Q291" t="s">
        <v>162</v>
      </c>
      <c r="S291" t="s">
        <v>400</v>
      </c>
      <c r="T291" t="s">
        <v>538</v>
      </c>
      <c r="U291">
        <v>1.3199358188665841E-2</v>
      </c>
      <c r="V291" t="s">
        <v>162</v>
      </c>
    </row>
    <row r="292" spans="9:22" x14ac:dyDescent="0.45">
      <c r="I292" t="s">
        <v>176</v>
      </c>
      <c r="J292" t="s">
        <v>539</v>
      </c>
      <c r="K292">
        <v>1.3757489504785548E-2</v>
      </c>
      <c r="L292" t="s">
        <v>162</v>
      </c>
      <c r="N292" t="s">
        <v>288</v>
      </c>
      <c r="O292" t="s">
        <v>539</v>
      </c>
      <c r="P292">
        <v>7.8079305504642357E-2</v>
      </c>
      <c r="Q292" t="s">
        <v>162</v>
      </c>
      <c r="S292" t="s">
        <v>400</v>
      </c>
      <c r="T292" t="s">
        <v>539</v>
      </c>
      <c r="U292">
        <v>7.9616885006508056E-2</v>
      </c>
      <c r="V292" t="s">
        <v>162</v>
      </c>
    </row>
    <row r="293" spans="9:22" x14ac:dyDescent="0.45">
      <c r="I293" t="s">
        <v>176</v>
      </c>
      <c r="J293" t="s">
        <v>540</v>
      </c>
      <c r="K293">
        <v>1.3179043327795847E-8</v>
      </c>
      <c r="L293" t="s">
        <v>162</v>
      </c>
      <c r="N293" t="s">
        <v>288</v>
      </c>
      <c r="O293" t="s">
        <v>540</v>
      </c>
      <c r="P293">
        <v>3.6107175091592961E-2</v>
      </c>
      <c r="Q293" t="s">
        <v>162</v>
      </c>
      <c r="S293" t="s">
        <v>400</v>
      </c>
      <c r="T293" t="s">
        <v>540</v>
      </c>
      <c r="U293">
        <v>3.3106726109204496E-2</v>
      </c>
      <c r="V293" t="s">
        <v>162</v>
      </c>
    </row>
    <row r="294" spans="9:22" x14ac:dyDescent="0.45">
      <c r="I294" t="s">
        <v>176</v>
      </c>
      <c r="J294" t="s">
        <v>541</v>
      </c>
      <c r="K294">
        <v>1.7435943587091147E-3</v>
      </c>
      <c r="L294" t="s">
        <v>162</v>
      </c>
      <c r="N294" t="s">
        <v>288</v>
      </c>
      <c r="O294" t="s">
        <v>541</v>
      </c>
      <c r="P294">
        <v>3.7023327219353193E-3</v>
      </c>
      <c r="Q294" t="s">
        <v>162</v>
      </c>
      <c r="S294" t="s">
        <v>400</v>
      </c>
      <c r="T294" t="s">
        <v>541</v>
      </c>
      <c r="U294">
        <v>3.5641185072202769E-3</v>
      </c>
      <c r="V294" t="s">
        <v>162</v>
      </c>
    </row>
    <row r="295" spans="9:22" x14ac:dyDescent="0.45">
      <c r="I295" t="s">
        <v>176</v>
      </c>
      <c r="J295" t="s">
        <v>542</v>
      </c>
      <c r="K295">
        <v>8.3482532802399961E-3</v>
      </c>
      <c r="L295" t="s">
        <v>162</v>
      </c>
      <c r="N295" t="s">
        <v>288</v>
      </c>
      <c r="O295" t="s">
        <v>542</v>
      </c>
      <c r="P295">
        <v>6.2866365296922622E-3</v>
      </c>
      <c r="Q295" t="s">
        <v>162</v>
      </c>
      <c r="S295" t="s">
        <v>400</v>
      </c>
      <c r="T295" t="s">
        <v>542</v>
      </c>
      <c r="U295">
        <v>7.3345055305762538E-3</v>
      </c>
      <c r="V295" t="s">
        <v>162</v>
      </c>
    </row>
    <row r="296" spans="9:22" x14ac:dyDescent="0.45">
      <c r="I296" t="s">
        <v>176</v>
      </c>
      <c r="J296" t="s">
        <v>543</v>
      </c>
      <c r="K296">
        <v>1.9384148791353258E-2</v>
      </c>
      <c r="L296" t="s">
        <v>162</v>
      </c>
      <c r="N296" t="s">
        <v>288</v>
      </c>
      <c r="O296" t="s">
        <v>543</v>
      </c>
      <c r="P296">
        <v>1.5013990273859955E-2</v>
      </c>
      <c r="Q296" t="s">
        <v>162</v>
      </c>
      <c r="S296" t="s">
        <v>400</v>
      </c>
      <c r="T296" t="s">
        <v>543</v>
      </c>
      <c r="U296">
        <v>1.9466629830191175E-2</v>
      </c>
      <c r="V296" t="s">
        <v>162</v>
      </c>
    </row>
    <row r="297" spans="9:22" x14ac:dyDescent="0.45">
      <c r="I297" t="s">
        <v>176</v>
      </c>
      <c r="J297" t="s">
        <v>544</v>
      </c>
      <c r="K297">
        <v>0</v>
      </c>
      <c r="L297" t="s">
        <v>162</v>
      </c>
      <c r="N297" t="s">
        <v>288</v>
      </c>
      <c r="O297" t="s">
        <v>544</v>
      </c>
      <c r="P297">
        <v>3.9329515464157465E-3</v>
      </c>
      <c r="Q297" t="s">
        <v>162</v>
      </c>
      <c r="S297" t="s">
        <v>400</v>
      </c>
      <c r="T297" t="s">
        <v>544</v>
      </c>
      <c r="U297">
        <v>3.9041945640353923E-3</v>
      </c>
      <c r="V297" t="s">
        <v>162</v>
      </c>
    </row>
    <row r="298" spans="9:22" x14ac:dyDescent="0.45">
      <c r="I298" t="s">
        <v>176</v>
      </c>
      <c r="J298" t="s">
        <v>545</v>
      </c>
      <c r="K298">
        <v>0</v>
      </c>
      <c r="L298" t="s">
        <v>162</v>
      </c>
      <c r="N298" t="s">
        <v>288</v>
      </c>
      <c r="O298" t="s">
        <v>545</v>
      </c>
      <c r="P298">
        <v>2.4907990338709829E-2</v>
      </c>
      <c r="Q298" t="s">
        <v>162</v>
      </c>
      <c r="S298" t="s">
        <v>400</v>
      </c>
      <c r="T298" t="s">
        <v>545</v>
      </c>
      <c r="U298">
        <v>2.3033585625075025E-2</v>
      </c>
      <c r="V298" t="s">
        <v>162</v>
      </c>
    </row>
    <row r="299" spans="9:22" x14ac:dyDescent="0.45">
      <c r="I299" t="s">
        <v>176</v>
      </c>
      <c r="J299" t="s">
        <v>546</v>
      </c>
      <c r="K299">
        <v>0</v>
      </c>
      <c r="L299" t="s">
        <v>162</v>
      </c>
      <c r="N299" t="s">
        <v>288</v>
      </c>
      <c r="O299" t="s">
        <v>546</v>
      </c>
      <c r="P299">
        <v>3.2574950490973489E-2</v>
      </c>
      <c r="Q299" t="s">
        <v>162</v>
      </c>
      <c r="S299" t="s">
        <v>400</v>
      </c>
      <c r="T299" t="s">
        <v>546</v>
      </c>
      <c r="U299">
        <v>3.5389626068584167E-2</v>
      </c>
      <c r="V299" t="s">
        <v>162</v>
      </c>
    </row>
    <row r="300" spans="9:22" x14ac:dyDescent="0.45">
      <c r="I300" t="s">
        <v>176</v>
      </c>
      <c r="J300" t="s">
        <v>547</v>
      </c>
      <c r="K300">
        <v>0</v>
      </c>
      <c r="L300" t="s">
        <v>162</v>
      </c>
      <c r="N300" t="s">
        <v>288</v>
      </c>
      <c r="O300" t="s">
        <v>547</v>
      </c>
      <c r="P300">
        <v>4.1113773587739639E-3</v>
      </c>
      <c r="Q300" t="s">
        <v>162</v>
      </c>
      <c r="S300" t="s">
        <v>400</v>
      </c>
      <c r="T300" t="s">
        <v>547</v>
      </c>
      <c r="U300">
        <v>3.7492351821409873E-3</v>
      </c>
      <c r="V300" t="s">
        <v>162</v>
      </c>
    </row>
    <row r="301" spans="9:22" x14ac:dyDescent="0.45">
      <c r="I301" t="s">
        <v>176</v>
      </c>
      <c r="J301" t="s">
        <v>548</v>
      </c>
      <c r="K301">
        <v>7.1731736927317753E-3</v>
      </c>
      <c r="L301" t="s">
        <v>162</v>
      </c>
      <c r="N301" t="s">
        <v>288</v>
      </c>
      <c r="O301" t="s">
        <v>548</v>
      </c>
      <c r="P301">
        <v>7.6190785482546462E-3</v>
      </c>
      <c r="Q301" t="s">
        <v>162</v>
      </c>
      <c r="S301" t="s">
        <v>400</v>
      </c>
      <c r="T301" t="s">
        <v>548</v>
      </c>
      <c r="U301">
        <v>7.4977944379314336E-3</v>
      </c>
      <c r="V301" t="s">
        <v>162</v>
      </c>
    </row>
    <row r="302" spans="9:22" x14ac:dyDescent="0.45">
      <c r="I302" t="s">
        <v>176</v>
      </c>
      <c r="J302" t="s">
        <v>549</v>
      </c>
      <c r="K302">
        <v>1.5608540306682692E-2</v>
      </c>
      <c r="L302" t="s">
        <v>162</v>
      </c>
      <c r="N302" t="s">
        <v>288</v>
      </c>
      <c r="O302" t="s">
        <v>549</v>
      </c>
      <c r="P302">
        <v>1.6842481980895309E-2</v>
      </c>
      <c r="Q302" t="s">
        <v>162</v>
      </c>
      <c r="S302" t="s">
        <v>400</v>
      </c>
      <c r="T302" t="s">
        <v>549</v>
      </c>
      <c r="U302">
        <v>1.8609922268298641E-2</v>
      </c>
      <c r="V302" t="s">
        <v>162</v>
      </c>
    </row>
    <row r="303" spans="9:22" x14ac:dyDescent="0.45">
      <c r="I303" t="s">
        <v>176</v>
      </c>
      <c r="J303" t="s">
        <v>550</v>
      </c>
      <c r="K303">
        <v>0</v>
      </c>
      <c r="L303" t="s">
        <v>162</v>
      </c>
      <c r="N303" t="s">
        <v>288</v>
      </c>
      <c r="O303" t="s">
        <v>550</v>
      </c>
      <c r="P303">
        <v>3.8889350070450092E-3</v>
      </c>
      <c r="Q303" t="s">
        <v>162</v>
      </c>
      <c r="S303" t="s">
        <v>400</v>
      </c>
      <c r="T303" t="s">
        <v>550</v>
      </c>
      <c r="U303">
        <v>3.7059438682868285E-3</v>
      </c>
      <c r="V303" t="s">
        <v>162</v>
      </c>
    </row>
    <row r="304" spans="9:22" x14ac:dyDescent="0.45">
      <c r="I304" t="s">
        <v>176</v>
      </c>
      <c r="J304" t="s">
        <v>551</v>
      </c>
      <c r="K304">
        <v>0</v>
      </c>
      <c r="L304" t="s">
        <v>162</v>
      </c>
      <c r="N304" t="s">
        <v>288</v>
      </c>
      <c r="O304" t="s">
        <v>551</v>
      </c>
      <c r="P304">
        <v>2.2743251455111215E-2</v>
      </c>
      <c r="Q304" t="s">
        <v>162</v>
      </c>
      <c r="S304" t="s">
        <v>400</v>
      </c>
      <c r="T304" t="s">
        <v>551</v>
      </c>
      <c r="U304">
        <v>2.2588758752770163E-2</v>
      </c>
      <c r="V304" t="s">
        <v>162</v>
      </c>
    </row>
    <row r="305" spans="9:22" x14ac:dyDescent="0.45">
      <c r="I305" t="s">
        <v>177</v>
      </c>
      <c r="J305" t="s">
        <v>161</v>
      </c>
      <c r="K305">
        <v>0</v>
      </c>
      <c r="L305" t="s">
        <v>162</v>
      </c>
      <c r="N305" t="s">
        <v>289</v>
      </c>
      <c r="O305" t="s">
        <v>161</v>
      </c>
      <c r="P305">
        <v>3.615790915479878E-2</v>
      </c>
      <c r="Q305" t="s">
        <v>162</v>
      </c>
      <c r="S305" t="s">
        <v>401</v>
      </c>
      <c r="T305" t="s">
        <v>161</v>
      </c>
      <c r="U305">
        <v>2.4100129268146003E-2</v>
      </c>
      <c r="V305" t="s">
        <v>162</v>
      </c>
    </row>
    <row r="306" spans="9:22" x14ac:dyDescent="0.45">
      <c r="I306" t="s">
        <v>177</v>
      </c>
      <c r="J306" t="s">
        <v>163</v>
      </c>
      <c r="K306">
        <v>9.5289646914238494E-4</v>
      </c>
      <c r="L306" t="s">
        <v>162</v>
      </c>
      <c r="N306" t="s">
        <v>289</v>
      </c>
      <c r="O306" t="s">
        <v>163</v>
      </c>
      <c r="P306">
        <v>4.1590211270334659E-3</v>
      </c>
      <c r="Q306" t="s">
        <v>162</v>
      </c>
      <c r="S306" t="s">
        <v>401</v>
      </c>
      <c r="T306" t="s">
        <v>163</v>
      </c>
      <c r="U306">
        <v>2.7302592294733805E-3</v>
      </c>
      <c r="V306" t="s">
        <v>162</v>
      </c>
    </row>
    <row r="307" spans="9:22" x14ac:dyDescent="0.45">
      <c r="I307" t="s">
        <v>177</v>
      </c>
      <c r="J307" t="s">
        <v>164</v>
      </c>
      <c r="K307">
        <v>1.0512095394171826E-2</v>
      </c>
      <c r="L307" t="s">
        <v>162</v>
      </c>
      <c r="N307" t="s">
        <v>289</v>
      </c>
      <c r="O307" t="s">
        <v>164</v>
      </c>
      <c r="P307">
        <v>8.4234146935461603E-3</v>
      </c>
      <c r="Q307" t="s">
        <v>162</v>
      </c>
      <c r="S307" t="s">
        <v>401</v>
      </c>
      <c r="T307" t="s">
        <v>164</v>
      </c>
      <c r="U307">
        <v>5.379144833768881E-3</v>
      </c>
      <c r="V307" t="s">
        <v>162</v>
      </c>
    </row>
    <row r="308" spans="9:22" x14ac:dyDescent="0.45">
      <c r="I308" t="s">
        <v>177</v>
      </c>
      <c r="J308" t="s">
        <v>519</v>
      </c>
      <c r="K308">
        <v>2.6472796819400922E-2</v>
      </c>
      <c r="L308" t="s">
        <v>162</v>
      </c>
      <c r="N308" t="s">
        <v>289</v>
      </c>
      <c r="O308" t="s">
        <v>519</v>
      </c>
      <c r="P308">
        <v>2.0178539267498428E-2</v>
      </c>
      <c r="Q308" t="s">
        <v>162</v>
      </c>
      <c r="S308" t="s">
        <v>401</v>
      </c>
      <c r="T308" t="s">
        <v>519</v>
      </c>
      <c r="U308">
        <v>1.2780096578303774E-2</v>
      </c>
      <c r="V308" t="s">
        <v>162</v>
      </c>
    </row>
    <row r="309" spans="9:22" x14ac:dyDescent="0.45">
      <c r="I309" t="s">
        <v>177</v>
      </c>
      <c r="J309" t="s">
        <v>520</v>
      </c>
      <c r="K309">
        <v>2.9518764511571892E-5</v>
      </c>
      <c r="L309" t="s">
        <v>162</v>
      </c>
      <c r="N309" t="s">
        <v>289</v>
      </c>
      <c r="O309" t="s">
        <v>520</v>
      </c>
      <c r="P309">
        <v>4.0279923286371819E-3</v>
      </c>
      <c r="Q309" t="s">
        <v>162</v>
      </c>
      <c r="S309" t="s">
        <v>401</v>
      </c>
      <c r="T309" t="s">
        <v>520</v>
      </c>
      <c r="U309">
        <v>2.5494069699046095E-3</v>
      </c>
      <c r="V309" t="s">
        <v>162</v>
      </c>
    </row>
    <row r="310" spans="9:22" x14ac:dyDescent="0.45">
      <c r="I310" t="s">
        <v>177</v>
      </c>
      <c r="J310" t="s">
        <v>521</v>
      </c>
      <c r="K310">
        <v>0</v>
      </c>
      <c r="L310" t="s">
        <v>162</v>
      </c>
      <c r="N310" t="s">
        <v>289</v>
      </c>
      <c r="O310" t="s">
        <v>521</v>
      </c>
      <c r="P310">
        <v>2.46737182149043E-2</v>
      </c>
      <c r="Q310" t="s">
        <v>162</v>
      </c>
      <c r="S310" t="s">
        <v>401</v>
      </c>
      <c r="T310" t="s">
        <v>521</v>
      </c>
      <c r="U310">
        <v>1.6762917299379683E-2</v>
      </c>
      <c r="V310" t="s">
        <v>162</v>
      </c>
    </row>
    <row r="311" spans="9:22" x14ac:dyDescent="0.45">
      <c r="I311" t="s">
        <v>177</v>
      </c>
      <c r="J311" t="s">
        <v>165</v>
      </c>
      <c r="K311">
        <v>7.5333174186673103E-3</v>
      </c>
      <c r="L311" t="s">
        <v>162</v>
      </c>
      <c r="N311" t="s">
        <v>289</v>
      </c>
      <c r="O311" t="s">
        <v>165</v>
      </c>
      <c r="P311">
        <v>5.7316856975610432E-2</v>
      </c>
      <c r="Q311" t="s">
        <v>162</v>
      </c>
      <c r="S311" t="s">
        <v>401</v>
      </c>
      <c r="T311" t="s">
        <v>165</v>
      </c>
      <c r="U311">
        <v>5.1913034681464812E-2</v>
      </c>
      <c r="V311" t="s">
        <v>162</v>
      </c>
    </row>
    <row r="312" spans="9:22" x14ac:dyDescent="0.45">
      <c r="I312" t="s">
        <v>177</v>
      </c>
      <c r="J312" t="s">
        <v>166</v>
      </c>
      <c r="K312">
        <v>1.2778655539052297E-2</v>
      </c>
      <c r="L312" t="s">
        <v>162</v>
      </c>
      <c r="N312" t="s">
        <v>289</v>
      </c>
      <c r="O312" t="s">
        <v>166</v>
      </c>
      <c r="P312">
        <v>6.1059954592881565E-3</v>
      </c>
      <c r="Q312" t="s">
        <v>162</v>
      </c>
      <c r="S312" t="s">
        <v>401</v>
      </c>
      <c r="T312" t="s">
        <v>166</v>
      </c>
      <c r="U312">
        <v>5.4463578633655663E-3</v>
      </c>
      <c r="V312" t="s">
        <v>162</v>
      </c>
    </row>
    <row r="313" spans="9:22" x14ac:dyDescent="0.45">
      <c r="I313" t="s">
        <v>177</v>
      </c>
      <c r="J313" t="s">
        <v>167</v>
      </c>
      <c r="K313">
        <v>3.5592448346536437E-2</v>
      </c>
      <c r="L313" t="s">
        <v>162</v>
      </c>
      <c r="N313" t="s">
        <v>289</v>
      </c>
      <c r="O313" t="s">
        <v>167</v>
      </c>
      <c r="P313">
        <v>1.2418163276888791E-2</v>
      </c>
      <c r="Q313" t="s">
        <v>162</v>
      </c>
      <c r="S313" t="s">
        <v>401</v>
      </c>
      <c r="T313" t="s">
        <v>167</v>
      </c>
      <c r="U313">
        <v>1.0163185570682645E-2</v>
      </c>
      <c r="V313" t="s">
        <v>162</v>
      </c>
    </row>
    <row r="314" spans="9:22" x14ac:dyDescent="0.45">
      <c r="I314" t="s">
        <v>177</v>
      </c>
      <c r="J314" t="s">
        <v>522</v>
      </c>
      <c r="K314">
        <v>8.511637929841992E-2</v>
      </c>
      <c r="L314" t="s">
        <v>162</v>
      </c>
      <c r="N314" t="s">
        <v>289</v>
      </c>
      <c r="O314" t="s">
        <v>522</v>
      </c>
      <c r="P314">
        <v>3.3842079762803338E-2</v>
      </c>
      <c r="Q314" t="s">
        <v>162</v>
      </c>
      <c r="S314" t="s">
        <v>401</v>
      </c>
      <c r="T314" t="s">
        <v>522</v>
      </c>
      <c r="U314">
        <v>2.4345922934947303E-2</v>
      </c>
      <c r="V314" t="s">
        <v>162</v>
      </c>
    </row>
    <row r="315" spans="9:22" x14ac:dyDescent="0.45">
      <c r="I315" t="s">
        <v>177</v>
      </c>
      <c r="J315" t="s">
        <v>523</v>
      </c>
      <c r="K315">
        <v>1.0538021255605826E-2</v>
      </c>
      <c r="L315" t="s">
        <v>162</v>
      </c>
      <c r="N315" t="s">
        <v>289</v>
      </c>
      <c r="O315" t="s">
        <v>523</v>
      </c>
      <c r="P315">
        <v>7.2254481714779644E-3</v>
      </c>
      <c r="Q315" t="s">
        <v>162</v>
      </c>
      <c r="S315" t="s">
        <v>401</v>
      </c>
      <c r="T315" t="s">
        <v>523</v>
      </c>
      <c r="U315">
        <v>5.2355658713238926E-3</v>
      </c>
      <c r="V315" t="s">
        <v>162</v>
      </c>
    </row>
    <row r="316" spans="9:22" x14ac:dyDescent="0.45">
      <c r="I316" t="s">
        <v>177</v>
      </c>
      <c r="J316" t="s">
        <v>524</v>
      </c>
      <c r="K316">
        <v>3.7404715173645791E-3</v>
      </c>
      <c r="L316" t="s">
        <v>162</v>
      </c>
      <c r="N316" t="s">
        <v>289</v>
      </c>
      <c r="O316" t="s">
        <v>524</v>
      </c>
      <c r="P316">
        <v>4.5663272042141219E-2</v>
      </c>
      <c r="Q316" t="s">
        <v>162</v>
      </c>
      <c r="S316" t="s">
        <v>401</v>
      </c>
      <c r="T316" t="s">
        <v>524</v>
      </c>
      <c r="U316">
        <v>3.3767793326903682E-2</v>
      </c>
      <c r="V316" t="s">
        <v>162</v>
      </c>
    </row>
    <row r="317" spans="9:22" x14ac:dyDescent="0.45">
      <c r="I317" t="s">
        <v>177</v>
      </c>
      <c r="J317" t="s">
        <v>168</v>
      </c>
      <c r="K317">
        <v>2.0981788230232584E-2</v>
      </c>
      <c r="L317" t="s">
        <v>162</v>
      </c>
      <c r="N317" t="s">
        <v>289</v>
      </c>
      <c r="O317" t="s">
        <v>168</v>
      </c>
      <c r="P317">
        <v>2.7639202492886875E-2</v>
      </c>
      <c r="Q317" t="s">
        <v>162</v>
      </c>
      <c r="S317" t="s">
        <v>401</v>
      </c>
      <c r="T317" t="s">
        <v>168</v>
      </c>
      <c r="U317">
        <v>2.9359616743678246E-2</v>
      </c>
      <c r="V317" t="s">
        <v>162</v>
      </c>
    </row>
    <row r="318" spans="9:22" x14ac:dyDescent="0.45">
      <c r="I318" t="s">
        <v>177</v>
      </c>
      <c r="J318" t="s">
        <v>169</v>
      </c>
      <c r="K318">
        <v>1.2387136280786328E-2</v>
      </c>
      <c r="L318" t="s">
        <v>162</v>
      </c>
      <c r="N318" t="s">
        <v>289</v>
      </c>
      <c r="O318" t="s">
        <v>169</v>
      </c>
      <c r="P318">
        <v>4.1266637123825957E-3</v>
      </c>
      <c r="Q318" t="s">
        <v>162</v>
      </c>
      <c r="S318" t="s">
        <v>401</v>
      </c>
      <c r="T318" t="s">
        <v>169</v>
      </c>
      <c r="U318">
        <v>3.12690623352987E-3</v>
      </c>
      <c r="V318" t="s">
        <v>162</v>
      </c>
    </row>
    <row r="319" spans="9:22" x14ac:dyDescent="0.45">
      <c r="I319" t="s">
        <v>177</v>
      </c>
      <c r="J319" t="s">
        <v>170</v>
      </c>
      <c r="K319">
        <v>2.7480935022673673E-2</v>
      </c>
      <c r="L319" t="s">
        <v>162</v>
      </c>
      <c r="N319" t="s">
        <v>289</v>
      </c>
      <c r="O319" t="s">
        <v>170</v>
      </c>
      <c r="P319">
        <v>9.6989420226311802E-3</v>
      </c>
      <c r="Q319" t="s">
        <v>162</v>
      </c>
      <c r="S319" t="s">
        <v>401</v>
      </c>
      <c r="T319" t="s">
        <v>170</v>
      </c>
      <c r="U319">
        <v>6.2979938151344009E-3</v>
      </c>
      <c r="V319" t="s">
        <v>162</v>
      </c>
    </row>
    <row r="320" spans="9:22" x14ac:dyDescent="0.45">
      <c r="I320" t="s">
        <v>177</v>
      </c>
      <c r="J320" t="s">
        <v>525</v>
      </c>
      <c r="K320">
        <v>6.7522848497467966E-2</v>
      </c>
      <c r="L320" t="s">
        <v>162</v>
      </c>
      <c r="N320" t="s">
        <v>289</v>
      </c>
      <c r="O320" t="s">
        <v>525</v>
      </c>
      <c r="P320">
        <v>2.697026323670703E-2</v>
      </c>
      <c r="Q320" t="s">
        <v>162</v>
      </c>
      <c r="S320" t="s">
        <v>401</v>
      </c>
      <c r="T320" t="s">
        <v>525</v>
      </c>
      <c r="U320">
        <v>1.6589781137541153E-2</v>
      </c>
      <c r="V320" t="s">
        <v>162</v>
      </c>
    </row>
    <row r="321" spans="9:22" x14ac:dyDescent="0.45">
      <c r="I321" t="s">
        <v>177</v>
      </c>
      <c r="J321" t="s">
        <v>526</v>
      </c>
      <c r="K321">
        <v>1.1225318798783426E-2</v>
      </c>
      <c r="L321" t="s">
        <v>162</v>
      </c>
      <c r="N321" t="s">
        <v>289</v>
      </c>
      <c r="O321" t="s">
        <v>526</v>
      </c>
      <c r="P321">
        <v>4.5266517894574174E-3</v>
      </c>
      <c r="Q321" t="s">
        <v>162</v>
      </c>
      <c r="S321" t="s">
        <v>401</v>
      </c>
      <c r="T321" t="s">
        <v>526</v>
      </c>
      <c r="U321">
        <v>3.2486545747893642E-3</v>
      </c>
      <c r="V321" t="s">
        <v>162</v>
      </c>
    </row>
    <row r="322" spans="9:22" x14ac:dyDescent="0.45">
      <c r="I322" t="s">
        <v>177</v>
      </c>
      <c r="J322" t="s">
        <v>527</v>
      </c>
      <c r="K322">
        <v>1.3685337414442264E-2</v>
      </c>
      <c r="L322" t="s">
        <v>162</v>
      </c>
      <c r="N322" t="s">
        <v>289</v>
      </c>
      <c r="O322" t="s">
        <v>527</v>
      </c>
      <c r="P322">
        <v>2.4049618025669003E-2</v>
      </c>
      <c r="Q322" t="s">
        <v>162</v>
      </c>
      <c r="S322" t="s">
        <v>401</v>
      </c>
      <c r="T322" t="s">
        <v>527</v>
      </c>
      <c r="U322">
        <v>1.8040096304596697E-2</v>
      </c>
      <c r="V322" t="s">
        <v>162</v>
      </c>
    </row>
    <row r="323" spans="9:22" x14ac:dyDescent="0.45">
      <c r="I323" t="s">
        <v>177</v>
      </c>
      <c r="J323" t="s">
        <v>528</v>
      </c>
      <c r="K323">
        <v>6.7488564766124026E-2</v>
      </c>
      <c r="L323" t="s">
        <v>162</v>
      </c>
      <c r="N323" t="s">
        <v>289</v>
      </c>
      <c r="O323" t="s">
        <v>528</v>
      </c>
      <c r="P323">
        <v>6.1448789034126282E-2</v>
      </c>
      <c r="Q323" t="s">
        <v>162</v>
      </c>
      <c r="S323" t="s">
        <v>401</v>
      </c>
      <c r="T323" t="s">
        <v>528</v>
      </c>
      <c r="U323">
        <v>9.3968168661617044E-2</v>
      </c>
      <c r="V323" t="s">
        <v>162</v>
      </c>
    </row>
    <row r="324" spans="9:22" x14ac:dyDescent="0.45">
      <c r="I324" t="s">
        <v>177</v>
      </c>
      <c r="J324" t="s">
        <v>529</v>
      </c>
      <c r="K324">
        <v>2.9359544620105614E-2</v>
      </c>
      <c r="L324" t="s">
        <v>162</v>
      </c>
      <c r="N324" t="s">
        <v>289</v>
      </c>
      <c r="O324" t="s">
        <v>529</v>
      </c>
      <c r="P324">
        <v>1.0133135347018785E-2</v>
      </c>
      <c r="Q324" t="s">
        <v>162</v>
      </c>
      <c r="S324" t="s">
        <v>401</v>
      </c>
      <c r="T324" t="s">
        <v>529</v>
      </c>
      <c r="U324">
        <v>8.9269327469585508E-3</v>
      </c>
      <c r="V324" t="s">
        <v>162</v>
      </c>
    </row>
    <row r="325" spans="9:22" x14ac:dyDescent="0.45">
      <c r="I325" t="s">
        <v>177</v>
      </c>
      <c r="J325" t="s">
        <v>530</v>
      </c>
      <c r="K325">
        <v>6.3904293841588439E-2</v>
      </c>
      <c r="L325" t="s">
        <v>162</v>
      </c>
      <c r="N325" t="s">
        <v>289</v>
      </c>
      <c r="O325" t="s">
        <v>530</v>
      </c>
      <c r="P325">
        <v>2.253999163391782E-2</v>
      </c>
      <c r="Q325" t="s">
        <v>162</v>
      </c>
      <c r="S325" t="s">
        <v>401</v>
      </c>
      <c r="T325" t="s">
        <v>530</v>
      </c>
      <c r="U325">
        <v>1.7914361432002854E-2</v>
      </c>
      <c r="V325" t="s">
        <v>162</v>
      </c>
    </row>
    <row r="326" spans="9:22" x14ac:dyDescent="0.45">
      <c r="I326" t="s">
        <v>177</v>
      </c>
      <c r="J326" t="s">
        <v>531</v>
      </c>
      <c r="K326">
        <v>0.15243667343331391</v>
      </c>
      <c r="L326" t="s">
        <v>162</v>
      </c>
      <c r="N326" t="s">
        <v>289</v>
      </c>
      <c r="O326" t="s">
        <v>531</v>
      </c>
      <c r="P326">
        <v>5.5671113450980983E-2</v>
      </c>
      <c r="Q326" t="s">
        <v>162</v>
      </c>
      <c r="S326" t="s">
        <v>401</v>
      </c>
      <c r="T326" t="s">
        <v>531</v>
      </c>
      <c r="U326">
        <v>4.79978461384169E-2</v>
      </c>
      <c r="V326" t="s">
        <v>162</v>
      </c>
    </row>
    <row r="327" spans="9:22" x14ac:dyDescent="0.45">
      <c r="I327" t="s">
        <v>177</v>
      </c>
      <c r="J327" t="s">
        <v>532</v>
      </c>
      <c r="K327">
        <v>2.2890419637689834E-2</v>
      </c>
      <c r="L327" t="s">
        <v>162</v>
      </c>
      <c r="N327" t="s">
        <v>289</v>
      </c>
      <c r="O327" t="s">
        <v>532</v>
      </c>
      <c r="P327">
        <v>1.0899064189764827E-2</v>
      </c>
      <c r="Q327" t="s">
        <v>162</v>
      </c>
      <c r="S327" t="s">
        <v>401</v>
      </c>
      <c r="T327" t="s">
        <v>532</v>
      </c>
      <c r="U327">
        <v>9.8137831410410672E-3</v>
      </c>
      <c r="V327" t="s">
        <v>162</v>
      </c>
    </row>
    <row r="328" spans="9:22" x14ac:dyDescent="0.45">
      <c r="I328" t="s">
        <v>177</v>
      </c>
      <c r="J328" t="s">
        <v>533</v>
      </c>
      <c r="K328">
        <v>4.1063633850411133E-2</v>
      </c>
      <c r="L328" t="s">
        <v>162</v>
      </c>
      <c r="N328" t="s">
        <v>289</v>
      </c>
      <c r="O328" t="s">
        <v>533</v>
      </c>
      <c r="P328">
        <v>5.1495225834280137E-2</v>
      </c>
      <c r="Q328" t="s">
        <v>162</v>
      </c>
      <c r="S328" t="s">
        <v>401</v>
      </c>
      <c r="T328" t="s">
        <v>533</v>
      </c>
      <c r="U328">
        <v>6.1823830120467181E-2</v>
      </c>
      <c r="V328" t="s">
        <v>162</v>
      </c>
    </row>
    <row r="329" spans="9:22" x14ac:dyDescent="0.45">
      <c r="I329" t="s">
        <v>177</v>
      </c>
      <c r="J329" t="s">
        <v>534</v>
      </c>
      <c r="K329">
        <v>2.8227954237153446E-2</v>
      </c>
      <c r="L329" t="s">
        <v>162</v>
      </c>
      <c r="N329" t="s">
        <v>289</v>
      </c>
      <c r="O329" t="s">
        <v>534</v>
      </c>
      <c r="P329">
        <v>9.2034063453372575E-2</v>
      </c>
      <c r="Q329" t="s">
        <v>162</v>
      </c>
      <c r="S329" t="s">
        <v>401</v>
      </c>
      <c r="T329" t="s">
        <v>534</v>
      </c>
      <c r="U329">
        <v>0.11445543243719868</v>
      </c>
      <c r="V329" t="s">
        <v>162</v>
      </c>
    </row>
    <row r="330" spans="9:22" x14ac:dyDescent="0.45">
      <c r="I330" t="s">
        <v>177</v>
      </c>
      <c r="J330" t="s">
        <v>535</v>
      </c>
      <c r="K330">
        <v>2.0022397994342765E-2</v>
      </c>
      <c r="L330" t="s">
        <v>162</v>
      </c>
      <c r="N330" t="s">
        <v>289</v>
      </c>
      <c r="O330" t="s">
        <v>535</v>
      </c>
      <c r="P330">
        <v>1.084819762168914E-2</v>
      </c>
      <c r="Q330" t="s">
        <v>162</v>
      </c>
      <c r="S330" t="s">
        <v>401</v>
      </c>
      <c r="T330" t="s">
        <v>535</v>
      </c>
      <c r="U330">
        <v>1.2205617255143839E-2</v>
      </c>
      <c r="V330" t="s">
        <v>162</v>
      </c>
    </row>
    <row r="331" spans="9:22" x14ac:dyDescent="0.45">
      <c r="I331" t="s">
        <v>177</v>
      </c>
      <c r="J331" t="s">
        <v>536</v>
      </c>
      <c r="K331">
        <v>4.5110364747187708E-2</v>
      </c>
      <c r="L331" t="s">
        <v>162</v>
      </c>
      <c r="N331" t="s">
        <v>289</v>
      </c>
      <c r="O331" t="s">
        <v>536</v>
      </c>
      <c r="P331">
        <v>2.4788685082752775E-2</v>
      </c>
      <c r="Q331" t="s">
        <v>162</v>
      </c>
      <c r="S331" t="s">
        <v>401</v>
      </c>
      <c r="T331" t="s">
        <v>536</v>
      </c>
      <c r="U331">
        <v>2.474966048136059E-2</v>
      </c>
      <c r="V331" t="s">
        <v>162</v>
      </c>
    </row>
    <row r="332" spans="9:22" x14ac:dyDescent="0.45">
      <c r="I332" t="s">
        <v>177</v>
      </c>
      <c r="J332" t="s">
        <v>537</v>
      </c>
      <c r="K332">
        <v>9.393835645256382E-2</v>
      </c>
      <c r="L332" t="s">
        <v>162</v>
      </c>
      <c r="N332" t="s">
        <v>289</v>
      </c>
      <c r="O332" t="s">
        <v>537</v>
      </c>
      <c r="P332">
        <v>6.4012641680870563E-2</v>
      </c>
      <c r="Q332" t="s">
        <v>162</v>
      </c>
      <c r="S332" t="s">
        <v>401</v>
      </c>
      <c r="T332" t="s">
        <v>537</v>
      </c>
      <c r="U332">
        <v>6.4833547750566947E-2</v>
      </c>
      <c r="V332" t="s">
        <v>162</v>
      </c>
    </row>
    <row r="333" spans="9:22" x14ac:dyDescent="0.45">
      <c r="I333" t="s">
        <v>177</v>
      </c>
      <c r="J333" t="s">
        <v>538</v>
      </c>
      <c r="K333">
        <v>1.171438586645222E-2</v>
      </c>
      <c r="L333" t="s">
        <v>162</v>
      </c>
      <c r="N333" t="s">
        <v>289</v>
      </c>
      <c r="O333" t="s">
        <v>538</v>
      </c>
      <c r="P333">
        <v>1.1995243298397826E-2</v>
      </c>
      <c r="Q333" t="s">
        <v>162</v>
      </c>
      <c r="S333" t="s">
        <v>401</v>
      </c>
      <c r="T333" t="s">
        <v>538</v>
      </c>
      <c r="U333">
        <v>1.3196826744986082E-2</v>
      </c>
      <c r="V333" t="s">
        <v>162</v>
      </c>
    </row>
    <row r="334" spans="9:22" x14ac:dyDescent="0.45">
      <c r="I334" t="s">
        <v>177</v>
      </c>
      <c r="J334" t="s">
        <v>539</v>
      </c>
      <c r="K334">
        <v>1.2062774817622508E-2</v>
      </c>
      <c r="L334" t="s">
        <v>162</v>
      </c>
      <c r="N334" t="s">
        <v>289</v>
      </c>
      <c r="O334" t="s">
        <v>539</v>
      </c>
      <c r="P334">
        <v>7.0919134856952643E-2</v>
      </c>
      <c r="Q334" t="s">
        <v>162</v>
      </c>
      <c r="S334" t="s">
        <v>401</v>
      </c>
      <c r="T334" t="s">
        <v>539</v>
      </c>
      <c r="U334">
        <v>8.1759860050086564E-2</v>
      </c>
      <c r="V334" t="s">
        <v>162</v>
      </c>
    </row>
    <row r="335" spans="9:22" x14ac:dyDescent="0.45">
      <c r="I335" t="s">
        <v>177</v>
      </c>
      <c r="J335" t="s">
        <v>540</v>
      </c>
      <c r="K335">
        <v>7.1743377960848756E-5</v>
      </c>
      <c r="L335" t="s">
        <v>162</v>
      </c>
      <c r="N335" t="s">
        <v>289</v>
      </c>
      <c r="O335" t="s">
        <v>540</v>
      </c>
      <c r="P335">
        <v>2.4847668692371417E-2</v>
      </c>
      <c r="Q335" t="s">
        <v>162</v>
      </c>
      <c r="S335" t="s">
        <v>401</v>
      </c>
      <c r="T335" t="s">
        <v>540</v>
      </c>
      <c r="U335">
        <v>3.5497563944978258E-2</v>
      </c>
      <c r="V335" t="s">
        <v>162</v>
      </c>
    </row>
    <row r="336" spans="9:22" x14ac:dyDescent="0.45">
      <c r="I336" t="s">
        <v>177</v>
      </c>
      <c r="J336" t="s">
        <v>541</v>
      </c>
      <c r="K336">
        <v>2.6759368681104224E-3</v>
      </c>
      <c r="L336" t="s">
        <v>162</v>
      </c>
      <c r="N336" t="s">
        <v>289</v>
      </c>
      <c r="O336" t="s">
        <v>541</v>
      </c>
      <c r="P336">
        <v>3.4473070195381681E-3</v>
      </c>
      <c r="Q336" t="s">
        <v>162</v>
      </c>
      <c r="S336" t="s">
        <v>401</v>
      </c>
      <c r="T336" t="s">
        <v>541</v>
      </c>
      <c r="U336">
        <v>3.6103576952545261E-3</v>
      </c>
      <c r="V336" t="s">
        <v>162</v>
      </c>
    </row>
    <row r="337" spans="9:22" x14ac:dyDescent="0.45">
      <c r="I337" t="s">
        <v>177</v>
      </c>
      <c r="J337" t="s">
        <v>542</v>
      </c>
      <c r="K337">
        <v>9.694864073496498E-3</v>
      </c>
      <c r="L337" t="s">
        <v>162</v>
      </c>
      <c r="N337" t="s">
        <v>289</v>
      </c>
      <c r="O337" t="s">
        <v>542</v>
      </c>
      <c r="P337">
        <v>7.2049842792193675E-3</v>
      </c>
      <c r="Q337" t="s">
        <v>162</v>
      </c>
      <c r="S337" t="s">
        <v>401</v>
      </c>
      <c r="T337" t="s">
        <v>542</v>
      </c>
      <c r="U337">
        <v>7.2504173067877986E-3</v>
      </c>
      <c r="V337" t="s">
        <v>162</v>
      </c>
    </row>
    <row r="338" spans="9:22" x14ac:dyDescent="0.45">
      <c r="I338" t="s">
        <v>177</v>
      </c>
      <c r="J338" t="s">
        <v>543</v>
      </c>
      <c r="K338">
        <v>2.1027891094660116E-2</v>
      </c>
      <c r="L338" t="s">
        <v>162</v>
      </c>
      <c r="N338" t="s">
        <v>289</v>
      </c>
      <c r="O338" t="s">
        <v>543</v>
      </c>
      <c r="P338">
        <v>1.6665712597697887E-2</v>
      </c>
      <c r="Q338" t="s">
        <v>162</v>
      </c>
      <c r="S338" t="s">
        <v>401</v>
      </c>
      <c r="T338" t="s">
        <v>543</v>
      </c>
      <c r="U338">
        <v>1.9815522258472957E-2</v>
      </c>
      <c r="V338" t="s">
        <v>162</v>
      </c>
    </row>
    <row r="339" spans="9:22" x14ac:dyDescent="0.45">
      <c r="I339" t="s">
        <v>177</v>
      </c>
      <c r="J339" t="s">
        <v>544</v>
      </c>
      <c r="K339">
        <v>0</v>
      </c>
      <c r="L339" t="s">
        <v>162</v>
      </c>
      <c r="N339" t="s">
        <v>289</v>
      </c>
      <c r="O339" t="s">
        <v>544</v>
      </c>
      <c r="P339">
        <v>3.192148082933445E-3</v>
      </c>
      <c r="Q339" t="s">
        <v>162</v>
      </c>
      <c r="S339" t="s">
        <v>401</v>
      </c>
      <c r="T339" t="s">
        <v>544</v>
      </c>
      <c r="U339">
        <v>4.1766843513698759E-3</v>
      </c>
      <c r="V339" t="s">
        <v>162</v>
      </c>
    </row>
    <row r="340" spans="9:22" x14ac:dyDescent="0.45">
      <c r="I340" t="s">
        <v>177</v>
      </c>
      <c r="J340" t="s">
        <v>545</v>
      </c>
      <c r="K340">
        <v>0</v>
      </c>
      <c r="L340" t="s">
        <v>162</v>
      </c>
      <c r="N340" t="s">
        <v>289</v>
      </c>
      <c r="O340" t="s">
        <v>545</v>
      </c>
      <c r="P340">
        <v>1.6686892344315252E-2</v>
      </c>
      <c r="Q340" t="s">
        <v>162</v>
      </c>
      <c r="S340" t="s">
        <v>401</v>
      </c>
      <c r="T340" t="s">
        <v>545</v>
      </c>
      <c r="U340">
        <v>2.4507304244394703E-2</v>
      </c>
      <c r="V340" t="s">
        <v>162</v>
      </c>
    </row>
    <row r="341" spans="9:22" x14ac:dyDescent="0.45">
      <c r="I341" t="s">
        <v>177</v>
      </c>
      <c r="J341" t="s">
        <v>546</v>
      </c>
      <c r="K341">
        <v>0</v>
      </c>
      <c r="L341" t="s">
        <v>162</v>
      </c>
      <c r="N341" t="s">
        <v>289</v>
      </c>
      <c r="O341" t="s">
        <v>546</v>
      </c>
      <c r="P341">
        <v>3.1102768358176304E-2</v>
      </c>
      <c r="Q341" t="s">
        <v>162</v>
      </c>
      <c r="S341" t="s">
        <v>401</v>
      </c>
      <c r="T341" t="s">
        <v>546</v>
      </c>
      <c r="U341">
        <v>2.9614819854652589E-2</v>
      </c>
      <c r="V341" t="s">
        <v>162</v>
      </c>
    </row>
    <row r="342" spans="9:22" x14ac:dyDescent="0.45">
      <c r="I342" t="s">
        <v>177</v>
      </c>
      <c r="J342" t="s">
        <v>547</v>
      </c>
      <c r="K342">
        <v>1.7243636544876642E-4</v>
      </c>
      <c r="L342" t="s">
        <v>162</v>
      </c>
      <c r="N342" t="s">
        <v>289</v>
      </c>
      <c r="O342" t="s">
        <v>547</v>
      </c>
      <c r="P342">
        <v>3.5118264593960434E-3</v>
      </c>
      <c r="Q342" t="s">
        <v>162</v>
      </c>
      <c r="S342" t="s">
        <v>401</v>
      </c>
      <c r="T342" t="s">
        <v>547</v>
      </c>
      <c r="U342">
        <v>3.6626335585394302E-3</v>
      </c>
      <c r="V342" t="s">
        <v>162</v>
      </c>
    </row>
    <row r="343" spans="9:22" x14ac:dyDescent="0.45">
      <c r="I343" t="s">
        <v>177</v>
      </c>
      <c r="J343" t="s">
        <v>548</v>
      </c>
      <c r="K343">
        <v>1.0095368375659526E-2</v>
      </c>
      <c r="L343" t="s">
        <v>162</v>
      </c>
      <c r="N343" t="s">
        <v>289</v>
      </c>
      <c r="O343" t="s">
        <v>548</v>
      </c>
      <c r="P343">
        <v>6.9493052203929307E-3</v>
      </c>
      <c r="Q343" t="s">
        <v>162</v>
      </c>
      <c r="S343" t="s">
        <v>401</v>
      </c>
      <c r="T343" t="s">
        <v>548</v>
      </c>
      <c r="U343">
        <v>7.3772746213289749E-3</v>
      </c>
      <c r="V343" t="s">
        <v>162</v>
      </c>
    </row>
    <row r="344" spans="9:22" x14ac:dyDescent="0.45">
      <c r="I344" t="s">
        <v>177</v>
      </c>
      <c r="J344" t="s">
        <v>549</v>
      </c>
      <c r="K344">
        <v>2.1492430512849121E-2</v>
      </c>
      <c r="L344" t="s">
        <v>162</v>
      </c>
      <c r="N344" t="s">
        <v>289</v>
      </c>
      <c r="O344" t="s">
        <v>549</v>
      </c>
      <c r="P344">
        <v>1.7690760903190137E-2</v>
      </c>
      <c r="Q344" t="s">
        <v>162</v>
      </c>
      <c r="S344" t="s">
        <v>401</v>
      </c>
      <c r="T344" t="s">
        <v>549</v>
      </c>
      <c r="U344">
        <v>1.7870693824620958E-2</v>
      </c>
      <c r="V344" t="s">
        <v>162</v>
      </c>
    </row>
    <row r="345" spans="9:22" x14ac:dyDescent="0.45">
      <c r="I345" t="s">
        <v>177</v>
      </c>
      <c r="J345" t="s">
        <v>550</v>
      </c>
      <c r="K345">
        <v>0</v>
      </c>
      <c r="L345" t="s">
        <v>162</v>
      </c>
      <c r="N345" t="s">
        <v>289</v>
      </c>
      <c r="O345" t="s">
        <v>550</v>
      </c>
      <c r="P345">
        <v>3.7410893351856093E-3</v>
      </c>
      <c r="Q345" t="s">
        <v>162</v>
      </c>
      <c r="S345" t="s">
        <v>401</v>
      </c>
      <c r="T345" t="s">
        <v>550</v>
      </c>
      <c r="U345">
        <v>3.3866421339637256E-3</v>
      </c>
      <c r="V345" t="s">
        <v>162</v>
      </c>
    </row>
    <row r="346" spans="9:22" x14ac:dyDescent="0.45">
      <c r="I346" t="s">
        <v>177</v>
      </c>
      <c r="J346" t="s">
        <v>551</v>
      </c>
      <c r="K346">
        <v>0</v>
      </c>
      <c r="L346" t="s">
        <v>162</v>
      </c>
      <c r="N346" t="s">
        <v>289</v>
      </c>
      <c r="O346" t="s">
        <v>551</v>
      </c>
      <c r="P346">
        <v>2.0970499469100207E-2</v>
      </c>
      <c r="Q346" t="s">
        <v>162</v>
      </c>
      <c r="S346" t="s">
        <v>401</v>
      </c>
      <c r="T346" t="s">
        <v>551</v>
      </c>
      <c r="U346">
        <v>1.9747356008861183E-2</v>
      </c>
      <c r="V346" t="s">
        <v>162</v>
      </c>
    </row>
    <row r="347" spans="9:22" x14ac:dyDescent="0.45">
      <c r="I347" t="s">
        <v>178</v>
      </c>
      <c r="J347" t="s">
        <v>161</v>
      </c>
      <c r="K347">
        <v>0</v>
      </c>
      <c r="L347" t="s">
        <v>162</v>
      </c>
      <c r="N347" t="s">
        <v>290</v>
      </c>
      <c r="O347" t="s">
        <v>161</v>
      </c>
      <c r="P347">
        <v>3.3669321989629596E-2</v>
      </c>
      <c r="Q347" t="s">
        <v>162</v>
      </c>
      <c r="S347" t="s">
        <v>402</v>
      </c>
      <c r="T347" t="s">
        <v>161</v>
      </c>
      <c r="U347">
        <v>2.1665658824658773E-2</v>
      </c>
      <c r="V347" t="s">
        <v>162</v>
      </c>
    </row>
    <row r="348" spans="9:22" x14ac:dyDescent="0.45">
      <c r="I348" t="s">
        <v>178</v>
      </c>
      <c r="J348" t="s">
        <v>163</v>
      </c>
      <c r="K348">
        <v>2.6244113452725168E-3</v>
      </c>
      <c r="L348" t="s">
        <v>162</v>
      </c>
      <c r="N348" t="s">
        <v>290</v>
      </c>
      <c r="O348" t="s">
        <v>163</v>
      </c>
      <c r="P348">
        <v>4.0139197440330386E-3</v>
      </c>
      <c r="Q348" t="s">
        <v>162</v>
      </c>
      <c r="S348" t="s">
        <v>402</v>
      </c>
      <c r="T348" t="s">
        <v>163</v>
      </c>
      <c r="U348">
        <v>2.4907690647539382E-3</v>
      </c>
      <c r="V348" t="s">
        <v>162</v>
      </c>
    </row>
    <row r="349" spans="9:22" x14ac:dyDescent="0.45">
      <c r="I349" t="s">
        <v>178</v>
      </c>
      <c r="J349" t="s">
        <v>164</v>
      </c>
      <c r="K349">
        <v>1.1055024358115218E-2</v>
      </c>
      <c r="L349" t="s">
        <v>162</v>
      </c>
      <c r="N349" t="s">
        <v>290</v>
      </c>
      <c r="O349" t="s">
        <v>164</v>
      </c>
      <c r="P349">
        <v>7.7784794021622189E-3</v>
      </c>
      <c r="Q349" t="s">
        <v>162</v>
      </c>
      <c r="S349" t="s">
        <v>402</v>
      </c>
      <c r="T349" t="s">
        <v>164</v>
      </c>
      <c r="U349">
        <v>4.9699988680855225E-3</v>
      </c>
      <c r="V349" t="s">
        <v>162</v>
      </c>
    </row>
    <row r="350" spans="9:22" x14ac:dyDescent="0.45">
      <c r="I350" t="s">
        <v>178</v>
      </c>
      <c r="J350" t="s">
        <v>519</v>
      </c>
      <c r="K350">
        <v>2.6681563144568432E-2</v>
      </c>
      <c r="L350" t="s">
        <v>162</v>
      </c>
      <c r="N350" t="s">
        <v>290</v>
      </c>
      <c r="O350" t="s">
        <v>519</v>
      </c>
      <c r="P350">
        <v>1.8170071209008685E-2</v>
      </c>
      <c r="Q350" t="s">
        <v>162</v>
      </c>
      <c r="S350" t="s">
        <v>402</v>
      </c>
      <c r="T350" t="s">
        <v>519</v>
      </c>
      <c r="U350">
        <v>1.2019333247470024E-2</v>
      </c>
      <c r="V350" t="s">
        <v>162</v>
      </c>
    </row>
    <row r="351" spans="9:22" x14ac:dyDescent="0.45">
      <c r="I351" t="s">
        <v>178</v>
      </c>
      <c r="J351" t="s">
        <v>520</v>
      </c>
      <c r="K351">
        <v>0</v>
      </c>
      <c r="L351" t="s">
        <v>162</v>
      </c>
      <c r="N351" t="s">
        <v>290</v>
      </c>
      <c r="O351" t="s">
        <v>520</v>
      </c>
      <c r="P351">
        <v>3.8488125158764319E-3</v>
      </c>
      <c r="Q351" t="s">
        <v>162</v>
      </c>
      <c r="S351" t="s">
        <v>402</v>
      </c>
      <c r="T351" t="s">
        <v>520</v>
      </c>
      <c r="U351">
        <v>2.4224707088881846E-3</v>
      </c>
      <c r="V351" t="s">
        <v>162</v>
      </c>
    </row>
    <row r="352" spans="9:22" x14ac:dyDescent="0.45">
      <c r="I352" t="s">
        <v>178</v>
      </c>
      <c r="J352" t="s">
        <v>521</v>
      </c>
      <c r="K352">
        <v>0</v>
      </c>
      <c r="L352" t="s">
        <v>162</v>
      </c>
      <c r="N352" t="s">
        <v>290</v>
      </c>
      <c r="O352" t="s">
        <v>521</v>
      </c>
      <c r="P352">
        <v>2.3584166500796765E-2</v>
      </c>
      <c r="Q352" t="s">
        <v>162</v>
      </c>
      <c r="S352" t="s">
        <v>402</v>
      </c>
      <c r="T352" t="s">
        <v>521</v>
      </c>
      <c r="U352">
        <v>1.6080757123154581E-2</v>
      </c>
      <c r="V352" t="s">
        <v>162</v>
      </c>
    </row>
    <row r="353" spans="9:22" x14ac:dyDescent="0.45">
      <c r="I353" t="s">
        <v>178</v>
      </c>
      <c r="J353" t="s">
        <v>165</v>
      </c>
      <c r="K353">
        <v>7.3771422454049062E-3</v>
      </c>
      <c r="L353" t="s">
        <v>162</v>
      </c>
      <c r="N353" t="s">
        <v>290</v>
      </c>
      <c r="O353" t="s">
        <v>165</v>
      </c>
      <c r="P353">
        <v>5.9274095413865746E-2</v>
      </c>
      <c r="Q353" t="s">
        <v>162</v>
      </c>
      <c r="S353" t="s">
        <v>402</v>
      </c>
      <c r="T353" t="s">
        <v>165</v>
      </c>
      <c r="U353">
        <v>5.1807991238023911E-2</v>
      </c>
      <c r="V353" t="s">
        <v>162</v>
      </c>
    </row>
    <row r="354" spans="9:22" x14ac:dyDescent="0.45">
      <c r="I354" t="s">
        <v>178</v>
      </c>
      <c r="J354" t="s">
        <v>166</v>
      </c>
      <c r="K354">
        <v>1.2841111175464253E-2</v>
      </c>
      <c r="L354" t="s">
        <v>162</v>
      </c>
      <c r="N354" t="s">
        <v>290</v>
      </c>
      <c r="O354" t="s">
        <v>166</v>
      </c>
      <c r="P354">
        <v>6.2789053221519791E-3</v>
      </c>
      <c r="Q354" t="s">
        <v>162</v>
      </c>
      <c r="S354" t="s">
        <v>402</v>
      </c>
      <c r="T354" t="s">
        <v>166</v>
      </c>
      <c r="U354">
        <v>5.5130448969313616E-3</v>
      </c>
      <c r="V354" t="s">
        <v>162</v>
      </c>
    </row>
    <row r="355" spans="9:22" x14ac:dyDescent="0.45">
      <c r="I355" t="s">
        <v>178</v>
      </c>
      <c r="J355" t="s">
        <v>167</v>
      </c>
      <c r="K355">
        <v>3.4860344934750528E-2</v>
      </c>
      <c r="L355" t="s">
        <v>162</v>
      </c>
      <c r="N355" t="s">
        <v>290</v>
      </c>
      <c r="O355" t="s">
        <v>167</v>
      </c>
      <c r="P355">
        <v>1.2803977566200317E-2</v>
      </c>
      <c r="Q355" t="s">
        <v>162</v>
      </c>
      <c r="S355" t="s">
        <v>402</v>
      </c>
      <c r="T355" t="s">
        <v>167</v>
      </c>
      <c r="U355">
        <v>1.0667350057256855E-2</v>
      </c>
      <c r="V355" t="s">
        <v>162</v>
      </c>
    </row>
    <row r="356" spans="9:22" x14ac:dyDescent="0.45">
      <c r="I356" t="s">
        <v>178</v>
      </c>
      <c r="J356" t="s">
        <v>522</v>
      </c>
      <c r="K356">
        <v>8.0992987579887987E-2</v>
      </c>
      <c r="L356" t="s">
        <v>162</v>
      </c>
      <c r="N356" t="s">
        <v>290</v>
      </c>
      <c r="O356" t="s">
        <v>522</v>
      </c>
      <c r="P356">
        <v>3.8929897741687459E-2</v>
      </c>
      <c r="Q356" t="s">
        <v>162</v>
      </c>
      <c r="S356" t="s">
        <v>402</v>
      </c>
      <c r="T356" t="s">
        <v>522</v>
      </c>
      <c r="U356">
        <v>2.6032490554341876E-2</v>
      </c>
      <c r="V356" t="s">
        <v>162</v>
      </c>
    </row>
    <row r="357" spans="9:22" x14ac:dyDescent="0.45">
      <c r="I357" t="s">
        <v>178</v>
      </c>
      <c r="J357" t="s">
        <v>523</v>
      </c>
      <c r="K357">
        <v>8.7009052616717694E-3</v>
      </c>
      <c r="L357" t="s">
        <v>162</v>
      </c>
      <c r="N357" t="s">
        <v>290</v>
      </c>
      <c r="O357" t="s">
        <v>523</v>
      </c>
      <c r="P357">
        <v>8.1931961253948471E-3</v>
      </c>
      <c r="Q357" t="s">
        <v>162</v>
      </c>
      <c r="S357" t="s">
        <v>402</v>
      </c>
      <c r="T357" t="s">
        <v>523</v>
      </c>
      <c r="U357">
        <v>5.4224513565241869E-3</v>
      </c>
      <c r="V357" t="s">
        <v>162</v>
      </c>
    </row>
    <row r="358" spans="9:22" x14ac:dyDescent="0.45">
      <c r="I358" t="s">
        <v>178</v>
      </c>
      <c r="J358" t="s">
        <v>524</v>
      </c>
      <c r="K358">
        <v>2.3510317382033786E-3</v>
      </c>
      <c r="L358" t="s">
        <v>162</v>
      </c>
      <c r="N358" t="s">
        <v>290</v>
      </c>
      <c r="O358" t="s">
        <v>524</v>
      </c>
      <c r="P358">
        <v>4.4708739885224051E-2</v>
      </c>
      <c r="Q358" t="s">
        <v>162</v>
      </c>
      <c r="S358" t="s">
        <v>402</v>
      </c>
      <c r="T358" t="s">
        <v>524</v>
      </c>
      <c r="U358">
        <v>3.4611085773861343E-2</v>
      </c>
      <c r="V358" t="s">
        <v>162</v>
      </c>
    </row>
    <row r="359" spans="9:22" x14ac:dyDescent="0.45">
      <c r="I359" t="s">
        <v>178</v>
      </c>
      <c r="J359" t="s">
        <v>168</v>
      </c>
      <c r="K359">
        <v>2.2103205142965154E-2</v>
      </c>
      <c r="L359" t="s">
        <v>162</v>
      </c>
      <c r="N359" t="s">
        <v>290</v>
      </c>
      <c r="O359" t="s">
        <v>168</v>
      </c>
      <c r="P359">
        <v>3.2001272625103536E-2</v>
      </c>
      <c r="Q359" t="s">
        <v>162</v>
      </c>
      <c r="S359" t="s">
        <v>402</v>
      </c>
      <c r="T359" t="s">
        <v>168</v>
      </c>
      <c r="U359">
        <v>3.003234007940182E-2</v>
      </c>
      <c r="V359" t="s">
        <v>162</v>
      </c>
    </row>
    <row r="360" spans="9:22" x14ac:dyDescent="0.45">
      <c r="I360" t="s">
        <v>178</v>
      </c>
      <c r="J360" t="s">
        <v>169</v>
      </c>
      <c r="K360">
        <v>1.2146145551802759E-2</v>
      </c>
      <c r="L360" t="s">
        <v>162</v>
      </c>
      <c r="N360" t="s">
        <v>290</v>
      </c>
      <c r="O360" t="s">
        <v>169</v>
      </c>
      <c r="P360">
        <v>5.0346771271631997E-3</v>
      </c>
      <c r="Q360" t="s">
        <v>162</v>
      </c>
      <c r="S360" t="s">
        <v>402</v>
      </c>
      <c r="T360" t="s">
        <v>169</v>
      </c>
      <c r="U360">
        <v>2.9809601176748585E-3</v>
      </c>
      <c r="V360" t="s">
        <v>162</v>
      </c>
    </row>
    <row r="361" spans="9:22" x14ac:dyDescent="0.45">
      <c r="I361" t="s">
        <v>178</v>
      </c>
      <c r="J361" t="s">
        <v>170</v>
      </c>
      <c r="K361">
        <v>2.6582854634826042E-2</v>
      </c>
      <c r="L361" t="s">
        <v>162</v>
      </c>
      <c r="N361" t="s">
        <v>290</v>
      </c>
      <c r="O361" t="s">
        <v>170</v>
      </c>
      <c r="P361">
        <v>1.2720594959550998E-2</v>
      </c>
      <c r="Q361" t="s">
        <v>162</v>
      </c>
      <c r="S361" t="s">
        <v>402</v>
      </c>
      <c r="T361" t="s">
        <v>170</v>
      </c>
      <c r="U361">
        <v>5.8176444166099161E-3</v>
      </c>
      <c r="V361" t="s">
        <v>162</v>
      </c>
    </row>
    <row r="362" spans="9:22" x14ac:dyDescent="0.45">
      <c r="I362" t="s">
        <v>178</v>
      </c>
      <c r="J362" t="s">
        <v>525</v>
      </c>
      <c r="K362">
        <v>6.1665206686383624E-2</v>
      </c>
      <c r="L362" t="s">
        <v>162</v>
      </c>
      <c r="N362" t="s">
        <v>290</v>
      </c>
      <c r="O362" t="s">
        <v>525</v>
      </c>
      <c r="P362">
        <v>3.7140363057078886E-2</v>
      </c>
      <c r="Q362" t="s">
        <v>162</v>
      </c>
      <c r="S362" t="s">
        <v>402</v>
      </c>
      <c r="T362" t="s">
        <v>525</v>
      </c>
      <c r="U362">
        <v>1.5270731831805662E-2</v>
      </c>
      <c r="V362" t="s">
        <v>162</v>
      </c>
    </row>
    <row r="363" spans="9:22" x14ac:dyDescent="0.45">
      <c r="I363" t="s">
        <v>178</v>
      </c>
      <c r="J363" t="s">
        <v>526</v>
      </c>
      <c r="K363">
        <v>8.8351782270417109E-3</v>
      </c>
      <c r="L363" t="s">
        <v>162</v>
      </c>
      <c r="N363" t="s">
        <v>290</v>
      </c>
      <c r="O363" t="s">
        <v>526</v>
      </c>
      <c r="P363">
        <v>6.2494815279970535E-3</v>
      </c>
      <c r="Q363" t="s">
        <v>162</v>
      </c>
      <c r="S363" t="s">
        <v>402</v>
      </c>
      <c r="T363" t="s">
        <v>526</v>
      </c>
      <c r="U363">
        <v>3.124980761007617E-3</v>
      </c>
      <c r="V363" t="s">
        <v>162</v>
      </c>
    </row>
    <row r="364" spans="9:22" x14ac:dyDescent="0.45">
      <c r="I364" t="s">
        <v>178</v>
      </c>
      <c r="J364" t="s">
        <v>527</v>
      </c>
      <c r="K364">
        <v>9.002483801476141E-3</v>
      </c>
      <c r="L364" t="s">
        <v>162</v>
      </c>
      <c r="N364" t="s">
        <v>290</v>
      </c>
      <c r="O364" t="s">
        <v>527</v>
      </c>
      <c r="P364">
        <v>2.8524618229620581E-2</v>
      </c>
      <c r="Q364" t="s">
        <v>162</v>
      </c>
      <c r="S364" t="s">
        <v>402</v>
      </c>
      <c r="T364" t="s">
        <v>527</v>
      </c>
      <c r="U364">
        <v>1.8617882016698506E-2</v>
      </c>
      <c r="V364" t="s">
        <v>162</v>
      </c>
    </row>
    <row r="365" spans="9:22" x14ac:dyDescent="0.45">
      <c r="I365" t="s">
        <v>178</v>
      </c>
      <c r="J365" t="s">
        <v>528</v>
      </c>
      <c r="K365">
        <v>7.1474491231849041E-2</v>
      </c>
      <c r="L365" t="s">
        <v>162</v>
      </c>
      <c r="N365" t="s">
        <v>290</v>
      </c>
      <c r="O365" t="s">
        <v>528</v>
      </c>
      <c r="P365">
        <v>4.7388377464820636E-2</v>
      </c>
      <c r="Q365" t="s">
        <v>162</v>
      </c>
      <c r="S365" t="s">
        <v>402</v>
      </c>
      <c r="T365" t="s">
        <v>528</v>
      </c>
      <c r="U365">
        <v>9.3624759555079123E-2</v>
      </c>
      <c r="V365" t="s">
        <v>162</v>
      </c>
    </row>
    <row r="366" spans="9:22" x14ac:dyDescent="0.45">
      <c r="I366" t="s">
        <v>178</v>
      </c>
      <c r="J366" t="s">
        <v>529</v>
      </c>
      <c r="K366">
        <v>3.0426347880643394E-2</v>
      </c>
      <c r="L366" t="s">
        <v>162</v>
      </c>
      <c r="N366" t="s">
        <v>290</v>
      </c>
      <c r="O366" t="s">
        <v>529</v>
      </c>
      <c r="P366">
        <v>8.9200851872794328E-3</v>
      </c>
      <c r="Q366" t="s">
        <v>162</v>
      </c>
      <c r="S366" t="s">
        <v>402</v>
      </c>
      <c r="T366" t="s">
        <v>529</v>
      </c>
      <c r="U366">
        <v>9.9020059094439544E-3</v>
      </c>
      <c r="V366" t="s">
        <v>162</v>
      </c>
    </row>
    <row r="367" spans="9:22" x14ac:dyDescent="0.45">
      <c r="I367" t="s">
        <v>178</v>
      </c>
      <c r="J367" t="s">
        <v>530</v>
      </c>
      <c r="K367">
        <v>6.6707524591664749E-2</v>
      </c>
      <c r="L367" t="s">
        <v>162</v>
      </c>
      <c r="N367" t="s">
        <v>290</v>
      </c>
      <c r="O367" t="s">
        <v>530</v>
      </c>
      <c r="P367">
        <v>2.1441503122147293E-2</v>
      </c>
      <c r="Q367" t="s">
        <v>162</v>
      </c>
      <c r="S367" t="s">
        <v>402</v>
      </c>
      <c r="T367" t="s">
        <v>530</v>
      </c>
      <c r="U367">
        <v>1.9965759960182669E-2</v>
      </c>
      <c r="V367" t="s">
        <v>162</v>
      </c>
    </row>
    <row r="368" spans="9:22" x14ac:dyDescent="0.45">
      <c r="I368" t="s">
        <v>178</v>
      </c>
      <c r="J368" t="s">
        <v>531</v>
      </c>
      <c r="K368">
        <v>0.15350115466071609</v>
      </c>
      <c r="L368" t="s">
        <v>162</v>
      </c>
      <c r="N368" t="s">
        <v>290</v>
      </c>
      <c r="O368" t="s">
        <v>531</v>
      </c>
      <c r="P368">
        <v>5.9910176913537151E-2</v>
      </c>
      <c r="Q368" t="s">
        <v>162</v>
      </c>
      <c r="S368" t="s">
        <v>402</v>
      </c>
      <c r="T368" t="s">
        <v>531</v>
      </c>
      <c r="U368">
        <v>5.2668566931733142E-2</v>
      </c>
      <c r="V368" t="s">
        <v>162</v>
      </c>
    </row>
    <row r="369" spans="9:22" x14ac:dyDescent="0.45">
      <c r="I369" t="s">
        <v>178</v>
      </c>
      <c r="J369" t="s">
        <v>532</v>
      </c>
      <c r="K369">
        <v>2.2661518833779291E-2</v>
      </c>
      <c r="L369" t="s">
        <v>162</v>
      </c>
      <c r="N369" t="s">
        <v>290</v>
      </c>
      <c r="O369" t="s">
        <v>532</v>
      </c>
      <c r="P369">
        <v>1.1940632077898373E-2</v>
      </c>
      <c r="Q369" t="s">
        <v>162</v>
      </c>
      <c r="S369" t="s">
        <v>402</v>
      </c>
      <c r="T369" t="s">
        <v>532</v>
      </c>
      <c r="U369">
        <v>1.0876981803457626E-2</v>
      </c>
      <c r="V369" t="s">
        <v>162</v>
      </c>
    </row>
    <row r="370" spans="9:22" x14ac:dyDescent="0.45">
      <c r="I370" t="s">
        <v>178</v>
      </c>
      <c r="J370" t="s">
        <v>533</v>
      </c>
      <c r="K370">
        <v>3.6185381854014168E-2</v>
      </c>
      <c r="L370" t="s">
        <v>162</v>
      </c>
      <c r="N370" t="s">
        <v>290</v>
      </c>
      <c r="O370" t="s">
        <v>533</v>
      </c>
      <c r="P370">
        <v>4.7473271874647532E-2</v>
      </c>
      <c r="Q370" t="s">
        <v>162</v>
      </c>
      <c r="S370" t="s">
        <v>402</v>
      </c>
      <c r="T370" t="s">
        <v>533</v>
      </c>
      <c r="U370">
        <v>6.5322237622651907E-2</v>
      </c>
      <c r="V370" t="s">
        <v>162</v>
      </c>
    </row>
    <row r="371" spans="9:22" x14ac:dyDescent="0.45">
      <c r="I371" t="s">
        <v>178</v>
      </c>
      <c r="J371" t="s">
        <v>534</v>
      </c>
      <c r="K371">
        <v>3.0717903592888847E-2</v>
      </c>
      <c r="L371" t="s">
        <v>162</v>
      </c>
      <c r="N371" t="s">
        <v>290</v>
      </c>
      <c r="O371" t="s">
        <v>534</v>
      </c>
      <c r="P371">
        <v>7.8529805999503349E-2</v>
      </c>
      <c r="Q371" t="s">
        <v>162</v>
      </c>
      <c r="S371" t="s">
        <v>402</v>
      </c>
      <c r="T371" t="s">
        <v>534</v>
      </c>
      <c r="U371">
        <v>0.11391165573438193</v>
      </c>
      <c r="V371" t="s">
        <v>162</v>
      </c>
    </row>
    <row r="372" spans="9:22" x14ac:dyDescent="0.45">
      <c r="I372" t="s">
        <v>178</v>
      </c>
      <c r="J372" t="s">
        <v>535</v>
      </c>
      <c r="K372">
        <v>2.0524754468772426E-2</v>
      </c>
      <c r="L372" t="s">
        <v>162</v>
      </c>
      <c r="N372" t="s">
        <v>290</v>
      </c>
      <c r="O372" t="s">
        <v>535</v>
      </c>
      <c r="P372">
        <v>8.9957614465941728E-3</v>
      </c>
      <c r="Q372" t="s">
        <v>162</v>
      </c>
      <c r="S372" t="s">
        <v>402</v>
      </c>
      <c r="T372" t="s">
        <v>535</v>
      </c>
      <c r="U372">
        <v>1.1967658276578811E-2</v>
      </c>
      <c r="V372" t="s">
        <v>162</v>
      </c>
    </row>
    <row r="373" spans="9:22" x14ac:dyDescent="0.45">
      <c r="I373" t="s">
        <v>178</v>
      </c>
      <c r="J373" t="s">
        <v>536</v>
      </c>
      <c r="K373">
        <v>4.5601269775163648E-2</v>
      </c>
      <c r="L373" t="s">
        <v>162</v>
      </c>
      <c r="N373" t="s">
        <v>290</v>
      </c>
      <c r="O373" t="s">
        <v>536</v>
      </c>
      <c r="P373">
        <v>2.2206763124095925E-2</v>
      </c>
      <c r="Q373" t="s">
        <v>162</v>
      </c>
      <c r="S373" t="s">
        <v>402</v>
      </c>
      <c r="T373" t="s">
        <v>536</v>
      </c>
      <c r="U373">
        <v>2.4494765878041582E-2</v>
      </c>
      <c r="V373" t="s">
        <v>162</v>
      </c>
    </row>
    <row r="374" spans="9:22" x14ac:dyDescent="0.45">
      <c r="I374" t="s">
        <v>178</v>
      </c>
      <c r="J374" t="s">
        <v>537</v>
      </c>
      <c r="K374">
        <v>0.10070098205943186</v>
      </c>
      <c r="L374" t="s">
        <v>162</v>
      </c>
      <c r="N374" t="s">
        <v>290</v>
      </c>
      <c r="O374" t="s">
        <v>537</v>
      </c>
      <c r="P374">
        <v>6.3779903391190676E-2</v>
      </c>
      <c r="Q374" t="s">
        <v>162</v>
      </c>
      <c r="S374" t="s">
        <v>402</v>
      </c>
      <c r="T374" t="s">
        <v>537</v>
      </c>
      <c r="U374">
        <v>6.4573092169797369E-2</v>
      </c>
      <c r="V374" t="s">
        <v>162</v>
      </c>
    </row>
    <row r="375" spans="9:22" x14ac:dyDescent="0.45">
      <c r="I375" t="s">
        <v>178</v>
      </c>
      <c r="J375" t="s">
        <v>538</v>
      </c>
      <c r="K375">
        <v>1.215177900580864E-2</v>
      </c>
      <c r="L375" t="s">
        <v>162</v>
      </c>
      <c r="N375" t="s">
        <v>290</v>
      </c>
      <c r="O375" t="s">
        <v>538</v>
      </c>
      <c r="P375">
        <v>1.2420091945471372E-2</v>
      </c>
      <c r="Q375" t="s">
        <v>162</v>
      </c>
      <c r="S375" t="s">
        <v>402</v>
      </c>
      <c r="T375" t="s">
        <v>538</v>
      </c>
      <c r="U375">
        <v>1.2958824359780347E-2</v>
      </c>
      <c r="V375" t="s">
        <v>162</v>
      </c>
    </row>
    <row r="376" spans="9:22" x14ac:dyDescent="0.45">
      <c r="I376" t="s">
        <v>178</v>
      </c>
      <c r="J376" t="s">
        <v>539</v>
      </c>
      <c r="K376">
        <v>1.099062873331101E-2</v>
      </c>
      <c r="L376" t="s">
        <v>162</v>
      </c>
      <c r="N376" t="s">
        <v>290</v>
      </c>
      <c r="O376" t="s">
        <v>539</v>
      </c>
      <c r="P376">
        <v>6.7631721559672925E-2</v>
      </c>
      <c r="Q376" t="s">
        <v>162</v>
      </c>
      <c r="S376" t="s">
        <v>402</v>
      </c>
      <c r="T376" t="s">
        <v>539</v>
      </c>
      <c r="U376">
        <v>7.9339292604492032E-2</v>
      </c>
      <c r="V376" t="s">
        <v>162</v>
      </c>
    </row>
    <row r="377" spans="9:22" x14ac:dyDescent="0.45">
      <c r="I377" t="s">
        <v>178</v>
      </c>
      <c r="J377" t="s">
        <v>540</v>
      </c>
      <c r="K377">
        <v>9.089085191975987E-4</v>
      </c>
      <c r="L377" t="s">
        <v>162</v>
      </c>
      <c r="N377" t="s">
        <v>290</v>
      </c>
      <c r="O377" t="s">
        <v>540</v>
      </c>
      <c r="P377">
        <v>2.9261167292614139E-2</v>
      </c>
      <c r="Q377" t="s">
        <v>162</v>
      </c>
      <c r="S377" t="s">
        <v>402</v>
      </c>
      <c r="T377" t="s">
        <v>540</v>
      </c>
      <c r="U377">
        <v>3.5409954795406318E-2</v>
      </c>
      <c r="V377" t="s">
        <v>162</v>
      </c>
    </row>
    <row r="378" spans="9:22" x14ac:dyDescent="0.45">
      <c r="I378" t="s">
        <v>178</v>
      </c>
      <c r="J378" t="s">
        <v>541</v>
      </c>
      <c r="K378">
        <v>3.7541607339993312E-3</v>
      </c>
      <c r="L378" t="s">
        <v>162</v>
      </c>
      <c r="N378" t="s">
        <v>290</v>
      </c>
      <c r="O378" t="s">
        <v>541</v>
      </c>
      <c r="P378">
        <v>3.8915377925417337E-3</v>
      </c>
      <c r="Q378" t="s">
        <v>162</v>
      </c>
      <c r="S378" t="s">
        <v>402</v>
      </c>
      <c r="T378" t="s">
        <v>541</v>
      </c>
      <c r="U378">
        <v>3.6219015175839205E-3</v>
      </c>
      <c r="V378" t="s">
        <v>162</v>
      </c>
    </row>
    <row r="379" spans="9:22" x14ac:dyDescent="0.45">
      <c r="I379" t="s">
        <v>178</v>
      </c>
      <c r="J379" t="s">
        <v>542</v>
      </c>
      <c r="K379">
        <v>1.0895371742129536E-2</v>
      </c>
      <c r="L379" t="s">
        <v>162</v>
      </c>
      <c r="N379" t="s">
        <v>290</v>
      </c>
      <c r="O379" t="s">
        <v>542</v>
      </c>
      <c r="P379">
        <v>7.7061578538877174E-3</v>
      </c>
      <c r="Q379" t="s">
        <v>162</v>
      </c>
      <c r="S379" t="s">
        <v>402</v>
      </c>
      <c r="T379" t="s">
        <v>542</v>
      </c>
      <c r="U379">
        <v>7.0470128193687726E-3</v>
      </c>
      <c r="V379" t="s">
        <v>162</v>
      </c>
    </row>
    <row r="380" spans="9:22" x14ac:dyDescent="0.45">
      <c r="I380" t="s">
        <v>178</v>
      </c>
      <c r="J380" t="s">
        <v>543</v>
      </c>
      <c r="K380">
        <v>2.0448095861809065E-2</v>
      </c>
      <c r="L380" t="s">
        <v>162</v>
      </c>
      <c r="N380" t="s">
        <v>290</v>
      </c>
      <c r="O380" t="s">
        <v>543</v>
      </c>
      <c r="P380">
        <v>1.9178612784480655E-2</v>
      </c>
      <c r="Q380" t="s">
        <v>162</v>
      </c>
      <c r="S380" t="s">
        <v>402</v>
      </c>
      <c r="T380" t="s">
        <v>543</v>
      </c>
      <c r="U380">
        <v>1.8040629839850494E-2</v>
      </c>
      <c r="V380" t="s">
        <v>162</v>
      </c>
    </row>
    <row r="381" spans="9:22" x14ac:dyDescent="0.45">
      <c r="I381" t="s">
        <v>178</v>
      </c>
      <c r="J381" t="s">
        <v>544</v>
      </c>
      <c r="K381">
        <v>0</v>
      </c>
      <c r="L381" t="s">
        <v>162</v>
      </c>
      <c r="N381" t="s">
        <v>290</v>
      </c>
      <c r="O381" t="s">
        <v>544</v>
      </c>
      <c r="P381">
        <v>3.72504186275036E-3</v>
      </c>
      <c r="Q381" t="s">
        <v>162</v>
      </c>
      <c r="S381" t="s">
        <v>402</v>
      </c>
      <c r="T381" t="s">
        <v>544</v>
      </c>
      <c r="U381">
        <v>3.7244313230161809E-3</v>
      </c>
      <c r="V381" t="s">
        <v>162</v>
      </c>
    </row>
    <row r="382" spans="9:22" x14ac:dyDescent="0.45">
      <c r="I382" t="s">
        <v>178</v>
      </c>
      <c r="J382" t="s">
        <v>545</v>
      </c>
      <c r="K382">
        <v>0</v>
      </c>
      <c r="L382" t="s">
        <v>162</v>
      </c>
      <c r="N382" t="s">
        <v>290</v>
      </c>
      <c r="O382" t="s">
        <v>545</v>
      </c>
      <c r="P382">
        <v>1.9748450200036165E-2</v>
      </c>
      <c r="Q382" t="s">
        <v>162</v>
      </c>
      <c r="S382" t="s">
        <v>402</v>
      </c>
      <c r="T382" t="s">
        <v>545</v>
      </c>
      <c r="U382">
        <v>2.2904259317380923E-2</v>
      </c>
      <c r="V382" t="s">
        <v>162</v>
      </c>
    </row>
    <row r="383" spans="9:22" x14ac:dyDescent="0.45">
      <c r="I383" t="s">
        <v>178</v>
      </c>
      <c r="J383" t="s">
        <v>546</v>
      </c>
      <c r="K383">
        <v>0</v>
      </c>
      <c r="L383" t="s">
        <v>162</v>
      </c>
      <c r="N383" t="s">
        <v>290</v>
      </c>
      <c r="O383" t="s">
        <v>546</v>
      </c>
      <c r="P383">
        <v>3.1400905216907991E-2</v>
      </c>
      <c r="Q383" t="s">
        <v>162</v>
      </c>
      <c r="S383" t="s">
        <v>402</v>
      </c>
      <c r="T383" t="s">
        <v>546</v>
      </c>
      <c r="U383">
        <v>3.1454647370017685E-2</v>
      </c>
      <c r="V383" t="s">
        <v>162</v>
      </c>
    </row>
    <row r="384" spans="9:22" x14ac:dyDescent="0.45">
      <c r="I384" t="s">
        <v>178</v>
      </c>
      <c r="J384" t="s">
        <v>547</v>
      </c>
      <c r="K384">
        <v>2.2225185176896183E-3</v>
      </c>
      <c r="L384" t="s">
        <v>162</v>
      </c>
      <c r="N384" t="s">
        <v>290</v>
      </c>
      <c r="O384" t="s">
        <v>547</v>
      </c>
      <c r="P384">
        <v>3.5600789331154295E-3</v>
      </c>
      <c r="Q384" t="s">
        <v>162</v>
      </c>
      <c r="S384" t="s">
        <v>402</v>
      </c>
      <c r="T384" t="s">
        <v>547</v>
      </c>
      <c r="U384">
        <v>3.4759504365960065E-3</v>
      </c>
      <c r="V384" t="s">
        <v>162</v>
      </c>
    </row>
    <row r="385" spans="9:22" x14ac:dyDescent="0.45">
      <c r="I385" t="s">
        <v>178</v>
      </c>
      <c r="J385" t="s">
        <v>548</v>
      </c>
      <c r="K385">
        <v>1.131015652464131E-2</v>
      </c>
      <c r="L385" t="s">
        <v>162</v>
      </c>
      <c r="N385" t="s">
        <v>290</v>
      </c>
      <c r="O385" t="s">
        <v>548</v>
      </c>
      <c r="P385">
        <v>6.8955444713983067E-3</v>
      </c>
      <c r="Q385" t="s">
        <v>162</v>
      </c>
      <c r="S385" t="s">
        <v>402</v>
      </c>
      <c r="T385" t="s">
        <v>548</v>
      </c>
      <c r="U385">
        <v>6.8600193286515567E-3</v>
      </c>
      <c r="V385" t="s">
        <v>162</v>
      </c>
    </row>
    <row r="386" spans="9:22" x14ac:dyDescent="0.45">
      <c r="I386" t="s">
        <v>178</v>
      </c>
      <c r="J386" t="s">
        <v>549</v>
      </c>
      <c r="K386">
        <v>2.0997455584658566E-2</v>
      </c>
      <c r="L386" t="s">
        <v>162</v>
      </c>
      <c r="N386" t="s">
        <v>290</v>
      </c>
      <c r="O386" t="s">
        <v>549</v>
      </c>
      <c r="P386">
        <v>1.6610879427722387E-2</v>
      </c>
      <c r="Q386" t="s">
        <v>162</v>
      </c>
      <c r="S386" t="s">
        <v>402</v>
      </c>
      <c r="T386" t="s">
        <v>549</v>
      </c>
      <c r="U386">
        <v>1.6201286222620771E-2</v>
      </c>
      <c r="V386" t="s">
        <v>162</v>
      </c>
    </row>
    <row r="387" spans="9:22" x14ac:dyDescent="0.45">
      <c r="I387" t="s">
        <v>178</v>
      </c>
      <c r="J387" t="s">
        <v>550</v>
      </c>
      <c r="K387">
        <v>0</v>
      </c>
      <c r="L387" t="s">
        <v>162</v>
      </c>
      <c r="N387" t="s">
        <v>290</v>
      </c>
      <c r="O387" t="s">
        <v>550</v>
      </c>
      <c r="P387">
        <v>3.663802602586455E-3</v>
      </c>
      <c r="Q387" t="s">
        <v>162</v>
      </c>
      <c r="S387" t="s">
        <v>402</v>
      </c>
      <c r="T387" t="s">
        <v>550</v>
      </c>
      <c r="U387">
        <v>3.0981128720266337E-3</v>
      </c>
      <c r="V387" t="s">
        <v>162</v>
      </c>
    </row>
    <row r="388" spans="9:22" x14ac:dyDescent="0.45">
      <c r="I388" t="s">
        <v>178</v>
      </c>
      <c r="J388" t="s">
        <v>551</v>
      </c>
      <c r="K388">
        <v>0</v>
      </c>
      <c r="L388" t="s">
        <v>162</v>
      </c>
      <c r="N388" t="s">
        <v>290</v>
      </c>
      <c r="O388" t="s">
        <v>551</v>
      </c>
      <c r="P388">
        <v>2.0795136512557294E-2</v>
      </c>
      <c r="Q388" t="s">
        <v>162</v>
      </c>
      <c r="S388" t="s">
        <v>402</v>
      </c>
      <c r="T388" t="s">
        <v>551</v>
      </c>
      <c r="U388">
        <v>1.9008252414709818E-2</v>
      </c>
      <c r="V388" t="s">
        <v>162</v>
      </c>
    </row>
    <row r="389" spans="9:22" x14ac:dyDescent="0.45">
      <c r="I389" t="s">
        <v>179</v>
      </c>
      <c r="J389" t="s">
        <v>161</v>
      </c>
      <c r="K389">
        <v>0</v>
      </c>
      <c r="L389" t="s">
        <v>162</v>
      </c>
      <c r="N389" t="s">
        <v>291</v>
      </c>
      <c r="O389" t="s">
        <v>161</v>
      </c>
      <c r="P389">
        <v>2.2238908015868548E-2</v>
      </c>
      <c r="Q389" t="s">
        <v>162</v>
      </c>
      <c r="S389" t="s">
        <v>403</v>
      </c>
      <c r="T389" t="s">
        <v>161</v>
      </c>
      <c r="U389">
        <v>2.0955653918491624E-2</v>
      </c>
      <c r="V389" t="s">
        <v>162</v>
      </c>
    </row>
    <row r="390" spans="9:22" x14ac:dyDescent="0.45">
      <c r="I390" t="s">
        <v>179</v>
      </c>
      <c r="J390" t="s">
        <v>163</v>
      </c>
      <c r="K390">
        <v>2.0615365088642195E-3</v>
      </c>
      <c r="L390" t="s">
        <v>162</v>
      </c>
      <c r="N390" t="s">
        <v>291</v>
      </c>
      <c r="O390" t="s">
        <v>163</v>
      </c>
      <c r="P390">
        <v>2.5052501847105347E-3</v>
      </c>
      <c r="Q390" t="s">
        <v>162</v>
      </c>
      <c r="S390" t="s">
        <v>403</v>
      </c>
      <c r="T390" t="s">
        <v>163</v>
      </c>
      <c r="U390">
        <v>2.3927847427781348E-3</v>
      </c>
      <c r="V390" t="s">
        <v>162</v>
      </c>
    </row>
    <row r="391" spans="9:22" x14ac:dyDescent="0.45">
      <c r="I391" t="s">
        <v>179</v>
      </c>
      <c r="J391" t="s">
        <v>164</v>
      </c>
      <c r="K391">
        <v>1.2802054706902771E-2</v>
      </c>
      <c r="L391" t="s">
        <v>162</v>
      </c>
      <c r="N391" t="s">
        <v>291</v>
      </c>
      <c r="O391" t="s">
        <v>164</v>
      </c>
      <c r="P391">
        <v>4.9061404929117295E-3</v>
      </c>
      <c r="Q391" t="s">
        <v>162</v>
      </c>
      <c r="S391" t="s">
        <v>403</v>
      </c>
      <c r="T391" t="s">
        <v>164</v>
      </c>
      <c r="U391">
        <v>4.8665845056175046E-3</v>
      </c>
      <c r="V391" t="s">
        <v>162</v>
      </c>
    </row>
    <row r="392" spans="9:22" x14ac:dyDescent="0.45">
      <c r="I392" t="s">
        <v>179</v>
      </c>
      <c r="J392" t="s">
        <v>519</v>
      </c>
      <c r="K392">
        <v>3.0977107490165818E-2</v>
      </c>
      <c r="L392" t="s">
        <v>162</v>
      </c>
      <c r="N392" t="s">
        <v>291</v>
      </c>
      <c r="O392" t="s">
        <v>519</v>
      </c>
      <c r="P392">
        <v>1.2913090996815937E-2</v>
      </c>
      <c r="Q392" t="s">
        <v>162</v>
      </c>
      <c r="S392" t="s">
        <v>403</v>
      </c>
      <c r="T392" t="s">
        <v>519</v>
      </c>
      <c r="U392">
        <v>1.1680056678727329E-2</v>
      </c>
      <c r="V392" t="s">
        <v>162</v>
      </c>
    </row>
    <row r="393" spans="9:22" x14ac:dyDescent="0.45">
      <c r="I393" t="s">
        <v>179</v>
      </c>
      <c r="J393" t="s">
        <v>520</v>
      </c>
      <c r="K393">
        <v>2.5342381906069889E-4</v>
      </c>
      <c r="L393" t="s">
        <v>162</v>
      </c>
      <c r="N393" t="s">
        <v>291</v>
      </c>
      <c r="O393" t="s">
        <v>520</v>
      </c>
      <c r="P393">
        <v>2.8377362669480192E-3</v>
      </c>
      <c r="Q393" t="s">
        <v>162</v>
      </c>
      <c r="S393" t="s">
        <v>403</v>
      </c>
      <c r="T393" t="s">
        <v>520</v>
      </c>
      <c r="U393">
        <v>2.2315801015195063E-3</v>
      </c>
      <c r="V393" t="s">
        <v>162</v>
      </c>
    </row>
    <row r="394" spans="9:22" x14ac:dyDescent="0.45">
      <c r="I394" t="s">
        <v>179</v>
      </c>
      <c r="J394" t="s">
        <v>521</v>
      </c>
      <c r="K394">
        <v>0</v>
      </c>
      <c r="L394" t="s">
        <v>162</v>
      </c>
      <c r="N394" t="s">
        <v>291</v>
      </c>
      <c r="O394" t="s">
        <v>521</v>
      </c>
      <c r="P394">
        <v>1.6691674162756829E-2</v>
      </c>
      <c r="Q394" t="s">
        <v>162</v>
      </c>
      <c r="S394" t="s">
        <v>403</v>
      </c>
      <c r="T394" t="s">
        <v>521</v>
      </c>
      <c r="U394">
        <v>1.4565458074078323E-2</v>
      </c>
      <c r="V394" t="s">
        <v>162</v>
      </c>
    </row>
    <row r="395" spans="9:22" x14ac:dyDescent="0.45">
      <c r="I395" t="s">
        <v>179</v>
      </c>
      <c r="J395" t="s">
        <v>165</v>
      </c>
      <c r="K395">
        <v>7.8964465964470043E-3</v>
      </c>
      <c r="L395" t="s">
        <v>162</v>
      </c>
      <c r="N395" t="s">
        <v>291</v>
      </c>
      <c r="O395" t="s">
        <v>165</v>
      </c>
      <c r="P395">
        <v>5.460820144985723E-2</v>
      </c>
      <c r="Q395" t="s">
        <v>162</v>
      </c>
      <c r="S395" t="s">
        <v>403</v>
      </c>
      <c r="T395" t="s">
        <v>165</v>
      </c>
      <c r="U395">
        <v>5.3074529942679367E-2</v>
      </c>
      <c r="V395" t="s">
        <v>162</v>
      </c>
    </row>
    <row r="396" spans="9:22" x14ac:dyDescent="0.45">
      <c r="I396" t="s">
        <v>179</v>
      </c>
      <c r="J396" t="s">
        <v>166</v>
      </c>
      <c r="K396">
        <v>1.3265207322662639E-2</v>
      </c>
      <c r="L396" t="s">
        <v>162</v>
      </c>
      <c r="N396" t="s">
        <v>291</v>
      </c>
      <c r="O396" t="s">
        <v>166</v>
      </c>
      <c r="P396">
        <v>4.8370094045326988E-3</v>
      </c>
      <c r="Q396" t="s">
        <v>162</v>
      </c>
      <c r="S396" t="s">
        <v>403</v>
      </c>
      <c r="T396" t="s">
        <v>166</v>
      </c>
      <c r="U396">
        <v>5.7191339874440939E-3</v>
      </c>
      <c r="V396" t="s">
        <v>162</v>
      </c>
    </row>
    <row r="397" spans="9:22" x14ac:dyDescent="0.45">
      <c r="I397" t="s">
        <v>179</v>
      </c>
      <c r="J397" t="s">
        <v>167</v>
      </c>
      <c r="K397">
        <v>3.7211849654498572E-2</v>
      </c>
      <c r="L397" t="s">
        <v>162</v>
      </c>
      <c r="N397" t="s">
        <v>291</v>
      </c>
      <c r="O397" t="s">
        <v>167</v>
      </c>
      <c r="P397">
        <v>1.0290924560103077E-2</v>
      </c>
      <c r="Q397" t="s">
        <v>162</v>
      </c>
      <c r="S397" t="s">
        <v>403</v>
      </c>
      <c r="T397" t="s">
        <v>167</v>
      </c>
      <c r="U397">
        <v>1.1014929331432851E-2</v>
      </c>
      <c r="V397" t="s">
        <v>162</v>
      </c>
    </row>
    <row r="398" spans="9:22" x14ac:dyDescent="0.45">
      <c r="I398" t="s">
        <v>179</v>
      </c>
      <c r="J398" t="s">
        <v>522</v>
      </c>
      <c r="K398">
        <v>8.7011550879370916E-2</v>
      </c>
      <c r="L398" t="s">
        <v>162</v>
      </c>
      <c r="N398" t="s">
        <v>291</v>
      </c>
      <c r="O398" t="s">
        <v>522</v>
      </c>
      <c r="P398">
        <v>2.9826429293685192E-2</v>
      </c>
      <c r="Q398" t="s">
        <v>162</v>
      </c>
      <c r="S398" t="s">
        <v>403</v>
      </c>
      <c r="T398" t="s">
        <v>522</v>
      </c>
      <c r="U398">
        <v>2.7017642492848274E-2</v>
      </c>
      <c r="V398" t="s">
        <v>162</v>
      </c>
    </row>
    <row r="399" spans="9:22" x14ac:dyDescent="0.45">
      <c r="I399" t="s">
        <v>179</v>
      </c>
      <c r="J399" t="s">
        <v>523</v>
      </c>
      <c r="K399">
        <v>1.1270138976261689E-2</v>
      </c>
      <c r="L399" t="s">
        <v>162</v>
      </c>
      <c r="N399" t="s">
        <v>291</v>
      </c>
      <c r="O399" t="s">
        <v>523</v>
      </c>
      <c r="P399">
        <v>6.6880649268687984E-3</v>
      </c>
      <c r="Q399" t="s">
        <v>162</v>
      </c>
      <c r="S399" t="s">
        <v>403</v>
      </c>
      <c r="T399" t="s">
        <v>523</v>
      </c>
      <c r="U399">
        <v>5.5991715376309667E-3</v>
      </c>
      <c r="V399" t="s">
        <v>162</v>
      </c>
    </row>
    <row r="400" spans="9:22" x14ac:dyDescent="0.45">
      <c r="I400" t="s">
        <v>179</v>
      </c>
      <c r="J400" t="s">
        <v>524</v>
      </c>
      <c r="K400">
        <v>3.9500270421748461E-3</v>
      </c>
      <c r="L400" t="s">
        <v>162</v>
      </c>
      <c r="N400" t="s">
        <v>291</v>
      </c>
      <c r="O400" t="s">
        <v>524</v>
      </c>
      <c r="P400">
        <v>4.1188352620437962E-2</v>
      </c>
      <c r="Q400" t="s">
        <v>162</v>
      </c>
      <c r="S400" t="s">
        <v>403</v>
      </c>
      <c r="T400" t="s">
        <v>524</v>
      </c>
      <c r="U400">
        <v>3.4812228232219355E-2</v>
      </c>
      <c r="V400" t="s">
        <v>162</v>
      </c>
    </row>
    <row r="401" spans="9:22" x14ac:dyDescent="0.45">
      <c r="I401" t="s">
        <v>179</v>
      </c>
      <c r="J401" t="s">
        <v>168</v>
      </c>
      <c r="K401">
        <v>2.2319140107709121E-2</v>
      </c>
      <c r="L401" t="s">
        <v>162</v>
      </c>
      <c r="N401" t="s">
        <v>291</v>
      </c>
      <c r="O401" t="s">
        <v>168</v>
      </c>
      <c r="P401">
        <v>4.354609301556589E-2</v>
      </c>
      <c r="Q401" t="s">
        <v>162</v>
      </c>
      <c r="S401" t="s">
        <v>403</v>
      </c>
      <c r="T401" t="s">
        <v>168</v>
      </c>
      <c r="U401">
        <v>2.7922245207111413E-2</v>
      </c>
      <c r="V401" t="s">
        <v>162</v>
      </c>
    </row>
    <row r="402" spans="9:22" x14ac:dyDescent="0.45">
      <c r="I402" t="s">
        <v>179</v>
      </c>
      <c r="J402" t="s">
        <v>169</v>
      </c>
      <c r="K402">
        <v>1.2892749023102376E-2</v>
      </c>
      <c r="L402" t="s">
        <v>162</v>
      </c>
      <c r="N402" t="s">
        <v>291</v>
      </c>
      <c r="O402" t="s">
        <v>169</v>
      </c>
      <c r="P402">
        <v>5.9476045945906731E-3</v>
      </c>
      <c r="Q402" t="s">
        <v>162</v>
      </c>
      <c r="S402" t="s">
        <v>403</v>
      </c>
      <c r="T402" t="s">
        <v>169</v>
      </c>
      <c r="U402">
        <v>2.9333493356551708E-3</v>
      </c>
      <c r="V402" t="s">
        <v>162</v>
      </c>
    </row>
    <row r="403" spans="9:22" x14ac:dyDescent="0.45">
      <c r="I403" t="s">
        <v>179</v>
      </c>
      <c r="J403" t="s">
        <v>170</v>
      </c>
      <c r="K403">
        <v>2.8058111574249835E-2</v>
      </c>
      <c r="L403" t="s">
        <v>162</v>
      </c>
      <c r="N403" t="s">
        <v>291</v>
      </c>
      <c r="O403" t="s">
        <v>170</v>
      </c>
      <c r="P403">
        <v>1.3091366626703266E-2</v>
      </c>
      <c r="Q403" t="s">
        <v>162</v>
      </c>
      <c r="S403" t="s">
        <v>403</v>
      </c>
      <c r="T403" t="s">
        <v>170</v>
      </c>
      <c r="U403">
        <v>5.7760667099365417E-3</v>
      </c>
      <c r="V403" t="s">
        <v>162</v>
      </c>
    </row>
    <row r="404" spans="9:22" x14ac:dyDescent="0.45">
      <c r="I404" t="s">
        <v>179</v>
      </c>
      <c r="J404" t="s">
        <v>525</v>
      </c>
      <c r="K404">
        <v>6.4985338871836523E-2</v>
      </c>
      <c r="L404" t="s">
        <v>162</v>
      </c>
      <c r="N404" t="s">
        <v>291</v>
      </c>
      <c r="O404" t="s">
        <v>525</v>
      </c>
      <c r="P404">
        <v>3.3449185852665222E-2</v>
      </c>
      <c r="Q404" t="s">
        <v>162</v>
      </c>
      <c r="S404" t="s">
        <v>403</v>
      </c>
      <c r="T404" t="s">
        <v>525</v>
      </c>
      <c r="U404">
        <v>1.5106792055563392E-2</v>
      </c>
      <c r="V404" t="s">
        <v>162</v>
      </c>
    </row>
    <row r="405" spans="9:22" x14ac:dyDescent="0.45">
      <c r="I405" t="s">
        <v>179</v>
      </c>
      <c r="J405" t="s">
        <v>526</v>
      </c>
      <c r="K405">
        <v>1.002856157684336E-2</v>
      </c>
      <c r="L405" t="s">
        <v>162</v>
      </c>
      <c r="N405" t="s">
        <v>291</v>
      </c>
      <c r="O405" t="s">
        <v>526</v>
      </c>
      <c r="P405">
        <v>6.45822765520298E-3</v>
      </c>
      <c r="Q405" t="s">
        <v>162</v>
      </c>
      <c r="S405" t="s">
        <v>403</v>
      </c>
      <c r="T405" t="s">
        <v>526</v>
      </c>
      <c r="U405">
        <v>3.0289691597729235E-3</v>
      </c>
      <c r="V405" t="s">
        <v>162</v>
      </c>
    </row>
    <row r="406" spans="9:22" x14ac:dyDescent="0.45">
      <c r="I406" t="s">
        <v>179</v>
      </c>
      <c r="J406" t="s">
        <v>527</v>
      </c>
      <c r="K406">
        <v>1.1937819257984397E-2</v>
      </c>
      <c r="L406" t="s">
        <v>162</v>
      </c>
      <c r="N406" t="s">
        <v>291</v>
      </c>
      <c r="O406" t="s">
        <v>527</v>
      </c>
      <c r="P406">
        <v>3.6429427317815198E-2</v>
      </c>
      <c r="Q406" t="s">
        <v>162</v>
      </c>
      <c r="S406" t="s">
        <v>403</v>
      </c>
      <c r="T406" t="s">
        <v>527</v>
      </c>
      <c r="U406">
        <v>1.813866449334444E-2</v>
      </c>
      <c r="V406" t="s">
        <v>162</v>
      </c>
    </row>
    <row r="407" spans="9:22" x14ac:dyDescent="0.45">
      <c r="I407" t="s">
        <v>179</v>
      </c>
      <c r="J407" t="s">
        <v>528</v>
      </c>
      <c r="K407">
        <v>6.738314575184054E-2</v>
      </c>
      <c r="L407" t="s">
        <v>162</v>
      </c>
      <c r="N407" t="s">
        <v>291</v>
      </c>
      <c r="O407" t="s">
        <v>528</v>
      </c>
      <c r="P407">
        <v>6.4163886466461803E-2</v>
      </c>
      <c r="Q407" t="s">
        <v>162</v>
      </c>
      <c r="S407" t="s">
        <v>403</v>
      </c>
      <c r="T407" t="s">
        <v>528</v>
      </c>
      <c r="U407">
        <v>9.8393693343907421E-2</v>
      </c>
      <c r="V407" t="s">
        <v>162</v>
      </c>
    </row>
    <row r="408" spans="9:22" x14ac:dyDescent="0.45">
      <c r="I408" t="s">
        <v>179</v>
      </c>
      <c r="J408" t="s">
        <v>529</v>
      </c>
      <c r="K408">
        <v>2.9003968117714812E-2</v>
      </c>
      <c r="L408" t="s">
        <v>162</v>
      </c>
      <c r="N408" t="s">
        <v>291</v>
      </c>
      <c r="O408" t="s">
        <v>529</v>
      </c>
      <c r="P408">
        <v>9.6339223319029822E-3</v>
      </c>
      <c r="Q408" t="s">
        <v>162</v>
      </c>
      <c r="S408" t="s">
        <v>403</v>
      </c>
      <c r="T408" t="s">
        <v>529</v>
      </c>
      <c r="U408">
        <v>1.029076083371471E-2</v>
      </c>
      <c r="V408" t="s">
        <v>162</v>
      </c>
    </row>
    <row r="409" spans="9:22" x14ac:dyDescent="0.45">
      <c r="I409" t="s">
        <v>179</v>
      </c>
      <c r="J409" t="s">
        <v>530</v>
      </c>
      <c r="K409">
        <v>6.337249849051671E-2</v>
      </c>
      <c r="L409" t="s">
        <v>162</v>
      </c>
      <c r="N409" t="s">
        <v>291</v>
      </c>
      <c r="O409" t="s">
        <v>530</v>
      </c>
      <c r="P409">
        <v>2.2630215373707296E-2</v>
      </c>
      <c r="Q409" t="s">
        <v>162</v>
      </c>
      <c r="S409" t="s">
        <v>403</v>
      </c>
      <c r="T409" t="s">
        <v>530</v>
      </c>
      <c r="U409">
        <v>2.0790678323697843E-2</v>
      </c>
      <c r="V409" t="s">
        <v>162</v>
      </c>
    </row>
    <row r="410" spans="9:22" x14ac:dyDescent="0.45">
      <c r="I410" t="s">
        <v>179</v>
      </c>
      <c r="J410" t="s">
        <v>531</v>
      </c>
      <c r="K410">
        <v>0.14692109349172636</v>
      </c>
      <c r="L410" t="s">
        <v>162</v>
      </c>
      <c r="N410" t="s">
        <v>291</v>
      </c>
      <c r="O410" t="s">
        <v>531</v>
      </c>
      <c r="P410">
        <v>6.1494367439376869E-2</v>
      </c>
      <c r="Q410" t="s">
        <v>162</v>
      </c>
      <c r="S410" t="s">
        <v>403</v>
      </c>
      <c r="T410" t="s">
        <v>531</v>
      </c>
      <c r="U410">
        <v>5.375395049478579E-2</v>
      </c>
      <c r="V410" t="s">
        <v>162</v>
      </c>
    </row>
    <row r="411" spans="9:22" x14ac:dyDescent="0.45">
      <c r="I411" t="s">
        <v>179</v>
      </c>
      <c r="J411" t="s">
        <v>532</v>
      </c>
      <c r="K411">
        <v>2.1911219240244979E-2</v>
      </c>
      <c r="L411" t="s">
        <v>162</v>
      </c>
      <c r="N411" t="s">
        <v>291</v>
      </c>
      <c r="O411" t="s">
        <v>532</v>
      </c>
      <c r="P411">
        <v>1.153757516385354E-2</v>
      </c>
      <c r="Q411" t="s">
        <v>162</v>
      </c>
      <c r="S411" t="s">
        <v>403</v>
      </c>
      <c r="T411" t="s">
        <v>532</v>
      </c>
      <c r="U411">
        <v>1.0730366409937511E-2</v>
      </c>
      <c r="V411" t="s">
        <v>162</v>
      </c>
    </row>
    <row r="412" spans="9:22" x14ac:dyDescent="0.45">
      <c r="I412" t="s">
        <v>179</v>
      </c>
      <c r="J412" t="s">
        <v>533</v>
      </c>
      <c r="K412">
        <v>3.9333550458935919E-2</v>
      </c>
      <c r="L412" t="s">
        <v>162</v>
      </c>
      <c r="N412" t="s">
        <v>291</v>
      </c>
      <c r="O412" t="s">
        <v>533</v>
      </c>
      <c r="P412">
        <v>6.1903701888770007E-2</v>
      </c>
      <c r="Q412" t="s">
        <v>162</v>
      </c>
      <c r="S412" t="s">
        <v>403</v>
      </c>
      <c r="T412" t="s">
        <v>533</v>
      </c>
      <c r="U412">
        <v>6.6246464881264025E-2</v>
      </c>
      <c r="V412" t="s">
        <v>162</v>
      </c>
    </row>
    <row r="413" spans="9:22" x14ac:dyDescent="0.45">
      <c r="I413" t="s">
        <v>179</v>
      </c>
      <c r="J413" t="s">
        <v>534</v>
      </c>
      <c r="K413">
        <v>2.6396825303935195E-2</v>
      </c>
      <c r="L413" t="s">
        <v>162</v>
      </c>
      <c r="N413" t="s">
        <v>291</v>
      </c>
      <c r="O413" t="s">
        <v>534</v>
      </c>
      <c r="P413">
        <v>9.4898541456239896E-2</v>
      </c>
      <c r="Q413" t="s">
        <v>162</v>
      </c>
      <c r="S413" t="s">
        <v>403</v>
      </c>
      <c r="T413" t="s">
        <v>534</v>
      </c>
      <c r="U413">
        <v>0.11832656821917034</v>
      </c>
      <c r="V413" t="s">
        <v>162</v>
      </c>
    </row>
    <row r="414" spans="9:22" x14ac:dyDescent="0.45">
      <c r="I414" t="s">
        <v>179</v>
      </c>
      <c r="J414" t="s">
        <v>535</v>
      </c>
      <c r="K414">
        <v>1.9255972983126615E-2</v>
      </c>
      <c r="L414" t="s">
        <v>162</v>
      </c>
      <c r="N414" t="s">
        <v>291</v>
      </c>
      <c r="O414" t="s">
        <v>535</v>
      </c>
      <c r="P414">
        <v>1.0423068355466011E-2</v>
      </c>
      <c r="Q414" t="s">
        <v>162</v>
      </c>
      <c r="S414" t="s">
        <v>403</v>
      </c>
      <c r="T414" t="s">
        <v>535</v>
      </c>
      <c r="U414">
        <v>1.2817926594405206E-2</v>
      </c>
      <c r="V414" t="s">
        <v>162</v>
      </c>
    </row>
    <row r="415" spans="9:22" x14ac:dyDescent="0.45">
      <c r="I415" t="s">
        <v>179</v>
      </c>
      <c r="J415" t="s">
        <v>536</v>
      </c>
      <c r="K415">
        <v>4.2409092985742157E-2</v>
      </c>
      <c r="L415" t="s">
        <v>162</v>
      </c>
      <c r="N415" t="s">
        <v>291</v>
      </c>
      <c r="O415" t="s">
        <v>536</v>
      </c>
      <c r="P415">
        <v>2.3844210118931022E-2</v>
      </c>
      <c r="Q415" t="s">
        <v>162</v>
      </c>
      <c r="S415" t="s">
        <v>403</v>
      </c>
      <c r="T415" t="s">
        <v>536</v>
      </c>
      <c r="U415">
        <v>2.6224005862755313E-2</v>
      </c>
      <c r="V415" t="s">
        <v>162</v>
      </c>
    </row>
    <row r="416" spans="9:22" x14ac:dyDescent="0.45">
      <c r="I416" t="s">
        <v>179</v>
      </c>
      <c r="J416" t="s">
        <v>537</v>
      </c>
      <c r="K416">
        <v>9.0422228596682211E-2</v>
      </c>
      <c r="L416" t="s">
        <v>162</v>
      </c>
      <c r="N416" t="s">
        <v>291</v>
      </c>
      <c r="O416" t="s">
        <v>537</v>
      </c>
      <c r="P416">
        <v>6.2220936750613506E-2</v>
      </c>
      <c r="Q416" t="s">
        <v>162</v>
      </c>
      <c r="S416" t="s">
        <v>403</v>
      </c>
      <c r="T416" t="s">
        <v>537</v>
      </c>
      <c r="U416">
        <v>6.7602609432350746E-2</v>
      </c>
      <c r="V416" t="s">
        <v>162</v>
      </c>
    </row>
    <row r="417" spans="9:22" x14ac:dyDescent="0.45">
      <c r="I417" t="s">
        <v>179</v>
      </c>
      <c r="J417" t="s">
        <v>538</v>
      </c>
      <c r="K417">
        <v>1.1021071114727549E-2</v>
      </c>
      <c r="L417" t="s">
        <v>162</v>
      </c>
      <c r="N417" t="s">
        <v>291</v>
      </c>
      <c r="O417" t="s">
        <v>538</v>
      </c>
      <c r="P417">
        <v>1.1565780015929599E-2</v>
      </c>
      <c r="Q417" t="s">
        <v>162</v>
      </c>
      <c r="S417" t="s">
        <v>403</v>
      </c>
      <c r="T417" t="s">
        <v>538</v>
      </c>
      <c r="U417">
        <v>1.3372686448742364E-2</v>
      </c>
      <c r="V417" t="s">
        <v>162</v>
      </c>
    </row>
    <row r="418" spans="9:22" x14ac:dyDescent="0.45">
      <c r="I418" t="s">
        <v>179</v>
      </c>
      <c r="J418" t="s">
        <v>539</v>
      </c>
      <c r="K418">
        <v>1.0608442289782694E-2</v>
      </c>
      <c r="L418" t="s">
        <v>162</v>
      </c>
      <c r="N418" t="s">
        <v>291</v>
      </c>
      <c r="O418" t="s">
        <v>539</v>
      </c>
      <c r="P418">
        <v>7.7895264879194639E-2</v>
      </c>
      <c r="Q418" t="s">
        <v>162</v>
      </c>
      <c r="S418" t="s">
        <v>403</v>
      </c>
      <c r="T418" t="s">
        <v>539</v>
      </c>
      <c r="U418">
        <v>8.0661742778255927E-2</v>
      </c>
      <c r="V418" t="s">
        <v>162</v>
      </c>
    </row>
    <row r="419" spans="9:22" x14ac:dyDescent="0.45">
      <c r="I419" t="s">
        <v>179</v>
      </c>
      <c r="J419" t="s">
        <v>540</v>
      </c>
      <c r="K419">
        <v>2.9241782912187218E-4</v>
      </c>
      <c r="L419" t="s">
        <v>162</v>
      </c>
      <c r="N419" t="s">
        <v>291</v>
      </c>
      <c r="O419" t="s">
        <v>540</v>
      </c>
      <c r="P419">
        <v>2.0256806363847597E-2</v>
      </c>
      <c r="Q419" t="s">
        <v>162</v>
      </c>
      <c r="S419" t="s">
        <v>403</v>
      </c>
      <c r="T419" t="s">
        <v>540</v>
      </c>
      <c r="U419">
        <v>2.982313651748358E-2</v>
      </c>
      <c r="V419" t="s">
        <v>162</v>
      </c>
    </row>
    <row r="420" spans="9:22" x14ac:dyDescent="0.45">
      <c r="I420" t="s">
        <v>179</v>
      </c>
      <c r="J420" t="s">
        <v>541</v>
      </c>
      <c r="K420">
        <v>2.7248532079787928E-3</v>
      </c>
      <c r="L420" t="s">
        <v>162</v>
      </c>
      <c r="N420" t="s">
        <v>291</v>
      </c>
      <c r="O420" t="s">
        <v>541</v>
      </c>
      <c r="P420">
        <v>2.1151820293900552E-3</v>
      </c>
      <c r="Q420" t="s">
        <v>162</v>
      </c>
      <c r="S420" t="s">
        <v>403</v>
      </c>
      <c r="T420" t="s">
        <v>541</v>
      </c>
      <c r="U420">
        <v>2.7972890835306001E-3</v>
      </c>
      <c r="V420" t="s">
        <v>162</v>
      </c>
    </row>
    <row r="421" spans="9:22" x14ac:dyDescent="0.45">
      <c r="I421" t="s">
        <v>179</v>
      </c>
      <c r="J421" t="s">
        <v>542</v>
      </c>
      <c r="K421">
        <v>9.9247678942912324E-3</v>
      </c>
      <c r="L421" t="s">
        <v>162</v>
      </c>
      <c r="N421" t="s">
        <v>291</v>
      </c>
      <c r="O421" t="s">
        <v>542</v>
      </c>
      <c r="P421">
        <v>4.3312833452497672E-3</v>
      </c>
      <c r="Q421" t="s">
        <v>162</v>
      </c>
      <c r="S421" t="s">
        <v>403</v>
      </c>
      <c r="T421" t="s">
        <v>542</v>
      </c>
      <c r="U421">
        <v>5.566644997661364E-3</v>
      </c>
      <c r="V421" t="s">
        <v>162</v>
      </c>
    </row>
    <row r="422" spans="9:22" x14ac:dyDescent="0.45">
      <c r="I422" t="s">
        <v>179</v>
      </c>
      <c r="J422" t="s">
        <v>543</v>
      </c>
      <c r="K422">
        <v>2.1716734262561519E-2</v>
      </c>
      <c r="L422" t="s">
        <v>162</v>
      </c>
      <c r="N422" t="s">
        <v>291</v>
      </c>
      <c r="O422" t="s">
        <v>543</v>
      </c>
      <c r="P422">
        <v>1.3168310380398503E-2</v>
      </c>
      <c r="Q422" t="s">
        <v>162</v>
      </c>
      <c r="S422" t="s">
        <v>403</v>
      </c>
      <c r="T422" t="s">
        <v>543</v>
      </c>
      <c r="U422">
        <v>1.522936258772367E-2</v>
      </c>
      <c r="V422" t="s">
        <v>162</v>
      </c>
    </row>
    <row r="423" spans="9:22" x14ac:dyDescent="0.45">
      <c r="I423" t="s">
        <v>179</v>
      </c>
      <c r="J423" t="s">
        <v>544</v>
      </c>
      <c r="K423">
        <v>0</v>
      </c>
      <c r="L423" t="s">
        <v>162</v>
      </c>
      <c r="N423" t="s">
        <v>291</v>
      </c>
      <c r="O423" t="s">
        <v>544</v>
      </c>
      <c r="P423">
        <v>2.8714682931779978E-3</v>
      </c>
      <c r="Q423" t="s">
        <v>162</v>
      </c>
      <c r="S423" t="s">
        <v>403</v>
      </c>
      <c r="T423" t="s">
        <v>544</v>
      </c>
      <c r="U423">
        <v>3.3575298208999523E-3</v>
      </c>
      <c r="V423" t="s">
        <v>162</v>
      </c>
    </row>
    <row r="424" spans="9:22" x14ac:dyDescent="0.45">
      <c r="I424" t="s">
        <v>179</v>
      </c>
      <c r="J424" t="s">
        <v>545</v>
      </c>
      <c r="K424">
        <v>0</v>
      </c>
      <c r="L424" t="s">
        <v>162</v>
      </c>
      <c r="N424" t="s">
        <v>291</v>
      </c>
      <c r="O424" t="s">
        <v>545</v>
      </c>
      <c r="P424">
        <v>1.7574433361078091E-2</v>
      </c>
      <c r="Q424" t="s">
        <v>162</v>
      </c>
      <c r="S424" t="s">
        <v>403</v>
      </c>
      <c r="T424" t="s">
        <v>545</v>
      </c>
      <c r="U424">
        <v>2.1481103018779035E-2</v>
      </c>
      <c r="V424" t="s">
        <v>162</v>
      </c>
    </row>
    <row r="425" spans="9:22" x14ac:dyDescent="0.45">
      <c r="I425" t="s">
        <v>179</v>
      </c>
      <c r="J425" t="s">
        <v>546</v>
      </c>
      <c r="K425">
        <v>0</v>
      </c>
      <c r="L425" t="s">
        <v>162</v>
      </c>
      <c r="N425" t="s">
        <v>291</v>
      </c>
      <c r="O425" t="s">
        <v>546</v>
      </c>
      <c r="P425">
        <v>2.8504910918278163E-2</v>
      </c>
      <c r="Q425" t="s">
        <v>162</v>
      </c>
      <c r="S425" t="s">
        <v>403</v>
      </c>
      <c r="T425" t="s">
        <v>546</v>
      </c>
      <c r="U425">
        <v>2.8904687599174573E-2</v>
      </c>
      <c r="V425" t="s">
        <v>162</v>
      </c>
    </row>
    <row r="426" spans="9:22" x14ac:dyDescent="0.45">
      <c r="I426" t="s">
        <v>179</v>
      </c>
      <c r="J426" t="s">
        <v>547</v>
      </c>
      <c r="K426">
        <v>7.7007752274555342E-4</v>
      </c>
      <c r="L426" t="s">
        <v>162</v>
      </c>
      <c r="N426" t="s">
        <v>291</v>
      </c>
      <c r="O426" t="s">
        <v>547</v>
      </c>
      <c r="P426">
        <v>3.068939047159179E-3</v>
      </c>
      <c r="Q426" t="s">
        <v>162</v>
      </c>
      <c r="S426" t="s">
        <v>403</v>
      </c>
      <c r="T426" t="s">
        <v>547</v>
      </c>
      <c r="U426">
        <v>3.1910556998966137E-3</v>
      </c>
      <c r="V426" t="s">
        <v>162</v>
      </c>
    </row>
    <row r="427" spans="9:22" x14ac:dyDescent="0.45">
      <c r="I427" t="s">
        <v>179</v>
      </c>
      <c r="J427" t="s">
        <v>548</v>
      </c>
      <c r="K427">
        <v>1.2358254928649469E-2</v>
      </c>
      <c r="L427" t="s">
        <v>162</v>
      </c>
      <c r="N427" t="s">
        <v>291</v>
      </c>
      <c r="O427" t="s">
        <v>548</v>
      </c>
      <c r="P427">
        <v>6.2691195384183326E-3</v>
      </c>
      <c r="Q427" t="s">
        <v>162</v>
      </c>
      <c r="S427" t="s">
        <v>403</v>
      </c>
      <c r="T427" t="s">
        <v>548</v>
      </c>
      <c r="U427">
        <v>6.3432853826642186E-3</v>
      </c>
      <c r="V427" t="s">
        <v>162</v>
      </c>
    </row>
    <row r="428" spans="9:22" x14ac:dyDescent="0.45">
      <c r="I428" t="s">
        <v>179</v>
      </c>
      <c r="J428" t="s">
        <v>549</v>
      </c>
      <c r="K428">
        <v>2.7252722121541912E-2</v>
      </c>
      <c r="L428" t="s">
        <v>162</v>
      </c>
      <c r="N428" t="s">
        <v>291</v>
      </c>
      <c r="O428" t="s">
        <v>549</v>
      </c>
      <c r="P428">
        <v>1.6020828208253686E-2</v>
      </c>
      <c r="Q428" t="s">
        <v>162</v>
      </c>
      <c r="S428" t="s">
        <v>403</v>
      </c>
      <c r="T428" t="s">
        <v>549</v>
      </c>
      <c r="U428">
        <v>1.5928055116843327E-2</v>
      </c>
      <c r="V428" t="s">
        <v>162</v>
      </c>
    </row>
    <row r="429" spans="9:22" x14ac:dyDescent="0.45">
      <c r="I429" t="s">
        <v>179</v>
      </c>
      <c r="J429" t="s">
        <v>550</v>
      </c>
      <c r="K429">
        <v>0</v>
      </c>
      <c r="L429" t="s">
        <v>162</v>
      </c>
      <c r="N429" t="s">
        <v>291</v>
      </c>
      <c r="O429" t="s">
        <v>550</v>
      </c>
      <c r="P429">
        <v>3.5270923670247508E-3</v>
      </c>
      <c r="Q429" t="s">
        <v>162</v>
      </c>
      <c r="S429" t="s">
        <v>403</v>
      </c>
      <c r="T429" t="s">
        <v>550</v>
      </c>
      <c r="U429">
        <v>3.021325673081555E-3</v>
      </c>
      <c r="V429" t="s">
        <v>162</v>
      </c>
    </row>
    <row r="430" spans="9:22" x14ac:dyDescent="0.45">
      <c r="I430" t="s">
        <v>179</v>
      </c>
      <c r="J430" t="s">
        <v>551</v>
      </c>
      <c r="K430">
        <v>0</v>
      </c>
      <c r="L430" t="s">
        <v>162</v>
      </c>
      <c r="N430" t="s">
        <v>291</v>
      </c>
      <c r="O430" t="s">
        <v>551</v>
      </c>
      <c r="P430">
        <v>2.162646846923871E-2</v>
      </c>
      <c r="Q430" t="s">
        <v>162</v>
      </c>
      <c r="S430" t="s">
        <v>403</v>
      </c>
      <c r="T430" t="s">
        <v>551</v>
      </c>
      <c r="U430">
        <v>1.8309230372422415E-2</v>
      </c>
      <c r="V430" t="s">
        <v>162</v>
      </c>
    </row>
    <row r="431" spans="9:22" x14ac:dyDescent="0.45">
      <c r="I431" t="s">
        <v>180</v>
      </c>
      <c r="J431" t="s">
        <v>161</v>
      </c>
      <c r="K431">
        <v>0</v>
      </c>
      <c r="L431" t="s">
        <v>162</v>
      </c>
      <c r="N431" t="s">
        <v>292</v>
      </c>
      <c r="O431" t="s">
        <v>161</v>
      </c>
      <c r="P431">
        <v>3.1839464207397937E-2</v>
      </c>
      <c r="Q431" t="s">
        <v>162</v>
      </c>
      <c r="S431" t="s">
        <v>404</v>
      </c>
      <c r="T431" t="s">
        <v>161</v>
      </c>
      <c r="U431">
        <v>2.1344422605414165E-2</v>
      </c>
      <c r="V431" t="s">
        <v>162</v>
      </c>
    </row>
    <row r="432" spans="9:22" x14ac:dyDescent="0.45">
      <c r="I432" t="s">
        <v>180</v>
      </c>
      <c r="J432" t="s">
        <v>163</v>
      </c>
      <c r="K432">
        <v>3.7024363948606111E-3</v>
      </c>
      <c r="L432" t="s">
        <v>162</v>
      </c>
      <c r="N432" t="s">
        <v>292</v>
      </c>
      <c r="O432" t="s">
        <v>163</v>
      </c>
      <c r="P432">
        <v>2.9546973275628519E-3</v>
      </c>
      <c r="Q432" t="s">
        <v>162</v>
      </c>
      <c r="S432" t="s">
        <v>404</v>
      </c>
      <c r="T432" t="s">
        <v>163</v>
      </c>
      <c r="U432">
        <v>2.4306950797231973E-3</v>
      </c>
      <c r="V432" t="s">
        <v>162</v>
      </c>
    </row>
    <row r="433" spans="9:22" x14ac:dyDescent="0.45">
      <c r="I433" t="s">
        <v>180</v>
      </c>
      <c r="J433" t="s">
        <v>164</v>
      </c>
      <c r="K433">
        <v>1.2904934422320317E-2</v>
      </c>
      <c r="L433" t="s">
        <v>162</v>
      </c>
      <c r="N433" t="s">
        <v>292</v>
      </c>
      <c r="O433" t="s">
        <v>164</v>
      </c>
      <c r="P433">
        <v>5.5321788599494376E-3</v>
      </c>
      <c r="Q433" t="s">
        <v>162</v>
      </c>
      <c r="S433" t="s">
        <v>404</v>
      </c>
      <c r="T433" t="s">
        <v>164</v>
      </c>
      <c r="U433">
        <v>4.7435743198964942E-3</v>
      </c>
      <c r="V433" t="s">
        <v>162</v>
      </c>
    </row>
    <row r="434" spans="9:22" x14ac:dyDescent="0.45">
      <c r="I434" t="s">
        <v>180</v>
      </c>
      <c r="J434" t="s">
        <v>519</v>
      </c>
      <c r="K434">
        <v>2.8911625457221226E-2</v>
      </c>
      <c r="L434" t="s">
        <v>162</v>
      </c>
      <c r="N434" t="s">
        <v>292</v>
      </c>
      <c r="O434" t="s">
        <v>519</v>
      </c>
      <c r="P434">
        <v>1.2927765322680236E-2</v>
      </c>
      <c r="Q434" t="s">
        <v>162</v>
      </c>
      <c r="S434" t="s">
        <v>404</v>
      </c>
      <c r="T434" t="s">
        <v>519</v>
      </c>
      <c r="U434">
        <v>1.1283940261644804E-2</v>
      </c>
      <c r="V434" t="s">
        <v>162</v>
      </c>
    </row>
    <row r="435" spans="9:22" x14ac:dyDescent="0.45">
      <c r="I435" t="s">
        <v>180</v>
      </c>
      <c r="J435" t="s">
        <v>520</v>
      </c>
      <c r="K435">
        <v>0</v>
      </c>
      <c r="L435" t="s">
        <v>162</v>
      </c>
      <c r="N435" t="s">
        <v>292</v>
      </c>
      <c r="O435" t="s">
        <v>520</v>
      </c>
      <c r="P435">
        <v>2.7964677646058721E-3</v>
      </c>
      <c r="Q435" t="s">
        <v>162</v>
      </c>
      <c r="S435" t="s">
        <v>404</v>
      </c>
      <c r="T435" t="s">
        <v>520</v>
      </c>
      <c r="U435">
        <v>2.1023169253944307E-3</v>
      </c>
      <c r="V435" t="s">
        <v>162</v>
      </c>
    </row>
    <row r="436" spans="9:22" x14ac:dyDescent="0.45">
      <c r="I436" t="s">
        <v>180</v>
      </c>
      <c r="J436" t="s">
        <v>521</v>
      </c>
      <c r="K436">
        <v>0</v>
      </c>
      <c r="L436" t="s">
        <v>162</v>
      </c>
      <c r="N436" t="s">
        <v>292</v>
      </c>
      <c r="O436" t="s">
        <v>521</v>
      </c>
      <c r="P436">
        <v>1.9896001334462798E-2</v>
      </c>
      <c r="Q436" t="s">
        <v>162</v>
      </c>
      <c r="S436" t="s">
        <v>404</v>
      </c>
      <c r="T436" t="s">
        <v>521</v>
      </c>
      <c r="U436">
        <v>1.446876812157517E-2</v>
      </c>
      <c r="V436" t="s">
        <v>162</v>
      </c>
    </row>
    <row r="437" spans="9:22" x14ac:dyDescent="0.45">
      <c r="I437" t="s">
        <v>180</v>
      </c>
      <c r="J437" t="s">
        <v>165</v>
      </c>
      <c r="K437">
        <v>9.2046361039415103E-3</v>
      </c>
      <c r="L437" t="s">
        <v>162</v>
      </c>
      <c r="N437" t="s">
        <v>292</v>
      </c>
      <c r="O437" t="s">
        <v>165</v>
      </c>
      <c r="P437">
        <v>5.6867511226340157E-2</v>
      </c>
      <c r="Q437" t="s">
        <v>162</v>
      </c>
      <c r="S437" t="s">
        <v>404</v>
      </c>
      <c r="T437" t="s">
        <v>165</v>
      </c>
      <c r="U437">
        <v>5.3342252354954059E-2</v>
      </c>
      <c r="V437" t="s">
        <v>162</v>
      </c>
    </row>
    <row r="438" spans="9:22" x14ac:dyDescent="0.45">
      <c r="I438" t="s">
        <v>180</v>
      </c>
      <c r="J438" t="s">
        <v>166</v>
      </c>
      <c r="K438">
        <v>1.2649706294869582E-2</v>
      </c>
      <c r="L438" t="s">
        <v>162</v>
      </c>
      <c r="N438" t="s">
        <v>292</v>
      </c>
      <c r="O438" t="s">
        <v>166</v>
      </c>
      <c r="P438">
        <v>6.0218875396622759E-3</v>
      </c>
      <c r="Q438" t="s">
        <v>162</v>
      </c>
      <c r="S438" t="s">
        <v>404</v>
      </c>
      <c r="T438" t="s">
        <v>166</v>
      </c>
      <c r="U438">
        <v>5.9332954831869114E-3</v>
      </c>
      <c r="V438" t="s">
        <v>162</v>
      </c>
    </row>
    <row r="439" spans="9:22" x14ac:dyDescent="0.45">
      <c r="I439" t="s">
        <v>180</v>
      </c>
      <c r="J439" t="s">
        <v>167</v>
      </c>
      <c r="K439">
        <v>3.2794252886526869E-2</v>
      </c>
      <c r="L439" t="s">
        <v>162</v>
      </c>
      <c r="N439" t="s">
        <v>292</v>
      </c>
      <c r="O439" t="s">
        <v>167</v>
      </c>
      <c r="P439">
        <v>1.2333348950317215E-2</v>
      </c>
      <c r="Q439" t="s">
        <v>162</v>
      </c>
      <c r="S439" t="s">
        <v>404</v>
      </c>
      <c r="T439" t="s">
        <v>167</v>
      </c>
      <c r="U439">
        <v>1.1246693491387001E-2</v>
      </c>
      <c r="V439" t="s">
        <v>162</v>
      </c>
    </row>
    <row r="440" spans="9:22" x14ac:dyDescent="0.45">
      <c r="I440" t="s">
        <v>180</v>
      </c>
      <c r="J440" t="s">
        <v>522</v>
      </c>
      <c r="K440">
        <v>7.6013168851073926E-2</v>
      </c>
      <c r="L440" t="s">
        <v>162</v>
      </c>
      <c r="N440" t="s">
        <v>292</v>
      </c>
      <c r="O440" t="s">
        <v>522</v>
      </c>
      <c r="P440">
        <v>2.9772467322882579E-2</v>
      </c>
      <c r="Q440" t="s">
        <v>162</v>
      </c>
      <c r="S440" t="s">
        <v>404</v>
      </c>
      <c r="T440" t="s">
        <v>522</v>
      </c>
      <c r="U440">
        <v>2.7177646892050392E-2</v>
      </c>
      <c r="V440" t="s">
        <v>162</v>
      </c>
    </row>
    <row r="441" spans="9:22" x14ac:dyDescent="0.45">
      <c r="I441" t="s">
        <v>180</v>
      </c>
      <c r="J441" t="s">
        <v>523</v>
      </c>
      <c r="K441">
        <v>7.842988113815964E-3</v>
      </c>
      <c r="L441" t="s">
        <v>162</v>
      </c>
      <c r="N441" t="s">
        <v>292</v>
      </c>
      <c r="O441" t="s">
        <v>523</v>
      </c>
      <c r="P441">
        <v>5.7365408834860673E-3</v>
      </c>
      <c r="Q441" t="s">
        <v>162</v>
      </c>
      <c r="S441" t="s">
        <v>404</v>
      </c>
      <c r="T441" t="s">
        <v>523</v>
      </c>
      <c r="U441">
        <v>5.559936001662105E-3</v>
      </c>
      <c r="V441" t="s">
        <v>162</v>
      </c>
    </row>
    <row r="442" spans="9:22" x14ac:dyDescent="0.45">
      <c r="I442" t="s">
        <v>180</v>
      </c>
      <c r="J442" t="s">
        <v>524</v>
      </c>
      <c r="K442">
        <v>1.6961403448442433E-3</v>
      </c>
      <c r="L442" t="s">
        <v>162</v>
      </c>
      <c r="N442" t="s">
        <v>292</v>
      </c>
      <c r="O442" t="s">
        <v>524</v>
      </c>
      <c r="P442">
        <v>3.5164695004086421E-2</v>
      </c>
      <c r="Q442" t="s">
        <v>162</v>
      </c>
      <c r="S442" t="s">
        <v>404</v>
      </c>
      <c r="T442" t="s">
        <v>524</v>
      </c>
      <c r="U442">
        <v>3.5837563039696665E-2</v>
      </c>
      <c r="V442" t="s">
        <v>162</v>
      </c>
    </row>
    <row r="443" spans="9:22" x14ac:dyDescent="0.45">
      <c r="I443" t="s">
        <v>180</v>
      </c>
      <c r="J443" t="s">
        <v>168</v>
      </c>
      <c r="K443">
        <v>2.2682654979670046E-2</v>
      </c>
      <c r="L443" t="s">
        <v>162</v>
      </c>
      <c r="N443" t="s">
        <v>292</v>
      </c>
      <c r="O443" t="s">
        <v>168</v>
      </c>
      <c r="P443">
        <v>4.1668252022861646E-2</v>
      </c>
      <c r="Q443" t="s">
        <v>162</v>
      </c>
      <c r="S443" t="s">
        <v>404</v>
      </c>
      <c r="T443" t="s">
        <v>168</v>
      </c>
      <c r="U443">
        <v>2.803062347965685E-2</v>
      </c>
      <c r="V443" t="s">
        <v>162</v>
      </c>
    </row>
    <row r="444" spans="9:22" x14ac:dyDescent="0.45">
      <c r="I444" t="s">
        <v>180</v>
      </c>
      <c r="J444" t="s">
        <v>169</v>
      </c>
      <c r="K444">
        <v>1.1458556147569713E-2</v>
      </c>
      <c r="L444" t="s">
        <v>162</v>
      </c>
      <c r="N444" t="s">
        <v>292</v>
      </c>
      <c r="O444" t="s">
        <v>169</v>
      </c>
      <c r="P444">
        <v>5.9704840524677956E-3</v>
      </c>
      <c r="Q444" t="s">
        <v>162</v>
      </c>
      <c r="S444" t="s">
        <v>404</v>
      </c>
      <c r="T444" t="s">
        <v>169</v>
      </c>
      <c r="U444">
        <v>2.9607539896436387E-3</v>
      </c>
      <c r="V444" t="s">
        <v>162</v>
      </c>
    </row>
    <row r="445" spans="9:22" x14ac:dyDescent="0.45">
      <c r="I445" t="s">
        <v>180</v>
      </c>
      <c r="J445" t="s">
        <v>170</v>
      </c>
      <c r="K445">
        <v>2.4549864145557612E-2</v>
      </c>
      <c r="L445" t="s">
        <v>162</v>
      </c>
      <c r="N445" t="s">
        <v>292</v>
      </c>
      <c r="O445" t="s">
        <v>170</v>
      </c>
      <c r="P445">
        <v>1.244464788128119E-2</v>
      </c>
      <c r="Q445" t="s">
        <v>162</v>
      </c>
      <c r="S445" t="s">
        <v>404</v>
      </c>
      <c r="T445" t="s">
        <v>170</v>
      </c>
      <c r="U445">
        <v>5.9704375679493276E-3</v>
      </c>
      <c r="V445" t="s">
        <v>162</v>
      </c>
    </row>
    <row r="446" spans="9:22" x14ac:dyDescent="0.45">
      <c r="I446" t="s">
        <v>180</v>
      </c>
      <c r="J446" t="s">
        <v>525</v>
      </c>
      <c r="K446">
        <v>5.5003430079691849E-2</v>
      </c>
      <c r="L446" t="s">
        <v>162</v>
      </c>
      <c r="N446" t="s">
        <v>292</v>
      </c>
      <c r="O446" t="s">
        <v>525</v>
      </c>
      <c r="P446">
        <v>2.8514333520818631E-2</v>
      </c>
      <c r="Q446" t="s">
        <v>162</v>
      </c>
      <c r="S446" t="s">
        <v>404</v>
      </c>
      <c r="T446" t="s">
        <v>525</v>
      </c>
      <c r="U446">
        <v>1.6358544782712887E-2</v>
      </c>
      <c r="V446" t="s">
        <v>162</v>
      </c>
    </row>
    <row r="447" spans="9:22" x14ac:dyDescent="0.45">
      <c r="I447" t="s">
        <v>180</v>
      </c>
      <c r="J447" t="s">
        <v>526</v>
      </c>
      <c r="K447">
        <v>7.600563953820188E-3</v>
      </c>
      <c r="L447" t="s">
        <v>162</v>
      </c>
      <c r="N447" t="s">
        <v>292</v>
      </c>
      <c r="O447" t="s">
        <v>526</v>
      </c>
      <c r="P447">
        <v>5.024913734418694E-3</v>
      </c>
      <c r="Q447" t="s">
        <v>162</v>
      </c>
      <c r="S447" t="s">
        <v>404</v>
      </c>
      <c r="T447" t="s">
        <v>526</v>
      </c>
      <c r="U447">
        <v>3.4402147973103159E-3</v>
      </c>
      <c r="V447" t="s">
        <v>162</v>
      </c>
    </row>
    <row r="448" spans="9:22" x14ac:dyDescent="0.45">
      <c r="I448" t="s">
        <v>180</v>
      </c>
      <c r="J448" t="s">
        <v>527</v>
      </c>
      <c r="K448">
        <v>7.3363583008387856E-3</v>
      </c>
      <c r="L448" t="s">
        <v>162</v>
      </c>
      <c r="N448" t="s">
        <v>292</v>
      </c>
      <c r="O448" t="s">
        <v>527</v>
      </c>
      <c r="P448">
        <v>3.2825477797504499E-2</v>
      </c>
      <c r="Q448" t="s">
        <v>162</v>
      </c>
      <c r="S448" t="s">
        <v>404</v>
      </c>
      <c r="T448" t="s">
        <v>527</v>
      </c>
      <c r="U448">
        <v>1.9748395855009454E-2</v>
      </c>
      <c r="V448" t="s">
        <v>162</v>
      </c>
    </row>
    <row r="449" spans="9:22" x14ac:dyDescent="0.45">
      <c r="I449" t="s">
        <v>180</v>
      </c>
      <c r="J449" t="s">
        <v>528</v>
      </c>
      <c r="K449">
        <v>7.2003783940576438E-2</v>
      </c>
      <c r="L449" t="s">
        <v>162</v>
      </c>
      <c r="N449" t="s">
        <v>292</v>
      </c>
      <c r="O449" t="s">
        <v>528</v>
      </c>
      <c r="P449">
        <v>7.0685424082032128E-2</v>
      </c>
      <c r="Q449" t="s">
        <v>162</v>
      </c>
      <c r="S449" t="s">
        <v>404</v>
      </c>
      <c r="T449" t="s">
        <v>528</v>
      </c>
      <c r="U449">
        <v>9.0619891702304486E-2</v>
      </c>
      <c r="V449" t="s">
        <v>162</v>
      </c>
    </row>
    <row r="450" spans="9:22" x14ac:dyDescent="0.45">
      <c r="I450" t="s">
        <v>180</v>
      </c>
      <c r="J450" t="s">
        <v>529</v>
      </c>
      <c r="K450">
        <v>2.9911624969882294E-2</v>
      </c>
      <c r="L450" t="s">
        <v>162</v>
      </c>
      <c r="N450" t="s">
        <v>292</v>
      </c>
      <c r="O450" t="s">
        <v>529</v>
      </c>
      <c r="P450">
        <v>9.6676507045457792E-3</v>
      </c>
      <c r="Q450" t="s">
        <v>162</v>
      </c>
      <c r="S450" t="s">
        <v>404</v>
      </c>
      <c r="T450" t="s">
        <v>529</v>
      </c>
      <c r="U450">
        <v>8.7122245174325232E-3</v>
      </c>
      <c r="V450" t="s">
        <v>162</v>
      </c>
    </row>
    <row r="451" spans="9:22" x14ac:dyDescent="0.45">
      <c r="I451" t="s">
        <v>180</v>
      </c>
      <c r="J451" t="s">
        <v>530</v>
      </c>
      <c r="K451">
        <v>6.5401283255155929E-2</v>
      </c>
      <c r="L451" t="s">
        <v>162</v>
      </c>
      <c r="N451" t="s">
        <v>292</v>
      </c>
      <c r="O451" t="s">
        <v>530</v>
      </c>
      <c r="P451">
        <v>2.0215035787527747E-2</v>
      </c>
      <c r="Q451" t="s">
        <v>162</v>
      </c>
      <c r="S451" t="s">
        <v>404</v>
      </c>
      <c r="T451" t="s">
        <v>530</v>
      </c>
      <c r="U451">
        <v>1.8164410446902278E-2</v>
      </c>
      <c r="V451" t="s">
        <v>162</v>
      </c>
    </row>
    <row r="452" spans="9:22" x14ac:dyDescent="0.45">
      <c r="I452" t="s">
        <v>180</v>
      </c>
      <c r="J452" t="s">
        <v>531</v>
      </c>
      <c r="K452">
        <v>0.15248894296481344</v>
      </c>
      <c r="L452" t="s">
        <v>162</v>
      </c>
      <c r="N452" t="s">
        <v>292</v>
      </c>
      <c r="O452" t="s">
        <v>531</v>
      </c>
      <c r="P452">
        <v>4.6184965256934163E-2</v>
      </c>
      <c r="Q452" t="s">
        <v>162</v>
      </c>
      <c r="S452" t="s">
        <v>404</v>
      </c>
      <c r="T452" t="s">
        <v>531</v>
      </c>
      <c r="U452">
        <v>5.1457707657971301E-2</v>
      </c>
      <c r="V452" t="s">
        <v>162</v>
      </c>
    </row>
    <row r="453" spans="9:22" x14ac:dyDescent="0.45">
      <c r="I453" t="s">
        <v>180</v>
      </c>
      <c r="J453" t="s">
        <v>532</v>
      </c>
      <c r="K453">
        <v>2.292235675211006E-2</v>
      </c>
      <c r="L453" t="s">
        <v>162</v>
      </c>
      <c r="N453" t="s">
        <v>292</v>
      </c>
      <c r="O453" t="s">
        <v>532</v>
      </c>
      <c r="P453">
        <v>7.8832911565447344E-3</v>
      </c>
      <c r="Q453" t="s">
        <v>162</v>
      </c>
      <c r="S453" t="s">
        <v>404</v>
      </c>
      <c r="T453" t="s">
        <v>532</v>
      </c>
      <c r="U453">
        <v>1.0591720170196073E-2</v>
      </c>
      <c r="V453" t="s">
        <v>162</v>
      </c>
    </row>
    <row r="454" spans="9:22" x14ac:dyDescent="0.45">
      <c r="I454" t="s">
        <v>180</v>
      </c>
      <c r="J454" t="s">
        <v>533</v>
      </c>
      <c r="K454">
        <v>3.4937884937150679E-2</v>
      </c>
      <c r="L454" t="s">
        <v>162</v>
      </c>
      <c r="N454" t="s">
        <v>292</v>
      </c>
      <c r="O454" t="s">
        <v>533</v>
      </c>
      <c r="P454">
        <v>4.6591322226885605E-2</v>
      </c>
      <c r="Q454" t="s">
        <v>162</v>
      </c>
      <c r="S454" t="s">
        <v>404</v>
      </c>
      <c r="T454" t="s">
        <v>533</v>
      </c>
      <c r="U454">
        <v>6.5608507919153916E-2</v>
      </c>
      <c r="V454" t="s">
        <v>162</v>
      </c>
    </row>
    <row r="455" spans="9:22" x14ac:dyDescent="0.45">
      <c r="I455" t="s">
        <v>180</v>
      </c>
      <c r="J455" t="s">
        <v>534</v>
      </c>
      <c r="K455">
        <v>3.5123390285314651E-2</v>
      </c>
      <c r="L455" t="s">
        <v>162</v>
      </c>
      <c r="N455" t="s">
        <v>292</v>
      </c>
      <c r="O455" t="s">
        <v>534</v>
      </c>
      <c r="P455">
        <v>0.10239382944905433</v>
      </c>
      <c r="Q455" t="s">
        <v>162</v>
      </c>
      <c r="S455" t="s">
        <v>404</v>
      </c>
      <c r="T455" t="s">
        <v>534</v>
      </c>
      <c r="U455">
        <v>0.11476255013324717</v>
      </c>
      <c r="V455" t="s">
        <v>162</v>
      </c>
    </row>
    <row r="456" spans="9:22" x14ac:dyDescent="0.45">
      <c r="I456" t="s">
        <v>180</v>
      </c>
      <c r="J456" t="s">
        <v>535</v>
      </c>
      <c r="K456">
        <v>2.2295050013748399E-2</v>
      </c>
      <c r="L456" t="s">
        <v>162</v>
      </c>
      <c r="N456" t="s">
        <v>292</v>
      </c>
      <c r="O456" t="s">
        <v>535</v>
      </c>
      <c r="P456">
        <v>1.2644105493700085E-2</v>
      </c>
      <c r="Q456" t="s">
        <v>162</v>
      </c>
      <c r="S456" t="s">
        <v>404</v>
      </c>
      <c r="T456" t="s">
        <v>535</v>
      </c>
      <c r="U456">
        <v>1.3127971754591447E-2</v>
      </c>
      <c r="V456" t="s">
        <v>162</v>
      </c>
    </row>
    <row r="457" spans="9:22" x14ac:dyDescent="0.45">
      <c r="I457" t="s">
        <v>180</v>
      </c>
      <c r="J457" t="s">
        <v>536</v>
      </c>
      <c r="K457">
        <v>4.8590127320751103E-2</v>
      </c>
      <c r="L457" t="s">
        <v>162</v>
      </c>
      <c r="N457" t="s">
        <v>292</v>
      </c>
      <c r="O457" t="s">
        <v>536</v>
      </c>
      <c r="P457">
        <v>2.7740729554173706E-2</v>
      </c>
      <c r="Q457" t="s">
        <v>162</v>
      </c>
      <c r="S457" t="s">
        <v>404</v>
      </c>
      <c r="T457" t="s">
        <v>536</v>
      </c>
      <c r="U457">
        <v>2.6653623561013456E-2</v>
      </c>
      <c r="V457" t="s">
        <v>162</v>
      </c>
    </row>
    <row r="458" spans="9:22" x14ac:dyDescent="0.45">
      <c r="I458" t="s">
        <v>180</v>
      </c>
      <c r="J458" t="s">
        <v>537</v>
      </c>
      <c r="K458">
        <v>0.10334776654004378</v>
      </c>
      <c r="L458" t="s">
        <v>162</v>
      </c>
      <c r="N458" t="s">
        <v>292</v>
      </c>
      <c r="O458" t="s">
        <v>537</v>
      </c>
      <c r="P458">
        <v>6.559826088807115E-2</v>
      </c>
      <c r="Q458" t="s">
        <v>162</v>
      </c>
      <c r="S458" t="s">
        <v>404</v>
      </c>
      <c r="T458" t="s">
        <v>537</v>
      </c>
      <c r="U458">
        <v>6.8622824931439411E-2</v>
      </c>
      <c r="V458" t="s">
        <v>162</v>
      </c>
    </row>
    <row r="459" spans="9:22" x14ac:dyDescent="0.45">
      <c r="I459" t="s">
        <v>180</v>
      </c>
      <c r="J459" t="s">
        <v>538</v>
      </c>
      <c r="K459">
        <v>1.2127158696282718E-2</v>
      </c>
      <c r="L459" t="s">
        <v>162</v>
      </c>
      <c r="N459" t="s">
        <v>292</v>
      </c>
      <c r="O459" t="s">
        <v>538</v>
      </c>
      <c r="P459">
        <v>1.0922129659302457E-2</v>
      </c>
      <c r="Q459" t="s">
        <v>162</v>
      </c>
      <c r="S459" t="s">
        <v>404</v>
      </c>
      <c r="T459" t="s">
        <v>538</v>
      </c>
      <c r="U459">
        <v>1.3511757984915683E-2</v>
      </c>
      <c r="V459" t="s">
        <v>162</v>
      </c>
    </row>
    <row r="460" spans="9:22" x14ac:dyDescent="0.45">
      <c r="I460" t="s">
        <v>180</v>
      </c>
      <c r="J460" t="s">
        <v>539</v>
      </c>
      <c r="K460">
        <v>9.4474672127007452E-3</v>
      </c>
      <c r="L460" t="s">
        <v>162</v>
      </c>
      <c r="N460" t="s">
        <v>292</v>
      </c>
      <c r="O460" t="s">
        <v>539</v>
      </c>
      <c r="P460">
        <v>6.906540438581775E-2</v>
      </c>
      <c r="Q460" t="s">
        <v>162</v>
      </c>
      <c r="S460" t="s">
        <v>404</v>
      </c>
      <c r="T460" t="s">
        <v>539</v>
      </c>
      <c r="U460">
        <v>7.7609166458859083E-2</v>
      </c>
      <c r="V460" t="s">
        <v>162</v>
      </c>
    </row>
    <row r="461" spans="9:22" x14ac:dyDescent="0.45">
      <c r="I461" t="s">
        <v>180</v>
      </c>
      <c r="J461" t="s">
        <v>540</v>
      </c>
      <c r="K461">
        <v>1.9550274546814659E-3</v>
      </c>
      <c r="L461" t="s">
        <v>162</v>
      </c>
      <c r="N461" t="s">
        <v>292</v>
      </c>
      <c r="O461" t="s">
        <v>540</v>
      </c>
      <c r="P461">
        <v>2.9341308303116102E-2</v>
      </c>
      <c r="Q461" t="s">
        <v>162</v>
      </c>
      <c r="S461" t="s">
        <v>404</v>
      </c>
      <c r="T461" t="s">
        <v>540</v>
      </c>
      <c r="U461">
        <v>3.1472075768034409E-2</v>
      </c>
      <c r="V461" t="s">
        <v>162</v>
      </c>
    </row>
    <row r="462" spans="9:22" x14ac:dyDescent="0.45">
      <c r="I462" t="s">
        <v>180</v>
      </c>
      <c r="J462" t="s">
        <v>541</v>
      </c>
      <c r="K462">
        <v>4.3204162974662804E-3</v>
      </c>
      <c r="L462" t="s">
        <v>162</v>
      </c>
      <c r="N462" t="s">
        <v>292</v>
      </c>
      <c r="O462" t="s">
        <v>541</v>
      </c>
      <c r="P462">
        <v>2.7879890826969025E-3</v>
      </c>
      <c r="Q462" t="s">
        <v>162</v>
      </c>
      <c r="S462" t="s">
        <v>404</v>
      </c>
      <c r="T462" t="s">
        <v>541</v>
      </c>
      <c r="U462">
        <v>3.6655715756103938E-3</v>
      </c>
      <c r="V462" t="s">
        <v>162</v>
      </c>
    </row>
    <row r="463" spans="9:22" x14ac:dyDescent="0.45">
      <c r="I463" t="s">
        <v>180</v>
      </c>
      <c r="J463" t="s">
        <v>542</v>
      </c>
      <c r="K463">
        <v>1.1548557468274318E-2</v>
      </c>
      <c r="L463" t="s">
        <v>162</v>
      </c>
      <c r="N463" t="s">
        <v>292</v>
      </c>
      <c r="O463" t="s">
        <v>542</v>
      </c>
      <c r="P463">
        <v>5.3183941631351379E-3</v>
      </c>
      <c r="Q463" t="s">
        <v>162</v>
      </c>
      <c r="S463" t="s">
        <v>404</v>
      </c>
      <c r="T463" t="s">
        <v>542</v>
      </c>
      <c r="U463">
        <v>7.5970619852508215E-3</v>
      </c>
      <c r="V463" t="s">
        <v>162</v>
      </c>
    </row>
    <row r="464" spans="9:22" x14ac:dyDescent="0.45">
      <c r="I464" t="s">
        <v>180</v>
      </c>
      <c r="J464" t="s">
        <v>543</v>
      </c>
      <c r="K464">
        <v>2.0809830183335262E-2</v>
      </c>
      <c r="L464" t="s">
        <v>162</v>
      </c>
      <c r="N464" t="s">
        <v>292</v>
      </c>
      <c r="O464" t="s">
        <v>543</v>
      </c>
      <c r="P464">
        <v>1.7030734238292159E-2</v>
      </c>
      <c r="Q464" t="s">
        <v>162</v>
      </c>
      <c r="S464" t="s">
        <v>404</v>
      </c>
      <c r="T464" t="s">
        <v>543</v>
      </c>
      <c r="U464">
        <v>2.0760360695216092E-2</v>
      </c>
      <c r="V464" t="s">
        <v>162</v>
      </c>
    </row>
    <row r="465" spans="9:22" x14ac:dyDescent="0.45">
      <c r="I465" t="s">
        <v>180</v>
      </c>
      <c r="J465" t="s">
        <v>544</v>
      </c>
      <c r="K465">
        <v>0</v>
      </c>
      <c r="L465" t="s">
        <v>162</v>
      </c>
      <c r="N465" t="s">
        <v>292</v>
      </c>
      <c r="O465" t="s">
        <v>544</v>
      </c>
      <c r="P465">
        <v>3.9219948421881671E-3</v>
      </c>
      <c r="Q465" t="s">
        <v>162</v>
      </c>
      <c r="S465" t="s">
        <v>404</v>
      </c>
      <c r="T465" t="s">
        <v>544</v>
      </c>
      <c r="U465">
        <v>4.2557967418432761E-3</v>
      </c>
      <c r="V465" t="s">
        <v>162</v>
      </c>
    </row>
    <row r="466" spans="9:22" x14ac:dyDescent="0.45">
      <c r="I466" t="s">
        <v>180</v>
      </c>
      <c r="J466" t="s">
        <v>545</v>
      </c>
      <c r="K466">
        <v>0</v>
      </c>
      <c r="L466" t="s">
        <v>162</v>
      </c>
      <c r="N466" t="s">
        <v>292</v>
      </c>
      <c r="O466" t="s">
        <v>545</v>
      </c>
      <c r="P466">
        <v>2.3968584443867201E-2</v>
      </c>
      <c r="Q466" t="s">
        <v>162</v>
      </c>
      <c r="S466" t="s">
        <v>404</v>
      </c>
      <c r="T466" t="s">
        <v>545</v>
      </c>
      <c r="U466">
        <v>2.3141242559506746E-2</v>
      </c>
      <c r="V466" t="s">
        <v>162</v>
      </c>
    </row>
    <row r="467" spans="9:22" x14ac:dyDescent="0.45">
      <c r="I467" t="s">
        <v>180</v>
      </c>
      <c r="J467" t="s">
        <v>546</v>
      </c>
      <c r="K467">
        <v>0</v>
      </c>
      <c r="L467" t="s">
        <v>162</v>
      </c>
      <c r="N467" t="s">
        <v>292</v>
      </c>
      <c r="O467" t="s">
        <v>546</v>
      </c>
      <c r="P467">
        <v>2.5371413450208921E-2</v>
      </c>
      <c r="Q467" t="s">
        <v>162</v>
      </c>
      <c r="S467" t="s">
        <v>404</v>
      </c>
      <c r="T467" t="s">
        <v>546</v>
      </c>
      <c r="U467">
        <v>2.9211944094934113E-2</v>
      </c>
      <c r="V467" t="s">
        <v>162</v>
      </c>
    </row>
    <row r="468" spans="9:22" x14ac:dyDescent="0.45">
      <c r="I468" t="s">
        <v>180</v>
      </c>
      <c r="J468" t="s">
        <v>547</v>
      </c>
      <c r="K468">
        <v>3.5186965034486608E-3</v>
      </c>
      <c r="L468" t="s">
        <v>162</v>
      </c>
      <c r="N468" t="s">
        <v>292</v>
      </c>
      <c r="O468" t="s">
        <v>547</v>
      </c>
      <c r="P468">
        <v>3.2652019940712317E-3</v>
      </c>
      <c r="Q468" t="s">
        <v>162</v>
      </c>
      <c r="S468" t="s">
        <v>404</v>
      </c>
      <c r="T468" t="s">
        <v>547</v>
      </c>
      <c r="U468">
        <v>3.2465261946097519E-3</v>
      </c>
      <c r="V468" t="s">
        <v>162</v>
      </c>
    </row>
    <row r="469" spans="9:22" x14ac:dyDescent="0.45">
      <c r="I469" t="s">
        <v>180</v>
      </c>
      <c r="J469" t="s">
        <v>548</v>
      </c>
      <c r="K469">
        <v>1.2585006065614801E-2</v>
      </c>
      <c r="L469" t="s">
        <v>162</v>
      </c>
      <c r="N469" t="s">
        <v>292</v>
      </c>
      <c r="O469" t="s">
        <v>548</v>
      </c>
      <c r="P469">
        <v>6.7901491335599752E-3</v>
      </c>
      <c r="Q469" t="s">
        <v>162</v>
      </c>
      <c r="S469" t="s">
        <v>404</v>
      </c>
      <c r="T469" t="s">
        <v>548</v>
      </c>
      <c r="U469">
        <v>6.6880361108252505E-3</v>
      </c>
      <c r="V469" t="s">
        <v>162</v>
      </c>
    </row>
    <row r="470" spans="9:22" x14ac:dyDescent="0.45">
      <c r="I470" t="s">
        <v>180</v>
      </c>
      <c r="J470" t="s">
        <v>549</v>
      </c>
      <c r="K470">
        <v>2.231431266202398E-2</v>
      </c>
      <c r="L470" t="s">
        <v>162</v>
      </c>
      <c r="N470" t="s">
        <v>292</v>
      </c>
      <c r="O470" t="s">
        <v>549</v>
      </c>
      <c r="P470">
        <v>1.8710326244459376E-2</v>
      </c>
      <c r="Q470" t="s">
        <v>162</v>
      </c>
      <c r="S470" t="s">
        <v>404</v>
      </c>
      <c r="T470" t="s">
        <v>549</v>
      </c>
      <c r="U470">
        <v>1.6825036759415143E-2</v>
      </c>
      <c r="V470" t="s">
        <v>162</v>
      </c>
    </row>
    <row r="471" spans="9:22" x14ac:dyDescent="0.45">
      <c r="I471" t="s">
        <v>180</v>
      </c>
      <c r="J471" t="s">
        <v>550</v>
      </c>
      <c r="K471">
        <v>0</v>
      </c>
      <c r="L471" t="s">
        <v>162</v>
      </c>
      <c r="N471" t="s">
        <v>292</v>
      </c>
      <c r="O471" t="s">
        <v>550</v>
      </c>
      <c r="P471">
        <v>3.9128111175731669E-3</v>
      </c>
      <c r="Q471" t="s">
        <v>162</v>
      </c>
      <c r="S471" t="s">
        <v>404</v>
      </c>
      <c r="T471" t="s">
        <v>550</v>
      </c>
      <c r="U471">
        <v>3.1974109030125462E-3</v>
      </c>
      <c r="V471" t="s">
        <v>162</v>
      </c>
    </row>
    <row r="472" spans="9:22" x14ac:dyDescent="0.45">
      <c r="I472" t="s">
        <v>180</v>
      </c>
      <c r="J472" t="s">
        <v>551</v>
      </c>
      <c r="K472">
        <v>0</v>
      </c>
      <c r="L472" t="s">
        <v>162</v>
      </c>
      <c r="N472" t="s">
        <v>292</v>
      </c>
      <c r="O472" t="s">
        <v>551</v>
      </c>
      <c r="P472">
        <v>2.1697809589456985E-2</v>
      </c>
      <c r="Q472" t="s">
        <v>162</v>
      </c>
      <c r="S472" t="s">
        <v>404</v>
      </c>
      <c r="T472" t="s">
        <v>551</v>
      </c>
      <c r="U472">
        <v>1.851650432484906E-2</v>
      </c>
      <c r="V472" t="s">
        <v>162</v>
      </c>
    </row>
    <row r="473" spans="9:22" x14ac:dyDescent="0.45">
      <c r="I473" t="s">
        <v>181</v>
      </c>
      <c r="J473" t="s">
        <v>161</v>
      </c>
      <c r="K473">
        <v>0</v>
      </c>
      <c r="L473" t="s">
        <v>162</v>
      </c>
      <c r="N473" t="s">
        <v>293</v>
      </c>
      <c r="O473" t="s">
        <v>161</v>
      </c>
      <c r="P473">
        <v>4.4949608566464294E-2</v>
      </c>
      <c r="Q473" t="s">
        <v>162</v>
      </c>
      <c r="S473" t="s">
        <v>405</v>
      </c>
      <c r="T473" t="s">
        <v>161</v>
      </c>
      <c r="U473">
        <v>2.1494754059926787E-2</v>
      </c>
      <c r="V473" t="s">
        <v>162</v>
      </c>
    </row>
    <row r="474" spans="9:22" x14ac:dyDescent="0.45">
      <c r="I474" t="s">
        <v>181</v>
      </c>
      <c r="J474" t="s">
        <v>163</v>
      </c>
      <c r="K474">
        <v>2.568630153914845E-3</v>
      </c>
      <c r="L474" t="s">
        <v>162</v>
      </c>
      <c r="N474" t="s">
        <v>293</v>
      </c>
      <c r="O474" t="s">
        <v>163</v>
      </c>
      <c r="P474">
        <v>5.0924233623659268E-3</v>
      </c>
      <c r="Q474" t="s">
        <v>162</v>
      </c>
      <c r="S474" t="s">
        <v>405</v>
      </c>
      <c r="T474" t="s">
        <v>163</v>
      </c>
      <c r="U474">
        <v>2.4288593185867262E-3</v>
      </c>
      <c r="V474" t="s">
        <v>162</v>
      </c>
    </row>
    <row r="475" spans="9:22" x14ac:dyDescent="0.45">
      <c r="I475" t="s">
        <v>181</v>
      </c>
      <c r="J475" t="s">
        <v>164</v>
      </c>
      <c r="K475">
        <v>1.0373722998656409E-2</v>
      </c>
      <c r="L475" t="s">
        <v>162</v>
      </c>
      <c r="N475" t="s">
        <v>293</v>
      </c>
      <c r="O475" t="s">
        <v>164</v>
      </c>
      <c r="P475">
        <v>9.7786735265800746E-3</v>
      </c>
      <c r="Q475" t="s">
        <v>162</v>
      </c>
      <c r="S475" t="s">
        <v>405</v>
      </c>
      <c r="T475" t="s">
        <v>164</v>
      </c>
      <c r="U475">
        <v>4.8926502020301028E-3</v>
      </c>
      <c r="V475" t="s">
        <v>162</v>
      </c>
    </row>
    <row r="476" spans="9:22" x14ac:dyDescent="0.45">
      <c r="I476" t="s">
        <v>181</v>
      </c>
      <c r="J476" t="s">
        <v>519</v>
      </c>
      <c r="K476">
        <v>2.6688113521798906E-2</v>
      </c>
      <c r="L476" t="s">
        <v>162</v>
      </c>
      <c r="N476" t="s">
        <v>293</v>
      </c>
      <c r="O476" t="s">
        <v>519</v>
      </c>
      <c r="P476">
        <v>2.1141358389521726E-2</v>
      </c>
      <c r="Q476" t="s">
        <v>162</v>
      </c>
      <c r="S476" t="s">
        <v>405</v>
      </c>
      <c r="T476" t="s">
        <v>519</v>
      </c>
      <c r="U476">
        <v>1.1785511723455532E-2</v>
      </c>
      <c r="V476" t="s">
        <v>162</v>
      </c>
    </row>
    <row r="477" spans="9:22" x14ac:dyDescent="0.45">
      <c r="I477" t="s">
        <v>181</v>
      </c>
      <c r="J477" t="s">
        <v>520</v>
      </c>
      <c r="K477">
        <v>1.3002275914735363E-3</v>
      </c>
      <c r="L477" t="s">
        <v>162</v>
      </c>
      <c r="N477" t="s">
        <v>293</v>
      </c>
      <c r="O477" t="s">
        <v>520</v>
      </c>
      <c r="P477">
        <v>4.2406450086434891E-3</v>
      </c>
      <c r="Q477" t="s">
        <v>162</v>
      </c>
      <c r="S477" t="s">
        <v>405</v>
      </c>
      <c r="T477" t="s">
        <v>520</v>
      </c>
      <c r="U477">
        <v>2.3069259230703116E-3</v>
      </c>
      <c r="V477" t="s">
        <v>162</v>
      </c>
    </row>
    <row r="478" spans="9:22" x14ac:dyDescent="0.45">
      <c r="I478" t="s">
        <v>181</v>
      </c>
      <c r="J478" t="s">
        <v>521</v>
      </c>
      <c r="K478">
        <v>0</v>
      </c>
      <c r="L478" t="s">
        <v>162</v>
      </c>
      <c r="N478" t="s">
        <v>293</v>
      </c>
      <c r="O478" t="s">
        <v>521</v>
      </c>
      <c r="P478">
        <v>2.7518385832304953E-2</v>
      </c>
      <c r="Q478" t="s">
        <v>162</v>
      </c>
      <c r="S478" t="s">
        <v>405</v>
      </c>
      <c r="T478" t="s">
        <v>521</v>
      </c>
      <c r="U478">
        <v>1.5497677106266221E-2</v>
      </c>
      <c r="V478" t="s">
        <v>162</v>
      </c>
    </row>
    <row r="479" spans="9:22" x14ac:dyDescent="0.45">
      <c r="I479" t="s">
        <v>181</v>
      </c>
      <c r="J479" t="s">
        <v>165</v>
      </c>
      <c r="K479">
        <v>9.2954013931412227E-3</v>
      </c>
      <c r="L479" t="s">
        <v>162</v>
      </c>
      <c r="N479" t="s">
        <v>293</v>
      </c>
      <c r="O479" t="s">
        <v>165</v>
      </c>
      <c r="P479">
        <v>6.1250422325791372E-2</v>
      </c>
      <c r="Q479" t="s">
        <v>162</v>
      </c>
      <c r="S479" t="s">
        <v>405</v>
      </c>
      <c r="T479" t="s">
        <v>165</v>
      </c>
      <c r="U479">
        <v>5.2045894469812982E-2</v>
      </c>
      <c r="V479" t="s">
        <v>162</v>
      </c>
    </row>
    <row r="480" spans="9:22" x14ac:dyDescent="0.45">
      <c r="I480" t="s">
        <v>181</v>
      </c>
      <c r="J480" t="s">
        <v>166</v>
      </c>
      <c r="K480">
        <v>1.2355489644300704E-2</v>
      </c>
      <c r="L480" t="s">
        <v>162</v>
      </c>
      <c r="N480" t="s">
        <v>293</v>
      </c>
      <c r="O480" t="s">
        <v>166</v>
      </c>
      <c r="P480">
        <v>6.2720675843073084E-3</v>
      </c>
      <c r="Q480" t="s">
        <v>162</v>
      </c>
      <c r="S480" t="s">
        <v>405</v>
      </c>
      <c r="T480" t="s">
        <v>166</v>
      </c>
      <c r="U480">
        <v>5.540647308875192E-3</v>
      </c>
      <c r="V480" t="s">
        <v>162</v>
      </c>
    </row>
    <row r="481" spans="9:22" x14ac:dyDescent="0.45">
      <c r="I481" t="s">
        <v>181</v>
      </c>
      <c r="J481" t="s">
        <v>167</v>
      </c>
      <c r="K481">
        <v>3.2675914618890085E-2</v>
      </c>
      <c r="L481" t="s">
        <v>162</v>
      </c>
      <c r="N481" t="s">
        <v>293</v>
      </c>
      <c r="O481" t="s">
        <v>167</v>
      </c>
      <c r="P481">
        <v>1.2533653146955447E-2</v>
      </c>
      <c r="Q481" t="s">
        <v>162</v>
      </c>
      <c r="S481" t="s">
        <v>405</v>
      </c>
      <c r="T481" t="s">
        <v>167</v>
      </c>
      <c r="U481">
        <v>1.0564377037058408E-2</v>
      </c>
      <c r="V481" t="s">
        <v>162</v>
      </c>
    </row>
    <row r="482" spans="9:22" x14ac:dyDescent="0.45">
      <c r="I482" t="s">
        <v>181</v>
      </c>
      <c r="J482" t="s">
        <v>522</v>
      </c>
      <c r="K482">
        <v>7.9925291653173497E-2</v>
      </c>
      <c r="L482" t="s">
        <v>162</v>
      </c>
      <c r="N482" t="s">
        <v>293</v>
      </c>
      <c r="O482" t="s">
        <v>522</v>
      </c>
      <c r="P482">
        <v>3.4843229148588659E-2</v>
      </c>
      <c r="Q482" t="s">
        <v>162</v>
      </c>
      <c r="S482" t="s">
        <v>405</v>
      </c>
      <c r="T482" t="s">
        <v>522</v>
      </c>
      <c r="U482">
        <v>2.58623258688075E-2</v>
      </c>
      <c r="V482" t="s">
        <v>162</v>
      </c>
    </row>
    <row r="483" spans="9:22" x14ac:dyDescent="0.45">
      <c r="I483" t="s">
        <v>181</v>
      </c>
      <c r="J483" t="s">
        <v>523</v>
      </c>
      <c r="K483">
        <v>1.1401812414191859E-2</v>
      </c>
      <c r="L483" t="s">
        <v>162</v>
      </c>
      <c r="N483" t="s">
        <v>293</v>
      </c>
      <c r="O483" t="s">
        <v>523</v>
      </c>
      <c r="P483">
        <v>6.7198356210326129E-3</v>
      </c>
      <c r="Q483" t="s">
        <v>162</v>
      </c>
      <c r="S483" t="s">
        <v>405</v>
      </c>
      <c r="T483" t="s">
        <v>523</v>
      </c>
      <c r="U483">
        <v>5.4480789920779505E-3</v>
      </c>
      <c r="V483" t="s">
        <v>162</v>
      </c>
    </row>
    <row r="484" spans="9:22" x14ac:dyDescent="0.45">
      <c r="I484" t="s">
        <v>181</v>
      </c>
      <c r="J484" t="s">
        <v>524</v>
      </c>
      <c r="K484">
        <v>5.768411010947147E-3</v>
      </c>
      <c r="L484" t="s">
        <v>162</v>
      </c>
      <c r="N484" t="s">
        <v>293</v>
      </c>
      <c r="O484" t="s">
        <v>524</v>
      </c>
      <c r="P484">
        <v>4.197062862931876E-2</v>
      </c>
      <c r="Q484" t="s">
        <v>162</v>
      </c>
      <c r="S484" t="s">
        <v>405</v>
      </c>
      <c r="T484" t="s">
        <v>524</v>
      </c>
      <c r="U484">
        <v>3.48797948185482E-2</v>
      </c>
      <c r="V484" t="s">
        <v>162</v>
      </c>
    </row>
    <row r="485" spans="9:22" x14ac:dyDescent="0.45">
      <c r="I485" t="s">
        <v>181</v>
      </c>
      <c r="J485" t="s">
        <v>168</v>
      </c>
      <c r="K485">
        <v>1.5293105115160336E-2</v>
      </c>
      <c r="L485" t="s">
        <v>162</v>
      </c>
      <c r="N485" t="s">
        <v>293</v>
      </c>
      <c r="O485" t="s">
        <v>168</v>
      </c>
      <c r="P485">
        <v>3.3925839034294344E-2</v>
      </c>
      <c r="Q485" t="s">
        <v>162</v>
      </c>
      <c r="S485" t="s">
        <v>405</v>
      </c>
      <c r="T485" t="s">
        <v>168</v>
      </c>
      <c r="U485">
        <v>2.7306392119666515E-2</v>
      </c>
      <c r="V485" t="s">
        <v>162</v>
      </c>
    </row>
    <row r="486" spans="9:22" x14ac:dyDescent="0.45">
      <c r="I486" t="s">
        <v>181</v>
      </c>
      <c r="J486" t="s">
        <v>169</v>
      </c>
      <c r="K486">
        <v>9.6496909844677736E-3</v>
      </c>
      <c r="L486" t="s">
        <v>162</v>
      </c>
      <c r="N486" t="s">
        <v>293</v>
      </c>
      <c r="O486" t="s">
        <v>169</v>
      </c>
      <c r="P486">
        <v>4.9951149017912781E-3</v>
      </c>
      <c r="Q486" t="s">
        <v>162</v>
      </c>
      <c r="S486" t="s">
        <v>405</v>
      </c>
      <c r="T486" t="s">
        <v>169</v>
      </c>
      <c r="U486">
        <v>2.8817955683130645E-3</v>
      </c>
      <c r="V486" t="s">
        <v>162</v>
      </c>
    </row>
    <row r="487" spans="9:22" x14ac:dyDescent="0.45">
      <c r="I487" t="s">
        <v>181</v>
      </c>
      <c r="J487" t="s">
        <v>170</v>
      </c>
      <c r="K487">
        <v>2.1660637887013952E-2</v>
      </c>
      <c r="L487" t="s">
        <v>162</v>
      </c>
      <c r="N487" t="s">
        <v>293</v>
      </c>
      <c r="O487" t="s">
        <v>170</v>
      </c>
      <c r="P487">
        <v>1.155961654919592E-2</v>
      </c>
      <c r="Q487" t="s">
        <v>162</v>
      </c>
      <c r="S487" t="s">
        <v>405</v>
      </c>
      <c r="T487" t="s">
        <v>170</v>
      </c>
      <c r="U487">
        <v>5.8673873621419561E-3</v>
      </c>
      <c r="V487" t="s">
        <v>162</v>
      </c>
    </row>
    <row r="488" spans="9:22" x14ac:dyDescent="0.45">
      <c r="I488" t="s">
        <v>181</v>
      </c>
      <c r="J488" t="s">
        <v>525</v>
      </c>
      <c r="K488">
        <v>5.3375378687955097E-2</v>
      </c>
      <c r="L488" t="s">
        <v>162</v>
      </c>
      <c r="N488" t="s">
        <v>293</v>
      </c>
      <c r="O488" t="s">
        <v>525</v>
      </c>
      <c r="P488">
        <v>3.0872499791503999E-2</v>
      </c>
      <c r="Q488" t="s">
        <v>162</v>
      </c>
      <c r="S488" t="s">
        <v>405</v>
      </c>
      <c r="T488" t="s">
        <v>525</v>
      </c>
      <c r="U488">
        <v>1.5968060646770529E-2</v>
      </c>
      <c r="V488" t="s">
        <v>162</v>
      </c>
    </row>
    <row r="489" spans="9:22" x14ac:dyDescent="0.45">
      <c r="I489" t="s">
        <v>181</v>
      </c>
      <c r="J489" t="s">
        <v>526</v>
      </c>
      <c r="K489">
        <v>8.4670394455591599E-3</v>
      </c>
      <c r="L489" t="s">
        <v>162</v>
      </c>
      <c r="N489" t="s">
        <v>293</v>
      </c>
      <c r="O489" t="s">
        <v>526</v>
      </c>
      <c r="P489">
        <v>5.2350645630475819E-3</v>
      </c>
      <c r="Q489" t="s">
        <v>162</v>
      </c>
      <c r="S489" t="s">
        <v>405</v>
      </c>
      <c r="T489" t="s">
        <v>526</v>
      </c>
      <c r="U489">
        <v>3.1862039516608411E-3</v>
      </c>
      <c r="V489" t="s">
        <v>162</v>
      </c>
    </row>
    <row r="490" spans="9:22" x14ac:dyDescent="0.45">
      <c r="I490" t="s">
        <v>181</v>
      </c>
      <c r="J490" t="s">
        <v>527</v>
      </c>
      <c r="K490">
        <v>1.0098114480553297E-2</v>
      </c>
      <c r="L490" t="s">
        <v>162</v>
      </c>
      <c r="N490" t="s">
        <v>293</v>
      </c>
      <c r="O490" t="s">
        <v>527</v>
      </c>
      <c r="P490">
        <v>2.6382244622759083E-2</v>
      </c>
      <c r="Q490" t="s">
        <v>162</v>
      </c>
      <c r="S490" t="s">
        <v>405</v>
      </c>
      <c r="T490" t="s">
        <v>527</v>
      </c>
      <c r="U490">
        <v>1.8422354894329418E-2</v>
      </c>
      <c r="V490" t="s">
        <v>162</v>
      </c>
    </row>
    <row r="491" spans="9:22" x14ac:dyDescent="0.45">
      <c r="I491" t="s">
        <v>181</v>
      </c>
      <c r="J491" t="s">
        <v>528</v>
      </c>
      <c r="K491">
        <v>6.0149154249462114E-2</v>
      </c>
      <c r="L491" t="s">
        <v>162</v>
      </c>
      <c r="N491" t="s">
        <v>293</v>
      </c>
      <c r="O491" t="s">
        <v>528</v>
      </c>
      <c r="P491">
        <v>4.9207060345093021E-2</v>
      </c>
      <c r="Q491" t="s">
        <v>162</v>
      </c>
      <c r="S491" t="s">
        <v>405</v>
      </c>
      <c r="T491" t="s">
        <v>528</v>
      </c>
      <c r="U491">
        <v>9.401435099643432E-2</v>
      </c>
      <c r="V491" t="s">
        <v>162</v>
      </c>
    </row>
    <row r="492" spans="9:22" x14ac:dyDescent="0.45">
      <c r="I492" t="s">
        <v>181</v>
      </c>
      <c r="J492" t="s">
        <v>529</v>
      </c>
      <c r="K492">
        <v>2.8027604827190033E-2</v>
      </c>
      <c r="L492" t="s">
        <v>162</v>
      </c>
      <c r="N492" t="s">
        <v>293</v>
      </c>
      <c r="O492" t="s">
        <v>529</v>
      </c>
      <c r="P492">
        <v>7.4928526883949569E-3</v>
      </c>
      <c r="Q492" t="s">
        <v>162</v>
      </c>
      <c r="S492" t="s">
        <v>405</v>
      </c>
      <c r="T492" t="s">
        <v>529</v>
      </c>
      <c r="U492">
        <v>9.2279793622106442E-3</v>
      </c>
      <c r="V492" t="s">
        <v>162</v>
      </c>
    </row>
    <row r="493" spans="9:22" x14ac:dyDescent="0.45">
      <c r="I493" t="s">
        <v>181</v>
      </c>
      <c r="J493" t="s">
        <v>530</v>
      </c>
      <c r="K493">
        <v>6.2855423233629942E-2</v>
      </c>
      <c r="L493" t="s">
        <v>162</v>
      </c>
      <c r="N493" t="s">
        <v>293</v>
      </c>
      <c r="O493" t="s">
        <v>530</v>
      </c>
      <c r="P493">
        <v>1.7784758726299265E-2</v>
      </c>
      <c r="Q493" t="s">
        <v>162</v>
      </c>
      <c r="S493" t="s">
        <v>405</v>
      </c>
      <c r="T493" t="s">
        <v>530</v>
      </c>
      <c r="U493">
        <v>1.8508411239778675E-2</v>
      </c>
      <c r="V493" t="s">
        <v>162</v>
      </c>
    </row>
    <row r="494" spans="9:22" x14ac:dyDescent="0.45">
      <c r="I494" t="s">
        <v>181</v>
      </c>
      <c r="J494" t="s">
        <v>531</v>
      </c>
      <c r="K494">
        <v>0.15432064924758257</v>
      </c>
      <c r="L494" t="s">
        <v>162</v>
      </c>
      <c r="N494" t="s">
        <v>293</v>
      </c>
      <c r="O494" t="s">
        <v>531</v>
      </c>
      <c r="P494">
        <v>5.0025385828963292E-2</v>
      </c>
      <c r="Q494" t="s">
        <v>162</v>
      </c>
      <c r="S494" t="s">
        <v>405</v>
      </c>
      <c r="T494" t="s">
        <v>531</v>
      </c>
      <c r="U494">
        <v>4.9048146488817709E-2</v>
      </c>
      <c r="V494" t="s">
        <v>162</v>
      </c>
    </row>
    <row r="495" spans="9:22" x14ac:dyDescent="0.45">
      <c r="I495" t="s">
        <v>181</v>
      </c>
      <c r="J495" t="s">
        <v>532</v>
      </c>
      <c r="K495">
        <v>2.4717840315434492E-2</v>
      </c>
      <c r="L495" t="s">
        <v>162</v>
      </c>
      <c r="N495" t="s">
        <v>293</v>
      </c>
      <c r="O495" t="s">
        <v>532</v>
      </c>
      <c r="P495">
        <v>9.2461972634019039E-3</v>
      </c>
      <c r="Q495" t="s">
        <v>162</v>
      </c>
      <c r="S495" t="s">
        <v>405</v>
      </c>
      <c r="T495" t="s">
        <v>532</v>
      </c>
      <c r="U495">
        <v>1.009111479591393E-2</v>
      </c>
      <c r="V495" t="s">
        <v>162</v>
      </c>
    </row>
    <row r="496" spans="9:22" x14ac:dyDescent="0.45">
      <c r="I496" t="s">
        <v>181</v>
      </c>
      <c r="J496" t="s">
        <v>533</v>
      </c>
      <c r="K496">
        <v>4.1505328515974986E-2</v>
      </c>
      <c r="L496" t="s">
        <v>162</v>
      </c>
      <c r="N496" t="s">
        <v>293</v>
      </c>
      <c r="O496" t="s">
        <v>533</v>
      </c>
      <c r="P496">
        <v>4.0209198193221538E-2</v>
      </c>
      <c r="Q496" t="s">
        <v>162</v>
      </c>
      <c r="S496" t="s">
        <v>405</v>
      </c>
      <c r="T496" t="s">
        <v>533</v>
      </c>
      <c r="U496">
        <v>6.3826075956219794E-2</v>
      </c>
      <c r="V496" t="s">
        <v>162</v>
      </c>
    </row>
    <row r="497" spans="9:22" x14ac:dyDescent="0.45">
      <c r="I497" t="s">
        <v>181</v>
      </c>
      <c r="J497" t="s">
        <v>534</v>
      </c>
      <c r="K497">
        <v>2.7749324308158775E-2</v>
      </c>
      <c r="L497" t="s">
        <v>162</v>
      </c>
      <c r="N497" t="s">
        <v>293</v>
      </c>
      <c r="O497" t="s">
        <v>534</v>
      </c>
      <c r="P497">
        <v>7.9960170324933022E-2</v>
      </c>
      <c r="Q497" t="s">
        <v>162</v>
      </c>
      <c r="S497" t="s">
        <v>405</v>
      </c>
      <c r="T497" t="s">
        <v>534</v>
      </c>
      <c r="U497">
        <v>0.11103590662777155</v>
      </c>
      <c r="V497" t="s">
        <v>162</v>
      </c>
    </row>
    <row r="498" spans="9:22" x14ac:dyDescent="0.45">
      <c r="I498" t="s">
        <v>181</v>
      </c>
      <c r="J498" t="s">
        <v>535</v>
      </c>
      <c r="K498">
        <v>2.114831431650439E-2</v>
      </c>
      <c r="L498" t="s">
        <v>162</v>
      </c>
      <c r="N498" t="s">
        <v>293</v>
      </c>
      <c r="O498" t="s">
        <v>535</v>
      </c>
      <c r="P498">
        <v>8.9803562919007502E-3</v>
      </c>
      <c r="Q498" t="s">
        <v>162</v>
      </c>
      <c r="S498" t="s">
        <v>405</v>
      </c>
      <c r="T498" t="s">
        <v>535</v>
      </c>
      <c r="U498">
        <v>1.2657675928862383E-2</v>
      </c>
      <c r="V498" t="s">
        <v>162</v>
      </c>
    </row>
    <row r="499" spans="9:22" x14ac:dyDescent="0.45">
      <c r="I499" t="s">
        <v>181</v>
      </c>
      <c r="J499" t="s">
        <v>536</v>
      </c>
      <c r="K499">
        <v>4.9266676916226479E-2</v>
      </c>
      <c r="L499" t="s">
        <v>162</v>
      </c>
      <c r="N499" t="s">
        <v>293</v>
      </c>
      <c r="O499" t="s">
        <v>536</v>
      </c>
      <c r="P499">
        <v>1.9997082739725978E-2</v>
      </c>
      <c r="Q499" t="s">
        <v>162</v>
      </c>
      <c r="S499" t="s">
        <v>405</v>
      </c>
      <c r="T499" t="s">
        <v>536</v>
      </c>
      <c r="U499">
        <v>2.6220352648423324E-2</v>
      </c>
      <c r="V499" t="s">
        <v>162</v>
      </c>
    </row>
    <row r="500" spans="9:22" x14ac:dyDescent="0.45">
      <c r="I500" t="s">
        <v>181</v>
      </c>
      <c r="J500" t="s">
        <v>537</v>
      </c>
      <c r="K500">
        <v>0.11719250518069672</v>
      </c>
      <c r="L500" t="s">
        <v>162</v>
      </c>
      <c r="N500" t="s">
        <v>293</v>
      </c>
      <c r="O500" t="s">
        <v>537</v>
      </c>
      <c r="P500">
        <v>5.3552339087569054E-2</v>
      </c>
      <c r="Q500" t="s">
        <v>162</v>
      </c>
      <c r="S500" t="s">
        <v>405</v>
      </c>
      <c r="T500" t="s">
        <v>537</v>
      </c>
      <c r="U500">
        <v>6.9320762576298892E-2</v>
      </c>
      <c r="V500" t="s">
        <v>162</v>
      </c>
    </row>
    <row r="501" spans="9:22" x14ac:dyDescent="0.45">
      <c r="I501" t="s">
        <v>181</v>
      </c>
      <c r="J501" t="s">
        <v>538</v>
      </c>
      <c r="K501">
        <v>1.6603526683538945E-2</v>
      </c>
      <c r="L501" t="s">
        <v>162</v>
      </c>
      <c r="N501" t="s">
        <v>293</v>
      </c>
      <c r="O501" t="s">
        <v>538</v>
      </c>
      <c r="P501">
        <v>9.6889447038081486E-3</v>
      </c>
      <c r="Q501" t="s">
        <v>162</v>
      </c>
      <c r="S501" t="s">
        <v>405</v>
      </c>
      <c r="T501" t="s">
        <v>538</v>
      </c>
      <c r="U501">
        <v>1.3993141076843529E-2</v>
      </c>
      <c r="V501" t="s">
        <v>162</v>
      </c>
    </row>
    <row r="502" spans="9:22" x14ac:dyDescent="0.45">
      <c r="I502" t="s">
        <v>181</v>
      </c>
      <c r="J502" t="s">
        <v>539</v>
      </c>
      <c r="K502">
        <v>1.4750501474959481E-2</v>
      </c>
      <c r="L502" t="s">
        <v>162</v>
      </c>
      <c r="N502" t="s">
        <v>293</v>
      </c>
      <c r="O502" t="s">
        <v>539</v>
      </c>
      <c r="P502">
        <v>5.4833788093084854E-2</v>
      </c>
      <c r="Q502" t="s">
        <v>162</v>
      </c>
      <c r="S502" t="s">
        <v>405</v>
      </c>
      <c r="T502" t="s">
        <v>539</v>
      </c>
      <c r="U502">
        <v>8.1316898347978492E-2</v>
      </c>
      <c r="V502" t="s">
        <v>162</v>
      </c>
    </row>
    <row r="503" spans="9:22" x14ac:dyDescent="0.45">
      <c r="I503" t="s">
        <v>181</v>
      </c>
      <c r="J503" t="s">
        <v>540</v>
      </c>
      <c r="K503">
        <v>1.2710588560407249E-3</v>
      </c>
      <c r="L503" t="s">
        <v>162</v>
      </c>
      <c r="N503" t="s">
        <v>293</v>
      </c>
      <c r="O503" t="s">
        <v>540</v>
      </c>
      <c r="P503">
        <v>3.6554770496158386E-2</v>
      </c>
      <c r="Q503" t="s">
        <v>162</v>
      </c>
      <c r="S503" t="s">
        <v>405</v>
      </c>
      <c r="T503" t="s">
        <v>540</v>
      </c>
      <c r="U503">
        <v>3.2959169537388776E-2</v>
      </c>
      <c r="V503" t="s">
        <v>162</v>
      </c>
    </row>
    <row r="504" spans="9:22" x14ac:dyDescent="0.45">
      <c r="I504" t="s">
        <v>181</v>
      </c>
      <c r="J504" t="s">
        <v>541</v>
      </c>
      <c r="K504">
        <v>3.9279293858324087E-3</v>
      </c>
      <c r="L504" t="s">
        <v>162</v>
      </c>
      <c r="N504" t="s">
        <v>293</v>
      </c>
      <c r="O504" t="s">
        <v>541</v>
      </c>
      <c r="P504">
        <v>3.7685281571379113E-3</v>
      </c>
      <c r="Q504" t="s">
        <v>162</v>
      </c>
      <c r="S504" t="s">
        <v>405</v>
      </c>
      <c r="T504" t="s">
        <v>541</v>
      </c>
      <c r="U504">
        <v>3.4799990798025393E-3</v>
      </c>
      <c r="V504" t="s">
        <v>162</v>
      </c>
    </row>
    <row r="505" spans="9:22" x14ac:dyDescent="0.45">
      <c r="I505" t="s">
        <v>181</v>
      </c>
      <c r="J505" t="s">
        <v>542</v>
      </c>
      <c r="K505">
        <v>1.1104613622437203E-2</v>
      </c>
      <c r="L505" t="s">
        <v>162</v>
      </c>
      <c r="N505" t="s">
        <v>293</v>
      </c>
      <c r="O505" t="s">
        <v>542</v>
      </c>
      <c r="P505">
        <v>7.4201638523932242E-3</v>
      </c>
      <c r="Q505" t="s">
        <v>162</v>
      </c>
      <c r="S505" t="s">
        <v>405</v>
      </c>
      <c r="T505" t="s">
        <v>542</v>
      </c>
      <c r="U505">
        <v>7.2375843007026165E-3</v>
      </c>
      <c r="V505" t="s">
        <v>162</v>
      </c>
    </row>
    <row r="506" spans="9:22" x14ac:dyDescent="0.45">
      <c r="I506" t="s">
        <v>181</v>
      </c>
      <c r="J506" t="s">
        <v>543</v>
      </c>
      <c r="K506">
        <v>2.2643238754193745E-2</v>
      </c>
      <c r="L506" t="s">
        <v>162</v>
      </c>
      <c r="N506" t="s">
        <v>293</v>
      </c>
      <c r="O506" t="s">
        <v>543</v>
      </c>
      <c r="P506">
        <v>2.1462917310832452E-2</v>
      </c>
      <c r="Q506" t="s">
        <v>162</v>
      </c>
      <c r="S506" t="s">
        <v>405</v>
      </c>
      <c r="T506" t="s">
        <v>543</v>
      </c>
      <c r="U506">
        <v>2.0942266952706307E-2</v>
      </c>
      <c r="V506" t="s">
        <v>162</v>
      </c>
    </row>
    <row r="507" spans="9:22" x14ac:dyDescent="0.45">
      <c r="I507" t="s">
        <v>181</v>
      </c>
      <c r="J507" t="s">
        <v>544</v>
      </c>
      <c r="K507">
        <v>3.0973064603183993E-4</v>
      </c>
      <c r="L507" t="s">
        <v>162</v>
      </c>
      <c r="N507" t="s">
        <v>293</v>
      </c>
      <c r="O507" t="s">
        <v>544</v>
      </c>
      <c r="P507">
        <v>5.0422746084983223E-3</v>
      </c>
      <c r="Q507" t="s">
        <v>162</v>
      </c>
      <c r="S507" t="s">
        <v>405</v>
      </c>
      <c r="T507" t="s">
        <v>544</v>
      </c>
      <c r="U507">
        <v>4.4118002764856994E-3</v>
      </c>
      <c r="V507" t="s">
        <v>162</v>
      </c>
    </row>
    <row r="508" spans="9:22" x14ac:dyDescent="0.45">
      <c r="I508" t="s">
        <v>181</v>
      </c>
      <c r="J508" t="s">
        <v>545</v>
      </c>
      <c r="K508">
        <v>0</v>
      </c>
      <c r="L508" t="s">
        <v>162</v>
      </c>
      <c r="N508" t="s">
        <v>293</v>
      </c>
      <c r="O508" t="s">
        <v>545</v>
      </c>
      <c r="P508">
        <v>2.8734168595447619E-2</v>
      </c>
      <c r="Q508" t="s">
        <v>162</v>
      </c>
      <c r="S508" t="s">
        <v>405</v>
      </c>
      <c r="T508" t="s">
        <v>545</v>
      </c>
      <c r="U508">
        <v>2.5040365803476454E-2</v>
      </c>
      <c r="V508" t="s">
        <v>162</v>
      </c>
    </row>
    <row r="509" spans="9:22" x14ac:dyDescent="0.45">
      <c r="I509" t="s">
        <v>181</v>
      </c>
      <c r="J509" t="s">
        <v>546</v>
      </c>
      <c r="K509">
        <v>0</v>
      </c>
      <c r="L509" t="s">
        <v>162</v>
      </c>
      <c r="N509" t="s">
        <v>293</v>
      </c>
      <c r="O509" t="s">
        <v>546</v>
      </c>
      <c r="P509">
        <v>3.9792800418811052E-2</v>
      </c>
      <c r="Q509" t="s">
        <v>162</v>
      </c>
      <c r="S509" t="s">
        <v>405</v>
      </c>
      <c r="T509" t="s">
        <v>546</v>
      </c>
      <c r="U509">
        <v>2.9227762235291381E-2</v>
      </c>
      <c r="V509" t="s">
        <v>162</v>
      </c>
    </row>
    <row r="510" spans="9:22" x14ac:dyDescent="0.45">
      <c r="I510" t="s">
        <v>181</v>
      </c>
      <c r="J510" t="s">
        <v>547</v>
      </c>
      <c r="K510">
        <v>2.3260536522007789E-3</v>
      </c>
      <c r="L510" t="s">
        <v>162</v>
      </c>
      <c r="N510" t="s">
        <v>293</v>
      </c>
      <c r="O510" t="s">
        <v>547</v>
      </c>
      <c r="P510">
        <v>4.6345678111971832E-3</v>
      </c>
      <c r="Q510" t="s">
        <v>162</v>
      </c>
      <c r="S510" t="s">
        <v>405</v>
      </c>
      <c r="T510" t="s">
        <v>547</v>
      </c>
      <c r="U510">
        <v>3.4332951805367915E-3</v>
      </c>
      <c r="V510" t="s">
        <v>162</v>
      </c>
    </row>
    <row r="511" spans="9:22" x14ac:dyDescent="0.45">
      <c r="I511" t="s">
        <v>181</v>
      </c>
      <c r="J511" t="s">
        <v>548</v>
      </c>
      <c r="K511">
        <v>9.1947009126337534E-3</v>
      </c>
      <c r="L511" t="s">
        <v>162</v>
      </c>
      <c r="N511" t="s">
        <v>293</v>
      </c>
      <c r="O511" t="s">
        <v>548</v>
      </c>
      <c r="P511">
        <v>9.0440469640372442E-3</v>
      </c>
      <c r="Q511" t="s">
        <v>162</v>
      </c>
      <c r="S511" t="s">
        <v>405</v>
      </c>
      <c r="T511" t="s">
        <v>548</v>
      </c>
      <c r="U511">
        <v>7.0312991398649794E-3</v>
      </c>
      <c r="V511" t="s">
        <v>162</v>
      </c>
    </row>
    <row r="512" spans="9:22" x14ac:dyDescent="0.45">
      <c r="I512" t="s">
        <v>181</v>
      </c>
      <c r="J512" t="s">
        <v>549</v>
      </c>
      <c r="K512">
        <v>2.0038843300075552E-2</v>
      </c>
      <c r="L512" t="s">
        <v>162</v>
      </c>
      <c r="N512" t="s">
        <v>293</v>
      </c>
      <c r="O512" t="s">
        <v>549</v>
      </c>
      <c r="P512">
        <v>2.1132021096017372E-2</v>
      </c>
      <c r="Q512" t="s">
        <v>162</v>
      </c>
      <c r="S512" t="s">
        <v>405</v>
      </c>
      <c r="T512" t="s">
        <v>549</v>
      </c>
      <c r="U512">
        <v>1.7757327937844403E-2</v>
      </c>
      <c r="V512" t="s">
        <v>162</v>
      </c>
    </row>
    <row r="513" spans="9:22" x14ac:dyDescent="0.45">
      <c r="I513" t="s">
        <v>181</v>
      </c>
      <c r="J513" t="s">
        <v>550</v>
      </c>
      <c r="K513">
        <v>0</v>
      </c>
      <c r="L513" t="s">
        <v>162</v>
      </c>
      <c r="N513" t="s">
        <v>293</v>
      </c>
      <c r="O513" t="s">
        <v>550</v>
      </c>
      <c r="P513">
        <v>4.5008445014787426E-3</v>
      </c>
      <c r="Q513" t="s">
        <v>162</v>
      </c>
      <c r="S513" t="s">
        <v>405</v>
      </c>
      <c r="T513" t="s">
        <v>550</v>
      </c>
      <c r="U513">
        <v>3.3955870617312319E-3</v>
      </c>
      <c r="V513" t="s">
        <v>162</v>
      </c>
    </row>
    <row r="514" spans="9:22" x14ac:dyDescent="0.45">
      <c r="I514" t="s">
        <v>181</v>
      </c>
      <c r="J514" t="s">
        <v>551</v>
      </c>
      <c r="K514">
        <v>0</v>
      </c>
      <c r="L514" t="s">
        <v>162</v>
      </c>
      <c r="N514" t="s">
        <v>293</v>
      </c>
      <c r="O514" t="s">
        <v>551</v>
      </c>
      <c r="P514">
        <v>2.7653451297131603E-2</v>
      </c>
      <c r="Q514" t="s">
        <v>162</v>
      </c>
      <c r="S514" t="s">
        <v>405</v>
      </c>
      <c r="T514" t="s">
        <v>551</v>
      </c>
      <c r="U514">
        <v>1.9443035077216866E-2</v>
      </c>
      <c r="V514" t="s">
        <v>162</v>
      </c>
    </row>
    <row r="515" spans="9:22" x14ac:dyDescent="0.45">
      <c r="I515" t="s">
        <v>182</v>
      </c>
      <c r="J515" t="s">
        <v>161</v>
      </c>
      <c r="K515">
        <v>0</v>
      </c>
      <c r="L515" t="s">
        <v>162</v>
      </c>
      <c r="N515" t="s">
        <v>294</v>
      </c>
      <c r="O515" t="s">
        <v>161</v>
      </c>
      <c r="P515">
        <v>5.0526626745527853E-2</v>
      </c>
      <c r="Q515" t="s">
        <v>162</v>
      </c>
      <c r="S515" t="s">
        <v>406</v>
      </c>
      <c r="T515" t="s">
        <v>161</v>
      </c>
      <c r="U515">
        <v>2.9649490430694789E-2</v>
      </c>
      <c r="V515" t="s">
        <v>162</v>
      </c>
    </row>
    <row r="516" spans="9:22" x14ac:dyDescent="0.45">
      <c r="I516" t="s">
        <v>182</v>
      </c>
      <c r="J516" t="s">
        <v>163</v>
      </c>
      <c r="K516">
        <v>4.5051155726239696E-3</v>
      </c>
      <c r="L516" t="s">
        <v>162</v>
      </c>
      <c r="N516" t="s">
        <v>294</v>
      </c>
      <c r="O516" t="s">
        <v>163</v>
      </c>
      <c r="P516">
        <v>5.9026078986409505E-3</v>
      </c>
      <c r="Q516" t="s">
        <v>162</v>
      </c>
      <c r="S516" t="s">
        <v>406</v>
      </c>
      <c r="T516" t="s">
        <v>163</v>
      </c>
      <c r="U516">
        <v>3.1303797122272216E-3</v>
      </c>
      <c r="V516" t="s">
        <v>162</v>
      </c>
    </row>
    <row r="517" spans="9:22" x14ac:dyDescent="0.45">
      <c r="I517" t="s">
        <v>182</v>
      </c>
      <c r="J517" t="s">
        <v>164</v>
      </c>
      <c r="K517">
        <v>1.5018583265751215E-2</v>
      </c>
      <c r="L517" t="s">
        <v>162</v>
      </c>
      <c r="N517" t="s">
        <v>294</v>
      </c>
      <c r="O517" t="s">
        <v>164</v>
      </c>
      <c r="P517">
        <v>1.1266693380162722E-2</v>
      </c>
      <c r="Q517" t="s">
        <v>162</v>
      </c>
      <c r="S517" t="s">
        <v>406</v>
      </c>
      <c r="T517" t="s">
        <v>164</v>
      </c>
      <c r="U517">
        <v>6.1402203723655143E-3</v>
      </c>
      <c r="V517" t="s">
        <v>162</v>
      </c>
    </row>
    <row r="518" spans="9:22" x14ac:dyDescent="0.45">
      <c r="I518" t="s">
        <v>182</v>
      </c>
      <c r="J518" t="s">
        <v>519</v>
      </c>
      <c r="K518">
        <v>3.4560938372781229E-2</v>
      </c>
      <c r="L518" t="s">
        <v>162</v>
      </c>
      <c r="N518" t="s">
        <v>294</v>
      </c>
      <c r="O518" t="s">
        <v>519</v>
      </c>
      <c r="P518">
        <v>2.4399934059862592E-2</v>
      </c>
      <c r="Q518" t="s">
        <v>162</v>
      </c>
      <c r="S518" t="s">
        <v>406</v>
      </c>
      <c r="T518" t="s">
        <v>519</v>
      </c>
      <c r="U518">
        <v>1.5107395875075534E-2</v>
      </c>
      <c r="V518" t="s">
        <v>162</v>
      </c>
    </row>
    <row r="519" spans="9:22" x14ac:dyDescent="0.45">
      <c r="I519" t="s">
        <v>182</v>
      </c>
      <c r="J519" t="s">
        <v>520</v>
      </c>
      <c r="K519">
        <v>2.1983245821131594E-4</v>
      </c>
      <c r="L519" t="s">
        <v>162</v>
      </c>
      <c r="N519" t="s">
        <v>294</v>
      </c>
      <c r="O519" t="s">
        <v>520</v>
      </c>
      <c r="P519">
        <v>4.8717502055718783E-3</v>
      </c>
      <c r="Q519" t="s">
        <v>162</v>
      </c>
      <c r="S519" t="s">
        <v>406</v>
      </c>
      <c r="T519" t="s">
        <v>520</v>
      </c>
      <c r="U519">
        <v>3.3637262269737267E-3</v>
      </c>
      <c r="V519" t="s">
        <v>162</v>
      </c>
    </row>
    <row r="520" spans="9:22" x14ac:dyDescent="0.45">
      <c r="I520" t="s">
        <v>182</v>
      </c>
      <c r="J520" t="s">
        <v>521</v>
      </c>
      <c r="K520">
        <v>0</v>
      </c>
      <c r="L520" t="s">
        <v>162</v>
      </c>
      <c r="N520" t="s">
        <v>294</v>
      </c>
      <c r="O520" t="s">
        <v>521</v>
      </c>
      <c r="P520">
        <v>2.9547317322220434E-2</v>
      </c>
      <c r="Q520" t="s">
        <v>162</v>
      </c>
      <c r="S520" t="s">
        <v>406</v>
      </c>
      <c r="T520" t="s">
        <v>521</v>
      </c>
      <c r="U520">
        <v>2.1587555704304012E-2</v>
      </c>
      <c r="V520" t="s">
        <v>162</v>
      </c>
    </row>
    <row r="521" spans="9:22" x14ac:dyDescent="0.45">
      <c r="I521" t="s">
        <v>182</v>
      </c>
      <c r="J521" t="s">
        <v>165</v>
      </c>
      <c r="K521">
        <v>9.5356682435436702E-3</v>
      </c>
      <c r="L521" t="s">
        <v>162</v>
      </c>
      <c r="N521" t="s">
        <v>294</v>
      </c>
      <c r="O521" t="s">
        <v>165</v>
      </c>
      <c r="P521">
        <v>7.0292108403438636E-2</v>
      </c>
      <c r="Q521" t="s">
        <v>162</v>
      </c>
      <c r="S521" t="s">
        <v>406</v>
      </c>
      <c r="T521" t="s">
        <v>165</v>
      </c>
      <c r="U521">
        <v>5.8218824364891432E-2</v>
      </c>
      <c r="V521" t="s">
        <v>162</v>
      </c>
    </row>
    <row r="522" spans="9:22" x14ac:dyDescent="0.45">
      <c r="I522" t="s">
        <v>182</v>
      </c>
      <c r="J522" t="s">
        <v>166</v>
      </c>
      <c r="K522">
        <v>1.3734708198997572E-2</v>
      </c>
      <c r="L522" t="s">
        <v>162</v>
      </c>
      <c r="N522" t="s">
        <v>294</v>
      </c>
      <c r="O522" t="s">
        <v>166</v>
      </c>
      <c r="P522">
        <v>7.0025650194742396E-3</v>
      </c>
      <c r="Q522" t="s">
        <v>162</v>
      </c>
      <c r="S522" t="s">
        <v>406</v>
      </c>
      <c r="T522" t="s">
        <v>166</v>
      </c>
      <c r="U522">
        <v>6.1583929383038551E-3</v>
      </c>
      <c r="V522" t="s">
        <v>162</v>
      </c>
    </row>
    <row r="523" spans="9:22" x14ac:dyDescent="0.45">
      <c r="I523" t="s">
        <v>182</v>
      </c>
      <c r="J523" t="s">
        <v>167</v>
      </c>
      <c r="K523">
        <v>3.4792436853394934E-2</v>
      </c>
      <c r="L523" t="s">
        <v>162</v>
      </c>
      <c r="N523" t="s">
        <v>294</v>
      </c>
      <c r="O523" t="s">
        <v>167</v>
      </c>
      <c r="P523">
        <v>1.314704265950788E-2</v>
      </c>
      <c r="Q523" t="s">
        <v>162</v>
      </c>
      <c r="S523" t="s">
        <v>406</v>
      </c>
      <c r="T523" t="s">
        <v>167</v>
      </c>
      <c r="U523">
        <v>1.1871001431849642E-2</v>
      </c>
      <c r="V523" t="s">
        <v>162</v>
      </c>
    </row>
    <row r="524" spans="9:22" x14ac:dyDescent="0.45">
      <c r="I524" t="s">
        <v>182</v>
      </c>
      <c r="J524" t="s">
        <v>522</v>
      </c>
      <c r="K524">
        <v>8.2194064467247946E-2</v>
      </c>
      <c r="L524" t="s">
        <v>162</v>
      </c>
      <c r="N524" t="s">
        <v>294</v>
      </c>
      <c r="O524" t="s">
        <v>522</v>
      </c>
      <c r="P524">
        <v>3.5300926866051595E-2</v>
      </c>
      <c r="Q524" t="s">
        <v>162</v>
      </c>
      <c r="S524" t="s">
        <v>406</v>
      </c>
      <c r="T524" t="s">
        <v>522</v>
      </c>
      <c r="U524">
        <v>3.1612714104256E-2</v>
      </c>
      <c r="V524" t="s">
        <v>162</v>
      </c>
    </row>
    <row r="525" spans="9:22" x14ac:dyDescent="0.45">
      <c r="I525" t="s">
        <v>182</v>
      </c>
      <c r="J525" t="s">
        <v>523</v>
      </c>
      <c r="K525">
        <v>1.0755761251044819E-2</v>
      </c>
      <c r="L525" t="s">
        <v>162</v>
      </c>
      <c r="N525" t="s">
        <v>294</v>
      </c>
      <c r="O525" t="s">
        <v>523</v>
      </c>
      <c r="P525">
        <v>7.0406434805432884E-3</v>
      </c>
      <c r="Q525" t="s">
        <v>162</v>
      </c>
      <c r="S525" t="s">
        <v>406</v>
      </c>
      <c r="T525" t="s">
        <v>523</v>
      </c>
      <c r="U525">
        <v>6.9219860360681014E-3</v>
      </c>
      <c r="V525" t="s">
        <v>162</v>
      </c>
    </row>
    <row r="526" spans="9:22" x14ac:dyDescent="0.45">
      <c r="I526" t="s">
        <v>182</v>
      </c>
      <c r="J526" t="s">
        <v>524</v>
      </c>
      <c r="K526">
        <v>3.5154811793409882E-3</v>
      </c>
      <c r="L526" t="s">
        <v>162</v>
      </c>
      <c r="N526" t="s">
        <v>294</v>
      </c>
      <c r="O526" t="s">
        <v>524</v>
      </c>
      <c r="P526">
        <v>4.6046809937350192E-2</v>
      </c>
      <c r="Q526" t="s">
        <v>162</v>
      </c>
      <c r="S526" t="s">
        <v>406</v>
      </c>
      <c r="T526" t="s">
        <v>524</v>
      </c>
      <c r="U526">
        <v>4.2384922506908757E-2</v>
      </c>
      <c r="V526" t="s">
        <v>162</v>
      </c>
    </row>
    <row r="527" spans="9:22" x14ac:dyDescent="0.45">
      <c r="I527" t="s">
        <v>182</v>
      </c>
      <c r="J527" t="s">
        <v>168</v>
      </c>
      <c r="K527">
        <v>1.9155479939087849E-2</v>
      </c>
      <c r="L527" t="s">
        <v>162</v>
      </c>
      <c r="N527" t="s">
        <v>294</v>
      </c>
      <c r="O527" t="s">
        <v>168</v>
      </c>
      <c r="P527">
        <v>3.2837601906758607E-2</v>
      </c>
      <c r="Q527" t="s">
        <v>162</v>
      </c>
      <c r="S527" t="s">
        <v>406</v>
      </c>
      <c r="T527" t="s">
        <v>168</v>
      </c>
      <c r="U527">
        <v>3.3097659113374235E-2</v>
      </c>
      <c r="V527" t="s">
        <v>162</v>
      </c>
    </row>
    <row r="528" spans="9:22" x14ac:dyDescent="0.45">
      <c r="I528" t="s">
        <v>182</v>
      </c>
      <c r="J528" t="s">
        <v>169</v>
      </c>
      <c r="K528">
        <v>1.0544594326997786E-2</v>
      </c>
      <c r="L528" t="s">
        <v>162</v>
      </c>
      <c r="N528" t="s">
        <v>294</v>
      </c>
      <c r="O528" t="s">
        <v>169</v>
      </c>
      <c r="P528">
        <v>4.5711413963425351E-3</v>
      </c>
      <c r="Q528" t="s">
        <v>162</v>
      </c>
      <c r="S528" t="s">
        <v>406</v>
      </c>
      <c r="T528" t="s">
        <v>169</v>
      </c>
      <c r="U528">
        <v>3.5493221519856599E-3</v>
      </c>
      <c r="V528" t="s">
        <v>162</v>
      </c>
    </row>
    <row r="529" spans="9:22" x14ac:dyDescent="0.45">
      <c r="I529" t="s">
        <v>182</v>
      </c>
      <c r="J529" t="s">
        <v>170</v>
      </c>
      <c r="K529">
        <v>2.3672204971335077E-2</v>
      </c>
      <c r="L529" t="s">
        <v>162</v>
      </c>
      <c r="N529" t="s">
        <v>294</v>
      </c>
      <c r="O529" t="s">
        <v>170</v>
      </c>
      <c r="P529">
        <v>1.0494629004684933E-2</v>
      </c>
      <c r="Q529" t="s">
        <v>162</v>
      </c>
      <c r="S529" t="s">
        <v>406</v>
      </c>
      <c r="T529" t="s">
        <v>170</v>
      </c>
      <c r="U529">
        <v>7.099904700853977E-3</v>
      </c>
      <c r="V529" t="s">
        <v>162</v>
      </c>
    </row>
    <row r="530" spans="9:22" x14ac:dyDescent="0.45">
      <c r="I530" t="s">
        <v>182</v>
      </c>
      <c r="J530" t="s">
        <v>525</v>
      </c>
      <c r="K530">
        <v>5.6548495351093395E-2</v>
      </c>
      <c r="L530" t="s">
        <v>162</v>
      </c>
      <c r="N530" t="s">
        <v>294</v>
      </c>
      <c r="O530" t="s">
        <v>525</v>
      </c>
      <c r="P530">
        <v>2.6124968955459592E-2</v>
      </c>
      <c r="Q530" t="s">
        <v>162</v>
      </c>
      <c r="S530" t="s">
        <v>406</v>
      </c>
      <c r="T530" t="s">
        <v>525</v>
      </c>
      <c r="U530">
        <v>1.9305596983015681E-2</v>
      </c>
      <c r="V530" t="s">
        <v>162</v>
      </c>
    </row>
    <row r="531" spans="9:22" x14ac:dyDescent="0.45">
      <c r="I531" t="s">
        <v>182</v>
      </c>
      <c r="J531" t="s">
        <v>526</v>
      </c>
      <c r="K531">
        <v>8.7963561152280059E-3</v>
      </c>
      <c r="L531" t="s">
        <v>162</v>
      </c>
      <c r="N531" t="s">
        <v>294</v>
      </c>
      <c r="O531" t="s">
        <v>526</v>
      </c>
      <c r="P531">
        <v>4.3724459898937737E-3</v>
      </c>
      <c r="Q531" t="s">
        <v>162</v>
      </c>
      <c r="S531" t="s">
        <v>406</v>
      </c>
      <c r="T531" t="s">
        <v>526</v>
      </c>
      <c r="U531">
        <v>3.9298473287019088E-3</v>
      </c>
      <c r="V531" t="s">
        <v>162</v>
      </c>
    </row>
    <row r="532" spans="9:22" x14ac:dyDescent="0.45">
      <c r="I532" t="s">
        <v>182</v>
      </c>
      <c r="J532" t="s">
        <v>527</v>
      </c>
      <c r="K532">
        <v>9.6036149373515886E-3</v>
      </c>
      <c r="L532" t="s">
        <v>162</v>
      </c>
      <c r="N532" t="s">
        <v>294</v>
      </c>
      <c r="O532" t="s">
        <v>527</v>
      </c>
      <c r="P532">
        <v>2.3459005551516973E-2</v>
      </c>
      <c r="Q532" t="s">
        <v>162</v>
      </c>
      <c r="S532" t="s">
        <v>406</v>
      </c>
      <c r="T532" t="s">
        <v>527</v>
      </c>
      <c r="U532">
        <v>2.2791080336086289E-2</v>
      </c>
      <c r="V532" t="s">
        <v>162</v>
      </c>
    </row>
    <row r="533" spans="9:22" x14ac:dyDescent="0.45">
      <c r="I533" t="s">
        <v>182</v>
      </c>
      <c r="J533" t="s">
        <v>528</v>
      </c>
      <c r="K533">
        <v>6.8362629297871083E-2</v>
      </c>
      <c r="L533" t="s">
        <v>162</v>
      </c>
      <c r="N533" t="s">
        <v>294</v>
      </c>
      <c r="O533" t="s">
        <v>528</v>
      </c>
      <c r="P533">
        <v>4.7910835116047698E-2</v>
      </c>
      <c r="Q533" t="s">
        <v>162</v>
      </c>
      <c r="S533" t="s">
        <v>406</v>
      </c>
      <c r="T533" t="s">
        <v>528</v>
      </c>
      <c r="U533">
        <v>8.8409436843001135E-2</v>
      </c>
      <c r="V533" t="s">
        <v>162</v>
      </c>
    </row>
    <row r="534" spans="9:22" x14ac:dyDescent="0.45">
      <c r="I534" t="s">
        <v>182</v>
      </c>
      <c r="J534" t="s">
        <v>529</v>
      </c>
      <c r="K534">
        <v>2.9894536259561833E-2</v>
      </c>
      <c r="L534" t="s">
        <v>162</v>
      </c>
      <c r="N534" t="s">
        <v>294</v>
      </c>
      <c r="O534" t="s">
        <v>529</v>
      </c>
      <c r="P534">
        <v>6.1547060759179076E-3</v>
      </c>
      <c r="Q534" t="s">
        <v>162</v>
      </c>
      <c r="S534" t="s">
        <v>406</v>
      </c>
      <c r="T534" t="s">
        <v>529</v>
      </c>
      <c r="U534">
        <v>8.995446641935018E-3</v>
      </c>
      <c r="V534" t="s">
        <v>162</v>
      </c>
    </row>
    <row r="535" spans="9:22" x14ac:dyDescent="0.45">
      <c r="I535" t="s">
        <v>182</v>
      </c>
      <c r="J535" t="s">
        <v>530</v>
      </c>
      <c r="K535">
        <v>6.4706834999053081E-2</v>
      </c>
      <c r="L535" t="s">
        <v>162</v>
      </c>
      <c r="N535" t="s">
        <v>294</v>
      </c>
      <c r="O535" t="s">
        <v>530</v>
      </c>
      <c r="P535">
        <v>1.4616135367272945E-2</v>
      </c>
      <c r="Q535" t="s">
        <v>162</v>
      </c>
      <c r="S535" t="s">
        <v>406</v>
      </c>
      <c r="T535" t="s">
        <v>530</v>
      </c>
      <c r="U535">
        <v>1.8209307127304418E-2</v>
      </c>
      <c r="V535" t="s">
        <v>162</v>
      </c>
    </row>
    <row r="536" spans="9:22" x14ac:dyDescent="0.45">
      <c r="I536" t="s">
        <v>182</v>
      </c>
      <c r="J536" t="s">
        <v>531</v>
      </c>
      <c r="K536">
        <v>0.14698032643188291</v>
      </c>
      <c r="L536" t="s">
        <v>162</v>
      </c>
      <c r="N536" t="s">
        <v>294</v>
      </c>
      <c r="O536" t="s">
        <v>531</v>
      </c>
      <c r="P536">
        <v>4.0879249541656851E-2</v>
      </c>
      <c r="Q536" t="s">
        <v>162</v>
      </c>
      <c r="S536" t="s">
        <v>406</v>
      </c>
      <c r="T536" t="s">
        <v>531</v>
      </c>
      <c r="U536">
        <v>4.9737677893887444E-2</v>
      </c>
      <c r="V536" t="s">
        <v>162</v>
      </c>
    </row>
    <row r="537" spans="9:22" x14ac:dyDescent="0.45">
      <c r="I537" t="s">
        <v>182</v>
      </c>
      <c r="J537" t="s">
        <v>532</v>
      </c>
      <c r="K537">
        <v>2.2034230523009034E-2</v>
      </c>
      <c r="L537" t="s">
        <v>162</v>
      </c>
      <c r="N537" t="s">
        <v>294</v>
      </c>
      <c r="O537" t="s">
        <v>532</v>
      </c>
      <c r="P537">
        <v>7.2667592143989979E-3</v>
      </c>
      <c r="Q537" t="s">
        <v>162</v>
      </c>
      <c r="S537" t="s">
        <v>406</v>
      </c>
      <c r="T537" t="s">
        <v>532</v>
      </c>
      <c r="U537">
        <v>1.0607948334642377E-2</v>
      </c>
      <c r="V537" t="s">
        <v>162</v>
      </c>
    </row>
    <row r="538" spans="9:22" x14ac:dyDescent="0.45">
      <c r="I538" t="s">
        <v>182</v>
      </c>
      <c r="J538" t="s">
        <v>533</v>
      </c>
      <c r="K538">
        <v>3.7551799621580541E-2</v>
      </c>
      <c r="L538" t="s">
        <v>162</v>
      </c>
      <c r="N538" t="s">
        <v>294</v>
      </c>
      <c r="O538" t="s">
        <v>533</v>
      </c>
      <c r="P538">
        <v>3.6188416517230294E-2</v>
      </c>
      <c r="Q538" t="s">
        <v>162</v>
      </c>
      <c r="S538" t="s">
        <v>406</v>
      </c>
      <c r="T538" t="s">
        <v>533</v>
      </c>
      <c r="U538">
        <v>6.5964473922793032E-2</v>
      </c>
      <c r="V538" t="s">
        <v>162</v>
      </c>
    </row>
    <row r="539" spans="9:22" x14ac:dyDescent="0.45">
      <c r="I539" t="s">
        <v>182</v>
      </c>
      <c r="J539" t="s">
        <v>534</v>
      </c>
      <c r="K539">
        <v>2.8787475211466809E-2</v>
      </c>
      <c r="L539" t="s">
        <v>162</v>
      </c>
      <c r="N539" t="s">
        <v>294</v>
      </c>
      <c r="O539" t="s">
        <v>534</v>
      </c>
      <c r="P539">
        <v>8.2356862879764153E-2</v>
      </c>
      <c r="Q539" t="s">
        <v>162</v>
      </c>
      <c r="S539" t="s">
        <v>406</v>
      </c>
      <c r="T539" t="s">
        <v>534</v>
      </c>
      <c r="U539">
        <v>0.10478634536250206</v>
      </c>
      <c r="V539" t="s">
        <v>162</v>
      </c>
    </row>
    <row r="540" spans="9:22" x14ac:dyDescent="0.45">
      <c r="I540" t="s">
        <v>182</v>
      </c>
      <c r="J540" t="s">
        <v>535</v>
      </c>
      <c r="K540">
        <v>1.99741730400518E-2</v>
      </c>
      <c r="L540" t="s">
        <v>162</v>
      </c>
      <c r="N540" t="s">
        <v>294</v>
      </c>
      <c r="O540" t="s">
        <v>535</v>
      </c>
      <c r="P540">
        <v>8.3430582185783052E-3</v>
      </c>
      <c r="Q540" t="s">
        <v>162</v>
      </c>
      <c r="S540" t="s">
        <v>406</v>
      </c>
      <c r="T540" t="s">
        <v>535</v>
      </c>
      <c r="U540">
        <v>1.1048347050578567E-2</v>
      </c>
      <c r="V540" t="s">
        <v>162</v>
      </c>
    </row>
    <row r="541" spans="9:22" x14ac:dyDescent="0.45">
      <c r="I541" t="s">
        <v>182</v>
      </c>
      <c r="J541" t="s">
        <v>536</v>
      </c>
      <c r="K541">
        <v>4.4134504876473746E-2</v>
      </c>
      <c r="L541" t="s">
        <v>162</v>
      </c>
      <c r="N541" t="s">
        <v>294</v>
      </c>
      <c r="O541" t="s">
        <v>536</v>
      </c>
      <c r="P541">
        <v>1.7821872954055365E-2</v>
      </c>
      <c r="Q541" t="s">
        <v>162</v>
      </c>
      <c r="S541" t="s">
        <v>406</v>
      </c>
      <c r="T541" t="s">
        <v>536</v>
      </c>
      <c r="U541">
        <v>2.1258444406078675E-2</v>
      </c>
      <c r="V541" t="s">
        <v>162</v>
      </c>
    </row>
    <row r="542" spans="9:22" x14ac:dyDescent="0.45">
      <c r="I542" t="s">
        <v>182</v>
      </c>
      <c r="J542" t="s">
        <v>537</v>
      </c>
      <c r="K542">
        <v>9.6505152347451009E-2</v>
      </c>
      <c r="L542" t="s">
        <v>162</v>
      </c>
      <c r="N542" t="s">
        <v>294</v>
      </c>
      <c r="O542" t="s">
        <v>537</v>
      </c>
      <c r="P542">
        <v>4.646235251766425E-2</v>
      </c>
      <c r="Q542" t="s">
        <v>162</v>
      </c>
      <c r="S542" t="s">
        <v>406</v>
      </c>
      <c r="T542" t="s">
        <v>537</v>
      </c>
      <c r="U542">
        <v>4.9323064930313215E-2</v>
      </c>
      <c r="V542" t="s">
        <v>162</v>
      </c>
    </row>
    <row r="543" spans="9:22" x14ac:dyDescent="0.45">
      <c r="I543" t="s">
        <v>182</v>
      </c>
      <c r="J543" t="s">
        <v>538</v>
      </c>
      <c r="K543">
        <v>1.2319564755454109E-2</v>
      </c>
      <c r="L543" t="s">
        <v>162</v>
      </c>
      <c r="N543" t="s">
        <v>294</v>
      </c>
      <c r="O543" t="s">
        <v>538</v>
      </c>
      <c r="P543">
        <v>8.7338379833510112E-3</v>
      </c>
      <c r="Q543" t="s">
        <v>162</v>
      </c>
      <c r="S543" t="s">
        <v>406</v>
      </c>
      <c r="T543" t="s">
        <v>538</v>
      </c>
      <c r="U543">
        <v>1.016796907755386E-2</v>
      </c>
      <c r="V543" t="s">
        <v>162</v>
      </c>
    </row>
    <row r="544" spans="9:22" x14ac:dyDescent="0.45">
      <c r="I544" t="s">
        <v>182</v>
      </c>
      <c r="J544" t="s">
        <v>539</v>
      </c>
      <c r="K544">
        <v>9.8334274419550737E-3</v>
      </c>
      <c r="L544" t="s">
        <v>162</v>
      </c>
      <c r="N544" t="s">
        <v>294</v>
      </c>
      <c r="O544" t="s">
        <v>539</v>
      </c>
      <c r="P544">
        <v>5.4651134891166853E-2</v>
      </c>
      <c r="Q544" t="s">
        <v>162</v>
      </c>
      <c r="S544" t="s">
        <v>406</v>
      </c>
      <c r="T544" t="s">
        <v>539</v>
      </c>
      <c r="U544">
        <v>6.616801941390088E-2</v>
      </c>
      <c r="V544" t="s">
        <v>162</v>
      </c>
    </row>
    <row r="545" spans="9:22" x14ac:dyDescent="0.45">
      <c r="I545" t="s">
        <v>182</v>
      </c>
      <c r="J545" t="s">
        <v>540</v>
      </c>
      <c r="K545">
        <v>1.577258333032474E-3</v>
      </c>
      <c r="L545" t="s">
        <v>162</v>
      </c>
      <c r="N545" t="s">
        <v>294</v>
      </c>
      <c r="O545" t="s">
        <v>540</v>
      </c>
      <c r="P545">
        <v>3.9480000467819111E-2</v>
      </c>
      <c r="Q545" t="s">
        <v>162</v>
      </c>
      <c r="S545" t="s">
        <v>406</v>
      </c>
      <c r="T545" t="s">
        <v>540</v>
      </c>
      <c r="U545">
        <v>3.774639344776435E-2</v>
      </c>
      <c r="V545" t="s">
        <v>162</v>
      </c>
    </row>
    <row r="546" spans="9:22" x14ac:dyDescent="0.45">
      <c r="I546" t="s">
        <v>182</v>
      </c>
      <c r="J546" t="s">
        <v>541</v>
      </c>
      <c r="K546">
        <v>3.7217763089243587E-3</v>
      </c>
      <c r="L546" t="s">
        <v>162</v>
      </c>
      <c r="N546" t="s">
        <v>294</v>
      </c>
      <c r="O546" t="s">
        <v>541</v>
      </c>
      <c r="P546">
        <v>4.0685225108068289E-3</v>
      </c>
      <c r="Q546" t="s">
        <v>162</v>
      </c>
      <c r="S546" t="s">
        <v>406</v>
      </c>
      <c r="T546" t="s">
        <v>541</v>
      </c>
      <c r="U546">
        <v>4.0835381375391938E-3</v>
      </c>
      <c r="V546" t="s">
        <v>162</v>
      </c>
    </row>
    <row r="547" spans="9:22" x14ac:dyDescent="0.45">
      <c r="I547" t="s">
        <v>182</v>
      </c>
      <c r="J547" t="s">
        <v>542</v>
      </c>
      <c r="K547">
        <v>1.0679776204102084E-2</v>
      </c>
      <c r="L547" t="s">
        <v>162</v>
      </c>
      <c r="N547" t="s">
        <v>294</v>
      </c>
      <c r="O547" t="s">
        <v>542</v>
      </c>
      <c r="P547">
        <v>7.6386726046093608E-3</v>
      </c>
      <c r="Q547" t="s">
        <v>162</v>
      </c>
      <c r="S547" t="s">
        <v>406</v>
      </c>
      <c r="T547" t="s">
        <v>542</v>
      </c>
      <c r="U547">
        <v>7.9991980186615262E-3</v>
      </c>
      <c r="V547" t="s">
        <v>162</v>
      </c>
    </row>
    <row r="548" spans="9:22" x14ac:dyDescent="0.45">
      <c r="I548" t="s">
        <v>182</v>
      </c>
      <c r="J548" t="s">
        <v>543</v>
      </c>
      <c r="K548">
        <v>2.1790805586019035E-2</v>
      </c>
      <c r="L548" t="s">
        <v>162</v>
      </c>
      <c r="N548" t="s">
        <v>294</v>
      </c>
      <c r="O548" t="s">
        <v>543</v>
      </c>
      <c r="P548">
        <v>2.0172544817782991E-2</v>
      </c>
      <c r="Q548" t="s">
        <v>162</v>
      </c>
      <c r="S548" t="s">
        <v>406</v>
      </c>
      <c r="T548" t="s">
        <v>543</v>
      </c>
      <c r="U548">
        <v>1.9873389042818802E-2</v>
      </c>
      <c r="V548" t="s">
        <v>162</v>
      </c>
    </row>
    <row r="549" spans="9:22" x14ac:dyDescent="0.45">
      <c r="I549" t="s">
        <v>182</v>
      </c>
      <c r="J549" t="s">
        <v>544</v>
      </c>
      <c r="K549">
        <v>0</v>
      </c>
      <c r="L549" t="s">
        <v>162</v>
      </c>
      <c r="N549" t="s">
        <v>294</v>
      </c>
      <c r="O549" t="s">
        <v>544</v>
      </c>
      <c r="P549">
        <v>4.6843187211300505E-3</v>
      </c>
      <c r="Q549" t="s">
        <v>162</v>
      </c>
      <c r="S549" t="s">
        <v>406</v>
      </c>
      <c r="T549" t="s">
        <v>544</v>
      </c>
      <c r="U549">
        <v>4.1318311015968775E-3</v>
      </c>
      <c r="V549" t="s">
        <v>162</v>
      </c>
    </row>
    <row r="550" spans="9:22" x14ac:dyDescent="0.45">
      <c r="I550" t="s">
        <v>182</v>
      </c>
      <c r="J550" t="s">
        <v>545</v>
      </c>
      <c r="K550">
        <v>0</v>
      </c>
      <c r="L550" t="s">
        <v>162</v>
      </c>
      <c r="N550" t="s">
        <v>294</v>
      </c>
      <c r="O550" t="s">
        <v>545</v>
      </c>
      <c r="P550">
        <v>2.7319279165421415E-2</v>
      </c>
      <c r="Q550" t="s">
        <v>162</v>
      </c>
      <c r="S550" t="s">
        <v>406</v>
      </c>
      <c r="T550" t="s">
        <v>545</v>
      </c>
      <c r="U550">
        <v>2.3507351955054958E-2</v>
      </c>
      <c r="V550" t="s">
        <v>162</v>
      </c>
    </row>
    <row r="551" spans="9:22" x14ac:dyDescent="0.45">
      <c r="I551" t="s">
        <v>182</v>
      </c>
      <c r="J551" t="s">
        <v>546</v>
      </c>
      <c r="K551">
        <v>0</v>
      </c>
      <c r="L551" t="s">
        <v>162</v>
      </c>
      <c r="N551" t="s">
        <v>294</v>
      </c>
      <c r="O551" t="s">
        <v>546</v>
      </c>
      <c r="P551">
        <v>4.3884601952825342E-2</v>
      </c>
      <c r="Q551" t="s">
        <v>162</v>
      </c>
      <c r="S551" t="s">
        <v>406</v>
      </c>
      <c r="T551" t="s">
        <v>546</v>
      </c>
      <c r="U551">
        <v>2.6223603984200688E-2</v>
      </c>
      <c r="V551" t="s">
        <v>162</v>
      </c>
    </row>
    <row r="552" spans="9:22" x14ac:dyDescent="0.45">
      <c r="I552" t="s">
        <v>182</v>
      </c>
      <c r="J552" t="s">
        <v>547</v>
      </c>
      <c r="K552">
        <v>3.941587762873169E-3</v>
      </c>
      <c r="L552" t="s">
        <v>162</v>
      </c>
      <c r="N552" t="s">
        <v>294</v>
      </c>
      <c r="O552" t="s">
        <v>547</v>
      </c>
      <c r="P552">
        <v>5.166299570451352E-3</v>
      </c>
      <c r="Q552" t="s">
        <v>162</v>
      </c>
      <c r="S552" t="s">
        <v>406</v>
      </c>
      <c r="T552" t="s">
        <v>547</v>
      </c>
      <c r="U552">
        <v>3.0156139358943628E-3</v>
      </c>
      <c r="V552" t="s">
        <v>162</v>
      </c>
    </row>
    <row r="553" spans="9:22" x14ac:dyDescent="0.45">
      <c r="I553" t="s">
        <v>182</v>
      </c>
      <c r="J553" t="s">
        <v>548</v>
      </c>
      <c r="K553">
        <v>1.3488821889503099E-2</v>
      </c>
      <c r="L553" t="s">
        <v>162</v>
      </c>
      <c r="N553" t="s">
        <v>294</v>
      </c>
      <c r="O553" t="s">
        <v>548</v>
      </c>
      <c r="P553">
        <v>1.0199066467673389E-2</v>
      </c>
      <c r="Q553" t="s">
        <v>162</v>
      </c>
      <c r="S553" t="s">
        <v>406</v>
      </c>
      <c r="T553" t="s">
        <v>548</v>
      </c>
      <c r="U553">
        <v>6.1448420420549543E-3</v>
      </c>
      <c r="V553" t="s">
        <v>162</v>
      </c>
    </row>
    <row r="554" spans="9:22" x14ac:dyDescent="0.45">
      <c r="I554" t="s">
        <v>182</v>
      </c>
      <c r="J554" t="s">
        <v>549</v>
      </c>
      <c r="K554">
        <v>2.656198360570506E-2</v>
      </c>
      <c r="L554" t="s">
        <v>162</v>
      </c>
      <c r="N554" t="s">
        <v>294</v>
      </c>
      <c r="O554" t="s">
        <v>549</v>
      </c>
      <c r="P554">
        <v>2.4334617101486138E-2</v>
      </c>
      <c r="Q554" t="s">
        <v>162</v>
      </c>
      <c r="S554" t="s">
        <v>406</v>
      </c>
      <c r="T554" t="s">
        <v>549</v>
      </c>
      <c r="U554">
        <v>1.5085850424987899E-2</v>
      </c>
      <c r="V554" t="s">
        <v>162</v>
      </c>
    </row>
    <row r="555" spans="9:22" x14ac:dyDescent="0.45">
      <c r="I555" t="s">
        <v>182</v>
      </c>
      <c r="J555" t="s">
        <v>550</v>
      </c>
      <c r="K555">
        <v>0</v>
      </c>
      <c r="L555" t="s">
        <v>162</v>
      </c>
      <c r="N555" t="s">
        <v>294</v>
      </c>
      <c r="O555" t="s">
        <v>550</v>
      </c>
      <c r="P555">
        <v>5.1421621673987776E-3</v>
      </c>
      <c r="Q555" t="s">
        <v>162</v>
      </c>
      <c r="S555" t="s">
        <v>406</v>
      </c>
      <c r="T555" t="s">
        <v>550</v>
      </c>
      <c r="U555">
        <v>3.2051976877850454E-3</v>
      </c>
      <c r="V555" t="s">
        <v>162</v>
      </c>
    </row>
    <row r="556" spans="9:22" x14ac:dyDescent="0.45">
      <c r="I556" t="s">
        <v>182</v>
      </c>
      <c r="J556" t="s">
        <v>551</v>
      </c>
      <c r="K556">
        <v>0</v>
      </c>
      <c r="L556" t="s">
        <v>162</v>
      </c>
      <c r="N556" t="s">
        <v>294</v>
      </c>
      <c r="O556" t="s">
        <v>551</v>
      </c>
      <c r="P556">
        <v>2.9319874392479014E-2</v>
      </c>
      <c r="Q556" t="s">
        <v>162</v>
      </c>
      <c r="S556" t="s">
        <v>406</v>
      </c>
      <c r="T556" t="s">
        <v>551</v>
      </c>
      <c r="U556">
        <v>1.8386688899214184E-2</v>
      </c>
      <c r="V556" t="s">
        <v>162</v>
      </c>
    </row>
    <row r="557" spans="9:22" x14ac:dyDescent="0.45">
      <c r="I557" t="s">
        <v>183</v>
      </c>
      <c r="J557" t="s">
        <v>161</v>
      </c>
      <c r="K557">
        <v>0</v>
      </c>
      <c r="L557" t="s">
        <v>162</v>
      </c>
      <c r="N557" t="s">
        <v>295</v>
      </c>
      <c r="O557" t="s">
        <v>161</v>
      </c>
      <c r="P557">
        <v>5.648379859050575E-2</v>
      </c>
      <c r="Q557" t="s">
        <v>162</v>
      </c>
      <c r="S557" t="s">
        <v>407</v>
      </c>
      <c r="T557" t="s">
        <v>161</v>
      </c>
      <c r="U557">
        <v>3.2092708305505535E-2</v>
      </c>
      <c r="V557" t="s">
        <v>162</v>
      </c>
    </row>
    <row r="558" spans="9:22" x14ac:dyDescent="0.45">
      <c r="I558" t="s">
        <v>183</v>
      </c>
      <c r="J558" t="s">
        <v>163</v>
      </c>
      <c r="K558">
        <v>3.3424927825572727E-3</v>
      </c>
      <c r="L558" t="s">
        <v>162</v>
      </c>
      <c r="N558" t="s">
        <v>295</v>
      </c>
      <c r="O558" t="s">
        <v>163</v>
      </c>
      <c r="P558">
        <v>6.414639256206861E-3</v>
      </c>
      <c r="Q558" t="s">
        <v>162</v>
      </c>
      <c r="S558" t="s">
        <v>407</v>
      </c>
      <c r="T558" t="s">
        <v>163</v>
      </c>
      <c r="U558">
        <v>3.3804423599159174E-3</v>
      </c>
      <c r="V558" t="s">
        <v>162</v>
      </c>
    </row>
    <row r="559" spans="9:22" x14ac:dyDescent="0.45">
      <c r="I559" t="s">
        <v>183</v>
      </c>
      <c r="J559" t="s">
        <v>164</v>
      </c>
      <c r="K559">
        <v>1.3909522778594856E-2</v>
      </c>
      <c r="L559" t="s">
        <v>162</v>
      </c>
      <c r="N559" t="s">
        <v>295</v>
      </c>
      <c r="O559" t="s">
        <v>164</v>
      </c>
      <c r="P559">
        <v>1.139979782057164E-2</v>
      </c>
      <c r="Q559" t="s">
        <v>162</v>
      </c>
      <c r="S559" t="s">
        <v>407</v>
      </c>
      <c r="T559" t="s">
        <v>164</v>
      </c>
      <c r="U559">
        <v>6.6481297078408901E-3</v>
      </c>
      <c r="V559" t="s">
        <v>162</v>
      </c>
    </row>
    <row r="560" spans="9:22" x14ac:dyDescent="0.45">
      <c r="I560" t="s">
        <v>183</v>
      </c>
      <c r="J560" t="s">
        <v>519</v>
      </c>
      <c r="K560">
        <v>3.4198319418101107E-2</v>
      </c>
      <c r="L560" t="s">
        <v>162</v>
      </c>
      <c r="N560" t="s">
        <v>295</v>
      </c>
      <c r="O560" t="s">
        <v>519</v>
      </c>
      <c r="P560">
        <v>2.3821654558913195E-2</v>
      </c>
      <c r="Q560" t="s">
        <v>162</v>
      </c>
      <c r="S560" t="s">
        <v>407</v>
      </c>
      <c r="T560" t="s">
        <v>519</v>
      </c>
      <c r="U560">
        <v>1.7236272870933066E-2</v>
      </c>
      <c r="V560" t="s">
        <v>162</v>
      </c>
    </row>
    <row r="561" spans="9:22" x14ac:dyDescent="0.45">
      <c r="I561" t="s">
        <v>183</v>
      </c>
      <c r="J561" t="s">
        <v>520</v>
      </c>
      <c r="K561">
        <v>8.7244980498827663E-4</v>
      </c>
      <c r="L561" t="s">
        <v>162</v>
      </c>
      <c r="N561" t="s">
        <v>295</v>
      </c>
      <c r="O561" t="s">
        <v>520</v>
      </c>
      <c r="P561">
        <v>5.2900448291631321E-3</v>
      </c>
      <c r="Q561" t="s">
        <v>162</v>
      </c>
      <c r="S561" t="s">
        <v>407</v>
      </c>
      <c r="T561" t="s">
        <v>520</v>
      </c>
      <c r="U561">
        <v>3.6947078529404654E-3</v>
      </c>
      <c r="V561" t="s">
        <v>162</v>
      </c>
    </row>
    <row r="562" spans="9:22" x14ac:dyDescent="0.45">
      <c r="I562" t="s">
        <v>183</v>
      </c>
      <c r="J562" t="s">
        <v>521</v>
      </c>
      <c r="K562">
        <v>0</v>
      </c>
      <c r="L562" t="s">
        <v>162</v>
      </c>
      <c r="N562" t="s">
        <v>295</v>
      </c>
      <c r="O562" t="s">
        <v>521</v>
      </c>
      <c r="P562">
        <v>3.3320205161519206E-2</v>
      </c>
      <c r="Q562" t="s">
        <v>162</v>
      </c>
      <c r="S562" t="s">
        <v>407</v>
      </c>
      <c r="T562" t="s">
        <v>521</v>
      </c>
      <c r="U562">
        <v>2.4010320859194703E-2</v>
      </c>
      <c r="V562" t="s">
        <v>162</v>
      </c>
    </row>
    <row r="563" spans="9:22" x14ac:dyDescent="0.45">
      <c r="I563" t="s">
        <v>183</v>
      </c>
      <c r="J563" t="s">
        <v>165</v>
      </c>
      <c r="K563">
        <v>8.3811291432057781E-3</v>
      </c>
      <c r="L563" t="s">
        <v>162</v>
      </c>
      <c r="N563" t="s">
        <v>295</v>
      </c>
      <c r="O563" t="s">
        <v>165</v>
      </c>
      <c r="P563">
        <v>7.341508581797121E-2</v>
      </c>
      <c r="Q563" t="s">
        <v>162</v>
      </c>
      <c r="S563" t="s">
        <v>407</v>
      </c>
      <c r="T563" t="s">
        <v>165</v>
      </c>
      <c r="U563">
        <v>5.8801683920845477E-2</v>
      </c>
      <c r="V563" t="s">
        <v>162</v>
      </c>
    </row>
    <row r="564" spans="9:22" x14ac:dyDescent="0.45">
      <c r="I564" t="s">
        <v>183</v>
      </c>
      <c r="J564" t="s">
        <v>166</v>
      </c>
      <c r="K564">
        <v>1.3193162955869916E-2</v>
      </c>
      <c r="L564" t="s">
        <v>162</v>
      </c>
      <c r="N564" t="s">
        <v>295</v>
      </c>
      <c r="O564" t="s">
        <v>166</v>
      </c>
      <c r="P564">
        <v>6.4060841547802392E-3</v>
      </c>
      <c r="Q564" t="s">
        <v>162</v>
      </c>
      <c r="S564" t="s">
        <v>407</v>
      </c>
      <c r="T564" t="s">
        <v>166</v>
      </c>
      <c r="U564">
        <v>6.2870012568303508E-3</v>
      </c>
      <c r="V564" t="s">
        <v>162</v>
      </c>
    </row>
    <row r="565" spans="9:22" x14ac:dyDescent="0.45">
      <c r="I565" t="s">
        <v>183</v>
      </c>
      <c r="J565" t="s">
        <v>167</v>
      </c>
      <c r="K565">
        <v>3.5564582566794595E-2</v>
      </c>
      <c r="L565" t="s">
        <v>162</v>
      </c>
      <c r="N565" t="s">
        <v>295</v>
      </c>
      <c r="O565" t="s">
        <v>167</v>
      </c>
      <c r="P565">
        <v>1.079207016288181E-2</v>
      </c>
      <c r="Q565" t="s">
        <v>162</v>
      </c>
      <c r="S565" t="s">
        <v>407</v>
      </c>
      <c r="T565" t="s">
        <v>167</v>
      </c>
      <c r="U565">
        <v>1.2370307357369907E-2</v>
      </c>
      <c r="V565" t="s">
        <v>162</v>
      </c>
    </row>
    <row r="566" spans="9:22" x14ac:dyDescent="0.45">
      <c r="I566" t="s">
        <v>183</v>
      </c>
      <c r="J566" t="s">
        <v>522</v>
      </c>
      <c r="K566">
        <v>8.5380702495545649E-2</v>
      </c>
      <c r="L566" t="s">
        <v>162</v>
      </c>
      <c r="N566" t="s">
        <v>295</v>
      </c>
      <c r="O566" t="s">
        <v>522</v>
      </c>
      <c r="P566">
        <v>2.729530386365819E-2</v>
      </c>
      <c r="Q566" t="s">
        <v>162</v>
      </c>
      <c r="S566" t="s">
        <v>407</v>
      </c>
      <c r="T566" t="s">
        <v>522</v>
      </c>
      <c r="U566">
        <v>3.2100210043837674E-2</v>
      </c>
      <c r="V566" t="s">
        <v>162</v>
      </c>
    </row>
    <row r="567" spans="9:22" x14ac:dyDescent="0.45">
      <c r="I567" t="s">
        <v>183</v>
      </c>
      <c r="J567" t="s">
        <v>523</v>
      </c>
      <c r="K567">
        <v>1.1809552318579965E-2</v>
      </c>
      <c r="L567" t="s">
        <v>162</v>
      </c>
      <c r="N567" t="s">
        <v>295</v>
      </c>
      <c r="O567" t="s">
        <v>523</v>
      </c>
      <c r="P567">
        <v>6.4569483682809462E-3</v>
      </c>
      <c r="Q567" t="s">
        <v>162</v>
      </c>
      <c r="S567" t="s">
        <v>407</v>
      </c>
      <c r="T567" t="s">
        <v>523</v>
      </c>
      <c r="U567">
        <v>6.9324760367094661E-3</v>
      </c>
      <c r="V567" t="s">
        <v>162</v>
      </c>
    </row>
    <row r="568" spans="9:22" x14ac:dyDescent="0.45">
      <c r="I568" t="s">
        <v>183</v>
      </c>
      <c r="J568" t="s">
        <v>524</v>
      </c>
      <c r="K568">
        <v>4.9104862863981816E-3</v>
      </c>
      <c r="L568" t="s">
        <v>162</v>
      </c>
      <c r="N568" t="s">
        <v>295</v>
      </c>
      <c r="O568" t="s">
        <v>524</v>
      </c>
      <c r="P568">
        <v>4.7277989476383009E-2</v>
      </c>
      <c r="Q568" t="s">
        <v>162</v>
      </c>
      <c r="S568" t="s">
        <v>407</v>
      </c>
      <c r="T568" t="s">
        <v>524</v>
      </c>
      <c r="U568">
        <v>4.2370363337089552E-2</v>
      </c>
      <c r="V568" t="s">
        <v>162</v>
      </c>
    </row>
    <row r="569" spans="9:22" x14ac:dyDescent="0.45">
      <c r="I569" t="s">
        <v>183</v>
      </c>
      <c r="J569" t="s">
        <v>168</v>
      </c>
      <c r="K569">
        <v>1.8519802022829032E-2</v>
      </c>
      <c r="L569" t="s">
        <v>162</v>
      </c>
      <c r="N569" t="s">
        <v>295</v>
      </c>
      <c r="O569" t="s">
        <v>168</v>
      </c>
      <c r="P569">
        <v>3.0288067105662061E-2</v>
      </c>
      <c r="Q569" t="s">
        <v>162</v>
      </c>
      <c r="S569" t="s">
        <v>407</v>
      </c>
      <c r="T569" t="s">
        <v>168</v>
      </c>
      <c r="U569">
        <v>3.0217802208398131E-2</v>
      </c>
      <c r="V569" t="s">
        <v>162</v>
      </c>
    </row>
    <row r="570" spans="9:22" x14ac:dyDescent="0.45">
      <c r="I570" t="s">
        <v>183</v>
      </c>
      <c r="J570" t="s">
        <v>169</v>
      </c>
      <c r="K570">
        <v>1.1258802347710355E-2</v>
      </c>
      <c r="L570" t="s">
        <v>162</v>
      </c>
      <c r="N570" t="s">
        <v>295</v>
      </c>
      <c r="O570" t="s">
        <v>169</v>
      </c>
      <c r="P570">
        <v>4.2526188149464034E-3</v>
      </c>
      <c r="Q570" t="s">
        <v>162</v>
      </c>
      <c r="S570" t="s">
        <v>407</v>
      </c>
      <c r="T570" t="s">
        <v>169</v>
      </c>
      <c r="U570">
        <v>3.1770022345600961E-3</v>
      </c>
      <c r="V570" t="s">
        <v>162</v>
      </c>
    </row>
    <row r="571" spans="9:22" x14ac:dyDescent="0.45">
      <c r="I571" t="s">
        <v>183</v>
      </c>
      <c r="J571" t="s">
        <v>170</v>
      </c>
      <c r="K571">
        <v>2.5336262488898042E-2</v>
      </c>
      <c r="L571" t="s">
        <v>162</v>
      </c>
      <c r="N571" t="s">
        <v>295</v>
      </c>
      <c r="O571" t="s">
        <v>170</v>
      </c>
      <c r="P571">
        <v>1.0787769510610902E-2</v>
      </c>
      <c r="Q571" t="s">
        <v>162</v>
      </c>
      <c r="S571" t="s">
        <v>407</v>
      </c>
      <c r="T571" t="s">
        <v>170</v>
      </c>
      <c r="U571">
        <v>6.3376614211748516E-3</v>
      </c>
      <c r="V571" t="s">
        <v>162</v>
      </c>
    </row>
    <row r="572" spans="9:22" x14ac:dyDescent="0.45">
      <c r="I572" t="s">
        <v>183</v>
      </c>
      <c r="J572" t="s">
        <v>525</v>
      </c>
      <c r="K572">
        <v>6.1244696612997682E-2</v>
      </c>
      <c r="L572" t="s">
        <v>162</v>
      </c>
      <c r="N572" t="s">
        <v>295</v>
      </c>
      <c r="O572" t="s">
        <v>525</v>
      </c>
      <c r="P572">
        <v>2.8040101753438743E-2</v>
      </c>
      <c r="Q572" t="s">
        <v>162</v>
      </c>
      <c r="S572" t="s">
        <v>407</v>
      </c>
      <c r="T572" t="s">
        <v>525</v>
      </c>
      <c r="U572">
        <v>1.6907717741351098E-2</v>
      </c>
      <c r="V572" t="s">
        <v>162</v>
      </c>
    </row>
    <row r="573" spans="9:22" x14ac:dyDescent="0.45">
      <c r="I573" t="s">
        <v>183</v>
      </c>
      <c r="J573" t="s">
        <v>526</v>
      </c>
      <c r="K573">
        <v>9.8085766132809064E-3</v>
      </c>
      <c r="L573" t="s">
        <v>162</v>
      </c>
      <c r="N573" t="s">
        <v>295</v>
      </c>
      <c r="O573" t="s">
        <v>526</v>
      </c>
      <c r="P573">
        <v>4.4030425647764897E-3</v>
      </c>
      <c r="Q573" t="s">
        <v>162</v>
      </c>
      <c r="S573" t="s">
        <v>407</v>
      </c>
      <c r="T573" t="s">
        <v>526</v>
      </c>
      <c r="U573">
        <v>3.5139098079402745E-3</v>
      </c>
      <c r="V573" t="s">
        <v>162</v>
      </c>
    </row>
    <row r="574" spans="9:22" x14ac:dyDescent="0.45">
      <c r="I574" t="s">
        <v>183</v>
      </c>
      <c r="J574" t="s">
        <v>527</v>
      </c>
      <c r="K574">
        <v>1.1689181246973181E-2</v>
      </c>
      <c r="L574" t="s">
        <v>162</v>
      </c>
      <c r="N574" t="s">
        <v>295</v>
      </c>
      <c r="O574" t="s">
        <v>527</v>
      </c>
      <c r="P574">
        <v>2.2133517689291761E-2</v>
      </c>
      <c r="Q574" t="s">
        <v>162</v>
      </c>
      <c r="S574" t="s">
        <v>407</v>
      </c>
      <c r="T574" t="s">
        <v>527</v>
      </c>
      <c r="U574">
        <v>2.1637694512284943E-2</v>
      </c>
      <c r="V574" t="s">
        <v>162</v>
      </c>
    </row>
    <row r="575" spans="9:22" x14ac:dyDescent="0.45">
      <c r="I575" t="s">
        <v>183</v>
      </c>
      <c r="J575" t="s">
        <v>528</v>
      </c>
      <c r="K575">
        <v>6.6815718527855145E-2</v>
      </c>
      <c r="L575" t="s">
        <v>162</v>
      </c>
      <c r="N575" t="s">
        <v>295</v>
      </c>
      <c r="O575" t="s">
        <v>528</v>
      </c>
      <c r="P575">
        <v>5.6023428900772484E-2</v>
      </c>
      <c r="Q575" t="s">
        <v>162</v>
      </c>
      <c r="S575" t="s">
        <v>407</v>
      </c>
      <c r="T575" t="s">
        <v>528</v>
      </c>
      <c r="U575">
        <v>8.7497984453637295E-2</v>
      </c>
      <c r="V575" t="s">
        <v>162</v>
      </c>
    </row>
    <row r="576" spans="9:22" x14ac:dyDescent="0.45">
      <c r="I576" t="s">
        <v>183</v>
      </c>
      <c r="J576" t="s">
        <v>529</v>
      </c>
      <c r="K576">
        <v>2.9873786910012523E-2</v>
      </c>
      <c r="L576" t="s">
        <v>162</v>
      </c>
      <c r="N576" t="s">
        <v>295</v>
      </c>
      <c r="O576" t="s">
        <v>529</v>
      </c>
      <c r="P576">
        <v>6.2591962037120887E-3</v>
      </c>
      <c r="Q576" t="s">
        <v>162</v>
      </c>
      <c r="S576" t="s">
        <v>407</v>
      </c>
      <c r="T576" t="s">
        <v>529</v>
      </c>
      <c r="U576">
        <v>8.9069434385138421E-3</v>
      </c>
      <c r="V576" t="s">
        <v>162</v>
      </c>
    </row>
    <row r="577" spans="9:22" x14ac:dyDescent="0.45">
      <c r="I577" t="s">
        <v>183</v>
      </c>
      <c r="J577" t="s">
        <v>530</v>
      </c>
      <c r="K577">
        <v>6.4735580396004549E-2</v>
      </c>
      <c r="L577" t="s">
        <v>162</v>
      </c>
      <c r="N577" t="s">
        <v>295</v>
      </c>
      <c r="O577" t="s">
        <v>530</v>
      </c>
      <c r="P577">
        <v>1.4753653398984672E-2</v>
      </c>
      <c r="Q577" t="s">
        <v>162</v>
      </c>
      <c r="S577" t="s">
        <v>407</v>
      </c>
      <c r="T577" t="s">
        <v>530</v>
      </c>
      <c r="U577">
        <v>1.8022523128213144E-2</v>
      </c>
      <c r="V577" t="s">
        <v>162</v>
      </c>
    </row>
    <row r="578" spans="9:22" x14ac:dyDescent="0.45">
      <c r="I578" t="s">
        <v>183</v>
      </c>
      <c r="J578" t="s">
        <v>531</v>
      </c>
      <c r="K578">
        <v>0.14687066668288876</v>
      </c>
      <c r="L578" t="s">
        <v>162</v>
      </c>
      <c r="N578" t="s">
        <v>295</v>
      </c>
      <c r="O578" t="s">
        <v>531</v>
      </c>
      <c r="P578">
        <v>4.0398250645528336E-2</v>
      </c>
      <c r="Q578" t="s">
        <v>162</v>
      </c>
      <c r="S578" t="s">
        <v>407</v>
      </c>
      <c r="T578" t="s">
        <v>531</v>
      </c>
      <c r="U578">
        <v>4.8706335440140684E-2</v>
      </c>
      <c r="V578" t="s">
        <v>162</v>
      </c>
    </row>
    <row r="579" spans="9:22" x14ac:dyDescent="0.45">
      <c r="I579" t="s">
        <v>183</v>
      </c>
      <c r="J579" t="s">
        <v>532</v>
      </c>
      <c r="K579">
        <v>2.1853082386441947E-2</v>
      </c>
      <c r="L579" t="s">
        <v>162</v>
      </c>
      <c r="N579" t="s">
        <v>295</v>
      </c>
      <c r="O579" t="s">
        <v>532</v>
      </c>
      <c r="P579">
        <v>7.649617076888362E-3</v>
      </c>
      <c r="Q579" t="s">
        <v>162</v>
      </c>
      <c r="S579" t="s">
        <v>407</v>
      </c>
      <c r="T579" t="s">
        <v>532</v>
      </c>
      <c r="U579">
        <v>9.9725679019546584E-3</v>
      </c>
      <c r="V579" t="s">
        <v>162</v>
      </c>
    </row>
    <row r="580" spans="9:22" x14ac:dyDescent="0.45">
      <c r="I580" t="s">
        <v>183</v>
      </c>
      <c r="J580" t="s">
        <v>533</v>
      </c>
      <c r="K580">
        <v>3.8945482032708069E-2</v>
      </c>
      <c r="L580" t="s">
        <v>162</v>
      </c>
      <c r="N580" t="s">
        <v>295</v>
      </c>
      <c r="O580" t="s">
        <v>533</v>
      </c>
      <c r="P580">
        <v>4.1145477720159356E-2</v>
      </c>
      <c r="Q580" t="s">
        <v>162</v>
      </c>
      <c r="S580" t="s">
        <v>407</v>
      </c>
      <c r="T580" t="s">
        <v>533</v>
      </c>
      <c r="U580">
        <v>6.0508679593266376E-2</v>
      </c>
      <c r="V580" t="s">
        <v>162</v>
      </c>
    </row>
    <row r="581" spans="9:22" x14ac:dyDescent="0.45">
      <c r="I581" t="s">
        <v>183</v>
      </c>
      <c r="J581" t="s">
        <v>534</v>
      </c>
      <c r="K581">
        <v>2.5338393097595356E-2</v>
      </c>
      <c r="L581" t="s">
        <v>162</v>
      </c>
      <c r="N581" t="s">
        <v>295</v>
      </c>
      <c r="O581" t="s">
        <v>534</v>
      </c>
      <c r="P581">
        <v>7.62518469768277E-2</v>
      </c>
      <c r="Q581" t="s">
        <v>162</v>
      </c>
      <c r="S581" t="s">
        <v>407</v>
      </c>
      <c r="T581" t="s">
        <v>534</v>
      </c>
      <c r="U581">
        <v>0.10287648443934364</v>
      </c>
      <c r="V581" t="s">
        <v>162</v>
      </c>
    </row>
    <row r="582" spans="9:22" x14ac:dyDescent="0.45">
      <c r="I582" t="s">
        <v>183</v>
      </c>
      <c r="J582" t="s">
        <v>535</v>
      </c>
      <c r="K582">
        <v>1.8640282484418097E-2</v>
      </c>
      <c r="L582" t="s">
        <v>162</v>
      </c>
      <c r="N582" t="s">
        <v>295</v>
      </c>
      <c r="O582" t="s">
        <v>535</v>
      </c>
      <c r="P582">
        <v>6.2157207138116991E-3</v>
      </c>
      <c r="Q582" t="s">
        <v>162</v>
      </c>
      <c r="S582" t="s">
        <v>407</v>
      </c>
      <c r="T582" t="s">
        <v>535</v>
      </c>
      <c r="U582">
        <v>1.101934169045362E-2</v>
      </c>
      <c r="V582" t="s">
        <v>162</v>
      </c>
    </row>
    <row r="583" spans="9:22" x14ac:dyDescent="0.45">
      <c r="I583" t="s">
        <v>183</v>
      </c>
      <c r="J583" t="s">
        <v>536</v>
      </c>
      <c r="K583">
        <v>4.2063357822359579E-2</v>
      </c>
      <c r="L583" t="s">
        <v>162</v>
      </c>
      <c r="N583" t="s">
        <v>295</v>
      </c>
      <c r="O583" t="s">
        <v>536</v>
      </c>
      <c r="P583">
        <v>1.3533317295761231E-2</v>
      </c>
      <c r="Q583" t="s">
        <v>162</v>
      </c>
      <c r="S583" t="s">
        <v>407</v>
      </c>
      <c r="T583" t="s">
        <v>536</v>
      </c>
      <c r="U583">
        <v>2.1954081831552417E-2</v>
      </c>
      <c r="V583" t="s">
        <v>162</v>
      </c>
    </row>
    <row r="584" spans="9:22" x14ac:dyDescent="0.45">
      <c r="I584" t="s">
        <v>183</v>
      </c>
      <c r="J584" t="s">
        <v>537</v>
      </c>
      <c r="K584">
        <v>9.4615815053645635E-2</v>
      </c>
      <c r="L584" t="s">
        <v>162</v>
      </c>
      <c r="N584" t="s">
        <v>295</v>
      </c>
      <c r="O584" t="s">
        <v>537</v>
      </c>
      <c r="P584">
        <v>3.6872532992580413E-2</v>
      </c>
      <c r="Q584" t="s">
        <v>162</v>
      </c>
      <c r="S584" t="s">
        <v>407</v>
      </c>
      <c r="T584" t="s">
        <v>537</v>
      </c>
      <c r="U584">
        <v>5.3901900984757195E-2</v>
      </c>
      <c r="V584" t="s">
        <v>162</v>
      </c>
    </row>
    <row r="585" spans="9:22" x14ac:dyDescent="0.45">
      <c r="I585" t="s">
        <v>183</v>
      </c>
      <c r="J585" t="s">
        <v>538</v>
      </c>
      <c r="K585">
        <v>1.2053081059609998E-2</v>
      </c>
      <c r="L585" t="s">
        <v>162</v>
      </c>
      <c r="N585" t="s">
        <v>295</v>
      </c>
      <c r="O585" t="s">
        <v>538</v>
      </c>
      <c r="P585">
        <v>7.3717714824450215E-3</v>
      </c>
      <c r="Q585" t="s">
        <v>162</v>
      </c>
      <c r="S585" t="s">
        <v>407</v>
      </c>
      <c r="T585" t="s">
        <v>538</v>
      </c>
      <c r="U585">
        <v>1.0425587240858115E-2</v>
      </c>
      <c r="V585" t="s">
        <v>162</v>
      </c>
    </row>
    <row r="586" spans="9:22" x14ac:dyDescent="0.45">
      <c r="I586" t="s">
        <v>183</v>
      </c>
      <c r="J586" t="s">
        <v>539</v>
      </c>
      <c r="K586">
        <v>1.101156582462782E-2</v>
      </c>
      <c r="L586" t="s">
        <v>162</v>
      </c>
      <c r="N586" t="s">
        <v>295</v>
      </c>
      <c r="O586" t="s">
        <v>539</v>
      </c>
      <c r="P586">
        <v>4.9602454955207674E-2</v>
      </c>
      <c r="Q586" t="s">
        <v>162</v>
      </c>
      <c r="S586" t="s">
        <v>407</v>
      </c>
      <c r="T586" t="s">
        <v>539</v>
      </c>
      <c r="U586">
        <v>6.6275930673055164E-2</v>
      </c>
      <c r="V586" t="s">
        <v>162</v>
      </c>
    </row>
    <row r="587" spans="9:22" x14ac:dyDescent="0.45">
      <c r="I587" t="s">
        <v>183</v>
      </c>
      <c r="J587" t="s">
        <v>540</v>
      </c>
      <c r="K587">
        <v>4.9299760740950747E-4</v>
      </c>
      <c r="L587" t="s">
        <v>162</v>
      </c>
      <c r="N587" t="s">
        <v>295</v>
      </c>
      <c r="O587" t="s">
        <v>540</v>
      </c>
      <c r="P587">
        <v>4.1623853598772922E-2</v>
      </c>
      <c r="Q587" t="s">
        <v>162</v>
      </c>
      <c r="S587" t="s">
        <v>407</v>
      </c>
      <c r="T587" t="s">
        <v>540</v>
      </c>
      <c r="U587">
        <v>3.4155250455395456E-2</v>
      </c>
      <c r="V587" t="s">
        <v>162</v>
      </c>
    </row>
    <row r="588" spans="9:22" x14ac:dyDescent="0.45">
      <c r="I588" t="s">
        <v>183</v>
      </c>
      <c r="J588" t="s">
        <v>541</v>
      </c>
      <c r="K588">
        <v>2.7065554222225306E-3</v>
      </c>
      <c r="L588" t="s">
        <v>162</v>
      </c>
      <c r="N588" t="s">
        <v>295</v>
      </c>
      <c r="O588" t="s">
        <v>541</v>
      </c>
      <c r="P588">
        <v>3.9284719061775204E-3</v>
      </c>
      <c r="Q588" t="s">
        <v>162</v>
      </c>
      <c r="S588" t="s">
        <v>407</v>
      </c>
      <c r="T588" t="s">
        <v>541</v>
      </c>
      <c r="U588">
        <v>3.5217664082543162E-3</v>
      </c>
      <c r="V588" t="s">
        <v>162</v>
      </c>
    </row>
    <row r="589" spans="9:22" x14ac:dyDescent="0.45">
      <c r="I589" t="s">
        <v>183</v>
      </c>
      <c r="J589" t="s">
        <v>542</v>
      </c>
      <c r="K589">
        <v>9.6515862323669419E-3</v>
      </c>
      <c r="L589" t="s">
        <v>162</v>
      </c>
      <c r="N589" t="s">
        <v>295</v>
      </c>
      <c r="O589" t="s">
        <v>542</v>
      </c>
      <c r="P589">
        <v>6.5943486853995001E-3</v>
      </c>
      <c r="Q589" t="s">
        <v>162</v>
      </c>
      <c r="S589" t="s">
        <v>407</v>
      </c>
      <c r="T589" t="s">
        <v>542</v>
      </c>
      <c r="U589">
        <v>6.9376643398527454E-3</v>
      </c>
      <c r="V589" t="s">
        <v>162</v>
      </c>
    </row>
    <row r="590" spans="9:22" x14ac:dyDescent="0.45">
      <c r="I590" t="s">
        <v>183</v>
      </c>
      <c r="J590" t="s">
        <v>543</v>
      </c>
      <c r="K590">
        <v>2.1159984753781686E-2</v>
      </c>
      <c r="L590" t="s">
        <v>162</v>
      </c>
      <c r="N590" t="s">
        <v>295</v>
      </c>
      <c r="O590" t="s">
        <v>543</v>
      </c>
      <c r="P590">
        <v>1.6334966023240253E-2</v>
      </c>
      <c r="Q590" t="s">
        <v>162</v>
      </c>
      <c r="S590" t="s">
        <v>407</v>
      </c>
      <c r="T590" t="s">
        <v>543</v>
      </c>
      <c r="U590">
        <v>1.7689583087559215E-2</v>
      </c>
      <c r="V590" t="s">
        <v>162</v>
      </c>
    </row>
    <row r="591" spans="9:22" x14ac:dyDescent="0.45">
      <c r="I591" t="s">
        <v>183</v>
      </c>
      <c r="J591" t="s">
        <v>544</v>
      </c>
      <c r="K591">
        <v>3.4774048177615529E-6</v>
      </c>
      <c r="L591" t="s">
        <v>162</v>
      </c>
      <c r="N591" t="s">
        <v>295</v>
      </c>
      <c r="O591" t="s">
        <v>544</v>
      </c>
      <c r="P591">
        <v>4.5426348210960855E-3</v>
      </c>
      <c r="Q591" t="s">
        <v>162</v>
      </c>
      <c r="S591" t="s">
        <v>407</v>
      </c>
      <c r="T591" t="s">
        <v>544</v>
      </c>
      <c r="U591">
        <v>3.6833046361841866E-3</v>
      </c>
      <c r="V591" t="s">
        <v>162</v>
      </c>
    </row>
    <row r="592" spans="9:22" x14ac:dyDescent="0.45">
      <c r="I592" t="s">
        <v>183</v>
      </c>
      <c r="J592" t="s">
        <v>545</v>
      </c>
      <c r="K592">
        <v>0</v>
      </c>
      <c r="L592" t="s">
        <v>162</v>
      </c>
      <c r="N592" t="s">
        <v>295</v>
      </c>
      <c r="O592" t="s">
        <v>545</v>
      </c>
      <c r="P592">
        <v>2.9305710179534011E-2</v>
      </c>
      <c r="Q592" t="s">
        <v>162</v>
      </c>
      <c r="S592" t="s">
        <v>407</v>
      </c>
      <c r="T592" t="s">
        <v>545</v>
      </c>
      <c r="U592">
        <v>2.2278369148608777E-2</v>
      </c>
      <c r="V592" t="s">
        <v>162</v>
      </c>
    </row>
    <row r="593" spans="9:22" x14ac:dyDescent="0.45">
      <c r="I593" t="s">
        <v>183</v>
      </c>
      <c r="J593" t="s">
        <v>546</v>
      </c>
      <c r="K593">
        <v>0</v>
      </c>
      <c r="L593" t="s">
        <v>162</v>
      </c>
      <c r="N593" t="s">
        <v>295</v>
      </c>
      <c r="O593" t="s">
        <v>546</v>
      </c>
      <c r="P593">
        <v>5.0820232640250741E-2</v>
      </c>
      <c r="Q593" t="s">
        <v>162</v>
      </c>
      <c r="S593" t="s">
        <v>407</v>
      </c>
      <c r="T593" t="s">
        <v>546</v>
      </c>
      <c r="U593">
        <v>3.1151032202859467E-2</v>
      </c>
      <c r="V593" t="s">
        <v>162</v>
      </c>
    </row>
    <row r="594" spans="9:22" x14ac:dyDescent="0.45">
      <c r="I594" t="s">
        <v>183</v>
      </c>
      <c r="J594" t="s">
        <v>547</v>
      </c>
      <c r="K594">
        <v>2.4300923467397446E-3</v>
      </c>
      <c r="L594" t="s">
        <v>162</v>
      </c>
      <c r="N594" t="s">
        <v>295</v>
      </c>
      <c r="O594" t="s">
        <v>547</v>
      </c>
      <c r="P594">
        <v>5.7746113257251767E-3</v>
      </c>
      <c r="Q594" t="s">
        <v>162</v>
      </c>
      <c r="S594" t="s">
        <v>407</v>
      </c>
      <c r="T594" t="s">
        <v>547</v>
      </c>
      <c r="U594">
        <v>3.5494750797662789E-3</v>
      </c>
      <c r="V594" t="s">
        <v>162</v>
      </c>
    </row>
    <row r="595" spans="9:22" x14ac:dyDescent="0.45">
      <c r="I595" t="s">
        <v>183</v>
      </c>
      <c r="J595" t="s">
        <v>548</v>
      </c>
      <c r="K595">
        <v>1.2592200884976028E-2</v>
      </c>
      <c r="L595" t="s">
        <v>162</v>
      </c>
      <c r="N595" t="s">
        <v>295</v>
      </c>
      <c r="O595" t="s">
        <v>548</v>
      </c>
      <c r="P595">
        <v>1.1197851335740352E-2</v>
      </c>
      <c r="Q595" t="s">
        <v>162</v>
      </c>
      <c r="S595" t="s">
        <v>407</v>
      </c>
      <c r="T595" t="s">
        <v>548</v>
      </c>
      <c r="U595">
        <v>7.1784110090755285E-3</v>
      </c>
      <c r="V595" t="s">
        <v>162</v>
      </c>
    </row>
    <row r="596" spans="9:22" x14ac:dyDescent="0.45">
      <c r="I596" t="s">
        <v>183</v>
      </c>
      <c r="J596" t="s">
        <v>549</v>
      </c>
      <c r="K596">
        <v>2.8726571186192026E-2</v>
      </c>
      <c r="L596" t="s">
        <v>162</v>
      </c>
      <c r="N596" t="s">
        <v>295</v>
      </c>
      <c r="O596" t="s">
        <v>549</v>
      </c>
      <c r="P596">
        <v>2.6139442641210927E-2</v>
      </c>
      <c r="Q596" t="s">
        <v>162</v>
      </c>
      <c r="S596" t="s">
        <v>407</v>
      </c>
      <c r="T596" t="s">
        <v>549</v>
      </c>
      <c r="U596">
        <v>1.7798292956514392E-2</v>
      </c>
      <c r="V596" t="s">
        <v>162</v>
      </c>
    </row>
    <row r="597" spans="9:22" x14ac:dyDescent="0.45">
      <c r="I597" t="s">
        <v>183</v>
      </c>
      <c r="J597" t="s">
        <v>550</v>
      </c>
      <c r="K597">
        <v>0</v>
      </c>
      <c r="L597" t="s">
        <v>162</v>
      </c>
      <c r="N597" t="s">
        <v>295</v>
      </c>
      <c r="O597" t="s">
        <v>550</v>
      </c>
      <c r="P597">
        <v>5.4959311906107597E-3</v>
      </c>
      <c r="Q597" t="s">
        <v>162</v>
      </c>
      <c r="S597" t="s">
        <v>407</v>
      </c>
      <c r="T597" t="s">
        <v>550</v>
      </c>
      <c r="U597">
        <v>3.5525726474312279E-3</v>
      </c>
      <c r="V597" t="s">
        <v>162</v>
      </c>
    </row>
    <row r="598" spans="9:22" x14ac:dyDescent="0.45">
      <c r="I598" t="s">
        <v>183</v>
      </c>
      <c r="J598" t="s">
        <v>551</v>
      </c>
      <c r="K598">
        <v>0</v>
      </c>
      <c r="L598" t="s">
        <v>162</v>
      </c>
      <c r="N598" t="s">
        <v>295</v>
      </c>
      <c r="O598" t="s">
        <v>551</v>
      </c>
      <c r="P598">
        <v>3.3885937789999376E-2</v>
      </c>
      <c r="Q598" t="s">
        <v>162</v>
      </c>
      <c r="S598" t="s">
        <v>407</v>
      </c>
      <c r="T598" t="s">
        <v>551</v>
      </c>
      <c r="U598">
        <v>2.0719505378032153E-2</v>
      </c>
      <c r="V598" t="s">
        <v>162</v>
      </c>
    </row>
    <row r="599" spans="9:22" x14ac:dyDescent="0.45">
      <c r="I599" t="s">
        <v>184</v>
      </c>
      <c r="J599" t="s">
        <v>161</v>
      </c>
      <c r="K599">
        <v>0</v>
      </c>
      <c r="L599" t="s">
        <v>162</v>
      </c>
      <c r="N599" t="s">
        <v>296</v>
      </c>
      <c r="O599" t="s">
        <v>161</v>
      </c>
      <c r="P599">
        <v>4.0037653502783876E-2</v>
      </c>
      <c r="Q599" t="s">
        <v>162</v>
      </c>
      <c r="S599" t="s">
        <v>408</v>
      </c>
      <c r="T599" t="s">
        <v>161</v>
      </c>
      <c r="U599">
        <v>2.6709706711968852E-2</v>
      </c>
      <c r="V599" t="s">
        <v>162</v>
      </c>
    </row>
    <row r="600" spans="9:22" x14ac:dyDescent="0.45">
      <c r="I600" t="s">
        <v>184</v>
      </c>
      <c r="J600" t="s">
        <v>163</v>
      </c>
      <c r="K600">
        <v>2.4959491568532399E-3</v>
      </c>
      <c r="L600" t="s">
        <v>162</v>
      </c>
      <c r="N600" t="s">
        <v>296</v>
      </c>
      <c r="O600" t="s">
        <v>163</v>
      </c>
      <c r="P600">
        <v>4.6451677525772101E-3</v>
      </c>
      <c r="Q600" t="s">
        <v>162</v>
      </c>
      <c r="S600" t="s">
        <v>408</v>
      </c>
      <c r="T600" t="s">
        <v>163</v>
      </c>
      <c r="U600">
        <v>3.1462027567638923E-3</v>
      </c>
      <c r="V600" t="s">
        <v>162</v>
      </c>
    </row>
    <row r="601" spans="9:22" x14ac:dyDescent="0.45">
      <c r="I601" t="s">
        <v>184</v>
      </c>
      <c r="J601" t="s">
        <v>164</v>
      </c>
      <c r="K601">
        <v>1.0019530678681412E-2</v>
      </c>
      <c r="L601" t="s">
        <v>162</v>
      </c>
      <c r="N601" t="s">
        <v>296</v>
      </c>
      <c r="O601" t="s">
        <v>164</v>
      </c>
      <c r="P601">
        <v>8.5604124812622938E-3</v>
      </c>
      <c r="Q601" t="s">
        <v>162</v>
      </c>
      <c r="S601" t="s">
        <v>408</v>
      </c>
      <c r="T601" t="s">
        <v>164</v>
      </c>
      <c r="U601">
        <v>6.4241733826649926E-3</v>
      </c>
      <c r="V601" t="s">
        <v>162</v>
      </c>
    </row>
    <row r="602" spans="9:22" x14ac:dyDescent="0.45">
      <c r="I602" t="s">
        <v>184</v>
      </c>
      <c r="J602" t="s">
        <v>519</v>
      </c>
      <c r="K602">
        <v>2.4706475204942516E-2</v>
      </c>
      <c r="L602" t="s">
        <v>162</v>
      </c>
      <c r="N602" t="s">
        <v>296</v>
      </c>
      <c r="O602" t="s">
        <v>519</v>
      </c>
      <c r="P602">
        <v>1.8871715362671192E-2</v>
      </c>
      <c r="Q602" t="s">
        <v>162</v>
      </c>
      <c r="S602" t="s">
        <v>408</v>
      </c>
      <c r="T602" t="s">
        <v>519</v>
      </c>
      <c r="U602">
        <v>1.6567218613240741E-2</v>
      </c>
      <c r="V602" t="s">
        <v>162</v>
      </c>
    </row>
    <row r="603" spans="9:22" x14ac:dyDescent="0.45">
      <c r="I603" t="s">
        <v>184</v>
      </c>
      <c r="J603" t="s">
        <v>520</v>
      </c>
      <c r="K603">
        <v>5.5215404840961587E-7</v>
      </c>
      <c r="L603" t="s">
        <v>162</v>
      </c>
      <c r="N603" t="s">
        <v>296</v>
      </c>
      <c r="O603" t="s">
        <v>520</v>
      </c>
      <c r="P603">
        <v>4.1439736316303847E-3</v>
      </c>
      <c r="Q603" t="s">
        <v>162</v>
      </c>
      <c r="S603" t="s">
        <v>408</v>
      </c>
      <c r="T603" t="s">
        <v>520</v>
      </c>
      <c r="U603">
        <v>3.3800315952592975E-3</v>
      </c>
      <c r="V603" t="s">
        <v>162</v>
      </c>
    </row>
    <row r="604" spans="9:22" x14ac:dyDescent="0.45">
      <c r="I604" t="s">
        <v>184</v>
      </c>
      <c r="J604" t="s">
        <v>521</v>
      </c>
      <c r="K604">
        <v>0</v>
      </c>
      <c r="L604" t="s">
        <v>162</v>
      </c>
      <c r="N604" t="s">
        <v>296</v>
      </c>
      <c r="O604" t="s">
        <v>521</v>
      </c>
      <c r="P604">
        <v>2.4549074363292549E-2</v>
      </c>
      <c r="Q604" t="s">
        <v>162</v>
      </c>
      <c r="S604" t="s">
        <v>408</v>
      </c>
      <c r="T604" t="s">
        <v>521</v>
      </c>
      <c r="U604">
        <v>2.0723162933489969E-2</v>
      </c>
      <c r="V604" t="s">
        <v>162</v>
      </c>
    </row>
    <row r="605" spans="9:22" x14ac:dyDescent="0.45">
      <c r="I605" t="s">
        <v>184</v>
      </c>
      <c r="J605" t="s">
        <v>165</v>
      </c>
      <c r="K605">
        <v>1.1101214616556141E-2</v>
      </c>
      <c r="L605" t="s">
        <v>162</v>
      </c>
      <c r="N605" t="s">
        <v>296</v>
      </c>
      <c r="O605" t="s">
        <v>165</v>
      </c>
      <c r="P605">
        <v>6.8041311174400002E-2</v>
      </c>
      <c r="Q605" t="s">
        <v>162</v>
      </c>
      <c r="S605" t="s">
        <v>408</v>
      </c>
      <c r="T605" t="s">
        <v>165</v>
      </c>
      <c r="U605">
        <v>4.916578985053377E-2</v>
      </c>
      <c r="V605" t="s">
        <v>162</v>
      </c>
    </row>
    <row r="606" spans="9:22" x14ac:dyDescent="0.45">
      <c r="I606" t="s">
        <v>184</v>
      </c>
      <c r="J606" t="s">
        <v>166</v>
      </c>
      <c r="K606">
        <v>1.5159212968704991E-2</v>
      </c>
      <c r="L606" t="s">
        <v>162</v>
      </c>
      <c r="N606" t="s">
        <v>296</v>
      </c>
      <c r="O606" t="s">
        <v>166</v>
      </c>
      <c r="P606">
        <v>5.9480199730681544E-3</v>
      </c>
      <c r="Q606" t="s">
        <v>162</v>
      </c>
      <c r="S606" t="s">
        <v>408</v>
      </c>
      <c r="T606" t="s">
        <v>166</v>
      </c>
      <c r="U606">
        <v>5.3586873097275457E-3</v>
      </c>
      <c r="V606" t="s">
        <v>162</v>
      </c>
    </row>
    <row r="607" spans="9:22" x14ac:dyDescent="0.45">
      <c r="I607" t="s">
        <v>184</v>
      </c>
      <c r="J607" t="s">
        <v>167</v>
      </c>
      <c r="K607">
        <v>3.9971446245147403E-2</v>
      </c>
      <c r="L607" t="s">
        <v>162</v>
      </c>
      <c r="N607" t="s">
        <v>296</v>
      </c>
      <c r="O607" t="s">
        <v>167</v>
      </c>
      <c r="P607">
        <v>9.8136001793939481E-3</v>
      </c>
      <c r="Q607" t="s">
        <v>162</v>
      </c>
      <c r="S607" t="s">
        <v>408</v>
      </c>
      <c r="T607" t="s">
        <v>167</v>
      </c>
      <c r="U607">
        <v>1.004971765081469E-2</v>
      </c>
      <c r="V607" t="s">
        <v>162</v>
      </c>
    </row>
    <row r="608" spans="9:22" x14ac:dyDescent="0.45">
      <c r="I608" t="s">
        <v>184</v>
      </c>
      <c r="J608" t="s">
        <v>522</v>
      </c>
      <c r="K608">
        <v>9.5534459711383482E-2</v>
      </c>
      <c r="L608" t="s">
        <v>162</v>
      </c>
      <c r="N608" t="s">
        <v>296</v>
      </c>
      <c r="O608" t="s">
        <v>522</v>
      </c>
      <c r="P608">
        <v>2.3040842838357587E-2</v>
      </c>
      <c r="Q608" t="s">
        <v>162</v>
      </c>
      <c r="S608" t="s">
        <v>408</v>
      </c>
      <c r="T608" t="s">
        <v>522</v>
      </c>
      <c r="U608">
        <v>2.421444797647072E-2</v>
      </c>
      <c r="V608" t="s">
        <v>162</v>
      </c>
    </row>
    <row r="609" spans="9:22" x14ac:dyDescent="0.45">
      <c r="I609" t="s">
        <v>184</v>
      </c>
      <c r="J609" t="s">
        <v>523</v>
      </c>
      <c r="K609">
        <v>1.1357443548320178E-2</v>
      </c>
      <c r="L609" t="s">
        <v>162</v>
      </c>
      <c r="N609" t="s">
        <v>296</v>
      </c>
      <c r="O609" t="s">
        <v>523</v>
      </c>
      <c r="P609">
        <v>6.0918319062308723E-3</v>
      </c>
      <c r="Q609" t="s">
        <v>162</v>
      </c>
      <c r="S609" t="s">
        <v>408</v>
      </c>
      <c r="T609" t="s">
        <v>523</v>
      </c>
      <c r="U609">
        <v>5.0229610211409165E-3</v>
      </c>
      <c r="V609" t="s">
        <v>162</v>
      </c>
    </row>
    <row r="610" spans="9:22" x14ac:dyDescent="0.45">
      <c r="I610" t="s">
        <v>184</v>
      </c>
      <c r="J610" t="s">
        <v>524</v>
      </c>
      <c r="K610">
        <v>3.268397133553912E-3</v>
      </c>
      <c r="L610" t="s">
        <v>162</v>
      </c>
      <c r="N610" t="s">
        <v>296</v>
      </c>
      <c r="O610" t="s">
        <v>524</v>
      </c>
      <c r="P610">
        <v>4.7072518171796501E-2</v>
      </c>
      <c r="Q610" t="s">
        <v>162</v>
      </c>
      <c r="S610" t="s">
        <v>408</v>
      </c>
      <c r="T610" t="s">
        <v>524</v>
      </c>
      <c r="U610">
        <v>3.2957716603636118E-2</v>
      </c>
      <c r="V610" t="s">
        <v>162</v>
      </c>
    </row>
    <row r="611" spans="9:22" x14ac:dyDescent="0.45">
      <c r="I611" t="s">
        <v>184</v>
      </c>
      <c r="J611" t="s">
        <v>168</v>
      </c>
      <c r="K611">
        <v>1.323759605370458E-2</v>
      </c>
      <c r="L611" t="s">
        <v>162</v>
      </c>
      <c r="N611" t="s">
        <v>296</v>
      </c>
      <c r="O611" t="s">
        <v>168</v>
      </c>
      <c r="P611">
        <v>4.0748373663232515E-2</v>
      </c>
      <c r="Q611" t="s">
        <v>162</v>
      </c>
      <c r="S611" t="s">
        <v>408</v>
      </c>
      <c r="T611" t="s">
        <v>168</v>
      </c>
      <c r="U611">
        <v>3.1243253987396084E-2</v>
      </c>
      <c r="V611" t="s">
        <v>162</v>
      </c>
    </row>
    <row r="612" spans="9:22" x14ac:dyDescent="0.45">
      <c r="I612" t="s">
        <v>184</v>
      </c>
      <c r="J612" t="s">
        <v>169</v>
      </c>
      <c r="K612">
        <v>9.0521177409059114E-3</v>
      </c>
      <c r="L612" t="s">
        <v>162</v>
      </c>
      <c r="N612" t="s">
        <v>296</v>
      </c>
      <c r="O612" t="s">
        <v>169</v>
      </c>
      <c r="P612">
        <v>3.9656275460968849E-3</v>
      </c>
      <c r="Q612" t="s">
        <v>162</v>
      </c>
      <c r="S612" t="s">
        <v>408</v>
      </c>
      <c r="T612" t="s">
        <v>169</v>
      </c>
      <c r="U612">
        <v>3.4173869118187226E-3</v>
      </c>
      <c r="V612" t="s">
        <v>162</v>
      </c>
    </row>
    <row r="613" spans="9:22" x14ac:dyDescent="0.45">
      <c r="I613" t="s">
        <v>184</v>
      </c>
      <c r="J613" t="s">
        <v>170</v>
      </c>
      <c r="K613">
        <v>2.1842937152697979E-2</v>
      </c>
      <c r="L613" t="s">
        <v>162</v>
      </c>
      <c r="N613" t="s">
        <v>296</v>
      </c>
      <c r="O613" t="s">
        <v>170</v>
      </c>
      <c r="P613">
        <v>9.0739263589544698E-3</v>
      </c>
      <c r="Q613" t="s">
        <v>162</v>
      </c>
      <c r="S613" t="s">
        <v>408</v>
      </c>
      <c r="T613" t="s">
        <v>170</v>
      </c>
      <c r="U613">
        <v>6.7674438722078777E-3</v>
      </c>
      <c r="V613" t="s">
        <v>162</v>
      </c>
    </row>
    <row r="614" spans="9:22" x14ac:dyDescent="0.45">
      <c r="I614" t="s">
        <v>184</v>
      </c>
      <c r="J614" t="s">
        <v>525</v>
      </c>
      <c r="K614">
        <v>5.1191629491528522E-2</v>
      </c>
      <c r="L614" t="s">
        <v>162</v>
      </c>
      <c r="N614" t="s">
        <v>296</v>
      </c>
      <c r="O614" t="s">
        <v>525</v>
      </c>
      <c r="P614">
        <v>2.3149654096916019E-2</v>
      </c>
      <c r="Q614" t="s">
        <v>162</v>
      </c>
      <c r="S614" t="s">
        <v>408</v>
      </c>
      <c r="T614" t="s">
        <v>525</v>
      </c>
      <c r="U614">
        <v>1.6860218113606742E-2</v>
      </c>
      <c r="V614" t="s">
        <v>162</v>
      </c>
    </row>
    <row r="615" spans="9:22" x14ac:dyDescent="0.45">
      <c r="I615" t="s">
        <v>184</v>
      </c>
      <c r="J615" t="s">
        <v>526</v>
      </c>
      <c r="K615">
        <v>6.1058903157105195E-3</v>
      </c>
      <c r="L615" t="s">
        <v>162</v>
      </c>
      <c r="N615" t="s">
        <v>296</v>
      </c>
      <c r="O615" t="s">
        <v>526</v>
      </c>
      <c r="P615">
        <v>4.1130081912256556E-3</v>
      </c>
      <c r="Q615" t="s">
        <v>162</v>
      </c>
      <c r="S615" t="s">
        <v>408</v>
      </c>
      <c r="T615" t="s">
        <v>526</v>
      </c>
      <c r="U615">
        <v>3.4107445274205138E-3</v>
      </c>
      <c r="V615" t="s">
        <v>162</v>
      </c>
    </row>
    <row r="616" spans="9:22" x14ac:dyDescent="0.45">
      <c r="I616" t="s">
        <v>184</v>
      </c>
      <c r="J616" t="s">
        <v>527</v>
      </c>
      <c r="K616">
        <v>5.5856759961437014E-3</v>
      </c>
      <c r="L616" t="s">
        <v>162</v>
      </c>
      <c r="N616" t="s">
        <v>296</v>
      </c>
      <c r="O616" t="s">
        <v>527</v>
      </c>
      <c r="P616">
        <v>2.9169835777128981E-2</v>
      </c>
      <c r="Q616" t="s">
        <v>162</v>
      </c>
      <c r="S616" t="s">
        <v>408</v>
      </c>
      <c r="T616" t="s">
        <v>527</v>
      </c>
      <c r="U616">
        <v>2.0118582602582532E-2</v>
      </c>
      <c r="V616" t="s">
        <v>162</v>
      </c>
    </row>
    <row r="617" spans="9:22" x14ac:dyDescent="0.45">
      <c r="I617" t="s">
        <v>184</v>
      </c>
      <c r="J617" t="s">
        <v>528</v>
      </c>
      <c r="K617">
        <v>7.6114541352006071E-2</v>
      </c>
      <c r="L617" t="s">
        <v>162</v>
      </c>
      <c r="N617" t="s">
        <v>296</v>
      </c>
      <c r="O617" t="s">
        <v>528</v>
      </c>
      <c r="P617">
        <v>7.6678939010711392E-2</v>
      </c>
      <c r="Q617" t="s">
        <v>162</v>
      </c>
      <c r="S617" t="s">
        <v>408</v>
      </c>
      <c r="T617" t="s">
        <v>528</v>
      </c>
      <c r="U617">
        <v>9.0759632342205077E-2</v>
      </c>
      <c r="V617" t="s">
        <v>162</v>
      </c>
    </row>
    <row r="618" spans="9:22" x14ac:dyDescent="0.45">
      <c r="I618" t="s">
        <v>184</v>
      </c>
      <c r="J618" t="s">
        <v>529</v>
      </c>
      <c r="K618">
        <v>3.2257950501908626E-2</v>
      </c>
      <c r="L618" t="s">
        <v>162</v>
      </c>
      <c r="N618" t="s">
        <v>296</v>
      </c>
      <c r="O618" t="s">
        <v>529</v>
      </c>
      <c r="P618">
        <v>6.2827526183414197E-3</v>
      </c>
      <c r="Q618" t="s">
        <v>162</v>
      </c>
      <c r="S618" t="s">
        <v>408</v>
      </c>
      <c r="T618" t="s">
        <v>529</v>
      </c>
      <c r="U618">
        <v>9.0737076251380319E-3</v>
      </c>
      <c r="V618" t="s">
        <v>162</v>
      </c>
    </row>
    <row r="619" spans="9:22" x14ac:dyDescent="0.45">
      <c r="I619" t="s">
        <v>184</v>
      </c>
      <c r="J619" t="s">
        <v>530</v>
      </c>
      <c r="K619">
        <v>7.0072550438683323E-2</v>
      </c>
      <c r="L619" t="s">
        <v>162</v>
      </c>
      <c r="N619" t="s">
        <v>296</v>
      </c>
      <c r="O619" t="s">
        <v>530</v>
      </c>
      <c r="P619">
        <v>1.4488380396428501E-2</v>
      </c>
      <c r="Q619" t="s">
        <v>162</v>
      </c>
      <c r="S619" t="s">
        <v>408</v>
      </c>
      <c r="T619" t="s">
        <v>530</v>
      </c>
      <c r="U619">
        <v>1.8313582879250719E-2</v>
      </c>
      <c r="V619" t="s">
        <v>162</v>
      </c>
    </row>
    <row r="620" spans="9:22" x14ac:dyDescent="0.45">
      <c r="I620" t="s">
        <v>184</v>
      </c>
      <c r="J620" t="s">
        <v>531</v>
      </c>
      <c r="K620">
        <v>0.16713427268466929</v>
      </c>
      <c r="L620" t="s">
        <v>162</v>
      </c>
      <c r="N620" t="s">
        <v>296</v>
      </c>
      <c r="O620" t="s">
        <v>531</v>
      </c>
      <c r="P620">
        <v>4.0248599098721048E-2</v>
      </c>
      <c r="Q620" t="s">
        <v>162</v>
      </c>
      <c r="S620" t="s">
        <v>408</v>
      </c>
      <c r="T620" t="s">
        <v>531</v>
      </c>
      <c r="U620">
        <v>4.8605293497855126E-2</v>
      </c>
      <c r="V620" t="s">
        <v>162</v>
      </c>
    </row>
    <row r="621" spans="9:22" x14ac:dyDescent="0.45">
      <c r="I621" t="s">
        <v>184</v>
      </c>
      <c r="J621" t="s">
        <v>532</v>
      </c>
      <c r="K621">
        <v>2.5704636218612586E-2</v>
      </c>
      <c r="L621" t="s">
        <v>162</v>
      </c>
      <c r="N621" t="s">
        <v>296</v>
      </c>
      <c r="O621" t="s">
        <v>532</v>
      </c>
      <c r="P621">
        <v>7.7158054000655259E-3</v>
      </c>
      <c r="Q621" t="s">
        <v>162</v>
      </c>
      <c r="S621" t="s">
        <v>408</v>
      </c>
      <c r="T621" t="s">
        <v>532</v>
      </c>
      <c r="U621">
        <v>1.0130886770934502E-2</v>
      </c>
      <c r="V621" t="s">
        <v>162</v>
      </c>
    </row>
    <row r="622" spans="9:22" x14ac:dyDescent="0.45">
      <c r="I622" t="s">
        <v>184</v>
      </c>
      <c r="J622" t="s">
        <v>533</v>
      </c>
      <c r="K622">
        <v>4.1863962860970945E-2</v>
      </c>
      <c r="L622" t="s">
        <v>162</v>
      </c>
      <c r="N622" t="s">
        <v>296</v>
      </c>
      <c r="O622" t="s">
        <v>533</v>
      </c>
      <c r="P622">
        <v>5.583507302339992E-2</v>
      </c>
      <c r="Q622" t="s">
        <v>162</v>
      </c>
      <c r="S622" t="s">
        <v>408</v>
      </c>
      <c r="T622" t="s">
        <v>533</v>
      </c>
      <c r="U622">
        <v>5.8811509468825213E-2</v>
      </c>
      <c r="V622" t="s">
        <v>162</v>
      </c>
    </row>
    <row r="623" spans="9:22" x14ac:dyDescent="0.45">
      <c r="I623" t="s">
        <v>184</v>
      </c>
      <c r="J623" t="s">
        <v>534</v>
      </c>
      <c r="K623">
        <v>2.7154265823379001E-2</v>
      </c>
      <c r="L623" t="s">
        <v>162</v>
      </c>
      <c r="N623" t="s">
        <v>296</v>
      </c>
      <c r="O623" t="s">
        <v>534</v>
      </c>
      <c r="P623">
        <v>9.5641331750174044E-2</v>
      </c>
      <c r="Q623" t="s">
        <v>162</v>
      </c>
      <c r="S623" t="s">
        <v>408</v>
      </c>
      <c r="T623" t="s">
        <v>534</v>
      </c>
      <c r="U623">
        <v>0.10902215083725104</v>
      </c>
      <c r="V623" t="s">
        <v>162</v>
      </c>
    </row>
    <row r="624" spans="9:22" x14ac:dyDescent="0.45">
      <c r="I624" t="s">
        <v>184</v>
      </c>
      <c r="J624" t="s">
        <v>535</v>
      </c>
      <c r="K624">
        <v>1.9161064951573659E-2</v>
      </c>
      <c r="L624" t="s">
        <v>162</v>
      </c>
      <c r="N624" t="s">
        <v>296</v>
      </c>
      <c r="O624" t="s">
        <v>535</v>
      </c>
      <c r="P624">
        <v>7.3284289378121072E-3</v>
      </c>
      <c r="Q624" t="s">
        <v>162</v>
      </c>
      <c r="S624" t="s">
        <v>408</v>
      </c>
      <c r="T624" t="s">
        <v>535</v>
      </c>
      <c r="U624">
        <v>1.2016588040045373E-2</v>
      </c>
      <c r="V624" t="s">
        <v>162</v>
      </c>
    </row>
    <row r="625" spans="9:22" x14ac:dyDescent="0.45">
      <c r="I625" t="s">
        <v>184</v>
      </c>
      <c r="J625" t="s">
        <v>536</v>
      </c>
      <c r="K625">
        <v>4.3818296628317738E-2</v>
      </c>
      <c r="L625" t="s">
        <v>162</v>
      </c>
      <c r="N625" t="s">
        <v>296</v>
      </c>
      <c r="O625" t="s">
        <v>536</v>
      </c>
      <c r="P625">
        <v>1.4367687357442146E-2</v>
      </c>
      <c r="Q625" t="s">
        <v>162</v>
      </c>
      <c r="S625" t="s">
        <v>408</v>
      </c>
      <c r="T625" t="s">
        <v>536</v>
      </c>
      <c r="U625">
        <v>2.4249073941757689E-2</v>
      </c>
      <c r="V625" t="s">
        <v>162</v>
      </c>
    </row>
    <row r="626" spans="9:22" x14ac:dyDescent="0.45">
      <c r="I626" t="s">
        <v>184</v>
      </c>
      <c r="J626" t="s">
        <v>537</v>
      </c>
      <c r="K626">
        <v>9.9319686396959372E-2</v>
      </c>
      <c r="L626" t="s">
        <v>162</v>
      </c>
      <c r="N626" t="s">
        <v>296</v>
      </c>
      <c r="O626" t="s">
        <v>537</v>
      </c>
      <c r="P626">
        <v>3.893647367123982E-2</v>
      </c>
      <c r="Q626" t="s">
        <v>162</v>
      </c>
      <c r="S626" t="s">
        <v>408</v>
      </c>
      <c r="T626" t="s">
        <v>537</v>
      </c>
      <c r="U626">
        <v>6.2902638555658558E-2</v>
      </c>
      <c r="V626" t="s">
        <v>162</v>
      </c>
    </row>
    <row r="627" spans="9:22" x14ac:dyDescent="0.45">
      <c r="I627" t="s">
        <v>184</v>
      </c>
      <c r="J627" t="s">
        <v>538</v>
      </c>
      <c r="K627">
        <v>1.1625586465129026E-2</v>
      </c>
      <c r="L627" t="s">
        <v>162</v>
      </c>
      <c r="N627" t="s">
        <v>296</v>
      </c>
      <c r="O627" t="s">
        <v>538</v>
      </c>
      <c r="P627">
        <v>8.6001326818787079E-3</v>
      </c>
      <c r="Q627" t="s">
        <v>162</v>
      </c>
      <c r="S627" t="s">
        <v>408</v>
      </c>
      <c r="T627" t="s">
        <v>538</v>
      </c>
      <c r="U627">
        <v>1.3101539356130482E-2</v>
      </c>
      <c r="V627" t="s">
        <v>162</v>
      </c>
    </row>
    <row r="628" spans="9:22" x14ac:dyDescent="0.45">
      <c r="I628" t="s">
        <v>184</v>
      </c>
      <c r="J628" t="s">
        <v>539</v>
      </c>
      <c r="K628">
        <v>9.0674069131040595E-3</v>
      </c>
      <c r="L628" t="s">
        <v>162</v>
      </c>
      <c r="N628" t="s">
        <v>296</v>
      </c>
      <c r="O628" t="s">
        <v>539</v>
      </c>
      <c r="P628">
        <v>7.1327440447870441E-2</v>
      </c>
      <c r="Q628" t="s">
        <v>162</v>
      </c>
      <c r="S628" t="s">
        <v>408</v>
      </c>
      <c r="T628" t="s">
        <v>539</v>
      </c>
      <c r="U628">
        <v>7.8753705059285001E-2</v>
      </c>
      <c r="V628" t="s">
        <v>162</v>
      </c>
    </row>
    <row r="629" spans="9:22" x14ac:dyDescent="0.45">
      <c r="I629" t="s">
        <v>184</v>
      </c>
      <c r="J629" t="s">
        <v>540</v>
      </c>
      <c r="K629">
        <v>5.4689468186080949E-4</v>
      </c>
      <c r="L629" t="s">
        <v>162</v>
      </c>
      <c r="N629" t="s">
        <v>296</v>
      </c>
      <c r="O629" t="s">
        <v>540</v>
      </c>
      <c r="P629">
        <v>3.3231791885396801E-2</v>
      </c>
      <c r="Q629" t="s">
        <v>162</v>
      </c>
      <c r="S629" t="s">
        <v>408</v>
      </c>
      <c r="T629" t="s">
        <v>540</v>
      </c>
      <c r="U629">
        <v>3.6164642020936853E-2</v>
      </c>
      <c r="V629" t="s">
        <v>162</v>
      </c>
    </row>
    <row r="630" spans="9:22" x14ac:dyDescent="0.45">
      <c r="I630" t="s">
        <v>184</v>
      </c>
      <c r="J630" t="s">
        <v>541</v>
      </c>
      <c r="K630">
        <v>1.6632247725189202E-3</v>
      </c>
      <c r="L630" t="s">
        <v>162</v>
      </c>
      <c r="N630" t="s">
        <v>296</v>
      </c>
      <c r="O630" t="s">
        <v>541</v>
      </c>
      <c r="P630">
        <v>3.189213596577904E-3</v>
      </c>
      <c r="Q630" t="s">
        <v>162</v>
      </c>
      <c r="S630" t="s">
        <v>408</v>
      </c>
      <c r="T630" t="s">
        <v>541</v>
      </c>
      <c r="U630">
        <v>3.8674122977508402E-3</v>
      </c>
      <c r="V630" t="s">
        <v>162</v>
      </c>
    </row>
    <row r="631" spans="9:22" x14ac:dyDescent="0.45">
      <c r="I631" t="s">
        <v>184</v>
      </c>
      <c r="J631" t="s">
        <v>542</v>
      </c>
      <c r="K631">
        <v>6.1351357120286235E-3</v>
      </c>
      <c r="L631" t="s">
        <v>162</v>
      </c>
      <c r="N631" t="s">
        <v>296</v>
      </c>
      <c r="O631" t="s">
        <v>542</v>
      </c>
      <c r="P631">
        <v>5.3290717304044421E-3</v>
      </c>
      <c r="Q631" t="s">
        <v>162</v>
      </c>
      <c r="S631" t="s">
        <v>408</v>
      </c>
      <c r="T631" t="s">
        <v>542</v>
      </c>
      <c r="U631">
        <v>7.6517139291269109E-3</v>
      </c>
      <c r="V631" t="s">
        <v>162</v>
      </c>
    </row>
    <row r="632" spans="9:22" x14ac:dyDescent="0.45">
      <c r="I632" t="s">
        <v>184</v>
      </c>
      <c r="J632" t="s">
        <v>543</v>
      </c>
      <c r="K632">
        <v>1.1867422921070821E-2</v>
      </c>
      <c r="L632" t="s">
        <v>162</v>
      </c>
      <c r="N632" t="s">
        <v>296</v>
      </c>
      <c r="O632" t="s">
        <v>543</v>
      </c>
      <c r="P632">
        <v>1.4982985210432401E-2</v>
      </c>
      <c r="Q632" t="s">
        <v>162</v>
      </c>
      <c r="S632" t="s">
        <v>408</v>
      </c>
      <c r="T632" t="s">
        <v>543</v>
      </c>
      <c r="U632">
        <v>1.9399153828638927E-2</v>
      </c>
      <c r="V632" t="s">
        <v>162</v>
      </c>
    </row>
    <row r="633" spans="9:22" x14ac:dyDescent="0.45">
      <c r="I633" t="s">
        <v>184</v>
      </c>
      <c r="J633" t="s">
        <v>544</v>
      </c>
      <c r="K633">
        <v>0</v>
      </c>
      <c r="L633" t="s">
        <v>162</v>
      </c>
      <c r="N633" t="s">
        <v>296</v>
      </c>
      <c r="O633" t="s">
        <v>544</v>
      </c>
      <c r="P633">
        <v>4.1997576838035027E-3</v>
      </c>
      <c r="Q633" t="s">
        <v>162</v>
      </c>
      <c r="S633" t="s">
        <v>408</v>
      </c>
      <c r="T633" t="s">
        <v>544</v>
      </c>
      <c r="U633">
        <v>3.97796166866758E-3</v>
      </c>
      <c r="V633" t="s">
        <v>162</v>
      </c>
    </row>
    <row r="634" spans="9:22" x14ac:dyDescent="0.45">
      <c r="I634" t="s">
        <v>184</v>
      </c>
      <c r="J634" t="s">
        <v>545</v>
      </c>
      <c r="K634">
        <v>0</v>
      </c>
      <c r="L634" t="s">
        <v>162</v>
      </c>
      <c r="N634" t="s">
        <v>296</v>
      </c>
      <c r="O634" t="s">
        <v>545</v>
      </c>
      <c r="P634">
        <v>2.5525236669177789E-2</v>
      </c>
      <c r="Q634" t="s">
        <v>162</v>
      </c>
      <c r="S634" t="s">
        <v>408</v>
      </c>
      <c r="T634" t="s">
        <v>545</v>
      </c>
      <c r="U634">
        <v>2.3573220781133553E-2</v>
      </c>
      <c r="V634" t="s">
        <v>162</v>
      </c>
    </row>
    <row r="635" spans="9:22" x14ac:dyDescent="0.45">
      <c r="I635" t="s">
        <v>184</v>
      </c>
      <c r="J635" t="s">
        <v>546</v>
      </c>
      <c r="K635">
        <v>0</v>
      </c>
      <c r="L635" t="s">
        <v>162</v>
      </c>
      <c r="N635" t="s">
        <v>296</v>
      </c>
      <c r="O635" t="s">
        <v>546</v>
      </c>
      <c r="P635">
        <v>3.9751067990371175E-2</v>
      </c>
      <c r="Q635" t="s">
        <v>162</v>
      </c>
      <c r="S635" t="s">
        <v>408</v>
      </c>
      <c r="T635" t="s">
        <v>546</v>
      </c>
      <c r="U635">
        <v>3.0749392504538956E-2</v>
      </c>
      <c r="V635" t="s">
        <v>162</v>
      </c>
    </row>
    <row r="636" spans="9:22" x14ac:dyDescent="0.45">
      <c r="I636" t="s">
        <v>184</v>
      </c>
      <c r="J636" t="s">
        <v>547</v>
      </c>
      <c r="K636">
        <v>2.3370794011650978E-3</v>
      </c>
      <c r="L636" t="s">
        <v>162</v>
      </c>
      <c r="N636" t="s">
        <v>296</v>
      </c>
      <c r="O636" t="s">
        <v>547</v>
      </c>
      <c r="P636">
        <v>4.5929156375756376E-3</v>
      </c>
      <c r="Q636" t="s">
        <v>162</v>
      </c>
      <c r="S636" t="s">
        <v>408</v>
      </c>
      <c r="T636" t="s">
        <v>547</v>
      </c>
      <c r="U636">
        <v>3.6819127753082753E-3</v>
      </c>
      <c r="V636" t="s">
        <v>162</v>
      </c>
    </row>
    <row r="637" spans="9:22" x14ac:dyDescent="0.45">
      <c r="I637" t="s">
        <v>184</v>
      </c>
      <c r="J637" t="s">
        <v>548</v>
      </c>
      <c r="K637">
        <v>1.0286332435036599E-2</v>
      </c>
      <c r="L637" t="s">
        <v>162</v>
      </c>
      <c r="N637" t="s">
        <v>296</v>
      </c>
      <c r="O637" t="s">
        <v>548</v>
      </c>
      <c r="P637">
        <v>8.5082171443624389E-3</v>
      </c>
      <c r="Q637" t="s">
        <v>162</v>
      </c>
      <c r="S637" t="s">
        <v>408</v>
      </c>
      <c r="T637" t="s">
        <v>548</v>
      </c>
      <c r="U637">
        <v>7.4169200473459349E-3</v>
      </c>
      <c r="V637" t="s">
        <v>162</v>
      </c>
    </row>
    <row r="638" spans="9:22" x14ac:dyDescent="0.45">
      <c r="I638" t="s">
        <v>184</v>
      </c>
      <c r="J638" t="s">
        <v>549</v>
      </c>
      <c r="K638">
        <v>2.3239160672124084E-2</v>
      </c>
      <c r="L638" t="s">
        <v>162</v>
      </c>
      <c r="N638" t="s">
        <v>296</v>
      </c>
      <c r="O638" t="s">
        <v>549</v>
      </c>
      <c r="P638">
        <v>2.0174888280463321E-2</v>
      </c>
      <c r="Q638" t="s">
        <v>162</v>
      </c>
      <c r="S638" t="s">
        <v>408</v>
      </c>
      <c r="T638" t="s">
        <v>549</v>
      </c>
      <c r="U638">
        <v>1.7976057683103754E-2</v>
      </c>
      <c r="V638" t="s">
        <v>162</v>
      </c>
    </row>
    <row r="639" spans="9:22" x14ac:dyDescent="0.45">
      <c r="I639" t="s">
        <v>184</v>
      </c>
      <c r="J639" t="s">
        <v>550</v>
      </c>
      <c r="K639">
        <v>0</v>
      </c>
      <c r="L639" t="s">
        <v>162</v>
      </c>
      <c r="N639" t="s">
        <v>296</v>
      </c>
      <c r="O639" t="s">
        <v>550</v>
      </c>
      <c r="P639">
        <v>4.6532430773857103E-3</v>
      </c>
      <c r="Q639" t="s">
        <v>162</v>
      </c>
      <c r="S639" t="s">
        <v>408</v>
      </c>
      <c r="T639" t="s">
        <v>550</v>
      </c>
      <c r="U639">
        <v>3.4259079039050677E-3</v>
      </c>
      <c r="V639" t="s">
        <v>162</v>
      </c>
    </row>
    <row r="640" spans="9:22" x14ac:dyDescent="0.45">
      <c r="I640" t="s">
        <v>184</v>
      </c>
      <c r="J640" t="s">
        <v>551</v>
      </c>
      <c r="K640">
        <v>0</v>
      </c>
      <c r="L640" t="s">
        <v>162</v>
      </c>
      <c r="N640" t="s">
        <v>296</v>
      </c>
      <c r="O640" t="s">
        <v>551</v>
      </c>
      <c r="P640">
        <v>2.7374019728942784E-2</v>
      </c>
      <c r="Q640" t="s">
        <v>162</v>
      </c>
      <c r="S640" t="s">
        <v>408</v>
      </c>
      <c r="T640" t="s">
        <v>551</v>
      </c>
      <c r="U640">
        <v>2.083794976446357E-2</v>
      </c>
      <c r="V640" t="s">
        <v>162</v>
      </c>
    </row>
    <row r="641" spans="9:22" x14ac:dyDescent="0.45">
      <c r="I641" t="s">
        <v>185</v>
      </c>
      <c r="J641" t="s">
        <v>161</v>
      </c>
      <c r="K641">
        <v>0</v>
      </c>
      <c r="L641" t="s">
        <v>162</v>
      </c>
      <c r="N641" t="s">
        <v>297</v>
      </c>
      <c r="O641" t="s">
        <v>161</v>
      </c>
      <c r="P641">
        <v>3.7538192570708069E-2</v>
      </c>
      <c r="Q641" t="s">
        <v>162</v>
      </c>
      <c r="S641" t="s">
        <v>409</v>
      </c>
      <c r="T641" t="s">
        <v>161</v>
      </c>
      <c r="U641">
        <v>3.0561040447676976E-2</v>
      </c>
      <c r="V641" t="s">
        <v>162</v>
      </c>
    </row>
    <row r="642" spans="9:22" x14ac:dyDescent="0.45">
      <c r="I642" t="s">
        <v>185</v>
      </c>
      <c r="J642" t="s">
        <v>163</v>
      </c>
      <c r="K642">
        <v>9.8748132084753074E-4</v>
      </c>
      <c r="L642" t="s">
        <v>162</v>
      </c>
      <c r="N642" t="s">
        <v>297</v>
      </c>
      <c r="O642" t="s">
        <v>163</v>
      </c>
      <c r="P642">
        <v>4.0378533280884723E-3</v>
      </c>
      <c r="Q642" t="s">
        <v>162</v>
      </c>
      <c r="S642" t="s">
        <v>409</v>
      </c>
      <c r="T642" t="s">
        <v>163</v>
      </c>
      <c r="U642">
        <v>3.3641234323937819E-3</v>
      </c>
      <c r="V642" t="s">
        <v>162</v>
      </c>
    </row>
    <row r="643" spans="9:22" x14ac:dyDescent="0.45">
      <c r="I643" t="s">
        <v>185</v>
      </c>
      <c r="J643" t="s">
        <v>164</v>
      </c>
      <c r="K643">
        <v>8.0868632080775861E-3</v>
      </c>
      <c r="L643" t="s">
        <v>162</v>
      </c>
      <c r="N643" t="s">
        <v>297</v>
      </c>
      <c r="O643" t="s">
        <v>164</v>
      </c>
      <c r="P643">
        <v>6.805335356295775E-3</v>
      </c>
      <c r="Q643" t="s">
        <v>162</v>
      </c>
      <c r="S643" t="s">
        <v>409</v>
      </c>
      <c r="T643" t="s">
        <v>164</v>
      </c>
      <c r="U643">
        <v>6.7492368890493398E-3</v>
      </c>
      <c r="V643" t="s">
        <v>162</v>
      </c>
    </row>
    <row r="644" spans="9:22" x14ac:dyDescent="0.45">
      <c r="I644" t="s">
        <v>185</v>
      </c>
      <c r="J644" t="s">
        <v>519</v>
      </c>
      <c r="K644">
        <v>2.391304563529071E-2</v>
      </c>
      <c r="L644" t="s">
        <v>162</v>
      </c>
      <c r="N644" t="s">
        <v>297</v>
      </c>
      <c r="O644" t="s">
        <v>519</v>
      </c>
      <c r="P644">
        <v>1.3748409151901488E-2</v>
      </c>
      <c r="Q644" t="s">
        <v>162</v>
      </c>
      <c r="S644" t="s">
        <v>409</v>
      </c>
      <c r="T644" t="s">
        <v>519</v>
      </c>
      <c r="U644">
        <v>1.79852091183508E-2</v>
      </c>
      <c r="V644" t="s">
        <v>162</v>
      </c>
    </row>
    <row r="645" spans="9:22" x14ac:dyDescent="0.45">
      <c r="I645" t="s">
        <v>185</v>
      </c>
      <c r="J645" t="s">
        <v>520</v>
      </c>
      <c r="K645">
        <v>3.9767769269018324E-4</v>
      </c>
      <c r="L645" t="s">
        <v>162</v>
      </c>
      <c r="N645" t="s">
        <v>297</v>
      </c>
      <c r="O645" t="s">
        <v>520</v>
      </c>
      <c r="P645">
        <v>3.0722667259057979E-3</v>
      </c>
      <c r="Q645" t="s">
        <v>162</v>
      </c>
      <c r="S645" t="s">
        <v>409</v>
      </c>
      <c r="T645" t="s">
        <v>520</v>
      </c>
      <c r="U645">
        <v>3.8758019983838716E-3</v>
      </c>
      <c r="V645" t="s">
        <v>162</v>
      </c>
    </row>
    <row r="646" spans="9:22" x14ac:dyDescent="0.45">
      <c r="I646" t="s">
        <v>185</v>
      </c>
      <c r="J646" t="s">
        <v>521</v>
      </c>
      <c r="K646">
        <v>0</v>
      </c>
      <c r="L646" t="s">
        <v>162</v>
      </c>
      <c r="N646" t="s">
        <v>297</v>
      </c>
      <c r="O646" t="s">
        <v>521</v>
      </c>
      <c r="P646">
        <v>1.8615589622065176E-2</v>
      </c>
      <c r="Q646" t="s">
        <v>162</v>
      </c>
      <c r="S646" t="s">
        <v>409</v>
      </c>
      <c r="T646" t="s">
        <v>521</v>
      </c>
      <c r="U646">
        <v>2.3922671261887744E-2</v>
      </c>
      <c r="V646" t="s">
        <v>162</v>
      </c>
    </row>
    <row r="647" spans="9:22" x14ac:dyDescent="0.45">
      <c r="I647" t="s">
        <v>185</v>
      </c>
      <c r="J647" t="s">
        <v>165</v>
      </c>
      <c r="K647">
        <v>8.5623650910157476E-3</v>
      </c>
      <c r="L647" t="s">
        <v>162</v>
      </c>
      <c r="N647" t="s">
        <v>297</v>
      </c>
      <c r="O647" t="s">
        <v>165</v>
      </c>
      <c r="P647">
        <v>6.6247508881555742E-2</v>
      </c>
      <c r="Q647" t="s">
        <v>162</v>
      </c>
      <c r="S647" t="s">
        <v>409</v>
      </c>
      <c r="T647" t="s">
        <v>165</v>
      </c>
      <c r="U647">
        <v>5.1173454179583668E-2</v>
      </c>
      <c r="V647" t="s">
        <v>162</v>
      </c>
    </row>
    <row r="648" spans="9:22" x14ac:dyDescent="0.45">
      <c r="I648" t="s">
        <v>185</v>
      </c>
      <c r="J648" t="s">
        <v>166</v>
      </c>
      <c r="K648">
        <v>1.3677919433970013E-2</v>
      </c>
      <c r="L648" t="s">
        <v>162</v>
      </c>
      <c r="N648" t="s">
        <v>297</v>
      </c>
      <c r="O648" t="s">
        <v>166</v>
      </c>
      <c r="P648">
        <v>5.6356115442530892E-3</v>
      </c>
      <c r="Q648" t="s">
        <v>162</v>
      </c>
      <c r="S648" t="s">
        <v>409</v>
      </c>
      <c r="T648" t="s">
        <v>166</v>
      </c>
      <c r="U648">
        <v>5.6937286540304499E-3</v>
      </c>
      <c r="V648" t="s">
        <v>162</v>
      </c>
    </row>
    <row r="649" spans="9:22" x14ac:dyDescent="0.45">
      <c r="I649" t="s">
        <v>185</v>
      </c>
      <c r="J649" t="s">
        <v>167</v>
      </c>
      <c r="K649">
        <v>3.8185836255803671E-2</v>
      </c>
      <c r="L649" t="s">
        <v>162</v>
      </c>
      <c r="N649" t="s">
        <v>297</v>
      </c>
      <c r="O649" t="s">
        <v>167</v>
      </c>
      <c r="P649">
        <v>8.8083718858287304E-3</v>
      </c>
      <c r="Q649" t="s">
        <v>162</v>
      </c>
      <c r="S649" t="s">
        <v>409</v>
      </c>
      <c r="T649" t="s">
        <v>167</v>
      </c>
      <c r="U649">
        <v>1.1038610235734436E-2</v>
      </c>
      <c r="V649" t="s">
        <v>162</v>
      </c>
    </row>
    <row r="650" spans="9:22" x14ac:dyDescent="0.45">
      <c r="I650" t="s">
        <v>185</v>
      </c>
      <c r="J650" t="s">
        <v>522</v>
      </c>
      <c r="K650">
        <v>9.2251903272778255E-2</v>
      </c>
      <c r="L650" t="s">
        <v>162</v>
      </c>
      <c r="N650" t="s">
        <v>297</v>
      </c>
      <c r="O650" t="s">
        <v>522</v>
      </c>
      <c r="P650">
        <v>2.0150649470111404E-2</v>
      </c>
      <c r="Q650" t="s">
        <v>162</v>
      </c>
      <c r="S650" t="s">
        <v>409</v>
      </c>
      <c r="T650" t="s">
        <v>522</v>
      </c>
      <c r="U650">
        <v>2.8024929817340349E-2</v>
      </c>
      <c r="V650" t="s">
        <v>162</v>
      </c>
    </row>
    <row r="651" spans="9:22" x14ac:dyDescent="0.45">
      <c r="I651" t="s">
        <v>185</v>
      </c>
      <c r="J651" t="s">
        <v>523</v>
      </c>
      <c r="K651">
        <v>1.1249488241202612E-2</v>
      </c>
      <c r="L651" t="s">
        <v>162</v>
      </c>
      <c r="N651" t="s">
        <v>297</v>
      </c>
      <c r="O651" t="s">
        <v>523</v>
      </c>
      <c r="P651">
        <v>5.9637716130048037E-3</v>
      </c>
      <c r="Q651" t="s">
        <v>162</v>
      </c>
      <c r="S651" t="s">
        <v>409</v>
      </c>
      <c r="T651" t="s">
        <v>523</v>
      </c>
      <c r="U651">
        <v>5.9806532326621307E-3</v>
      </c>
      <c r="V651" t="s">
        <v>162</v>
      </c>
    </row>
    <row r="652" spans="9:22" x14ac:dyDescent="0.45">
      <c r="I652" t="s">
        <v>185</v>
      </c>
      <c r="J652" t="s">
        <v>524</v>
      </c>
      <c r="K652">
        <v>3.9263688356915207E-3</v>
      </c>
      <c r="L652" t="s">
        <v>162</v>
      </c>
      <c r="N652" t="s">
        <v>297</v>
      </c>
      <c r="O652" t="s">
        <v>524</v>
      </c>
      <c r="P652">
        <v>4.2964292006723248E-2</v>
      </c>
      <c r="Q652" t="s">
        <v>162</v>
      </c>
      <c r="S652" t="s">
        <v>409</v>
      </c>
      <c r="T652" t="s">
        <v>524</v>
      </c>
      <c r="U652">
        <v>3.6491989242021024E-2</v>
      </c>
      <c r="V652" t="s">
        <v>162</v>
      </c>
    </row>
    <row r="653" spans="9:22" x14ac:dyDescent="0.45">
      <c r="I653" t="s">
        <v>185</v>
      </c>
      <c r="J653" t="s">
        <v>168</v>
      </c>
      <c r="K653">
        <v>1.1666035437363937E-2</v>
      </c>
      <c r="L653" t="s">
        <v>162</v>
      </c>
      <c r="N653" t="s">
        <v>297</v>
      </c>
      <c r="O653" t="s">
        <v>168</v>
      </c>
      <c r="P653">
        <v>3.8865593416430706E-2</v>
      </c>
      <c r="Q653" t="s">
        <v>162</v>
      </c>
      <c r="S653" t="s">
        <v>409</v>
      </c>
      <c r="T653" t="s">
        <v>168</v>
      </c>
      <c r="U653">
        <v>3.212937459716933E-2</v>
      </c>
      <c r="V653" t="s">
        <v>162</v>
      </c>
    </row>
    <row r="654" spans="9:22" x14ac:dyDescent="0.45">
      <c r="I654" t="s">
        <v>185</v>
      </c>
      <c r="J654" t="s">
        <v>169</v>
      </c>
      <c r="K654">
        <v>8.8085201746642139E-3</v>
      </c>
      <c r="L654" t="s">
        <v>162</v>
      </c>
      <c r="N654" t="s">
        <v>297</v>
      </c>
      <c r="O654" t="s">
        <v>169</v>
      </c>
      <c r="P654">
        <v>3.2091767686032689E-3</v>
      </c>
      <c r="Q654" t="s">
        <v>162</v>
      </c>
      <c r="S654" t="s">
        <v>409</v>
      </c>
      <c r="T654" t="s">
        <v>169</v>
      </c>
      <c r="U654">
        <v>3.5464030631191436E-3</v>
      </c>
      <c r="V654" t="s">
        <v>162</v>
      </c>
    </row>
    <row r="655" spans="9:22" x14ac:dyDescent="0.45">
      <c r="I655" t="s">
        <v>185</v>
      </c>
      <c r="J655" t="s">
        <v>170</v>
      </c>
      <c r="K655">
        <v>2.1828680734986269E-2</v>
      </c>
      <c r="L655" t="s">
        <v>162</v>
      </c>
      <c r="N655" t="s">
        <v>297</v>
      </c>
      <c r="O655" t="s">
        <v>170</v>
      </c>
      <c r="P655">
        <v>7.6623430195027461E-3</v>
      </c>
      <c r="Q655" t="s">
        <v>162</v>
      </c>
      <c r="S655" t="s">
        <v>409</v>
      </c>
      <c r="T655" t="s">
        <v>170</v>
      </c>
      <c r="U655">
        <v>6.8479428145343836E-3</v>
      </c>
      <c r="V655" t="s">
        <v>162</v>
      </c>
    </row>
    <row r="656" spans="9:22" x14ac:dyDescent="0.45">
      <c r="I656" t="s">
        <v>185</v>
      </c>
      <c r="J656" t="s">
        <v>525</v>
      </c>
      <c r="K656">
        <v>5.1870724997939724E-2</v>
      </c>
      <c r="L656" t="s">
        <v>162</v>
      </c>
      <c r="N656" t="s">
        <v>297</v>
      </c>
      <c r="O656" t="s">
        <v>525</v>
      </c>
      <c r="P656">
        <v>2.1936367959792088E-2</v>
      </c>
      <c r="Q656" t="s">
        <v>162</v>
      </c>
      <c r="S656" t="s">
        <v>409</v>
      </c>
      <c r="T656" t="s">
        <v>525</v>
      </c>
      <c r="U656">
        <v>1.7355506468636497E-2</v>
      </c>
      <c r="V656" t="s">
        <v>162</v>
      </c>
    </row>
    <row r="657" spans="9:22" x14ac:dyDescent="0.45">
      <c r="I657" t="s">
        <v>185</v>
      </c>
      <c r="J657" t="s">
        <v>526</v>
      </c>
      <c r="K657">
        <v>7.2024502903790949E-3</v>
      </c>
      <c r="L657" t="s">
        <v>162</v>
      </c>
      <c r="N657" t="s">
        <v>297</v>
      </c>
      <c r="O657" t="s">
        <v>526</v>
      </c>
      <c r="P657">
        <v>3.8924193952662943E-3</v>
      </c>
      <c r="Q657" t="s">
        <v>162</v>
      </c>
      <c r="S657" t="s">
        <v>409</v>
      </c>
      <c r="T657" t="s">
        <v>526</v>
      </c>
      <c r="U657">
        <v>3.5808381831451135E-3</v>
      </c>
      <c r="V657" t="s">
        <v>162</v>
      </c>
    </row>
    <row r="658" spans="9:22" x14ac:dyDescent="0.45">
      <c r="I658" t="s">
        <v>185</v>
      </c>
      <c r="J658" t="s">
        <v>527</v>
      </c>
      <c r="K658">
        <v>7.805160476691754E-3</v>
      </c>
      <c r="L658" t="s">
        <v>162</v>
      </c>
      <c r="N658" t="s">
        <v>297</v>
      </c>
      <c r="O658" t="s">
        <v>527</v>
      </c>
      <c r="P658">
        <v>2.8121556000893649E-2</v>
      </c>
      <c r="Q658" t="s">
        <v>162</v>
      </c>
      <c r="S658" t="s">
        <v>409</v>
      </c>
      <c r="T658" t="s">
        <v>527</v>
      </c>
      <c r="U658">
        <v>2.1724877632182591E-2</v>
      </c>
      <c r="V658" t="s">
        <v>162</v>
      </c>
    </row>
    <row r="659" spans="9:22" x14ac:dyDescent="0.45">
      <c r="I659" t="s">
        <v>185</v>
      </c>
      <c r="J659" t="s">
        <v>528</v>
      </c>
      <c r="K659">
        <v>7.1709375978939408E-2</v>
      </c>
      <c r="L659" t="s">
        <v>162</v>
      </c>
      <c r="N659" t="s">
        <v>297</v>
      </c>
      <c r="O659" t="s">
        <v>528</v>
      </c>
      <c r="P659">
        <v>8.0459997543773087E-2</v>
      </c>
      <c r="Q659" t="s">
        <v>162</v>
      </c>
      <c r="S659" t="s">
        <v>409</v>
      </c>
      <c r="T659" t="s">
        <v>528</v>
      </c>
      <c r="U659">
        <v>8.6404282309317432E-2</v>
      </c>
      <c r="V659" t="s">
        <v>162</v>
      </c>
    </row>
    <row r="660" spans="9:22" x14ac:dyDescent="0.45">
      <c r="I660" t="s">
        <v>185</v>
      </c>
      <c r="J660" t="s">
        <v>529</v>
      </c>
      <c r="K660">
        <v>3.2897407565452425E-2</v>
      </c>
      <c r="L660" t="s">
        <v>162</v>
      </c>
      <c r="N660" t="s">
        <v>297</v>
      </c>
      <c r="O660" t="s">
        <v>529</v>
      </c>
      <c r="P660">
        <v>5.9091601825960261E-3</v>
      </c>
      <c r="Q660" t="s">
        <v>162</v>
      </c>
      <c r="S660" t="s">
        <v>409</v>
      </c>
      <c r="T660" t="s">
        <v>529</v>
      </c>
      <c r="U660">
        <v>8.7536856815595716E-3</v>
      </c>
      <c r="V660" t="s">
        <v>162</v>
      </c>
    </row>
    <row r="661" spans="9:22" x14ac:dyDescent="0.45">
      <c r="I661" t="s">
        <v>185</v>
      </c>
      <c r="J661" t="s">
        <v>530</v>
      </c>
      <c r="K661">
        <v>7.259022717258358E-2</v>
      </c>
      <c r="L661" t="s">
        <v>162</v>
      </c>
      <c r="N661" t="s">
        <v>297</v>
      </c>
      <c r="O661" t="s">
        <v>530</v>
      </c>
      <c r="P661">
        <v>1.3663299516850039E-2</v>
      </c>
      <c r="Q661" t="s">
        <v>162</v>
      </c>
      <c r="S661" t="s">
        <v>409</v>
      </c>
      <c r="T661" t="s">
        <v>530</v>
      </c>
      <c r="U661">
        <v>1.7941084181440317E-2</v>
      </c>
      <c r="V661" t="s">
        <v>162</v>
      </c>
    </row>
    <row r="662" spans="9:22" x14ac:dyDescent="0.45">
      <c r="I662" t="s">
        <v>185</v>
      </c>
      <c r="J662" t="s">
        <v>531</v>
      </c>
      <c r="K662">
        <v>0.17464338870762461</v>
      </c>
      <c r="L662" t="s">
        <v>162</v>
      </c>
      <c r="N662" t="s">
        <v>297</v>
      </c>
      <c r="O662" t="s">
        <v>531</v>
      </c>
      <c r="P662">
        <v>3.6567362393384914E-2</v>
      </c>
      <c r="Q662" t="s">
        <v>162</v>
      </c>
      <c r="S662" t="s">
        <v>409</v>
      </c>
      <c r="T662" t="s">
        <v>531</v>
      </c>
      <c r="U662">
        <v>4.8194359350123339E-2</v>
      </c>
      <c r="V662" t="s">
        <v>162</v>
      </c>
    </row>
    <row r="663" spans="9:22" x14ac:dyDescent="0.45">
      <c r="I663" t="s">
        <v>185</v>
      </c>
      <c r="J663" t="s">
        <v>532</v>
      </c>
      <c r="K663">
        <v>2.8031365799052445E-2</v>
      </c>
      <c r="L663" t="s">
        <v>162</v>
      </c>
      <c r="N663" t="s">
        <v>297</v>
      </c>
      <c r="O663" t="s">
        <v>532</v>
      </c>
      <c r="P663">
        <v>6.8465708156218909E-3</v>
      </c>
      <c r="Q663" t="s">
        <v>162</v>
      </c>
      <c r="S663" t="s">
        <v>409</v>
      </c>
      <c r="T663" t="s">
        <v>532</v>
      </c>
      <c r="U663">
        <v>1.0024347071188903E-2</v>
      </c>
      <c r="V663" t="s">
        <v>162</v>
      </c>
    </row>
    <row r="664" spans="9:22" x14ac:dyDescent="0.45">
      <c r="I664" t="s">
        <v>185</v>
      </c>
      <c r="J664" t="s">
        <v>533</v>
      </c>
      <c r="K664">
        <v>4.9698546051569682E-2</v>
      </c>
      <c r="L664" t="s">
        <v>162</v>
      </c>
      <c r="N664" t="s">
        <v>297</v>
      </c>
      <c r="O664" t="s">
        <v>533</v>
      </c>
      <c r="P664">
        <v>5.6709630204531479E-2</v>
      </c>
      <c r="Q664" t="s">
        <v>162</v>
      </c>
      <c r="S664" t="s">
        <v>409</v>
      </c>
      <c r="T664" t="s">
        <v>533</v>
      </c>
      <c r="U664">
        <v>6.114592388104282E-2</v>
      </c>
      <c r="V664" t="s">
        <v>162</v>
      </c>
    </row>
    <row r="665" spans="9:22" x14ac:dyDescent="0.45">
      <c r="I665" t="s">
        <v>185</v>
      </c>
      <c r="J665" t="s">
        <v>534</v>
      </c>
      <c r="K665">
        <v>2.0237745165531541E-2</v>
      </c>
      <c r="L665" t="s">
        <v>162</v>
      </c>
      <c r="N665" t="s">
        <v>297</v>
      </c>
      <c r="O665" t="s">
        <v>534</v>
      </c>
      <c r="P665">
        <v>0.11207877490565432</v>
      </c>
      <c r="Q665" t="s">
        <v>162</v>
      </c>
      <c r="S665" t="s">
        <v>409</v>
      </c>
      <c r="T665" t="s">
        <v>534</v>
      </c>
      <c r="U665">
        <v>0.10163293744811817</v>
      </c>
      <c r="V665" t="s">
        <v>162</v>
      </c>
    </row>
    <row r="666" spans="9:22" x14ac:dyDescent="0.45">
      <c r="I666" t="s">
        <v>185</v>
      </c>
      <c r="J666" t="s">
        <v>535</v>
      </c>
      <c r="K666">
        <v>1.6873453640187164E-2</v>
      </c>
      <c r="L666" t="s">
        <v>162</v>
      </c>
      <c r="N666" t="s">
        <v>297</v>
      </c>
      <c r="O666" t="s">
        <v>535</v>
      </c>
      <c r="P666">
        <v>8.109877757324184E-3</v>
      </c>
      <c r="Q666" t="s">
        <v>162</v>
      </c>
      <c r="S666" t="s">
        <v>409</v>
      </c>
      <c r="T666" t="s">
        <v>535</v>
      </c>
      <c r="U666">
        <v>1.1023283928171394E-2</v>
      </c>
      <c r="V666" t="s">
        <v>162</v>
      </c>
    </row>
    <row r="667" spans="9:22" x14ac:dyDescent="0.45">
      <c r="I667" t="s">
        <v>185</v>
      </c>
      <c r="J667" t="s">
        <v>536</v>
      </c>
      <c r="K667">
        <v>4.0880614588020441E-2</v>
      </c>
      <c r="L667" t="s">
        <v>162</v>
      </c>
      <c r="N667" t="s">
        <v>297</v>
      </c>
      <c r="O667" t="s">
        <v>536</v>
      </c>
      <c r="P667">
        <v>1.6111858607022075E-2</v>
      </c>
      <c r="Q667" t="s">
        <v>162</v>
      </c>
      <c r="S667" t="s">
        <v>409</v>
      </c>
      <c r="T667" t="s">
        <v>536</v>
      </c>
      <c r="U667">
        <v>2.2581543429633588E-2</v>
      </c>
      <c r="V667" t="s">
        <v>162</v>
      </c>
    </row>
    <row r="668" spans="9:22" x14ac:dyDescent="0.45">
      <c r="I668" t="s">
        <v>185</v>
      </c>
      <c r="J668" t="s">
        <v>537</v>
      </c>
      <c r="K668">
        <v>9.7058460341010303E-2</v>
      </c>
      <c r="L668" t="s">
        <v>162</v>
      </c>
      <c r="N668" t="s">
        <v>297</v>
      </c>
      <c r="O668" t="s">
        <v>537</v>
      </c>
      <c r="P668">
        <v>4.6205335975471953E-2</v>
      </c>
      <c r="Q668" t="s">
        <v>162</v>
      </c>
      <c r="S668" t="s">
        <v>409</v>
      </c>
      <c r="T668" t="s">
        <v>537</v>
      </c>
      <c r="U668">
        <v>5.7856051654362507E-2</v>
      </c>
      <c r="V668" t="s">
        <v>162</v>
      </c>
    </row>
    <row r="669" spans="9:22" x14ac:dyDescent="0.45">
      <c r="I669" t="s">
        <v>185</v>
      </c>
      <c r="J669" t="s">
        <v>538</v>
      </c>
      <c r="K669">
        <v>1.2669139160538676E-2</v>
      </c>
      <c r="L669" t="s">
        <v>162</v>
      </c>
      <c r="N669" t="s">
        <v>297</v>
      </c>
      <c r="O669" t="s">
        <v>538</v>
      </c>
      <c r="P669">
        <v>9.7878652796064142E-3</v>
      </c>
      <c r="Q669" t="s">
        <v>162</v>
      </c>
      <c r="S669" t="s">
        <v>409</v>
      </c>
      <c r="T669" t="s">
        <v>538</v>
      </c>
      <c r="U669">
        <v>1.1760913170079507E-2</v>
      </c>
      <c r="V669" t="s">
        <v>162</v>
      </c>
    </row>
    <row r="670" spans="9:22" x14ac:dyDescent="0.45">
      <c r="I670" t="s">
        <v>185</v>
      </c>
      <c r="J670" t="s">
        <v>539</v>
      </c>
      <c r="K670">
        <v>1.1164101817649338E-2</v>
      </c>
      <c r="L670" t="s">
        <v>162</v>
      </c>
      <c r="N670" t="s">
        <v>297</v>
      </c>
      <c r="O670" t="s">
        <v>539</v>
      </c>
      <c r="P670">
        <v>7.7164615003243578E-2</v>
      </c>
      <c r="Q670" t="s">
        <v>162</v>
      </c>
      <c r="S670" t="s">
        <v>409</v>
      </c>
      <c r="T670" t="s">
        <v>539</v>
      </c>
      <c r="U670">
        <v>7.319055429466724E-2</v>
      </c>
      <c r="V670" t="s">
        <v>162</v>
      </c>
    </row>
    <row r="671" spans="9:22" x14ac:dyDescent="0.45">
      <c r="I671" t="s">
        <v>185</v>
      </c>
      <c r="J671" t="s">
        <v>540</v>
      </c>
      <c r="K671">
        <v>3.2556736940118246E-4</v>
      </c>
      <c r="L671" t="s">
        <v>162</v>
      </c>
      <c r="N671" t="s">
        <v>297</v>
      </c>
      <c r="O671" t="s">
        <v>540</v>
      </c>
      <c r="P671">
        <v>3.7509988482069379E-2</v>
      </c>
      <c r="Q671" t="s">
        <v>162</v>
      </c>
      <c r="S671" t="s">
        <v>409</v>
      </c>
      <c r="T671" t="s">
        <v>540</v>
      </c>
      <c r="U671">
        <v>3.5356817985537067E-2</v>
      </c>
      <c r="V671" t="s">
        <v>162</v>
      </c>
    </row>
    <row r="672" spans="9:22" x14ac:dyDescent="0.45">
      <c r="I672" t="s">
        <v>185</v>
      </c>
      <c r="J672" t="s">
        <v>541</v>
      </c>
      <c r="K672">
        <v>1.7362273330574106E-3</v>
      </c>
      <c r="L672" t="s">
        <v>162</v>
      </c>
      <c r="N672" t="s">
        <v>297</v>
      </c>
      <c r="O672" t="s">
        <v>541</v>
      </c>
      <c r="P672">
        <v>3.50594151419663E-3</v>
      </c>
      <c r="Q672" t="s">
        <v>162</v>
      </c>
      <c r="S672" t="s">
        <v>409</v>
      </c>
      <c r="T672" t="s">
        <v>541</v>
      </c>
      <c r="U672">
        <v>3.7717161519888603E-3</v>
      </c>
      <c r="V672" t="s">
        <v>162</v>
      </c>
    </row>
    <row r="673" spans="9:22" x14ac:dyDescent="0.45">
      <c r="I673" t="s">
        <v>185</v>
      </c>
      <c r="J673" t="s">
        <v>542</v>
      </c>
      <c r="K673">
        <v>7.6260105210948729E-3</v>
      </c>
      <c r="L673" t="s">
        <v>162</v>
      </c>
      <c r="N673" t="s">
        <v>297</v>
      </c>
      <c r="O673" t="s">
        <v>542</v>
      </c>
      <c r="P673">
        <v>5.5214741939223549E-3</v>
      </c>
      <c r="Q673" t="s">
        <v>162</v>
      </c>
      <c r="S673" t="s">
        <v>409</v>
      </c>
      <c r="T673" t="s">
        <v>542</v>
      </c>
      <c r="U673">
        <v>7.4966905996402136E-3</v>
      </c>
      <c r="V673" t="s">
        <v>162</v>
      </c>
    </row>
    <row r="674" spans="9:22" x14ac:dyDescent="0.45">
      <c r="I674" t="s">
        <v>185</v>
      </c>
      <c r="J674" t="s">
        <v>543</v>
      </c>
      <c r="K674">
        <v>1.7763121513021101E-2</v>
      </c>
      <c r="L674" t="s">
        <v>162</v>
      </c>
      <c r="N674" t="s">
        <v>297</v>
      </c>
      <c r="O674" t="s">
        <v>543</v>
      </c>
      <c r="P674">
        <v>1.4571313095501659E-2</v>
      </c>
      <c r="Q674" t="s">
        <v>162</v>
      </c>
      <c r="S674" t="s">
        <v>409</v>
      </c>
      <c r="T674" t="s">
        <v>543</v>
      </c>
      <c r="U674">
        <v>1.8964204702538016E-2</v>
      </c>
      <c r="V674" t="s">
        <v>162</v>
      </c>
    </row>
    <row r="675" spans="9:22" x14ac:dyDescent="0.45">
      <c r="I675" t="s">
        <v>185</v>
      </c>
      <c r="J675" t="s">
        <v>544</v>
      </c>
      <c r="K675">
        <v>4.4476387716373403E-6</v>
      </c>
      <c r="L675" t="s">
        <v>162</v>
      </c>
      <c r="N675" t="s">
        <v>297</v>
      </c>
      <c r="O675" t="s">
        <v>544</v>
      </c>
      <c r="P675">
        <v>4.2893878502960631E-3</v>
      </c>
      <c r="Q675" t="s">
        <v>162</v>
      </c>
      <c r="S675" t="s">
        <v>409</v>
      </c>
      <c r="T675" t="s">
        <v>544</v>
      </c>
      <c r="U675">
        <v>3.8614554920902407E-3</v>
      </c>
      <c r="V675" t="s">
        <v>162</v>
      </c>
    </row>
    <row r="676" spans="9:22" x14ac:dyDescent="0.45">
      <c r="I676" t="s">
        <v>185</v>
      </c>
      <c r="J676" t="s">
        <v>545</v>
      </c>
      <c r="K676">
        <v>0</v>
      </c>
      <c r="L676" t="s">
        <v>162</v>
      </c>
      <c r="N676" t="s">
        <v>297</v>
      </c>
      <c r="O676" t="s">
        <v>545</v>
      </c>
      <c r="P676">
        <v>2.7336110836072288E-2</v>
      </c>
      <c r="Q676" t="s">
        <v>162</v>
      </c>
      <c r="S676" t="s">
        <v>409</v>
      </c>
      <c r="T676" t="s">
        <v>545</v>
      </c>
      <c r="U676">
        <v>2.3412973566241842E-2</v>
      </c>
      <c r="V676" t="s">
        <v>162</v>
      </c>
    </row>
    <row r="677" spans="9:22" x14ac:dyDescent="0.45">
      <c r="I677" t="s">
        <v>185</v>
      </c>
      <c r="J677" t="s">
        <v>546</v>
      </c>
      <c r="K677">
        <v>0</v>
      </c>
      <c r="L677" t="s">
        <v>162</v>
      </c>
      <c r="N677" t="s">
        <v>297</v>
      </c>
      <c r="O677" t="s">
        <v>546</v>
      </c>
      <c r="P677">
        <v>3.7935876387587782E-2</v>
      </c>
      <c r="Q677" t="s">
        <v>162</v>
      </c>
      <c r="S677" t="s">
        <v>409</v>
      </c>
      <c r="T677" t="s">
        <v>546</v>
      </c>
      <c r="U677">
        <v>3.2984280945950149E-2</v>
      </c>
      <c r="V677" t="s">
        <v>162</v>
      </c>
    </row>
    <row r="678" spans="9:22" x14ac:dyDescent="0.45">
      <c r="I678" t="s">
        <v>185</v>
      </c>
      <c r="J678" t="s">
        <v>547</v>
      </c>
      <c r="K678">
        <v>6.2886829471311587E-4</v>
      </c>
      <c r="L678" t="s">
        <v>162</v>
      </c>
      <c r="N678" t="s">
        <v>297</v>
      </c>
      <c r="O678" t="s">
        <v>547</v>
      </c>
      <c r="P678">
        <v>4.3397304938477925E-3</v>
      </c>
      <c r="Q678" t="s">
        <v>162</v>
      </c>
      <c r="S678" t="s">
        <v>409</v>
      </c>
      <c r="T678" t="s">
        <v>547</v>
      </c>
      <c r="U678">
        <v>3.6079093369411333E-3</v>
      </c>
      <c r="V678" t="s">
        <v>162</v>
      </c>
    </row>
    <row r="679" spans="9:22" x14ac:dyDescent="0.45">
      <c r="I679" t="s">
        <v>185</v>
      </c>
      <c r="J679" t="s">
        <v>548</v>
      </c>
      <c r="K679">
        <v>9.6327133668994008E-3</v>
      </c>
      <c r="L679" t="s">
        <v>162</v>
      </c>
      <c r="N679" t="s">
        <v>297</v>
      </c>
      <c r="O679" t="s">
        <v>548</v>
      </c>
      <c r="P679">
        <v>7.5755589441814609E-3</v>
      </c>
      <c r="Q679" t="s">
        <v>162</v>
      </c>
      <c r="S679" t="s">
        <v>409</v>
      </c>
      <c r="T679" t="s">
        <v>548</v>
      </c>
      <c r="U679">
        <v>7.1962092747169578E-3</v>
      </c>
      <c r="V679" t="s">
        <v>162</v>
      </c>
    </row>
    <row r="680" spans="9:22" x14ac:dyDescent="0.45">
      <c r="I680" t="s">
        <v>185</v>
      </c>
      <c r="J680" t="s">
        <v>549</v>
      </c>
      <c r="K680">
        <v>2.3408696875487831E-2</v>
      </c>
      <c r="L680" t="s">
        <v>162</v>
      </c>
      <c r="N680" t="s">
        <v>297</v>
      </c>
      <c r="O680" t="s">
        <v>549</v>
      </c>
      <c r="P680">
        <v>1.7948528874870692E-2</v>
      </c>
      <c r="Q680" t="s">
        <v>162</v>
      </c>
      <c r="S680" t="s">
        <v>409</v>
      </c>
      <c r="T680" t="s">
        <v>549</v>
      </c>
      <c r="U680">
        <v>1.7686174434230581E-2</v>
      </c>
      <c r="V680" t="s">
        <v>162</v>
      </c>
    </row>
    <row r="681" spans="9:22" x14ac:dyDescent="0.45">
      <c r="I681" t="s">
        <v>185</v>
      </c>
      <c r="J681" t="s">
        <v>550</v>
      </c>
      <c r="K681">
        <v>0</v>
      </c>
      <c r="L681" t="s">
        <v>162</v>
      </c>
      <c r="N681" t="s">
        <v>297</v>
      </c>
      <c r="O681" t="s">
        <v>550</v>
      </c>
      <c r="P681">
        <v>4.6328374739008794E-3</v>
      </c>
      <c r="Q681" t="s">
        <v>162</v>
      </c>
      <c r="S681" t="s">
        <v>409</v>
      </c>
      <c r="T681" t="s">
        <v>550</v>
      </c>
      <c r="U681">
        <v>3.5084630768385831E-3</v>
      </c>
      <c r="V681" t="s">
        <v>162</v>
      </c>
    </row>
    <row r="682" spans="9:22" x14ac:dyDescent="0.45">
      <c r="I682" t="s">
        <v>185</v>
      </c>
      <c r="J682" t="s">
        <v>551</v>
      </c>
      <c r="K682">
        <v>0</v>
      </c>
      <c r="L682" t="s">
        <v>162</v>
      </c>
      <c r="N682" t="s">
        <v>297</v>
      </c>
      <c r="O682" t="s">
        <v>551</v>
      </c>
      <c r="P682">
        <v>2.7943594951542194E-2</v>
      </c>
      <c r="Q682" t="s">
        <v>162</v>
      </c>
      <c r="S682" t="s">
        <v>409</v>
      </c>
      <c r="T682" t="s">
        <v>551</v>
      </c>
      <c r="U682">
        <v>2.1597746765681949E-2</v>
      </c>
      <c r="V682" t="s">
        <v>162</v>
      </c>
    </row>
    <row r="683" spans="9:22" x14ac:dyDescent="0.45">
      <c r="I683" t="s">
        <v>186</v>
      </c>
      <c r="J683" t="s">
        <v>161</v>
      </c>
      <c r="K683">
        <v>0</v>
      </c>
      <c r="L683" t="s">
        <v>162</v>
      </c>
      <c r="N683" t="s">
        <v>298</v>
      </c>
      <c r="O683" t="s">
        <v>161</v>
      </c>
      <c r="P683">
        <v>3.5595592104278574E-2</v>
      </c>
      <c r="Q683" t="s">
        <v>162</v>
      </c>
      <c r="S683" t="s">
        <v>410</v>
      </c>
      <c r="T683" t="s">
        <v>161</v>
      </c>
      <c r="U683">
        <v>2.6882325454751197E-2</v>
      </c>
      <c r="V683" t="s">
        <v>162</v>
      </c>
    </row>
    <row r="684" spans="9:22" x14ac:dyDescent="0.45">
      <c r="I684" t="s">
        <v>186</v>
      </c>
      <c r="J684" t="s">
        <v>163</v>
      </c>
      <c r="K684">
        <v>2.3467987777217735E-3</v>
      </c>
      <c r="L684" t="s">
        <v>162</v>
      </c>
      <c r="N684" t="s">
        <v>298</v>
      </c>
      <c r="O684" t="s">
        <v>163</v>
      </c>
      <c r="P684">
        <v>3.7546305393511212E-3</v>
      </c>
      <c r="Q684" t="s">
        <v>162</v>
      </c>
      <c r="S684" t="s">
        <v>410</v>
      </c>
      <c r="T684" t="s">
        <v>163</v>
      </c>
      <c r="U684">
        <v>2.9838052329875416E-3</v>
      </c>
      <c r="V684" t="s">
        <v>162</v>
      </c>
    </row>
    <row r="685" spans="9:22" x14ac:dyDescent="0.45">
      <c r="I685" t="s">
        <v>186</v>
      </c>
      <c r="J685" t="s">
        <v>164</v>
      </c>
      <c r="K685">
        <v>1.0230357506994411E-2</v>
      </c>
      <c r="L685" t="s">
        <v>162</v>
      </c>
      <c r="N685" t="s">
        <v>298</v>
      </c>
      <c r="O685" t="s">
        <v>164</v>
      </c>
      <c r="P685">
        <v>6.2798081667840506E-3</v>
      </c>
      <c r="Q685" t="s">
        <v>162</v>
      </c>
      <c r="S685" t="s">
        <v>410</v>
      </c>
      <c r="T685" t="s">
        <v>164</v>
      </c>
      <c r="U685">
        <v>5.7788598886598956E-3</v>
      </c>
      <c r="V685" t="s">
        <v>162</v>
      </c>
    </row>
    <row r="686" spans="9:22" x14ac:dyDescent="0.45">
      <c r="I686" t="s">
        <v>186</v>
      </c>
      <c r="J686" t="s">
        <v>519</v>
      </c>
      <c r="K686">
        <v>2.7232501610894844E-2</v>
      </c>
      <c r="L686" t="s">
        <v>162</v>
      </c>
      <c r="N686" t="s">
        <v>298</v>
      </c>
      <c r="O686" t="s">
        <v>519</v>
      </c>
      <c r="P686">
        <v>1.2271151222104586E-2</v>
      </c>
      <c r="Q686" t="s">
        <v>162</v>
      </c>
      <c r="S686" t="s">
        <v>410</v>
      </c>
      <c r="T686" t="s">
        <v>519</v>
      </c>
      <c r="U686">
        <v>1.4515542986160429E-2</v>
      </c>
      <c r="V686" t="s">
        <v>162</v>
      </c>
    </row>
    <row r="687" spans="9:22" x14ac:dyDescent="0.45">
      <c r="I687" t="s">
        <v>186</v>
      </c>
      <c r="J687" t="s">
        <v>520</v>
      </c>
      <c r="K687">
        <v>4.1267738610437305E-4</v>
      </c>
      <c r="L687" t="s">
        <v>162</v>
      </c>
      <c r="N687" t="s">
        <v>298</v>
      </c>
      <c r="O687" t="s">
        <v>520</v>
      </c>
      <c r="P687">
        <v>2.7547779836897186E-3</v>
      </c>
      <c r="Q687" t="s">
        <v>162</v>
      </c>
      <c r="S687" t="s">
        <v>410</v>
      </c>
      <c r="T687" t="s">
        <v>520</v>
      </c>
      <c r="U687">
        <v>2.9880151890990074E-3</v>
      </c>
      <c r="V687" t="s">
        <v>162</v>
      </c>
    </row>
    <row r="688" spans="9:22" x14ac:dyDescent="0.45">
      <c r="I688" t="s">
        <v>186</v>
      </c>
      <c r="J688" t="s">
        <v>521</v>
      </c>
      <c r="K688">
        <v>0</v>
      </c>
      <c r="L688" t="s">
        <v>162</v>
      </c>
      <c r="N688" t="s">
        <v>298</v>
      </c>
      <c r="O688" t="s">
        <v>521</v>
      </c>
      <c r="P688">
        <v>1.9899269415337491E-2</v>
      </c>
      <c r="Q688" t="s">
        <v>162</v>
      </c>
      <c r="S688" t="s">
        <v>410</v>
      </c>
      <c r="T688" t="s">
        <v>521</v>
      </c>
      <c r="U688">
        <v>1.9235673041489484E-2</v>
      </c>
      <c r="V688" t="s">
        <v>162</v>
      </c>
    </row>
    <row r="689" spans="9:22" x14ac:dyDescent="0.45">
      <c r="I689" t="s">
        <v>186</v>
      </c>
      <c r="J689" t="s">
        <v>165</v>
      </c>
      <c r="K689">
        <v>8.6268148062093718E-3</v>
      </c>
      <c r="L689" t="s">
        <v>162</v>
      </c>
      <c r="N689" t="s">
        <v>298</v>
      </c>
      <c r="O689" t="s">
        <v>165</v>
      </c>
      <c r="P689">
        <v>7.1455906405154909E-2</v>
      </c>
      <c r="Q689" t="s">
        <v>162</v>
      </c>
      <c r="S689" t="s">
        <v>410</v>
      </c>
      <c r="T689" t="s">
        <v>165</v>
      </c>
      <c r="U689">
        <v>5.2925748186382411E-2</v>
      </c>
      <c r="V689" t="s">
        <v>162</v>
      </c>
    </row>
    <row r="690" spans="9:22" x14ac:dyDescent="0.45">
      <c r="I690" t="s">
        <v>186</v>
      </c>
      <c r="J690" t="s">
        <v>166</v>
      </c>
      <c r="K690">
        <v>1.3647497515414497E-2</v>
      </c>
      <c r="L690" t="s">
        <v>162</v>
      </c>
      <c r="N690" t="s">
        <v>298</v>
      </c>
      <c r="O690" t="s">
        <v>166</v>
      </c>
      <c r="P690">
        <v>5.520153997594035E-3</v>
      </c>
      <c r="Q690" t="s">
        <v>162</v>
      </c>
      <c r="S690" t="s">
        <v>410</v>
      </c>
      <c r="T690" t="s">
        <v>166</v>
      </c>
      <c r="U690">
        <v>5.6018386777004943E-3</v>
      </c>
      <c r="V690" t="s">
        <v>162</v>
      </c>
    </row>
    <row r="691" spans="9:22" x14ac:dyDescent="0.45">
      <c r="I691" t="s">
        <v>186</v>
      </c>
      <c r="J691" t="s">
        <v>167</v>
      </c>
      <c r="K691">
        <v>3.7718463565044998E-2</v>
      </c>
      <c r="L691" t="s">
        <v>162</v>
      </c>
      <c r="N691" t="s">
        <v>298</v>
      </c>
      <c r="O691" t="s">
        <v>167</v>
      </c>
      <c r="P691">
        <v>8.2983193679987705E-3</v>
      </c>
      <c r="Q691" t="s">
        <v>162</v>
      </c>
      <c r="S691" t="s">
        <v>410</v>
      </c>
      <c r="T691" t="s">
        <v>167</v>
      </c>
      <c r="U691">
        <v>1.0597980158046597E-2</v>
      </c>
      <c r="V691" t="s">
        <v>162</v>
      </c>
    </row>
    <row r="692" spans="9:22" x14ac:dyDescent="0.45">
      <c r="I692" t="s">
        <v>186</v>
      </c>
      <c r="J692" t="s">
        <v>522</v>
      </c>
      <c r="K692">
        <v>9.0639863623683037E-2</v>
      </c>
      <c r="L692" t="s">
        <v>162</v>
      </c>
      <c r="N692" t="s">
        <v>298</v>
      </c>
      <c r="O692" t="s">
        <v>522</v>
      </c>
      <c r="P692">
        <v>1.77104638940014E-2</v>
      </c>
      <c r="Q692" t="s">
        <v>162</v>
      </c>
      <c r="S692" t="s">
        <v>410</v>
      </c>
      <c r="T692" t="s">
        <v>522</v>
      </c>
      <c r="U692">
        <v>2.6495441147329879E-2</v>
      </c>
      <c r="V692" t="s">
        <v>162</v>
      </c>
    </row>
    <row r="693" spans="9:22" x14ac:dyDescent="0.45">
      <c r="I693" t="s">
        <v>186</v>
      </c>
      <c r="J693" t="s">
        <v>523</v>
      </c>
      <c r="K693">
        <v>1.072167954437901E-2</v>
      </c>
      <c r="L693" t="s">
        <v>162</v>
      </c>
      <c r="N693" t="s">
        <v>298</v>
      </c>
      <c r="O693" t="s">
        <v>523</v>
      </c>
      <c r="P693">
        <v>5.3090707357701895E-3</v>
      </c>
      <c r="Q693" t="s">
        <v>162</v>
      </c>
      <c r="S693" t="s">
        <v>410</v>
      </c>
      <c r="T693" t="s">
        <v>523</v>
      </c>
      <c r="U693">
        <v>5.720550941367716E-3</v>
      </c>
      <c r="V693" t="s">
        <v>162</v>
      </c>
    </row>
    <row r="694" spans="9:22" x14ac:dyDescent="0.45">
      <c r="I694" t="s">
        <v>186</v>
      </c>
      <c r="J694" t="s">
        <v>524</v>
      </c>
      <c r="K694">
        <v>3.4441709771325145E-3</v>
      </c>
      <c r="L694" t="s">
        <v>162</v>
      </c>
      <c r="N694" t="s">
        <v>298</v>
      </c>
      <c r="O694" t="s">
        <v>524</v>
      </c>
      <c r="P694">
        <v>4.7928057224919399E-2</v>
      </c>
      <c r="Q694" t="s">
        <v>162</v>
      </c>
      <c r="S694" t="s">
        <v>410</v>
      </c>
      <c r="T694" t="s">
        <v>524</v>
      </c>
      <c r="U694">
        <v>3.4982772364795182E-2</v>
      </c>
      <c r="V694" t="s">
        <v>162</v>
      </c>
    </row>
    <row r="695" spans="9:22" x14ac:dyDescent="0.45">
      <c r="I695" t="s">
        <v>186</v>
      </c>
      <c r="J695" t="s">
        <v>168</v>
      </c>
      <c r="K695">
        <v>1.1896612862420027E-2</v>
      </c>
      <c r="L695" t="s">
        <v>162</v>
      </c>
      <c r="N695" t="s">
        <v>298</v>
      </c>
      <c r="O695" t="s">
        <v>168</v>
      </c>
      <c r="P695">
        <v>4.4455778243399857E-2</v>
      </c>
      <c r="Q695" t="s">
        <v>162</v>
      </c>
      <c r="S695" t="s">
        <v>410</v>
      </c>
      <c r="T695" t="s">
        <v>168</v>
      </c>
      <c r="U695">
        <v>2.8494273663250854E-2</v>
      </c>
      <c r="V695" t="s">
        <v>162</v>
      </c>
    </row>
    <row r="696" spans="9:22" x14ac:dyDescent="0.45">
      <c r="I696" t="s">
        <v>186</v>
      </c>
      <c r="J696" t="s">
        <v>169</v>
      </c>
      <c r="K696">
        <v>8.5968712293213265E-3</v>
      </c>
      <c r="L696" t="s">
        <v>162</v>
      </c>
      <c r="N696" t="s">
        <v>298</v>
      </c>
      <c r="O696" t="s">
        <v>169</v>
      </c>
      <c r="P696">
        <v>3.3552600403010608E-3</v>
      </c>
      <c r="Q696" t="s">
        <v>162</v>
      </c>
      <c r="S696" t="s">
        <v>410</v>
      </c>
      <c r="T696" t="s">
        <v>169</v>
      </c>
      <c r="U696">
        <v>3.278289022460119E-3</v>
      </c>
      <c r="V696" t="s">
        <v>162</v>
      </c>
    </row>
    <row r="697" spans="9:22" x14ac:dyDescent="0.45">
      <c r="I697" t="s">
        <v>186</v>
      </c>
      <c r="J697" t="s">
        <v>170</v>
      </c>
      <c r="K697">
        <v>2.1161627921815886E-2</v>
      </c>
      <c r="L697" t="s">
        <v>162</v>
      </c>
      <c r="N697" t="s">
        <v>298</v>
      </c>
      <c r="O697" t="s">
        <v>170</v>
      </c>
      <c r="P697">
        <v>7.5479086637998466E-3</v>
      </c>
      <c r="Q697" t="s">
        <v>162</v>
      </c>
      <c r="S697" t="s">
        <v>410</v>
      </c>
      <c r="T697" t="s">
        <v>170</v>
      </c>
      <c r="U697">
        <v>6.6493522704074038E-3</v>
      </c>
      <c r="V697" t="s">
        <v>162</v>
      </c>
    </row>
    <row r="698" spans="9:22" x14ac:dyDescent="0.45">
      <c r="I698" t="s">
        <v>186</v>
      </c>
      <c r="J698" t="s">
        <v>525</v>
      </c>
      <c r="K698">
        <v>5.1338925703149012E-2</v>
      </c>
      <c r="L698" t="s">
        <v>162</v>
      </c>
      <c r="N698" t="s">
        <v>298</v>
      </c>
      <c r="O698" t="s">
        <v>525</v>
      </c>
      <c r="P698">
        <v>1.9697446088641858E-2</v>
      </c>
      <c r="Q698" t="s">
        <v>162</v>
      </c>
      <c r="S698" t="s">
        <v>410</v>
      </c>
      <c r="T698" t="s">
        <v>525</v>
      </c>
      <c r="U698">
        <v>1.6676323788418962E-2</v>
      </c>
      <c r="V698" t="s">
        <v>162</v>
      </c>
    </row>
    <row r="699" spans="9:22" x14ac:dyDescent="0.45">
      <c r="I699" t="s">
        <v>186</v>
      </c>
      <c r="J699" t="s">
        <v>526</v>
      </c>
      <c r="K699">
        <v>6.9031221476040525E-3</v>
      </c>
      <c r="L699" t="s">
        <v>162</v>
      </c>
      <c r="N699" t="s">
        <v>298</v>
      </c>
      <c r="O699" t="s">
        <v>526</v>
      </c>
      <c r="P699">
        <v>3.5015566905142845E-3</v>
      </c>
      <c r="Q699" t="s">
        <v>162</v>
      </c>
      <c r="S699" t="s">
        <v>410</v>
      </c>
      <c r="T699" t="s">
        <v>526</v>
      </c>
      <c r="U699">
        <v>3.238558719720275E-3</v>
      </c>
      <c r="V699" t="s">
        <v>162</v>
      </c>
    </row>
    <row r="700" spans="9:22" x14ac:dyDescent="0.45">
      <c r="I700" t="s">
        <v>186</v>
      </c>
      <c r="J700" t="s">
        <v>527</v>
      </c>
      <c r="K700">
        <v>7.1821445382465373E-3</v>
      </c>
      <c r="L700" t="s">
        <v>162</v>
      </c>
      <c r="N700" t="s">
        <v>298</v>
      </c>
      <c r="O700" t="s">
        <v>527</v>
      </c>
      <c r="P700">
        <v>2.9164676729445067E-2</v>
      </c>
      <c r="Q700" t="s">
        <v>162</v>
      </c>
      <c r="S700" t="s">
        <v>410</v>
      </c>
      <c r="T700" t="s">
        <v>527</v>
      </c>
      <c r="U700">
        <v>1.8703137634734683E-2</v>
      </c>
      <c r="V700" t="s">
        <v>162</v>
      </c>
    </row>
    <row r="701" spans="9:22" x14ac:dyDescent="0.45">
      <c r="I701" t="s">
        <v>186</v>
      </c>
      <c r="J701" t="s">
        <v>528</v>
      </c>
      <c r="K701">
        <v>7.3252678062711657E-2</v>
      </c>
      <c r="L701" t="s">
        <v>162</v>
      </c>
      <c r="N701" t="s">
        <v>298</v>
      </c>
      <c r="O701" t="s">
        <v>528</v>
      </c>
      <c r="P701">
        <v>8.1192258522240796E-2</v>
      </c>
      <c r="Q701" t="s">
        <v>162</v>
      </c>
      <c r="S701" t="s">
        <v>410</v>
      </c>
      <c r="T701" t="s">
        <v>528</v>
      </c>
      <c r="U701">
        <v>9.1965230777614551E-2</v>
      </c>
      <c r="V701" t="s">
        <v>162</v>
      </c>
    </row>
    <row r="702" spans="9:22" x14ac:dyDescent="0.45">
      <c r="I702" t="s">
        <v>186</v>
      </c>
      <c r="J702" t="s">
        <v>529</v>
      </c>
      <c r="K702">
        <v>3.2671482260362608E-2</v>
      </c>
      <c r="L702" t="s">
        <v>162</v>
      </c>
      <c r="N702" t="s">
        <v>298</v>
      </c>
      <c r="O702" t="s">
        <v>529</v>
      </c>
      <c r="P702">
        <v>5.6171484321403285E-3</v>
      </c>
      <c r="Q702" t="s">
        <v>162</v>
      </c>
      <c r="S702" t="s">
        <v>410</v>
      </c>
      <c r="T702" t="s">
        <v>529</v>
      </c>
      <c r="U702">
        <v>9.2186983390397381E-3</v>
      </c>
      <c r="V702" t="s">
        <v>162</v>
      </c>
    </row>
    <row r="703" spans="9:22" x14ac:dyDescent="0.45">
      <c r="I703" t="s">
        <v>186</v>
      </c>
      <c r="J703" t="s">
        <v>530</v>
      </c>
      <c r="K703">
        <v>7.0961671254282738E-2</v>
      </c>
      <c r="L703" t="s">
        <v>162</v>
      </c>
      <c r="N703" t="s">
        <v>298</v>
      </c>
      <c r="O703" t="s">
        <v>530</v>
      </c>
      <c r="P703">
        <v>1.267795581199054E-2</v>
      </c>
      <c r="Q703" t="s">
        <v>162</v>
      </c>
      <c r="S703" t="s">
        <v>410</v>
      </c>
      <c r="T703" t="s">
        <v>530</v>
      </c>
      <c r="U703">
        <v>1.8396913950515112E-2</v>
      </c>
      <c r="V703" t="s">
        <v>162</v>
      </c>
    </row>
    <row r="704" spans="9:22" x14ac:dyDescent="0.45">
      <c r="I704" t="s">
        <v>186</v>
      </c>
      <c r="J704" t="s">
        <v>531</v>
      </c>
      <c r="K704">
        <v>0.16744220211869071</v>
      </c>
      <c r="L704" t="s">
        <v>162</v>
      </c>
      <c r="N704" t="s">
        <v>298</v>
      </c>
      <c r="O704" t="s">
        <v>531</v>
      </c>
      <c r="P704">
        <v>3.4281672474182651E-2</v>
      </c>
      <c r="Q704" t="s">
        <v>162</v>
      </c>
      <c r="S704" t="s">
        <v>410</v>
      </c>
      <c r="T704" t="s">
        <v>531</v>
      </c>
      <c r="U704">
        <v>4.9364321877774023E-2</v>
      </c>
      <c r="V704" t="s">
        <v>162</v>
      </c>
    </row>
    <row r="705" spans="9:22" x14ac:dyDescent="0.45">
      <c r="I705" t="s">
        <v>186</v>
      </c>
      <c r="J705" t="s">
        <v>532</v>
      </c>
      <c r="K705">
        <v>2.632634734626146E-2</v>
      </c>
      <c r="L705" t="s">
        <v>162</v>
      </c>
      <c r="N705" t="s">
        <v>298</v>
      </c>
      <c r="O705" t="s">
        <v>532</v>
      </c>
      <c r="P705">
        <v>7.030090502092144E-3</v>
      </c>
      <c r="Q705" t="s">
        <v>162</v>
      </c>
      <c r="S705" t="s">
        <v>410</v>
      </c>
      <c r="T705" t="s">
        <v>532</v>
      </c>
      <c r="U705">
        <v>1.0555813745887804E-2</v>
      </c>
      <c r="V705" t="s">
        <v>162</v>
      </c>
    </row>
    <row r="706" spans="9:22" x14ac:dyDescent="0.45">
      <c r="I706" t="s">
        <v>186</v>
      </c>
      <c r="J706" t="s">
        <v>533</v>
      </c>
      <c r="K706">
        <v>4.6370130710502527E-2</v>
      </c>
      <c r="L706" t="s">
        <v>162</v>
      </c>
      <c r="N706" t="s">
        <v>298</v>
      </c>
      <c r="O706" t="s">
        <v>533</v>
      </c>
      <c r="P706">
        <v>5.6732751044254452E-2</v>
      </c>
      <c r="Q706" t="s">
        <v>162</v>
      </c>
      <c r="S706" t="s">
        <v>410</v>
      </c>
      <c r="T706" t="s">
        <v>533</v>
      </c>
      <c r="U706">
        <v>6.448866863814913E-2</v>
      </c>
      <c r="V706" t="s">
        <v>162</v>
      </c>
    </row>
    <row r="707" spans="9:22" x14ac:dyDescent="0.45">
      <c r="I707" t="s">
        <v>186</v>
      </c>
      <c r="J707" t="s">
        <v>534</v>
      </c>
      <c r="K707">
        <v>2.5341180263520273E-2</v>
      </c>
      <c r="L707" t="s">
        <v>162</v>
      </c>
      <c r="N707" t="s">
        <v>298</v>
      </c>
      <c r="O707" t="s">
        <v>534</v>
      </c>
      <c r="P707">
        <v>0.11572137845101813</v>
      </c>
      <c r="Q707" t="s">
        <v>162</v>
      </c>
      <c r="S707" t="s">
        <v>410</v>
      </c>
      <c r="T707" t="s">
        <v>534</v>
      </c>
      <c r="U707">
        <v>0.10840238056275146</v>
      </c>
      <c r="V707" t="s">
        <v>162</v>
      </c>
    </row>
    <row r="708" spans="9:22" x14ac:dyDescent="0.45">
      <c r="I708" t="s">
        <v>186</v>
      </c>
      <c r="J708" t="s">
        <v>535</v>
      </c>
      <c r="K708">
        <v>1.8848378093358605E-2</v>
      </c>
      <c r="L708" t="s">
        <v>162</v>
      </c>
      <c r="N708" t="s">
        <v>298</v>
      </c>
      <c r="O708" t="s">
        <v>535</v>
      </c>
      <c r="P708">
        <v>8.4283566951381759E-3</v>
      </c>
      <c r="Q708" t="s">
        <v>162</v>
      </c>
      <c r="S708" t="s">
        <v>410</v>
      </c>
      <c r="T708" t="s">
        <v>535</v>
      </c>
      <c r="U708">
        <v>1.1783461035111284E-2</v>
      </c>
      <c r="V708" t="s">
        <v>162</v>
      </c>
    </row>
    <row r="709" spans="9:22" x14ac:dyDescent="0.45">
      <c r="I709" t="s">
        <v>186</v>
      </c>
      <c r="J709" t="s">
        <v>536</v>
      </c>
      <c r="K709">
        <v>4.4062382174075168E-2</v>
      </c>
      <c r="L709" t="s">
        <v>162</v>
      </c>
      <c r="N709" t="s">
        <v>298</v>
      </c>
      <c r="O709" t="s">
        <v>536</v>
      </c>
      <c r="P709">
        <v>1.5674816787281991E-2</v>
      </c>
      <c r="Q709" t="s">
        <v>162</v>
      </c>
      <c r="S709" t="s">
        <v>410</v>
      </c>
      <c r="T709" t="s">
        <v>536</v>
      </c>
      <c r="U709">
        <v>2.3646060964970027E-2</v>
      </c>
      <c r="V709" t="s">
        <v>162</v>
      </c>
    </row>
    <row r="710" spans="9:22" x14ac:dyDescent="0.45">
      <c r="I710" t="s">
        <v>186</v>
      </c>
      <c r="J710" t="s">
        <v>537</v>
      </c>
      <c r="K710">
        <v>9.585584696351751E-2</v>
      </c>
      <c r="L710" t="s">
        <v>162</v>
      </c>
      <c r="N710" t="s">
        <v>298</v>
      </c>
      <c r="O710" t="s">
        <v>537</v>
      </c>
      <c r="P710">
        <v>3.9976480928631729E-2</v>
      </c>
      <c r="Q710" t="s">
        <v>162</v>
      </c>
      <c r="S710" t="s">
        <v>410</v>
      </c>
      <c r="T710" t="s">
        <v>537</v>
      </c>
      <c r="U710">
        <v>5.9274499423954512E-2</v>
      </c>
      <c r="V710" t="s">
        <v>162</v>
      </c>
    </row>
    <row r="711" spans="9:22" x14ac:dyDescent="0.45">
      <c r="I711" t="s">
        <v>186</v>
      </c>
      <c r="J711" t="s">
        <v>538</v>
      </c>
      <c r="K711">
        <v>1.168096586442411E-2</v>
      </c>
      <c r="L711" t="s">
        <v>162</v>
      </c>
      <c r="N711" t="s">
        <v>298</v>
      </c>
      <c r="O711" t="s">
        <v>538</v>
      </c>
      <c r="P711">
        <v>9.0665782085854931E-3</v>
      </c>
      <c r="Q711" t="s">
        <v>162</v>
      </c>
      <c r="S711" t="s">
        <v>410</v>
      </c>
      <c r="T711" t="s">
        <v>538</v>
      </c>
      <c r="U711">
        <v>1.1699002947285046E-2</v>
      </c>
      <c r="V711" t="s">
        <v>162</v>
      </c>
    </row>
    <row r="712" spans="9:22" x14ac:dyDescent="0.45">
      <c r="I712" t="s">
        <v>186</v>
      </c>
      <c r="J712" t="s">
        <v>539</v>
      </c>
      <c r="K712">
        <v>9.8214101643411805E-3</v>
      </c>
      <c r="L712" t="s">
        <v>162</v>
      </c>
      <c r="N712" t="s">
        <v>298</v>
      </c>
      <c r="O712" t="s">
        <v>539</v>
      </c>
      <c r="P712">
        <v>7.7939578217841074E-2</v>
      </c>
      <c r="Q712" t="s">
        <v>162</v>
      </c>
      <c r="S712" t="s">
        <v>410</v>
      </c>
      <c r="T712" t="s">
        <v>539</v>
      </c>
      <c r="U712">
        <v>7.2449356851960647E-2</v>
      </c>
      <c r="V712" t="s">
        <v>162</v>
      </c>
    </row>
    <row r="713" spans="9:22" x14ac:dyDescent="0.45">
      <c r="I713" t="s">
        <v>186</v>
      </c>
      <c r="J713" t="s">
        <v>540</v>
      </c>
      <c r="K713">
        <v>5.848230006261603E-4</v>
      </c>
      <c r="L713" t="s">
        <v>162</v>
      </c>
      <c r="N713" t="s">
        <v>298</v>
      </c>
      <c r="O713" t="s">
        <v>540</v>
      </c>
      <c r="P713">
        <v>3.6147828226405436E-2</v>
      </c>
      <c r="Q713" t="s">
        <v>162</v>
      </c>
      <c r="S713" t="s">
        <v>410</v>
      </c>
      <c r="T713" t="s">
        <v>540</v>
      </c>
      <c r="U713">
        <v>3.5712772979254369E-2</v>
      </c>
      <c r="V713" t="s">
        <v>162</v>
      </c>
    </row>
    <row r="714" spans="9:22" x14ac:dyDescent="0.45">
      <c r="I714" t="s">
        <v>186</v>
      </c>
      <c r="J714" t="s">
        <v>541</v>
      </c>
      <c r="K714">
        <v>1.7646110128490408E-3</v>
      </c>
      <c r="L714" t="s">
        <v>162</v>
      </c>
      <c r="N714" t="s">
        <v>298</v>
      </c>
      <c r="O714" t="s">
        <v>541</v>
      </c>
      <c r="P714">
        <v>3.4783937112561813E-3</v>
      </c>
      <c r="Q714" t="s">
        <v>162</v>
      </c>
      <c r="S714" t="s">
        <v>410</v>
      </c>
      <c r="T714" t="s">
        <v>541</v>
      </c>
      <c r="U714">
        <v>4.0317129452369892E-3</v>
      </c>
      <c r="V714" t="s">
        <v>162</v>
      </c>
    </row>
    <row r="715" spans="9:22" x14ac:dyDescent="0.45">
      <c r="I715" t="s">
        <v>186</v>
      </c>
      <c r="J715" t="s">
        <v>542</v>
      </c>
      <c r="K715">
        <v>7.068220963108207E-3</v>
      </c>
      <c r="L715" t="s">
        <v>162</v>
      </c>
      <c r="N715" t="s">
        <v>298</v>
      </c>
      <c r="O715" t="s">
        <v>542</v>
      </c>
      <c r="P715">
        <v>5.5159713238352153E-3</v>
      </c>
      <c r="Q715" t="s">
        <v>162</v>
      </c>
      <c r="S715" t="s">
        <v>410</v>
      </c>
      <c r="T715" t="s">
        <v>542</v>
      </c>
      <c r="U715">
        <v>8.0883799921156879E-3</v>
      </c>
      <c r="V715" t="s">
        <v>162</v>
      </c>
    </row>
    <row r="716" spans="9:22" x14ac:dyDescent="0.45">
      <c r="I716" t="s">
        <v>186</v>
      </c>
      <c r="J716" t="s">
        <v>543</v>
      </c>
      <c r="K716">
        <v>1.6325851153258363E-2</v>
      </c>
      <c r="L716" t="s">
        <v>162</v>
      </c>
      <c r="N716" t="s">
        <v>298</v>
      </c>
      <c r="O716" t="s">
        <v>543</v>
      </c>
      <c r="P716">
        <v>1.4413070852918711E-2</v>
      </c>
      <c r="Q716" t="s">
        <v>162</v>
      </c>
      <c r="S716" t="s">
        <v>410</v>
      </c>
      <c r="T716" t="s">
        <v>543</v>
      </c>
      <c r="U716">
        <v>2.036231266214325E-2</v>
      </c>
      <c r="V716" t="s">
        <v>162</v>
      </c>
    </row>
    <row r="717" spans="9:22" x14ac:dyDescent="0.45">
      <c r="I717" t="s">
        <v>186</v>
      </c>
      <c r="J717" t="s">
        <v>544</v>
      </c>
      <c r="K717">
        <v>2.7705553539784854E-5</v>
      </c>
      <c r="L717" t="s">
        <v>162</v>
      </c>
      <c r="N717" t="s">
        <v>298</v>
      </c>
      <c r="O717" t="s">
        <v>544</v>
      </c>
      <c r="P717">
        <v>4.2122967434365544E-3</v>
      </c>
      <c r="Q717" t="s">
        <v>162</v>
      </c>
      <c r="S717" t="s">
        <v>410</v>
      </c>
      <c r="T717" t="s">
        <v>544</v>
      </c>
      <c r="U717">
        <v>4.109371251057539E-3</v>
      </c>
      <c r="V717" t="s">
        <v>162</v>
      </c>
    </row>
    <row r="718" spans="9:22" x14ac:dyDescent="0.45">
      <c r="I718" t="s">
        <v>186</v>
      </c>
      <c r="J718" t="s">
        <v>545</v>
      </c>
      <c r="K718">
        <v>0</v>
      </c>
      <c r="L718" t="s">
        <v>162</v>
      </c>
      <c r="N718" t="s">
        <v>298</v>
      </c>
      <c r="O718" t="s">
        <v>545</v>
      </c>
      <c r="P718">
        <v>2.7697268923927008E-2</v>
      </c>
      <c r="Q718" t="s">
        <v>162</v>
      </c>
      <c r="S718" t="s">
        <v>410</v>
      </c>
      <c r="T718" t="s">
        <v>545</v>
      </c>
      <c r="U718">
        <v>2.4102519362569835E-2</v>
      </c>
      <c r="V718" t="s">
        <v>162</v>
      </c>
    </row>
    <row r="719" spans="9:22" x14ac:dyDescent="0.45">
      <c r="I719" t="s">
        <v>186</v>
      </c>
      <c r="J719" t="s">
        <v>546</v>
      </c>
      <c r="K719">
        <v>0</v>
      </c>
      <c r="L719" t="s">
        <v>162</v>
      </c>
      <c r="N719" t="s">
        <v>298</v>
      </c>
      <c r="O719" t="s">
        <v>546</v>
      </c>
      <c r="P719">
        <v>3.7044195419391093E-2</v>
      </c>
      <c r="Q719" t="s">
        <v>162</v>
      </c>
      <c r="S719" t="s">
        <v>410</v>
      </c>
      <c r="T719" t="s">
        <v>546</v>
      </c>
      <c r="U719">
        <v>3.263395407600321E-2</v>
      </c>
      <c r="V719" t="s">
        <v>162</v>
      </c>
    </row>
    <row r="720" spans="9:22" x14ac:dyDescent="0.45">
      <c r="I720" t="s">
        <v>186</v>
      </c>
      <c r="J720" t="s">
        <v>547</v>
      </c>
      <c r="K720">
        <v>2.1265518228195772E-3</v>
      </c>
      <c r="L720" t="s">
        <v>162</v>
      </c>
      <c r="N720" t="s">
        <v>298</v>
      </c>
      <c r="O720" t="s">
        <v>547</v>
      </c>
      <c r="P720">
        <v>3.9612353861226829E-3</v>
      </c>
      <c r="Q720" t="s">
        <v>162</v>
      </c>
      <c r="S720" t="s">
        <v>410</v>
      </c>
      <c r="T720" t="s">
        <v>547</v>
      </c>
      <c r="U720">
        <v>3.7788191805710404E-3</v>
      </c>
      <c r="V720" t="s">
        <v>162</v>
      </c>
    </row>
    <row r="721" spans="9:22" x14ac:dyDescent="0.45">
      <c r="I721" t="s">
        <v>186</v>
      </c>
      <c r="J721" t="s">
        <v>548</v>
      </c>
      <c r="K721">
        <v>1.070244565290553E-2</v>
      </c>
      <c r="L721" t="s">
        <v>162</v>
      </c>
      <c r="N721" t="s">
        <v>298</v>
      </c>
      <c r="O721" t="s">
        <v>548</v>
      </c>
      <c r="P721">
        <v>7.4913918308023722E-3</v>
      </c>
      <c r="Q721" t="s">
        <v>162</v>
      </c>
      <c r="S721" t="s">
        <v>410</v>
      </c>
      <c r="T721" t="s">
        <v>548</v>
      </c>
      <c r="U721">
        <v>7.6572376054673992E-3</v>
      </c>
      <c r="V721" t="s">
        <v>162</v>
      </c>
    </row>
    <row r="722" spans="9:22" x14ac:dyDescent="0.45">
      <c r="I722" t="s">
        <v>186</v>
      </c>
      <c r="J722" t="s">
        <v>549</v>
      </c>
      <c r="K722">
        <v>2.6664985848707443E-2</v>
      </c>
      <c r="L722" t="s">
        <v>162</v>
      </c>
      <c r="N722" t="s">
        <v>298</v>
      </c>
      <c r="O722" t="s">
        <v>549</v>
      </c>
      <c r="P722">
        <v>1.8093873490790058E-2</v>
      </c>
      <c r="Q722" t="s">
        <v>162</v>
      </c>
      <c r="S722" t="s">
        <v>410</v>
      </c>
      <c r="T722" t="s">
        <v>549</v>
      </c>
      <c r="U722">
        <v>1.829514166017341E-2</v>
      </c>
      <c r="V722" t="s">
        <v>162</v>
      </c>
    </row>
    <row r="723" spans="9:22" x14ac:dyDescent="0.45">
      <c r="I723" t="s">
        <v>186</v>
      </c>
      <c r="J723" t="s">
        <v>550</v>
      </c>
      <c r="K723">
        <v>0</v>
      </c>
      <c r="L723" t="s">
        <v>162</v>
      </c>
      <c r="N723" t="s">
        <v>298</v>
      </c>
      <c r="O723" t="s">
        <v>550</v>
      </c>
      <c r="P723">
        <v>4.579962925228321E-3</v>
      </c>
      <c r="Q723" t="s">
        <v>162</v>
      </c>
      <c r="S723" t="s">
        <v>410</v>
      </c>
      <c r="T723" t="s">
        <v>550</v>
      </c>
      <c r="U723">
        <v>3.4229549997758187E-3</v>
      </c>
      <c r="V723" t="s">
        <v>162</v>
      </c>
    </row>
    <row r="724" spans="9:22" x14ac:dyDescent="0.45">
      <c r="I724" t="s">
        <v>186</v>
      </c>
      <c r="J724" t="s">
        <v>551</v>
      </c>
      <c r="K724">
        <v>0</v>
      </c>
      <c r="L724" t="s">
        <v>162</v>
      </c>
      <c r="N724" t="s">
        <v>298</v>
      </c>
      <c r="O724" t="s">
        <v>551</v>
      </c>
      <c r="P724">
        <v>2.8525617577405338E-2</v>
      </c>
      <c r="Q724" t="s">
        <v>162</v>
      </c>
      <c r="S724" t="s">
        <v>410</v>
      </c>
      <c r="T724" t="s">
        <v>551</v>
      </c>
      <c r="U724">
        <v>2.0811925802853393E-2</v>
      </c>
      <c r="V724" t="s">
        <v>162</v>
      </c>
    </row>
    <row r="725" spans="9:22" x14ac:dyDescent="0.45">
      <c r="I725" t="s">
        <v>187</v>
      </c>
      <c r="J725" t="s">
        <v>161</v>
      </c>
      <c r="K725">
        <v>0</v>
      </c>
      <c r="L725" t="s">
        <v>162</v>
      </c>
      <c r="N725" t="s">
        <v>299</v>
      </c>
      <c r="O725" t="s">
        <v>161</v>
      </c>
      <c r="P725">
        <v>2.7253242198397223E-2</v>
      </c>
      <c r="Q725" t="s">
        <v>162</v>
      </c>
      <c r="S725" t="s">
        <v>411</v>
      </c>
      <c r="T725" t="s">
        <v>161</v>
      </c>
      <c r="U725">
        <v>3.0063301583713987E-2</v>
      </c>
      <c r="V725" t="s">
        <v>162</v>
      </c>
    </row>
    <row r="726" spans="9:22" x14ac:dyDescent="0.45">
      <c r="I726" t="s">
        <v>187</v>
      </c>
      <c r="J726" t="s">
        <v>163</v>
      </c>
      <c r="K726">
        <v>6.5890887179873361E-4</v>
      </c>
      <c r="L726" t="s">
        <v>162</v>
      </c>
      <c r="N726" t="s">
        <v>299</v>
      </c>
      <c r="O726" t="s">
        <v>163</v>
      </c>
      <c r="P726">
        <v>3.4784391371697619E-3</v>
      </c>
      <c r="Q726" t="s">
        <v>162</v>
      </c>
      <c r="S726" t="s">
        <v>411</v>
      </c>
      <c r="T726" t="s">
        <v>163</v>
      </c>
      <c r="U726">
        <v>3.408197141498902E-3</v>
      </c>
      <c r="V726" t="s">
        <v>162</v>
      </c>
    </row>
    <row r="727" spans="9:22" x14ac:dyDescent="0.45">
      <c r="I727" t="s">
        <v>187</v>
      </c>
      <c r="J727" t="s">
        <v>164</v>
      </c>
      <c r="K727">
        <v>7.8140444240965331E-3</v>
      </c>
      <c r="L727" t="s">
        <v>162</v>
      </c>
      <c r="N727" t="s">
        <v>299</v>
      </c>
      <c r="O727" t="s">
        <v>164</v>
      </c>
      <c r="P727">
        <v>6.6680297741224734E-3</v>
      </c>
      <c r="Q727" t="s">
        <v>162</v>
      </c>
      <c r="S727" t="s">
        <v>411</v>
      </c>
      <c r="T727" t="s">
        <v>164</v>
      </c>
      <c r="U727">
        <v>6.7641597379630549E-3</v>
      </c>
      <c r="V727" t="s">
        <v>162</v>
      </c>
    </row>
    <row r="728" spans="9:22" x14ac:dyDescent="0.45">
      <c r="I728" t="s">
        <v>187</v>
      </c>
      <c r="J728" t="s">
        <v>519</v>
      </c>
      <c r="K728">
        <v>2.2092701200268478E-2</v>
      </c>
      <c r="L728" t="s">
        <v>162</v>
      </c>
      <c r="N728" t="s">
        <v>299</v>
      </c>
      <c r="O728" t="s">
        <v>519</v>
      </c>
      <c r="P728">
        <v>1.6364738272412485E-2</v>
      </c>
      <c r="Q728" t="s">
        <v>162</v>
      </c>
      <c r="S728" t="s">
        <v>411</v>
      </c>
      <c r="T728" t="s">
        <v>519</v>
      </c>
      <c r="U728">
        <v>1.6846853237732821E-2</v>
      </c>
      <c r="V728" t="s">
        <v>162</v>
      </c>
    </row>
    <row r="729" spans="9:22" x14ac:dyDescent="0.45">
      <c r="I729" t="s">
        <v>187</v>
      </c>
      <c r="J729" t="s">
        <v>520</v>
      </c>
      <c r="K729">
        <v>5.9072138042557367E-7</v>
      </c>
      <c r="L729" t="s">
        <v>162</v>
      </c>
      <c r="N729" t="s">
        <v>299</v>
      </c>
      <c r="O729" t="s">
        <v>520</v>
      </c>
      <c r="P729">
        <v>3.6735776746497149E-3</v>
      </c>
      <c r="Q729" t="s">
        <v>162</v>
      </c>
      <c r="S729" t="s">
        <v>411</v>
      </c>
      <c r="T729" t="s">
        <v>520</v>
      </c>
      <c r="U729">
        <v>3.4799517599482998E-3</v>
      </c>
      <c r="V729" t="s">
        <v>162</v>
      </c>
    </row>
    <row r="730" spans="9:22" x14ac:dyDescent="0.45">
      <c r="I730" t="s">
        <v>187</v>
      </c>
      <c r="J730" t="s">
        <v>521</v>
      </c>
      <c r="K730">
        <v>0</v>
      </c>
      <c r="L730" t="s">
        <v>162</v>
      </c>
      <c r="N730" t="s">
        <v>299</v>
      </c>
      <c r="O730" t="s">
        <v>521</v>
      </c>
      <c r="P730">
        <v>1.8766003524818692E-2</v>
      </c>
      <c r="Q730" t="s">
        <v>162</v>
      </c>
      <c r="S730" t="s">
        <v>411</v>
      </c>
      <c r="T730" t="s">
        <v>521</v>
      </c>
      <c r="U730">
        <v>2.2324046831727645E-2</v>
      </c>
      <c r="V730" t="s">
        <v>162</v>
      </c>
    </row>
    <row r="731" spans="9:22" x14ac:dyDescent="0.45">
      <c r="I731" t="s">
        <v>187</v>
      </c>
      <c r="J731" t="s">
        <v>165</v>
      </c>
      <c r="K731">
        <v>1.0395581768902741E-2</v>
      </c>
      <c r="L731" t="s">
        <v>162</v>
      </c>
      <c r="N731" t="s">
        <v>299</v>
      </c>
      <c r="O731" t="s">
        <v>165</v>
      </c>
      <c r="P731">
        <v>6.6306289489999726E-2</v>
      </c>
      <c r="Q731" t="s">
        <v>162</v>
      </c>
      <c r="S731" t="s">
        <v>411</v>
      </c>
      <c r="T731" t="s">
        <v>165</v>
      </c>
      <c r="U731">
        <v>5.8005427739437121E-2</v>
      </c>
      <c r="V731" t="s">
        <v>162</v>
      </c>
    </row>
    <row r="732" spans="9:22" x14ac:dyDescent="0.45">
      <c r="I732" t="s">
        <v>187</v>
      </c>
      <c r="J732" t="s">
        <v>166</v>
      </c>
      <c r="K732">
        <v>1.3999891811831764E-2</v>
      </c>
      <c r="L732" t="s">
        <v>162</v>
      </c>
      <c r="N732" t="s">
        <v>299</v>
      </c>
      <c r="O732" t="s">
        <v>166</v>
      </c>
      <c r="P732">
        <v>6.5273430647254512E-3</v>
      </c>
      <c r="Q732" t="s">
        <v>162</v>
      </c>
      <c r="S732" t="s">
        <v>411</v>
      </c>
      <c r="T732" t="s">
        <v>166</v>
      </c>
      <c r="U732">
        <v>6.1505049316238659E-3</v>
      </c>
      <c r="V732" t="s">
        <v>162</v>
      </c>
    </row>
    <row r="733" spans="9:22" x14ac:dyDescent="0.45">
      <c r="I733" t="s">
        <v>187</v>
      </c>
      <c r="J733" t="s">
        <v>167</v>
      </c>
      <c r="K733">
        <v>4.0001428988119328E-2</v>
      </c>
      <c r="L733" t="s">
        <v>162</v>
      </c>
      <c r="N733" t="s">
        <v>299</v>
      </c>
      <c r="O733" t="s">
        <v>167</v>
      </c>
      <c r="P733">
        <v>1.1016685006199829E-2</v>
      </c>
      <c r="Q733" t="s">
        <v>162</v>
      </c>
      <c r="S733" t="s">
        <v>411</v>
      </c>
      <c r="T733" t="s">
        <v>167</v>
      </c>
      <c r="U733">
        <v>1.1814979501675845E-2</v>
      </c>
      <c r="V733" t="s">
        <v>162</v>
      </c>
    </row>
    <row r="734" spans="9:22" x14ac:dyDescent="0.45">
      <c r="I734" t="s">
        <v>187</v>
      </c>
      <c r="J734" t="s">
        <v>522</v>
      </c>
      <c r="K734">
        <v>9.7606303435006592E-2</v>
      </c>
      <c r="L734" t="s">
        <v>162</v>
      </c>
      <c r="N734" t="s">
        <v>299</v>
      </c>
      <c r="O734" t="s">
        <v>522</v>
      </c>
      <c r="P734">
        <v>2.5062712164513626E-2</v>
      </c>
      <c r="Q734" t="s">
        <v>162</v>
      </c>
      <c r="S734" t="s">
        <v>411</v>
      </c>
      <c r="T734" t="s">
        <v>522</v>
      </c>
      <c r="U734">
        <v>2.9813440443398911E-2</v>
      </c>
      <c r="V734" t="s">
        <v>162</v>
      </c>
    </row>
    <row r="735" spans="9:22" x14ac:dyDescent="0.45">
      <c r="I735" t="s">
        <v>187</v>
      </c>
      <c r="J735" t="s">
        <v>523</v>
      </c>
      <c r="K735">
        <v>1.1349896650488554E-2</v>
      </c>
      <c r="L735" t="s">
        <v>162</v>
      </c>
      <c r="N735" t="s">
        <v>299</v>
      </c>
      <c r="O735" t="s">
        <v>523</v>
      </c>
      <c r="P735">
        <v>6.1049516655873517E-3</v>
      </c>
      <c r="Q735" t="s">
        <v>162</v>
      </c>
      <c r="S735" t="s">
        <v>411</v>
      </c>
      <c r="T735" t="s">
        <v>523</v>
      </c>
      <c r="U735">
        <v>6.4898805474991874E-3</v>
      </c>
      <c r="V735" t="s">
        <v>162</v>
      </c>
    </row>
    <row r="736" spans="9:22" x14ac:dyDescent="0.45">
      <c r="I736" t="s">
        <v>187</v>
      </c>
      <c r="J736" t="s">
        <v>524</v>
      </c>
      <c r="K736">
        <v>4.1395377632990242E-3</v>
      </c>
      <c r="L736" t="s">
        <v>162</v>
      </c>
      <c r="N736" t="s">
        <v>299</v>
      </c>
      <c r="O736" t="s">
        <v>524</v>
      </c>
      <c r="P736">
        <v>4.2669283985269493E-2</v>
      </c>
      <c r="Q736" t="s">
        <v>162</v>
      </c>
      <c r="S736" t="s">
        <v>411</v>
      </c>
      <c r="T736" t="s">
        <v>524</v>
      </c>
      <c r="U736">
        <v>4.0317440406219658E-2</v>
      </c>
      <c r="V736" t="s">
        <v>162</v>
      </c>
    </row>
    <row r="737" spans="9:22" x14ac:dyDescent="0.45">
      <c r="I737" t="s">
        <v>187</v>
      </c>
      <c r="J737" t="s">
        <v>168</v>
      </c>
      <c r="K737">
        <v>1.507940241934542E-2</v>
      </c>
      <c r="L737" t="s">
        <v>162</v>
      </c>
      <c r="N737" t="s">
        <v>299</v>
      </c>
      <c r="O737" t="s">
        <v>168</v>
      </c>
      <c r="P737">
        <v>3.7687122860510368E-2</v>
      </c>
      <c r="Q737" t="s">
        <v>162</v>
      </c>
      <c r="S737" t="s">
        <v>411</v>
      </c>
      <c r="T737" t="s">
        <v>168</v>
      </c>
      <c r="U737">
        <v>3.0205788775531584E-2</v>
      </c>
      <c r="V737" t="s">
        <v>162</v>
      </c>
    </row>
    <row r="738" spans="9:22" x14ac:dyDescent="0.45">
      <c r="I738" t="s">
        <v>187</v>
      </c>
      <c r="J738" t="s">
        <v>169</v>
      </c>
      <c r="K738">
        <v>1.0716829315465234E-2</v>
      </c>
      <c r="L738" t="s">
        <v>162</v>
      </c>
      <c r="N738" t="s">
        <v>299</v>
      </c>
      <c r="O738" t="s">
        <v>169</v>
      </c>
      <c r="P738">
        <v>2.9599308526876665E-3</v>
      </c>
      <c r="Q738" t="s">
        <v>162</v>
      </c>
      <c r="S738" t="s">
        <v>411</v>
      </c>
      <c r="T738" t="s">
        <v>169</v>
      </c>
      <c r="U738">
        <v>3.2997256733907181E-3</v>
      </c>
      <c r="V738" t="s">
        <v>162</v>
      </c>
    </row>
    <row r="739" spans="9:22" x14ac:dyDescent="0.45">
      <c r="I739" t="s">
        <v>187</v>
      </c>
      <c r="J739" t="s">
        <v>170</v>
      </c>
      <c r="K739">
        <v>2.5876403492204211E-2</v>
      </c>
      <c r="L739" t="s">
        <v>162</v>
      </c>
      <c r="N739" t="s">
        <v>299</v>
      </c>
      <c r="O739" t="s">
        <v>170</v>
      </c>
      <c r="P739">
        <v>5.4599065375689404E-3</v>
      </c>
      <c r="Q739" t="s">
        <v>162</v>
      </c>
      <c r="S739" t="s">
        <v>411</v>
      </c>
      <c r="T739" t="s">
        <v>170</v>
      </c>
      <c r="U739">
        <v>6.7082879810461699E-3</v>
      </c>
      <c r="V739" t="s">
        <v>162</v>
      </c>
    </row>
    <row r="740" spans="9:22" x14ac:dyDescent="0.45">
      <c r="I740" t="s">
        <v>187</v>
      </c>
      <c r="J740" t="s">
        <v>525</v>
      </c>
      <c r="K740">
        <v>6.274258898396172E-2</v>
      </c>
      <c r="L740" t="s">
        <v>162</v>
      </c>
      <c r="N740" t="s">
        <v>299</v>
      </c>
      <c r="O740" t="s">
        <v>525</v>
      </c>
      <c r="P740">
        <v>1.4423582926607684E-2</v>
      </c>
      <c r="Q740" t="s">
        <v>162</v>
      </c>
      <c r="S740" t="s">
        <v>411</v>
      </c>
      <c r="T740" t="s">
        <v>525</v>
      </c>
      <c r="U740">
        <v>1.701021708016803E-2</v>
      </c>
      <c r="V740" t="s">
        <v>162</v>
      </c>
    </row>
    <row r="741" spans="9:22" x14ac:dyDescent="0.45">
      <c r="I741" t="s">
        <v>187</v>
      </c>
      <c r="J741" t="s">
        <v>526</v>
      </c>
      <c r="K741">
        <v>8.4692987266310801E-3</v>
      </c>
      <c r="L741" t="s">
        <v>162</v>
      </c>
      <c r="N741" t="s">
        <v>299</v>
      </c>
      <c r="O741" t="s">
        <v>526</v>
      </c>
      <c r="P741">
        <v>3.2106278908209137E-3</v>
      </c>
      <c r="Q741" t="s">
        <v>162</v>
      </c>
      <c r="S741" t="s">
        <v>411</v>
      </c>
      <c r="T741" t="s">
        <v>526</v>
      </c>
      <c r="U741">
        <v>3.4770646366888407E-3</v>
      </c>
      <c r="V741" t="s">
        <v>162</v>
      </c>
    </row>
    <row r="742" spans="9:22" x14ac:dyDescent="0.45">
      <c r="I742" t="s">
        <v>187</v>
      </c>
      <c r="J742" t="s">
        <v>527</v>
      </c>
      <c r="K742">
        <v>8.341471046852714E-3</v>
      </c>
      <c r="L742" t="s">
        <v>162</v>
      </c>
      <c r="N742" t="s">
        <v>299</v>
      </c>
      <c r="O742" t="s">
        <v>527</v>
      </c>
      <c r="P742">
        <v>2.5436271295696727E-2</v>
      </c>
      <c r="Q742" t="s">
        <v>162</v>
      </c>
      <c r="S742" t="s">
        <v>411</v>
      </c>
      <c r="T742" t="s">
        <v>527</v>
      </c>
      <c r="U742">
        <v>2.122305683347641E-2</v>
      </c>
      <c r="V742" t="s">
        <v>162</v>
      </c>
    </row>
    <row r="743" spans="9:22" x14ac:dyDescent="0.45">
      <c r="I743" t="s">
        <v>187</v>
      </c>
      <c r="J743" t="s">
        <v>528</v>
      </c>
      <c r="K743">
        <v>6.6996287327450235E-2</v>
      </c>
      <c r="L743" t="s">
        <v>162</v>
      </c>
      <c r="N743" t="s">
        <v>299</v>
      </c>
      <c r="O743" t="s">
        <v>528</v>
      </c>
      <c r="P743">
        <v>9.8915578137072191E-2</v>
      </c>
      <c r="Q743" t="s">
        <v>162</v>
      </c>
      <c r="S743" t="s">
        <v>411</v>
      </c>
      <c r="T743" t="s">
        <v>528</v>
      </c>
      <c r="U743">
        <v>8.7951683506945766E-2</v>
      </c>
      <c r="V743" t="s">
        <v>162</v>
      </c>
    </row>
    <row r="744" spans="9:22" x14ac:dyDescent="0.45">
      <c r="I744" t="s">
        <v>187</v>
      </c>
      <c r="J744" t="s">
        <v>529</v>
      </c>
      <c r="K744">
        <v>3.0515298602225564E-2</v>
      </c>
      <c r="L744" t="s">
        <v>162</v>
      </c>
      <c r="N744" t="s">
        <v>299</v>
      </c>
      <c r="O744" t="s">
        <v>529</v>
      </c>
      <c r="P744">
        <v>7.3479657834593934E-3</v>
      </c>
      <c r="Q744" t="s">
        <v>162</v>
      </c>
      <c r="S744" t="s">
        <v>411</v>
      </c>
      <c r="T744" t="s">
        <v>529</v>
      </c>
      <c r="U744">
        <v>8.7028995177482697E-3</v>
      </c>
      <c r="V744" t="s">
        <v>162</v>
      </c>
    </row>
    <row r="745" spans="9:22" x14ac:dyDescent="0.45">
      <c r="I745" t="s">
        <v>187</v>
      </c>
      <c r="J745" t="s">
        <v>530</v>
      </c>
      <c r="K745">
        <v>6.9095545013475562E-2</v>
      </c>
      <c r="L745" t="s">
        <v>162</v>
      </c>
      <c r="N745" t="s">
        <v>299</v>
      </c>
      <c r="O745" t="s">
        <v>530</v>
      </c>
      <c r="P745">
        <v>1.5732449193314849E-2</v>
      </c>
      <c r="Q745" t="s">
        <v>162</v>
      </c>
      <c r="S745" t="s">
        <v>411</v>
      </c>
      <c r="T745" t="s">
        <v>530</v>
      </c>
      <c r="U745">
        <v>1.7542442917177083E-2</v>
      </c>
      <c r="V745" t="s">
        <v>162</v>
      </c>
    </row>
    <row r="746" spans="9:22" x14ac:dyDescent="0.45">
      <c r="I746" t="s">
        <v>187</v>
      </c>
      <c r="J746" t="s">
        <v>531</v>
      </c>
      <c r="K746">
        <v>0.17012050872254489</v>
      </c>
      <c r="L746" t="s">
        <v>162</v>
      </c>
      <c r="N746" t="s">
        <v>299</v>
      </c>
      <c r="O746" t="s">
        <v>531</v>
      </c>
      <c r="P746">
        <v>4.4202514952307627E-2</v>
      </c>
      <c r="Q746" t="s">
        <v>162</v>
      </c>
      <c r="S746" t="s">
        <v>411</v>
      </c>
      <c r="T746" t="s">
        <v>531</v>
      </c>
      <c r="U746">
        <v>4.8686148080977452E-2</v>
      </c>
      <c r="V746" t="s">
        <v>162</v>
      </c>
    </row>
    <row r="747" spans="9:22" x14ac:dyDescent="0.45">
      <c r="I747" t="s">
        <v>187</v>
      </c>
      <c r="J747" t="s">
        <v>532</v>
      </c>
      <c r="K747">
        <v>2.6398240173791075E-2</v>
      </c>
      <c r="L747" t="s">
        <v>162</v>
      </c>
      <c r="N747" t="s">
        <v>299</v>
      </c>
      <c r="O747" t="s">
        <v>532</v>
      </c>
      <c r="P747">
        <v>8.9447786796317229E-3</v>
      </c>
      <c r="Q747" t="s">
        <v>162</v>
      </c>
      <c r="S747" t="s">
        <v>411</v>
      </c>
      <c r="T747" t="s">
        <v>532</v>
      </c>
      <c r="U747">
        <v>1.0501797581728199E-2</v>
      </c>
      <c r="V747" t="s">
        <v>162</v>
      </c>
    </row>
    <row r="748" spans="9:22" x14ac:dyDescent="0.45">
      <c r="I748" t="s">
        <v>187</v>
      </c>
      <c r="J748" t="s">
        <v>533</v>
      </c>
      <c r="K748">
        <v>4.6038229936885236E-2</v>
      </c>
      <c r="L748" t="s">
        <v>162</v>
      </c>
      <c r="N748" t="s">
        <v>299</v>
      </c>
      <c r="O748" t="s">
        <v>533</v>
      </c>
      <c r="P748">
        <v>6.5498336444971245E-2</v>
      </c>
      <c r="Q748" t="s">
        <v>162</v>
      </c>
      <c r="S748" t="s">
        <v>411</v>
      </c>
      <c r="T748" t="s">
        <v>533</v>
      </c>
      <c r="U748">
        <v>6.3962250358557848E-2</v>
      </c>
      <c r="V748" t="s">
        <v>162</v>
      </c>
    </row>
    <row r="749" spans="9:22" x14ac:dyDescent="0.45">
      <c r="I749" t="s">
        <v>187</v>
      </c>
      <c r="J749" t="s">
        <v>534</v>
      </c>
      <c r="K749">
        <v>2.3559909729133379E-2</v>
      </c>
      <c r="L749" t="s">
        <v>162</v>
      </c>
      <c r="N749" t="s">
        <v>299</v>
      </c>
      <c r="O749" t="s">
        <v>534</v>
      </c>
      <c r="P749">
        <v>0.10256116384115149</v>
      </c>
      <c r="Q749" t="s">
        <v>162</v>
      </c>
      <c r="S749" t="s">
        <v>411</v>
      </c>
      <c r="T749" t="s">
        <v>534</v>
      </c>
      <c r="U749">
        <v>0.10012262829721359</v>
      </c>
      <c r="V749" t="s">
        <v>162</v>
      </c>
    </row>
    <row r="750" spans="9:22" x14ac:dyDescent="0.45">
      <c r="I750" t="s">
        <v>187</v>
      </c>
      <c r="J750" t="s">
        <v>535</v>
      </c>
      <c r="K750">
        <v>1.7489846297306936E-2</v>
      </c>
      <c r="L750" t="s">
        <v>162</v>
      </c>
      <c r="N750" t="s">
        <v>299</v>
      </c>
      <c r="O750" t="s">
        <v>535</v>
      </c>
      <c r="P750">
        <v>9.2503340754482629E-3</v>
      </c>
      <c r="Q750" t="s">
        <v>162</v>
      </c>
      <c r="S750" t="s">
        <v>411</v>
      </c>
      <c r="T750" t="s">
        <v>535</v>
      </c>
      <c r="U750">
        <v>1.0578865149838412E-2</v>
      </c>
      <c r="V750" t="s">
        <v>162</v>
      </c>
    </row>
    <row r="751" spans="9:22" x14ac:dyDescent="0.45">
      <c r="I751" t="s">
        <v>187</v>
      </c>
      <c r="J751" t="s">
        <v>536</v>
      </c>
      <c r="K751">
        <v>4.1465348483915331E-2</v>
      </c>
      <c r="L751" t="s">
        <v>162</v>
      </c>
      <c r="N751" t="s">
        <v>299</v>
      </c>
      <c r="O751" t="s">
        <v>536</v>
      </c>
      <c r="P751">
        <v>1.8350634024100261E-2</v>
      </c>
      <c r="Q751" t="s">
        <v>162</v>
      </c>
      <c r="S751" t="s">
        <v>411</v>
      </c>
      <c r="T751" t="s">
        <v>536</v>
      </c>
      <c r="U751">
        <v>2.1266798074306481E-2</v>
      </c>
      <c r="V751" t="s">
        <v>162</v>
      </c>
    </row>
    <row r="752" spans="9:22" x14ac:dyDescent="0.45">
      <c r="I752" t="s">
        <v>187</v>
      </c>
      <c r="J752" t="s">
        <v>537</v>
      </c>
      <c r="K752">
        <v>9.3296372790705656E-2</v>
      </c>
      <c r="L752" t="s">
        <v>162</v>
      </c>
      <c r="N752" t="s">
        <v>299</v>
      </c>
      <c r="O752" t="s">
        <v>537</v>
      </c>
      <c r="P752">
        <v>5.1861620961679115E-2</v>
      </c>
      <c r="Q752" t="s">
        <v>162</v>
      </c>
      <c r="S752" t="s">
        <v>411</v>
      </c>
      <c r="T752" t="s">
        <v>537</v>
      </c>
      <c r="U752">
        <v>5.3811028276315204E-2</v>
      </c>
      <c r="V752" t="s">
        <v>162</v>
      </c>
    </row>
    <row r="753" spans="9:22" x14ac:dyDescent="0.45">
      <c r="I753" t="s">
        <v>187</v>
      </c>
      <c r="J753" t="s">
        <v>538</v>
      </c>
      <c r="K753">
        <v>1.133153077493673E-2</v>
      </c>
      <c r="L753" t="s">
        <v>162</v>
      </c>
      <c r="N753" t="s">
        <v>299</v>
      </c>
      <c r="O753" t="s">
        <v>538</v>
      </c>
      <c r="P753">
        <v>1.1395782077268365E-2</v>
      </c>
      <c r="Q753" t="s">
        <v>162</v>
      </c>
      <c r="S753" t="s">
        <v>411</v>
      </c>
      <c r="T753" t="s">
        <v>538</v>
      </c>
      <c r="U753">
        <v>1.0508846427337116E-2</v>
      </c>
      <c r="V753" t="s">
        <v>162</v>
      </c>
    </row>
    <row r="754" spans="9:22" x14ac:dyDescent="0.45">
      <c r="I754" t="s">
        <v>187</v>
      </c>
      <c r="J754" t="s">
        <v>539</v>
      </c>
      <c r="K754">
        <v>1.0374393343260591E-2</v>
      </c>
      <c r="L754" t="s">
        <v>162</v>
      </c>
      <c r="N754" t="s">
        <v>299</v>
      </c>
      <c r="O754" t="s">
        <v>539</v>
      </c>
      <c r="P754">
        <v>7.4647423572102772E-2</v>
      </c>
      <c r="Q754" t="s">
        <v>162</v>
      </c>
      <c r="S754" t="s">
        <v>411</v>
      </c>
      <c r="T754" t="s">
        <v>539</v>
      </c>
      <c r="U754">
        <v>6.5273179539013085E-2</v>
      </c>
      <c r="V754" t="s">
        <v>162</v>
      </c>
    </row>
    <row r="755" spans="9:22" x14ac:dyDescent="0.45">
      <c r="I755" t="s">
        <v>187</v>
      </c>
      <c r="J755" t="s">
        <v>540</v>
      </c>
      <c r="K755">
        <v>2.0489561634557296E-4</v>
      </c>
      <c r="L755" t="s">
        <v>162</v>
      </c>
      <c r="N755" t="s">
        <v>299</v>
      </c>
      <c r="O755" t="s">
        <v>540</v>
      </c>
      <c r="P755">
        <v>2.9959065810910561E-2</v>
      </c>
      <c r="Q755" t="s">
        <v>162</v>
      </c>
      <c r="S755" t="s">
        <v>411</v>
      </c>
      <c r="T755" t="s">
        <v>540</v>
      </c>
      <c r="U755">
        <v>3.3580515788547913E-2</v>
      </c>
      <c r="V755" t="s">
        <v>162</v>
      </c>
    </row>
    <row r="756" spans="9:22" x14ac:dyDescent="0.45">
      <c r="I756" t="s">
        <v>187</v>
      </c>
      <c r="J756" t="s">
        <v>541</v>
      </c>
      <c r="K756">
        <v>1.8354355335327792E-3</v>
      </c>
      <c r="L756" t="s">
        <v>162</v>
      </c>
      <c r="N756" t="s">
        <v>299</v>
      </c>
      <c r="O756" t="s">
        <v>541</v>
      </c>
      <c r="P756">
        <v>3.6976292833080363E-3</v>
      </c>
      <c r="Q756" t="s">
        <v>162</v>
      </c>
      <c r="S756" t="s">
        <v>411</v>
      </c>
      <c r="T756" t="s">
        <v>541</v>
      </c>
      <c r="U756">
        <v>3.8190497142015739E-3</v>
      </c>
      <c r="V756" t="s">
        <v>162</v>
      </c>
    </row>
    <row r="757" spans="9:22" x14ac:dyDescent="0.45">
      <c r="I757" t="s">
        <v>187</v>
      </c>
      <c r="J757" t="s">
        <v>542</v>
      </c>
      <c r="K757">
        <v>8.0703025385645139E-3</v>
      </c>
      <c r="L757" t="s">
        <v>162</v>
      </c>
      <c r="N757" t="s">
        <v>299</v>
      </c>
      <c r="O757" t="s">
        <v>542</v>
      </c>
      <c r="P757">
        <v>6.7933067915483831E-3</v>
      </c>
      <c r="Q757" t="s">
        <v>162</v>
      </c>
      <c r="S757" t="s">
        <v>411</v>
      </c>
      <c r="T757" t="s">
        <v>542</v>
      </c>
      <c r="U757">
        <v>7.6748119314554797E-3</v>
      </c>
      <c r="V757" t="s">
        <v>162</v>
      </c>
    </row>
    <row r="758" spans="9:22" x14ac:dyDescent="0.45">
      <c r="I758" t="s">
        <v>187</v>
      </c>
      <c r="J758" t="s">
        <v>543</v>
      </c>
      <c r="K758">
        <v>1.784570379508689E-2</v>
      </c>
      <c r="L758" t="s">
        <v>162</v>
      </c>
      <c r="N758" t="s">
        <v>299</v>
      </c>
      <c r="O758" t="s">
        <v>543</v>
      </c>
      <c r="P758">
        <v>1.5055031823287509E-2</v>
      </c>
      <c r="Q758" t="s">
        <v>162</v>
      </c>
      <c r="S758" t="s">
        <v>411</v>
      </c>
      <c r="T758" t="s">
        <v>543</v>
      </c>
      <c r="U758">
        <v>1.9400444167082209E-2</v>
      </c>
      <c r="V758" t="s">
        <v>162</v>
      </c>
    </row>
    <row r="759" spans="9:22" x14ac:dyDescent="0.45">
      <c r="I759" t="s">
        <v>187</v>
      </c>
      <c r="J759" t="s">
        <v>544</v>
      </c>
      <c r="K759">
        <v>0</v>
      </c>
      <c r="L759" t="s">
        <v>162</v>
      </c>
      <c r="N759" t="s">
        <v>299</v>
      </c>
      <c r="O759" t="s">
        <v>544</v>
      </c>
      <c r="P759">
        <v>3.1832456651230056E-3</v>
      </c>
      <c r="Q759" t="s">
        <v>162</v>
      </c>
      <c r="S759" t="s">
        <v>411</v>
      </c>
      <c r="T759" t="s">
        <v>544</v>
      </c>
      <c r="U759">
        <v>3.833174486411392E-3</v>
      </c>
      <c r="V759" t="s">
        <v>162</v>
      </c>
    </row>
    <row r="760" spans="9:22" x14ac:dyDescent="0.45">
      <c r="I760" t="s">
        <v>187</v>
      </c>
      <c r="J760" t="s">
        <v>545</v>
      </c>
      <c r="K760">
        <v>0</v>
      </c>
      <c r="L760" t="s">
        <v>162</v>
      </c>
      <c r="N760" t="s">
        <v>299</v>
      </c>
      <c r="O760" t="s">
        <v>545</v>
      </c>
      <c r="P760">
        <v>1.7409565758256723E-2</v>
      </c>
      <c r="Q760" t="s">
        <v>162</v>
      </c>
      <c r="S760" t="s">
        <v>411</v>
      </c>
      <c r="T760" t="s">
        <v>545</v>
      </c>
      <c r="U760">
        <v>2.2580185211729106E-2</v>
      </c>
      <c r="V760" t="s">
        <v>162</v>
      </c>
    </row>
    <row r="761" spans="9:22" x14ac:dyDescent="0.45">
      <c r="I761" t="s">
        <v>187</v>
      </c>
      <c r="J761" t="s">
        <v>546</v>
      </c>
      <c r="K761">
        <v>0</v>
      </c>
      <c r="L761" t="s">
        <v>162</v>
      </c>
      <c r="N761" t="s">
        <v>299</v>
      </c>
      <c r="O761" t="s">
        <v>546</v>
      </c>
      <c r="P761">
        <v>3.6010312386353278E-2</v>
      </c>
      <c r="Q761" t="s">
        <v>162</v>
      </c>
      <c r="S761" t="s">
        <v>411</v>
      </c>
      <c r="T761" t="s">
        <v>546</v>
      </c>
      <c r="U761">
        <v>3.4200806148617667E-2</v>
      </c>
      <c r="V761" t="s">
        <v>162</v>
      </c>
    </row>
    <row r="762" spans="9:22" x14ac:dyDescent="0.45">
      <c r="I762" t="s">
        <v>187</v>
      </c>
      <c r="J762" t="s">
        <v>547</v>
      </c>
      <c r="K762">
        <v>2.1942457120221974E-4</v>
      </c>
      <c r="L762" t="s">
        <v>162</v>
      </c>
      <c r="N762" t="s">
        <v>299</v>
      </c>
      <c r="O762" t="s">
        <v>547</v>
      </c>
      <c r="P762">
        <v>3.791249760836645E-3</v>
      </c>
      <c r="Q762" t="s">
        <v>162</v>
      </c>
      <c r="S762" t="s">
        <v>411</v>
      </c>
      <c r="T762" t="s">
        <v>547</v>
      </c>
      <c r="U762">
        <v>3.9690940422425266E-3</v>
      </c>
      <c r="V762" t="s">
        <v>162</v>
      </c>
    </row>
    <row r="763" spans="9:22" x14ac:dyDescent="0.45">
      <c r="I763" t="s">
        <v>187</v>
      </c>
      <c r="J763" t="s">
        <v>548</v>
      </c>
      <c r="K763">
        <v>8.2760741997204169E-3</v>
      </c>
      <c r="L763" t="s">
        <v>162</v>
      </c>
      <c r="N763" t="s">
        <v>299</v>
      </c>
      <c r="O763" t="s">
        <v>548</v>
      </c>
      <c r="P763">
        <v>7.0394516961257772E-3</v>
      </c>
      <c r="Q763" t="s">
        <v>162</v>
      </c>
      <c r="S763" t="s">
        <v>411</v>
      </c>
      <c r="T763" t="s">
        <v>548</v>
      </c>
      <c r="U763">
        <v>8.1680445074247508E-3</v>
      </c>
      <c r="V763" t="s">
        <v>162</v>
      </c>
    </row>
    <row r="764" spans="9:22" x14ac:dyDescent="0.45">
      <c r="I764" t="s">
        <v>187</v>
      </c>
      <c r="J764" t="s">
        <v>549</v>
      </c>
      <c r="K764">
        <v>1.7581772930262501E-2</v>
      </c>
      <c r="L764" t="s">
        <v>162</v>
      </c>
      <c r="N764" t="s">
        <v>299</v>
      </c>
      <c r="O764" t="s">
        <v>549</v>
      </c>
      <c r="P764">
        <v>1.6464712986711587E-2</v>
      </c>
      <c r="Q764" t="s">
        <v>162</v>
      </c>
      <c r="S764" t="s">
        <v>411</v>
      </c>
      <c r="T764" t="s">
        <v>549</v>
      </c>
      <c r="U764">
        <v>2.0164793586441077E-2</v>
      </c>
      <c r="V764" t="s">
        <v>162</v>
      </c>
    </row>
    <row r="765" spans="9:22" x14ac:dyDescent="0.45">
      <c r="I765" t="s">
        <v>187</v>
      </c>
      <c r="J765" t="s">
        <v>550</v>
      </c>
      <c r="K765">
        <v>0</v>
      </c>
      <c r="L765" t="s">
        <v>162</v>
      </c>
      <c r="N765" t="s">
        <v>299</v>
      </c>
      <c r="O765" t="s">
        <v>550</v>
      </c>
      <c r="P765">
        <v>3.8750272858583319E-3</v>
      </c>
      <c r="Q765" t="s">
        <v>162</v>
      </c>
      <c r="S765" t="s">
        <v>411</v>
      </c>
      <c r="T765" t="s">
        <v>550</v>
      </c>
      <c r="U765">
        <v>3.840293915531646E-3</v>
      </c>
      <c r="V765" t="s">
        <v>162</v>
      </c>
    </row>
    <row r="766" spans="9:22" x14ac:dyDescent="0.45">
      <c r="I766" t="s">
        <v>187</v>
      </c>
      <c r="J766" t="s">
        <v>551</v>
      </c>
      <c r="K766">
        <v>0</v>
      </c>
      <c r="L766" t="s">
        <v>162</v>
      </c>
      <c r="N766" t="s">
        <v>299</v>
      </c>
      <c r="O766" t="s">
        <v>551</v>
      </c>
      <c r="P766">
        <v>2.4944080687410351E-2</v>
      </c>
      <c r="Q766" t="s">
        <v>162</v>
      </c>
      <c r="S766" t="s">
        <v>411</v>
      </c>
      <c r="T766" t="s">
        <v>551</v>
      </c>
      <c r="U766">
        <v>2.245789393041598E-2</v>
      </c>
      <c r="V766" t="s">
        <v>162</v>
      </c>
    </row>
    <row r="767" spans="9:22" x14ac:dyDescent="0.45">
      <c r="I767" t="s">
        <v>188</v>
      </c>
      <c r="J767" t="s">
        <v>161</v>
      </c>
      <c r="K767">
        <v>0</v>
      </c>
      <c r="L767" t="s">
        <v>162</v>
      </c>
      <c r="N767" t="s">
        <v>300</v>
      </c>
      <c r="O767" t="s">
        <v>161</v>
      </c>
      <c r="P767">
        <v>3.1033818684095885E-2</v>
      </c>
      <c r="Q767" t="s">
        <v>162</v>
      </c>
      <c r="S767" t="s">
        <v>412</v>
      </c>
      <c r="T767" t="s">
        <v>161</v>
      </c>
      <c r="U767">
        <v>2.2815841726397345E-2</v>
      </c>
      <c r="V767" t="s">
        <v>162</v>
      </c>
    </row>
    <row r="768" spans="9:22" x14ac:dyDescent="0.45">
      <c r="I768" t="s">
        <v>188</v>
      </c>
      <c r="J768" t="s">
        <v>163</v>
      </c>
      <c r="K768">
        <v>7.0278861365267878E-4</v>
      </c>
      <c r="L768" t="s">
        <v>162</v>
      </c>
      <c r="N768" t="s">
        <v>300</v>
      </c>
      <c r="O768" t="s">
        <v>163</v>
      </c>
      <c r="P768">
        <v>3.7344302738539017E-3</v>
      </c>
      <c r="Q768" t="s">
        <v>162</v>
      </c>
      <c r="S768" t="s">
        <v>412</v>
      </c>
      <c r="T768" t="s">
        <v>163</v>
      </c>
      <c r="U768">
        <v>2.5002074800882677E-3</v>
      </c>
      <c r="V768" t="s">
        <v>162</v>
      </c>
    </row>
    <row r="769" spans="9:22" x14ac:dyDescent="0.45">
      <c r="I769" t="s">
        <v>188</v>
      </c>
      <c r="J769" t="s">
        <v>164</v>
      </c>
      <c r="K769">
        <v>7.869694982508597E-3</v>
      </c>
      <c r="L769" t="s">
        <v>162</v>
      </c>
      <c r="N769" t="s">
        <v>300</v>
      </c>
      <c r="O769" t="s">
        <v>164</v>
      </c>
      <c r="P769">
        <v>6.3407229116684118E-3</v>
      </c>
      <c r="Q769" t="s">
        <v>162</v>
      </c>
      <c r="S769" t="s">
        <v>412</v>
      </c>
      <c r="T769" t="s">
        <v>164</v>
      </c>
      <c r="U769">
        <v>4.6684216385305573E-3</v>
      </c>
      <c r="V769" t="s">
        <v>162</v>
      </c>
    </row>
    <row r="770" spans="9:22" x14ac:dyDescent="0.45">
      <c r="I770" t="s">
        <v>188</v>
      </c>
      <c r="J770" t="s">
        <v>519</v>
      </c>
      <c r="K770">
        <v>2.3268989820353081E-2</v>
      </c>
      <c r="L770" t="s">
        <v>162</v>
      </c>
      <c r="N770" t="s">
        <v>300</v>
      </c>
      <c r="O770" t="s">
        <v>519</v>
      </c>
      <c r="P770">
        <v>1.4691692510828403E-2</v>
      </c>
      <c r="Q770" t="s">
        <v>162</v>
      </c>
      <c r="S770" t="s">
        <v>412</v>
      </c>
      <c r="T770" t="s">
        <v>519</v>
      </c>
      <c r="U770">
        <v>1.1107525553928228E-2</v>
      </c>
      <c r="V770" t="s">
        <v>162</v>
      </c>
    </row>
    <row r="771" spans="9:22" x14ac:dyDescent="0.45">
      <c r="I771" t="s">
        <v>188</v>
      </c>
      <c r="J771" t="s">
        <v>520</v>
      </c>
      <c r="K771">
        <v>6.9566965895589318E-5</v>
      </c>
      <c r="L771" t="s">
        <v>162</v>
      </c>
      <c r="N771" t="s">
        <v>300</v>
      </c>
      <c r="O771" t="s">
        <v>520</v>
      </c>
      <c r="P771">
        <v>3.3136996428389486E-3</v>
      </c>
      <c r="Q771" t="s">
        <v>162</v>
      </c>
      <c r="S771" t="s">
        <v>412</v>
      </c>
      <c r="T771" t="s">
        <v>520</v>
      </c>
      <c r="U771">
        <v>2.1606218744036581E-3</v>
      </c>
      <c r="V771" t="s">
        <v>162</v>
      </c>
    </row>
    <row r="772" spans="9:22" x14ac:dyDescent="0.45">
      <c r="I772" t="s">
        <v>188</v>
      </c>
      <c r="J772" t="s">
        <v>521</v>
      </c>
      <c r="K772">
        <v>0</v>
      </c>
      <c r="L772" t="s">
        <v>162</v>
      </c>
      <c r="N772" t="s">
        <v>300</v>
      </c>
      <c r="O772" t="s">
        <v>521</v>
      </c>
      <c r="P772">
        <v>1.7710932935491159E-2</v>
      </c>
      <c r="Q772" t="s">
        <v>162</v>
      </c>
      <c r="S772" t="s">
        <v>412</v>
      </c>
      <c r="T772" t="s">
        <v>521</v>
      </c>
      <c r="U772">
        <v>1.4560607750260775E-2</v>
      </c>
      <c r="V772" t="s">
        <v>162</v>
      </c>
    </row>
    <row r="773" spans="9:22" x14ac:dyDescent="0.45">
      <c r="I773" t="s">
        <v>188</v>
      </c>
      <c r="J773" t="s">
        <v>165</v>
      </c>
      <c r="K773">
        <v>1.0094323081845189E-2</v>
      </c>
      <c r="L773" t="s">
        <v>162</v>
      </c>
      <c r="N773" t="s">
        <v>300</v>
      </c>
      <c r="O773" t="s">
        <v>165</v>
      </c>
      <c r="P773">
        <v>6.2838457205309395E-2</v>
      </c>
      <c r="Q773" t="s">
        <v>162</v>
      </c>
      <c r="S773" t="s">
        <v>412</v>
      </c>
      <c r="T773" t="s">
        <v>165</v>
      </c>
      <c r="U773">
        <v>6.1180601487145041E-2</v>
      </c>
      <c r="V773" t="s">
        <v>162</v>
      </c>
    </row>
    <row r="774" spans="9:22" x14ac:dyDescent="0.45">
      <c r="I774" t="s">
        <v>188</v>
      </c>
      <c r="J774" t="s">
        <v>166</v>
      </c>
      <c r="K774">
        <v>1.4565069367543256E-2</v>
      </c>
      <c r="L774" t="s">
        <v>162</v>
      </c>
      <c r="N774" t="s">
        <v>300</v>
      </c>
      <c r="O774" t="s">
        <v>166</v>
      </c>
      <c r="P774">
        <v>5.516953308193448E-3</v>
      </c>
      <c r="Q774" t="s">
        <v>162</v>
      </c>
      <c r="S774" t="s">
        <v>412</v>
      </c>
      <c r="T774" t="s">
        <v>166</v>
      </c>
      <c r="U774">
        <v>6.9509401811602336E-3</v>
      </c>
      <c r="V774" t="s">
        <v>162</v>
      </c>
    </row>
    <row r="775" spans="9:22" x14ac:dyDescent="0.45">
      <c r="I775" t="s">
        <v>188</v>
      </c>
      <c r="J775" t="s">
        <v>167</v>
      </c>
      <c r="K775">
        <v>4.0690272479480094E-2</v>
      </c>
      <c r="L775" t="s">
        <v>162</v>
      </c>
      <c r="N775" t="s">
        <v>300</v>
      </c>
      <c r="O775" t="s">
        <v>167</v>
      </c>
      <c r="P775">
        <v>8.9289506217392206E-3</v>
      </c>
      <c r="Q775" t="s">
        <v>162</v>
      </c>
      <c r="S775" t="s">
        <v>412</v>
      </c>
      <c r="T775" t="s">
        <v>167</v>
      </c>
      <c r="U775">
        <v>1.3270928363293319E-2</v>
      </c>
      <c r="V775" t="s">
        <v>162</v>
      </c>
    </row>
    <row r="776" spans="9:22" x14ac:dyDescent="0.45">
      <c r="I776" t="s">
        <v>188</v>
      </c>
      <c r="J776" t="s">
        <v>522</v>
      </c>
      <c r="K776">
        <v>9.8265683946817159E-2</v>
      </c>
      <c r="L776" t="s">
        <v>162</v>
      </c>
      <c r="N776" t="s">
        <v>300</v>
      </c>
      <c r="O776" t="s">
        <v>522</v>
      </c>
      <c r="P776">
        <v>2.1188405087115773E-2</v>
      </c>
      <c r="Q776" t="s">
        <v>162</v>
      </c>
      <c r="S776" t="s">
        <v>412</v>
      </c>
      <c r="T776" t="s">
        <v>522</v>
      </c>
      <c r="U776">
        <v>3.2367613013926232E-2</v>
      </c>
      <c r="V776" t="s">
        <v>162</v>
      </c>
    </row>
    <row r="777" spans="9:22" x14ac:dyDescent="0.45">
      <c r="I777" t="s">
        <v>188</v>
      </c>
      <c r="J777" t="s">
        <v>523</v>
      </c>
      <c r="K777">
        <v>1.1890686724926151E-2</v>
      </c>
      <c r="L777" t="s">
        <v>162</v>
      </c>
      <c r="N777" t="s">
        <v>300</v>
      </c>
      <c r="O777" t="s">
        <v>523</v>
      </c>
      <c r="P777">
        <v>6.2529562539332022E-3</v>
      </c>
      <c r="Q777" t="s">
        <v>162</v>
      </c>
      <c r="S777" t="s">
        <v>412</v>
      </c>
      <c r="T777" t="s">
        <v>523</v>
      </c>
      <c r="U777">
        <v>6.8057214013785977E-3</v>
      </c>
      <c r="V777" t="s">
        <v>162</v>
      </c>
    </row>
    <row r="778" spans="9:22" x14ac:dyDescent="0.45">
      <c r="I778" t="s">
        <v>188</v>
      </c>
      <c r="J778" t="s">
        <v>524</v>
      </c>
      <c r="K778">
        <v>3.999645811467588E-3</v>
      </c>
      <c r="L778" t="s">
        <v>162</v>
      </c>
      <c r="N778" t="s">
        <v>300</v>
      </c>
      <c r="O778" t="s">
        <v>524</v>
      </c>
      <c r="P778">
        <v>4.4188676527482061E-2</v>
      </c>
      <c r="Q778" t="s">
        <v>162</v>
      </c>
      <c r="S778" t="s">
        <v>412</v>
      </c>
      <c r="T778" t="s">
        <v>524</v>
      </c>
      <c r="U778">
        <v>4.2126391354323348E-2</v>
      </c>
      <c r="V778" t="s">
        <v>162</v>
      </c>
    </row>
    <row r="779" spans="9:22" x14ac:dyDescent="0.45">
      <c r="I779" t="s">
        <v>188</v>
      </c>
      <c r="J779" t="s">
        <v>168</v>
      </c>
      <c r="K779">
        <v>1.3477766315235316E-2</v>
      </c>
      <c r="L779" t="s">
        <v>162</v>
      </c>
      <c r="N779" t="s">
        <v>300</v>
      </c>
      <c r="O779" t="s">
        <v>168</v>
      </c>
      <c r="P779">
        <v>3.8202363739938752E-2</v>
      </c>
      <c r="Q779" t="s">
        <v>162</v>
      </c>
      <c r="S779" t="s">
        <v>412</v>
      </c>
      <c r="T779" t="s">
        <v>168</v>
      </c>
      <c r="U779">
        <v>2.9905878223811858E-2</v>
      </c>
      <c r="V779" t="s">
        <v>162</v>
      </c>
    </row>
    <row r="780" spans="9:22" x14ac:dyDescent="0.45">
      <c r="I780" t="s">
        <v>188</v>
      </c>
      <c r="J780" t="s">
        <v>169</v>
      </c>
      <c r="K780">
        <v>9.939293964257483E-3</v>
      </c>
      <c r="L780" t="s">
        <v>162</v>
      </c>
      <c r="N780" t="s">
        <v>300</v>
      </c>
      <c r="O780" t="s">
        <v>169</v>
      </c>
      <c r="P780">
        <v>2.6940842599857736E-3</v>
      </c>
      <c r="Q780" t="s">
        <v>162</v>
      </c>
      <c r="S780" t="s">
        <v>412</v>
      </c>
      <c r="T780" t="s">
        <v>169</v>
      </c>
      <c r="U780">
        <v>2.748308753088765E-3</v>
      </c>
      <c r="V780" t="s">
        <v>162</v>
      </c>
    </row>
    <row r="781" spans="9:22" x14ac:dyDescent="0.45">
      <c r="I781" t="s">
        <v>188</v>
      </c>
      <c r="J781" t="s">
        <v>170</v>
      </c>
      <c r="K781">
        <v>2.4757105446198583E-2</v>
      </c>
      <c r="L781" t="s">
        <v>162</v>
      </c>
      <c r="N781" t="s">
        <v>300</v>
      </c>
      <c r="O781" t="s">
        <v>170</v>
      </c>
      <c r="P781">
        <v>5.7929688252921288E-3</v>
      </c>
      <c r="Q781" t="s">
        <v>162</v>
      </c>
      <c r="S781" t="s">
        <v>412</v>
      </c>
      <c r="T781" t="s">
        <v>170</v>
      </c>
      <c r="U781">
        <v>5.4978017013063898E-3</v>
      </c>
      <c r="V781" t="s">
        <v>162</v>
      </c>
    </row>
    <row r="782" spans="9:22" x14ac:dyDescent="0.45">
      <c r="I782" t="s">
        <v>188</v>
      </c>
      <c r="J782" t="s">
        <v>525</v>
      </c>
      <c r="K782">
        <v>5.9983434618771557E-2</v>
      </c>
      <c r="L782" t="s">
        <v>162</v>
      </c>
      <c r="N782" t="s">
        <v>300</v>
      </c>
      <c r="O782" t="s">
        <v>525</v>
      </c>
      <c r="P782">
        <v>1.718365921473182E-2</v>
      </c>
      <c r="Q782" t="s">
        <v>162</v>
      </c>
      <c r="S782" t="s">
        <v>412</v>
      </c>
      <c r="T782" t="s">
        <v>525</v>
      </c>
      <c r="U782">
        <v>1.5331618193839828E-2</v>
      </c>
      <c r="V782" t="s">
        <v>162</v>
      </c>
    </row>
    <row r="783" spans="9:22" x14ac:dyDescent="0.45">
      <c r="I783" t="s">
        <v>188</v>
      </c>
      <c r="J783" t="s">
        <v>526</v>
      </c>
      <c r="K783">
        <v>7.9498732956927373E-3</v>
      </c>
      <c r="L783" t="s">
        <v>162</v>
      </c>
      <c r="N783" t="s">
        <v>300</v>
      </c>
      <c r="O783" t="s">
        <v>526</v>
      </c>
      <c r="P783">
        <v>3.3772016828387177E-3</v>
      </c>
      <c r="Q783" t="s">
        <v>162</v>
      </c>
      <c r="S783" t="s">
        <v>412</v>
      </c>
      <c r="T783" t="s">
        <v>526</v>
      </c>
      <c r="U783">
        <v>3.1824377037254145E-3</v>
      </c>
      <c r="V783" t="s">
        <v>162</v>
      </c>
    </row>
    <row r="784" spans="9:22" x14ac:dyDescent="0.45">
      <c r="I784" t="s">
        <v>188</v>
      </c>
      <c r="J784" t="s">
        <v>527</v>
      </c>
      <c r="K784">
        <v>7.8115073621662038E-3</v>
      </c>
      <c r="L784" t="s">
        <v>162</v>
      </c>
      <c r="N784" t="s">
        <v>300</v>
      </c>
      <c r="O784" t="s">
        <v>527</v>
      </c>
      <c r="P784">
        <v>2.7868320513011916E-2</v>
      </c>
      <c r="Q784" t="s">
        <v>162</v>
      </c>
      <c r="S784" t="s">
        <v>412</v>
      </c>
      <c r="T784" t="s">
        <v>527</v>
      </c>
      <c r="U784">
        <v>1.9678622812266372E-2</v>
      </c>
      <c r="V784" t="s">
        <v>162</v>
      </c>
    </row>
    <row r="785" spans="9:22" x14ac:dyDescent="0.45">
      <c r="I785" t="s">
        <v>188</v>
      </c>
      <c r="J785" t="s">
        <v>528</v>
      </c>
      <c r="K785">
        <v>6.774255009630463E-2</v>
      </c>
      <c r="L785" t="s">
        <v>162</v>
      </c>
      <c r="N785" t="s">
        <v>300</v>
      </c>
      <c r="O785" t="s">
        <v>528</v>
      </c>
      <c r="P785">
        <v>9.3698159343317156E-2</v>
      </c>
      <c r="Q785" t="s">
        <v>162</v>
      </c>
      <c r="S785" t="s">
        <v>412</v>
      </c>
      <c r="T785" t="s">
        <v>528</v>
      </c>
      <c r="U785">
        <v>8.9709701861650615E-2</v>
      </c>
      <c r="V785" t="s">
        <v>162</v>
      </c>
    </row>
    <row r="786" spans="9:22" x14ac:dyDescent="0.45">
      <c r="I786" t="s">
        <v>188</v>
      </c>
      <c r="J786" t="s">
        <v>529</v>
      </c>
      <c r="K786">
        <v>3.1112345921772314E-2</v>
      </c>
      <c r="L786" t="s">
        <v>162</v>
      </c>
      <c r="N786" t="s">
        <v>300</v>
      </c>
      <c r="O786" t="s">
        <v>529</v>
      </c>
      <c r="P786">
        <v>7.1650484579532008E-3</v>
      </c>
      <c r="Q786" t="s">
        <v>162</v>
      </c>
      <c r="S786" t="s">
        <v>412</v>
      </c>
      <c r="T786" t="s">
        <v>529</v>
      </c>
      <c r="U786">
        <v>9.2547101864336422E-3</v>
      </c>
      <c r="V786" t="s">
        <v>162</v>
      </c>
    </row>
    <row r="787" spans="9:22" x14ac:dyDescent="0.45">
      <c r="I787" t="s">
        <v>188</v>
      </c>
      <c r="J787" t="s">
        <v>530</v>
      </c>
      <c r="K787">
        <v>6.9793272763629413E-2</v>
      </c>
      <c r="L787" t="s">
        <v>162</v>
      </c>
      <c r="N787" t="s">
        <v>300</v>
      </c>
      <c r="O787" t="s">
        <v>530</v>
      </c>
      <c r="P787">
        <v>1.6653076482290613E-2</v>
      </c>
      <c r="Q787" t="s">
        <v>162</v>
      </c>
      <c r="S787" t="s">
        <v>412</v>
      </c>
      <c r="T787" t="s">
        <v>530</v>
      </c>
      <c r="U787">
        <v>1.9709891464486987E-2</v>
      </c>
      <c r="V787" t="s">
        <v>162</v>
      </c>
    </row>
    <row r="788" spans="9:22" x14ac:dyDescent="0.45">
      <c r="I788" t="s">
        <v>188</v>
      </c>
      <c r="J788" t="s">
        <v>531</v>
      </c>
      <c r="K788">
        <v>0.17129646194030379</v>
      </c>
      <c r="L788" t="s">
        <v>162</v>
      </c>
      <c r="N788" t="s">
        <v>300</v>
      </c>
      <c r="O788" t="s">
        <v>531</v>
      </c>
      <c r="P788">
        <v>4.6475055320776573E-2</v>
      </c>
      <c r="Q788" t="s">
        <v>162</v>
      </c>
      <c r="S788" t="s">
        <v>412</v>
      </c>
      <c r="T788" t="s">
        <v>531</v>
      </c>
      <c r="U788">
        <v>5.2400472932366403E-2</v>
      </c>
      <c r="V788" t="s">
        <v>162</v>
      </c>
    </row>
    <row r="789" spans="9:22" x14ac:dyDescent="0.45">
      <c r="I789" t="s">
        <v>188</v>
      </c>
      <c r="J789" t="s">
        <v>532</v>
      </c>
      <c r="K789">
        <v>2.751791472237506E-2</v>
      </c>
      <c r="L789" t="s">
        <v>162</v>
      </c>
      <c r="N789" t="s">
        <v>300</v>
      </c>
      <c r="O789" t="s">
        <v>532</v>
      </c>
      <c r="P789">
        <v>8.2870156697098935E-3</v>
      </c>
      <c r="Q789" t="s">
        <v>162</v>
      </c>
      <c r="S789" t="s">
        <v>412</v>
      </c>
      <c r="T789" t="s">
        <v>532</v>
      </c>
      <c r="U789">
        <v>1.0170630917407185E-2</v>
      </c>
      <c r="V789" t="s">
        <v>162</v>
      </c>
    </row>
    <row r="790" spans="9:22" x14ac:dyDescent="0.45">
      <c r="I790" t="s">
        <v>188</v>
      </c>
      <c r="J790" t="s">
        <v>533</v>
      </c>
      <c r="K790">
        <v>4.8440461041887969E-2</v>
      </c>
      <c r="L790" t="s">
        <v>162</v>
      </c>
      <c r="N790" t="s">
        <v>300</v>
      </c>
      <c r="O790" t="s">
        <v>533</v>
      </c>
      <c r="P790">
        <v>7.1776773042320205E-2</v>
      </c>
      <c r="Q790" t="s">
        <v>162</v>
      </c>
      <c r="S790" t="s">
        <v>412</v>
      </c>
      <c r="T790" t="s">
        <v>533</v>
      </c>
      <c r="U790">
        <v>6.239239921853465E-2</v>
      </c>
      <c r="V790" t="s">
        <v>162</v>
      </c>
    </row>
    <row r="791" spans="9:22" x14ac:dyDescent="0.45">
      <c r="I791" t="s">
        <v>188</v>
      </c>
      <c r="J791" t="s">
        <v>534</v>
      </c>
      <c r="K791">
        <v>2.1763593875660694E-2</v>
      </c>
      <c r="L791" t="s">
        <v>162</v>
      </c>
      <c r="N791" t="s">
        <v>300</v>
      </c>
      <c r="O791" t="s">
        <v>534</v>
      </c>
      <c r="P791">
        <v>9.5082376958939355E-2</v>
      </c>
      <c r="Q791" t="s">
        <v>162</v>
      </c>
      <c r="S791" t="s">
        <v>412</v>
      </c>
      <c r="T791" t="s">
        <v>534</v>
      </c>
      <c r="U791">
        <v>0.11783633255996284</v>
      </c>
      <c r="V791" t="s">
        <v>162</v>
      </c>
    </row>
    <row r="792" spans="9:22" x14ac:dyDescent="0.45">
      <c r="I792" t="s">
        <v>188</v>
      </c>
      <c r="J792" t="s">
        <v>535</v>
      </c>
      <c r="K792">
        <v>1.6945105139728519E-2</v>
      </c>
      <c r="L792" t="s">
        <v>162</v>
      </c>
      <c r="N792" t="s">
        <v>300</v>
      </c>
      <c r="O792" t="s">
        <v>535</v>
      </c>
      <c r="P792">
        <v>8.2487775997960172E-3</v>
      </c>
      <c r="Q792" t="s">
        <v>162</v>
      </c>
      <c r="S792" t="s">
        <v>412</v>
      </c>
      <c r="T792" t="s">
        <v>535</v>
      </c>
      <c r="U792">
        <v>1.2709405817493842E-2</v>
      </c>
      <c r="V792" t="s">
        <v>162</v>
      </c>
    </row>
    <row r="793" spans="9:22" x14ac:dyDescent="0.45">
      <c r="I793" t="s">
        <v>188</v>
      </c>
      <c r="J793" t="s">
        <v>536</v>
      </c>
      <c r="K793">
        <v>3.9873063631926282E-2</v>
      </c>
      <c r="L793" t="s">
        <v>162</v>
      </c>
      <c r="N793" t="s">
        <v>300</v>
      </c>
      <c r="O793" t="s">
        <v>536</v>
      </c>
      <c r="P793">
        <v>1.6939842094323643E-2</v>
      </c>
      <c r="Q793" t="s">
        <v>162</v>
      </c>
      <c r="S793" t="s">
        <v>412</v>
      </c>
      <c r="T793" t="s">
        <v>536</v>
      </c>
      <c r="U793">
        <v>2.4890165081736207E-2</v>
      </c>
      <c r="V793" t="s">
        <v>162</v>
      </c>
    </row>
    <row r="794" spans="9:22" x14ac:dyDescent="0.45">
      <c r="I794" t="s">
        <v>188</v>
      </c>
      <c r="J794" t="s">
        <v>537</v>
      </c>
      <c r="K794">
        <v>9.0233653522252238E-2</v>
      </c>
      <c r="L794" t="s">
        <v>162</v>
      </c>
      <c r="N794" t="s">
        <v>300</v>
      </c>
      <c r="O794" t="s">
        <v>537</v>
      </c>
      <c r="P794">
        <v>5.0395223035204863E-2</v>
      </c>
      <c r="Q794" t="s">
        <v>162</v>
      </c>
      <c r="S794" t="s">
        <v>412</v>
      </c>
      <c r="T794" t="s">
        <v>537</v>
      </c>
      <c r="U794">
        <v>6.3508779216603625E-2</v>
      </c>
      <c r="V794" t="s">
        <v>162</v>
      </c>
    </row>
    <row r="795" spans="9:22" x14ac:dyDescent="0.45">
      <c r="I795" t="s">
        <v>188</v>
      </c>
      <c r="J795" t="s">
        <v>538</v>
      </c>
      <c r="K795">
        <v>1.1138187897810211E-2</v>
      </c>
      <c r="L795" t="s">
        <v>162</v>
      </c>
      <c r="N795" t="s">
        <v>300</v>
      </c>
      <c r="O795" t="s">
        <v>538</v>
      </c>
      <c r="P795">
        <v>1.1214781099121751E-2</v>
      </c>
      <c r="Q795" t="s">
        <v>162</v>
      </c>
      <c r="S795" t="s">
        <v>412</v>
      </c>
      <c r="T795" t="s">
        <v>538</v>
      </c>
      <c r="U795">
        <v>1.2585722527250412E-2</v>
      </c>
      <c r="V795" t="s">
        <v>162</v>
      </c>
    </row>
    <row r="796" spans="9:22" x14ac:dyDescent="0.45">
      <c r="I796" t="s">
        <v>188</v>
      </c>
      <c r="J796" t="s">
        <v>539</v>
      </c>
      <c r="K796">
        <v>9.8570362159598433E-3</v>
      </c>
      <c r="L796" t="s">
        <v>162</v>
      </c>
      <c r="N796" t="s">
        <v>300</v>
      </c>
      <c r="O796" t="s">
        <v>539</v>
      </c>
      <c r="P796">
        <v>7.7310920961899274E-2</v>
      </c>
      <c r="Q796" t="s">
        <v>162</v>
      </c>
      <c r="S796" t="s">
        <v>412</v>
      </c>
      <c r="T796" t="s">
        <v>539</v>
      </c>
      <c r="U796">
        <v>7.724525442672317E-2</v>
      </c>
      <c r="V796" t="s">
        <v>162</v>
      </c>
    </row>
    <row r="797" spans="9:22" x14ac:dyDescent="0.45">
      <c r="I797" t="s">
        <v>188</v>
      </c>
      <c r="J797" t="s">
        <v>540</v>
      </c>
      <c r="K797">
        <v>2.1000567115984654E-4</v>
      </c>
      <c r="L797" t="s">
        <v>162</v>
      </c>
      <c r="N797" t="s">
        <v>300</v>
      </c>
      <c r="O797" t="s">
        <v>540</v>
      </c>
      <c r="P797">
        <v>3.4861593105677997E-2</v>
      </c>
      <c r="Q797" t="s">
        <v>162</v>
      </c>
      <c r="S797" t="s">
        <v>412</v>
      </c>
      <c r="T797" t="s">
        <v>540</v>
      </c>
      <c r="U797">
        <v>2.7827526266770618E-2</v>
      </c>
      <c r="V797" t="s">
        <v>162</v>
      </c>
    </row>
    <row r="798" spans="9:22" x14ac:dyDescent="0.45">
      <c r="I798" t="s">
        <v>188</v>
      </c>
      <c r="J798" t="s">
        <v>541</v>
      </c>
      <c r="K798">
        <v>1.7889231091803189E-3</v>
      </c>
      <c r="L798" t="s">
        <v>162</v>
      </c>
      <c r="N798" t="s">
        <v>300</v>
      </c>
      <c r="O798" t="s">
        <v>541</v>
      </c>
      <c r="P798">
        <v>3.7785681379964276E-3</v>
      </c>
      <c r="Q798" t="s">
        <v>162</v>
      </c>
      <c r="S798" t="s">
        <v>412</v>
      </c>
      <c r="T798" t="s">
        <v>541</v>
      </c>
      <c r="U798">
        <v>3.1736746032993194E-3</v>
      </c>
      <c r="V798" t="s">
        <v>162</v>
      </c>
    </row>
    <row r="799" spans="9:22" x14ac:dyDescent="0.45">
      <c r="I799" t="s">
        <v>188</v>
      </c>
      <c r="J799" t="s">
        <v>542</v>
      </c>
      <c r="K799">
        <v>8.2424621600097787E-3</v>
      </c>
      <c r="L799" t="s">
        <v>162</v>
      </c>
      <c r="N799" t="s">
        <v>300</v>
      </c>
      <c r="O799" t="s">
        <v>542</v>
      </c>
      <c r="P799">
        <v>6.4649431330996146E-3</v>
      </c>
      <c r="Q799" t="s">
        <v>162</v>
      </c>
      <c r="S799" t="s">
        <v>412</v>
      </c>
      <c r="T799" t="s">
        <v>542</v>
      </c>
      <c r="U799">
        <v>6.3720848303580064E-3</v>
      </c>
      <c r="V799" t="s">
        <v>162</v>
      </c>
    </row>
    <row r="800" spans="9:22" x14ac:dyDescent="0.45">
      <c r="I800" t="s">
        <v>188</v>
      </c>
      <c r="J800" t="s">
        <v>543</v>
      </c>
      <c r="K800">
        <v>1.8531809581302155E-2</v>
      </c>
      <c r="L800" t="s">
        <v>162</v>
      </c>
      <c r="N800" t="s">
        <v>300</v>
      </c>
      <c r="O800" t="s">
        <v>543</v>
      </c>
      <c r="P800">
        <v>1.4798982175610176E-2</v>
      </c>
      <c r="Q800" t="s">
        <v>162</v>
      </c>
      <c r="S800" t="s">
        <v>412</v>
      </c>
      <c r="T800" t="s">
        <v>543</v>
      </c>
      <c r="U800">
        <v>1.6473079300391987E-2</v>
      </c>
      <c r="V800" t="s">
        <v>162</v>
      </c>
    </row>
    <row r="801" spans="9:22" x14ac:dyDescent="0.45">
      <c r="I801" t="s">
        <v>188</v>
      </c>
      <c r="J801" t="s">
        <v>544</v>
      </c>
      <c r="K801">
        <v>0</v>
      </c>
      <c r="L801" t="s">
        <v>162</v>
      </c>
      <c r="N801" t="s">
        <v>300</v>
      </c>
      <c r="O801" t="s">
        <v>544</v>
      </c>
      <c r="P801">
        <v>3.199251527199356E-3</v>
      </c>
      <c r="Q801" t="s">
        <v>162</v>
      </c>
      <c r="S801" t="s">
        <v>412</v>
      </c>
      <c r="T801" t="s">
        <v>544</v>
      </c>
      <c r="U801">
        <v>3.3894910159739098E-3</v>
      </c>
      <c r="V801" t="s">
        <v>162</v>
      </c>
    </row>
    <row r="802" spans="9:22" x14ac:dyDescent="0.45">
      <c r="I802" t="s">
        <v>188</v>
      </c>
      <c r="J802" t="s">
        <v>545</v>
      </c>
      <c r="K802">
        <v>0</v>
      </c>
      <c r="L802" t="s">
        <v>162</v>
      </c>
      <c r="N802" t="s">
        <v>300</v>
      </c>
      <c r="O802" t="s">
        <v>545</v>
      </c>
      <c r="P802">
        <v>1.9497649872028025E-2</v>
      </c>
      <c r="Q802" t="s">
        <v>162</v>
      </c>
      <c r="S802" t="s">
        <v>412</v>
      </c>
      <c r="T802" t="s">
        <v>545</v>
      </c>
      <c r="U802">
        <v>1.9435095682710402E-2</v>
      </c>
      <c r="V802" t="s">
        <v>162</v>
      </c>
    </row>
    <row r="803" spans="9:22" x14ac:dyDescent="0.45">
      <c r="I803" t="s">
        <v>188</v>
      </c>
      <c r="J803" t="s">
        <v>546</v>
      </c>
      <c r="K803">
        <v>0</v>
      </c>
      <c r="L803" t="s">
        <v>162</v>
      </c>
      <c r="N803" t="s">
        <v>300</v>
      </c>
      <c r="O803" t="s">
        <v>546</v>
      </c>
      <c r="P803">
        <v>3.4057812288514303E-2</v>
      </c>
      <c r="Q803" t="s">
        <v>162</v>
      </c>
      <c r="S803" t="s">
        <v>412</v>
      </c>
      <c r="T803" t="s">
        <v>546</v>
      </c>
      <c r="U803">
        <v>2.8718330758001138E-2</v>
      </c>
      <c r="V803" t="s">
        <v>162</v>
      </c>
    </row>
    <row r="804" spans="9:22" x14ac:dyDescent="0.45">
      <c r="I804" t="s">
        <v>188</v>
      </c>
      <c r="J804" t="s">
        <v>547</v>
      </c>
      <c r="K804">
        <v>3.3100679070639035E-4</v>
      </c>
      <c r="L804" t="s">
        <v>162</v>
      </c>
      <c r="N804" t="s">
        <v>300</v>
      </c>
      <c r="O804" t="s">
        <v>547</v>
      </c>
      <c r="P804">
        <v>3.3003462859846162E-3</v>
      </c>
      <c r="Q804" t="s">
        <v>162</v>
      </c>
      <c r="S804" t="s">
        <v>412</v>
      </c>
      <c r="T804" t="s">
        <v>547</v>
      </c>
      <c r="U804">
        <v>3.0471102898065659E-3</v>
      </c>
      <c r="V804" t="s">
        <v>162</v>
      </c>
    </row>
    <row r="805" spans="9:22" x14ac:dyDescent="0.45">
      <c r="I805" t="s">
        <v>188</v>
      </c>
      <c r="J805" t="s">
        <v>548</v>
      </c>
      <c r="K805">
        <v>9.2413555429625028E-3</v>
      </c>
      <c r="L805" t="s">
        <v>162</v>
      </c>
      <c r="N805" t="s">
        <v>300</v>
      </c>
      <c r="O805" t="s">
        <v>548</v>
      </c>
      <c r="P805">
        <v>6.4251028582100137E-3</v>
      </c>
      <c r="Q805" t="s">
        <v>162</v>
      </c>
      <c r="S805" t="s">
        <v>412</v>
      </c>
      <c r="T805" t="s">
        <v>548</v>
      </c>
      <c r="U805">
        <v>6.1324790495759542E-3</v>
      </c>
      <c r="V805" t="s">
        <v>162</v>
      </c>
    </row>
    <row r="806" spans="9:22" x14ac:dyDescent="0.45">
      <c r="I806" t="s">
        <v>188</v>
      </c>
      <c r="J806" t="s">
        <v>549</v>
      </c>
      <c r="K806">
        <v>2.0605087578259212E-2</v>
      </c>
      <c r="L806" t="s">
        <v>162</v>
      </c>
      <c r="N806" t="s">
        <v>300</v>
      </c>
      <c r="O806" t="s">
        <v>549</v>
      </c>
      <c r="P806">
        <v>1.7931958870775765E-2</v>
      </c>
      <c r="Q806" t="s">
        <v>162</v>
      </c>
      <c r="S806" t="s">
        <v>412</v>
      </c>
      <c r="T806" t="s">
        <v>549</v>
      </c>
      <c r="U806">
        <v>1.5153525539574154E-2</v>
      </c>
      <c r="V806" t="s">
        <v>162</v>
      </c>
    </row>
    <row r="807" spans="9:22" x14ac:dyDescent="0.45">
      <c r="I807" t="s">
        <v>188</v>
      </c>
      <c r="J807" t="s">
        <v>550</v>
      </c>
      <c r="K807">
        <v>0</v>
      </c>
      <c r="L807" t="s">
        <v>162</v>
      </c>
      <c r="N807" t="s">
        <v>300</v>
      </c>
      <c r="O807" t="s">
        <v>550</v>
      </c>
      <c r="P807">
        <v>4.4745197768802552E-3</v>
      </c>
      <c r="Q807" t="s">
        <v>162</v>
      </c>
      <c r="S807" t="s">
        <v>412</v>
      </c>
      <c r="T807" t="s">
        <v>550</v>
      </c>
      <c r="U807">
        <v>3.0059583273201137E-3</v>
      </c>
      <c r="V807" t="s">
        <v>162</v>
      </c>
    </row>
    <row r="808" spans="9:22" x14ac:dyDescent="0.45">
      <c r="I808" t="s">
        <v>188</v>
      </c>
      <c r="J808" t="s">
        <v>551</v>
      </c>
      <c r="K808">
        <v>0</v>
      </c>
      <c r="L808" t="s">
        <v>162</v>
      </c>
      <c r="N808" t="s">
        <v>300</v>
      </c>
      <c r="O808" t="s">
        <v>551</v>
      </c>
      <c r="P808">
        <v>2.7103927704023034E-2</v>
      </c>
      <c r="Q808" t="s">
        <v>162</v>
      </c>
      <c r="S808" t="s">
        <v>412</v>
      </c>
      <c r="T808" t="s">
        <v>551</v>
      </c>
      <c r="U808">
        <v>1.7998088912695012E-2</v>
      </c>
      <c r="V808" t="s">
        <v>162</v>
      </c>
    </row>
    <row r="809" spans="9:22" x14ac:dyDescent="0.45">
      <c r="I809" t="s">
        <v>189</v>
      </c>
      <c r="J809" t="s">
        <v>161</v>
      </c>
      <c r="K809">
        <v>0</v>
      </c>
      <c r="L809" t="s">
        <v>162</v>
      </c>
      <c r="N809" t="s">
        <v>301</v>
      </c>
      <c r="O809" t="s">
        <v>161</v>
      </c>
      <c r="P809">
        <v>3.1205325558456277E-2</v>
      </c>
      <c r="Q809" t="s">
        <v>162</v>
      </c>
      <c r="S809" t="s">
        <v>413</v>
      </c>
      <c r="T809" t="s">
        <v>161</v>
      </c>
      <c r="U809">
        <v>2.8172955890672383E-2</v>
      </c>
      <c r="V809" t="s">
        <v>162</v>
      </c>
    </row>
    <row r="810" spans="9:22" x14ac:dyDescent="0.45">
      <c r="I810" t="s">
        <v>189</v>
      </c>
      <c r="J810" t="s">
        <v>163</v>
      </c>
      <c r="K810">
        <v>2.0814651910220036E-3</v>
      </c>
      <c r="L810" t="s">
        <v>162</v>
      </c>
      <c r="N810" t="s">
        <v>301</v>
      </c>
      <c r="O810" t="s">
        <v>163</v>
      </c>
      <c r="P810">
        <v>3.7545668448520967E-3</v>
      </c>
      <c r="Q810" t="s">
        <v>162</v>
      </c>
      <c r="S810" t="s">
        <v>413</v>
      </c>
      <c r="T810" t="s">
        <v>163</v>
      </c>
      <c r="U810">
        <v>3.2085241409201232E-3</v>
      </c>
      <c r="V810" t="s">
        <v>162</v>
      </c>
    </row>
    <row r="811" spans="9:22" x14ac:dyDescent="0.45">
      <c r="I811" t="s">
        <v>189</v>
      </c>
      <c r="J811" t="s">
        <v>164</v>
      </c>
      <c r="K811">
        <v>9.8313292133821121E-3</v>
      </c>
      <c r="L811" t="s">
        <v>162</v>
      </c>
      <c r="N811" t="s">
        <v>301</v>
      </c>
      <c r="O811" t="s">
        <v>164</v>
      </c>
      <c r="P811">
        <v>6.2351891122970826E-3</v>
      </c>
      <c r="Q811" t="s">
        <v>162</v>
      </c>
      <c r="S811" t="s">
        <v>413</v>
      </c>
      <c r="T811" t="s">
        <v>164</v>
      </c>
      <c r="U811">
        <v>6.44110530944052E-3</v>
      </c>
      <c r="V811" t="s">
        <v>162</v>
      </c>
    </row>
    <row r="812" spans="9:22" x14ac:dyDescent="0.45">
      <c r="I812" t="s">
        <v>189</v>
      </c>
      <c r="J812" t="s">
        <v>519</v>
      </c>
      <c r="K812">
        <v>2.1501210779165211E-2</v>
      </c>
      <c r="L812" t="s">
        <v>162</v>
      </c>
      <c r="N812" t="s">
        <v>301</v>
      </c>
      <c r="O812" t="s">
        <v>519</v>
      </c>
      <c r="P812">
        <v>1.4538958748268469E-2</v>
      </c>
      <c r="Q812" t="s">
        <v>162</v>
      </c>
      <c r="S812" t="s">
        <v>413</v>
      </c>
      <c r="T812" t="s">
        <v>519</v>
      </c>
      <c r="U812">
        <v>1.5872553891704631E-2</v>
      </c>
      <c r="V812" t="s">
        <v>162</v>
      </c>
    </row>
    <row r="813" spans="9:22" x14ac:dyDescent="0.45">
      <c r="I813" t="s">
        <v>189</v>
      </c>
      <c r="J813" t="s">
        <v>520</v>
      </c>
      <c r="K813">
        <v>0</v>
      </c>
      <c r="L813" t="s">
        <v>162</v>
      </c>
      <c r="N813" t="s">
        <v>301</v>
      </c>
      <c r="O813" t="s">
        <v>520</v>
      </c>
      <c r="P813">
        <v>3.5613105142058032E-3</v>
      </c>
      <c r="Q813" t="s">
        <v>162</v>
      </c>
      <c r="S813" t="s">
        <v>413</v>
      </c>
      <c r="T813" t="s">
        <v>520</v>
      </c>
      <c r="U813">
        <v>3.0581173307321461E-3</v>
      </c>
      <c r="V813" t="s">
        <v>162</v>
      </c>
    </row>
    <row r="814" spans="9:22" x14ac:dyDescent="0.45">
      <c r="I814" t="s">
        <v>189</v>
      </c>
      <c r="J814" t="s">
        <v>521</v>
      </c>
      <c r="K814">
        <v>0</v>
      </c>
      <c r="L814" t="s">
        <v>162</v>
      </c>
      <c r="N814" t="s">
        <v>301</v>
      </c>
      <c r="O814" t="s">
        <v>521</v>
      </c>
      <c r="P814">
        <v>2.0533752050873808E-2</v>
      </c>
      <c r="Q814" t="s">
        <v>162</v>
      </c>
      <c r="S814" t="s">
        <v>413</v>
      </c>
      <c r="T814" t="s">
        <v>521</v>
      </c>
      <c r="U814">
        <v>1.8756451952036578E-2</v>
      </c>
      <c r="V814" t="s">
        <v>162</v>
      </c>
    </row>
    <row r="815" spans="9:22" x14ac:dyDescent="0.45">
      <c r="I815" t="s">
        <v>189</v>
      </c>
      <c r="J815" t="s">
        <v>165</v>
      </c>
      <c r="K815">
        <v>1.2550559666774272E-2</v>
      </c>
      <c r="L815" t="s">
        <v>162</v>
      </c>
      <c r="N815" t="s">
        <v>301</v>
      </c>
      <c r="O815" t="s">
        <v>165</v>
      </c>
      <c r="P815">
        <v>6.8187098516195824E-2</v>
      </c>
      <c r="Q815" t="s">
        <v>162</v>
      </c>
      <c r="S815" t="s">
        <v>413</v>
      </c>
      <c r="T815" t="s">
        <v>165</v>
      </c>
      <c r="U815">
        <v>5.9365954973851429E-2</v>
      </c>
      <c r="V815" t="s">
        <v>162</v>
      </c>
    </row>
    <row r="816" spans="9:22" x14ac:dyDescent="0.45">
      <c r="I816" t="s">
        <v>189</v>
      </c>
      <c r="J816" t="s">
        <v>166</v>
      </c>
      <c r="K816">
        <v>1.5276244802313101E-2</v>
      </c>
      <c r="L816" t="s">
        <v>162</v>
      </c>
      <c r="N816" t="s">
        <v>301</v>
      </c>
      <c r="O816" t="s">
        <v>166</v>
      </c>
      <c r="P816">
        <v>5.7149367827459621E-3</v>
      </c>
      <c r="Q816" t="s">
        <v>162</v>
      </c>
      <c r="S816" t="s">
        <v>413</v>
      </c>
      <c r="T816" t="s">
        <v>166</v>
      </c>
      <c r="U816">
        <v>6.6713370633621049E-3</v>
      </c>
      <c r="V816" t="s">
        <v>162</v>
      </c>
    </row>
    <row r="817" spans="9:22" x14ac:dyDescent="0.45">
      <c r="I817" t="s">
        <v>189</v>
      </c>
      <c r="J817" t="s">
        <v>167</v>
      </c>
      <c r="K817">
        <v>4.054034350869163E-2</v>
      </c>
      <c r="L817" t="s">
        <v>162</v>
      </c>
      <c r="N817" t="s">
        <v>301</v>
      </c>
      <c r="O817" t="s">
        <v>167</v>
      </c>
      <c r="P817">
        <v>9.4436628783852519E-3</v>
      </c>
      <c r="Q817" t="s">
        <v>162</v>
      </c>
      <c r="S817" t="s">
        <v>413</v>
      </c>
      <c r="T817" t="s">
        <v>167</v>
      </c>
      <c r="U817">
        <v>1.2939039455347287E-2</v>
      </c>
      <c r="V817" t="s">
        <v>162</v>
      </c>
    </row>
    <row r="818" spans="9:22" x14ac:dyDescent="0.45">
      <c r="I818" t="s">
        <v>189</v>
      </c>
      <c r="J818" t="s">
        <v>522</v>
      </c>
      <c r="K818">
        <v>9.6430392084857652E-2</v>
      </c>
      <c r="L818" t="s">
        <v>162</v>
      </c>
      <c r="N818" t="s">
        <v>301</v>
      </c>
      <c r="O818" t="s">
        <v>522</v>
      </c>
      <c r="P818">
        <v>2.1870837362545935E-2</v>
      </c>
      <c r="Q818" t="s">
        <v>162</v>
      </c>
      <c r="S818" t="s">
        <v>413</v>
      </c>
      <c r="T818" t="s">
        <v>522</v>
      </c>
      <c r="U818">
        <v>3.1805592468553079E-2</v>
      </c>
      <c r="V818" t="s">
        <v>162</v>
      </c>
    </row>
    <row r="819" spans="9:22" x14ac:dyDescent="0.45">
      <c r="I819" t="s">
        <v>189</v>
      </c>
      <c r="J819" t="s">
        <v>523</v>
      </c>
      <c r="K819">
        <v>8.89501090464569E-3</v>
      </c>
      <c r="L819" t="s">
        <v>162</v>
      </c>
      <c r="N819" t="s">
        <v>301</v>
      </c>
      <c r="O819" t="s">
        <v>523</v>
      </c>
      <c r="P819">
        <v>6.371269631321297E-3</v>
      </c>
      <c r="Q819" t="s">
        <v>162</v>
      </c>
      <c r="S819" t="s">
        <v>413</v>
      </c>
      <c r="T819" t="s">
        <v>523</v>
      </c>
      <c r="U819">
        <v>6.9133486812455345E-3</v>
      </c>
      <c r="V819" t="s">
        <v>162</v>
      </c>
    </row>
    <row r="820" spans="9:22" x14ac:dyDescent="0.45">
      <c r="I820" t="s">
        <v>189</v>
      </c>
      <c r="J820" t="s">
        <v>524</v>
      </c>
      <c r="K820">
        <v>2.6547252252181529E-3</v>
      </c>
      <c r="L820" t="s">
        <v>162</v>
      </c>
      <c r="N820" t="s">
        <v>301</v>
      </c>
      <c r="O820" t="s">
        <v>524</v>
      </c>
      <c r="P820">
        <v>4.7762407261953355E-2</v>
      </c>
      <c r="Q820" t="s">
        <v>162</v>
      </c>
      <c r="S820" t="s">
        <v>413</v>
      </c>
      <c r="T820" t="s">
        <v>524</v>
      </c>
      <c r="U820">
        <v>4.2113982791474158E-2</v>
      </c>
      <c r="V820" t="s">
        <v>162</v>
      </c>
    </row>
    <row r="821" spans="9:22" x14ac:dyDescent="0.45">
      <c r="I821" t="s">
        <v>189</v>
      </c>
      <c r="J821" t="s">
        <v>168</v>
      </c>
      <c r="K821">
        <v>1.8495565971479604E-2</v>
      </c>
      <c r="L821" t="s">
        <v>162</v>
      </c>
      <c r="N821" t="s">
        <v>301</v>
      </c>
      <c r="O821" t="s">
        <v>168</v>
      </c>
      <c r="P821">
        <v>3.46636161608605E-2</v>
      </c>
      <c r="Q821" t="s">
        <v>162</v>
      </c>
      <c r="S821" t="s">
        <v>413</v>
      </c>
      <c r="T821" t="s">
        <v>168</v>
      </c>
      <c r="U821">
        <v>3.1549117055670491E-2</v>
      </c>
      <c r="V821" t="s">
        <v>162</v>
      </c>
    </row>
    <row r="822" spans="9:22" x14ac:dyDescent="0.45">
      <c r="I822" t="s">
        <v>189</v>
      </c>
      <c r="J822" t="s">
        <v>169</v>
      </c>
      <c r="K822">
        <v>1.1359746091441773E-2</v>
      </c>
      <c r="L822" t="s">
        <v>162</v>
      </c>
      <c r="N822" t="s">
        <v>301</v>
      </c>
      <c r="O822" t="s">
        <v>169</v>
      </c>
      <c r="P822">
        <v>2.9278400296956788E-3</v>
      </c>
      <c r="Q822" t="s">
        <v>162</v>
      </c>
      <c r="S822" t="s">
        <v>413</v>
      </c>
      <c r="T822" t="s">
        <v>169</v>
      </c>
      <c r="U822">
        <v>3.044194966731451E-3</v>
      </c>
      <c r="V822" t="s">
        <v>162</v>
      </c>
    </row>
    <row r="823" spans="9:22" x14ac:dyDescent="0.45">
      <c r="I823" t="s">
        <v>189</v>
      </c>
      <c r="J823" t="s">
        <v>170</v>
      </c>
      <c r="K823">
        <v>2.5966689187814283E-2</v>
      </c>
      <c r="L823" t="s">
        <v>162</v>
      </c>
      <c r="N823" t="s">
        <v>301</v>
      </c>
      <c r="O823" t="s">
        <v>170</v>
      </c>
      <c r="P823">
        <v>6.6550733045453673E-3</v>
      </c>
      <c r="Q823" t="s">
        <v>162</v>
      </c>
      <c r="S823" t="s">
        <v>413</v>
      </c>
      <c r="T823" t="s">
        <v>170</v>
      </c>
      <c r="U823">
        <v>5.7838585866037857E-3</v>
      </c>
      <c r="V823" t="s">
        <v>162</v>
      </c>
    </row>
    <row r="824" spans="9:22" x14ac:dyDescent="0.45">
      <c r="I824" t="s">
        <v>189</v>
      </c>
      <c r="J824" t="s">
        <v>525</v>
      </c>
      <c r="K824">
        <v>5.7931019234884751E-2</v>
      </c>
      <c r="L824" t="s">
        <v>162</v>
      </c>
      <c r="N824" t="s">
        <v>301</v>
      </c>
      <c r="O824" t="s">
        <v>525</v>
      </c>
      <c r="P824">
        <v>1.7098590136159126E-2</v>
      </c>
      <c r="Q824" t="s">
        <v>162</v>
      </c>
      <c r="S824" t="s">
        <v>413</v>
      </c>
      <c r="T824" t="s">
        <v>525</v>
      </c>
      <c r="U824">
        <v>1.5258171549885966E-2</v>
      </c>
      <c r="V824" t="s">
        <v>162</v>
      </c>
    </row>
    <row r="825" spans="9:22" x14ac:dyDescent="0.45">
      <c r="I825" t="s">
        <v>189</v>
      </c>
      <c r="J825" t="s">
        <v>526</v>
      </c>
      <c r="K825">
        <v>6.3855150197415101E-3</v>
      </c>
      <c r="L825" t="s">
        <v>162</v>
      </c>
      <c r="N825" t="s">
        <v>301</v>
      </c>
      <c r="O825" t="s">
        <v>526</v>
      </c>
      <c r="P825">
        <v>3.4766525298049861E-3</v>
      </c>
      <c r="Q825" t="s">
        <v>162</v>
      </c>
      <c r="S825" t="s">
        <v>413</v>
      </c>
      <c r="T825" t="s">
        <v>526</v>
      </c>
      <c r="U825">
        <v>3.297935965987357E-3</v>
      </c>
      <c r="V825" t="s">
        <v>162</v>
      </c>
    </row>
    <row r="826" spans="9:22" x14ac:dyDescent="0.45">
      <c r="I826" t="s">
        <v>189</v>
      </c>
      <c r="J826" t="s">
        <v>527</v>
      </c>
      <c r="K826">
        <v>5.0167039227923546E-3</v>
      </c>
      <c r="L826" t="s">
        <v>162</v>
      </c>
      <c r="N826" t="s">
        <v>301</v>
      </c>
      <c r="O826" t="s">
        <v>527</v>
      </c>
      <c r="P826">
        <v>2.6208499294154003E-2</v>
      </c>
      <c r="Q826" t="s">
        <v>162</v>
      </c>
      <c r="S826" t="s">
        <v>413</v>
      </c>
      <c r="T826" t="s">
        <v>527</v>
      </c>
      <c r="U826">
        <v>1.9789884320242351E-2</v>
      </c>
      <c r="V826" t="s">
        <v>162</v>
      </c>
    </row>
    <row r="827" spans="9:22" x14ac:dyDescent="0.45">
      <c r="I827" t="s">
        <v>189</v>
      </c>
      <c r="J827" t="s">
        <v>528</v>
      </c>
      <c r="K827">
        <v>7.5864315042171004E-2</v>
      </c>
      <c r="L827" t="s">
        <v>162</v>
      </c>
      <c r="N827" t="s">
        <v>301</v>
      </c>
      <c r="O827" t="s">
        <v>528</v>
      </c>
      <c r="P827">
        <v>9.0257094395788023E-2</v>
      </c>
      <c r="Q827" t="s">
        <v>162</v>
      </c>
      <c r="S827" t="s">
        <v>413</v>
      </c>
      <c r="T827" t="s">
        <v>528</v>
      </c>
      <c r="U827">
        <v>8.8914809539778247E-2</v>
      </c>
      <c r="V827" t="s">
        <v>162</v>
      </c>
    </row>
    <row r="828" spans="9:22" x14ac:dyDescent="0.45">
      <c r="I828" t="s">
        <v>189</v>
      </c>
      <c r="J828" t="s">
        <v>529</v>
      </c>
      <c r="K828">
        <v>3.1208893055677766E-2</v>
      </c>
      <c r="L828" t="s">
        <v>162</v>
      </c>
      <c r="N828" t="s">
        <v>301</v>
      </c>
      <c r="O828" t="s">
        <v>529</v>
      </c>
      <c r="P828">
        <v>7.5604731057926661E-3</v>
      </c>
      <c r="Q828" t="s">
        <v>162</v>
      </c>
      <c r="S828" t="s">
        <v>413</v>
      </c>
      <c r="T828" t="s">
        <v>529</v>
      </c>
      <c r="U828">
        <v>8.6951449818757891E-3</v>
      </c>
      <c r="V828" t="s">
        <v>162</v>
      </c>
    </row>
    <row r="829" spans="9:22" x14ac:dyDescent="0.45">
      <c r="I829" t="s">
        <v>189</v>
      </c>
      <c r="J829" t="s">
        <v>530</v>
      </c>
      <c r="K829">
        <v>6.8617558510798329E-2</v>
      </c>
      <c r="L829" t="s">
        <v>162</v>
      </c>
      <c r="N829" t="s">
        <v>301</v>
      </c>
      <c r="O829" t="s">
        <v>530</v>
      </c>
      <c r="P829">
        <v>1.7316198283620361E-2</v>
      </c>
      <c r="Q829" t="s">
        <v>162</v>
      </c>
      <c r="S829" t="s">
        <v>413</v>
      </c>
      <c r="T829" t="s">
        <v>530</v>
      </c>
      <c r="U829">
        <v>1.7541370256160826E-2</v>
      </c>
      <c r="V829" t="s">
        <v>162</v>
      </c>
    </row>
    <row r="830" spans="9:22" x14ac:dyDescent="0.45">
      <c r="I830" t="s">
        <v>189</v>
      </c>
      <c r="J830" t="s">
        <v>531</v>
      </c>
      <c r="K830">
        <v>0.16121876809109914</v>
      </c>
      <c r="L830" t="s">
        <v>162</v>
      </c>
      <c r="N830" t="s">
        <v>301</v>
      </c>
      <c r="O830" t="s">
        <v>531</v>
      </c>
      <c r="P830">
        <v>4.5085950050136749E-2</v>
      </c>
      <c r="Q830" t="s">
        <v>162</v>
      </c>
      <c r="S830" t="s">
        <v>413</v>
      </c>
      <c r="T830" t="s">
        <v>531</v>
      </c>
      <c r="U830">
        <v>4.7813748980253909E-2</v>
      </c>
      <c r="V830" t="s">
        <v>162</v>
      </c>
    </row>
    <row r="831" spans="9:22" x14ac:dyDescent="0.45">
      <c r="I831" t="s">
        <v>189</v>
      </c>
      <c r="J831" t="s">
        <v>532</v>
      </c>
      <c r="K831">
        <v>2.3597303826254218E-2</v>
      </c>
      <c r="L831" t="s">
        <v>162</v>
      </c>
      <c r="N831" t="s">
        <v>301</v>
      </c>
      <c r="O831" t="s">
        <v>532</v>
      </c>
      <c r="P831">
        <v>7.9824340513304608E-3</v>
      </c>
      <c r="Q831" t="s">
        <v>162</v>
      </c>
      <c r="S831" t="s">
        <v>413</v>
      </c>
      <c r="T831" t="s">
        <v>532</v>
      </c>
      <c r="U831">
        <v>9.4121998919957876E-3</v>
      </c>
      <c r="V831" t="s">
        <v>162</v>
      </c>
    </row>
    <row r="832" spans="9:22" x14ac:dyDescent="0.45">
      <c r="I832" t="s">
        <v>189</v>
      </c>
      <c r="J832" t="s">
        <v>533</v>
      </c>
      <c r="K832">
        <v>3.759574740341981E-2</v>
      </c>
      <c r="L832" t="s">
        <v>162</v>
      </c>
      <c r="N832" t="s">
        <v>301</v>
      </c>
      <c r="O832" t="s">
        <v>533</v>
      </c>
      <c r="P832">
        <v>6.5547389973229453E-2</v>
      </c>
      <c r="Q832" t="s">
        <v>162</v>
      </c>
      <c r="S832" t="s">
        <v>413</v>
      </c>
      <c r="T832" t="s">
        <v>533</v>
      </c>
      <c r="U832">
        <v>6.0117148864892792E-2</v>
      </c>
      <c r="V832" t="s">
        <v>162</v>
      </c>
    </row>
    <row r="833" spans="9:22" x14ac:dyDescent="0.45">
      <c r="I833" t="s">
        <v>189</v>
      </c>
      <c r="J833" t="s">
        <v>534</v>
      </c>
      <c r="K833">
        <v>3.0342757239574754E-2</v>
      </c>
      <c r="L833" t="s">
        <v>162</v>
      </c>
      <c r="N833" t="s">
        <v>301</v>
      </c>
      <c r="O833" t="s">
        <v>534</v>
      </c>
      <c r="P833">
        <v>9.665407559191945E-2</v>
      </c>
      <c r="Q833" t="s">
        <v>162</v>
      </c>
      <c r="S833" t="s">
        <v>413</v>
      </c>
      <c r="T833" t="s">
        <v>534</v>
      </c>
      <c r="U833">
        <v>0.11361121166370275</v>
      </c>
      <c r="V833" t="s">
        <v>162</v>
      </c>
    </row>
    <row r="834" spans="9:22" x14ac:dyDescent="0.45">
      <c r="I834" t="s">
        <v>189</v>
      </c>
      <c r="J834" t="s">
        <v>535</v>
      </c>
      <c r="K834">
        <v>1.9819859455158427E-2</v>
      </c>
      <c r="L834" t="s">
        <v>162</v>
      </c>
      <c r="N834" t="s">
        <v>301</v>
      </c>
      <c r="O834" t="s">
        <v>535</v>
      </c>
      <c r="P834">
        <v>7.5812789984871596E-3</v>
      </c>
      <c r="Q834" t="s">
        <v>162</v>
      </c>
      <c r="S834" t="s">
        <v>413</v>
      </c>
      <c r="T834" t="s">
        <v>535</v>
      </c>
      <c r="U834">
        <v>1.2322915778091281E-2</v>
      </c>
      <c r="V834" t="s">
        <v>162</v>
      </c>
    </row>
    <row r="835" spans="9:22" x14ac:dyDescent="0.45">
      <c r="I835" t="s">
        <v>189</v>
      </c>
      <c r="J835" t="s">
        <v>536</v>
      </c>
      <c r="K835">
        <v>4.4186446728401781E-2</v>
      </c>
      <c r="L835" t="s">
        <v>162</v>
      </c>
      <c r="N835" t="s">
        <v>301</v>
      </c>
      <c r="O835" t="s">
        <v>536</v>
      </c>
      <c r="P835">
        <v>1.6322387539178817E-2</v>
      </c>
      <c r="Q835" t="s">
        <v>162</v>
      </c>
      <c r="S835" t="s">
        <v>413</v>
      </c>
      <c r="T835" t="s">
        <v>536</v>
      </c>
      <c r="U835">
        <v>2.4178326733670919E-2</v>
      </c>
      <c r="V835" t="s">
        <v>162</v>
      </c>
    </row>
    <row r="836" spans="9:22" x14ac:dyDescent="0.45">
      <c r="I836" t="s">
        <v>189</v>
      </c>
      <c r="J836" t="s">
        <v>537</v>
      </c>
      <c r="K836">
        <v>9.6808147950099357E-2</v>
      </c>
      <c r="L836" t="s">
        <v>162</v>
      </c>
      <c r="N836" t="s">
        <v>301</v>
      </c>
      <c r="O836" t="s">
        <v>537</v>
      </c>
      <c r="P836">
        <v>4.8093686057784628E-2</v>
      </c>
      <c r="Q836" t="s">
        <v>162</v>
      </c>
      <c r="S836" t="s">
        <v>413</v>
      </c>
      <c r="T836" t="s">
        <v>537</v>
      </c>
      <c r="U836">
        <v>5.8224073888827436E-2</v>
      </c>
      <c r="V836" t="s">
        <v>162</v>
      </c>
    </row>
    <row r="837" spans="9:22" x14ac:dyDescent="0.45">
      <c r="I837" t="s">
        <v>189</v>
      </c>
      <c r="J837" t="s">
        <v>538</v>
      </c>
      <c r="K837">
        <v>1.0874135828073254E-2</v>
      </c>
      <c r="L837" t="s">
        <v>162</v>
      </c>
      <c r="N837" t="s">
        <v>301</v>
      </c>
      <c r="O837" t="s">
        <v>538</v>
      </c>
      <c r="P837">
        <v>1.0828049708218872E-2</v>
      </c>
      <c r="Q837" t="s">
        <v>162</v>
      </c>
      <c r="S837" t="s">
        <v>413</v>
      </c>
      <c r="T837" t="s">
        <v>538</v>
      </c>
      <c r="U837">
        <v>1.1227766185212889E-2</v>
      </c>
      <c r="V837" t="s">
        <v>162</v>
      </c>
    </row>
    <row r="838" spans="9:22" x14ac:dyDescent="0.45">
      <c r="I838" t="s">
        <v>189</v>
      </c>
      <c r="J838" t="s">
        <v>539</v>
      </c>
      <c r="K838">
        <v>7.9250496587959032E-3</v>
      </c>
      <c r="L838" t="s">
        <v>162</v>
      </c>
      <c r="N838" t="s">
        <v>301</v>
      </c>
      <c r="O838" t="s">
        <v>539</v>
      </c>
      <c r="P838">
        <v>7.6375304308990019E-2</v>
      </c>
      <c r="Q838" t="s">
        <v>162</v>
      </c>
      <c r="S838" t="s">
        <v>413</v>
      </c>
      <c r="T838" t="s">
        <v>539</v>
      </c>
      <c r="U838">
        <v>6.9926077978481577E-2</v>
      </c>
      <c r="V838" t="s">
        <v>162</v>
      </c>
    </row>
    <row r="839" spans="9:22" x14ac:dyDescent="0.45">
      <c r="I839" t="s">
        <v>189</v>
      </c>
      <c r="J839" t="s">
        <v>540</v>
      </c>
      <c r="K839">
        <v>5.2288000467198338E-4</v>
      </c>
      <c r="L839" t="s">
        <v>162</v>
      </c>
      <c r="N839" t="s">
        <v>301</v>
      </c>
      <c r="O839" t="s">
        <v>540</v>
      </c>
      <c r="P839">
        <v>3.5854787956213191E-2</v>
      </c>
      <c r="Q839" t="s">
        <v>162</v>
      </c>
      <c r="S839" t="s">
        <v>413</v>
      </c>
      <c r="T839" t="s">
        <v>540</v>
      </c>
      <c r="U839">
        <v>3.1259311983798915E-2</v>
      </c>
      <c r="V839" t="s">
        <v>162</v>
      </c>
    </row>
    <row r="840" spans="9:22" x14ac:dyDescent="0.45">
      <c r="I840" t="s">
        <v>189</v>
      </c>
      <c r="J840" t="s">
        <v>541</v>
      </c>
      <c r="K840">
        <v>2.0043095128975813E-3</v>
      </c>
      <c r="L840" t="s">
        <v>162</v>
      </c>
      <c r="N840" t="s">
        <v>301</v>
      </c>
      <c r="O840" t="s">
        <v>541</v>
      </c>
      <c r="P840">
        <v>4.0296596172543289E-3</v>
      </c>
      <c r="Q840" t="s">
        <v>162</v>
      </c>
      <c r="S840" t="s">
        <v>413</v>
      </c>
      <c r="T840" t="s">
        <v>541</v>
      </c>
      <c r="U840">
        <v>3.4317425857420068E-3</v>
      </c>
      <c r="V840" t="s">
        <v>162</v>
      </c>
    </row>
    <row r="841" spans="9:22" x14ac:dyDescent="0.45">
      <c r="I841" t="s">
        <v>189</v>
      </c>
      <c r="J841" t="s">
        <v>542</v>
      </c>
      <c r="K841">
        <v>7.4756546713574592E-3</v>
      </c>
      <c r="L841" t="s">
        <v>162</v>
      </c>
      <c r="N841" t="s">
        <v>301</v>
      </c>
      <c r="O841" t="s">
        <v>542</v>
      </c>
      <c r="P841">
        <v>6.9085817055438876E-3</v>
      </c>
      <c r="Q841" t="s">
        <v>162</v>
      </c>
      <c r="S841" t="s">
        <v>413</v>
      </c>
      <c r="T841" t="s">
        <v>542</v>
      </c>
      <c r="U841">
        <v>6.7783360416996457E-3</v>
      </c>
      <c r="V841" t="s">
        <v>162</v>
      </c>
    </row>
    <row r="842" spans="9:22" x14ac:dyDescent="0.45">
      <c r="I842" t="s">
        <v>189</v>
      </c>
      <c r="J842" t="s">
        <v>543</v>
      </c>
      <c r="K842">
        <v>1.3480143846153095E-2</v>
      </c>
      <c r="L842" t="s">
        <v>162</v>
      </c>
      <c r="N842" t="s">
        <v>301</v>
      </c>
      <c r="O842" t="s">
        <v>543</v>
      </c>
      <c r="P842">
        <v>1.6362359644355038E-2</v>
      </c>
      <c r="Q842" t="s">
        <v>162</v>
      </c>
      <c r="S842" t="s">
        <v>413</v>
      </c>
      <c r="T842" t="s">
        <v>543</v>
      </c>
      <c r="U842">
        <v>1.698919394707633E-2</v>
      </c>
      <c r="V842" t="s">
        <v>162</v>
      </c>
    </row>
    <row r="843" spans="9:22" x14ac:dyDescent="0.45">
      <c r="I843" t="s">
        <v>189</v>
      </c>
      <c r="J843" t="s">
        <v>544</v>
      </c>
      <c r="K843">
        <v>0</v>
      </c>
      <c r="L843" t="s">
        <v>162</v>
      </c>
      <c r="N843" t="s">
        <v>301</v>
      </c>
      <c r="O843" t="s">
        <v>544</v>
      </c>
      <c r="P843">
        <v>3.7647526367696324E-3</v>
      </c>
      <c r="Q843" t="s">
        <v>162</v>
      </c>
      <c r="S843" t="s">
        <v>413</v>
      </c>
      <c r="T843" t="s">
        <v>544</v>
      </c>
      <c r="U843">
        <v>3.2162286112094531E-3</v>
      </c>
      <c r="V843" t="s">
        <v>162</v>
      </c>
    </row>
    <row r="844" spans="9:22" x14ac:dyDescent="0.45">
      <c r="I844" t="s">
        <v>189</v>
      </c>
      <c r="J844" t="s">
        <v>545</v>
      </c>
      <c r="K844">
        <v>0</v>
      </c>
      <c r="L844" t="s">
        <v>162</v>
      </c>
      <c r="N844" t="s">
        <v>301</v>
      </c>
      <c r="O844" t="s">
        <v>545</v>
      </c>
      <c r="P844">
        <v>2.1377217448176004E-2</v>
      </c>
      <c r="Q844" t="s">
        <v>162</v>
      </c>
      <c r="S844" t="s">
        <v>413</v>
      </c>
      <c r="T844" t="s">
        <v>545</v>
      </c>
      <c r="U844">
        <v>1.7684729228337134E-2</v>
      </c>
      <c r="V844" t="s">
        <v>162</v>
      </c>
    </row>
    <row r="845" spans="9:22" x14ac:dyDescent="0.45">
      <c r="I845" t="s">
        <v>189</v>
      </c>
      <c r="J845" t="s">
        <v>546</v>
      </c>
      <c r="K845">
        <v>0</v>
      </c>
      <c r="L845" t="s">
        <v>162</v>
      </c>
      <c r="N845" t="s">
        <v>301</v>
      </c>
      <c r="O845" t="s">
        <v>546</v>
      </c>
      <c r="P845">
        <v>3.5453030309677148E-2</v>
      </c>
      <c r="Q845" t="s">
        <v>162</v>
      </c>
      <c r="S845" t="s">
        <v>413</v>
      </c>
      <c r="T845" t="s">
        <v>546</v>
      </c>
      <c r="U845">
        <v>3.1226912244596981E-2</v>
      </c>
      <c r="V845" t="s">
        <v>162</v>
      </c>
    </row>
    <row r="846" spans="9:22" x14ac:dyDescent="0.45">
      <c r="I846" t="s">
        <v>189</v>
      </c>
      <c r="J846" t="s">
        <v>547</v>
      </c>
      <c r="K846">
        <v>2.4450386569620278E-3</v>
      </c>
      <c r="L846" t="s">
        <v>162</v>
      </c>
      <c r="N846" t="s">
        <v>301</v>
      </c>
      <c r="O846" t="s">
        <v>547</v>
      </c>
      <c r="P846">
        <v>3.5839102016365487E-3</v>
      </c>
      <c r="Q846" t="s">
        <v>162</v>
      </c>
      <c r="S846" t="s">
        <v>413</v>
      </c>
      <c r="T846" t="s">
        <v>547</v>
      </c>
      <c r="U846">
        <v>3.572724994602647E-3</v>
      </c>
      <c r="V846" t="s">
        <v>162</v>
      </c>
    </row>
    <row r="847" spans="9:22" x14ac:dyDescent="0.45">
      <c r="I847" t="s">
        <v>189</v>
      </c>
      <c r="J847" t="s">
        <v>548</v>
      </c>
      <c r="K847">
        <v>1.0892830643081872E-2</v>
      </c>
      <c r="L847" t="s">
        <v>162</v>
      </c>
      <c r="N847" t="s">
        <v>301</v>
      </c>
      <c r="O847" t="s">
        <v>548</v>
      </c>
      <c r="P847">
        <v>6.16746482140486E-3</v>
      </c>
      <c r="Q847" t="s">
        <v>162</v>
      </c>
      <c r="S847" t="s">
        <v>413</v>
      </c>
      <c r="T847" t="s">
        <v>548</v>
      </c>
      <c r="U847">
        <v>7.1887409749378101E-3</v>
      </c>
      <c r="V847" t="s">
        <v>162</v>
      </c>
    </row>
    <row r="848" spans="9:22" x14ac:dyDescent="0.45">
      <c r="I848" t="s">
        <v>189</v>
      </c>
      <c r="J848" t="s">
        <v>549</v>
      </c>
      <c r="K848">
        <v>2.0203639071127266E-2</v>
      </c>
      <c r="L848" t="s">
        <v>162</v>
      </c>
      <c r="N848" t="s">
        <v>301</v>
      </c>
      <c r="O848" t="s">
        <v>549</v>
      </c>
      <c r="P848">
        <v>1.6721514109029553E-2</v>
      </c>
      <c r="Q848" t="s">
        <v>162</v>
      </c>
      <c r="S848" t="s">
        <v>413</v>
      </c>
      <c r="T848" t="s">
        <v>549</v>
      </c>
      <c r="U848">
        <v>1.8172086765866163E-2</v>
      </c>
      <c r="V848" t="s">
        <v>162</v>
      </c>
    </row>
    <row r="849" spans="9:22" x14ac:dyDescent="0.45">
      <c r="I849" t="s">
        <v>189</v>
      </c>
      <c r="J849" t="s">
        <v>550</v>
      </c>
      <c r="K849">
        <v>0</v>
      </c>
      <c r="L849" t="s">
        <v>162</v>
      </c>
      <c r="N849" t="s">
        <v>301</v>
      </c>
      <c r="O849" t="s">
        <v>550</v>
      </c>
      <c r="P849">
        <v>4.1555818953892959E-3</v>
      </c>
      <c r="Q849" t="s">
        <v>162</v>
      </c>
      <c r="S849" t="s">
        <v>413</v>
      </c>
      <c r="T849" t="s">
        <v>550</v>
      </c>
      <c r="U849">
        <v>3.5746779157613249E-3</v>
      </c>
      <c r="V849" t="s">
        <v>162</v>
      </c>
    </row>
    <row r="850" spans="9:22" x14ac:dyDescent="0.45">
      <c r="I850" t="s">
        <v>189</v>
      </c>
      <c r="J850" t="s">
        <v>551</v>
      </c>
      <c r="K850">
        <v>0</v>
      </c>
      <c r="L850" t="s">
        <v>162</v>
      </c>
      <c r="N850" t="s">
        <v>301</v>
      </c>
      <c r="O850" t="s">
        <v>551</v>
      </c>
      <c r="P850">
        <v>2.5807230872753863E-2</v>
      </c>
      <c r="Q850" t="s">
        <v>162</v>
      </c>
      <c r="S850" t="s">
        <v>413</v>
      </c>
      <c r="T850" t="s">
        <v>551</v>
      </c>
      <c r="U850">
        <v>2.0878393568960089E-2</v>
      </c>
      <c r="V850" t="s">
        <v>162</v>
      </c>
    </row>
    <row r="851" spans="9:22" x14ac:dyDescent="0.45">
      <c r="I851" t="s">
        <v>190</v>
      </c>
      <c r="J851" t="s">
        <v>161</v>
      </c>
      <c r="K851">
        <v>0</v>
      </c>
      <c r="L851" t="s">
        <v>162</v>
      </c>
      <c r="N851" t="s">
        <v>302</v>
      </c>
      <c r="O851" t="s">
        <v>161</v>
      </c>
      <c r="P851">
        <v>3.5734636097836711E-2</v>
      </c>
      <c r="Q851" t="s">
        <v>162</v>
      </c>
      <c r="S851" t="s">
        <v>414</v>
      </c>
      <c r="T851" t="s">
        <v>161</v>
      </c>
      <c r="U851">
        <v>2.3284955494295413E-2</v>
      </c>
      <c r="V851" t="s">
        <v>162</v>
      </c>
    </row>
    <row r="852" spans="9:22" x14ac:dyDescent="0.45">
      <c r="I852" t="s">
        <v>190</v>
      </c>
      <c r="J852" t="s">
        <v>163</v>
      </c>
      <c r="K852">
        <v>2.1707960446541719E-3</v>
      </c>
      <c r="L852" t="s">
        <v>162</v>
      </c>
      <c r="N852" t="s">
        <v>302</v>
      </c>
      <c r="O852" t="s">
        <v>163</v>
      </c>
      <c r="P852">
        <v>3.4733263825169284E-3</v>
      </c>
      <c r="Q852" t="s">
        <v>162</v>
      </c>
      <c r="S852" t="s">
        <v>414</v>
      </c>
      <c r="T852" t="s">
        <v>163</v>
      </c>
      <c r="U852">
        <v>2.6087531869637384E-3</v>
      </c>
      <c r="V852" t="s">
        <v>162</v>
      </c>
    </row>
    <row r="853" spans="9:22" x14ac:dyDescent="0.45">
      <c r="I853" t="s">
        <v>190</v>
      </c>
      <c r="J853" t="s">
        <v>164</v>
      </c>
      <c r="K853">
        <v>1.0070076596135794E-2</v>
      </c>
      <c r="L853" t="s">
        <v>162</v>
      </c>
      <c r="N853" t="s">
        <v>302</v>
      </c>
      <c r="O853" t="s">
        <v>164</v>
      </c>
      <c r="P853">
        <v>6.2359180261745764E-3</v>
      </c>
      <c r="Q853" t="s">
        <v>162</v>
      </c>
      <c r="S853" t="s">
        <v>414</v>
      </c>
      <c r="T853" t="s">
        <v>164</v>
      </c>
      <c r="U853">
        <v>5.1927519565551118E-3</v>
      </c>
      <c r="V853" t="s">
        <v>162</v>
      </c>
    </row>
    <row r="854" spans="9:22" x14ac:dyDescent="0.45">
      <c r="I854" t="s">
        <v>190</v>
      </c>
      <c r="J854" t="s">
        <v>519</v>
      </c>
      <c r="K854">
        <v>2.0390702352778785E-2</v>
      </c>
      <c r="L854" t="s">
        <v>162</v>
      </c>
      <c r="N854" t="s">
        <v>302</v>
      </c>
      <c r="O854" t="s">
        <v>519</v>
      </c>
      <c r="P854">
        <v>1.3941769501873605E-2</v>
      </c>
      <c r="Q854" t="s">
        <v>162</v>
      </c>
      <c r="S854" t="s">
        <v>414</v>
      </c>
      <c r="T854" t="s">
        <v>519</v>
      </c>
      <c r="U854">
        <v>1.3114329516806859E-2</v>
      </c>
      <c r="V854" t="s">
        <v>162</v>
      </c>
    </row>
    <row r="855" spans="9:22" x14ac:dyDescent="0.45">
      <c r="I855" t="s">
        <v>190</v>
      </c>
      <c r="J855" t="s">
        <v>520</v>
      </c>
      <c r="K855">
        <v>0</v>
      </c>
      <c r="L855" t="s">
        <v>162</v>
      </c>
      <c r="N855" t="s">
        <v>302</v>
      </c>
      <c r="O855" t="s">
        <v>520</v>
      </c>
      <c r="P855">
        <v>3.6809599179623404E-3</v>
      </c>
      <c r="Q855" t="s">
        <v>162</v>
      </c>
      <c r="S855" t="s">
        <v>414</v>
      </c>
      <c r="T855" t="s">
        <v>520</v>
      </c>
      <c r="U855">
        <v>2.541233616284068E-3</v>
      </c>
      <c r="V855" t="s">
        <v>162</v>
      </c>
    </row>
    <row r="856" spans="9:22" x14ac:dyDescent="0.45">
      <c r="I856" t="s">
        <v>190</v>
      </c>
      <c r="J856" t="s">
        <v>521</v>
      </c>
      <c r="K856">
        <v>0</v>
      </c>
      <c r="L856" t="s">
        <v>162</v>
      </c>
      <c r="N856" t="s">
        <v>302</v>
      </c>
      <c r="O856" t="s">
        <v>521</v>
      </c>
      <c r="P856">
        <v>2.4658636985600956E-2</v>
      </c>
      <c r="Q856" t="s">
        <v>162</v>
      </c>
      <c r="S856" t="s">
        <v>414</v>
      </c>
      <c r="T856" t="s">
        <v>521</v>
      </c>
      <c r="U856">
        <v>1.5775800092703973E-2</v>
      </c>
      <c r="V856" t="s">
        <v>162</v>
      </c>
    </row>
    <row r="857" spans="9:22" x14ac:dyDescent="0.45">
      <c r="I857" t="s">
        <v>190</v>
      </c>
      <c r="J857" t="s">
        <v>165</v>
      </c>
      <c r="K857">
        <v>1.2543369903402017E-2</v>
      </c>
      <c r="L857" t="s">
        <v>162</v>
      </c>
      <c r="N857" t="s">
        <v>302</v>
      </c>
      <c r="O857" t="s">
        <v>165</v>
      </c>
      <c r="P857">
        <v>6.5424703340662554E-2</v>
      </c>
      <c r="Q857" t="s">
        <v>162</v>
      </c>
      <c r="S857" t="s">
        <v>414</v>
      </c>
      <c r="T857" t="s">
        <v>165</v>
      </c>
      <c r="U857">
        <v>5.5187762483403492E-2</v>
      </c>
      <c r="V857" t="s">
        <v>162</v>
      </c>
    </row>
    <row r="858" spans="9:22" x14ac:dyDescent="0.45">
      <c r="I858" t="s">
        <v>190</v>
      </c>
      <c r="J858" t="s">
        <v>166</v>
      </c>
      <c r="K858">
        <v>1.50207871851896E-2</v>
      </c>
      <c r="L858" t="s">
        <v>162</v>
      </c>
      <c r="N858" t="s">
        <v>302</v>
      </c>
      <c r="O858" t="s">
        <v>166</v>
      </c>
      <c r="P858">
        <v>5.6131310733489558E-3</v>
      </c>
      <c r="Q858" t="s">
        <v>162</v>
      </c>
      <c r="S858" t="s">
        <v>414</v>
      </c>
      <c r="T858" t="s">
        <v>166</v>
      </c>
      <c r="U858">
        <v>6.2684991306704218E-3</v>
      </c>
      <c r="V858" t="s">
        <v>162</v>
      </c>
    </row>
    <row r="859" spans="9:22" x14ac:dyDescent="0.45">
      <c r="I859" t="s">
        <v>190</v>
      </c>
      <c r="J859" t="s">
        <v>167</v>
      </c>
      <c r="K859">
        <v>4.0528797649613361E-2</v>
      </c>
      <c r="L859" t="s">
        <v>162</v>
      </c>
      <c r="N859" t="s">
        <v>302</v>
      </c>
      <c r="O859" t="s">
        <v>167</v>
      </c>
      <c r="P859">
        <v>8.9108738964790556E-3</v>
      </c>
      <c r="Q859" t="s">
        <v>162</v>
      </c>
      <c r="S859" t="s">
        <v>414</v>
      </c>
      <c r="T859" t="s">
        <v>167</v>
      </c>
      <c r="U859">
        <v>1.2250245791500768E-2</v>
      </c>
      <c r="V859" t="s">
        <v>162</v>
      </c>
    </row>
    <row r="860" spans="9:22" x14ac:dyDescent="0.45">
      <c r="I860" t="s">
        <v>190</v>
      </c>
      <c r="J860" t="s">
        <v>522</v>
      </c>
      <c r="K860">
        <v>9.3210246907727834E-2</v>
      </c>
      <c r="L860" t="s">
        <v>162</v>
      </c>
      <c r="N860" t="s">
        <v>302</v>
      </c>
      <c r="O860" t="s">
        <v>522</v>
      </c>
      <c r="P860">
        <v>2.2262635111307359E-2</v>
      </c>
      <c r="Q860" t="s">
        <v>162</v>
      </c>
      <c r="S860" t="s">
        <v>414</v>
      </c>
      <c r="T860" t="s">
        <v>522</v>
      </c>
      <c r="U860">
        <v>2.9341490443315261E-2</v>
      </c>
      <c r="V860" t="s">
        <v>162</v>
      </c>
    </row>
    <row r="861" spans="9:22" x14ac:dyDescent="0.45">
      <c r="I861" t="s">
        <v>190</v>
      </c>
      <c r="J861" t="s">
        <v>523</v>
      </c>
      <c r="K861">
        <v>7.9395215762794943E-3</v>
      </c>
      <c r="L861" t="s">
        <v>162</v>
      </c>
      <c r="N861" t="s">
        <v>302</v>
      </c>
      <c r="O861" t="s">
        <v>523</v>
      </c>
      <c r="P861">
        <v>5.828270765231236E-3</v>
      </c>
      <c r="Q861" t="s">
        <v>162</v>
      </c>
      <c r="S861" t="s">
        <v>414</v>
      </c>
      <c r="T861" t="s">
        <v>523</v>
      </c>
      <c r="U861">
        <v>6.1888040978053567E-3</v>
      </c>
      <c r="V861" t="s">
        <v>162</v>
      </c>
    </row>
    <row r="862" spans="9:22" x14ac:dyDescent="0.45">
      <c r="I862" t="s">
        <v>190</v>
      </c>
      <c r="J862" t="s">
        <v>524</v>
      </c>
      <c r="K862">
        <v>2.8744380285806114E-3</v>
      </c>
      <c r="L862" t="s">
        <v>162</v>
      </c>
      <c r="N862" t="s">
        <v>302</v>
      </c>
      <c r="O862" t="s">
        <v>524</v>
      </c>
      <c r="P862">
        <v>4.5569842170702438E-2</v>
      </c>
      <c r="Q862" t="s">
        <v>162</v>
      </c>
      <c r="S862" t="s">
        <v>414</v>
      </c>
      <c r="T862" t="s">
        <v>524</v>
      </c>
      <c r="U862">
        <v>3.7900877402534408E-2</v>
      </c>
      <c r="V862" t="s">
        <v>162</v>
      </c>
    </row>
    <row r="863" spans="9:22" x14ac:dyDescent="0.45">
      <c r="I863" t="s">
        <v>190</v>
      </c>
      <c r="J863" t="s">
        <v>168</v>
      </c>
      <c r="K863">
        <v>1.991488853515944E-2</v>
      </c>
      <c r="L863" t="s">
        <v>162</v>
      </c>
      <c r="N863" t="s">
        <v>302</v>
      </c>
      <c r="O863" t="s">
        <v>168</v>
      </c>
      <c r="P863">
        <v>3.6781192685420724E-2</v>
      </c>
      <c r="Q863" t="s">
        <v>162</v>
      </c>
      <c r="S863" t="s">
        <v>414</v>
      </c>
      <c r="T863" t="s">
        <v>168</v>
      </c>
      <c r="U863">
        <v>2.8731781670957163E-2</v>
      </c>
      <c r="V863" t="s">
        <v>162</v>
      </c>
    </row>
    <row r="864" spans="9:22" x14ac:dyDescent="0.45">
      <c r="I864" t="s">
        <v>190</v>
      </c>
      <c r="J864" t="s">
        <v>169</v>
      </c>
      <c r="K864">
        <v>1.1860881894649263E-2</v>
      </c>
      <c r="L864" t="s">
        <v>162</v>
      </c>
      <c r="N864" t="s">
        <v>302</v>
      </c>
      <c r="O864" t="s">
        <v>169</v>
      </c>
      <c r="P864">
        <v>2.8414351155082391E-3</v>
      </c>
      <c r="Q864" t="s">
        <v>162</v>
      </c>
      <c r="S864" t="s">
        <v>414</v>
      </c>
      <c r="T864" t="s">
        <v>169</v>
      </c>
      <c r="U864">
        <v>3.0831561666520742E-3</v>
      </c>
      <c r="V864" t="s">
        <v>162</v>
      </c>
    </row>
    <row r="865" spans="9:22" x14ac:dyDescent="0.45">
      <c r="I865" t="s">
        <v>190</v>
      </c>
      <c r="J865" t="s">
        <v>170</v>
      </c>
      <c r="K865">
        <v>2.6935257764979074E-2</v>
      </c>
      <c r="L865" t="s">
        <v>162</v>
      </c>
      <c r="N865" t="s">
        <v>302</v>
      </c>
      <c r="O865" t="s">
        <v>170</v>
      </c>
      <c r="P865">
        <v>6.1060367854795317E-3</v>
      </c>
      <c r="Q865" t="s">
        <v>162</v>
      </c>
      <c r="S865" t="s">
        <v>414</v>
      </c>
      <c r="T865" t="s">
        <v>170</v>
      </c>
      <c r="U865">
        <v>6.0383400799041151E-3</v>
      </c>
      <c r="V865" t="s">
        <v>162</v>
      </c>
    </row>
    <row r="866" spans="9:22" x14ac:dyDescent="0.45">
      <c r="I866" t="s">
        <v>190</v>
      </c>
      <c r="J866" t="s">
        <v>525</v>
      </c>
      <c r="K866">
        <v>6.1361261463499149E-2</v>
      </c>
      <c r="L866" t="s">
        <v>162</v>
      </c>
      <c r="N866" t="s">
        <v>302</v>
      </c>
      <c r="O866" t="s">
        <v>525</v>
      </c>
      <c r="P866">
        <v>1.7213102010060852E-2</v>
      </c>
      <c r="Q866" t="s">
        <v>162</v>
      </c>
      <c r="S866" t="s">
        <v>414</v>
      </c>
      <c r="T866" t="s">
        <v>525</v>
      </c>
      <c r="U866">
        <v>1.5473912578730353E-2</v>
      </c>
      <c r="V866" t="s">
        <v>162</v>
      </c>
    </row>
    <row r="867" spans="9:22" x14ac:dyDescent="0.45">
      <c r="I867" t="s">
        <v>190</v>
      </c>
      <c r="J867" t="s">
        <v>526</v>
      </c>
      <c r="K867">
        <v>7.0450748170856657E-3</v>
      </c>
      <c r="L867" t="s">
        <v>162</v>
      </c>
      <c r="N867" t="s">
        <v>302</v>
      </c>
      <c r="O867" t="s">
        <v>526</v>
      </c>
      <c r="P867">
        <v>3.1451854699947926E-3</v>
      </c>
      <c r="Q867" t="s">
        <v>162</v>
      </c>
      <c r="S867" t="s">
        <v>414</v>
      </c>
      <c r="T867" t="s">
        <v>526</v>
      </c>
      <c r="U867">
        <v>3.2406360423857267E-3</v>
      </c>
      <c r="V867" t="s">
        <v>162</v>
      </c>
    </row>
    <row r="868" spans="9:22" x14ac:dyDescent="0.45">
      <c r="I868" t="s">
        <v>190</v>
      </c>
      <c r="J868" t="s">
        <v>527</v>
      </c>
      <c r="K868">
        <v>5.4574662223831477E-3</v>
      </c>
      <c r="L868" t="s">
        <v>162</v>
      </c>
      <c r="N868" t="s">
        <v>302</v>
      </c>
      <c r="O868" t="s">
        <v>527</v>
      </c>
      <c r="P868">
        <v>2.5054853146060239E-2</v>
      </c>
      <c r="Q868" t="s">
        <v>162</v>
      </c>
      <c r="S868" t="s">
        <v>414</v>
      </c>
      <c r="T868" t="s">
        <v>527</v>
      </c>
      <c r="U868">
        <v>1.8860475332477793E-2</v>
      </c>
      <c r="V868" t="s">
        <v>162</v>
      </c>
    </row>
    <row r="869" spans="9:22" x14ac:dyDescent="0.45">
      <c r="I869" t="s">
        <v>190</v>
      </c>
      <c r="J869" t="s">
        <v>528</v>
      </c>
      <c r="K869">
        <v>7.53150594345878E-2</v>
      </c>
      <c r="L869" t="s">
        <v>162</v>
      </c>
      <c r="N869" t="s">
        <v>302</v>
      </c>
      <c r="O869" t="s">
        <v>528</v>
      </c>
      <c r="P869">
        <v>8.7399402715180055E-2</v>
      </c>
      <c r="Q869" t="s">
        <v>162</v>
      </c>
      <c r="S869" t="s">
        <v>414</v>
      </c>
      <c r="T869" t="s">
        <v>528</v>
      </c>
      <c r="U869">
        <v>8.7692013557455747E-2</v>
      </c>
      <c r="V869" t="s">
        <v>162</v>
      </c>
    </row>
    <row r="870" spans="9:22" x14ac:dyDescent="0.45">
      <c r="I870" t="s">
        <v>190</v>
      </c>
      <c r="J870" t="s">
        <v>529</v>
      </c>
      <c r="K870">
        <v>3.088976464389339E-2</v>
      </c>
      <c r="L870" t="s">
        <v>162</v>
      </c>
      <c r="N870" t="s">
        <v>302</v>
      </c>
      <c r="O870" t="s">
        <v>529</v>
      </c>
      <c r="P870">
        <v>7.1746906251112484E-3</v>
      </c>
      <c r="Q870" t="s">
        <v>162</v>
      </c>
      <c r="S870" t="s">
        <v>414</v>
      </c>
      <c r="T870" t="s">
        <v>529</v>
      </c>
      <c r="U870">
        <v>8.7347017441270578E-3</v>
      </c>
      <c r="V870" t="s">
        <v>162</v>
      </c>
    </row>
    <row r="871" spans="9:22" x14ac:dyDescent="0.45">
      <c r="I871" t="s">
        <v>190</v>
      </c>
      <c r="J871" t="s">
        <v>530</v>
      </c>
      <c r="K871">
        <v>6.7872868499133002E-2</v>
      </c>
      <c r="L871" t="s">
        <v>162</v>
      </c>
      <c r="N871" t="s">
        <v>302</v>
      </c>
      <c r="O871" t="s">
        <v>530</v>
      </c>
      <c r="P871">
        <v>1.6685750409775421E-2</v>
      </c>
      <c r="Q871" t="s">
        <v>162</v>
      </c>
      <c r="S871" t="s">
        <v>414</v>
      </c>
      <c r="T871" t="s">
        <v>530</v>
      </c>
      <c r="U871">
        <v>1.8214920036250123E-2</v>
      </c>
      <c r="V871" t="s">
        <v>162</v>
      </c>
    </row>
    <row r="872" spans="9:22" x14ac:dyDescent="0.45">
      <c r="I872" t="s">
        <v>190</v>
      </c>
      <c r="J872" t="s">
        <v>531</v>
      </c>
      <c r="K872">
        <v>0.15994371971891036</v>
      </c>
      <c r="L872" t="s">
        <v>162</v>
      </c>
      <c r="N872" t="s">
        <v>302</v>
      </c>
      <c r="O872" t="s">
        <v>531</v>
      </c>
      <c r="P872">
        <v>4.5467440014554349E-2</v>
      </c>
      <c r="Q872" t="s">
        <v>162</v>
      </c>
      <c r="S872" t="s">
        <v>414</v>
      </c>
      <c r="T872" t="s">
        <v>531</v>
      </c>
      <c r="U872">
        <v>5.0123692416925228E-2</v>
      </c>
      <c r="V872" t="s">
        <v>162</v>
      </c>
    </row>
    <row r="873" spans="9:22" x14ac:dyDescent="0.45">
      <c r="I873" t="s">
        <v>190</v>
      </c>
      <c r="J873" t="s">
        <v>532</v>
      </c>
      <c r="K873">
        <v>2.2470340741616135E-2</v>
      </c>
      <c r="L873" t="s">
        <v>162</v>
      </c>
      <c r="N873" t="s">
        <v>302</v>
      </c>
      <c r="O873" t="s">
        <v>532</v>
      </c>
      <c r="P873">
        <v>7.8873762386778186E-3</v>
      </c>
      <c r="Q873" t="s">
        <v>162</v>
      </c>
      <c r="S873" t="s">
        <v>414</v>
      </c>
      <c r="T873" t="s">
        <v>532</v>
      </c>
      <c r="U873">
        <v>1.003784247944059E-2</v>
      </c>
      <c r="V873" t="s">
        <v>162</v>
      </c>
    </row>
    <row r="874" spans="9:22" x14ac:dyDescent="0.45">
      <c r="I874" t="s">
        <v>190</v>
      </c>
      <c r="J874" t="s">
        <v>533</v>
      </c>
      <c r="K874">
        <v>3.4051712021081648E-2</v>
      </c>
      <c r="L874" t="s">
        <v>162</v>
      </c>
      <c r="N874" t="s">
        <v>302</v>
      </c>
      <c r="O874" t="s">
        <v>533</v>
      </c>
      <c r="P874">
        <v>5.9183494196518957E-2</v>
      </c>
      <c r="Q874" t="s">
        <v>162</v>
      </c>
      <c r="S874" t="s">
        <v>414</v>
      </c>
      <c r="T874" t="s">
        <v>533</v>
      </c>
      <c r="U874">
        <v>6.1778929067483231E-2</v>
      </c>
      <c r="V874" t="s">
        <v>162</v>
      </c>
    </row>
    <row r="875" spans="9:22" x14ac:dyDescent="0.45">
      <c r="I875" t="s">
        <v>190</v>
      </c>
      <c r="J875" t="s">
        <v>534</v>
      </c>
      <c r="K875">
        <v>3.4699592543904555E-2</v>
      </c>
      <c r="L875" t="s">
        <v>162</v>
      </c>
      <c r="N875" t="s">
        <v>302</v>
      </c>
      <c r="O875" t="s">
        <v>534</v>
      </c>
      <c r="P875">
        <v>0.10123693165188435</v>
      </c>
      <c r="Q875" t="s">
        <v>162</v>
      </c>
      <c r="S875" t="s">
        <v>414</v>
      </c>
      <c r="T875" t="s">
        <v>534</v>
      </c>
      <c r="U875">
        <v>0.11866671502110955</v>
      </c>
      <c r="V875" t="s">
        <v>162</v>
      </c>
    </row>
    <row r="876" spans="9:22" x14ac:dyDescent="0.45">
      <c r="I876" t="s">
        <v>190</v>
      </c>
      <c r="J876" t="s">
        <v>535</v>
      </c>
      <c r="K876">
        <v>2.1467356795170416E-2</v>
      </c>
      <c r="L876" t="s">
        <v>162</v>
      </c>
      <c r="N876" t="s">
        <v>302</v>
      </c>
      <c r="O876" t="s">
        <v>535</v>
      </c>
      <c r="P876">
        <v>6.9012033791471129E-3</v>
      </c>
      <c r="Q876" t="s">
        <v>162</v>
      </c>
      <c r="S876" t="s">
        <v>414</v>
      </c>
      <c r="T876" t="s">
        <v>535</v>
      </c>
      <c r="U876">
        <v>1.3320225752717393E-2</v>
      </c>
      <c r="V876" t="s">
        <v>162</v>
      </c>
    </row>
    <row r="877" spans="9:22" x14ac:dyDescent="0.45">
      <c r="I877" t="s">
        <v>190</v>
      </c>
      <c r="J877" t="s">
        <v>536</v>
      </c>
      <c r="K877">
        <v>4.7120684539705068E-2</v>
      </c>
      <c r="L877" t="s">
        <v>162</v>
      </c>
      <c r="N877" t="s">
        <v>302</v>
      </c>
      <c r="O877" t="s">
        <v>536</v>
      </c>
      <c r="P877">
        <v>1.4028578854428993E-2</v>
      </c>
      <c r="Q877" t="s">
        <v>162</v>
      </c>
      <c r="S877" t="s">
        <v>414</v>
      </c>
      <c r="T877" t="s">
        <v>536</v>
      </c>
      <c r="U877">
        <v>2.6308922125538734E-2</v>
      </c>
      <c r="V877" t="s">
        <v>162</v>
      </c>
    </row>
    <row r="878" spans="9:22" x14ac:dyDescent="0.45">
      <c r="I878" t="s">
        <v>190</v>
      </c>
      <c r="J878" t="s">
        <v>537</v>
      </c>
      <c r="K878">
        <v>9.677288168982312E-2</v>
      </c>
      <c r="L878" t="s">
        <v>162</v>
      </c>
      <c r="N878" t="s">
        <v>302</v>
      </c>
      <c r="O878" t="s">
        <v>537</v>
      </c>
      <c r="P878">
        <v>4.0343221380213283E-2</v>
      </c>
      <c r="Q878" t="s">
        <v>162</v>
      </c>
      <c r="S878" t="s">
        <v>414</v>
      </c>
      <c r="T878" t="s">
        <v>537</v>
      </c>
      <c r="U878">
        <v>6.5601426666426307E-2</v>
      </c>
      <c r="V878" t="s">
        <v>162</v>
      </c>
    </row>
    <row r="879" spans="9:22" x14ac:dyDescent="0.45">
      <c r="I879" t="s">
        <v>190</v>
      </c>
      <c r="J879" t="s">
        <v>538</v>
      </c>
      <c r="K879">
        <v>1.034390010642035E-2</v>
      </c>
      <c r="L879" t="s">
        <v>162</v>
      </c>
      <c r="N879" t="s">
        <v>302</v>
      </c>
      <c r="O879" t="s">
        <v>538</v>
      </c>
      <c r="P879">
        <v>8.4125197486566213E-3</v>
      </c>
      <c r="Q879" t="s">
        <v>162</v>
      </c>
      <c r="S879" t="s">
        <v>414</v>
      </c>
      <c r="T879" t="s">
        <v>538</v>
      </c>
      <c r="U879">
        <v>1.244223389998036E-2</v>
      </c>
      <c r="V879" t="s">
        <v>162</v>
      </c>
    </row>
    <row r="880" spans="9:22" x14ac:dyDescent="0.45">
      <c r="I880" t="s">
        <v>190</v>
      </c>
      <c r="J880" t="s">
        <v>539</v>
      </c>
      <c r="K880">
        <v>7.9261871003317164E-3</v>
      </c>
      <c r="L880" t="s">
        <v>162</v>
      </c>
      <c r="N880" t="s">
        <v>302</v>
      </c>
      <c r="O880" t="s">
        <v>539</v>
      </c>
      <c r="P880">
        <v>7.1475103963962505E-2</v>
      </c>
      <c r="Q880" t="s">
        <v>162</v>
      </c>
      <c r="S880" t="s">
        <v>414</v>
      </c>
      <c r="T880" t="s">
        <v>539</v>
      </c>
      <c r="U880">
        <v>7.3934783078527258E-2</v>
      </c>
      <c r="V880" t="s">
        <v>162</v>
      </c>
    </row>
    <row r="881" spans="9:22" x14ac:dyDescent="0.45">
      <c r="I881" t="s">
        <v>190</v>
      </c>
      <c r="J881" t="s">
        <v>540</v>
      </c>
      <c r="K881">
        <v>2.5949157345469528E-4</v>
      </c>
      <c r="L881" t="s">
        <v>162</v>
      </c>
      <c r="N881" t="s">
        <v>302</v>
      </c>
      <c r="O881" t="s">
        <v>540</v>
      </c>
      <c r="P881">
        <v>4.3317870582123427E-2</v>
      </c>
      <c r="Q881" t="s">
        <v>162</v>
      </c>
      <c r="S881" t="s">
        <v>414</v>
      </c>
      <c r="T881" t="s">
        <v>540</v>
      </c>
      <c r="U881">
        <v>3.2720677264271671E-2</v>
      </c>
      <c r="V881" t="s">
        <v>162</v>
      </c>
    </row>
    <row r="882" spans="9:22" x14ac:dyDescent="0.45">
      <c r="I882" t="s">
        <v>190</v>
      </c>
      <c r="J882" t="s">
        <v>541</v>
      </c>
      <c r="K882">
        <v>1.78226939009325E-3</v>
      </c>
      <c r="L882" t="s">
        <v>162</v>
      </c>
      <c r="N882" t="s">
        <v>302</v>
      </c>
      <c r="O882" t="s">
        <v>541</v>
      </c>
      <c r="P882">
        <v>4.5093066437105651E-3</v>
      </c>
      <c r="Q882" t="s">
        <v>162</v>
      </c>
      <c r="S882" t="s">
        <v>414</v>
      </c>
      <c r="T882" t="s">
        <v>541</v>
      </c>
      <c r="U882">
        <v>3.9386504880470933E-3</v>
      </c>
      <c r="V882" t="s">
        <v>162</v>
      </c>
    </row>
    <row r="883" spans="9:22" x14ac:dyDescent="0.45">
      <c r="I883" t="s">
        <v>190</v>
      </c>
      <c r="J883" t="s">
        <v>542</v>
      </c>
      <c r="K883">
        <v>7.2628124214744001E-3</v>
      </c>
      <c r="L883" t="s">
        <v>162</v>
      </c>
      <c r="N883" t="s">
        <v>302</v>
      </c>
      <c r="O883" t="s">
        <v>542</v>
      </c>
      <c r="P883">
        <v>7.8045814912899225E-3</v>
      </c>
      <c r="Q883" t="s">
        <v>162</v>
      </c>
      <c r="S883" t="s">
        <v>414</v>
      </c>
      <c r="T883" t="s">
        <v>542</v>
      </c>
      <c r="U883">
        <v>7.9195922726465889E-3</v>
      </c>
      <c r="V883" t="s">
        <v>162</v>
      </c>
    </row>
    <row r="884" spans="9:22" x14ac:dyDescent="0.45">
      <c r="I884" t="s">
        <v>190</v>
      </c>
      <c r="J884" t="s">
        <v>543</v>
      </c>
      <c r="K884">
        <v>1.3036728927902719E-2</v>
      </c>
      <c r="L884" t="s">
        <v>162</v>
      </c>
      <c r="N884" t="s">
        <v>302</v>
      </c>
      <c r="O884" t="s">
        <v>543</v>
      </c>
      <c r="P884">
        <v>1.8584985015888296E-2</v>
      </c>
      <c r="Q884" t="s">
        <v>162</v>
      </c>
      <c r="S884" t="s">
        <v>414</v>
      </c>
      <c r="T884" t="s">
        <v>543</v>
      </c>
      <c r="U884">
        <v>2.045649513912277E-2</v>
      </c>
      <c r="V884" t="s">
        <v>162</v>
      </c>
    </row>
    <row r="885" spans="9:22" x14ac:dyDescent="0.45">
      <c r="I885" t="s">
        <v>190</v>
      </c>
      <c r="J885" t="s">
        <v>544</v>
      </c>
      <c r="K885">
        <v>0</v>
      </c>
      <c r="L885" t="s">
        <v>162</v>
      </c>
      <c r="N885" t="s">
        <v>302</v>
      </c>
      <c r="O885" t="s">
        <v>544</v>
      </c>
      <c r="P885">
        <v>4.7772324311593688E-3</v>
      </c>
      <c r="Q885" t="s">
        <v>162</v>
      </c>
      <c r="S885" t="s">
        <v>414</v>
      </c>
      <c r="T885" t="s">
        <v>544</v>
      </c>
      <c r="U885">
        <v>3.9309598887060484E-3</v>
      </c>
      <c r="V885" t="s">
        <v>162</v>
      </c>
    </row>
    <row r="886" spans="9:22" x14ac:dyDescent="0.45">
      <c r="I886" t="s">
        <v>190</v>
      </c>
      <c r="J886" t="s">
        <v>545</v>
      </c>
      <c r="K886">
        <v>0</v>
      </c>
      <c r="L886" t="s">
        <v>162</v>
      </c>
      <c r="N886" t="s">
        <v>302</v>
      </c>
      <c r="O886" t="s">
        <v>545</v>
      </c>
      <c r="P886">
        <v>2.9342445796928063E-2</v>
      </c>
      <c r="Q886" t="s">
        <v>162</v>
      </c>
      <c r="S886" t="s">
        <v>414</v>
      </c>
      <c r="T886" t="s">
        <v>545</v>
      </c>
      <c r="U886">
        <v>2.0823353124613257E-2</v>
      </c>
      <c r="V886" t="s">
        <v>162</v>
      </c>
    </row>
    <row r="887" spans="9:22" x14ac:dyDescent="0.45">
      <c r="I887" t="s">
        <v>190</v>
      </c>
      <c r="J887" t="s">
        <v>546</v>
      </c>
      <c r="K887">
        <v>0</v>
      </c>
      <c r="L887" t="s">
        <v>162</v>
      </c>
      <c r="N887" t="s">
        <v>302</v>
      </c>
      <c r="O887" t="s">
        <v>546</v>
      </c>
      <c r="P887">
        <v>3.5345569987154712E-2</v>
      </c>
      <c r="Q887" t="s">
        <v>162</v>
      </c>
      <c r="S887" t="s">
        <v>414</v>
      </c>
      <c r="T887" t="s">
        <v>546</v>
      </c>
      <c r="U887">
        <v>2.9493315720293855E-2</v>
      </c>
      <c r="V887" t="s">
        <v>162</v>
      </c>
    </row>
    <row r="888" spans="9:22" x14ac:dyDescent="0.45">
      <c r="I888" t="s">
        <v>190</v>
      </c>
      <c r="J888" t="s">
        <v>547</v>
      </c>
      <c r="K888">
        <v>1.8104375499850144E-3</v>
      </c>
      <c r="L888" t="s">
        <v>162</v>
      </c>
      <c r="N888" t="s">
        <v>302</v>
      </c>
      <c r="O888" t="s">
        <v>547</v>
      </c>
      <c r="P888">
        <v>3.9579752825390779E-3</v>
      </c>
      <c r="Q888" t="s">
        <v>162</v>
      </c>
      <c r="S888" t="s">
        <v>414</v>
      </c>
      <c r="T888" t="s">
        <v>547</v>
      </c>
      <c r="U888">
        <v>3.1703703963504022E-3</v>
      </c>
      <c r="V888" t="s">
        <v>162</v>
      </c>
    </row>
    <row r="889" spans="9:22" x14ac:dyDescent="0.45">
      <c r="I889" t="s">
        <v>190</v>
      </c>
      <c r="J889" t="s">
        <v>548</v>
      </c>
      <c r="K889">
        <v>1.0481661806465948E-2</v>
      </c>
      <c r="L889" t="s">
        <v>162</v>
      </c>
      <c r="N889" t="s">
        <v>302</v>
      </c>
      <c r="O889" t="s">
        <v>548</v>
      </c>
      <c r="P889">
        <v>7.3832288451532325E-3</v>
      </c>
      <c r="Q889" t="s">
        <v>162</v>
      </c>
      <c r="S889" t="s">
        <v>414</v>
      </c>
      <c r="T889" t="s">
        <v>548</v>
      </c>
      <c r="U889">
        <v>6.4843117136097065E-3</v>
      </c>
      <c r="V889" t="s">
        <v>162</v>
      </c>
    </row>
    <row r="890" spans="9:22" x14ac:dyDescent="0.45">
      <c r="I890" t="s">
        <v>190</v>
      </c>
      <c r="J890" t="s">
        <v>549</v>
      </c>
      <c r="K890">
        <v>1.9168963553929698E-2</v>
      </c>
      <c r="L890" t="s">
        <v>162</v>
      </c>
      <c r="N890" t="s">
        <v>302</v>
      </c>
      <c r="O890" t="s">
        <v>549</v>
      </c>
      <c r="P890">
        <v>1.7501742854212264E-2</v>
      </c>
      <c r="Q890" t="s">
        <v>162</v>
      </c>
      <c r="S890" t="s">
        <v>414</v>
      </c>
      <c r="T890" t="s">
        <v>549</v>
      </c>
      <c r="U890">
        <v>1.6537937952959384E-2</v>
      </c>
      <c r="V890" t="s">
        <v>162</v>
      </c>
    </row>
    <row r="891" spans="9:22" x14ac:dyDescent="0.45">
      <c r="I891" t="s">
        <v>190</v>
      </c>
      <c r="J891" t="s">
        <v>550</v>
      </c>
      <c r="K891">
        <v>0</v>
      </c>
      <c r="L891" t="s">
        <v>162</v>
      </c>
      <c r="N891" t="s">
        <v>302</v>
      </c>
      <c r="O891" t="s">
        <v>550</v>
      </c>
      <c r="P891">
        <v>4.0706640178901892E-3</v>
      </c>
      <c r="Q891" t="s">
        <v>162</v>
      </c>
      <c r="S891" t="s">
        <v>414</v>
      </c>
      <c r="T891" t="s">
        <v>550</v>
      </c>
      <c r="U891">
        <v>3.2588634008119785E-3</v>
      </c>
      <c r="V891" t="s">
        <v>162</v>
      </c>
    </row>
    <row r="892" spans="9:22" x14ac:dyDescent="0.45">
      <c r="I892" t="s">
        <v>190</v>
      </c>
      <c r="J892" t="s">
        <v>551</v>
      </c>
      <c r="K892">
        <v>0</v>
      </c>
      <c r="L892" t="s">
        <v>162</v>
      </c>
      <c r="N892" t="s">
        <v>302</v>
      </c>
      <c r="O892" t="s">
        <v>551</v>
      </c>
      <c r="P892">
        <v>2.4732175391619281E-2</v>
      </c>
      <c r="Q892" t="s">
        <v>162</v>
      </c>
      <c r="S892" t="s">
        <v>414</v>
      </c>
      <c r="T892" t="s">
        <v>551</v>
      </c>
      <c r="U892">
        <v>1.9325261708636719E-2</v>
      </c>
      <c r="V892" t="s">
        <v>162</v>
      </c>
    </row>
    <row r="893" spans="9:22" x14ac:dyDescent="0.45">
      <c r="I893" t="s">
        <v>191</v>
      </c>
      <c r="J893" t="s">
        <v>161</v>
      </c>
      <c r="K893">
        <v>0</v>
      </c>
      <c r="L893" t="s">
        <v>162</v>
      </c>
      <c r="N893" t="s">
        <v>303</v>
      </c>
      <c r="O893" t="s">
        <v>161</v>
      </c>
      <c r="P893">
        <v>3.6092220328798642E-2</v>
      </c>
      <c r="Q893" t="s">
        <v>162</v>
      </c>
      <c r="S893" t="s">
        <v>415</v>
      </c>
      <c r="T893" t="s">
        <v>161</v>
      </c>
      <c r="U893">
        <v>2.8624031795244829E-2</v>
      </c>
      <c r="V893" t="s">
        <v>162</v>
      </c>
    </row>
    <row r="894" spans="9:22" x14ac:dyDescent="0.45">
      <c r="I894" t="s">
        <v>191</v>
      </c>
      <c r="J894" t="s">
        <v>163</v>
      </c>
      <c r="K894">
        <v>1.3459730660949118E-3</v>
      </c>
      <c r="L894" t="s">
        <v>162</v>
      </c>
      <c r="N894" t="s">
        <v>303</v>
      </c>
      <c r="O894" t="s">
        <v>163</v>
      </c>
      <c r="P894">
        <v>4.0597482647166368E-3</v>
      </c>
      <c r="Q894" t="s">
        <v>162</v>
      </c>
      <c r="S894" t="s">
        <v>415</v>
      </c>
      <c r="T894" t="s">
        <v>163</v>
      </c>
      <c r="U894">
        <v>3.1833909471406757E-3</v>
      </c>
      <c r="V894" t="s">
        <v>162</v>
      </c>
    </row>
    <row r="895" spans="9:22" x14ac:dyDescent="0.45">
      <c r="I895" t="s">
        <v>191</v>
      </c>
      <c r="J895" t="s">
        <v>164</v>
      </c>
      <c r="K895">
        <v>9.0832496079475637E-3</v>
      </c>
      <c r="L895" t="s">
        <v>162</v>
      </c>
      <c r="N895" t="s">
        <v>303</v>
      </c>
      <c r="O895" t="s">
        <v>164</v>
      </c>
      <c r="P895">
        <v>7.1546263750400371E-3</v>
      </c>
      <c r="Q895" t="s">
        <v>162</v>
      </c>
      <c r="S895" t="s">
        <v>415</v>
      </c>
      <c r="T895" t="s">
        <v>164</v>
      </c>
      <c r="U895">
        <v>6.3453745879216263E-3</v>
      </c>
      <c r="V895" t="s">
        <v>162</v>
      </c>
    </row>
    <row r="896" spans="9:22" x14ac:dyDescent="0.45">
      <c r="I896" t="s">
        <v>191</v>
      </c>
      <c r="J896" t="s">
        <v>519</v>
      </c>
      <c r="K896">
        <v>2.0252336697482755E-2</v>
      </c>
      <c r="L896" t="s">
        <v>162</v>
      </c>
      <c r="N896" t="s">
        <v>303</v>
      </c>
      <c r="O896" t="s">
        <v>519</v>
      </c>
      <c r="P896">
        <v>1.6750793111926589E-2</v>
      </c>
      <c r="Q896" t="s">
        <v>162</v>
      </c>
      <c r="S896" t="s">
        <v>415</v>
      </c>
      <c r="T896" t="s">
        <v>519</v>
      </c>
      <c r="U896">
        <v>1.5464675887954615E-2</v>
      </c>
      <c r="V896" t="s">
        <v>162</v>
      </c>
    </row>
    <row r="897" spans="9:22" x14ac:dyDescent="0.45">
      <c r="I897" t="s">
        <v>191</v>
      </c>
      <c r="J897" t="s">
        <v>520</v>
      </c>
      <c r="K897">
        <v>0</v>
      </c>
      <c r="L897" t="s">
        <v>162</v>
      </c>
      <c r="N897" t="s">
        <v>303</v>
      </c>
      <c r="O897" t="s">
        <v>520</v>
      </c>
      <c r="P897">
        <v>3.9289346912192045E-3</v>
      </c>
      <c r="Q897" t="s">
        <v>162</v>
      </c>
      <c r="S897" t="s">
        <v>415</v>
      </c>
      <c r="T897" t="s">
        <v>520</v>
      </c>
      <c r="U897">
        <v>3.0141971626549569E-3</v>
      </c>
      <c r="V897" t="s">
        <v>162</v>
      </c>
    </row>
    <row r="898" spans="9:22" x14ac:dyDescent="0.45">
      <c r="I898" t="s">
        <v>191</v>
      </c>
      <c r="J898" t="s">
        <v>521</v>
      </c>
      <c r="K898">
        <v>0</v>
      </c>
      <c r="L898" t="s">
        <v>162</v>
      </c>
      <c r="N898" t="s">
        <v>303</v>
      </c>
      <c r="O898" t="s">
        <v>521</v>
      </c>
      <c r="P898">
        <v>2.2604749244157705E-2</v>
      </c>
      <c r="Q898" t="s">
        <v>162</v>
      </c>
      <c r="S898" t="s">
        <v>415</v>
      </c>
      <c r="T898" t="s">
        <v>521</v>
      </c>
      <c r="U898">
        <v>1.8154477448732356E-2</v>
      </c>
      <c r="V898" t="s">
        <v>162</v>
      </c>
    </row>
    <row r="899" spans="9:22" x14ac:dyDescent="0.45">
      <c r="I899" t="s">
        <v>191</v>
      </c>
      <c r="J899" t="s">
        <v>165</v>
      </c>
      <c r="K899">
        <v>1.2064307993376201E-2</v>
      </c>
      <c r="L899" t="s">
        <v>162</v>
      </c>
      <c r="N899" t="s">
        <v>303</v>
      </c>
      <c r="O899" t="s">
        <v>165</v>
      </c>
      <c r="P899">
        <v>6.7325738497028179E-2</v>
      </c>
      <c r="Q899" t="s">
        <v>162</v>
      </c>
      <c r="S899" t="s">
        <v>415</v>
      </c>
      <c r="T899" t="s">
        <v>165</v>
      </c>
      <c r="U899">
        <v>5.6478666023686244E-2</v>
      </c>
      <c r="V899" t="s">
        <v>162</v>
      </c>
    </row>
    <row r="900" spans="9:22" x14ac:dyDescent="0.45">
      <c r="I900" t="s">
        <v>191</v>
      </c>
      <c r="J900" t="s">
        <v>166</v>
      </c>
      <c r="K900">
        <v>1.4683626160136477E-2</v>
      </c>
      <c r="L900" t="s">
        <v>162</v>
      </c>
      <c r="N900" t="s">
        <v>303</v>
      </c>
      <c r="O900" t="s">
        <v>166</v>
      </c>
      <c r="P900">
        <v>5.4998523349354079E-3</v>
      </c>
      <c r="Q900" t="s">
        <v>162</v>
      </c>
      <c r="S900" t="s">
        <v>415</v>
      </c>
      <c r="T900" t="s">
        <v>166</v>
      </c>
      <c r="U900">
        <v>6.3214448227523132E-3</v>
      </c>
      <c r="V900" t="s">
        <v>162</v>
      </c>
    </row>
    <row r="901" spans="9:22" x14ac:dyDescent="0.45">
      <c r="I901" t="s">
        <v>191</v>
      </c>
      <c r="J901" t="s">
        <v>167</v>
      </c>
      <c r="K901">
        <v>4.0112226498910344E-2</v>
      </c>
      <c r="L901" t="s">
        <v>162</v>
      </c>
      <c r="N901" t="s">
        <v>303</v>
      </c>
      <c r="O901" t="s">
        <v>167</v>
      </c>
      <c r="P901">
        <v>9.9692532157110176E-3</v>
      </c>
      <c r="Q901" t="s">
        <v>162</v>
      </c>
      <c r="S901" t="s">
        <v>415</v>
      </c>
      <c r="T901" t="s">
        <v>167</v>
      </c>
      <c r="U901">
        <v>1.2302432901872639E-2</v>
      </c>
      <c r="V901" t="s">
        <v>162</v>
      </c>
    </row>
    <row r="902" spans="9:22" x14ac:dyDescent="0.45">
      <c r="I902" t="s">
        <v>191</v>
      </c>
      <c r="J902" t="s">
        <v>522</v>
      </c>
      <c r="K902">
        <v>9.415875625937066E-2</v>
      </c>
      <c r="L902" t="s">
        <v>162</v>
      </c>
      <c r="N902" t="s">
        <v>303</v>
      </c>
      <c r="O902" t="s">
        <v>522</v>
      </c>
      <c r="P902">
        <v>2.7152474616483749E-2</v>
      </c>
      <c r="Q902" t="s">
        <v>162</v>
      </c>
      <c r="S902" t="s">
        <v>415</v>
      </c>
      <c r="T902" t="s">
        <v>522</v>
      </c>
      <c r="U902">
        <v>3.0440480891389218E-2</v>
      </c>
      <c r="V902" t="s">
        <v>162</v>
      </c>
    </row>
    <row r="903" spans="9:22" x14ac:dyDescent="0.45">
      <c r="I903" t="s">
        <v>191</v>
      </c>
      <c r="J903" t="s">
        <v>523</v>
      </c>
      <c r="K903">
        <v>8.9761893883446749E-3</v>
      </c>
      <c r="L903" t="s">
        <v>162</v>
      </c>
      <c r="N903" t="s">
        <v>303</v>
      </c>
      <c r="O903" t="s">
        <v>523</v>
      </c>
      <c r="P903">
        <v>7.3014164629898581E-3</v>
      </c>
      <c r="Q903" t="s">
        <v>162</v>
      </c>
      <c r="S903" t="s">
        <v>415</v>
      </c>
      <c r="T903" t="s">
        <v>523</v>
      </c>
      <c r="U903">
        <v>6.4332287527704909E-3</v>
      </c>
      <c r="V903" t="s">
        <v>162</v>
      </c>
    </row>
    <row r="904" spans="9:22" x14ac:dyDescent="0.45">
      <c r="I904" t="s">
        <v>191</v>
      </c>
      <c r="J904" t="s">
        <v>524</v>
      </c>
      <c r="K904">
        <v>3.3798368209863334E-3</v>
      </c>
      <c r="L904" t="s">
        <v>162</v>
      </c>
      <c r="N904" t="s">
        <v>303</v>
      </c>
      <c r="O904" t="s">
        <v>524</v>
      </c>
      <c r="P904">
        <v>4.8982877941987246E-2</v>
      </c>
      <c r="Q904" t="s">
        <v>162</v>
      </c>
      <c r="S904" t="s">
        <v>415</v>
      </c>
      <c r="T904" t="s">
        <v>524</v>
      </c>
      <c r="U904">
        <v>3.8576713454524625E-2</v>
      </c>
      <c r="V904" t="s">
        <v>162</v>
      </c>
    </row>
    <row r="905" spans="9:22" x14ac:dyDescent="0.45">
      <c r="I905" t="s">
        <v>191</v>
      </c>
      <c r="J905" t="s">
        <v>168</v>
      </c>
      <c r="K905">
        <v>1.7512800474452139E-2</v>
      </c>
      <c r="L905" t="s">
        <v>162</v>
      </c>
      <c r="N905" t="s">
        <v>303</v>
      </c>
      <c r="O905" t="s">
        <v>168</v>
      </c>
      <c r="P905">
        <v>3.4943086397224883E-2</v>
      </c>
      <c r="Q905" t="s">
        <v>162</v>
      </c>
      <c r="S905" t="s">
        <v>415</v>
      </c>
      <c r="T905" t="s">
        <v>168</v>
      </c>
      <c r="U905">
        <v>3.020699104121204E-2</v>
      </c>
      <c r="V905" t="s">
        <v>162</v>
      </c>
    </row>
    <row r="906" spans="9:22" x14ac:dyDescent="0.45">
      <c r="I906" t="s">
        <v>191</v>
      </c>
      <c r="J906" t="s">
        <v>169</v>
      </c>
      <c r="K906">
        <v>1.1436805561458513E-2</v>
      </c>
      <c r="L906" t="s">
        <v>162</v>
      </c>
      <c r="N906" t="s">
        <v>303</v>
      </c>
      <c r="O906" t="s">
        <v>169</v>
      </c>
      <c r="P906">
        <v>3.3690459473690788E-3</v>
      </c>
      <c r="Q906" t="s">
        <v>162</v>
      </c>
      <c r="S906" t="s">
        <v>415</v>
      </c>
      <c r="T906" t="s">
        <v>169</v>
      </c>
      <c r="U906">
        <v>3.0717259923959818E-3</v>
      </c>
      <c r="V906" t="s">
        <v>162</v>
      </c>
    </row>
    <row r="907" spans="9:22" x14ac:dyDescent="0.45">
      <c r="I907" t="s">
        <v>191</v>
      </c>
      <c r="J907" t="s">
        <v>170</v>
      </c>
      <c r="K907">
        <v>2.7021080364200981E-2</v>
      </c>
      <c r="L907" t="s">
        <v>162</v>
      </c>
      <c r="N907" t="s">
        <v>303</v>
      </c>
      <c r="O907" t="s">
        <v>170</v>
      </c>
      <c r="P907">
        <v>7.7024188484128122E-3</v>
      </c>
      <c r="Q907" t="s">
        <v>162</v>
      </c>
      <c r="S907" t="s">
        <v>415</v>
      </c>
      <c r="T907" t="s">
        <v>170</v>
      </c>
      <c r="U907">
        <v>5.8285343535296628E-3</v>
      </c>
      <c r="V907" t="s">
        <v>162</v>
      </c>
    </row>
    <row r="908" spans="9:22" x14ac:dyDescent="0.45">
      <c r="I908" t="s">
        <v>191</v>
      </c>
      <c r="J908" t="s">
        <v>525</v>
      </c>
      <c r="K908">
        <v>6.5766694398471423E-2</v>
      </c>
      <c r="L908" t="s">
        <v>162</v>
      </c>
      <c r="N908" t="s">
        <v>303</v>
      </c>
      <c r="O908" t="s">
        <v>525</v>
      </c>
      <c r="P908">
        <v>2.0266822461176146E-2</v>
      </c>
      <c r="Q908" t="s">
        <v>162</v>
      </c>
      <c r="S908" t="s">
        <v>415</v>
      </c>
      <c r="T908" t="s">
        <v>525</v>
      </c>
      <c r="U908">
        <v>1.4938341651669945E-2</v>
      </c>
      <c r="V908" t="s">
        <v>162</v>
      </c>
    </row>
    <row r="909" spans="9:22" x14ac:dyDescent="0.45">
      <c r="I909" t="s">
        <v>191</v>
      </c>
      <c r="J909" t="s">
        <v>526</v>
      </c>
      <c r="K909">
        <v>8.3832638186936963E-3</v>
      </c>
      <c r="L909" t="s">
        <v>162</v>
      </c>
      <c r="N909" t="s">
        <v>303</v>
      </c>
      <c r="O909" t="s">
        <v>526</v>
      </c>
      <c r="P909">
        <v>3.7106653535989493E-3</v>
      </c>
      <c r="Q909" t="s">
        <v>162</v>
      </c>
      <c r="S909" t="s">
        <v>415</v>
      </c>
      <c r="T909" t="s">
        <v>526</v>
      </c>
      <c r="U909">
        <v>3.1052146115529951E-3</v>
      </c>
      <c r="V909" t="s">
        <v>162</v>
      </c>
    </row>
    <row r="910" spans="9:22" x14ac:dyDescent="0.45">
      <c r="I910" t="s">
        <v>191</v>
      </c>
      <c r="J910" t="s">
        <v>527</v>
      </c>
      <c r="K910">
        <v>7.2560872476335617E-3</v>
      </c>
      <c r="L910" t="s">
        <v>162</v>
      </c>
      <c r="N910" t="s">
        <v>303</v>
      </c>
      <c r="O910" t="s">
        <v>527</v>
      </c>
      <c r="P910">
        <v>2.5787789333402384E-2</v>
      </c>
      <c r="Q910" t="s">
        <v>162</v>
      </c>
      <c r="S910" t="s">
        <v>415</v>
      </c>
      <c r="T910" t="s">
        <v>527</v>
      </c>
      <c r="U910">
        <v>1.8943990811550602E-2</v>
      </c>
      <c r="V910" t="s">
        <v>162</v>
      </c>
    </row>
    <row r="911" spans="9:22" x14ac:dyDescent="0.45">
      <c r="I911" t="s">
        <v>191</v>
      </c>
      <c r="J911" t="s">
        <v>528</v>
      </c>
      <c r="K911">
        <v>7.1830127757531212E-2</v>
      </c>
      <c r="L911" t="s">
        <v>162</v>
      </c>
      <c r="N911" t="s">
        <v>303</v>
      </c>
      <c r="O911" t="s">
        <v>528</v>
      </c>
      <c r="P911">
        <v>8.4862558905140412E-2</v>
      </c>
      <c r="Q911" t="s">
        <v>162</v>
      </c>
      <c r="S911" t="s">
        <v>415</v>
      </c>
      <c r="T911" t="s">
        <v>528</v>
      </c>
      <c r="U911">
        <v>8.722549267859514E-2</v>
      </c>
      <c r="V911" t="s">
        <v>162</v>
      </c>
    </row>
    <row r="912" spans="9:22" x14ac:dyDescent="0.45">
      <c r="I912" t="s">
        <v>191</v>
      </c>
      <c r="J912" t="s">
        <v>529</v>
      </c>
      <c r="K912">
        <v>3.0534808501362028E-2</v>
      </c>
      <c r="L912" t="s">
        <v>162</v>
      </c>
      <c r="N912" t="s">
        <v>303</v>
      </c>
      <c r="O912" t="s">
        <v>529</v>
      </c>
      <c r="P912">
        <v>7.6788364087335822E-3</v>
      </c>
      <c r="Q912" t="s">
        <v>162</v>
      </c>
      <c r="S912" t="s">
        <v>415</v>
      </c>
      <c r="T912" t="s">
        <v>529</v>
      </c>
      <c r="U912">
        <v>8.9123680052134446E-3</v>
      </c>
      <c r="V912" t="s">
        <v>162</v>
      </c>
    </row>
    <row r="913" spans="9:22" x14ac:dyDescent="0.45">
      <c r="I913" t="s">
        <v>191</v>
      </c>
      <c r="J913" t="s">
        <v>530</v>
      </c>
      <c r="K913">
        <v>6.7793375303616524E-2</v>
      </c>
      <c r="L913" t="s">
        <v>162</v>
      </c>
      <c r="N913" t="s">
        <v>303</v>
      </c>
      <c r="O913" t="s">
        <v>530</v>
      </c>
      <c r="P913">
        <v>1.7459284255019025E-2</v>
      </c>
      <c r="Q913" t="s">
        <v>162</v>
      </c>
      <c r="S913" t="s">
        <v>415</v>
      </c>
      <c r="T913" t="s">
        <v>530</v>
      </c>
      <c r="U913">
        <v>1.7377184731770107E-2</v>
      </c>
      <c r="V913" t="s">
        <v>162</v>
      </c>
    </row>
    <row r="914" spans="9:22" x14ac:dyDescent="0.45">
      <c r="I914" t="s">
        <v>191</v>
      </c>
      <c r="J914" t="s">
        <v>531</v>
      </c>
      <c r="K914">
        <v>0.16101740309561544</v>
      </c>
      <c r="L914" t="s">
        <v>162</v>
      </c>
      <c r="N914" t="s">
        <v>303</v>
      </c>
      <c r="O914" t="s">
        <v>531</v>
      </c>
      <c r="P914">
        <v>4.6620706057001388E-2</v>
      </c>
      <c r="Q914" t="s">
        <v>162</v>
      </c>
      <c r="S914" t="s">
        <v>415</v>
      </c>
      <c r="T914" t="s">
        <v>531</v>
      </c>
      <c r="U914">
        <v>4.2374154542534744E-2</v>
      </c>
      <c r="V914" t="s">
        <v>162</v>
      </c>
    </row>
    <row r="915" spans="9:22" x14ac:dyDescent="0.45">
      <c r="I915" t="s">
        <v>191</v>
      </c>
      <c r="J915" t="s">
        <v>532</v>
      </c>
      <c r="K915">
        <v>2.2906451499769508E-2</v>
      </c>
      <c r="L915" t="s">
        <v>162</v>
      </c>
      <c r="N915" t="s">
        <v>303</v>
      </c>
      <c r="O915" t="s">
        <v>532</v>
      </c>
      <c r="P915">
        <v>7.754070596117474E-3</v>
      </c>
      <c r="Q915" t="s">
        <v>162</v>
      </c>
      <c r="S915" t="s">
        <v>415</v>
      </c>
      <c r="T915" t="s">
        <v>532</v>
      </c>
      <c r="U915">
        <v>8.2366996343096952E-3</v>
      </c>
      <c r="V915" t="s">
        <v>162</v>
      </c>
    </row>
    <row r="916" spans="9:22" x14ac:dyDescent="0.45">
      <c r="I916" t="s">
        <v>191</v>
      </c>
      <c r="J916" t="s">
        <v>533</v>
      </c>
      <c r="K916">
        <v>3.6608722531332558E-2</v>
      </c>
      <c r="L916" t="s">
        <v>162</v>
      </c>
      <c r="N916" t="s">
        <v>303</v>
      </c>
      <c r="O916" t="s">
        <v>533</v>
      </c>
      <c r="P916">
        <v>5.858416632092129E-2</v>
      </c>
      <c r="Q916" t="s">
        <v>162</v>
      </c>
      <c r="S916" t="s">
        <v>415</v>
      </c>
      <c r="T916" t="s">
        <v>533</v>
      </c>
      <c r="U916">
        <v>5.2697108034084644E-2</v>
      </c>
      <c r="V916" t="s">
        <v>162</v>
      </c>
    </row>
    <row r="917" spans="9:22" x14ac:dyDescent="0.45">
      <c r="I917" t="s">
        <v>191</v>
      </c>
      <c r="J917" t="s">
        <v>534</v>
      </c>
      <c r="K917">
        <v>3.201935281797328E-2</v>
      </c>
      <c r="L917" t="s">
        <v>162</v>
      </c>
      <c r="N917" t="s">
        <v>303</v>
      </c>
      <c r="O917" t="s">
        <v>534</v>
      </c>
      <c r="P917">
        <v>9.15355886464118E-2</v>
      </c>
      <c r="Q917" t="s">
        <v>162</v>
      </c>
      <c r="S917" t="s">
        <v>415</v>
      </c>
      <c r="T917" t="s">
        <v>534</v>
      </c>
      <c r="U917">
        <v>0.11691289881309784</v>
      </c>
      <c r="V917" t="s">
        <v>162</v>
      </c>
    </row>
    <row r="918" spans="9:22" x14ac:dyDescent="0.45">
      <c r="I918" t="s">
        <v>191</v>
      </c>
      <c r="J918" t="s">
        <v>535</v>
      </c>
      <c r="K918">
        <v>2.1033623900222568E-2</v>
      </c>
      <c r="L918" t="s">
        <v>162</v>
      </c>
      <c r="N918" t="s">
        <v>303</v>
      </c>
      <c r="O918" t="s">
        <v>535</v>
      </c>
      <c r="P918">
        <v>6.4636375841282574E-3</v>
      </c>
      <c r="Q918" t="s">
        <v>162</v>
      </c>
      <c r="S918" t="s">
        <v>415</v>
      </c>
      <c r="T918" t="s">
        <v>535</v>
      </c>
      <c r="U918">
        <v>1.2656621327514739E-2</v>
      </c>
      <c r="V918" t="s">
        <v>162</v>
      </c>
    </row>
    <row r="919" spans="9:22" x14ac:dyDescent="0.45">
      <c r="I919" t="s">
        <v>191</v>
      </c>
      <c r="J919" t="s">
        <v>536</v>
      </c>
      <c r="K919">
        <v>4.6102320950253677E-2</v>
      </c>
      <c r="L919" t="s">
        <v>162</v>
      </c>
      <c r="N919" t="s">
        <v>303</v>
      </c>
      <c r="O919" t="s">
        <v>536</v>
      </c>
      <c r="P919">
        <v>1.3782190633823329E-2</v>
      </c>
      <c r="Q919" t="s">
        <v>162</v>
      </c>
      <c r="S919" t="s">
        <v>415</v>
      </c>
      <c r="T919" t="s">
        <v>536</v>
      </c>
      <c r="U919">
        <v>2.488104393031142E-2</v>
      </c>
      <c r="V919" t="s">
        <v>162</v>
      </c>
    </row>
    <row r="920" spans="9:22" x14ac:dyDescent="0.45">
      <c r="I920" t="s">
        <v>191</v>
      </c>
      <c r="J920" t="s">
        <v>537</v>
      </c>
      <c r="K920">
        <v>9.5711622699519328E-2</v>
      </c>
      <c r="L920" t="s">
        <v>162</v>
      </c>
      <c r="N920" t="s">
        <v>303</v>
      </c>
      <c r="O920" t="s">
        <v>537</v>
      </c>
      <c r="P920">
        <v>4.0103031494102673E-2</v>
      </c>
      <c r="Q920" t="s">
        <v>162</v>
      </c>
      <c r="S920" t="s">
        <v>415</v>
      </c>
      <c r="T920" t="s">
        <v>537</v>
      </c>
      <c r="U920">
        <v>6.0050768165749509E-2</v>
      </c>
      <c r="V920" t="s">
        <v>162</v>
      </c>
    </row>
    <row r="921" spans="9:22" x14ac:dyDescent="0.45">
      <c r="I921" t="s">
        <v>191</v>
      </c>
      <c r="J921" t="s">
        <v>538</v>
      </c>
      <c r="K921">
        <v>1.1156189562607277E-2</v>
      </c>
      <c r="L921" t="s">
        <v>162</v>
      </c>
      <c r="N921" t="s">
        <v>303</v>
      </c>
      <c r="O921" t="s">
        <v>538</v>
      </c>
      <c r="P921">
        <v>9.0320902950364514E-3</v>
      </c>
      <c r="Q921" t="s">
        <v>162</v>
      </c>
      <c r="S921" t="s">
        <v>415</v>
      </c>
      <c r="T921" t="s">
        <v>538</v>
      </c>
      <c r="U921">
        <v>1.157824017419689E-2</v>
      </c>
      <c r="V921" t="s">
        <v>162</v>
      </c>
    </row>
    <row r="922" spans="9:22" x14ac:dyDescent="0.45">
      <c r="I922" t="s">
        <v>191</v>
      </c>
      <c r="J922" t="s">
        <v>539</v>
      </c>
      <c r="K922">
        <v>9.8319817811020199E-3</v>
      </c>
      <c r="L922" t="s">
        <v>162</v>
      </c>
      <c r="N922" t="s">
        <v>303</v>
      </c>
      <c r="O922" t="s">
        <v>539</v>
      </c>
      <c r="P922">
        <v>7.225407067069653E-2</v>
      </c>
      <c r="Q922" t="s">
        <v>162</v>
      </c>
      <c r="S922" t="s">
        <v>415</v>
      </c>
      <c r="T922" t="s">
        <v>539</v>
      </c>
      <c r="U922">
        <v>7.2227382097290654E-2</v>
      </c>
      <c r="V922" t="s">
        <v>162</v>
      </c>
    </row>
    <row r="923" spans="9:22" x14ac:dyDescent="0.45">
      <c r="I923" t="s">
        <v>191</v>
      </c>
      <c r="J923" t="s">
        <v>540</v>
      </c>
      <c r="K923">
        <v>1.5804949333945634E-4</v>
      </c>
      <c r="L923" t="s">
        <v>162</v>
      </c>
      <c r="N923" t="s">
        <v>303</v>
      </c>
      <c r="O923" t="s">
        <v>540</v>
      </c>
      <c r="P923">
        <v>3.8387581062572083E-2</v>
      </c>
      <c r="Q923" t="s">
        <v>162</v>
      </c>
      <c r="S923" t="s">
        <v>415</v>
      </c>
      <c r="T923" t="s">
        <v>540</v>
      </c>
      <c r="U923">
        <v>3.306936539361615E-2</v>
      </c>
      <c r="V923" t="s">
        <v>162</v>
      </c>
    </row>
    <row r="924" spans="9:22" x14ac:dyDescent="0.45">
      <c r="I924" t="s">
        <v>191</v>
      </c>
      <c r="J924" t="s">
        <v>541</v>
      </c>
      <c r="K924">
        <v>1.4944806912148107E-3</v>
      </c>
      <c r="L924" t="s">
        <v>162</v>
      </c>
      <c r="N924" t="s">
        <v>303</v>
      </c>
      <c r="O924" t="s">
        <v>541</v>
      </c>
      <c r="P924">
        <v>3.708803037810765E-3</v>
      </c>
      <c r="Q924" t="s">
        <v>162</v>
      </c>
      <c r="S924" t="s">
        <v>415</v>
      </c>
      <c r="T924" t="s">
        <v>541</v>
      </c>
      <c r="U924">
        <v>3.7002418638508745E-3</v>
      </c>
      <c r="V924" t="s">
        <v>162</v>
      </c>
    </row>
    <row r="925" spans="9:22" x14ac:dyDescent="0.45">
      <c r="I925" t="s">
        <v>191</v>
      </c>
      <c r="J925" t="s">
        <v>542</v>
      </c>
      <c r="K925">
        <v>6.8213053804848682E-3</v>
      </c>
      <c r="L925" t="s">
        <v>162</v>
      </c>
      <c r="N925" t="s">
        <v>303</v>
      </c>
      <c r="O925" t="s">
        <v>542</v>
      </c>
      <c r="P925">
        <v>5.9384102040065676E-3</v>
      </c>
      <c r="Q925" t="s">
        <v>162</v>
      </c>
      <c r="S925" t="s">
        <v>415</v>
      </c>
      <c r="T925" t="s">
        <v>542</v>
      </c>
      <c r="U925">
        <v>7.3541968528759846E-3</v>
      </c>
      <c r="V925" t="s">
        <v>162</v>
      </c>
    </row>
    <row r="926" spans="9:22" x14ac:dyDescent="0.45">
      <c r="I926" t="s">
        <v>191</v>
      </c>
      <c r="J926" t="s">
        <v>543</v>
      </c>
      <c r="K926">
        <v>1.4596707658833573E-2</v>
      </c>
      <c r="L926" t="s">
        <v>162</v>
      </c>
      <c r="N926" t="s">
        <v>303</v>
      </c>
      <c r="O926" t="s">
        <v>543</v>
      </c>
      <c r="P926">
        <v>1.5877054130058972E-2</v>
      </c>
      <c r="Q926" t="s">
        <v>162</v>
      </c>
      <c r="S926" t="s">
        <v>415</v>
      </c>
      <c r="T926" t="s">
        <v>543</v>
      </c>
      <c r="U926">
        <v>1.854884222514374E-2</v>
      </c>
      <c r="V926" t="s">
        <v>162</v>
      </c>
    </row>
    <row r="927" spans="9:22" x14ac:dyDescent="0.45">
      <c r="I927" t="s">
        <v>191</v>
      </c>
      <c r="J927" t="s">
        <v>544</v>
      </c>
      <c r="K927">
        <v>0</v>
      </c>
      <c r="L927" t="s">
        <v>162</v>
      </c>
      <c r="N927" t="s">
        <v>303</v>
      </c>
      <c r="O927" t="s">
        <v>544</v>
      </c>
      <c r="P927">
        <v>4.4343196989610808E-3</v>
      </c>
      <c r="Q927" t="s">
        <v>162</v>
      </c>
      <c r="S927" t="s">
        <v>415</v>
      </c>
      <c r="T927" t="s">
        <v>544</v>
      </c>
      <c r="U927">
        <v>3.4878289706222259E-3</v>
      </c>
      <c r="V927" t="s">
        <v>162</v>
      </c>
    </row>
    <row r="928" spans="9:22" x14ac:dyDescent="0.45">
      <c r="I928" t="s">
        <v>191</v>
      </c>
      <c r="J928" t="s">
        <v>545</v>
      </c>
      <c r="K928">
        <v>0</v>
      </c>
      <c r="L928" t="s">
        <v>162</v>
      </c>
      <c r="N928" t="s">
        <v>303</v>
      </c>
      <c r="O928" t="s">
        <v>545</v>
      </c>
      <c r="P928">
        <v>2.6280797115498137E-2</v>
      </c>
      <c r="Q928" t="s">
        <v>162</v>
      </c>
      <c r="S928" t="s">
        <v>415</v>
      </c>
      <c r="T928" t="s">
        <v>545</v>
      </c>
      <c r="U928">
        <v>1.8827866313317673E-2</v>
      </c>
      <c r="V928" t="s">
        <v>162</v>
      </c>
    </row>
    <row r="929" spans="9:22" x14ac:dyDescent="0.45">
      <c r="I929" t="s">
        <v>191</v>
      </c>
      <c r="J929" t="s">
        <v>546</v>
      </c>
      <c r="K929">
        <v>0</v>
      </c>
      <c r="L929" t="s">
        <v>162</v>
      </c>
      <c r="N929" t="s">
        <v>303</v>
      </c>
      <c r="O929" t="s">
        <v>546</v>
      </c>
      <c r="P929">
        <v>3.6278511300142424E-2</v>
      </c>
      <c r="Q929" t="s">
        <v>162</v>
      </c>
      <c r="S929" t="s">
        <v>415</v>
      </c>
      <c r="T929" t="s">
        <v>546</v>
      </c>
      <c r="U929">
        <v>3.6575599641770928E-2</v>
      </c>
      <c r="V929" t="s">
        <v>162</v>
      </c>
    </row>
    <row r="930" spans="9:22" x14ac:dyDescent="0.45">
      <c r="I930" t="s">
        <v>191</v>
      </c>
      <c r="J930" t="s">
        <v>547</v>
      </c>
      <c r="K930">
        <v>6.6974218148553035E-4</v>
      </c>
      <c r="L930" t="s">
        <v>162</v>
      </c>
      <c r="N930" t="s">
        <v>303</v>
      </c>
      <c r="O930" t="s">
        <v>547</v>
      </c>
      <c r="P930">
        <v>4.0724428231451257E-3</v>
      </c>
      <c r="Q930" t="s">
        <v>162</v>
      </c>
      <c r="S930" t="s">
        <v>415</v>
      </c>
      <c r="T930" t="s">
        <v>547</v>
      </c>
      <c r="U930">
        <v>4.0908433913406164E-3</v>
      </c>
      <c r="V930" t="s">
        <v>162</v>
      </c>
    </row>
    <row r="931" spans="9:22" x14ac:dyDescent="0.45">
      <c r="I931" t="s">
        <v>191</v>
      </c>
      <c r="J931" t="s">
        <v>548</v>
      </c>
      <c r="K931">
        <v>9.7584515813702866E-3</v>
      </c>
      <c r="L931" t="s">
        <v>162</v>
      </c>
      <c r="N931" t="s">
        <v>303</v>
      </c>
      <c r="O931" t="s">
        <v>548</v>
      </c>
      <c r="P931">
        <v>7.41556572848348E-3</v>
      </c>
      <c r="Q931" t="s">
        <v>162</v>
      </c>
      <c r="S931" t="s">
        <v>415</v>
      </c>
      <c r="T931" t="s">
        <v>548</v>
      </c>
      <c r="U931">
        <v>8.2984645934049261E-3</v>
      </c>
      <c r="V931" t="s">
        <v>162</v>
      </c>
    </row>
    <row r="932" spans="9:22" x14ac:dyDescent="0.45">
      <c r="I932" t="s">
        <v>191</v>
      </c>
      <c r="J932" t="s">
        <v>549</v>
      </c>
      <c r="K932">
        <v>1.8522048254808132E-2</v>
      </c>
      <c r="L932" t="s">
        <v>162</v>
      </c>
      <c r="N932" t="s">
        <v>303</v>
      </c>
      <c r="O932" t="s">
        <v>549</v>
      </c>
      <c r="P932">
        <v>1.7961307888812096E-2</v>
      </c>
      <c r="Q932" t="s">
        <v>162</v>
      </c>
      <c r="S932" t="s">
        <v>415</v>
      </c>
      <c r="T932" t="s">
        <v>549</v>
      </c>
      <c r="U932">
        <v>2.0940727876367669E-2</v>
      </c>
      <c r="V932" t="s">
        <v>162</v>
      </c>
    </row>
    <row r="933" spans="9:22" x14ac:dyDescent="0.45">
      <c r="I933" t="s">
        <v>191</v>
      </c>
      <c r="J933" t="s">
        <v>550</v>
      </c>
      <c r="K933">
        <v>0</v>
      </c>
      <c r="L933" t="s">
        <v>162</v>
      </c>
      <c r="N933" t="s">
        <v>303</v>
      </c>
      <c r="O933" t="s">
        <v>550</v>
      </c>
      <c r="P933">
        <v>4.4462893586467876E-3</v>
      </c>
      <c r="Q933" t="s">
        <v>162</v>
      </c>
      <c r="S933" t="s">
        <v>415</v>
      </c>
      <c r="T933" t="s">
        <v>550</v>
      </c>
      <c r="U933">
        <v>4.0589371713777465E-3</v>
      </c>
      <c r="V933" t="s">
        <v>162</v>
      </c>
    </row>
    <row r="934" spans="9:22" x14ac:dyDescent="0.45">
      <c r="I934" t="s">
        <v>191</v>
      </c>
      <c r="J934" t="s">
        <v>551</v>
      </c>
      <c r="K934">
        <v>0</v>
      </c>
      <c r="L934" t="s">
        <v>162</v>
      </c>
      <c r="N934" t="s">
        <v>303</v>
      </c>
      <c r="O934" t="s">
        <v>551</v>
      </c>
      <c r="P934">
        <v>2.6466172358547924E-2</v>
      </c>
      <c r="Q934" t="s">
        <v>162</v>
      </c>
      <c r="S934" t="s">
        <v>415</v>
      </c>
      <c r="T934" t="s">
        <v>551</v>
      </c>
      <c r="U934">
        <v>2.4483210433084997E-2</v>
      </c>
      <c r="V934" t="s">
        <v>162</v>
      </c>
    </row>
    <row r="935" spans="9:22" x14ac:dyDescent="0.45">
      <c r="I935" t="s">
        <v>192</v>
      </c>
      <c r="J935" t="s">
        <v>161</v>
      </c>
      <c r="K935">
        <v>0</v>
      </c>
      <c r="L935" t="s">
        <v>162</v>
      </c>
      <c r="N935" t="s">
        <v>304</v>
      </c>
      <c r="O935" t="s">
        <v>161</v>
      </c>
      <c r="P935">
        <v>3.3392846984411501E-2</v>
      </c>
      <c r="Q935" t="s">
        <v>162</v>
      </c>
      <c r="S935" t="s">
        <v>416</v>
      </c>
      <c r="T935" t="s">
        <v>161</v>
      </c>
      <c r="U935">
        <v>2.8408366942935463E-2</v>
      </c>
      <c r="V935" t="s">
        <v>162</v>
      </c>
    </row>
    <row r="936" spans="9:22" x14ac:dyDescent="0.45">
      <c r="I936" t="s">
        <v>192</v>
      </c>
      <c r="J936" t="s">
        <v>163</v>
      </c>
      <c r="K936">
        <v>7.9765826200840632E-4</v>
      </c>
      <c r="L936" t="s">
        <v>162</v>
      </c>
      <c r="N936" t="s">
        <v>304</v>
      </c>
      <c r="O936" t="s">
        <v>163</v>
      </c>
      <c r="P936">
        <v>3.6759616181943041E-3</v>
      </c>
      <c r="Q936" t="s">
        <v>162</v>
      </c>
      <c r="S936" t="s">
        <v>416</v>
      </c>
      <c r="T936" t="s">
        <v>163</v>
      </c>
      <c r="U936">
        <v>3.3225366095574354E-3</v>
      </c>
      <c r="V936" t="s">
        <v>162</v>
      </c>
    </row>
    <row r="937" spans="9:22" x14ac:dyDescent="0.45">
      <c r="I937" t="s">
        <v>192</v>
      </c>
      <c r="J937" t="s">
        <v>164</v>
      </c>
      <c r="K937">
        <v>8.5009840096458133E-3</v>
      </c>
      <c r="L937" t="s">
        <v>162</v>
      </c>
      <c r="N937" t="s">
        <v>304</v>
      </c>
      <c r="O937" t="s">
        <v>164</v>
      </c>
      <c r="P937">
        <v>6.0864814882877743E-3</v>
      </c>
      <c r="Q937" t="s">
        <v>162</v>
      </c>
      <c r="S937" t="s">
        <v>416</v>
      </c>
      <c r="T937" t="s">
        <v>164</v>
      </c>
      <c r="U937">
        <v>6.7548409970684866E-3</v>
      </c>
      <c r="V937" t="s">
        <v>162</v>
      </c>
    </row>
    <row r="938" spans="9:22" x14ac:dyDescent="0.45">
      <c r="I938" t="s">
        <v>192</v>
      </c>
      <c r="J938" t="s">
        <v>519</v>
      </c>
      <c r="K938">
        <v>2.0322671792121754E-2</v>
      </c>
      <c r="L938" t="s">
        <v>162</v>
      </c>
      <c r="N938" t="s">
        <v>304</v>
      </c>
      <c r="O938" t="s">
        <v>519</v>
      </c>
      <c r="P938">
        <v>1.4660790850114463E-2</v>
      </c>
      <c r="Q938" t="s">
        <v>162</v>
      </c>
      <c r="S938" t="s">
        <v>416</v>
      </c>
      <c r="T938" t="s">
        <v>519</v>
      </c>
      <c r="U938">
        <v>1.808602605236628E-2</v>
      </c>
      <c r="V938" t="s">
        <v>162</v>
      </c>
    </row>
    <row r="939" spans="9:22" x14ac:dyDescent="0.45">
      <c r="I939" t="s">
        <v>192</v>
      </c>
      <c r="J939" t="s">
        <v>520</v>
      </c>
      <c r="K939">
        <v>0</v>
      </c>
      <c r="L939" t="s">
        <v>162</v>
      </c>
      <c r="N939" t="s">
        <v>304</v>
      </c>
      <c r="O939" t="s">
        <v>520</v>
      </c>
      <c r="P939">
        <v>3.9759425797638009E-3</v>
      </c>
      <c r="Q939" t="s">
        <v>162</v>
      </c>
      <c r="S939" t="s">
        <v>416</v>
      </c>
      <c r="T939" t="s">
        <v>520</v>
      </c>
      <c r="U939">
        <v>3.7745387135564861E-3</v>
      </c>
      <c r="V939" t="s">
        <v>162</v>
      </c>
    </row>
    <row r="940" spans="9:22" x14ac:dyDescent="0.45">
      <c r="I940" t="s">
        <v>192</v>
      </c>
      <c r="J940" t="s">
        <v>521</v>
      </c>
      <c r="K940">
        <v>0</v>
      </c>
      <c r="L940" t="s">
        <v>162</v>
      </c>
      <c r="N940" t="s">
        <v>304</v>
      </c>
      <c r="O940" t="s">
        <v>521</v>
      </c>
      <c r="P940">
        <v>2.4529998927446905E-2</v>
      </c>
      <c r="Q940" t="s">
        <v>162</v>
      </c>
      <c r="S940" t="s">
        <v>416</v>
      </c>
      <c r="T940" t="s">
        <v>521</v>
      </c>
      <c r="U940">
        <v>2.1630269936768497E-2</v>
      </c>
      <c r="V940" t="s">
        <v>162</v>
      </c>
    </row>
    <row r="941" spans="9:22" x14ac:dyDescent="0.45">
      <c r="I941" t="s">
        <v>192</v>
      </c>
      <c r="J941" t="s">
        <v>165</v>
      </c>
      <c r="K941">
        <v>1.1242702143072934E-2</v>
      </c>
      <c r="L941" t="s">
        <v>162</v>
      </c>
      <c r="N941" t="s">
        <v>304</v>
      </c>
      <c r="O941" t="s">
        <v>165</v>
      </c>
      <c r="P941">
        <v>6.7899600932253307E-2</v>
      </c>
      <c r="Q941" t="s">
        <v>162</v>
      </c>
      <c r="S941" t="s">
        <v>416</v>
      </c>
      <c r="T941" t="s">
        <v>165</v>
      </c>
      <c r="U941">
        <v>5.0482413095790123E-2</v>
      </c>
      <c r="V941" t="s">
        <v>162</v>
      </c>
    </row>
    <row r="942" spans="9:22" x14ac:dyDescent="0.45">
      <c r="I942" t="s">
        <v>192</v>
      </c>
      <c r="J942" t="s">
        <v>166</v>
      </c>
      <c r="K942">
        <v>1.4443215374213253E-2</v>
      </c>
      <c r="L942" t="s">
        <v>162</v>
      </c>
      <c r="N942" t="s">
        <v>304</v>
      </c>
      <c r="O942" t="s">
        <v>166</v>
      </c>
      <c r="P942">
        <v>5.0496088186942623E-3</v>
      </c>
      <c r="Q942" t="s">
        <v>162</v>
      </c>
      <c r="S942" t="s">
        <v>416</v>
      </c>
      <c r="T942" t="s">
        <v>166</v>
      </c>
      <c r="U942">
        <v>5.3721313528013997E-3</v>
      </c>
      <c r="V942" t="s">
        <v>162</v>
      </c>
    </row>
    <row r="943" spans="9:22" x14ac:dyDescent="0.45">
      <c r="I943" t="s">
        <v>192</v>
      </c>
      <c r="J943" t="s">
        <v>167</v>
      </c>
      <c r="K943">
        <v>3.9274697920723009E-2</v>
      </c>
      <c r="L943" t="s">
        <v>162</v>
      </c>
      <c r="N943" t="s">
        <v>304</v>
      </c>
      <c r="O943" t="s">
        <v>167</v>
      </c>
      <c r="P943">
        <v>9.0021128605860465E-3</v>
      </c>
      <c r="Q943" t="s">
        <v>162</v>
      </c>
      <c r="S943" t="s">
        <v>416</v>
      </c>
      <c r="T943" t="s">
        <v>167</v>
      </c>
      <c r="U943">
        <v>1.0106661961289138E-2</v>
      </c>
      <c r="V943" t="s">
        <v>162</v>
      </c>
    </row>
    <row r="944" spans="9:22" x14ac:dyDescent="0.45">
      <c r="I944" t="s">
        <v>192</v>
      </c>
      <c r="J944" t="s">
        <v>522</v>
      </c>
      <c r="K944">
        <v>9.424444637876038E-2</v>
      </c>
      <c r="L944" t="s">
        <v>162</v>
      </c>
      <c r="N944" t="s">
        <v>304</v>
      </c>
      <c r="O944" t="s">
        <v>522</v>
      </c>
      <c r="P944">
        <v>2.3859423962720491E-2</v>
      </c>
      <c r="Q944" t="s">
        <v>162</v>
      </c>
      <c r="S944" t="s">
        <v>416</v>
      </c>
      <c r="T944" t="s">
        <v>522</v>
      </c>
      <c r="U944">
        <v>2.467199273446781E-2</v>
      </c>
      <c r="V944" t="s">
        <v>162</v>
      </c>
    </row>
    <row r="945" spans="9:22" x14ac:dyDescent="0.45">
      <c r="I945" t="s">
        <v>192</v>
      </c>
      <c r="J945" t="s">
        <v>523</v>
      </c>
      <c r="K945">
        <v>9.6113595299541447E-3</v>
      </c>
      <c r="L945" t="s">
        <v>162</v>
      </c>
      <c r="N945" t="s">
        <v>304</v>
      </c>
      <c r="O945" t="s">
        <v>523</v>
      </c>
      <c r="P945">
        <v>6.8586230854074766E-3</v>
      </c>
      <c r="Q945" t="s">
        <v>162</v>
      </c>
      <c r="S945" t="s">
        <v>416</v>
      </c>
      <c r="T945" t="s">
        <v>523</v>
      </c>
      <c r="U945">
        <v>5.3861590550744378E-3</v>
      </c>
      <c r="V945" t="s">
        <v>162</v>
      </c>
    </row>
    <row r="946" spans="9:22" x14ac:dyDescent="0.45">
      <c r="I946" t="s">
        <v>192</v>
      </c>
      <c r="J946" t="s">
        <v>524</v>
      </c>
      <c r="K946">
        <v>3.6628481844532177E-3</v>
      </c>
      <c r="L946" t="s">
        <v>162</v>
      </c>
      <c r="N946" t="s">
        <v>304</v>
      </c>
      <c r="O946" t="s">
        <v>524</v>
      </c>
      <c r="P946">
        <v>4.8037264171621276E-2</v>
      </c>
      <c r="Q946" t="s">
        <v>162</v>
      </c>
      <c r="S946" t="s">
        <v>416</v>
      </c>
      <c r="T946" t="s">
        <v>524</v>
      </c>
      <c r="U946">
        <v>3.4386733118126706E-2</v>
      </c>
      <c r="V946" t="s">
        <v>162</v>
      </c>
    </row>
    <row r="947" spans="9:22" x14ac:dyDescent="0.45">
      <c r="I947" t="s">
        <v>192</v>
      </c>
      <c r="J947" t="s">
        <v>168</v>
      </c>
      <c r="K947">
        <v>1.8469873147667511E-2</v>
      </c>
      <c r="L947" t="s">
        <v>162</v>
      </c>
      <c r="N947" t="s">
        <v>304</v>
      </c>
      <c r="O947" t="s">
        <v>168</v>
      </c>
      <c r="P947">
        <v>3.29470302889898E-2</v>
      </c>
      <c r="Q947" t="s">
        <v>162</v>
      </c>
      <c r="S947" t="s">
        <v>416</v>
      </c>
      <c r="T947" t="s">
        <v>168</v>
      </c>
      <c r="U947">
        <v>3.0319328081622628E-2</v>
      </c>
      <c r="V947" t="s">
        <v>162</v>
      </c>
    </row>
    <row r="948" spans="9:22" x14ac:dyDescent="0.45">
      <c r="I948" t="s">
        <v>192</v>
      </c>
      <c r="J948" t="s">
        <v>169</v>
      </c>
      <c r="K948">
        <v>1.1627541193748663E-2</v>
      </c>
      <c r="L948" t="s">
        <v>162</v>
      </c>
      <c r="N948" t="s">
        <v>304</v>
      </c>
      <c r="O948" t="s">
        <v>169</v>
      </c>
      <c r="P948">
        <v>2.6578486965389979E-3</v>
      </c>
      <c r="Q948" t="s">
        <v>162</v>
      </c>
      <c r="S948" t="s">
        <v>416</v>
      </c>
      <c r="T948" t="s">
        <v>169</v>
      </c>
      <c r="U948">
        <v>3.3341701810884086E-3</v>
      </c>
      <c r="V948" t="s">
        <v>162</v>
      </c>
    </row>
    <row r="949" spans="9:22" x14ac:dyDescent="0.45">
      <c r="I949" t="s">
        <v>192</v>
      </c>
      <c r="J949" t="s">
        <v>170</v>
      </c>
      <c r="K949">
        <v>2.7334299922369125E-2</v>
      </c>
      <c r="L949" t="s">
        <v>162</v>
      </c>
      <c r="N949" t="s">
        <v>304</v>
      </c>
      <c r="O949" t="s">
        <v>170</v>
      </c>
      <c r="P949">
        <v>6.4925779237214537E-3</v>
      </c>
      <c r="Q949" t="s">
        <v>162</v>
      </c>
      <c r="S949" t="s">
        <v>416</v>
      </c>
      <c r="T949" t="s">
        <v>170</v>
      </c>
      <c r="U949">
        <v>6.6919673857052621E-3</v>
      </c>
      <c r="V949" t="s">
        <v>162</v>
      </c>
    </row>
    <row r="950" spans="9:22" x14ac:dyDescent="0.45">
      <c r="I950" t="s">
        <v>192</v>
      </c>
      <c r="J950" t="s">
        <v>525</v>
      </c>
      <c r="K950">
        <v>6.5309479108590057E-2</v>
      </c>
      <c r="L950" t="s">
        <v>162</v>
      </c>
      <c r="N950" t="s">
        <v>304</v>
      </c>
      <c r="O950" t="s">
        <v>525</v>
      </c>
      <c r="P950">
        <v>1.7575937235825442E-2</v>
      </c>
      <c r="Q950" t="s">
        <v>162</v>
      </c>
      <c r="S950" t="s">
        <v>416</v>
      </c>
      <c r="T950" t="s">
        <v>525</v>
      </c>
      <c r="U950">
        <v>1.7588557828166228E-2</v>
      </c>
      <c r="V950" t="s">
        <v>162</v>
      </c>
    </row>
    <row r="951" spans="9:22" x14ac:dyDescent="0.45">
      <c r="I951" t="s">
        <v>192</v>
      </c>
      <c r="J951" t="s">
        <v>526</v>
      </c>
      <c r="K951">
        <v>8.5254420389829534E-3</v>
      </c>
      <c r="L951" t="s">
        <v>162</v>
      </c>
      <c r="N951" t="s">
        <v>304</v>
      </c>
      <c r="O951" t="s">
        <v>526</v>
      </c>
      <c r="P951">
        <v>3.4055842044539704E-3</v>
      </c>
      <c r="Q951" t="s">
        <v>162</v>
      </c>
      <c r="S951" t="s">
        <v>416</v>
      </c>
      <c r="T951" t="s">
        <v>526</v>
      </c>
      <c r="U951">
        <v>3.6126339263447384E-3</v>
      </c>
      <c r="V951" t="s">
        <v>162</v>
      </c>
    </row>
    <row r="952" spans="9:22" x14ac:dyDescent="0.45">
      <c r="I952" t="s">
        <v>192</v>
      </c>
      <c r="J952" t="s">
        <v>527</v>
      </c>
      <c r="K952">
        <v>7.855163803342809E-3</v>
      </c>
      <c r="L952" t="s">
        <v>162</v>
      </c>
      <c r="N952" t="s">
        <v>304</v>
      </c>
      <c r="O952" t="s">
        <v>527</v>
      </c>
      <c r="P952">
        <v>2.6577692155159142E-2</v>
      </c>
      <c r="Q952" t="s">
        <v>162</v>
      </c>
      <c r="S952" t="s">
        <v>416</v>
      </c>
      <c r="T952" t="s">
        <v>527</v>
      </c>
      <c r="U952">
        <v>2.0309923593269906E-2</v>
      </c>
      <c r="V952" t="s">
        <v>162</v>
      </c>
    </row>
    <row r="953" spans="9:22" x14ac:dyDescent="0.45">
      <c r="I953" t="s">
        <v>192</v>
      </c>
      <c r="J953" t="s">
        <v>528</v>
      </c>
      <c r="K953">
        <v>7.270141437532604E-2</v>
      </c>
      <c r="L953" t="s">
        <v>162</v>
      </c>
      <c r="N953" t="s">
        <v>304</v>
      </c>
      <c r="O953" t="s">
        <v>528</v>
      </c>
      <c r="P953">
        <v>8.7169189835163974E-2</v>
      </c>
      <c r="Q953" t="s">
        <v>162</v>
      </c>
      <c r="S953" t="s">
        <v>416</v>
      </c>
      <c r="T953" t="s">
        <v>528</v>
      </c>
      <c r="U953">
        <v>8.4322041314250737E-2</v>
      </c>
      <c r="V953" t="s">
        <v>162</v>
      </c>
    </row>
    <row r="954" spans="9:22" x14ac:dyDescent="0.45">
      <c r="I954" t="s">
        <v>192</v>
      </c>
      <c r="J954" t="s">
        <v>529</v>
      </c>
      <c r="K954">
        <v>3.128504489534354E-2</v>
      </c>
      <c r="L954" t="s">
        <v>162</v>
      </c>
      <c r="N954" t="s">
        <v>304</v>
      </c>
      <c r="O954" t="s">
        <v>529</v>
      </c>
      <c r="P954">
        <v>7.5161027181724948E-3</v>
      </c>
      <c r="Q954" t="s">
        <v>162</v>
      </c>
      <c r="S954" t="s">
        <v>416</v>
      </c>
      <c r="T954" t="s">
        <v>529</v>
      </c>
      <c r="U954">
        <v>8.5734635162241727E-3</v>
      </c>
      <c r="V954" t="s">
        <v>162</v>
      </c>
    </row>
    <row r="955" spans="9:22" x14ac:dyDescent="0.45">
      <c r="I955" t="s">
        <v>192</v>
      </c>
      <c r="J955" t="s">
        <v>530</v>
      </c>
      <c r="K955">
        <v>6.9216131478306978E-2</v>
      </c>
      <c r="L955" t="s">
        <v>162</v>
      </c>
      <c r="N955" t="s">
        <v>304</v>
      </c>
      <c r="O955" t="s">
        <v>530</v>
      </c>
      <c r="P955">
        <v>1.6926335210347664E-2</v>
      </c>
      <c r="Q955" t="s">
        <v>162</v>
      </c>
      <c r="S955" t="s">
        <v>416</v>
      </c>
      <c r="T955" t="s">
        <v>530</v>
      </c>
      <c r="U955">
        <v>1.7314283302936394E-2</v>
      </c>
      <c r="V955" t="s">
        <v>162</v>
      </c>
    </row>
    <row r="956" spans="9:22" x14ac:dyDescent="0.45">
      <c r="I956" t="s">
        <v>192</v>
      </c>
      <c r="J956" t="s">
        <v>531</v>
      </c>
      <c r="K956">
        <v>0.1627153141019673</v>
      </c>
      <c r="L956" t="s">
        <v>162</v>
      </c>
      <c r="N956" t="s">
        <v>304</v>
      </c>
      <c r="O956" t="s">
        <v>531</v>
      </c>
      <c r="P956">
        <v>4.137557105367852E-2</v>
      </c>
      <c r="Q956" t="s">
        <v>162</v>
      </c>
      <c r="S956" t="s">
        <v>416</v>
      </c>
      <c r="T956" t="s">
        <v>531</v>
      </c>
      <c r="U956">
        <v>4.593032983575078E-2</v>
      </c>
      <c r="V956" t="s">
        <v>162</v>
      </c>
    </row>
    <row r="957" spans="9:22" x14ac:dyDescent="0.45">
      <c r="I957" t="s">
        <v>192</v>
      </c>
      <c r="J957" t="s">
        <v>532</v>
      </c>
      <c r="K957">
        <v>2.4262806119868287E-2</v>
      </c>
      <c r="L957" t="s">
        <v>162</v>
      </c>
      <c r="N957" t="s">
        <v>304</v>
      </c>
      <c r="O957" t="s">
        <v>532</v>
      </c>
      <c r="P957">
        <v>7.0302129419404459E-3</v>
      </c>
      <c r="Q957" t="s">
        <v>162</v>
      </c>
      <c r="S957" t="s">
        <v>416</v>
      </c>
      <c r="T957" t="s">
        <v>532</v>
      </c>
      <c r="U957">
        <v>9.3384735345824806E-3</v>
      </c>
      <c r="V957" t="s">
        <v>162</v>
      </c>
    </row>
    <row r="958" spans="9:22" x14ac:dyDescent="0.45">
      <c r="I958" t="s">
        <v>192</v>
      </c>
      <c r="J958" t="s">
        <v>533</v>
      </c>
      <c r="K958">
        <v>4.302646870428585E-2</v>
      </c>
      <c r="L958" t="s">
        <v>162</v>
      </c>
      <c r="N958" t="s">
        <v>304</v>
      </c>
      <c r="O958" t="s">
        <v>533</v>
      </c>
      <c r="P958">
        <v>6.2571421735097707E-2</v>
      </c>
      <c r="Q958" t="s">
        <v>162</v>
      </c>
      <c r="S958" t="s">
        <v>416</v>
      </c>
      <c r="T958" t="s">
        <v>533</v>
      </c>
      <c r="U958">
        <v>5.581035957782407E-2</v>
      </c>
      <c r="V958" t="s">
        <v>162</v>
      </c>
    </row>
    <row r="959" spans="9:22" x14ac:dyDescent="0.45">
      <c r="I959" t="s">
        <v>192</v>
      </c>
      <c r="J959" t="s">
        <v>534</v>
      </c>
      <c r="K959">
        <v>2.9270951072876358E-2</v>
      </c>
      <c r="L959" t="s">
        <v>162</v>
      </c>
      <c r="N959" t="s">
        <v>304</v>
      </c>
      <c r="O959" t="s">
        <v>534</v>
      </c>
      <c r="P959">
        <v>9.8301493762388975E-2</v>
      </c>
      <c r="Q959" t="s">
        <v>162</v>
      </c>
      <c r="S959" t="s">
        <v>416</v>
      </c>
      <c r="T959" t="s">
        <v>534</v>
      </c>
      <c r="U959">
        <v>0.10586845337494515</v>
      </c>
      <c r="V959" t="s">
        <v>162</v>
      </c>
    </row>
    <row r="960" spans="9:22" x14ac:dyDescent="0.45">
      <c r="I960" t="s">
        <v>192</v>
      </c>
      <c r="J960" t="s">
        <v>535</v>
      </c>
      <c r="K960">
        <v>1.9116527199591078E-2</v>
      </c>
      <c r="L960" t="s">
        <v>162</v>
      </c>
      <c r="N960" t="s">
        <v>304</v>
      </c>
      <c r="O960" t="s">
        <v>535</v>
      </c>
      <c r="P960">
        <v>6.926927987776668E-3</v>
      </c>
      <c r="Q960" t="s">
        <v>162</v>
      </c>
      <c r="S960" t="s">
        <v>416</v>
      </c>
      <c r="T960" t="s">
        <v>535</v>
      </c>
      <c r="U960">
        <v>1.2278114771982573E-2</v>
      </c>
      <c r="V960" t="s">
        <v>162</v>
      </c>
    </row>
    <row r="961" spans="9:22" x14ac:dyDescent="0.45">
      <c r="I961" t="s">
        <v>192</v>
      </c>
      <c r="J961" t="s">
        <v>536</v>
      </c>
      <c r="K961">
        <v>4.25016304291976E-2</v>
      </c>
      <c r="L961" t="s">
        <v>162</v>
      </c>
      <c r="N961" t="s">
        <v>304</v>
      </c>
      <c r="O961" t="s">
        <v>536</v>
      </c>
      <c r="P961">
        <v>1.5166119639514532E-2</v>
      </c>
      <c r="Q961" t="s">
        <v>162</v>
      </c>
      <c r="S961" t="s">
        <v>416</v>
      </c>
      <c r="T961" t="s">
        <v>536</v>
      </c>
      <c r="U961">
        <v>2.5199437930955353E-2</v>
      </c>
      <c r="V961" t="s">
        <v>162</v>
      </c>
    </row>
    <row r="962" spans="9:22" x14ac:dyDescent="0.45">
      <c r="I962" t="s">
        <v>192</v>
      </c>
      <c r="J962" t="s">
        <v>537</v>
      </c>
      <c r="K962">
        <v>9.1943074166948316E-2</v>
      </c>
      <c r="L962" t="s">
        <v>162</v>
      </c>
      <c r="N962" t="s">
        <v>304</v>
      </c>
      <c r="O962" t="s">
        <v>537</v>
      </c>
      <c r="P962">
        <v>4.303033868070677E-2</v>
      </c>
      <c r="Q962" t="s">
        <v>162</v>
      </c>
      <c r="S962" t="s">
        <v>416</v>
      </c>
      <c r="T962" t="s">
        <v>537</v>
      </c>
      <c r="U962">
        <v>6.4884919116718745E-2</v>
      </c>
      <c r="V962" t="s">
        <v>162</v>
      </c>
    </row>
    <row r="963" spans="9:22" x14ac:dyDescent="0.45">
      <c r="I963" t="s">
        <v>192</v>
      </c>
      <c r="J963" t="s">
        <v>538</v>
      </c>
      <c r="K963">
        <v>1.0917641526106265E-2</v>
      </c>
      <c r="L963" t="s">
        <v>162</v>
      </c>
      <c r="N963" t="s">
        <v>304</v>
      </c>
      <c r="O963" t="s">
        <v>538</v>
      </c>
      <c r="P963">
        <v>9.7576827659233405E-3</v>
      </c>
      <c r="Q963" t="s">
        <v>162</v>
      </c>
      <c r="S963" t="s">
        <v>416</v>
      </c>
      <c r="T963" t="s">
        <v>538</v>
      </c>
      <c r="U963">
        <v>1.2565441212589947E-2</v>
      </c>
      <c r="V963" t="s">
        <v>162</v>
      </c>
    </row>
    <row r="964" spans="9:22" x14ac:dyDescent="0.45">
      <c r="I964" t="s">
        <v>192</v>
      </c>
      <c r="J964" t="s">
        <v>539</v>
      </c>
      <c r="K964">
        <v>1.1147509581629413E-2</v>
      </c>
      <c r="L964" t="s">
        <v>162</v>
      </c>
      <c r="N964" t="s">
        <v>304</v>
      </c>
      <c r="O964" t="s">
        <v>539</v>
      </c>
      <c r="P964">
        <v>7.587613216389219E-2</v>
      </c>
      <c r="Q964" t="s">
        <v>162</v>
      </c>
      <c r="S964" t="s">
        <v>416</v>
      </c>
      <c r="T964" t="s">
        <v>539</v>
      </c>
      <c r="U964">
        <v>7.3149028091122226E-2</v>
      </c>
      <c r="V964" t="s">
        <v>162</v>
      </c>
    </row>
    <row r="965" spans="9:22" x14ac:dyDescent="0.45">
      <c r="I965" t="s">
        <v>192</v>
      </c>
      <c r="J965" t="s">
        <v>540</v>
      </c>
      <c r="K965">
        <v>8.7339784524171536E-5</v>
      </c>
      <c r="L965" t="s">
        <v>162</v>
      </c>
      <c r="N965" t="s">
        <v>304</v>
      </c>
      <c r="O965" t="s">
        <v>540</v>
      </c>
      <c r="P965">
        <v>3.7950817502231358E-2</v>
      </c>
      <c r="Q965" t="s">
        <v>162</v>
      </c>
      <c r="S965" t="s">
        <v>416</v>
      </c>
      <c r="T965" t="s">
        <v>540</v>
      </c>
      <c r="U965">
        <v>3.7071764613246516E-2</v>
      </c>
      <c r="V965" t="s">
        <v>162</v>
      </c>
    </row>
    <row r="966" spans="9:22" x14ac:dyDescent="0.45">
      <c r="I966" t="s">
        <v>192</v>
      </c>
      <c r="J966" t="s">
        <v>541</v>
      </c>
      <c r="K966">
        <v>1.8732318671501891E-3</v>
      </c>
      <c r="L966" t="s">
        <v>162</v>
      </c>
      <c r="N966" t="s">
        <v>304</v>
      </c>
      <c r="O966" t="s">
        <v>541</v>
      </c>
      <c r="P966">
        <v>3.9370200947485886E-3</v>
      </c>
      <c r="Q966" t="s">
        <v>162</v>
      </c>
      <c r="S966" t="s">
        <v>416</v>
      </c>
      <c r="T966" t="s">
        <v>541</v>
      </c>
      <c r="U966">
        <v>3.8584073089075409E-3</v>
      </c>
      <c r="V966" t="s">
        <v>162</v>
      </c>
    </row>
    <row r="967" spans="9:22" x14ac:dyDescent="0.45">
      <c r="I967" t="s">
        <v>192</v>
      </c>
      <c r="J967" t="s">
        <v>542</v>
      </c>
      <c r="K967">
        <v>8.4193289683533751E-3</v>
      </c>
      <c r="L967" t="s">
        <v>162</v>
      </c>
      <c r="N967" t="s">
        <v>304</v>
      </c>
      <c r="O967" t="s">
        <v>542</v>
      </c>
      <c r="P967">
        <v>6.4386093690631321E-3</v>
      </c>
      <c r="Q967" t="s">
        <v>162</v>
      </c>
      <c r="S967" t="s">
        <v>416</v>
      </c>
      <c r="T967" t="s">
        <v>542</v>
      </c>
      <c r="U967">
        <v>7.5993235832093513E-3</v>
      </c>
      <c r="V967" t="s">
        <v>162</v>
      </c>
    </row>
    <row r="968" spans="9:22" x14ac:dyDescent="0.45">
      <c r="I968" t="s">
        <v>192</v>
      </c>
      <c r="J968" t="s">
        <v>543</v>
      </c>
      <c r="K968">
        <v>1.7086980377968398E-2</v>
      </c>
      <c r="L968" t="s">
        <v>162</v>
      </c>
      <c r="N968" t="s">
        <v>304</v>
      </c>
      <c r="O968" t="s">
        <v>543</v>
      </c>
      <c r="P968">
        <v>1.7675707762941466E-2</v>
      </c>
      <c r="Q968" t="s">
        <v>162</v>
      </c>
      <c r="S968" t="s">
        <v>416</v>
      </c>
      <c r="T968" t="s">
        <v>543</v>
      </c>
      <c r="U968">
        <v>2.036953281867801E-2</v>
      </c>
      <c r="V968" t="s">
        <v>162</v>
      </c>
    </row>
    <row r="969" spans="9:22" x14ac:dyDescent="0.45">
      <c r="I969" t="s">
        <v>192</v>
      </c>
      <c r="J969" t="s">
        <v>544</v>
      </c>
      <c r="K969">
        <v>0</v>
      </c>
      <c r="L969" t="s">
        <v>162</v>
      </c>
      <c r="N969" t="s">
        <v>304</v>
      </c>
      <c r="O969" t="s">
        <v>544</v>
      </c>
      <c r="P969">
        <v>4.6859854830170111E-3</v>
      </c>
      <c r="Q969" t="s">
        <v>162</v>
      </c>
      <c r="S969" t="s">
        <v>416</v>
      </c>
      <c r="T969" t="s">
        <v>544</v>
      </c>
      <c r="U969">
        <v>4.2673633524913483E-3</v>
      </c>
      <c r="V969" t="s">
        <v>162</v>
      </c>
    </row>
    <row r="970" spans="9:22" x14ac:dyDescent="0.45">
      <c r="I970" t="s">
        <v>192</v>
      </c>
      <c r="J970" t="s">
        <v>545</v>
      </c>
      <c r="K970">
        <v>0</v>
      </c>
      <c r="L970" t="s">
        <v>162</v>
      </c>
      <c r="N970" t="s">
        <v>304</v>
      </c>
      <c r="O970" t="s">
        <v>545</v>
      </c>
      <c r="P970">
        <v>2.6557620796861393E-2</v>
      </c>
      <c r="Q970" t="s">
        <v>162</v>
      </c>
      <c r="S970" t="s">
        <v>416</v>
      </c>
      <c r="T970" t="s">
        <v>545</v>
      </c>
      <c r="U970">
        <v>2.5023492918242032E-2</v>
      </c>
      <c r="V970" t="s">
        <v>162</v>
      </c>
    </row>
    <row r="971" spans="9:22" x14ac:dyDescent="0.45">
      <c r="I971" t="s">
        <v>192</v>
      </c>
      <c r="J971" t="s">
        <v>546</v>
      </c>
      <c r="K971">
        <v>0</v>
      </c>
      <c r="L971" t="s">
        <v>162</v>
      </c>
      <c r="N971" t="s">
        <v>304</v>
      </c>
      <c r="O971" t="s">
        <v>546</v>
      </c>
      <c r="P971">
        <v>3.6999902222919274E-2</v>
      </c>
      <c r="Q971" t="s">
        <v>162</v>
      </c>
      <c r="S971" t="s">
        <v>416</v>
      </c>
      <c r="T971" t="s">
        <v>546</v>
      </c>
      <c r="U971">
        <v>3.3853562744609357E-2</v>
      </c>
      <c r="V971" t="s">
        <v>162</v>
      </c>
    </row>
    <row r="972" spans="9:22" x14ac:dyDescent="0.45">
      <c r="I972" t="s">
        <v>192</v>
      </c>
      <c r="J972" t="s">
        <v>547</v>
      </c>
      <c r="K972">
        <v>1.0177550022260464E-4</v>
      </c>
      <c r="L972" t="s">
        <v>162</v>
      </c>
      <c r="N972" t="s">
        <v>304</v>
      </c>
      <c r="O972" t="s">
        <v>547</v>
      </c>
      <c r="P972">
        <v>3.7987436939787406E-3</v>
      </c>
      <c r="Q972" t="s">
        <v>162</v>
      </c>
      <c r="S972" t="s">
        <v>416</v>
      </c>
      <c r="T972" t="s">
        <v>547</v>
      </c>
      <c r="U972">
        <v>3.7428284004121974E-3</v>
      </c>
      <c r="V972" t="s">
        <v>162</v>
      </c>
    </row>
    <row r="973" spans="9:22" x14ac:dyDescent="0.45">
      <c r="I973" t="s">
        <v>192</v>
      </c>
      <c r="J973" t="s">
        <v>548</v>
      </c>
      <c r="K973">
        <v>7.8678801739734423E-3</v>
      </c>
      <c r="L973" t="s">
        <v>162</v>
      </c>
      <c r="N973" t="s">
        <v>304</v>
      </c>
      <c r="O973" t="s">
        <v>548</v>
      </c>
      <c r="P973">
        <v>6.8958820332426047E-3</v>
      </c>
      <c r="Q973" t="s">
        <v>162</v>
      </c>
      <c r="S973" t="s">
        <v>416</v>
      </c>
      <c r="T973" t="s">
        <v>548</v>
      </c>
      <c r="U973">
        <v>7.448252865289026E-3</v>
      </c>
      <c r="V973" t="s">
        <v>162</v>
      </c>
    </row>
    <row r="974" spans="9:22" x14ac:dyDescent="0.45">
      <c r="I974" t="s">
        <v>192</v>
      </c>
      <c r="J974" t="s">
        <v>549</v>
      </c>
      <c r="K974">
        <v>1.5236566866704831E-2</v>
      </c>
      <c r="L974" t="s">
        <v>162</v>
      </c>
      <c r="N974" t="s">
        <v>304</v>
      </c>
      <c r="O974" t="s">
        <v>549</v>
      </c>
      <c r="P974">
        <v>1.7052351269637139E-2</v>
      </c>
      <c r="Q974" t="s">
        <v>162</v>
      </c>
      <c r="S974" t="s">
        <v>416</v>
      </c>
      <c r="T974" t="s">
        <v>549</v>
      </c>
      <c r="U974">
        <v>1.9097273883760296E-2</v>
      </c>
      <c r="V974" t="s">
        <v>162</v>
      </c>
    </row>
    <row r="975" spans="9:22" x14ac:dyDescent="0.45">
      <c r="I975" t="s">
        <v>192</v>
      </c>
      <c r="J975" t="s">
        <v>550</v>
      </c>
      <c r="K975">
        <v>0</v>
      </c>
      <c r="L975" t="s">
        <v>162</v>
      </c>
      <c r="N975" t="s">
        <v>304</v>
      </c>
      <c r="O975" t="s">
        <v>550</v>
      </c>
      <c r="P975">
        <v>4.0682086693713607E-3</v>
      </c>
      <c r="Q975" t="s">
        <v>162</v>
      </c>
      <c r="S975" t="s">
        <v>416</v>
      </c>
      <c r="T975" t="s">
        <v>550</v>
      </c>
      <c r="U975">
        <v>3.9744021856359096E-3</v>
      </c>
      <c r="V975" t="s">
        <v>162</v>
      </c>
    </row>
    <row r="976" spans="9:22" x14ac:dyDescent="0.45">
      <c r="I976" t="s">
        <v>192</v>
      </c>
      <c r="J976" t="s">
        <v>551</v>
      </c>
      <c r="K976">
        <v>0</v>
      </c>
      <c r="L976" t="s">
        <v>162</v>
      </c>
      <c r="N976" t="s">
        <v>304</v>
      </c>
      <c r="O976" t="s">
        <v>551</v>
      </c>
      <c r="P976">
        <v>2.5606295823199923E-2</v>
      </c>
      <c r="Q976" t="s">
        <v>162</v>
      </c>
      <c r="S976" t="s">
        <v>416</v>
      </c>
      <c r="T976" t="s">
        <v>551</v>
      </c>
      <c r="U976">
        <v>2.4220198179637956E-2</v>
      </c>
      <c r="V976" t="s">
        <v>162</v>
      </c>
    </row>
    <row r="977" spans="9:22" x14ac:dyDescent="0.45">
      <c r="I977" t="s">
        <v>193</v>
      </c>
      <c r="J977" t="s">
        <v>161</v>
      </c>
      <c r="K977">
        <v>0</v>
      </c>
      <c r="L977" t="s">
        <v>162</v>
      </c>
      <c r="N977" t="s">
        <v>305</v>
      </c>
      <c r="O977" t="s">
        <v>161</v>
      </c>
      <c r="P977">
        <v>3.1089170251878982E-2</v>
      </c>
      <c r="Q977" t="s">
        <v>162</v>
      </c>
      <c r="S977" t="s">
        <v>417</v>
      </c>
      <c r="T977" t="s">
        <v>161</v>
      </c>
      <c r="U977">
        <v>2.7318298148723136E-2</v>
      </c>
      <c r="V977" t="s">
        <v>162</v>
      </c>
    </row>
    <row r="978" spans="9:22" x14ac:dyDescent="0.45">
      <c r="I978" t="s">
        <v>193</v>
      </c>
      <c r="J978" t="s">
        <v>163</v>
      </c>
      <c r="K978">
        <v>9.4163912174632339E-4</v>
      </c>
      <c r="L978" t="s">
        <v>162</v>
      </c>
      <c r="N978" t="s">
        <v>305</v>
      </c>
      <c r="O978" t="s">
        <v>163</v>
      </c>
      <c r="P978">
        <v>3.5318208337541202E-3</v>
      </c>
      <c r="Q978" t="s">
        <v>162</v>
      </c>
      <c r="S978" t="s">
        <v>417</v>
      </c>
      <c r="T978" t="s">
        <v>163</v>
      </c>
      <c r="U978">
        <v>3.1864428075194032E-3</v>
      </c>
      <c r="V978" t="s">
        <v>162</v>
      </c>
    </row>
    <row r="979" spans="9:22" x14ac:dyDescent="0.45">
      <c r="I979" t="s">
        <v>193</v>
      </c>
      <c r="J979" t="s">
        <v>164</v>
      </c>
      <c r="K979">
        <v>1.0136629947661503E-2</v>
      </c>
      <c r="L979" t="s">
        <v>162</v>
      </c>
      <c r="N979" t="s">
        <v>305</v>
      </c>
      <c r="O979" t="s">
        <v>164</v>
      </c>
      <c r="P979">
        <v>6.3569296668441813E-3</v>
      </c>
      <c r="Q979" t="s">
        <v>162</v>
      </c>
      <c r="S979" t="s">
        <v>417</v>
      </c>
      <c r="T979" t="s">
        <v>164</v>
      </c>
      <c r="U979">
        <v>6.4654962918461482E-3</v>
      </c>
      <c r="V979" t="s">
        <v>162</v>
      </c>
    </row>
    <row r="980" spans="9:22" x14ac:dyDescent="0.45">
      <c r="I980" t="s">
        <v>193</v>
      </c>
      <c r="J980" t="s">
        <v>519</v>
      </c>
      <c r="K980">
        <v>2.0801810446546002E-2</v>
      </c>
      <c r="L980" t="s">
        <v>162</v>
      </c>
      <c r="N980" t="s">
        <v>305</v>
      </c>
      <c r="O980" t="s">
        <v>519</v>
      </c>
      <c r="P980">
        <v>1.398228302253573E-2</v>
      </c>
      <c r="Q980" t="s">
        <v>162</v>
      </c>
      <c r="S980" t="s">
        <v>417</v>
      </c>
      <c r="T980" t="s">
        <v>519</v>
      </c>
      <c r="U980">
        <v>1.6465667179818341E-2</v>
      </c>
      <c r="V980" t="s">
        <v>162</v>
      </c>
    </row>
    <row r="981" spans="9:22" x14ac:dyDescent="0.45">
      <c r="I981" t="s">
        <v>193</v>
      </c>
      <c r="J981" t="s">
        <v>520</v>
      </c>
      <c r="K981">
        <v>0</v>
      </c>
      <c r="L981" t="s">
        <v>162</v>
      </c>
      <c r="N981" t="s">
        <v>305</v>
      </c>
      <c r="O981" t="s">
        <v>520</v>
      </c>
      <c r="P981">
        <v>3.8532572551028843E-3</v>
      </c>
      <c r="Q981" t="s">
        <v>162</v>
      </c>
      <c r="S981" t="s">
        <v>417</v>
      </c>
      <c r="T981" t="s">
        <v>520</v>
      </c>
      <c r="U981">
        <v>3.0931956763972017E-3</v>
      </c>
      <c r="V981" t="s">
        <v>162</v>
      </c>
    </row>
    <row r="982" spans="9:22" x14ac:dyDescent="0.45">
      <c r="I982" t="s">
        <v>193</v>
      </c>
      <c r="J982" t="s">
        <v>521</v>
      </c>
      <c r="K982">
        <v>0</v>
      </c>
      <c r="L982" t="s">
        <v>162</v>
      </c>
      <c r="N982" t="s">
        <v>305</v>
      </c>
      <c r="O982" t="s">
        <v>521</v>
      </c>
      <c r="P982">
        <v>2.3814298882447127E-2</v>
      </c>
      <c r="Q982" t="s">
        <v>162</v>
      </c>
      <c r="S982" t="s">
        <v>417</v>
      </c>
      <c r="T982" t="s">
        <v>521</v>
      </c>
      <c r="U982">
        <v>1.7654384673099672E-2</v>
      </c>
      <c r="V982" t="s">
        <v>162</v>
      </c>
    </row>
    <row r="983" spans="9:22" x14ac:dyDescent="0.45">
      <c r="I983" t="s">
        <v>193</v>
      </c>
      <c r="J983" t="s">
        <v>165</v>
      </c>
      <c r="K983">
        <v>1.1841539085497659E-2</v>
      </c>
      <c r="L983" t="s">
        <v>162</v>
      </c>
      <c r="N983" t="s">
        <v>305</v>
      </c>
      <c r="O983" t="s">
        <v>165</v>
      </c>
      <c r="P983">
        <v>6.7965028239337616E-2</v>
      </c>
      <c r="Q983" t="s">
        <v>162</v>
      </c>
      <c r="S983" t="s">
        <v>417</v>
      </c>
      <c r="T983" t="s">
        <v>165</v>
      </c>
      <c r="U983">
        <v>5.1254593620543992E-2</v>
      </c>
      <c r="V983" t="s">
        <v>162</v>
      </c>
    </row>
    <row r="984" spans="9:22" x14ac:dyDescent="0.45">
      <c r="I984" t="s">
        <v>193</v>
      </c>
      <c r="J984" t="s">
        <v>166</v>
      </c>
      <c r="K984">
        <v>1.5189878480072213E-2</v>
      </c>
      <c r="L984" t="s">
        <v>162</v>
      </c>
      <c r="N984" t="s">
        <v>305</v>
      </c>
      <c r="O984" t="s">
        <v>166</v>
      </c>
      <c r="P984">
        <v>6.1416703671787025E-3</v>
      </c>
      <c r="Q984" t="s">
        <v>162</v>
      </c>
      <c r="S984" t="s">
        <v>417</v>
      </c>
      <c r="T984" t="s">
        <v>166</v>
      </c>
      <c r="U984">
        <v>5.5472874188304318E-3</v>
      </c>
      <c r="V984" t="s">
        <v>162</v>
      </c>
    </row>
    <row r="985" spans="9:22" x14ac:dyDescent="0.45">
      <c r="I985" t="s">
        <v>193</v>
      </c>
      <c r="J985" t="s">
        <v>167</v>
      </c>
      <c r="K985">
        <v>4.0737224740185977E-2</v>
      </c>
      <c r="L985" t="s">
        <v>162</v>
      </c>
      <c r="N985" t="s">
        <v>305</v>
      </c>
      <c r="O985" t="s">
        <v>167</v>
      </c>
      <c r="P985">
        <v>9.623979249533926E-3</v>
      </c>
      <c r="Q985" t="s">
        <v>162</v>
      </c>
      <c r="S985" t="s">
        <v>417</v>
      </c>
      <c r="T985" t="s">
        <v>167</v>
      </c>
      <c r="U985">
        <v>1.0737597629328972E-2</v>
      </c>
      <c r="V985" t="s">
        <v>162</v>
      </c>
    </row>
    <row r="986" spans="9:22" x14ac:dyDescent="0.45">
      <c r="I986" t="s">
        <v>193</v>
      </c>
      <c r="J986" t="s">
        <v>522</v>
      </c>
      <c r="K986">
        <v>9.0374140533413708E-2</v>
      </c>
      <c r="L986" t="s">
        <v>162</v>
      </c>
      <c r="N986" t="s">
        <v>305</v>
      </c>
      <c r="O986" t="s">
        <v>522</v>
      </c>
      <c r="P986">
        <v>2.387895485271822E-2</v>
      </c>
      <c r="Q986" t="s">
        <v>162</v>
      </c>
      <c r="S986" t="s">
        <v>417</v>
      </c>
      <c r="T986" t="s">
        <v>522</v>
      </c>
      <c r="U986">
        <v>2.735877185397486E-2</v>
      </c>
      <c r="V986" t="s">
        <v>162</v>
      </c>
    </row>
    <row r="987" spans="9:22" x14ac:dyDescent="0.45">
      <c r="I987" t="s">
        <v>193</v>
      </c>
      <c r="J987" t="s">
        <v>523</v>
      </c>
      <c r="K987">
        <v>7.4901528689666026E-3</v>
      </c>
      <c r="L987" t="s">
        <v>162</v>
      </c>
      <c r="N987" t="s">
        <v>305</v>
      </c>
      <c r="O987" t="s">
        <v>523</v>
      </c>
      <c r="P987">
        <v>5.7793485645998826E-3</v>
      </c>
      <c r="Q987" t="s">
        <v>162</v>
      </c>
      <c r="S987" t="s">
        <v>417</v>
      </c>
      <c r="T987" t="s">
        <v>523</v>
      </c>
      <c r="U987">
        <v>5.9900238571436865E-3</v>
      </c>
      <c r="V987" t="s">
        <v>162</v>
      </c>
    </row>
    <row r="988" spans="9:22" x14ac:dyDescent="0.45">
      <c r="I988" t="s">
        <v>193</v>
      </c>
      <c r="J988" t="s">
        <v>524</v>
      </c>
      <c r="K988">
        <v>2.4827455757201054E-3</v>
      </c>
      <c r="L988" t="s">
        <v>162</v>
      </c>
      <c r="N988" t="s">
        <v>305</v>
      </c>
      <c r="O988" t="s">
        <v>524</v>
      </c>
      <c r="P988">
        <v>4.4857124667807204E-2</v>
      </c>
      <c r="Q988" t="s">
        <v>162</v>
      </c>
      <c r="S988" t="s">
        <v>417</v>
      </c>
      <c r="T988" t="s">
        <v>524</v>
      </c>
      <c r="U988">
        <v>3.7422192280915485E-2</v>
      </c>
      <c r="V988" t="s">
        <v>162</v>
      </c>
    </row>
    <row r="989" spans="9:22" x14ac:dyDescent="0.45">
      <c r="I989" t="s">
        <v>193</v>
      </c>
      <c r="J989" t="s">
        <v>168</v>
      </c>
      <c r="K989">
        <v>2.7577180408555439E-2</v>
      </c>
      <c r="L989" t="s">
        <v>162</v>
      </c>
      <c r="N989" t="s">
        <v>305</v>
      </c>
      <c r="O989" t="s">
        <v>168</v>
      </c>
      <c r="P989">
        <v>3.6046300528495008E-2</v>
      </c>
      <c r="Q989" t="s">
        <v>162</v>
      </c>
      <c r="S989" t="s">
        <v>417</v>
      </c>
      <c r="T989" t="s">
        <v>168</v>
      </c>
      <c r="U989">
        <v>2.9143038005641615E-2</v>
      </c>
      <c r="V989" t="s">
        <v>162</v>
      </c>
    </row>
    <row r="990" spans="9:22" x14ac:dyDescent="0.45">
      <c r="I990" t="s">
        <v>193</v>
      </c>
      <c r="J990" t="s">
        <v>169</v>
      </c>
      <c r="K990">
        <v>1.3936561542203263E-2</v>
      </c>
      <c r="L990" t="s">
        <v>162</v>
      </c>
      <c r="N990" t="s">
        <v>305</v>
      </c>
      <c r="O990" t="s">
        <v>169</v>
      </c>
      <c r="P990">
        <v>2.7813933482114229E-3</v>
      </c>
      <c r="Q990" t="s">
        <v>162</v>
      </c>
      <c r="S990" t="s">
        <v>417</v>
      </c>
      <c r="T990" t="s">
        <v>169</v>
      </c>
      <c r="U990">
        <v>3.1266722637336027E-3</v>
      </c>
      <c r="V990" t="s">
        <v>162</v>
      </c>
    </row>
    <row r="991" spans="9:22" x14ac:dyDescent="0.45">
      <c r="I991" t="s">
        <v>193</v>
      </c>
      <c r="J991" t="s">
        <v>170</v>
      </c>
      <c r="K991">
        <v>3.0080551295355369E-2</v>
      </c>
      <c r="L991" t="s">
        <v>162</v>
      </c>
      <c r="N991" t="s">
        <v>305</v>
      </c>
      <c r="O991" t="s">
        <v>170</v>
      </c>
      <c r="P991">
        <v>5.7975861680023754E-3</v>
      </c>
      <c r="Q991" t="s">
        <v>162</v>
      </c>
      <c r="S991" t="s">
        <v>417</v>
      </c>
      <c r="T991" t="s">
        <v>170</v>
      </c>
      <c r="U991">
        <v>6.1076825738299208E-3</v>
      </c>
      <c r="V991" t="s">
        <v>162</v>
      </c>
    </row>
    <row r="992" spans="9:22" x14ac:dyDescent="0.45">
      <c r="I992" t="s">
        <v>193</v>
      </c>
      <c r="J992" t="s">
        <v>525</v>
      </c>
      <c r="K992">
        <v>6.7015542589346638E-2</v>
      </c>
      <c r="L992" t="s">
        <v>162</v>
      </c>
      <c r="N992" t="s">
        <v>305</v>
      </c>
      <c r="O992" t="s">
        <v>525</v>
      </c>
      <c r="P992">
        <v>1.6968849520587956E-2</v>
      </c>
      <c r="Q992" t="s">
        <v>162</v>
      </c>
      <c r="S992" t="s">
        <v>417</v>
      </c>
      <c r="T992" t="s">
        <v>525</v>
      </c>
      <c r="U992">
        <v>1.5873000853995178E-2</v>
      </c>
      <c r="V992" t="s">
        <v>162</v>
      </c>
    </row>
    <row r="993" spans="9:22" x14ac:dyDescent="0.45">
      <c r="I993" t="s">
        <v>193</v>
      </c>
      <c r="J993" t="s">
        <v>526</v>
      </c>
      <c r="K993">
        <v>8.7768903236327082E-3</v>
      </c>
      <c r="L993" t="s">
        <v>162</v>
      </c>
      <c r="N993" t="s">
        <v>305</v>
      </c>
      <c r="O993" t="s">
        <v>526</v>
      </c>
      <c r="P993">
        <v>3.3632911838203947E-3</v>
      </c>
      <c r="Q993" t="s">
        <v>162</v>
      </c>
      <c r="S993" t="s">
        <v>417</v>
      </c>
      <c r="T993" t="s">
        <v>526</v>
      </c>
      <c r="U993">
        <v>3.3048286424333983E-3</v>
      </c>
      <c r="V993" t="s">
        <v>162</v>
      </c>
    </row>
    <row r="994" spans="9:22" x14ac:dyDescent="0.45">
      <c r="I994" t="s">
        <v>193</v>
      </c>
      <c r="J994" t="s">
        <v>527</v>
      </c>
      <c r="K994">
        <v>8.5744976525247932E-3</v>
      </c>
      <c r="L994" t="s">
        <v>162</v>
      </c>
      <c r="N994" t="s">
        <v>305</v>
      </c>
      <c r="O994" t="s">
        <v>527</v>
      </c>
      <c r="P994">
        <v>2.5554200070968147E-2</v>
      </c>
      <c r="Q994" t="s">
        <v>162</v>
      </c>
      <c r="S994" t="s">
        <v>417</v>
      </c>
      <c r="T994" t="s">
        <v>527</v>
      </c>
      <c r="U994">
        <v>1.9260226329580552E-2</v>
      </c>
      <c r="V994" t="s">
        <v>162</v>
      </c>
    </row>
    <row r="995" spans="9:22" x14ac:dyDescent="0.45">
      <c r="I995" t="s">
        <v>193</v>
      </c>
      <c r="J995" t="s">
        <v>528</v>
      </c>
      <c r="K995">
        <v>8.2148977660512448E-2</v>
      </c>
      <c r="L995" t="s">
        <v>162</v>
      </c>
      <c r="N995" t="s">
        <v>305</v>
      </c>
      <c r="O995" t="s">
        <v>528</v>
      </c>
      <c r="P995">
        <v>8.9497476785569338E-2</v>
      </c>
      <c r="Q995" t="s">
        <v>162</v>
      </c>
      <c r="S995" t="s">
        <v>417</v>
      </c>
      <c r="T995" t="s">
        <v>528</v>
      </c>
      <c r="U995">
        <v>8.3850669155433211E-2</v>
      </c>
      <c r="V995" t="s">
        <v>162</v>
      </c>
    </row>
    <row r="996" spans="9:22" x14ac:dyDescent="0.45">
      <c r="I996" t="s">
        <v>193</v>
      </c>
      <c r="J996" t="s">
        <v>529</v>
      </c>
      <c r="K996">
        <v>3.2910129642797541E-2</v>
      </c>
      <c r="L996" t="s">
        <v>162</v>
      </c>
      <c r="N996" t="s">
        <v>305</v>
      </c>
      <c r="O996" t="s">
        <v>529</v>
      </c>
      <c r="P996">
        <v>7.7172210233330358E-3</v>
      </c>
      <c r="Q996" t="s">
        <v>162</v>
      </c>
      <c r="S996" t="s">
        <v>417</v>
      </c>
      <c r="T996" t="s">
        <v>529</v>
      </c>
      <c r="U996">
        <v>8.920973066813517E-3</v>
      </c>
      <c r="V996" t="s">
        <v>162</v>
      </c>
    </row>
    <row r="997" spans="9:22" x14ac:dyDescent="0.45">
      <c r="I997" t="s">
        <v>193</v>
      </c>
      <c r="J997" t="s">
        <v>530</v>
      </c>
      <c r="K997">
        <v>7.0287491161522178E-2</v>
      </c>
      <c r="L997" t="s">
        <v>162</v>
      </c>
      <c r="N997" t="s">
        <v>305</v>
      </c>
      <c r="O997" t="s">
        <v>530</v>
      </c>
      <c r="P997">
        <v>1.7556772854912236E-2</v>
      </c>
      <c r="Q997" t="s">
        <v>162</v>
      </c>
      <c r="S997" t="s">
        <v>417</v>
      </c>
      <c r="T997" t="s">
        <v>530</v>
      </c>
      <c r="U997">
        <v>1.7867023092488735E-2</v>
      </c>
      <c r="V997" t="s">
        <v>162</v>
      </c>
    </row>
    <row r="998" spans="9:22" x14ac:dyDescent="0.45">
      <c r="I998" t="s">
        <v>193</v>
      </c>
      <c r="J998" t="s">
        <v>531</v>
      </c>
      <c r="K998">
        <v>0.16033660644501141</v>
      </c>
      <c r="L998" t="s">
        <v>162</v>
      </c>
      <c r="N998" t="s">
        <v>305</v>
      </c>
      <c r="O998" t="s">
        <v>531</v>
      </c>
      <c r="P998">
        <v>4.786383349757696E-2</v>
      </c>
      <c r="Q998" t="s">
        <v>162</v>
      </c>
      <c r="S998" t="s">
        <v>417</v>
      </c>
      <c r="T998" t="s">
        <v>531</v>
      </c>
      <c r="U998">
        <v>4.5757853251174506E-2</v>
      </c>
      <c r="V998" t="s">
        <v>162</v>
      </c>
    </row>
    <row r="999" spans="9:22" x14ac:dyDescent="0.45">
      <c r="I999" t="s">
        <v>193</v>
      </c>
      <c r="J999" t="s">
        <v>532</v>
      </c>
      <c r="K999">
        <v>2.2237852915553975E-2</v>
      </c>
      <c r="L999" t="s">
        <v>162</v>
      </c>
      <c r="N999" t="s">
        <v>305</v>
      </c>
      <c r="O999" t="s">
        <v>532</v>
      </c>
      <c r="P999">
        <v>8.7903534655692749E-3</v>
      </c>
      <c r="Q999" t="s">
        <v>162</v>
      </c>
      <c r="S999" t="s">
        <v>417</v>
      </c>
      <c r="T999" t="s">
        <v>532</v>
      </c>
      <c r="U999">
        <v>8.9552024610312451E-3</v>
      </c>
      <c r="V999" t="s">
        <v>162</v>
      </c>
    </row>
    <row r="1000" spans="9:22" x14ac:dyDescent="0.45">
      <c r="I1000" t="s">
        <v>193</v>
      </c>
      <c r="J1000" t="s">
        <v>533</v>
      </c>
      <c r="K1000">
        <v>3.8221325841255135E-2</v>
      </c>
      <c r="L1000" t="s">
        <v>162</v>
      </c>
      <c r="N1000" t="s">
        <v>305</v>
      </c>
      <c r="O1000" t="s">
        <v>533</v>
      </c>
      <c r="P1000">
        <v>6.1344915889440181E-2</v>
      </c>
      <c r="Q1000" t="s">
        <v>162</v>
      </c>
      <c r="S1000" t="s">
        <v>417</v>
      </c>
      <c r="T1000" t="s">
        <v>533</v>
      </c>
      <c r="U1000">
        <v>5.2932570157247699E-2</v>
      </c>
      <c r="V1000" t="s">
        <v>162</v>
      </c>
    </row>
    <row r="1001" spans="9:22" x14ac:dyDescent="0.45">
      <c r="I1001" t="s">
        <v>193</v>
      </c>
      <c r="J1001" t="s">
        <v>534</v>
      </c>
      <c r="K1001">
        <v>3.1936712770497443E-2</v>
      </c>
      <c r="L1001" t="s">
        <v>162</v>
      </c>
      <c r="N1001" t="s">
        <v>305</v>
      </c>
      <c r="O1001" t="s">
        <v>534</v>
      </c>
      <c r="P1001">
        <v>9.6696284000621469E-2</v>
      </c>
      <c r="Q1001" t="s">
        <v>162</v>
      </c>
      <c r="S1001" t="s">
        <v>417</v>
      </c>
      <c r="T1001" t="s">
        <v>534</v>
      </c>
      <c r="U1001">
        <v>0.11568054780314688</v>
      </c>
      <c r="V1001" t="s">
        <v>162</v>
      </c>
    </row>
    <row r="1002" spans="9:22" x14ac:dyDescent="0.45">
      <c r="I1002" t="s">
        <v>193</v>
      </c>
      <c r="J1002" t="s">
        <v>535</v>
      </c>
      <c r="K1002">
        <v>1.7828992652884547E-2</v>
      </c>
      <c r="L1002" t="s">
        <v>162</v>
      </c>
      <c r="N1002" t="s">
        <v>305</v>
      </c>
      <c r="O1002" t="s">
        <v>535</v>
      </c>
      <c r="P1002">
        <v>7.4534870182247038E-3</v>
      </c>
      <c r="Q1002" t="s">
        <v>162</v>
      </c>
      <c r="S1002" t="s">
        <v>417</v>
      </c>
      <c r="T1002" t="s">
        <v>535</v>
      </c>
      <c r="U1002">
        <v>1.3328905710246374E-2</v>
      </c>
      <c r="V1002" t="s">
        <v>162</v>
      </c>
    </row>
    <row r="1003" spans="9:22" x14ac:dyDescent="0.45">
      <c r="I1003" t="s">
        <v>193</v>
      </c>
      <c r="J1003" t="s">
        <v>536</v>
      </c>
      <c r="K1003">
        <v>3.9144228206970652E-2</v>
      </c>
      <c r="L1003" t="s">
        <v>162</v>
      </c>
      <c r="N1003" t="s">
        <v>305</v>
      </c>
      <c r="O1003" t="s">
        <v>536</v>
      </c>
      <c r="P1003">
        <v>1.5685896752705167E-2</v>
      </c>
      <c r="Q1003" t="s">
        <v>162</v>
      </c>
      <c r="S1003" t="s">
        <v>417</v>
      </c>
      <c r="T1003" t="s">
        <v>536</v>
      </c>
      <c r="U1003">
        <v>2.669306850592712E-2</v>
      </c>
      <c r="V1003" t="s">
        <v>162</v>
      </c>
    </row>
    <row r="1004" spans="9:22" x14ac:dyDescent="0.45">
      <c r="I1004" t="s">
        <v>193</v>
      </c>
      <c r="J1004" t="s">
        <v>537</v>
      </c>
      <c r="K1004">
        <v>8.4086955555142395E-2</v>
      </c>
      <c r="L1004" t="s">
        <v>162</v>
      </c>
      <c r="N1004" t="s">
        <v>305</v>
      </c>
      <c r="O1004" t="s">
        <v>537</v>
      </c>
      <c r="P1004">
        <v>4.9500586462123894E-2</v>
      </c>
      <c r="Q1004" t="s">
        <v>162</v>
      </c>
      <c r="S1004" t="s">
        <v>417</v>
      </c>
      <c r="T1004" t="s">
        <v>537</v>
      </c>
      <c r="U1004">
        <v>6.5355476328345041E-2</v>
      </c>
      <c r="V1004" t="s">
        <v>162</v>
      </c>
    </row>
    <row r="1005" spans="9:22" x14ac:dyDescent="0.45">
      <c r="I1005" t="s">
        <v>193</v>
      </c>
      <c r="J1005" t="s">
        <v>538</v>
      </c>
      <c r="K1005">
        <v>9.8418080720187543E-3</v>
      </c>
      <c r="L1005" t="s">
        <v>162</v>
      </c>
      <c r="N1005" t="s">
        <v>305</v>
      </c>
      <c r="O1005" t="s">
        <v>538</v>
      </c>
      <c r="P1005">
        <v>9.9328937711858859E-3</v>
      </c>
      <c r="Q1005" t="s">
        <v>162</v>
      </c>
      <c r="S1005" t="s">
        <v>417</v>
      </c>
      <c r="T1005" t="s">
        <v>538</v>
      </c>
      <c r="U1005">
        <v>1.2014247555440741E-2</v>
      </c>
      <c r="V1005" t="s">
        <v>162</v>
      </c>
    </row>
    <row r="1006" spans="9:22" x14ac:dyDescent="0.45">
      <c r="I1006" t="s">
        <v>193</v>
      </c>
      <c r="J1006" t="s">
        <v>539</v>
      </c>
      <c r="K1006">
        <v>1.0231857962847478E-2</v>
      </c>
      <c r="L1006" t="s">
        <v>162</v>
      </c>
      <c r="N1006" t="s">
        <v>305</v>
      </c>
      <c r="O1006" t="s">
        <v>539</v>
      </c>
      <c r="P1006">
        <v>7.1518881164856898E-2</v>
      </c>
      <c r="Q1006" t="s">
        <v>162</v>
      </c>
      <c r="S1006" t="s">
        <v>417</v>
      </c>
      <c r="T1006" t="s">
        <v>539</v>
      </c>
      <c r="U1006">
        <v>7.220667448077335E-2</v>
      </c>
      <c r="V1006" t="s">
        <v>162</v>
      </c>
    </row>
    <row r="1007" spans="9:22" x14ac:dyDescent="0.45">
      <c r="I1007" t="s">
        <v>193</v>
      </c>
      <c r="J1007" t="s">
        <v>540</v>
      </c>
      <c r="K1007">
        <v>1.7402216853365949E-4</v>
      </c>
      <c r="L1007" t="s">
        <v>162</v>
      </c>
      <c r="N1007" t="s">
        <v>305</v>
      </c>
      <c r="O1007" t="s">
        <v>540</v>
      </c>
      <c r="P1007">
        <v>3.5955794633997715E-2</v>
      </c>
      <c r="Q1007" t="s">
        <v>162</v>
      </c>
      <c r="S1007" t="s">
        <v>417</v>
      </c>
      <c r="T1007" t="s">
        <v>540</v>
      </c>
      <c r="U1007">
        <v>3.5208445959222158E-2</v>
      </c>
      <c r="V1007" t="s">
        <v>162</v>
      </c>
    </row>
    <row r="1008" spans="9:22" x14ac:dyDescent="0.45">
      <c r="I1008" t="s">
        <v>193</v>
      </c>
      <c r="J1008" t="s">
        <v>541</v>
      </c>
      <c r="K1008">
        <v>1.9470993100901036E-3</v>
      </c>
      <c r="L1008" t="s">
        <v>162</v>
      </c>
      <c r="N1008" t="s">
        <v>305</v>
      </c>
      <c r="O1008" t="s">
        <v>541</v>
      </c>
      <c r="P1008">
        <v>4.1762228555277175E-3</v>
      </c>
      <c r="Q1008" t="s">
        <v>162</v>
      </c>
      <c r="S1008" t="s">
        <v>417</v>
      </c>
      <c r="T1008" t="s">
        <v>541</v>
      </c>
      <c r="U1008">
        <v>3.9518758902860945E-3</v>
      </c>
      <c r="V1008" t="s">
        <v>162</v>
      </c>
    </row>
    <row r="1009" spans="9:22" x14ac:dyDescent="0.45">
      <c r="I1009" t="s">
        <v>193</v>
      </c>
      <c r="J1009" t="s">
        <v>542</v>
      </c>
      <c r="K1009">
        <v>8.5605052913251892E-3</v>
      </c>
      <c r="L1009" t="s">
        <v>162</v>
      </c>
      <c r="N1009" t="s">
        <v>305</v>
      </c>
      <c r="O1009" t="s">
        <v>542</v>
      </c>
      <c r="P1009">
        <v>7.4608465962778424E-3</v>
      </c>
      <c r="Q1009" t="s">
        <v>162</v>
      </c>
      <c r="S1009" t="s">
        <v>417</v>
      </c>
      <c r="T1009" t="s">
        <v>542</v>
      </c>
      <c r="U1009">
        <v>7.7347946365531562E-3</v>
      </c>
      <c r="V1009" t="s">
        <v>162</v>
      </c>
    </row>
    <row r="1010" spans="9:22" x14ac:dyDescent="0.45">
      <c r="I1010" t="s">
        <v>193</v>
      </c>
      <c r="J1010" t="s">
        <v>543</v>
      </c>
      <c r="K1010">
        <v>1.5140364325068099E-2</v>
      </c>
      <c r="L1010" t="s">
        <v>162</v>
      </c>
      <c r="N1010" t="s">
        <v>305</v>
      </c>
      <c r="O1010" t="s">
        <v>543</v>
      </c>
      <c r="P1010">
        <v>1.8111145316510372E-2</v>
      </c>
      <c r="Q1010" t="s">
        <v>162</v>
      </c>
      <c r="S1010" t="s">
        <v>417</v>
      </c>
      <c r="T1010" t="s">
        <v>543</v>
      </c>
      <c r="U1010">
        <v>2.111684536173445E-2</v>
      </c>
      <c r="V1010" t="s">
        <v>162</v>
      </c>
    </row>
    <row r="1011" spans="9:22" x14ac:dyDescent="0.45">
      <c r="I1011" t="s">
        <v>193</v>
      </c>
      <c r="J1011" t="s">
        <v>544</v>
      </c>
      <c r="K1011">
        <v>0</v>
      </c>
      <c r="L1011" t="s">
        <v>162</v>
      </c>
      <c r="N1011" t="s">
        <v>305</v>
      </c>
      <c r="O1011" t="s">
        <v>544</v>
      </c>
      <c r="P1011">
        <v>4.259082355933203E-3</v>
      </c>
      <c r="Q1011" t="s">
        <v>162</v>
      </c>
      <c r="S1011" t="s">
        <v>417</v>
      </c>
      <c r="T1011" t="s">
        <v>544</v>
      </c>
      <c r="U1011">
        <v>4.3472967528011093E-3</v>
      </c>
      <c r="V1011" t="s">
        <v>162</v>
      </c>
    </row>
    <row r="1012" spans="9:22" x14ac:dyDescent="0.45">
      <c r="I1012" t="s">
        <v>193</v>
      </c>
      <c r="J1012" t="s">
        <v>545</v>
      </c>
      <c r="K1012">
        <v>0</v>
      </c>
      <c r="L1012" t="s">
        <v>162</v>
      </c>
      <c r="N1012" t="s">
        <v>305</v>
      </c>
      <c r="O1012" t="s">
        <v>545</v>
      </c>
      <c r="P1012">
        <v>2.3553672154961389E-2</v>
      </c>
      <c r="Q1012" t="s">
        <v>162</v>
      </c>
      <c r="S1012" t="s">
        <v>417</v>
      </c>
      <c r="T1012" t="s">
        <v>545</v>
      </c>
      <c r="U1012">
        <v>2.3269524548484605E-2</v>
      </c>
      <c r="V1012" t="s">
        <v>162</v>
      </c>
    </row>
    <row r="1013" spans="9:22" x14ac:dyDescent="0.45">
      <c r="I1013" t="s">
        <v>193</v>
      </c>
      <c r="J1013" t="s">
        <v>546</v>
      </c>
      <c r="K1013">
        <v>0</v>
      </c>
      <c r="L1013" t="s">
        <v>162</v>
      </c>
      <c r="N1013" t="s">
        <v>305</v>
      </c>
      <c r="O1013" t="s">
        <v>546</v>
      </c>
      <c r="P1013">
        <v>3.6689301233517796E-2</v>
      </c>
      <c r="Q1013" t="s">
        <v>162</v>
      </c>
      <c r="S1013" t="s">
        <v>417</v>
      </c>
      <c r="T1013" t="s">
        <v>546</v>
      </c>
      <c r="U1013">
        <v>3.385003516466583E-2</v>
      </c>
      <c r="V1013" t="s">
        <v>162</v>
      </c>
    </row>
    <row r="1014" spans="9:22" x14ac:dyDescent="0.45">
      <c r="I1014" t="s">
        <v>193</v>
      </c>
      <c r="J1014" t="s">
        <v>547</v>
      </c>
      <c r="K1014">
        <v>2.741738895937917E-8</v>
      </c>
      <c r="L1014" t="s">
        <v>162</v>
      </c>
      <c r="N1014" t="s">
        <v>305</v>
      </c>
      <c r="O1014" t="s">
        <v>547</v>
      </c>
      <c r="P1014">
        <v>3.9877666098171588E-3</v>
      </c>
      <c r="Q1014" t="s">
        <v>162</v>
      </c>
      <c r="S1014" t="s">
        <v>417</v>
      </c>
      <c r="T1014" t="s">
        <v>547</v>
      </c>
      <c r="U1014">
        <v>3.8010645432299322E-3</v>
      </c>
      <c r="V1014" t="s">
        <v>162</v>
      </c>
    </row>
    <row r="1015" spans="9:22" x14ac:dyDescent="0.45">
      <c r="I1015" t="s">
        <v>193</v>
      </c>
      <c r="J1015" t="s">
        <v>548</v>
      </c>
      <c r="K1015">
        <v>7.0799809238844564E-3</v>
      </c>
      <c r="L1015" t="s">
        <v>162</v>
      </c>
      <c r="N1015" t="s">
        <v>305</v>
      </c>
      <c r="O1015" t="s">
        <v>548</v>
      </c>
      <c r="P1015">
        <v>7.1370788698246253E-3</v>
      </c>
      <c r="Q1015" t="s">
        <v>162</v>
      </c>
      <c r="S1015" t="s">
        <v>417</v>
      </c>
      <c r="T1015" t="s">
        <v>548</v>
      </c>
      <c r="U1015">
        <v>7.6171518156481054E-3</v>
      </c>
      <c r="V1015" t="s">
        <v>162</v>
      </c>
    </row>
    <row r="1016" spans="9:22" x14ac:dyDescent="0.45">
      <c r="I1016" t="s">
        <v>193</v>
      </c>
      <c r="J1016" t="s">
        <v>549</v>
      </c>
      <c r="K1016">
        <v>1.1928077065264437E-2</v>
      </c>
      <c r="L1016" t="s">
        <v>162</v>
      </c>
      <c r="N1016" t="s">
        <v>305</v>
      </c>
      <c r="O1016" t="s">
        <v>549</v>
      </c>
      <c r="P1016">
        <v>1.5499465282024555E-2</v>
      </c>
      <c r="Q1016" t="s">
        <v>162</v>
      </c>
      <c r="S1016" t="s">
        <v>417</v>
      </c>
      <c r="T1016" t="s">
        <v>549</v>
      </c>
      <c r="U1016">
        <v>1.9530546115171066E-2</v>
      </c>
      <c r="V1016" t="s">
        <v>162</v>
      </c>
    </row>
    <row r="1017" spans="9:22" x14ac:dyDescent="0.45">
      <c r="I1017" t="s">
        <v>193</v>
      </c>
      <c r="J1017" t="s">
        <v>550</v>
      </c>
      <c r="K1017">
        <v>0</v>
      </c>
      <c r="L1017" t="s">
        <v>162</v>
      </c>
      <c r="N1017" t="s">
        <v>305</v>
      </c>
      <c r="O1017" t="s">
        <v>550</v>
      </c>
      <c r="P1017">
        <v>3.7486656739806898E-3</v>
      </c>
      <c r="Q1017" t="s">
        <v>162</v>
      </c>
      <c r="S1017" t="s">
        <v>417</v>
      </c>
      <c r="T1017" t="s">
        <v>550</v>
      </c>
      <c r="U1017">
        <v>3.8605445014841451E-3</v>
      </c>
      <c r="V1017" t="s">
        <v>162</v>
      </c>
    </row>
    <row r="1018" spans="9:22" x14ac:dyDescent="0.45">
      <c r="I1018" t="s">
        <v>193</v>
      </c>
      <c r="J1018" t="s">
        <v>551</v>
      </c>
      <c r="K1018">
        <v>0</v>
      </c>
      <c r="L1018" t="s">
        <v>162</v>
      </c>
      <c r="N1018" t="s">
        <v>305</v>
      </c>
      <c r="O1018" t="s">
        <v>551</v>
      </c>
      <c r="P1018">
        <v>2.4476869057680491E-2</v>
      </c>
      <c r="Q1018" t="s">
        <v>162</v>
      </c>
      <c r="S1018" t="s">
        <v>417</v>
      </c>
      <c r="T1018" t="s">
        <v>551</v>
      </c>
      <c r="U1018">
        <v>2.2839263035295189E-2</v>
      </c>
      <c r="V1018" t="s">
        <v>162</v>
      </c>
    </row>
    <row r="1019" spans="9:22" x14ac:dyDescent="0.45">
      <c r="I1019" t="s">
        <v>194</v>
      </c>
      <c r="J1019" t="s">
        <v>161</v>
      </c>
      <c r="K1019">
        <v>0</v>
      </c>
      <c r="L1019" t="s">
        <v>162</v>
      </c>
      <c r="N1019" t="s">
        <v>306</v>
      </c>
      <c r="O1019" t="s">
        <v>161</v>
      </c>
      <c r="P1019">
        <v>3.2880261831263274E-2</v>
      </c>
      <c r="Q1019" t="s">
        <v>162</v>
      </c>
      <c r="S1019" t="s">
        <v>418</v>
      </c>
      <c r="T1019" t="s">
        <v>161</v>
      </c>
      <c r="U1019">
        <v>2.6565165912840173E-2</v>
      </c>
      <c r="V1019" t="s">
        <v>162</v>
      </c>
    </row>
    <row r="1020" spans="9:22" x14ac:dyDescent="0.45">
      <c r="I1020" t="s">
        <v>194</v>
      </c>
      <c r="J1020" t="s">
        <v>163</v>
      </c>
      <c r="K1020">
        <v>2.6849265277193221E-4</v>
      </c>
      <c r="L1020" t="s">
        <v>162</v>
      </c>
      <c r="N1020" t="s">
        <v>306</v>
      </c>
      <c r="O1020" t="s">
        <v>163</v>
      </c>
      <c r="P1020">
        <v>3.3924002550048795E-3</v>
      </c>
      <c r="Q1020" t="s">
        <v>162</v>
      </c>
      <c r="S1020" t="s">
        <v>418</v>
      </c>
      <c r="T1020" t="s">
        <v>163</v>
      </c>
      <c r="U1020">
        <v>3.0954306170880509E-3</v>
      </c>
      <c r="V1020" t="s">
        <v>162</v>
      </c>
    </row>
    <row r="1021" spans="9:22" x14ac:dyDescent="0.45">
      <c r="I1021" t="s">
        <v>194</v>
      </c>
      <c r="J1021" t="s">
        <v>164</v>
      </c>
      <c r="K1021">
        <v>8.2824557481686045E-3</v>
      </c>
      <c r="L1021" t="s">
        <v>162</v>
      </c>
      <c r="N1021" t="s">
        <v>306</v>
      </c>
      <c r="O1021" t="s">
        <v>164</v>
      </c>
      <c r="P1021">
        <v>5.6434911174713821E-3</v>
      </c>
      <c r="Q1021" t="s">
        <v>162</v>
      </c>
      <c r="S1021" t="s">
        <v>418</v>
      </c>
      <c r="T1021" t="s">
        <v>164</v>
      </c>
      <c r="U1021">
        <v>6.4737063726108442E-3</v>
      </c>
      <c r="V1021" t="s">
        <v>162</v>
      </c>
    </row>
    <row r="1022" spans="9:22" x14ac:dyDescent="0.45">
      <c r="I1022" t="s">
        <v>194</v>
      </c>
      <c r="J1022" t="s">
        <v>519</v>
      </c>
      <c r="K1022">
        <v>1.9780025392846901E-2</v>
      </c>
      <c r="L1022" t="s">
        <v>162</v>
      </c>
      <c r="N1022" t="s">
        <v>306</v>
      </c>
      <c r="O1022" t="s">
        <v>519</v>
      </c>
      <c r="P1022">
        <v>1.2905746722389156E-2</v>
      </c>
      <c r="Q1022" t="s">
        <v>162</v>
      </c>
      <c r="S1022" t="s">
        <v>418</v>
      </c>
      <c r="T1022" t="s">
        <v>519</v>
      </c>
      <c r="U1022">
        <v>1.625107796720883E-2</v>
      </c>
      <c r="V1022" t="s">
        <v>162</v>
      </c>
    </row>
    <row r="1023" spans="9:22" x14ac:dyDescent="0.45">
      <c r="I1023" t="s">
        <v>194</v>
      </c>
      <c r="J1023" t="s">
        <v>520</v>
      </c>
      <c r="K1023">
        <v>0</v>
      </c>
      <c r="L1023" t="s">
        <v>162</v>
      </c>
      <c r="N1023" t="s">
        <v>306</v>
      </c>
      <c r="O1023" t="s">
        <v>520</v>
      </c>
      <c r="P1023">
        <v>3.5769334282075172E-3</v>
      </c>
      <c r="Q1023" t="s">
        <v>162</v>
      </c>
      <c r="S1023" t="s">
        <v>418</v>
      </c>
      <c r="T1023" t="s">
        <v>520</v>
      </c>
      <c r="U1023">
        <v>3.1894002417870515E-3</v>
      </c>
      <c r="V1023" t="s">
        <v>162</v>
      </c>
    </row>
    <row r="1024" spans="9:22" x14ac:dyDescent="0.45">
      <c r="I1024" t="s">
        <v>194</v>
      </c>
      <c r="J1024" t="s">
        <v>521</v>
      </c>
      <c r="K1024">
        <v>0</v>
      </c>
      <c r="L1024" t="s">
        <v>162</v>
      </c>
      <c r="N1024" t="s">
        <v>306</v>
      </c>
      <c r="O1024" t="s">
        <v>521</v>
      </c>
      <c r="P1024">
        <v>2.3560915472798878E-2</v>
      </c>
      <c r="Q1024" t="s">
        <v>162</v>
      </c>
      <c r="S1024" t="s">
        <v>418</v>
      </c>
      <c r="T1024" t="s">
        <v>521</v>
      </c>
      <c r="U1024">
        <v>1.9735385373566963E-2</v>
      </c>
      <c r="V1024" t="s">
        <v>162</v>
      </c>
    </row>
    <row r="1025" spans="9:22" x14ac:dyDescent="0.45">
      <c r="I1025" t="s">
        <v>194</v>
      </c>
      <c r="J1025" t="s">
        <v>165</v>
      </c>
      <c r="K1025">
        <v>1.0340950790380971E-2</v>
      </c>
      <c r="L1025" t="s">
        <v>162</v>
      </c>
      <c r="N1025" t="s">
        <v>306</v>
      </c>
      <c r="O1025" t="s">
        <v>165</v>
      </c>
      <c r="P1025">
        <v>5.8900989139410692E-2</v>
      </c>
      <c r="Q1025" t="s">
        <v>162</v>
      </c>
      <c r="S1025" t="s">
        <v>418</v>
      </c>
      <c r="T1025" t="s">
        <v>165</v>
      </c>
      <c r="U1025">
        <v>6.151884026775796E-2</v>
      </c>
      <c r="V1025" t="s">
        <v>162</v>
      </c>
    </row>
    <row r="1026" spans="9:22" x14ac:dyDescent="0.45">
      <c r="I1026" t="s">
        <v>194</v>
      </c>
      <c r="J1026" t="s">
        <v>166</v>
      </c>
      <c r="K1026">
        <v>1.4539125744460549E-2</v>
      </c>
      <c r="L1026" t="s">
        <v>162</v>
      </c>
      <c r="N1026" t="s">
        <v>306</v>
      </c>
      <c r="O1026" t="s">
        <v>166</v>
      </c>
      <c r="P1026">
        <v>5.6170454648192406E-3</v>
      </c>
      <c r="Q1026" t="s">
        <v>162</v>
      </c>
      <c r="S1026" t="s">
        <v>418</v>
      </c>
      <c r="T1026" t="s">
        <v>166</v>
      </c>
      <c r="U1026">
        <v>6.7162327828994275E-3</v>
      </c>
      <c r="V1026" t="s">
        <v>162</v>
      </c>
    </row>
    <row r="1027" spans="9:22" x14ac:dyDescent="0.45">
      <c r="I1027" t="s">
        <v>194</v>
      </c>
      <c r="J1027" t="s">
        <v>167</v>
      </c>
      <c r="K1027">
        <v>4.0758269419751074E-2</v>
      </c>
      <c r="L1027" t="s">
        <v>162</v>
      </c>
      <c r="N1027" t="s">
        <v>306</v>
      </c>
      <c r="O1027" t="s">
        <v>167</v>
      </c>
      <c r="P1027">
        <v>9.0164210863058168E-3</v>
      </c>
      <c r="Q1027" t="s">
        <v>162</v>
      </c>
      <c r="S1027" t="s">
        <v>418</v>
      </c>
      <c r="T1027" t="s">
        <v>167</v>
      </c>
      <c r="U1027">
        <v>1.2958624774796678E-2</v>
      </c>
      <c r="V1027" t="s">
        <v>162</v>
      </c>
    </row>
    <row r="1028" spans="9:22" x14ac:dyDescent="0.45">
      <c r="I1028" t="s">
        <v>194</v>
      </c>
      <c r="J1028" t="s">
        <v>522</v>
      </c>
      <c r="K1028">
        <v>9.6098429058046553E-2</v>
      </c>
      <c r="L1028" t="s">
        <v>162</v>
      </c>
      <c r="N1028" t="s">
        <v>306</v>
      </c>
      <c r="O1028" t="s">
        <v>522</v>
      </c>
      <c r="P1028">
        <v>2.2414700143229469E-2</v>
      </c>
      <c r="Q1028" t="s">
        <v>162</v>
      </c>
      <c r="S1028" t="s">
        <v>418</v>
      </c>
      <c r="T1028" t="s">
        <v>522</v>
      </c>
      <c r="U1028">
        <v>3.1487374220802625E-2</v>
      </c>
      <c r="V1028" t="s">
        <v>162</v>
      </c>
    </row>
    <row r="1029" spans="9:22" x14ac:dyDescent="0.45">
      <c r="I1029" t="s">
        <v>194</v>
      </c>
      <c r="J1029" t="s">
        <v>523</v>
      </c>
      <c r="K1029">
        <v>8.8688924600981173E-3</v>
      </c>
      <c r="L1029" t="s">
        <v>162</v>
      </c>
      <c r="N1029" t="s">
        <v>306</v>
      </c>
      <c r="O1029" t="s">
        <v>523</v>
      </c>
      <c r="P1029">
        <v>5.7048863855483434E-3</v>
      </c>
      <c r="Q1029" t="s">
        <v>162</v>
      </c>
      <c r="S1029" t="s">
        <v>418</v>
      </c>
      <c r="T1029" t="s">
        <v>523</v>
      </c>
      <c r="U1029">
        <v>6.3149183638987567E-3</v>
      </c>
      <c r="V1029" t="s">
        <v>162</v>
      </c>
    </row>
    <row r="1030" spans="9:22" x14ac:dyDescent="0.45">
      <c r="I1030" t="s">
        <v>194</v>
      </c>
      <c r="J1030" t="s">
        <v>524</v>
      </c>
      <c r="K1030">
        <v>3.3226968751955801E-3</v>
      </c>
      <c r="L1030" t="s">
        <v>162</v>
      </c>
      <c r="N1030" t="s">
        <v>306</v>
      </c>
      <c r="O1030" t="s">
        <v>524</v>
      </c>
      <c r="P1030">
        <v>4.2308277323591159E-2</v>
      </c>
      <c r="Q1030" t="s">
        <v>162</v>
      </c>
      <c r="S1030" t="s">
        <v>418</v>
      </c>
      <c r="T1030" t="s">
        <v>524</v>
      </c>
      <c r="U1030">
        <v>4.0554300258687864E-2</v>
      </c>
      <c r="V1030" t="s">
        <v>162</v>
      </c>
    </row>
    <row r="1031" spans="9:22" x14ac:dyDescent="0.45">
      <c r="I1031" t="s">
        <v>194</v>
      </c>
      <c r="J1031" t="s">
        <v>168</v>
      </c>
      <c r="K1031">
        <v>2.0634563083939166E-2</v>
      </c>
      <c r="L1031" t="s">
        <v>162</v>
      </c>
      <c r="N1031" t="s">
        <v>306</v>
      </c>
      <c r="O1031" t="s">
        <v>168</v>
      </c>
      <c r="P1031">
        <v>3.6645176042967617E-2</v>
      </c>
      <c r="Q1031" t="s">
        <v>162</v>
      </c>
      <c r="S1031" t="s">
        <v>418</v>
      </c>
      <c r="T1031" t="s">
        <v>168</v>
      </c>
      <c r="U1031">
        <v>2.9686163291987196E-2</v>
      </c>
      <c r="V1031" t="s">
        <v>162</v>
      </c>
    </row>
    <row r="1032" spans="9:22" x14ac:dyDescent="0.45">
      <c r="I1032" t="s">
        <v>194</v>
      </c>
      <c r="J1032" t="s">
        <v>169</v>
      </c>
      <c r="K1032">
        <v>1.2364295783595939E-2</v>
      </c>
      <c r="L1032" t="s">
        <v>162</v>
      </c>
      <c r="N1032" t="s">
        <v>306</v>
      </c>
      <c r="O1032" t="s">
        <v>169</v>
      </c>
      <c r="P1032">
        <v>3.0787923230344836E-3</v>
      </c>
      <c r="Q1032" t="s">
        <v>162</v>
      </c>
      <c r="S1032" t="s">
        <v>418</v>
      </c>
      <c r="T1032" t="s">
        <v>169</v>
      </c>
      <c r="U1032">
        <v>3.3817731856073119E-3</v>
      </c>
      <c r="V1032" t="s">
        <v>162</v>
      </c>
    </row>
    <row r="1033" spans="9:22" x14ac:dyDescent="0.45">
      <c r="I1033" t="s">
        <v>194</v>
      </c>
      <c r="J1033" t="s">
        <v>170</v>
      </c>
      <c r="K1033">
        <v>2.8087533942205877E-2</v>
      </c>
      <c r="L1033" t="s">
        <v>162</v>
      </c>
      <c r="N1033" t="s">
        <v>306</v>
      </c>
      <c r="O1033" t="s">
        <v>170</v>
      </c>
      <c r="P1033">
        <v>6.4911522592287323E-3</v>
      </c>
      <c r="Q1033" t="s">
        <v>162</v>
      </c>
      <c r="S1033" t="s">
        <v>418</v>
      </c>
      <c r="T1033" t="s">
        <v>170</v>
      </c>
      <c r="U1033">
        <v>7.0594350405403031E-3</v>
      </c>
      <c r="V1033" t="s">
        <v>162</v>
      </c>
    </row>
    <row r="1034" spans="9:22" x14ac:dyDescent="0.45">
      <c r="I1034" t="s">
        <v>194</v>
      </c>
      <c r="J1034" t="s">
        <v>525</v>
      </c>
      <c r="K1034">
        <v>6.4596523124643465E-2</v>
      </c>
      <c r="L1034" t="s">
        <v>162</v>
      </c>
      <c r="N1034" t="s">
        <v>306</v>
      </c>
      <c r="O1034" t="s">
        <v>525</v>
      </c>
      <c r="P1034">
        <v>1.7889764567114292E-2</v>
      </c>
      <c r="Q1034" t="s">
        <v>162</v>
      </c>
      <c r="S1034" t="s">
        <v>418</v>
      </c>
      <c r="T1034" t="s">
        <v>525</v>
      </c>
      <c r="U1034">
        <v>1.8887677380313009E-2</v>
      </c>
      <c r="V1034" t="s">
        <v>162</v>
      </c>
    </row>
    <row r="1035" spans="9:22" x14ac:dyDescent="0.45">
      <c r="I1035" t="s">
        <v>194</v>
      </c>
      <c r="J1035" t="s">
        <v>526</v>
      </c>
      <c r="K1035">
        <v>8.7686561483292097E-3</v>
      </c>
      <c r="L1035" t="s">
        <v>162</v>
      </c>
      <c r="N1035" t="s">
        <v>306</v>
      </c>
      <c r="O1035" t="s">
        <v>526</v>
      </c>
      <c r="P1035">
        <v>3.3194638026547681E-3</v>
      </c>
      <c r="Q1035" t="s">
        <v>162</v>
      </c>
      <c r="S1035" t="s">
        <v>418</v>
      </c>
      <c r="T1035" t="s">
        <v>526</v>
      </c>
      <c r="U1035">
        <v>3.8034361225262555E-3</v>
      </c>
      <c r="V1035" t="s">
        <v>162</v>
      </c>
    </row>
    <row r="1036" spans="9:22" x14ac:dyDescent="0.45">
      <c r="I1036" t="s">
        <v>194</v>
      </c>
      <c r="J1036" t="s">
        <v>527</v>
      </c>
      <c r="K1036">
        <v>9.0285189692142775E-3</v>
      </c>
      <c r="L1036" t="s">
        <v>162</v>
      </c>
      <c r="N1036" t="s">
        <v>306</v>
      </c>
      <c r="O1036" t="s">
        <v>527</v>
      </c>
      <c r="P1036">
        <v>2.3471706879763285E-2</v>
      </c>
      <c r="Q1036" t="s">
        <v>162</v>
      </c>
      <c r="S1036" t="s">
        <v>418</v>
      </c>
      <c r="T1036" t="s">
        <v>527</v>
      </c>
      <c r="U1036">
        <v>2.2206195790636204E-2</v>
      </c>
      <c r="V1036" t="s">
        <v>162</v>
      </c>
    </row>
    <row r="1037" spans="9:22" x14ac:dyDescent="0.45">
      <c r="I1037" t="s">
        <v>194</v>
      </c>
      <c r="J1037" t="s">
        <v>528</v>
      </c>
      <c r="K1037">
        <v>7.7924124023545954E-2</v>
      </c>
      <c r="L1037" t="s">
        <v>162</v>
      </c>
      <c r="N1037" t="s">
        <v>306</v>
      </c>
      <c r="O1037" t="s">
        <v>528</v>
      </c>
      <c r="P1037">
        <v>8.7901104154794116E-2</v>
      </c>
      <c r="Q1037" t="s">
        <v>162</v>
      </c>
      <c r="S1037" t="s">
        <v>418</v>
      </c>
      <c r="T1037" t="s">
        <v>528</v>
      </c>
      <c r="U1037">
        <v>8.5023550875094736E-2</v>
      </c>
      <c r="V1037" t="s">
        <v>162</v>
      </c>
    </row>
    <row r="1038" spans="9:22" x14ac:dyDescent="0.45">
      <c r="I1038" t="s">
        <v>194</v>
      </c>
      <c r="J1038" t="s">
        <v>529</v>
      </c>
      <c r="K1038">
        <v>3.2364395119486605E-2</v>
      </c>
      <c r="L1038" t="s">
        <v>162</v>
      </c>
      <c r="N1038" t="s">
        <v>306</v>
      </c>
      <c r="O1038" t="s">
        <v>529</v>
      </c>
      <c r="P1038">
        <v>7.6235194262021444E-3</v>
      </c>
      <c r="Q1038" t="s">
        <v>162</v>
      </c>
      <c r="S1038" t="s">
        <v>418</v>
      </c>
      <c r="T1038" t="s">
        <v>529</v>
      </c>
      <c r="U1038">
        <v>9.3272647044281582E-3</v>
      </c>
      <c r="V1038" t="s">
        <v>162</v>
      </c>
    </row>
    <row r="1039" spans="9:22" x14ac:dyDescent="0.45">
      <c r="I1039" t="s">
        <v>194</v>
      </c>
      <c r="J1039" t="s">
        <v>530</v>
      </c>
      <c r="K1039">
        <v>6.9739826602856034E-2</v>
      </c>
      <c r="L1039" t="s">
        <v>162</v>
      </c>
      <c r="N1039" t="s">
        <v>306</v>
      </c>
      <c r="O1039" t="s">
        <v>530</v>
      </c>
      <c r="P1039">
        <v>1.6905853490720889E-2</v>
      </c>
      <c r="Q1039" t="s">
        <v>162</v>
      </c>
      <c r="S1039" t="s">
        <v>418</v>
      </c>
      <c r="T1039" t="s">
        <v>530</v>
      </c>
      <c r="U1039">
        <v>1.8844242730281086E-2</v>
      </c>
      <c r="V1039" t="s">
        <v>162</v>
      </c>
    </row>
    <row r="1040" spans="9:22" x14ac:dyDescent="0.45">
      <c r="I1040" t="s">
        <v>194</v>
      </c>
      <c r="J1040" t="s">
        <v>531</v>
      </c>
      <c r="K1040">
        <v>0.16606552222858845</v>
      </c>
      <c r="L1040" t="s">
        <v>162</v>
      </c>
      <c r="N1040" t="s">
        <v>306</v>
      </c>
      <c r="O1040" t="s">
        <v>531</v>
      </c>
      <c r="P1040">
        <v>4.6297129800643842E-2</v>
      </c>
      <c r="Q1040" t="s">
        <v>162</v>
      </c>
      <c r="S1040" t="s">
        <v>418</v>
      </c>
      <c r="T1040" t="s">
        <v>531</v>
      </c>
      <c r="U1040">
        <v>4.79181233947946E-2</v>
      </c>
      <c r="V1040" t="s">
        <v>162</v>
      </c>
    </row>
    <row r="1041" spans="9:22" x14ac:dyDescent="0.45">
      <c r="I1041" t="s">
        <v>194</v>
      </c>
      <c r="J1041" t="s">
        <v>532</v>
      </c>
      <c r="K1041">
        <v>2.4925809391314904E-2</v>
      </c>
      <c r="L1041" t="s">
        <v>162</v>
      </c>
      <c r="N1041" t="s">
        <v>306</v>
      </c>
      <c r="O1041" t="s">
        <v>532</v>
      </c>
      <c r="P1041">
        <v>8.7814250574911722E-3</v>
      </c>
      <c r="Q1041" t="s">
        <v>162</v>
      </c>
      <c r="S1041" t="s">
        <v>418</v>
      </c>
      <c r="T1041" t="s">
        <v>532</v>
      </c>
      <c r="U1041">
        <v>8.9866383554156846E-3</v>
      </c>
      <c r="V1041" t="s">
        <v>162</v>
      </c>
    </row>
    <row r="1042" spans="9:22" x14ac:dyDescent="0.45">
      <c r="I1042" t="s">
        <v>194</v>
      </c>
      <c r="J1042" t="s">
        <v>533</v>
      </c>
      <c r="K1042">
        <v>4.6864338686814597E-2</v>
      </c>
      <c r="L1042" t="s">
        <v>162</v>
      </c>
      <c r="N1042" t="s">
        <v>306</v>
      </c>
      <c r="O1042" t="s">
        <v>533</v>
      </c>
      <c r="P1042">
        <v>6.0927569507433305E-2</v>
      </c>
      <c r="Q1042" t="s">
        <v>162</v>
      </c>
      <c r="S1042" t="s">
        <v>418</v>
      </c>
      <c r="T1042" t="s">
        <v>533</v>
      </c>
      <c r="U1042">
        <v>5.1699052900194289E-2</v>
      </c>
      <c r="V1042" t="s">
        <v>162</v>
      </c>
    </row>
    <row r="1043" spans="9:22" x14ac:dyDescent="0.45">
      <c r="I1043" t="s">
        <v>194</v>
      </c>
      <c r="J1043" t="s">
        <v>534</v>
      </c>
      <c r="K1043">
        <v>2.8136671583539261E-2</v>
      </c>
      <c r="L1043" t="s">
        <v>162</v>
      </c>
      <c r="N1043" t="s">
        <v>306</v>
      </c>
      <c r="O1043" t="s">
        <v>534</v>
      </c>
      <c r="P1043">
        <v>0.10430266852151611</v>
      </c>
      <c r="Q1043" t="s">
        <v>162</v>
      </c>
      <c r="S1043" t="s">
        <v>418</v>
      </c>
      <c r="T1043" t="s">
        <v>534</v>
      </c>
      <c r="U1043">
        <v>0.10661694784183895</v>
      </c>
      <c r="V1043" t="s">
        <v>162</v>
      </c>
    </row>
    <row r="1044" spans="9:22" x14ac:dyDescent="0.45">
      <c r="I1044" t="s">
        <v>194</v>
      </c>
      <c r="J1044" t="s">
        <v>535</v>
      </c>
      <c r="K1044">
        <v>1.7645734530764765E-2</v>
      </c>
      <c r="L1044" t="s">
        <v>162</v>
      </c>
      <c r="N1044" t="s">
        <v>306</v>
      </c>
      <c r="O1044" t="s">
        <v>535</v>
      </c>
      <c r="P1044">
        <v>8.4540486972666442E-3</v>
      </c>
      <c r="Q1044" t="s">
        <v>162</v>
      </c>
      <c r="S1044" t="s">
        <v>418</v>
      </c>
      <c r="T1044" t="s">
        <v>535</v>
      </c>
      <c r="U1044">
        <v>1.1370478520120937E-2</v>
      </c>
      <c r="V1044" t="s">
        <v>162</v>
      </c>
    </row>
    <row r="1045" spans="9:22" x14ac:dyDescent="0.45">
      <c r="I1045" t="s">
        <v>194</v>
      </c>
      <c r="J1045" t="s">
        <v>536</v>
      </c>
      <c r="K1045">
        <v>3.9414965911307318E-2</v>
      </c>
      <c r="L1045" t="s">
        <v>162</v>
      </c>
      <c r="N1045" t="s">
        <v>306</v>
      </c>
      <c r="O1045" t="s">
        <v>536</v>
      </c>
      <c r="P1045">
        <v>1.6686723299881065E-2</v>
      </c>
      <c r="Q1045" t="s">
        <v>162</v>
      </c>
      <c r="S1045" t="s">
        <v>418</v>
      </c>
      <c r="T1045" t="s">
        <v>536</v>
      </c>
      <c r="U1045">
        <v>2.2713015172735405E-2</v>
      </c>
      <c r="V1045" t="s">
        <v>162</v>
      </c>
    </row>
    <row r="1046" spans="9:22" x14ac:dyDescent="0.45">
      <c r="I1046" t="s">
        <v>194</v>
      </c>
      <c r="J1046" t="s">
        <v>537</v>
      </c>
      <c r="K1046">
        <v>8.381420425768514E-2</v>
      </c>
      <c r="L1046" t="s">
        <v>162</v>
      </c>
      <c r="N1046" t="s">
        <v>306</v>
      </c>
      <c r="O1046" t="s">
        <v>537</v>
      </c>
      <c r="P1046">
        <v>4.8855584935461951E-2</v>
      </c>
      <c r="Q1046" t="s">
        <v>162</v>
      </c>
      <c r="S1046" t="s">
        <v>418</v>
      </c>
      <c r="T1046" t="s">
        <v>537</v>
      </c>
      <c r="U1046">
        <v>6.0613429912944099E-2</v>
      </c>
      <c r="V1046" t="s">
        <v>162</v>
      </c>
    </row>
    <row r="1047" spans="9:22" x14ac:dyDescent="0.45">
      <c r="I1047" t="s">
        <v>194</v>
      </c>
      <c r="J1047" t="s">
        <v>538</v>
      </c>
      <c r="K1047">
        <v>9.7309339403073448E-3</v>
      </c>
      <c r="L1047" t="s">
        <v>162</v>
      </c>
      <c r="N1047" t="s">
        <v>306</v>
      </c>
      <c r="O1047" t="s">
        <v>538</v>
      </c>
      <c r="P1047">
        <v>9.8789599911563771E-3</v>
      </c>
      <c r="Q1047" t="s">
        <v>162</v>
      </c>
      <c r="S1047" t="s">
        <v>418</v>
      </c>
      <c r="T1047" t="s">
        <v>538</v>
      </c>
      <c r="U1047">
        <v>1.254650364291352E-2</v>
      </c>
      <c r="V1047" t="s">
        <v>162</v>
      </c>
    </row>
    <row r="1048" spans="9:22" x14ac:dyDescent="0.45">
      <c r="I1048" t="s">
        <v>194</v>
      </c>
      <c r="J1048" t="s">
        <v>539</v>
      </c>
      <c r="K1048">
        <v>1.1138002645756449E-2</v>
      </c>
      <c r="L1048" t="s">
        <v>162</v>
      </c>
      <c r="N1048" t="s">
        <v>306</v>
      </c>
      <c r="O1048" t="s">
        <v>539</v>
      </c>
      <c r="P1048">
        <v>7.1522994396432588E-2</v>
      </c>
      <c r="Q1048" t="s">
        <v>162</v>
      </c>
      <c r="S1048" t="s">
        <v>418</v>
      </c>
      <c r="T1048" t="s">
        <v>539</v>
      </c>
      <c r="U1048">
        <v>7.324846438092053E-2</v>
      </c>
      <c r="V1048" t="s">
        <v>162</v>
      </c>
    </row>
    <row r="1049" spans="9:22" x14ac:dyDescent="0.45">
      <c r="I1049" t="s">
        <v>194</v>
      </c>
      <c r="J1049" t="s">
        <v>540</v>
      </c>
      <c r="K1049">
        <v>1.1045103390378659E-7</v>
      </c>
      <c r="L1049" t="s">
        <v>162</v>
      </c>
      <c r="N1049" t="s">
        <v>306</v>
      </c>
      <c r="O1049" t="s">
        <v>540</v>
      </c>
      <c r="P1049">
        <v>3.6836604360292485E-2</v>
      </c>
      <c r="Q1049" t="s">
        <v>162</v>
      </c>
      <c r="S1049" t="s">
        <v>418</v>
      </c>
      <c r="T1049" t="s">
        <v>540</v>
      </c>
      <c r="U1049">
        <v>3.683916681901301E-2</v>
      </c>
      <c r="V1049" t="s">
        <v>162</v>
      </c>
    </row>
    <row r="1050" spans="9:22" x14ac:dyDescent="0.45">
      <c r="I1050" t="s">
        <v>194</v>
      </c>
      <c r="J1050" t="s">
        <v>541</v>
      </c>
      <c r="K1050">
        <v>1.6611940391002508E-3</v>
      </c>
      <c r="L1050" t="s">
        <v>162</v>
      </c>
      <c r="N1050" t="s">
        <v>306</v>
      </c>
      <c r="O1050" t="s">
        <v>541</v>
      </c>
      <c r="P1050">
        <v>4.1511771720297132E-3</v>
      </c>
      <c r="Q1050" t="s">
        <v>162</v>
      </c>
      <c r="S1050" t="s">
        <v>418</v>
      </c>
      <c r="T1050" t="s">
        <v>541</v>
      </c>
      <c r="U1050">
        <v>4.1922258539696961E-3</v>
      </c>
      <c r="V1050" t="s">
        <v>162</v>
      </c>
    </row>
    <row r="1051" spans="9:22" x14ac:dyDescent="0.45">
      <c r="I1051" t="s">
        <v>194</v>
      </c>
      <c r="J1051" t="s">
        <v>542</v>
      </c>
      <c r="K1051">
        <v>9.3047484918656349E-3</v>
      </c>
      <c r="L1051" t="s">
        <v>162</v>
      </c>
      <c r="N1051" t="s">
        <v>306</v>
      </c>
      <c r="O1051" t="s">
        <v>542</v>
      </c>
      <c r="P1051">
        <v>7.5510244553079328E-3</v>
      </c>
      <c r="Q1051" t="s">
        <v>162</v>
      </c>
      <c r="S1051" t="s">
        <v>418</v>
      </c>
      <c r="T1051" t="s">
        <v>542</v>
      </c>
      <c r="U1051">
        <v>8.4594985089889111E-3</v>
      </c>
      <c r="V1051" t="s">
        <v>162</v>
      </c>
    </row>
    <row r="1052" spans="9:22" x14ac:dyDescent="0.45">
      <c r="I1052" t="s">
        <v>194</v>
      </c>
      <c r="J1052" t="s">
        <v>543</v>
      </c>
      <c r="K1052">
        <v>1.7614135913848264E-2</v>
      </c>
      <c r="L1052" t="s">
        <v>162</v>
      </c>
      <c r="N1052" t="s">
        <v>306</v>
      </c>
      <c r="O1052" t="s">
        <v>543</v>
      </c>
      <c r="P1052">
        <v>1.9342041788788334E-2</v>
      </c>
      <c r="Q1052" t="s">
        <v>162</v>
      </c>
      <c r="S1052" t="s">
        <v>418</v>
      </c>
      <c r="T1052" t="s">
        <v>543</v>
      </c>
      <c r="U1052">
        <v>2.1555558728391881E-2</v>
      </c>
      <c r="V1052" t="s">
        <v>162</v>
      </c>
    </row>
    <row r="1053" spans="9:22" x14ac:dyDescent="0.45">
      <c r="I1053" t="s">
        <v>194</v>
      </c>
      <c r="J1053" t="s">
        <v>544</v>
      </c>
      <c r="K1053">
        <v>0</v>
      </c>
      <c r="L1053" t="s">
        <v>162</v>
      </c>
      <c r="N1053" t="s">
        <v>306</v>
      </c>
      <c r="O1053" t="s">
        <v>544</v>
      </c>
      <c r="P1053">
        <v>4.8485266617254259E-3</v>
      </c>
      <c r="Q1053" t="s">
        <v>162</v>
      </c>
      <c r="S1053" t="s">
        <v>418</v>
      </c>
      <c r="T1053" t="s">
        <v>544</v>
      </c>
      <c r="U1053">
        <v>4.2185791766857026E-3</v>
      </c>
      <c r="V1053" t="s">
        <v>162</v>
      </c>
    </row>
    <row r="1054" spans="9:22" x14ac:dyDescent="0.45">
      <c r="I1054" t="s">
        <v>194</v>
      </c>
      <c r="J1054" t="s">
        <v>545</v>
      </c>
      <c r="K1054">
        <v>0</v>
      </c>
      <c r="L1054" t="s">
        <v>162</v>
      </c>
      <c r="N1054" t="s">
        <v>306</v>
      </c>
      <c r="O1054" t="s">
        <v>545</v>
      </c>
      <c r="P1054">
        <v>2.7002264680726942E-2</v>
      </c>
      <c r="Q1054" t="s">
        <v>162</v>
      </c>
      <c r="S1054" t="s">
        <v>418</v>
      </c>
      <c r="T1054" t="s">
        <v>545</v>
      </c>
      <c r="U1054">
        <v>2.3664871365726002E-2</v>
      </c>
      <c r="V1054" t="s">
        <v>162</v>
      </c>
    </row>
    <row r="1055" spans="9:22" x14ac:dyDescent="0.45">
      <c r="I1055" t="s">
        <v>194</v>
      </c>
      <c r="J1055" t="s">
        <v>546</v>
      </c>
      <c r="K1055">
        <v>0</v>
      </c>
      <c r="L1055" t="s">
        <v>162</v>
      </c>
      <c r="N1055" t="s">
        <v>306</v>
      </c>
      <c r="O1055" t="s">
        <v>546</v>
      </c>
      <c r="P1055">
        <v>3.7213866157892385E-2</v>
      </c>
      <c r="Q1055" t="s">
        <v>162</v>
      </c>
      <c r="S1055" t="s">
        <v>418</v>
      </c>
      <c r="T1055" t="s">
        <v>546</v>
      </c>
      <c r="U1055">
        <v>2.6860125008659749E-2</v>
      </c>
      <c r="V1055" t="s">
        <v>162</v>
      </c>
    </row>
    <row r="1056" spans="9:22" x14ac:dyDescent="0.45">
      <c r="I1056" t="s">
        <v>194</v>
      </c>
      <c r="J1056" t="s">
        <v>547</v>
      </c>
      <c r="K1056">
        <v>0</v>
      </c>
      <c r="L1056" t="s">
        <v>162</v>
      </c>
      <c r="N1056" t="s">
        <v>306</v>
      </c>
      <c r="O1056" t="s">
        <v>547</v>
      </c>
      <c r="P1056">
        <v>4.1675879959578591E-3</v>
      </c>
      <c r="Q1056" t="s">
        <v>162</v>
      </c>
      <c r="S1056" t="s">
        <v>418</v>
      </c>
      <c r="T1056" t="s">
        <v>547</v>
      </c>
      <c r="U1056">
        <v>2.8142859919899829E-3</v>
      </c>
      <c r="V1056" t="s">
        <v>162</v>
      </c>
    </row>
    <row r="1057" spans="9:22" x14ac:dyDescent="0.45">
      <c r="I1057" t="s">
        <v>194</v>
      </c>
      <c r="J1057" t="s">
        <v>548</v>
      </c>
      <c r="K1057">
        <v>5.66627906153959E-3</v>
      </c>
      <c r="L1057" t="s">
        <v>162</v>
      </c>
      <c r="N1057" t="s">
        <v>306</v>
      </c>
      <c r="O1057" t="s">
        <v>548</v>
      </c>
      <c r="P1057">
        <v>7.5407948376081608E-3</v>
      </c>
      <c r="Q1057" t="s">
        <v>162</v>
      </c>
      <c r="S1057" t="s">
        <v>418</v>
      </c>
      <c r="T1057" t="s">
        <v>548</v>
      </c>
      <c r="U1057">
        <v>5.7116529438521598E-3</v>
      </c>
      <c r="V1057" t="s">
        <v>162</v>
      </c>
    </row>
    <row r="1058" spans="9:22" x14ac:dyDescent="0.45">
      <c r="I1058" t="s">
        <v>194</v>
      </c>
      <c r="J1058" t="s">
        <v>549</v>
      </c>
      <c r="K1058">
        <v>1.2249573927000648E-2</v>
      </c>
      <c r="L1058" t="s">
        <v>162</v>
      </c>
      <c r="N1058" t="s">
        <v>306</v>
      </c>
      <c r="O1058" t="s">
        <v>549</v>
      </c>
      <c r="P1058">
        <v>1.7713370256575187E-2</v>
      </c>
      <c r="Q1058" t="s">
        <v>162</v>
      </c>
      <c r="S1058" t="s">
        <v>418</v>
      </c>
      <c r="T1058" t="s">
        <v>549</v>
      </c>
      <c r="U1058">
        <v>1.4879079889986048E-2</v>
      </c>
      <c r="V1058" t="s">
        <v>162</v>
      </c>
    </row>
    <row r="1059" spans="9:22" x14ac:dyDescent="0.45">
      <c r="I1059" t="s">
        <v>194</v>
      </c>
      <c r="J1059" t="s">
        <v>550</v>
      </c>
      <c r="K1059">
        <v>0</v>
      </c>
      <c r="L1059" t="s">
        <v>162</v>
      </c>
      <c r="N1059" t="s">
        <v>306</v>
      </c>
      <c r="O1059" t="s">
        <v>550</v>
      </c>
      <c r="P1059">
        <v>4.279689262579987E-3</v>
      </c>
      <c r="Q1059" t="s">
        <v>162</v>
      </c>
      <c r="S1059" t="s">
        <v>418</v>
      </c>
      <c r="T1059" t="s">
        <v>550</v>
      </c>
      <c r="U1059">
        <v>3.0311733909585445E-3</v>
      </c>
      <c r="V1059" t="s">
        <v>162</v>
      </c>
    </row>
    <row r="1060" spans="9:22" x14ac:dyDescent="0.45">
      <c r="I1060" t="s">
        <v>194</v>
      </c>
      <c r="J1060" t="s">
        <v>551</v>
      </c>
      <c r="K1060">
        <v>0</v>
      </c>
      <c r="L1060" t="s">
        <v>162</v>
      </c>
      <c r="N1060" t="s">
        <v>306</v>
      </c>
      <c r="O1060" t="s">
        <v>551</v>
      </c>
      <c r="P1060">
        <v>2.4397346846710882E-2</v>
      </c>
      <c r="Q1060" t="s">
        <v>162</v>
      </c>
      <c r="S1060" t="s">
        <v>418</v>
      </c>
      <c r="T1060" t="s">
        <v>551</v>
      </c>
      <c r="U1060">
        <v>1.8980931924537901E-2</v>
      </c>
      <c r="V1060" t="s">
        <v>162</v>
      </c>
    </row>
    <row r="1061" spans="9:22" x14ac:dyDescent="0.45">
      <c r="I1061" t="s">
        <v>195</v>
      </c>
      <c r="J1061" t="s">
        <v>161</v>
      </c>
      <c r="K1061">
        <v>1.4518081280017575E-5</v>
      </c>
      <c r="L1061" t="s">
        <v>162</v>
      </c>
      <c r="N1061" t="s">
        <v>307</v>
      </c>
      <c r="O1061" t="s">
        <v>161</v>
      </c>
      <c r="P1061">
        <v>2.8859550931984633E-2</v>
      </c>
      <c r="Q1061" t="s">
        <v>162</v>
      </c>
      <c r="S1061" t="s">
        <v>419</v>
      </c>
      <c r="T1061" t="s">
        <v>161</v>
      </c>
      <c r="U1061">
        <v>3.2433037331746038E-2</v>
      </c>
      <c r="V1061" t="s">
        <v>162</v>
      </c>
    </row>
    <row r="1062" spans="9:22" x14ac:dyDescent="0.45">
      <c r="I1062" t="s">
        <v>195</v>
      </c>
      <c r="J1062" t="s">
        <v>163</v>
      </c>
      <c r="K1062">
        <v>2.2998051420379732E-3</v>
      </c>
      <c r="L1062" t="s">
        <v>162</v>
      </c>
      <c r="N1062" t="s">
        <v>307</v>
      </c>
      <c r="O1062" t="s">
        <v>163</v>
      </c>
      <c r="P1062">
        <v>2.8969518377081121E-3</v>
      </c>
      <c r="Q1062" t="s">
        <v>162</v>
      </c>
      <c r="S1062" t="s">
        <v>419</v>
      </c>
      <c r="T1062" t="s">
        <v>163</v>
      </c>
      <c r="U1062">
        <v>3.6580681419537066E-3</v>
      </c>
      <c r="V1062" t="s">
        <v>162</v>
      </c>
    </row>
    <row r="1063" spans="9:22" x14ac:dyDescent="0.45">
      <c r="I1063" t="s">
        <v>195</v>
      </c>
      <c r="J1063" t="s">
        <v>164</v>
      </c>
      <c r="K1063">
        <v>9.4312252236343468E-3</v>
      </c>
      <c r="L1063" t="s">
        <v>162</v>
      </c>
      <c r="N1063" t="s">
        <v>307</v>
      </c>
      <c r="O1063" t="s">
        <v>164</v>
      </c>
      <c r="P1063">
        <v>4.8681453008766066E-3</v>
      </c>
      <c r="Q1063" t="s">
        <v>162</v>
      </c>
      <c r="S1063" t="s">
        <v>419</v>
      </c>
      <c r="T1063" t="s">
        <v>164</v>
      </c>
      <c r="U1063">
        <v>7.5514111796446837E-3</v>
      </c>
      <c r="V1063" t="s">
        <v>162</v>
      </c>
    </row>
    <row r="1064" spans="9:22" x14ac:dyDescent="0.45">
      <c r="I1064" t="s">
        <v>195</v>
      </c>
      <c r="J1064" t="s">
        <v>519</v>
      </c>
      <c r="K1064">
        <v>1.4241403585230713E-2</v>
      </c>
      <c r="L1064" t="s">
        <v>162</v>
      </c>
      <c r="N1064" t="s">
        <v>307</v>
      </c>
      <c r="O1064" t="s">
        <v>519</v>
      </c>
      <c r="P1064">
        <v>1.1489938356163895E-2</v>
      </c>
      <c r="Q1064" t="s">
        <v>162</v>
      </c>
      <c r="S1064" t="s">
        <v>419</v>
      </c>
      <c r="T1064" t="s">
        <v>519</v>
      </c>
      <c r="U1064">
        <v>1.9462733226499655E-2</v>
      </c>
      <c r="V1064" t="s">
        <v>162</v>
      </c>
    </row>
    <row r="1065" spans="9:22" x14ac:dyDescent="0.45">
      <c r="I1065" t="s">
        <v>195</v>
      </c>
      <c r="J1065" t="s">
        <v>520</v>
      </c>
      <c r="K1065">
        <v>0</v>
      </c>
      <c r="L1065" t="s">
        <v>162</v>
      </c>
      <c r="N1065" t="s">
        <v>307</v>
      </c>
      <c r="O1065" t="s">
        <v>520</v>
      </c>
      <c r="P1065">
        <v>3.3233886331185988E-3</v>
      </c>
      <c r="Q1065" t="s">
        <v>162</v>
      </c>
      <c r="S1065" t="s">
        <v>419</v>
      </c>
      <c r="T1065" t="s">
        <v>520</v>
      </c>
      <c r="U1065">
        <v>3.802941432168673E-3</v>
      </c>
      <c r="V1065" t="s">
        <v>162</v>
      </c>
    </row>
    <row r="1066" spans="9:22" x14ac:dyDescent="0.45">
      <c r="I1066" t="s">
        <v>195</v>
      </c>
      <c r="J1066" t="s">
        <v>521</v>
      </c>
      <c r="K1066">
        <v>0</v>
      </c>
      <c r="L1066" t="s">
        <v>162</v>
      </c>
      <c r="N1066" t="s">
        <v>307</v>
      </c>
      <c r="O1066" t="s">
        <v>521</v>
      </c>
      <c r="P1066">
        <v>2.0522447402659322E-2</v>
      </c>
      <c r="Q1066" t="s">
        <v>162</v>
      </c>
      <c r="S1066" t="s">
        <v>419</v>
      </c>
      <c r="T1066" t="s">
        <v>521</v>
      </c>
      <c r="U1066">
        <v>2.3910831264117867E-2</v>
      </c>
      <c r="V1066" t="s">
        <v>162</v>
      </c>
    </row>
    <row r="1067" spans="9:22" x14ac:dyDescent="0.45">
      <c r="I1067" t="s">
        <v>195</v>
      </c>
      <c r="J1067" t="s">
        <v>165</v>
      </c>
      <c r="K1067">
        <v>1.6799229528807202E-2</v>
      </c>
      <c r="L1067" t="s">
        <v>162</v>
      </c>
      <c r="N1067" t="s">
        <v>307</v>
      </c>
      <c r="O1067" t="s">
        <v>165</v>
      </c>
      <c r="P1067">
        <v>5.2245737096641064E-2</v>
      </c>
      <c r="Q1067" t="s">
        <v>162</v>
      </c>
      <c r="S1067" t="s">
        <v>419</v>
      </c>
      <c r="T1067" t="s">
        <v>165</v>
      </c>
      <c r="U1067">
        <v>5.9832532723058988E-2</v>
      </c>
      <c r="V1067" t="s">
        <v>162</v>
      </c>
    </row>
    <row r="1068" spans="9:22" x14ac:dyDescent="0.45">
      <c r="I1068" t="s">
        <v>195</v>
      </c>
      <c r="J1068" t="s">
        <v>166</v>
      </c>
      <c r="K1068">
        <v>1.6266081313716221E-2</v>
      </c>
      <c r="L1068" t="s">
        <v>162</v>
      </c>
      <c r="N1068" t="s">
        <v>307</v>
      </c>
      <c r="O1068" t="s">
        <v>166</v>
      </c>
      <c r="P1068">
        <v>4.3321416136460483E-3</v>
      </c>
      <c r="Q1068" t="s">
        <v>162</v>
      </c>
      <c r="S1068" t="s">
        <v>419</v>
      </c>
      <c r="T1068" t="s">
        <v>166</v>
      </c>
      <c r="U1068">
        <v>6.611904706558292E-3</v>
      </c>
      <c r="V1068" t="s">
        <v>162</v>
      </c>
    </row>
    <row r="1069" spans="9:22" x14ac:dyDescent="0.45">
      <c r="I1069" t="s">
        <v>195</v>
      </c>
      <c r="J1069" t="s">
        <v>167</v>
      </c>
      <c r="K1069">
        <v>3.8847939192681077E-2</v>
      </c>
      <c r="L1069" t="s">
        <v>162</v>
      </c>
      <c r="N1069" t="s">
        <v>307</v>
      </c>
      <c r="O1069" t="s">
        <v>167</v>
      </c>
      <c r="P1069">
        <v>7.3818169306737683E-3</v>
      </c>
      <c r="Q1069" t="s">
        <v>162</v>
      </c>
      <c r="S1069" t="s">
        <v>419</v>
      </c>
      <c r="T1069" t="s">
        <v>167</v>
      </c>
      <c r="U1069">
        <v>1.2651090439419503E-2</v>
      </c>
      <c r="V1069" t="s">
        <v>162</v>
      </c>
    </row>
    <row r="1070" spans="9:22" x14ac:dyDescent="0.45">
      <c r="I1070" t="s">
        <v>195</v>
      </c>
      <c r="J1070" t="s">
        <v>522</v>
      </c>
      <c r="K1070">
        <v>8.0709756924900983E-2</v>
      </c>
      <c r="L1070" t="s">
        <v>162</v>
      </c>
      <c r="N1070" t="s">
        <v>307</v>
      </c>
      <c r="O1070" t="s">
        <v>522</v>
      </c>
      <c r="P1070">
        <v>2.1534112559170003E-2</v>
      </c>
      <c r="Q1070" t="s">
        <v>162</v>
      </c>
      <c r="S1070" t="s">
        <v>419</v>
      </c>
      <c r="T1070" t="s">
        <v>522</v>
      </c>
      <c r="U1070">
        <v>3.0922767775267816E-2</v>
      </c>
      <c r="V1070" t="s">
        <v>162</v>
      </c>
    </row>
    <row r="1071" spans="9:22" x14ac:dyDescent="0.45">
      <c r="I1071" t="s">
        <v>195</v>
      </c>
      <c r="J1071" t="s">
        <v>523</v>
      </c>
      <c r="K1071">
        <v>4.4760938968966112E-3</v>
      </c>
      <c r="L1071" t="s">
        <v>162</v>
      </c>
      <c r="N1071" t="s">
        <v>307</v>
      </c>
      <c r="O1071" t="s">
        <v>523</v>
      </c>
      <c r="P1071">
        <v>6.0282216370098254E-3</v>
      </c>
      <c r="Q1071" t="s">
        <v>162</v>
      </c>
      <c r="S1071" t="s">
        <v>419</v>
      </c>
      <c r="T1071" t="s">
        <v>523</v>
      </c>
      <c r="U1071">
        <v>6.3269241972661863E-3</v>
      </c>
      <c r="V1071" t="s">
        <v>162</v>
      </c>
    </row>
    <row r="1072" spans="9:22" x14ac:dyDescent="0.45">
      <c r="I1072" t="s">
        <v>195</v>
      </c>
      <c r="J1072" t="s">
        <v>524</v>
      </c>
      <c r="K1072">
        <v>4.0201561048039619E-4</v>
      </c>
      <c r="L1072" t="s">
        <v>162</v>
      </c>
      <c r="N1072" t="s">
        <v>307</v>
      </c>
      <c r="O1072" t="s">
        <v>524</v>
      </c>
      <c r="P1072">
        <v>4.1859970434828517E-2</v>
      </c>
      <c r="Q1072" t="s">
        <v>162</v>
      </c>
      <c r="S1072" t="s">
        <v>419</v>
      </c>
      <c r="T1072" t="s">
        <v>524</v>
      </c>
      <c r="U1072">
        <v>3.8533459271276313E-2</v>
      </c>
      <c r="V1072" t="s">
        <v>162</v>
      </c>
    </row>
    <row r="1073" spans="9:22" x14ac:dyDescent="0.45">
      <c r="I1073" t="s">
        <v>195</v>
      </c>
      <c r="J1073" t="s">
        <v>168</v>
      </c>
      <c r="K1073">
        <v>2.4176437235183135E-2</v>
      </c>
      <c r="L1073" t="s">
        <v>162</v>
      </c>
      <c r="N1073" t="s">
        <v>307</v>
      </c>
      <c r="O1073" t="s">
        <v>168</v>
      </c>
      <c r="P1073">
        <v>3.1809924398088454E-2</v>
      </c>
      <c r="Q1073" t="s">
        <v>162</v>
      </c>
      <c r="S1073" t="s">
        <v>419</v>
      </c>
      <c r="T1073" t="s">
        <v>168</v>
      </c>
      <c r="U1073">
        <v>3.2632287124128967E-2</v>
      </c>
      <c r="V1073" t="s">
        <v>162</v>
      </c>
    </row>
    <row r="1074" spans="9:22" x14ac:dyDescent="0.45">
      <c r="I1074" t="s">
        <v>195</v>
      </c>
      <c r="J1074" t="s">
        <v>169</v>
      </c>
      <c r="K1074">
        <v>1.2049344359050375E-2</v>
      </c>
      <c r="L1074" t="s">
        <v>162</v>
      </c>
      <c r="N1074" t="s">
        <v>307</v>
      </c>
      <c r="O1074" t="s">
        <v>169</v>
      </c>
      <c r="P1074">
        <v>2.4704123069582734E-3</v>
      </c>
      <c r="Q1074" t="s">
        <v>162</v>
      </c>
      <c r="S1074" t="s">
        <v>419</v>
      </c>
      <c r="T1074" t="s">
        <v>169</v>
      </c>
      <c r="U1074">
        <v>3.7151907194379603E-3</v>
      </c>
      <c r="V1074" t="s">
        <v>162</v>
      </c>
    </row>
    <row r="1075" spans="9:22" x14ac:dyDescent="0.45">
      <c r="I1075" t="s">
        <v>195</v>
      </c>
      <c r="J1075" t="s">
        <v>170</v>
      </c>
      <c r="K1075">
        <v>2.5838125544681862E-2</v>
      </c>
      <c r="L1075" t="s">
        <v>162</v>
      </c>
      <c r="N1075" t="s">
        <v>307</v>
      </c>
      <c r="O1075" t="s">
        <v>170</v>
      </c>
      <c r="P1075">
        <v>5.8742985056203512E-3</v>
      </c>
      <c r="Q1075" t="s">
        <v>162</v>
      </c>
      <c r="S1075" t="s">
        <v>419</v>
      </c>
      <c r="T1075" t="s">
        <v>170</v>
      </c>
      <c r="U1075">
        <v>7.5221738938514356E-3</v>
      </c>
      <c r="V1075" t="s">
        <v>162</v>
      </c>
    </row>
    <row r="1076" spans="9:22" x14ac:dyDescent="0.45">
      <c r="I1076" t="s">
        <v>195</v>
      </c>
      <c r="J1076" t="s">
        <v>525</v>
      </c>
      <c r="K1076">
        <v>5.8075432755093741E-2</v>
      </c>
      <c r="L1076" t="s">
        <v>162</v>
      </c>
      <c r="N1076" t="s">
        <v>307</v>
      </c>
      <c r="O1076" t="s">
        <v>525</v>
      </c>
      <c r="P1076">
        <v>1.916832741501661E-2</v>
      </c>
      <c r="Q1076" t="s">
        <v>162</v>
      </c>
      <c r="S1076" t="s">
        <v>419</v>
      </c>
      <c r="T1076" t="s">
        <v>525</v>
      </c>
      <c r="U1076">
        <v>2.0030985170689922E-2</v>
      </c>
      <c r="V1076" t="s">
        <v>162</v>
      </c>
    </row>
    <row r="1077" spans="9:22" x14ac:dyDescent="0.45">
      <c r="I1077" t="s">
        <v>195</v>
      </c>
      <c r="J1077" t="s">
        <v>526</v>
      </c>
      <c r="K1077">
        <v>6.0315629700316451E-3</v>
      </c>
      <c r="L1077" t="s">
        <v>162</v>
      </c>
      <c r="N1077" t="s">
        <v>307</v>
      </c>
      <c r="O1077" t="s">
        <v>526</v>
      </c>
      <c r="P1077">
        <v>3.91370457427465E-3</v>
      </c>
      <c r="Q1077" t="s">
        <v>162</v>
      </c>
      <c r="S1077" t="s">
        <v>419</v>
      </c>
      <c r="T1077" t="s">
        <v>526</v>
      </c>
      <c r="U1077">
        <v>4.0674852428734263E-3</v>
      </c>
      <c r="V1077" t="s">
        <v>162</v>
      </c>
    </row>
    <row r="1078" spans="9:22" x14ac:dyDescent="0.45">
      <c r="I1078" t="s">
        <v>195</v>
      </c>
      <c r="J1078" t="s">
        <v>527</v>
      </c>
      <c r="K1078">
        <v>3.3006331759296401E-3</v>
      </c>
      <c r="L1078" t="s">
        <v>162</v>
      </c>
      <c r="N1078" t="s">
        <v>307</v>
      </c>
      <c r="O1078" t="s">
        <v>527</v>
      </c>
      <c r="P1078">
        <v>2.5932871490706621E-2</v>
      </c>
      <c r="Q1078" t="s">
        <v>162</v>
      </c>
      <c r="S1078" t="s">
        <v>419</v>
      </c>
      <c r="T1078" t="s">
        <v>527</v>
      </c>
      <c r="U1078">
        <v>2.3449364631037042E-2</v>
      </c>
      <c r="V1078" t="s">
        <v>162</v>
      </c>
    </row>
    <row r="1079" spans="9:22" x14ac:dyDescent="0.45">
      <c r="I1079" t="s">
        <v>195</v>
      </c>
      <c r="J1079" t="s">
        <v>528</v>
      </c>
      <c r="K1079">
        <v>0.10019587966809337</v>
      </c>
      <c r="L1079" t="s">
        <v>162</v>
      </c>
      <c r="N1079" t="s">
        <v>307</v>
      </c>
      <c r="O1079" t="s">
        <v>528</v>
      </c>
      <c r="P1079">
        <v>9.1549600513598173E-2</v>
      </c>
      <c r="Q1079" t="s">
        <v>162</v>
      </c>
      <c r="S1079" t="s">
        <v>419</v>
      </c>
      <c r="T1079" t="s">
        <v>528</v>
      </c>
      <c r="U1079">
        <v>8.6928918568625155E-2</v>
      </c>
      <c r="V1079" t="s">
        <v>162</v>
      </c>
    </row>
    <row r="1080" spans="9:22" x14ac:dyDescent="0.45">
      <c r="I1080" t="s">
        <v>195</v>
      </c>
      <c r="J1080" t="s">
        <v>529</v>
      </c>
      <c r="K1080">
        <v>3.6520197528241032E-2</v>
      </c>
      <c r="L1080" t="s">
        <v>162</v>
      </c>
      <c r="N1080" t="s">
        <v>307</v>
      </c>
      <c r="O1080" t="s">
        <v>529</v>
      </c>
      <c r="P1080">
        <v>7.4836210024928256E-3</v>
      </c>
      <c r="Q1080" t="s">
        <v>162</v>
      </c>
      <c r="S1080" t="s">
        <v>419</v>
      </c>
      <c r="T1080" t="s">
        <v>529</v>
      </c>
      <c r="U1080">
        <v>9.1201556409239073E-3</v>
      </c>
      <c r="V1080" t="s">
        <v>162</v>
      </c>
    </row>
    <row r="1081" spans="9:22" x14ac:dyDescent="0.45">
      <c r="I1081" t="s">
        <v>195</v>
      </c>
      <c r="J1081" t="s">
        <v>530</v>
      </c>
      <c r="K1081">
        <v>7.746640545542971E-2</v>
      </c>
      <c r="L1081" t="s">
        <v>162</v>
      </c>
      <c r="N1081" t="s">
        <v>307</v>
      </c>
      <c r="O1081" t="s">
        <v>530</v>
      </c>
      <c r="P1081">
        <v>1.7838083749659301E-2</v>
      </c>
      <c r="Q1081" t="s">
        <v>162</v>
      </c>
      <c r="S1081" t="s">
        <v>419</v>
      </c>
      <c r="T1081" t="s">
        <v>530</v>
      </c>
      <c r="U1081">
        <v>1.830736066836142E-2</v>
      </c>
      <c r="V1081" t="s">
        <v>162</v>
      </c>
    </row>
    <row r="1082" spans="9:22" x14ac:dyDescent="0.45">
      <c r="I1082" t="s">
        <v>195</v>
      </c>
      <c r="J1082" t="s">
        <v>531</v>
      </c>
      <c r="K1082">
        <v>0.18119976779149191</v>
      </c>
      <c r="L1082" t="s">
        <v>162</v>
      </c>
      <c r="N1082" t="s">
        <v>307</v>
      </c>
      <c r="O1082" t="s">
        <v>531</v>
      </c>
      <c r="P1082">
        <v>5.0548703966049449E-2</v>
      </c>
      <c r="Q1082" t="s">
        <v>162</v>
      </c>
      <c r="S1082" t="s">
        <v>419</v>
      </c>
      <c r="T1082" t="s">
        <v>531</v>
      </c>
      <c r="U1082">
        <v>4.5399962491468923E-2</v>
      </c>
      <c r="V1082" t="s">
        <v>162</v>
      </c>
    </row>
    <row r="1083" spans="9:22" x14ac:dyDescent="0.45">
      <c r="I1083" t="s">
        <v>195</v>
      </c>
      <c r="J1083" t="s">
        <v>532</v>
      </c>
      <c r="K1083">
        <v>2.6069389280235705E-2</v>
      </c>
      <c r="L1083" t="s">
        <v>162</v>
      </c>
      <c r="N1083" t="s">
        <v>307</v>
      </c>
      <c r="O1083" t="s">
        <v>532</v>
      </c>
      <c r="P1083">
        <v>9.2721093918580744E-3</v>
      </c>
      <c r="Q1083" t="s">
        <v>162</v>
      </c>
      <c r="S1083" t="s">
        <v>419</v>
      </c>
      <c r="T1083" t="s">
        <v>532</v>
      </c>
      <c r="U1083">
        <v>8.578349723294805E-3</v>
      </c>
      <c r="V1083" t="s">
        <v>162</v>
      </c>
    </row>
    <row r="1084" spans="9:22" x14ac:dyDescent="0.45">
      <c r="I1084" t="s">
        <v>195</v>
      </c>
      <c r="J1084" t="s">
        <v>533</v>
      </c>
      <c r="K1084">
        <v>3.5569780912820134E-2</v>
      </c>
      <c r="L1084" t="s">
        <v>162</v>
      </c>
      <c r="N1084" t="s">
        <v>307</v>
      </c>
      <c r="O1084" t="s">
        <v>533</v>
      </c>
      <c r="P1084">
        <v>6.9447845772280359E-2</v>
      </c>
      <c r="Q1084" t="s">
        <v>162</v>
      </c>
      <c r="S1084" t="s">
        <v>419</v>
      </c>
      <c r="T1084" t="s">
        <v>533</v>
      </c>
      <c r="U1084">
        <v>5.2180587954005299E-2</v>
      </c>
      <c r="V1084" t="s">
        <v>162</v>
      </c>
    </row>
    <row r="1085" spans="9:22" x14ac:dyDescent="0.45">
      <c r="I1085" t="s">
        <v>195</v>
      </c>
      <c r="J1085" t="s">
        <v>534</v>
      </c>
      <c r="K1085">
        <v>3.3978074523638345E-2</v>
      </c>
      <c r="L1085" t="s">
        <v>162</v>
      </c>
      <c r="N1085" t="s">
        <v>307</v>
      </c>
      <c r="O1085" t="s">
        <v>534</v>
      </c>
      <c r="P1085">
        <v>0.11161453914138376</v>
      </c>
      <c r="Q1085" t="s">
        <v>162</v>
      </c>
      <c r="S1085" t="s">
        <v>419</v>
      </c>
      <c r="T1085" t="s">
        <v>534</v>
      </c>
      <c r="U1085">
        <v>9.6730042234038402E-2</v>
      </c>
      <c r="V1085" t="s">
        <v>162</v>
      </c>
    </row>
    <row r="1086" spans="9:22" x14ac:dyDescent="0.45">
      <c r="I1086" t="s">
        <v>195</v>
      </c>
      <c r="J1086" t="s">
        <v>535</v>
      </c>
      <c r="K1086">
        <v>1.8430755792084294E-2</v>
      </c>
      <c r="L1086" t="s">
        <v>162</v>
      </c>
      <c r="N1086" t="s">
        <v>307</v>
      </c>
      <c r="O1086" t="s">
        <v>535</v>
      </c>
      <c r="P1086">
        <v>1.0103960764850088E-2</v>
      </c>
      <c r="Q1086" t="s">
        <v>162</v>
      </c>
      <c r="S1086" t="s">
        <v>419</v>
      </c>
      <c r="T1086" t="s">
        <v>535</v>
      </c>
      <c r="U1086">
        <v>1.0316432959084729E-2</v>
      </c>
      <c r="V1086" t="s">
        <v>162</v>
      </c>
    </row>
    <row r="1087" spans="9:22" x14ac:dyDescent="0.45">
      <c r="I1087" t="s">
        <v>195</v>
      </c>
      <c r="J1087" t="s">
        <v>536</v>
      </c>
      <c r="K1087">
        <v>4.1192017315767111E-2</v>
      </c>
      <c r="L1087" t="s">
        <v>162</v>
      </c>
      <c r="N1087" t="s">
        <v>307</v>
      </c>
      <c r="O1087" t="s">
        <v>536</v>
      </c>
      <c r="P1087">
        <v>2.0308928137162559E-2</v>
      </c>
      <c r="Q1087" t="s">
        <v>162</v>
      </c>
      <c r="S1087" t="s">
        <v>419</v>
      </c>
      <c r="T1087" t="s">
        <v>536</v>
      </c>
      <c r="U1087">
        <v>2.0737650207555362E-2</v>
      </c>
      <c r="V1087" t="s">
        <v>162</v>
      </c>
    </row>
    <row r="1088" spans="9:22" x14ac:dyDescent="0.45">
      <c r="I1088" t="s">
        <v>195</v>
      </c>
      <c r="J1088" t="s">
        <v>537</v>
      </c>
      <c r="K1088">
        <v>9.0917072855914396E-2</v>
      </c>
      <c r="L1088" t="s">
        <v>162</v>
      </c>
      <c r="N1088" t="s">
        <v>307</v>
      </c>
      <c r="O1088" t="s">
        <v>537</v>
      </c>
      <c r="P1088">
        <v>5.4652962113807713E-2</v>
      </c>
      <c r="Q1088" t="s">
        <v>162</v>
      </c>
      <c r="S1088" t="s">
        <v>419</v>
      </c>
      <c r="T1088" t="s">
        <v>537</v>
      </c>
      <c r="U1088">
        <v>5.4722155734650182E-2</v>
      </c>
      <c r="V1088" t="s">
        <v>162</v>
      </c>
    </row>
    <row r="1089" spans="9:22" x14ac:dyDescent="0.45">
      <c r="I1089" t="s">
        <v>195</v>
      </c>
      <c r="J1089" t="s">
        <v>538</v>
      </c>
      <c r="K1089">
        <v>8.6496379932698587E-3</v>
      </c>
      <c r="L1089" t="s">
        <v>162</v>
      </c>
      <c r="N1089" t="s">
        <v>307</v>
      </c>
      <c r="O1089" t="s">
        <v>538</v>
      </c>
      <c r="P1089">
        <v>1.1381625125834703E-2</v>
      </c>
      <c r="Q1089" t="s">
        <v>162</v>
      </c>
      <c r="S1089" t="s">
        <v>419</v>
      </c>
      <c r="T1089" t="s">
        <v>538</v>
      </c>
      <c r="U1089">
        <v>1.129519244766637E-2</v>
      </c>
      <c r="V1089" t="s">
        <v>162</v>
      </c>
    </row>
    <row r="1090" spans="9:22" x14ac:dyDescent="0.45">
      <c r="I1090" t="s">
        <v>195</v>
      </c>
      <c r="J1090" t="s">
        <v>539</v>
      </c>
      <c r="K1090">
        <v>5.950427659205392E-3</v>
      </c>
      <c r="L1090" t="s">
        <v>162</v>
      </c>
      <c r="N1090" t="s">
        <v>307</v>
      </c>
      <c r="O1090" t="s">
        <v>539</v>
      </c>
      <c r="P1090">
        <v>8.0534609836324503E-2</v>
      </c>
      <c r="Q1090" t="s">
        <v>162</v>
      </c>
      <c r="S1090" t="s">
        <v>419</v>
      </c>
      <c r="T1090" t="s">
        <v>539</v>
      </c>
      <c r="U1090">
        <v>6.5995936614684475E-2</v>
      </c>
      <c r="V1090" t="s">
        <v>162</v>
      </c>
    </row>
    <row r="1091" spans="9:22" x14ac:dyDescent="0.45">
      <c r="I1091" t="s">
        <v>195</v>
      </c>
      <c r="J1091" t="s">
        <v>540</v>
      </c>
      <c r="K1091">
        <v>8.8417911917342842E-4</v>
      </c>
      <c r="L1091" t="s">
        <v>162</v>
      </c>
      <c r="N1091" t="s">
        <v>307</v>
      </c>
      <c r="O1091" t="s">
        <v>540</v>
      </c>
      <c r="P1091">
        <v>3.0083062786810177E-2</v>
      </c>
      <c r="Q1091" t="s">
        <v>162</v>
      </c>
      <c r="S1091" t="s">
        <v>419</v>
      </c>
      <c r="T1091" t="s">
        <v>540</v>
      </c>
      <c r="U1091">
        <v>3.6791383124807411E-2</v>
      </c>
      <c r="V1091" t="s">
        <v>162</v>
      </c>
    </row>
    <row r="1092" spans="9:22" x14ac:dyDescent="0.45">
      <c r="I1092" t="s">
        <v>195</v>
      </c>
      <c r="J1092" t="s">
        <v>541</v>
      </c>
      <c r="K1092">
        <v>2.1386162016498078E-3</v>
      </c>
      <c r="L1092" t="s">
        <v>162</v>
      </c>
      <c r="N1092" t="s">
        <v>307</v>
      </c>
      <c r="O1092" t="s">
        <v>541</v>
      </c>
      <c r="P1092">
        <v>2.9484901086402802E-3</v>
      </c>
      <c r="Q1092" t="s">
        <v>162</v>
      </c>
      <c r="S1092" t="s">
        <v>419</v>
      </c>
      <c r="T1092" t="s">
        <v>541</v>
      </c>
      <c r="U1092">
        <v>3.933725489655376E-3</v>
      </c>
      <c r="V1092" t="s">
        <v>162</v>
      </c>
    </row>
    <row r="1093" spans="9:22" x14ac:dyDescent="0.45">
      <c r="I1093" t="s">
        <v>195</v>
      </c>
      <c r="J1093" t="s">
        <v>542</v>
      </c>
      <c r="K1093">
        <v>6.2954514066811042E-3</v>
      </c>
      <c r="L1093" t="s">
        <v>162</v>
      </c>
      <c r="N1093" t="s">
        <v>307</v>
      </c>
      <c r="O1093" t="s">
        <v>542</v>
      </c>
      <c r="P1093">
        <v>4.9074797150725864E-3</v>
      </c>
      <c r="Q1093" t="s">
        <v>162</v>
      </c>
      <c r="S1093" t="s">
        <v>419</v>
      </c>
      <c r="T1093" t="s">
        <v>542</v>
      </c>
      <c r="U1093">
        <v>8.0567988514072385E-3</v>
      </c>
      <c r="V1093" t="s">
        <v>162</v>
      </c>
    </row>
    <row r="1094" spans="9:22" x14ac:dyDescent="0.45">
      <c r="I1094" t="s">
        <v>195</v>
      </c>
      <c r="J1094" t="s">
        <v>543</v>
      </c>
      <c r="K1094">
        <v>9.7470753102428722E-3</v>
      </c>
      <c r="L1094" t="s">
        <v>162</v>
      </c>
      <c r="N1094" t="s">
        <v>307</v>
      </c>
      <c r="O1094" t="s">
        <v>543</v>
      </c>
      <c r="P1094">
        <v>1.3322800091118846E-2</v>
      </c>
      <c r="Q1094" t="s">
        <v>162</v>
      </c>
      <c r="S1094" t="s">
        <v>419</v>
      </c>
      <c r="T1094" t="s">
        <v>543</v>
      </c>
      <c r="U1094">
        <v>2.1149079988821925E-2</v>
      </c>
      <c r="V1094" t="s">
        <v>162</v>
      </c>
    </row>
    <row r="1095" spans="9:22" x14ac:dyDescent="0.45">
      <c r="I1095" t="s">
        <v>195</v>
      </c>
      <c r="J1095" t="s">
        <v>544</v>
      </c>
      <c r="K1095">
        <v>0</v>
      </c>
      <c r="L1095" t="s">
        <v>162</v>
      </c>
      <c r="N1095" t="s">
        <v>307</v>
      </c>
      <c r="O1095" t="s">
        <v>544</v>
      </c>
      <c r="P1095">
        <v>3.722341414641782E-3</v>
      </c>
      <c r="Q1095" t="s">
        <v>162</v>
      </c>
      <c r="S1095" t="s">
        <v>419</v>
      </c>
      <c r="T1095" t="s">
        <v>544</v>
      </c>
      <c r="U1095">
        <v>4.3402040519249481E-3</v>
      </c>
      <c r="V1095" t="s">
        <v>162</v>
      </c>
    </row>
    <row r="1096" spans="9:22" x14ac:dyDescent="0.45">
      <c r="I1096" t="s">
        <v>195</v>
      </c>
      <c r="J1096" t="s">
        <v>545</v>
      </c>
      <c r="K1096">
        <v>0</v>
      </c>
      <c r="L1096" t="s">
        <v>162</v>
      </c>
      <c r="N1096" t="s">
        <v>307</v>
      </c>
      <c r="O1096" t="s">
        <v>545</v>
      </c>
      <c r="P1096">
        <v>2.2032421006891151E-2</v>
      </c>
      <c r="Q1096" t="s">
        <v>162</v>
      </c>
      <c r="S1096" t="s">
        <v>419</v>
      </c>
      <c r="T1096" t="s">
        <v>545</v>
      </c>
      <c r="U1096">
        <v>2.4734293808698085E-2</v>
      </c>
      <c r="V1096" t="s">
        <v>162</v>
      </c>
    </row>
    <row r="1097" spans="9:22" x14ac:dyDescent="0.45">
      <c r="I1097" t="s">
        <v>195</v>
      </c>
      <c r="J1097" t="s">
        <v>546</v>
      </c>
      <c r="K1097">
        <v>0</v>
      </c>
      <c r="L1097" t="s">
        <v>162</v>
      </c>
      <c r="N1097" t="s">
        <v>307</v>
      </c>
      <c r="O1097" t="s">
        <v>546</v>
      </c>
      <c r="P1097">
        <v>3.4975148989262926E-2</v>
      </c>
      <c r="Q1097" t="s">
        <v>162</v>
      </c>
      <c r="S1097" t="s">
        <v>419</v>
      </c>
      <c r="T1097" t="s">
        <v>546</v>
      </c>
      <c r="U1097">
        <v>3.271069150665748E-2</v>
      </c>
      <c r="V1097" t="s">
        <v>162</v>
      </c>
    </row>
    <row r="1098" spans="9:22" x14ac:dyDescent="0.45">
      <c r="I1098" t="s">
        <v>195</v>
      </c>
      <c r="J1098" t="s">
        <v>547</v>
      </c>
      <c r="K1098">
        <v>8.0740610225886271E-4</v>
      </c>
      <c r="L1098" t="s">
        <v>162</v>
      </c>
      <c r="N1098" t="s">
        <v>307</v>
      </c>
      <c r="O1098" t="s">
        <v>547</v>
      </c>
      <c r="P1098">
        <v>4.0792335907131484E-3</v>
      </c>
      <c r="Q1098" t="s">
        <v>162</v>
      </c>
      <c r="S1098" t="s">
        <v>419</v>
      </c>
      <c r="T1098" t="s">
        <v>547</v>
      </c>
      <c r="U1098">
        <v>3.7008811777545117E-3</v>
      </c>
      <c r="V1098" t="s">
        <v>162</v>
      </c>
    </row>
    <row r="1099" spans="9:22" x14ac:dyDescent="0.45">
      <c r="I1099" t="s">
        <v>195</v>
      </c>
      <c r="J1099" t="s">
        <v>548</v>
      </c>
      <c r="K1099">
        <v>4.5649802191033246E-3</v>
      </c>
      <c r="L1099" t="s">
        <v>162</v>
      </c>
      <c r="N1099" t="s">
        <v>307</v>
      </c>
      <c r="O1099" t="s">
        <v>548</v>
      </c>
      <c r="P1099">
        <v>7.4084768126859738E-3</v>
      </c>
      <c r="Q1099" t="s">
        <v>162</v>
      </c>
      <c r="S1099" t="s">
        <v>419</v>
      </c>
      <c r="T1099" t="s">
        <v>548</v>
      </c>
      <c r="U1099">
        <v>7.2300193495690949E-3</v>
      </c>
      <c r="V1099" t="s">
        <v>162</v>
      </c>
    </row>
    <row r="1100" spans="9:22" x14ac:dyDescent="0.45">
      <c r="I1100" t="s">
        <v>195</v>
      </c>
      <c r="J1100" t="s">
        <v>549</v>
      </c>
      <c r="K1100">
        <v>6.4632803250627008E-3</v>
      </c>
      <c r="L1100" t="s">
        <v>162</v>
      </c>
      <c r="N1100" t="s">
        <v>307</v>
      </c>
      <c r="O1100" t="s">
        <v>549</v>
      </c>
      <c r="P1100">
        <v>1.8770409633964223E-2</v>
      </c>
      <c r="Q1100" t="s">
        <v>162</v>
      </c>
      <c r="S1100" t="s">
        <v>419</v>
      </c>
      <c r="T1100" t="s">
        <v>549</v>
      </c>
      <c r="U1100">
        <v>1.6956114625970031E-2</v>
      </c>
      <c r="V1100" t="s">
        <v>162</v>
      </c>
    </row>
    <row r="1101" spans="9:22" x14ac:dyDescent="0.45">
      <c r="I1101" t="s">
        <v>195</v>
      </c>
      <c r="J1101" t="s">
        <v>550</v>
      </c>
      <c r="K1101">
        <v>0</v>
      </c>
      <c r="L1101" t="s">
        <v>162</v>
      </c>
      <c r="N1101" t="s">
        <v>307</v>
      </c>
      <c r="O1101" t="s">
        <v>550</v>
      </c>
      <c r="P1101">
        <v>4.4647217096315164E-3</v>
      </c>
      <c r="Q1101" t="s">
        <v>162</v>
      </c>
      <c r="S1101" t="s">
        <v>419</v>
      </c>
      <c r="T1101" t="s">
        <v>550</v>
      </c>
      <c r="U1101">
        <v>3.2066066055260788E-3</v>
      </c>
      <c r="V1101" t="s">
        <v>162</v>
      </c>
    </row>
    <row r="1102" spans="9:22" x14ac:dyDescent="0.45">
      <c r="I1102" t="s">
        <v>195</v>
      </c>
      <c r="J1102" t="s">
        <v>551</v>
      </c>
      <c r="K1102">
        <v>0</v>
      </c>
      <c r="L1102" t="s">
        <v>162</v>
      </c>
      <c r="N1102" t="s">
        <v>307</v>
      </c>
      <c r="O1102" t="s">
        <v>551</v>
      </c>
      <c r="P1102">
        <v>2.4036863200120145E-2</v>
      </c>
      <c r="Q1102" t="s">
        <v>162</v>
      </c>
      <c r="S1102" t="s">
        <v>419</v>
      </c>
      <c r="T1102" t="s">
        <v>551</v>
      </c>
      <c r="U1102">
        <v>1.9762267703853649E-2</v>
      </c>
      <c r="V1102" t="s">
        <v>162</v>
      </c>
    </row>
    <row r="1103" spans="9:22" x14ac:dyDescent="0.45">
      <c r="I1103" t="s">
        <v>196</v>
      </c>
      <c r="J1103" t="s">
        <v>161</v>
      </c>
      <c r="K1103">
        <v>0</v>
      </c>
      <c r="L1103" t="s">
        <v>162</v>
      </c>
      <c r="N1103" t="s">
        <v>308</v>
      </c>
      <c r="O1103" t="s">
        <v>161</v>
      </c>
      <c r="P1103">
        <v>3.4561107253750938E-2</v>
      </c>
      <c r="Q1103" t="s">
        <v>162</v>
      </c>
      <c r="S1103" t="s">
        <v>420</v>
      </c>
      <c r="T1103" t="s">
        <v>161</v>
      </c>
      <c r="U1103">
        <v>2.3315722916209654E-2</v>
      </c>
      <c r="V1103" t="s">
        <v>162</v>
      </c>
    </row>
    <row r="1104" spans="9:22" x14ac:dyDescent="0.45">
      <c r="I1104" t="s">
        <v>196</v>
      </c>
      <c r="J1104" t="s">
        <v>163</v>
      </c>
      <c r="K1104">
        <v>3.4879084800050739E-5</v>
      </c>
      <c r="L1104" t="s">
        <v>162</v>
      </c>
      <c r="N1104" t="s">
        <v>308</v>
      </c>
      <c r="O1104" t="s">
        <v>163</v>
      </c>
      <c r="P1104">
        <v>3.3079188130966885E-3</v>
      </c>
      <c r="Q1104" t="s">
        <v>162</v>
      </c>
      <c r="S1104" t="s">
        <v>420</v>
      </c>
      <c r="T1104" t="s">
        <v>163</v>
      </c>
      <c r="U1104">
        <v>2.6767396208451327E-3</v>
      </c>
      <c r="V1104" t="s">
        <v>162</v>
      </c>
    </row>
    <row r="1105" spans="9:22" x14ac:dyDescent="0.45">
      <c r="I1105" t="s">
        <v>196</v>
      </c>
      <c r="J1105" t="s">
        <v>164</v>
      </c>
      <c r="K1105">
        <v>7.0257451116087933E-3</v>
      </c>
      <c r="L1105" t="s">
        <v>162</v>
      </c>
      <c r="N1105" t="s">
        <v>308</v>
      </c>
      <c r="O1105" t="s">
        <v>164</v>
      </c>
      <c r="P1105">
        <v>5.1266579706168956E-3</v>
      </c>
      <c r="Q1105" t="s">
        <v>162</v>
      </c>
      <c r="S1105" t="s">
        <v>420</v>
      </c>
      <c r="T1105" t="s">
        <v>164</v>
      </c>
      <c r="U1105">
        <v>5.6637519313055724E-3</v>
      </c>
      <c r="V1105" t="s">
        <v>162</v>
      </c>
    </row>
    <row r="1106" spans="9:22" x14ac:dyDescent="0.45">
      <c r="I1106" t="s">
        <v>196</v>
      </c>
      <c r="J1106" t="s">
        <v>519</v>
      </c>
      <c r="K1106">
        <v>1.8957092172039405E-2</v>
      </c>
      <c r="L1106" t="s">
        <v>162</v>
      </c>
      <c r="N1106" t="s">
        <v>308</v>
      </c>
      <c r="O1106" t="s">
        <v>519</v>
      </c>
      <c r="P1106">
        <v>1.2116470860874563E-2</v>
      </c>
      <c r="Q1106" t="s">
        <v>162</v>
      </c>
      <c r="S1106" t="s">
        <v>420</v>
      </c>
      <c r="T1106" t="s">
        <v>519</v>
      </c>
      <c r="U1106">
        <v>1.5084452845939679E-2</v>
      </c>
      <c r="V1106" t="s">
        <v>162</v>
      </c>
    </row>
    <row r="1107" spans="9:22" x14ac:dyDescent="0.45">
      <c r="I1107" t="s">
        <v>196</v>
      </c>
      <c r="J1107" t="s">
        <v>520</v>
      </c>
      <c r="K1107">
        <v>6.2422331854300686E-7</v>
      </c>
      <c r="L1107" t="s">
        <v>162</v>
      </c>
      <c r="N1107" t="s">
        <v>308</v>
      </c>
      <c r="O1107" t="s">
        <v>520</v>
      </c>
      <c r="P1107">
        <v>3.6376186814103184E-3</v>
      </c>
      <c r="Q1107" t="s">
        <v>162</v>
      </c>
      <c r="S1107" t="s">
        <v>420</v>
      </c>
      <c r="T1107" t="s">
        <v>520</v>
      </c>
      <c r="U1107">
        <v>2.839374585121195E-3</v>
      </c>
      <c r="V1107" t="s">
        <v>162</v>
      </c>
    </row>
    <row r="1108" spans="9:22" x14ac:dyDescent="0.45">
      <c r="I1108" t="s">
        <v>196</v>
      </c>
      <c r="J1108" t="s">
        <v>521</v>
      </c>
      <c r="K1108">
        <v>0</v>
      </c>
      <c r="L1108" t="s">
        <v>162</v>
      </c>
      <c r="N1108" t="s">
        <v>308</v>
      </c>
      <c r="O1108" t="s">
        <v>521</v>
      </c>
      <c r="P1108">
        <v>2.1889320674831132E-2</v>
      </c>
      <c r="Q1108" t="s">
        <v>162</v>
      </c>
      <c r="S1108" t="s">
        <v>420</v>
      </c>
      <c r="T1108" t="s">
        <v>521</v>
      </c>
      <c r="U1108">
        <v>1.762437862304024E-2</v>
      </c>
      <c r="V1108" t="s">
        <v>162</v>
      </c>
    </row>
    <row r="1109" spans="9:22" x14ac:dyDescent="0.45">
      <c r="I1109" t="s">
        <v>196</v>
      </c>
      <c r="J1109" t="s">
        <v>165</v>
      </c>
      <c r="K1109">
        <v>7.5770771659156595E-3</v>
      </c>
      <c r="L1109" t="s">
        <v>162</v>
      </c>
      <c r="N1109" t="s">
        <v>308</v>
      </c>
      <c r="O1109" t="s">
        <v>165</v>
      </c>
      <c r="P1109">
        <v>5.2024621467110947E-2</v>
      </c>
      <c r="Q1109" t="s">
        <v>162</v>
      </c>
      <c r="S1109" t="s">
        <v>420</v>
      </c>
      <c r="T1109" t="s">
        <v>165</v>
      </c>
      <c r="U1109">
        <v>5.9309663623617968E-2</v>
      </c>
      <c r="V1109" t="s">
        <v>162</v>
      </c>
    </row>
    <row r="1110" spans="9:22" x14ac:dyDescent="0.45">
      <c r="I1110" t="s">
        <v>196</v>
      </c>
      <c r="J1110" t="s">
        <v>166</v>
      </c>
      <c r="K1110">
        <v>1.2441052461612027E-2</v>
      </c>
      <c r="L1110" t="s">
        <v>162</v>
      </c>
      <c r="N1110" t="s">
        <v>308</v>
      </c>
      <c r="O1110" t="s">
        <v>166</v>
      </c>
      <c r="P1110">
        <v>4.4719411183983034E-3</v>
      </c>
      <c r="Q1110" t="s">
        <v>162</v>
      </c>
      <c r="S1110" t="s">
        <v>420</v>
      </c>
      <c r="T1110" t="s">
        <v>166</v>
      </c>
      <c r="U1110">
        <v>6.1637353994480337E-3</v>
      </c>
      <c r="V1110" t="s">
        <v>162</v>
      </c>
    </row>
    <row r="1111" spans="9:22" x14ac:dyDescent="0.45">
      <c r="I1111" t="s">
        <v>196</v>
      </c>
      <c r="J1111" t="s">
        <v>167</v>
      </c>
      <c r="K1111">
        <v>3.7435741347244471E-2</v>
      </c>
      <c r="L1111" t="s">
        <v>162</v>
      </c>
      <c r="N1111" t="s">
        <v>308</v>
      </c>
      <c r="O1111" t="s">
        <v>167</v>
      </c>
      <c r="P1111">
        <v>7.2911662152336885E-3</v>
      </c>
      <c r="Q1111" t="s">
        <v>162</v>
      </c>
      <c r="S1111" t="s">
        <v>420</v>
      </c>
      <c r="T1111" t="s">
        <v>167</v>
      </c>
      <c r="U1111">
        <v>1.1884655503842262E-2</v>
      </c>
      <c r="V1111" t="s">
        <v>162</v>
      </c>
    </row>
    <row r="1112" spans="9:22" x14ac:dyDescent="0.45">
      <c r="I1112" t="s">
        <v>196</v>
      </c>
      <c r="J1112" t="s">
        <v>522</v>
      </c>
      <c r="K1112">
        <v>9.2713883838653754E-2</v>
      </c>
      <c r="L1112" t="s">
        <v>162</v>
      </c>
      <c r="N1112" t="s">
        <v>308</v>
      </c>
      <c r="O1112" t="s">
        <v>522</v>
      </c>
      <c r="P1112">
        <v>2.0380515221107239E-2</v>
      </c>
      <c r="Q1112" t="s">
        <v>162</v>
      </c>
      <c r="S1112" t="s">
        <v>420</v>
      </c>
      <c r="T1112" t="s">
        <v>522</v>
      </c>
      <c r="U1112">
        <v>3.0854757462642921E-2</v>
      </c>
      <c r="V1112" t="s">
        <v>162</v>
      </c>
    </row>
    <row r="1113" spans="9:22" x14ac:dyDescent="0.45">
      <c r="I1113" t="s">
        <v>196</v>
      </c>
      <c r="J1113" t="s">
        <v>523</v>
      </c>
      <c r="K1113">
        <v>1.0494922143354428E-2</v>
      </c>
      <c r="L1113" t="s">
        <v>162</v>
      </c>
      <c r="N1113" t="s">
        <v>308</v>
      </c>
      <c r="O1113" t="s">
        <v>523</v>
      </c>
      <c r="P1113">
        <v>5.8812330740440309E-3</v>
      </c>
      <c r="Q1113" t="s">
        <v>162</v>
      </c>
      <c r="S1113" t="s">
        <v>420</v>
      </c>
      <c r="T1113" t="s">
        <v>523</v>
      </c>
      <c r="U1113">
        <v>6.4842130860818126E-3</v>
      </c>
      <c r="V1113" t="s">
        <v>162</v>
      </c>
    </row>
    <row r="1114" spans="9:22" x14ac:dyDescent="0.45">
      <c r="I1114" t="s">
        <v>196</v>
      </c>
      <c r="J1114" t="s">
        <v>524</v>
      </c>
      <c r="K1114">
        <v>4.0179929889407528E-3</v>
      </c>
      <c r="L1114" t="s">
        <v>162</v>
      </c>
      <c r="N1114" t="s">
        <v>308</v>
      </c>
      <c r="O1114" t="s">
        <v>524</v>
      </c>
      <c r="P1114">
        <v>4.0681817239341111E-2</v>
      </c>
      <c r="Q1114" t="s">
        <v>162</v>
      </c>
      <c r="S1114" t="s">
        <v>420</v>
      </c>
      <c r="T1114" t="s">
        <v>524</v>
      </c>
      <c r="U1114">
        <v>4.1002517252679095E-2</v>
      </c>
      <c r="V1114" t="s">
        <v>162</v>
      </c>
    </row>
    <row r="1115" spans="9:22" x14ac:dyDescent="0.45">
      <c r="I1115" t="s">
        <v>196</v>
      </c>
      <c r="J1115" t="s">
        <v>168</v>
      </c>
      <c r="K1115">
        <v>1.5413247350263568E-2</v>
      </c>
      <c r="L1115" t="s">
        <v>162</v>
      </c>
      <c r="N1115" t="s">
        <v>308</v>
      </c>
      <c r="O1115" t="s">
        <v>168</v>
      </c>
      <c r="P1115">
        <v>3.2368864390676023E-2</v>
      </c>
      <c r="Q1115" t="s">
        <v>162</v>
      </c>
      <c r="S1115" t="s">
        <v>420</v>
      </c>
      <c r="T1115" t="s">
        <v>168</v>
      </c>
      <c r="U1115">
        <v>2.9757486195548462E-2</v>
      </c>
      <c r="V1115" t="s">
        <v>162</v>
      </c>
    </row>
    <row r="1116" spans="9:22" x14ac:dyDescent="0.45">
      <c r="I1116" t="s">
        <v>196</v>
      </c>
      <c r="J1116" t="s">
        <v>169</v>
      </c>
      <c r="K1116">
        <v>1.0561598910456596E-2</v>
      </c>
      <c r="L1116" t="s">
        <v>162</v>
      </c>
      <c r="N1116" t="s">
        <v>308</v>
      </c>
      <c r="O1116" t="s">
        <v>169</v>
      </c>
      <c r="P1116">
        <v>2.5324597943835701E-3</v>
      </c>
      <c r="Q1116" t="s">
        <v>162</v>
      </c>
      <c r="S1116" t="s">
        <v>420</v>
      </c>
      <c r="T1116" t="s">
        <v>169</v>
      </c>
      <c r="U1116">
        <v>3.498736059030126E-3</v>
      </c>
      <c r="V1116" t="s">
        <v>162</v>
      </c>
    </row>
    <row r="1117" spans="9:22" x14ac:dyDescent="0.45">
      <c r="I1117" t="s">
        <v>196</v>
      </c>
      <c r="J1117" t="s">
        <v>170</v>
      </c>
      <c r="K1117">
        <v>2.5544760138836942E-2</v>
      </c>
      <c r="L1117" t="s">
        <v>162</v>
      </c>
      <c r="N1117" t="s">
        <v>308</v>
      </c>
      <c r="O1117" t="s">
        <v>170</v>
      </c>
      <c r="P1117">
        <v>6.0849365117371943E-3</v>
      </c>
      <c r="Q1117" t="s">
        <v>162</v>
      </c>
      <c r="S1117" t="s">
        <v>420</v>
      </c>
      <c r="T1117" t="s">
        <v>170</v>
      </c>
      <c r="U1117">
        <v>7.03723873173799E-3</v>
      </c>
      <c r="V1117" t="s">
        <v>162</v>
      </c>
    </row>
    <row r="1118" spans="9:22" x14ac:dyDescent="0.45">
      <c r="I1118" t="s">
        <v>196</v>
      </c>
      <c r="J1118" t="s">
        <v>525</v>
      </c>
      <c r="K1118">
        <v>6.2326107736675525E-2</v>
      </c>
      <c r="L1118" t="s">
        <v>162</v>
      </c>
      <c r="N1118" t="s">
        <v>308</v>
      </c>
      <c r="O1118" t="s">
        <v>525</v>
      </c>
      <c r="P1118">
        <v>1.9998033493254172E-2</v>
      </c>
      <c r="Q1118" t="s">
        <v>162</v>
      </c>
      <c r="S1118" t="s">
        <v>420</v>
      </c>
      <c r="T1118" t="s">
        <v>525</v>
      </c>
      <c r="U1118">
        <v>1.8476268579640808E-2</v>
      </c>
      <c r="V1118" t="s">
        <v>162</v>
      </c>
    </row>
    <row r="1119" spans="9:22" x14ac:dyDescent="0.45">
      <c r="I1119" t="s">
        <v>196</v>
      </c>
      <c r="J1119" t="s">
        <v>526</v>
      </c>
      <c r="K1119">
        <v>8.5442551158248781E-3</v>
      </c>
      <c r="L1119" t="s">
        <v>162</v>
      </c>
      <c r="N1119" t="s">
        <v>308</v>
      </c>
      <c r="O1119" t="s">
        <v>526</v>
      </c>
      <c r="P1119">
        <v>4.2512499745584516E-3</v>
      </c>
      <c r="Q1119" t="s">
        <v>162</v>
      </c>
      <c r="S1119" t="s">
        <v>420</v>
      </c>
      <c r="T1119" t="s">
        <v>526</v>
      </c>
      <c r="U1119">
        <v>3.7088813132916502E-3</v>
      </c>
      <c r="V1119" t="s">
        <v>162</v>
      </c>
    </row>
    <row r="1120" spans="9:22" x14ac:dyDescent="0.45">
      <c r="I1120" t="s">
        <v>196</v>
      </c>
      <c r="J1120" t="s">
        <v>527</v>
      </c>
      <c r="K1120">
        <v>8.7678091514856223E-3</v>
      </c>
      <c r="L1120" t="s">
        <v>162</v>
      </c>
      <c r="N1120" t="s">
        <v>308</v>
      </c>
      <c r="O1120" t="s">
        <v>527</v>
      </c>
      <c r="P1120">
        <v>2.9520522244633831E-2</v>
      </c>
      <c r="Q1120" t="s">
        <v>162</v>
      </c>
      <c r="S1120" t="s">
        <v>420</v>
      </c>
      <c r="T1120" t="s">
        <v>527</v>
      </c>
      <c r="U1120">
        <v>2.2226537854554283E-2</v>
      </c>
      <c r="V1120" t="s">
        <v>162</v>
      </c>
    </row>
    <row r="1121" spans="9:22" x14ac:dyDescent="0.45">
      <c r="I1121" t="s">
        <v>196</v>
      </c>
      <c r="J1121" t="s">
        <v>528</v>
      </c>
      <c r="K1121">
        <v>6.9907481182659978E-2</v>
      </c>
      <c r="L1121" t="s">
        <v>162</v>
      </c>
      <c r="N1121" t="s">
        <v>308</v>
      </c>
      <c r="O1121" t="s">
        <v>528</v>
      </c>
      <c r="P1121">
        <v>8.8833886393212408E-2</v>
      </c>
      <c r="Q1121" t="s">
        <v>162</v>
      </c>
      <c r="S1121" t="s">
        <v>420</v>
      </c>
      <c r="T1121" t="s">
        <v>528</v>
      </c>
      <c r="U1121">
        <v>8.3959311613860083E-2</v>
      </c>
      <c r="V1121" t="s">
        <v>162</v>
      </c>
    </row>
    <row r="1122" spans="9:22" x14ac:dyDescent="0.45">
      <c r="I1122" t="s">
        <v>196</v>
      </c>
      <c r="J1122" t="s">
        <v>529</v>
      </c>
      <c r="K1122">
        <v>3.0905871205772387E-2</v>
      </c>
      <c r="L1122" t="s">
        <v>162</v>
      </c>
      <c r="N1122" t="s">
        <v>308</v>
      </c>
      <c r="O1122" t="s">
        <v>529</v>
      </c>
      <c r="P1122">
        <v>7.3756252607695026E-3</v>
      </c>
      <c r="Q1122" t="s">
        <v>162</v>
      </c>
      <c r="S1122" t="s">
        <v>420</v>
      </c>
      <c r="T1122" t="s">
        <v>529</v>
      </c>
      <c r="U1122">
        <v>9.4463731942679673E-3</v>
      </c>
      <c r="V1122" t="s">
        <v>162</v>
      </c>
    </row>
    <row r="1123" spans="9:22" x14ac:dyDescent="0.45">
      <c r="I1123" t="s">
        <v>196</v>
      </c>
      <c r="J1123" t="s">
        <v>530</v>
      </c>
      <c r="K1123">
        <v>7.1310507297642975E-2</v>
      </c>
      <c r="L1123" t="s">
        <v>162</v>
      </c>
      <c r="N1123" t="s">
        <v>308</v>
      </c>
      <c r="O1123" t="s">
        <v>530</v>
      </c>
      <c r="P1123">
        <v>1.7178573216886213E-2</v>
      </c>
      <c r="Q1123" t="s">
        <v>162</v>
      </c>
      <c r="S1123" t="s">
        <v>420</v>
      </c>
      <c r="T1123" t="s">
        <v>530</v>
      </c>
      <c r="U1123">
        <v>1.9536159652095562E-2</v>
      </c>
      <c r="V1123" t="s">
        <v>162</v>
      </c>
    </row>
    <row r="1124" spans="9:22" x14ac:dyDescent="0.45">
      <c r="I1124" t="s">
        <v>196</v>
      </c>
      <c r="J1124" t="s">
        <v>531</v>
      </c>
      <c r="K1124">
        <v>0.17789748768823174</v>
      </c>
      <c r="L1124" t="s">
        <v>162</v>
      </c>
      <c r="N1124" t="s">
        <v>308</v>
      </c>
      <c r="O1124" t="s">
        <v>531</v>
      </c>
      <c r="P1124">
        <v>5.0585008746975337E-2</v>
      </c>
      <c r="Q1124" t="s">
        <v>162</v>
      </c>
      <c r="S1124" t="s">
        <v>420</v>
      </c>
      <c r="T1124" t="s">
        <v>531</v>
      </c>
      <c r="U1124">
        <v>5.0135083592309553E-2</v>
      </c>
      <c r="V1124" t="s">
        <v>162</v>
      </c>
    </row>
    <row r="1125" spans="9:22" x14ac:dyDescent="0.45">
      <c r="I1125" t="s">
        <v>196</v>
      </c>
      <c r="J1125" t="s">
        <v>532</v>
      </c>
      <c r="K1125">
        <v>2.9053423489988659E-2</v>
      </c>
      <c r="L1125" t="s">
        <v>162</v>
      </c>
      <c r="N1125" t="s">
        <v>308</v>
      </c>
      <c r="O1125" t="s">
        <v>532</v>
      </c>
      <c r="P1125">
        <v>9.3351482830754152E-3</v>
      </c>
      <c r="Q1125" t="s">
        <v>162</v>
      </c>
      <c r="S1125" t="s">
        <v>420</v>
      </c>
      <c r="T1125" t="s">
        <v>532</v>
      </c>
      <c r="U1125">
        <v>9.4179334271214735E-3</v>
      </c>
      <c r="V1125" t="s">
        <v>162</v>
      </c>
    </row>
    <row r="1126" spans="9:22" x14ac:dyDescent="0.45">
      <c r="I1126" t="s">
        <v>196</v>
      </c>
      <c r="J1126" t="s">
        <v>533</v>
      </c>
      <c r="K1126">
        <v>5.584079300790018E-2</v>
      </c>
      <c r="L1126" t="s">
        <v>162</v>
      </c>
      <c r="N1126" t="s">
        <v>308</v>
      </c>
      <c r="O1126" t="s">
        <v>533</v>
      </c>
      <c r="P1126">
        <v>6.8145512065295497E-2</v>
      </c>
      <c r="Q1126" t="s">
        <v>162</v>
      </c>
      <c r="S1126" t="s">
        <v>420</v>
      </c>
      <c r="T1126" t="s">
        <v>533</v>
      </c>
      <c r="U1126">
        <v>5.2955756448623416E-2</v>
      </c>
      <c r="V1126" t="s">
        <v>162</v>
      </c>
    </row>
    <row r="1127" spans="9:22" x14ac:dyDescent="0.45">
      <c r="I1127" t="s">
        <v>196</v>
      </c>
      <c r="J1127" t="s">
        <v>534</v>
      </c>
      <c r="K1127">
        <v>2.4374477112970479E-2</v>
      </c>
      <c r="L1127" t="s">
        <v>162</v>
      </c>
      <c r="N1127" t="s">
        <v>308</v>
      </c>
      <c r="O1127" t="s">
        <v>534</v>
      </c>
      <c r="P1127">
        <v>0.10728529010071239</v>
      </c>
      <c r="Q1127" t="s">
        <v>162</v>
      </c>
      <c r="S1127" t="s">
        <v>420</v>
      </c>
      <c r="T1127" t="s">
        <v>534</v>
      </c>
      <c r="U1127">
        <v>0.11080981537563921</v>
      </c>
      <c r="V1127" t="s">
        <v>162</v>
      </c>
    </row>
    <row r="1128" spans="9:22" x14ac:dyDescent="0.45">
      <c r="I1128" t="s">
        <v>196</v>
      </c>
      <c r="J1128" t="s">
        <v>535</v>
      </c>
      <c r="K1128">
        <v>1.7259732552850106E-2</v>
      </c>
      <c r="L1128" t="s">
        <v>162</v>
      </c>
      <c r="N1128" t="s">
        <v>308</v>
      </c>
      <c r="O1128" t="s">
        <v>535</v>
      </c>
      <c r="P1128">
        <v>9.6573386971056351E-3</v>
      </c>
      <c r="Q1128" t="s">
        <v>162</v>
      </c>
      <c r="S1128" t="s">
        <v>420</v>
      </c>
      <c r="T1128" t="s">
        <v>535</v>
      </c>
      <c r="U1128">
        <v>1.1117213080660784E-2</v>
      </c>
      <c r="V1128" t="s">
        <v>162</v>
      </c>
    </row>
    <row r="1129" spans="9:22" x14ac:dyDescent="0.45">
      <c r="I1129" t="s">
        <v>196</v>
      </c>
      <c r="J1129" t="s">
        <v>536</v>
      </c>
      <c r="K1129">
        <v>4.0674677883211129E-2</v>
      </c>
      <c r="L1129" t="s">
        <v>162</v>
      </c>
      <c r="N1129" t="s">
        <v>308</v>
      </c>
      <c r="O1129" t="s">
        <v>536</v>
      </c>
      <c r="P1129">
        <v>1.948450297264831E-2</v>
      </c>
      <c r="Q1129" t="s">
        <v>162</v>
      </c>
      <c r="S1129" t="s">
        <v>420</v>
      </c>
      <c r="T1129" t="s">
        <v>536</v>
      </c>
      <c r="U1129">
        <v>2.2214720715658394E-2</v>
      </c>
      <c r="V1129" t="s">
        <v>162</v>
      </c>
    </row>
    <row r="1130" spans="9:22" x14ac:dyDescent="0.45">
      <c r="I1130" t="s">
        <v>196</v>
      </c>
      <c r="J1130" t="s">
        <v>537</v>
      </c>
      <c r="K1130">
        <v>9.5629182261320569E-2</v>
      </c>
      <c r="L1130" t="s">
        <v>162</v>
      </c>
      <c r="N1130" t="s">
        <v>308</v>
      </c>
      <c r="O1130" t="s">
        <v>537</v>
      </c>
      <c r="P1130">
        <v>5.183156362972495E-2</v>
      </c>
      <c r="Q1130" t="s">
        <v>162</v>
      </c>
      <c r="S1130" t="s">
        <v>420</v>
      </c>
      <c r="T1130" t="s">
        <v>537</v>
      </c>
      <c r="U1130">
        <v>5.9518215844604427E-2</v>
      </c>
      <c r="V1130" t="s">
        <v>162</v>
      </c>
    </row>
    <row r="1131" spans="9:22" x14ac:dyDescent="0.45">
      <c r="I1131" t="s">
        <v>196</v>
      </c>
      <c r="J1131" t="s">
        <v>538</v>
      </c>
      <c r="K1131">
        <v>1.2507188274006209E-2</v>
      </c>
      <c r="L1131" t="s">
        <v>162</v>
      </c>
      <c r="N1131" t="s">
        <v>308</v>
      </c>
      <c r="O1131" t="s">
        <v>538</v>
      </c>
      <c r="P1131">
        <v>1.0144827949544763E-2</v>
      </c>
      <c r="Q1131" t="s">
        <v>162</v>
      </c>
      <c r="S1131" t="s">
        <v>420</v>
      </c>
      <c r="T1131" t="s">
        <v>538</v>
      </c>
      <c r="U1131">
        <v>1.2173052760474548E-2</v>
      </c>
      <c r="V1131" t="s">
        <v>162</v>
      </c>
    </row>
    <row r="1132" spans="9:22" x14ac:dyDescent="0.45">
      <c r="I1132" t="s">
        <v>196</v>
      </c>
      <c r="J1132" t="s">
        <v>539</v>
      </c>
      <c r="K1132">
        <v>1.4706703825079029E-2</v>
      </c>
      <c r="L1132" t="s">
        <v>162</v>
      </c>
      <c r="N1132" t="s">
        <v>308</v>
      </c>
      <c r="O1132" t="s">
        <v>539</v>
      </c>
      <c r="P1132">
        <v>7.3479359793827928E-2</v>
      </c>
      <c r="Q1132" t="s">
        <v>162</v>
      </c>
      <c r="S1132" t="s">
        <v>420</v>
      </c>
      <c r="T1132" t="s">
        <v>539</v>
      </c>
      <c r="U1132">
        <v>7.3694795972101865E-2</v>
      </c>
      <c r="V1132" t="s">
        <v>162</v>
      </c>
    </row>
    <row r="1133" spans="9:22" x14ac:dyDescent="0.45">
      <c r="I1133" t="s">
        <v>196</v>
      </c>
      <c r="J1133" t="s">
        <v>540</v>
      </c>
      <c r="K1133">
        <v>0</v>
      </c>
      <c r="L1133" t="s">
        <v>162</v>
      </c>
      <c r="N1133" t="s">
        <v>308</v>
      </c>
      <c r="O1133" t="s">
        <v>540</v>
      </c>
      <c r="P1133">
        <v>3.661749412229641E-2</v>
      </c>
      <c r="Q1133" t="s">
        <v>162</v>
      </c>
      <c r="S1133" t="s">
        <v>420</v>
      </c>
      <c r="T1133" t="s">
        <v>540</v>
      </c>
      <c r="U1133">
        <v>4.0572516913147054E-2</v>
      </c>
      <c r="V1133" t="s">
        <v>162</v>
      </c>
    </row>
    <row r="1134" spans="9:22" x14ac:dyDescent="0.45">
      <c r="I1134" t="s">
        <v>196</v>
      </c>
      <c r="J1134" t="s">
        <v>541</v>
      </c>
      <c r="K1134">
        <v>1.4720661323686512E-3</v>
      </c>
      <c r="L1134" t="s">
        <v>162</v>
      </c>
      <c r="N1134" t="s">
        <v>308</v>
      </c>
      <c r="O1134" t="s">
        <v>541</v>
      </c>
      <c r="P1134">
        <v>3.3397179954352948E-3</v>
      </c>
      <c r="Q1134" t="s">
        <v>162</v>
      </c>
      <c r="S1134" t="s">
        <v>420</v>
      </c>
      <c r="T1134" t="s">
        <v>541</v>
      </c>
      <c r="U1134">
        <v>4.6403942380231896E-3</v>
      </c>
      <c r="V1134" t="s">
        <v>162</v>
      </c>
    </row>
    <row r="1135" spans="9:22" x14ac:dyDescent="0.45">
      <c r="I1135" t="s">
        <v>196</v>
      </c>
      <c r="J1135" t="s">
        <v>542</v>
      </c>
      <c r="K1135">
        <v>7.4915474086744418E-3</v>
      </c>
      <c r="L1135" t="s">
        <v>162</v>
      </c>
      <c r="N1135" t="s">
        <v>308</v>
      </c>
      <c r="O1135" t="s">
        <v>542</v>
      </c>
      <c r="P1135">
        <v>5.6804224248955693E-3</v>
      </c>
      <c r="Q1135" t="s">
        <v>162</v>
      </c>
      <c r="S1135" t="s">
        <v>420</v>
      </c>
      <c r="T1135" t="s">
        <v>542</v>
      </c>
      <c r="U1135">
        <v>9.3656483374038157E-3</v>
      </c>
      <c r="V1135" t="s">
        <v>162</v>
      </c>
    </row>
    <row r="1136" spans="9:22" x14ac:dyDescent="0.45">
      <c r="I1136" t="s">
        <v>196</v>
      </c>
      <c r="J1136" t="s">
        <v>543</v>
      </c>
      <c r="K1136">
        <v>1.5995322565855896E-2</v>
      </c>
      <c r="L1136" t="s">
        <v>162</v>
      </c>
      <c r="N1136" t="s">
        <v>308</v>
      </c>
      <c r="O1136" t="s">
        <v>543</v>
      </c>
      <c r="P1136">
        <v>1.4900528888268313E-2</v>
      </c>
      <c r="Q1136" t="s">
        <v>162</v>
      </c>
      <c r="S1136" t="s">
        <v>420</v>
      </c>
      <c r="T1136" t="s">
        <v>543</v>
      </c>
      <c r="U1136">
        <v>2.3366568203003861E-2</v>
      </c>
      <c r="V1136" t="s">
        <v>162</v>
      </c>
    </row>
    <row r="1137" spans="9:22" x14ac:dyDescent="0.45">
      <c r="I1137" t="s">
        <v>196</v>
      </c>
      <c r="J1137" t="s">
        <v>544</v>
      </c>
      <c r="K1137">
        <v>0</v>
      </c>
      <c r="L1137" t="s">
        <v>162</v>
      </c>
      <c r="N1137" t="s">
        <v>308</v>
      </c>
      <c r="O1137" t="s">
        <v>544</v>
      </c>
      <c r="P1137">
        <v>4.0497698116636147E-3</v>
      </c>
      <c r="Q1137" t="s">
        <v>162</v>
      </c>
      <c r="S1137" t="s">
        <v>420</v>
      </c>
      <c r="T1137" t="s">
        <v>544</v>
      </c>
      <c r="U1137">
        <v>4.4932531011776895E-3</v>
      </c>
      <c r="V1137" t="s">
        <v>162</v>
      </c>
    </row>
    <row r="1138" spans="9:22" x14ac:dyDescent="0.45">
      <c r="I1138" t="s">
        <v>196</v>
      </c>
      <c r="J1138" t="s">
        <v>545</v>
      </c>
      <c r="K1138">
        <v>0</v>
      </c>
      <c r="L1138" t="s">
        <v>162</v>
      </c>
      <c r="N1138" t="s">
        <v>308</v>
      </c>
      <c r="O1138" t="s">
        <v>545</v>
      </c>
      <c r="P1138">
        <v>2.3982841514672178E-2</v>
      </c>
      <c r="Q1138" t="s">
        <v>162</v>
      </c>
      <c r="S1138" t="s">
        <v>420</v>
      </c>
      <c r="T1138" t="s">
        <v>545</v>
      </c>
      <c r="U1138">
        <v>2.6567080620629679E-2</v>
      </c>
      <c r="V1138" t="s">
        <v>162</v>
      </c>
    </row>
    <row r="1139" spans="9:22" x14ac:dyDescent="0.45">
      <c r="I1139" t="s">
        <v>196</v>
      </c>
      <c r="J1139" t="s">
        <v>546</v>
      </c>
      <c r="K1139">
        <v>0</v>
      </c>
      <c r="L1139" t="s">
        <v>162</v>
      </c>
      <c r="N1139" t="s">
        <v>308</v>
      </c>
      <c r="O1139" t="s">
        <v>546</v>
      </c>
      <c r="P1139">
        <v>3.4409297018794423E-2</v>
      </c>
      <c r="Q1139" t="s">
        <v>162</v>
      </c>
      <c r="S1139" t="s">
        <v>420</v>
      </c>
      <c r="T1139" t="s">
        <v>546</v>
      </c>
      <c r="U1139">
        <v>2.6546387008793377E-2</v>
      </c>
      <c r="V1139" t="s">
        <v>162</v>
      </c>
    </row>
    <row r="1140" spans="9:22" x14ac:dyDescent="0.45">
      <c r="I1140" t="s">
        <v>196</v>
      </c>
      <c r="J1140" t="s">
        <v>547</v>
      </c>
      <c r="K1140">
        <v>0</v>
      </c>
      <c r="L1140" t="s">
        <v>162</v>
      </c>
      <c r="N1140" t="s">
        <v>308</v>
      </c>
      <c r="O1140" t="s">
        <v>547</v>
      </c>
      <c r="P1140">
        <v>3.7405576094055679E-3</v>
      </c>
      <c r="Q1140" t="s">
        <v>162</v>
      </c>
      <c r="S1140" t="s">
        <v>420</v>
      </c>
      <c r="T1140" t="s">
        <v>547</v>
      </c>
      <c r="U1140">
        <v>2.7267326357274862E-3</v>
      </c>
      <c r="V1140" t="s">
        <v>162</v>
      </c>
    </row>
    <row r="1141" spans="9:22" x14ac:dyDescent="0.45">
      <c r="I1141" t="s">
        <v>196</v>
      </c>
      <c r="J1141" t="s">
        <v>548</v>
      </c>
      <c r="K1141">
        <v>3.5954754781110164E-3</v>
      </c>
      <c r="L1141" t="s">
        <v>162</v>
      </c>
      <c r="N1141" t="s">
        <v>308</v>
      </c>
      <c r="O1141" t="s">
        <v>548</v>
      </c>
      <c r="P1141">
        <v>6.3879528285832876E-3</v>
      </c>
      <c r="Q1141" t="s">
        <v>162</v>
      </c>
      <c r="S1141" t="s">
        <v>420</v>
      </c>
      <c r="T1141" t="s">
        <v>548</v>
      </c>
      <c r="U1141">
        <v>5.5022512382564663E-3</v>
      </c>
      <c r="V1141" t="s">
        <v>162</v>
      </c>
    </row>
    <row r="1142" spans="9:22" x14ac:dyDescent="0.45">
      <c r="I1142" t="s">
        <v>196</v>
      </c>
      <c r="J1142" t="s">
        <v>549</v>
      </c>
      <c r="K1142">
        <v>9.5212736923270206E-3</v>
      </c>
      <c r="L1142" t="s">
        <v>162</v>
      </c>
      <c r="N1142" t="s">
        <v>308</v>
      </c>
      <c r="O1142" t="s">
        <v>549</v>
      </c>
      <c r="P1142">
        <v>1.6609112143717776E-2</v>
      </c>
      <c r="Q1142" t="s">
        <v>162</v>
      </c>
      <c r="S1142" t="s">
        <v>420</v>
      </c>
      <c r="T1142" t="s">
        <v>549</v>
      </c>
      <c r="U1142">
        <v>1.3482255238786038E-2</v>
      </c>
      <c r="V1142" t="s">
        <v>162</v>
      </c>
    </row>
    <row r="1143" spans="9:22" x14ac:dyDescent="0.45">
      <c r="I1143" t="s">
        <v>196</v>
      </c>
      <c r="J1143" t="s">
        <v>550</v>
      </c>
      <c r="K1143">
        <v>0</v>
      </c>
      <c r="L1143" t="s">
        <v>162</v>
      </c>
      <c r="N1143" t="s">
        <v>308</v>
      </c>
      <c r="O1143" t="s">
        <v>550</v>
      </c>
      <c r="P1143">
        <v>4.5186035476352622E-3</v>
      </c>
      <c r="Q1143" t="s">
        <v>162</v>
      </c>
      <c r="S1143" t="s">
        <v>420</v>
      </c>
      <c r="T1143" t="s">
        <v>550</v>
      </c>
      <c r="U1143">
        <v>2.7239239539390146E-3</v>
      </c>
      <c r="V1143" t="s">
        <v>162</v>
      </c>
    </row>
    <row r="1144" spans="9:22" x14ac:dyDescent="0.45">
      <c r="I1144" t="s">
        <v>196</v>
      </c>
      <c r="J1144" t="s">
        <v>551</v>
      </c>
      <c r="K1144">
        <v>0</v>
      </c>
      <c r="L1144" t="s">
        <v>162</v>
      </c>
      <c r="N1144" t="s">
        <v>308</v>
      </c>
      <c r="O1144" t="s">
        <v>551</v>
      </c>
      <c r="P1144">
        <v>2.6300609985794074E-2</v>
      </c>
      <c r="Q1144" t="s">
        <v>162</v>
      </c>
      <c r="S1144" t="s">
        <v>420</v>
      </c>
      <c r="T1144" t="s">
        <v>551</v>
      </c>
      <c r="U1144">
        <v>1.7425445249116975E-2</v>
      </c>
      <c r="V1144" t="s">
        <v>162</v>
      </c>
    </row>
    <row r="1145" spans="9:22" x14ac:dyDescent="0.45">
      <c r="I1145" t="s">
        <v>197</v>
      </c>
      <c r="J1145" t="s">
        <v>161</v>
      </c>
      <c r="K1145">
        <v>2.3644174567684517E-9</v>
      </c>
      <c r="L1145" t="s">
        <v>162</v>
      </c>
      <c r="N1145" t="s">
        <v>309</v>
      </c>
      <c r="O1145" t="s">
        <v>161</v>
      </c>
      <c r="P1145">
        <v>3.6410151291601058E-2</v>
      </c>
      <c r="Q1145" t="s">
        <v>162</v>
      </c>
      <c r="S1145" t="s">
        <v>421</v>
      </c>
      <c r="T1145" t="s">
        <v>161</v>
      </c>
      <c r="U1145">
        <v>2.1916176626370826E-2</v>
      </c>
      <c r="V1145" t="s">
        <v>162</v>
      </c>
    </row>
    <row r="1146" spans="9:22" x14ac:dyDescent="0.45">
      <c r="I1146" t="s">
        <v>197</v>
      </c>
      <c r="J1146" t="s">
        <v>163</v>
      </c>
      <c r="K1146">
        <v>3.2245712808378259E-3</v>
      </c>
      <c r="L1146" t="s">
        <v>162</v>
      </c>
      <c r="N1146" t="s">
        <v>309</v>
      </c>
      <c r="O1146" t="s">
        <v>163</v>
      </c>
      <c r="P1146">
        <v>3.5611689575922138E-3</v>
      </c>
      <c r="Q1146" t="s">
        <v>162</v>
      </c>
      <c r="S1146" t="s">
        <v>421</v>
      </c>
      <c r="T1146" t="s">
        <v>163</v>
      </c>
      <c r="U1146">
        <v>2.358056067155734E-3</v>
      </c>
      <c r="V1146" t="s">
        <v>162</v>
      </c>
    </row>
    <row r="1147" spans="9:22" x14ac:dyDescent="0.45">
      <c r="I1147" t="s">
        <v>197</v>
      </c>
      <c r="J1147" t="s">
        <v>164</v>
      </c>
      <c r="K1147">
        <v>1.274354288642099E-2</v>
      </c>
      <c r="L1147" t="s">
        <v>162</v>
      </c>
      <c r="N1147" t="s">
        <v>309</v>
      </c>
      <c r="O1147" t="s">
        <v>164</v>
      </c>
      <c r="P1147">
        <v>5.4332201571666919E-3</v>
      </c>
      <c r="Q1147" t="s">
        <v>162</v>
      </c>
      <c r="S1147" t="s">
        <v>421</v>
      </c>
      <c r="T1147" t="s">
        <v>164</v>
      </c>
      <c r="U1147">
        <v>4.8317514745197816E-3</v>
      </c>
      <c r="V1147" t="s">
        <v>162</v>
      </c>
    </row>
    <row r="1148" spans="9:22" x14ac:dyDescent="0.45">
      <c r="I1148" t="s">
        <v>197</v>
      </c>
      <c r="J1148" t="s">
        <v>519</v>
      </c>
      <c r="K1148">
        <v>2.1865474184831826E-2</v>
      </c>
      <c r="L1148" t="s">
        <v>162</v>
      </c>
      <c r="N1148" t="s">
        <v>309</v>
      </c>
      <c r="O1148" t="s">
        <v>519</v>
      </c>
      <c r="P1148">
        <v>1.3230661782473549E-2</v>
      </c>
      <c r="Q1148" t="s">
        <v>162</v>
      </c>
      <c r="S1148" t="s">
        <v>421</v>
      </c>
      <c r="T1148" t="s">
        <v>519</v>
      </c>
      <c r="U1148">
        <v>1.2433495707143173E-2</v>
      </c>
      <c r="V1148" t="s">
        <v>162</v>
      </c>
    </row>
    <row r="1149" spans="9:22" x14ac:dyDescent="0.45">
      <c r="I1149" t="s">
        <v>197</v>
      </c>
      <c r="J1149" t="s">
        <v>520</v>
      </c>
      <c r="K1149">
        <v>0</v>
      </c>
      <c r="L1149" t="s">
        <v>162</v>
      </c>
      <c r="N1149" t="s">
        <v>309</v>
      </c>
      <c r="O1149" t="s">
        <v>520</v>
      </c>
      <c r="P1149">
        <v>3.9055663035312636E-3</v>
      </c>
      <c r="Q1149" t="s">
        <v>162</v>
      </c>
      <c r="S1149" t="s">
        <v>421</v>
      </c>
      <c r="T1149" t="s">
        <v>520</v>
      </c>
      <c r="U1149">
        <v>2.3940002974602755E-3</v>
      </c>
      <c r="V1149" t="s">
        <v>162</v>
      </c>
    </row>
    <row r="1150" spans="9:22" x14ac:dyDescent="0.45">
      <c r="I1150" t="s">
        <v>197</v>
      </c>
      <c r="J1150" t="s">
        <v>521</v>
      </c>
      <c r="K1150">
        <v>0</v>
      </c>
      <c r="L1150" t="s">
        <v>162</v>
      </c>
      <c r="N1150" t="s">
        <v>309</v>
      </c>
      <c r="O1150" t="s">
        <v>521</v>
      </c>
      <c r="P1150">
        <v>2.4321306500759258E-2</v>
      </c>
      <c r="Q1150" t="s">
        <v>162</v>
      </c>
      <c r="S1150" t="s">
        <v>421</v>
      </c>
      <c r="T1150" t="s">
        <v>521</v>
      </c>
      <c r="U1150">
        <v>1.5573732377734536E-2</v>
      </c>
      <c r="V1150" t="s">
        <v>162</v>
      </c>
    </row>
    <row r="1151" spans="9:22" x14ac:dyDescent="0.45">
      <c r="I1151" t="s">
        <v>197</v>
      </c>
      <c r="J1151" t="s">
        <v>165</v>
      </c>
      <c r="K1151">
        <v>1.4609455343657068E-2</v>
      </c>
      <c r="L1151" t="s">
        <v>162</v>
      </c>
      <c r="N1151" t="s">
        <v>309</v>
      </c>
      <c r="O1151" t="s">
        <v>165</v>
      </c>
      <c r="P1151">
        <v>4.8458883562853869E-2</v>
      </c>
      <c r="Q1151" t="s">
        <v>162</v>
      </c>
      <c r="S1151" t="s">
        <v>421</v>
      </c>
      <c r="T1151" t="s">
        <v>165</v>
      </c>
      <c r="U1151">
        <v>5.591322122854471E-2</v>
      </c>
      <c r="V1151" t="s">
        <v>162</v>
      </c>
    </row>
    <row r="1152" spans="9:22" x14ac:dyDescent="0.45">
      <c r="I1152" t="s">
        <v>197</v>
      </c>
      <c r="J1152" t="s">
        <v>166</v>
      </c>
      <c r="K1152">
        <v>1.5537345794304293E-2</v>
      </c>
      <c r="L1152" t="s">
        <v>162</v>
      </c>
      <c r="N1152" t="s">
        <v>309</v>
      </c>
      <c r="O1152" t="s">
        <v>166</v>
      </c>
      <c r="P1152">
        <v>4.3299584504220869E-3</v>
      </c>
      <c r="Q1152" t="s">
        <v>162</v>
      </c>
      <c r="S1152" t="s">
        <v>421</v>
      </c>
      <c r="T1152" t="s">
        <v>166</v>
      </c>
      <c r="U1152">
        <v>5.8547122102207624E-3</v>
      </c>
      <c r="V1152" t="s">
        <v>162</v>
      </c>
    </row>
    <row r="1153" spans="9:22" x14ac:dyDescent="0.45">
      <c r="I1153" t="s">
        <v>197</v>
      </c>
      <c r="J1153" t="s">
        <v>167</v>
      </c>
      <c r="K1153">
        <v>4.0056832074477133E-2</v>
      </c>
      <c r="L1153" t="s">
        <v>162</v>
      </c>
      <c r="N1153" t="s">
        <v>309</v>
      </c>
      <c r="O1153" t="s">
        <v>167</v>
      </c>
      <c r="P1153">
        <v>7.0753762786463443E-3</v>
      </c>
      <c r="Q1153" t="s">
        <v>162</v>
      </c>
      <c r="S1153" t="s">
        <v>421</v>
      </c>
      <c r="T1153" t="s">
        <v>167</v>
      </c>
      <c r="U1153">
        <v>1.1448643709243497E-2</v>
      </c>
      <c r="V1153" t="s">
        <v>162</v>
      </c>
    </row>
    <row r="1154" spans="9:22" x14ac:dyDescent="0.45">
      <c r="I1154" t="s">
        <v>197</v>
      </c>
      <c r="J1154" t="s">
        <v>522</v>
      </c>
      <c r="K1154">
        <v>8.7733723003392522E-2</v>
      </c>
      <c r="L1154" t="s">
        <v>162</v>
      </c>
      <c r="N1154" t="s">
        <v>309</v>
      </c>
      <c r="O1154" t="s">
        <v>522</v>
      </c>
      <c r="P1154">
        <v>2.0360338224182487E-2</v>
      </c>
      <c r="Q1154" t="s">
        <v>162</v>
      </c>
      <c r="S1154" t="s">
        <v>421</v>
      </c>
      <c r="T1154" t="s">
        <v>522</v>
      </c>
      <c r="U1154">
        <v>2.9932080638859503E-2</v>
      </c>
      <c r="V1154" t="s">
        <v>162</v>
      </c>
    </row>
    <row r="1155" spans="9:22" x14ac:dyDescent="0.45">
      <c r="I1155" t="s">
        <v>197</v>
      </c>
      <c r="J1155" t="s">
        <v>523</v>
      </c>
      <c r="K1155">
        <v>6.6154493515583092E-3</v>
      </c>
      <c r="L1155" t="s">
        <v>162</v>
      </c>
      <c r="N1155" t="s">
        <v>309</v>
      </c>
      <c r="O1155" t="s">
        <v>523</v>
      </c>
      <c r="P1155">
        <v>5.4950603592118178E-3</v>
      </c>
      <c r="Q1155" t="s">
        <v>162</v>
      </c>
      <c r="S1155" t="s">
        <v>421</v>
      </c>
      <c r="T1155" t="s">
        <v>523</v>
      </c>
      <c r="U1155">
        <v>6.2810715036802607E-3</v>
      </c>
      <c r="V1155" t="s">
        <v>162</v>
      </c>
    </row>
    <row r="1156" spans="9:22" x14ac:dyDescent="0.45">
      <c r="I1156" t="s">
        <v>197</v>
      </c>
      <c r="J1156" t="s">
        <v>524</v>
      </c>
      <c r="K1156">
        <v>1.6612862059773659E-3</v>
      </c>
      <c r="L1156" t="s">
        <v>162</v>
      </c>
      <c r="N1156" t="s">
        <v>309</v>
      </c>
      <c r="O1156" t="s">
        <v>524</v>
      </c>
      <c r="P1156">
        <v>3.8380075566593314E-2</v>
      </c>
      <c r="Q1156" t="s">
        <v>162</v>
      </c>
      <c r="S1156" t="s">
        <v>421</v>
      </c>
      <c r="T1156" t="s">
        <v>524</v>
      </c>
      <c r="U1156">
        <v>3.8626198899759927E-2</v>
      </c>
      <c r="V1156" t="s">
        <v>162</v>
      </c>
    </row>
    <row r="1157" spans="9:22" x14ac:dyDescent="0.45">
      <c r="I1157" t="s">
        <v>197</v>
      </c>
      <c r="J1157" t="s">
        <v>168</v>
      </c>
      <c r="K1157">
        <v>2.5868712845621863E-2</v>
      </c>
      <c r="L1157" t="s">
        <v>162</v>
      </c>
      <c r="N1157" t="s">
        <v>309</v>
      </c>
      <c r="O1157" t="s">
        <v>168</v>
      </c>
      <c r="P1157">
        <v>3.1543069741848159E-2</v>
      </c>
      <c r="Q1157" t="s">
        <v>162</v>
      </c>
      <c r="S1157" t="s">
        <v>421</v>
      </c>
      <c r="T1157" t="s">
        <v>168</v>
      </c>
      <c r="U1157">
        <v>3.2909523908556809E-2</v>
      </c>
      <c r="V1157" t="s">
        <v>162</v>
      </c>
    </row>
    <row r="1158" spans="9:22" x14ac:dyDescent="0.45">
      <c r="I1158" t="s">
        <v>197</v>
      </c>
      <c r="J1158" t="s">
        <v>169</v>
      </c>
      <c r="K1158">
        <v>1.3739258639949292E-2</v>
      </c>
      <c r="L1158" t="s">
        <v>162</v>
      </c>
      <c r="N1158" t="s">
        <v>309</v>
      </c>
      <c r="O1158" t="s">
        <v>169</v>
      </c>
      <c r="P1158">
        <v>2.9180186539851456E-3</v>
      </c>
      <c r="Q1158" t="s">
        <v>162</v>
      </c>
      <c r="S1158" t="s">
        <v>421</v>
      </c>
      <c r="T1158" t="s">
        <v>169</v>
      </c>
      <c r="U1158">
        <v>3.6430811198210683E-3</v>
      </c>
      <c r="V1158" t="s">
        <v>162</v>
      </c>
    </row>
    <row r="1159" spans="9:22" x14ac:dyDescent="0.45">
      <c r="I1159" t="s">
        <v>197</v>
      </c>
      <c r="J1159" t="s">
        <v>170</v>
      </c>
      <c r="K1159">
        <v>2.9449247747852837E-2</v>
      </c>
      <c r="L1159" t="s">
        <v>162</v>
      </c>
      <c r="N1159" t="s">
        <v>309</v>
      </c>
      <c r="O1159" t="s">
        <v>170</v>
      </c>
      <c r="P1159">
        <v>6.924762797577459E-3</v>
      </c>
      <c r="Q1159" t="s">
        <v>162</v>
      </c>
      <c r="S1159" t="s">
        <v>421</v>
      </c>
      <c r="T1159" t="s">
        <v>170</v>
      </c>
      <c r="U1159">
        <v>7.425362965287988E-3</v>
      </c>
      <c r="V1159" t="s">
        <v>162</v>
      </c>
    </row>
    <row r="1160" spans="9:22" x14ac:dyDescent="0.45">
      <c r="I1160" t="s">
        <v>197</v>
      </c>
      <c r="J1160" t="s">
        <v>525</v>
      </c>
      <c r="K1160">
        <v>6.4067591987682429E-2</v>
      </c>
      <c r="L1160" t="s">
        <v>162</v>
      </c>
      <c r="N1160" t="s">
        <v>309</v>
      </c>
      <c r="O1160" t="s">
        <v>525</v>
      </c>
      <c r="P1160">
        <v>2.0891722108653123E-2</v>
      </c>
      <c r="Q1160" t="s">
        <v>162</v>
      </c>
      <c r="S1160" t="s">
        <v>421</v>
      </c>
      <c r="T1160" t="s">
        <v>525</v>
      </c>
      <c r="U1160">
        <v>1.9198535315709406E-2</v>
      </c>
      <c r="V1160" t="s">
        <v>162</v>
      </c>
    </row>
    <row r="1161" spans="9:22" x14ac:dyDescent="0.45">
      <c r="I1161" t="s">
        <v>197</v>
      </c>
      <c r="J1161" t="s">
        <v>526</v>
      </c>
      <c r="K1161">
        <v>7.3684070825336461E-3</v>
      </c>
      <c r="L1161" t="s">
        <v>162</v>
      </c>
      <c r="N1161" t="s">
        <v>309</v>
      </c>
      <c r="O1161" t="s">
        <v>526</v>
      </c>
      <c r="P1161">
        <v>4.1463698557628187E-3</v>
      </c>
      <c r="Q1161" t="s">
        <v>162</v>
      </c>
      <c r="S1161" t="s">
        <v>421</v>
      </c>
      <c r="T1161" t="s">
        <v>526</v>
      </c>
      <c r="U1161">
        <v>3.7919441895372533E-3</v>
      </c>
      <c r="V1161" t="s">
        <v>162</v>
      </c>
    </row>
    <row r="1162" spans="9:22" x14ac:dyDescent="0.45">
      <c r="I1162" t="s">
        <v>197</v>
      </c>
      <c r="J1162" t="s">
        <v>527</v>
      </c>
      <c r="K1162">
        <v>4.9278154722916063E-3</v>
      </c>
      <c r="L1162" t="s">
        <v>162</v>
      </c>
      <c r="N1162" t="s">
        <v>309</v>
      </c>
      <c r="O1162" t="s">
        <v>527</v>
      </c>
      <c r="P1162">
        <v>2.719994524639226E-2</v>
      </c>
      <c r="Q1162" t="s">
        <v>162</v>
      </c>
      <c r="S1162" t="s">
        <v>421</v>
      </c>
      <c r="T1162" t="s">
        <v>527</v>
      </c>
      <c r="U1162">
        <v>2.3345974731866961E-2</v>
      </c>
      <c r="V1162" t="s">
        <v>162</v>
      </c>
    </row>
    <row r="1163" spans="9:22" x14ac:dyDescent="0.45">
      <c r="I1163" t="s">
        <v>197</v>
      </c>
      <c r="J1163" t="s">
        <v>528</v>
      </c>
      <c r="K1163">
        <v>8.0576254913057435E-2</v>
      </c>
      <c r="L1163" t="s">
        <v>162</v>
      </c>
      <c r="N1163" t="s">
        <v>309</v>
      </c>
      <c r="O1163" t="s">
        <v>528</v>
      </c>
      <c r="P1163">
        <v>8.4095054463090749E-2</v>
      </c>
      <c r="Q1163" t="s">
        <v>162</v>
      </c>
      <c r="S1163" t="s">
        <v>421</v>
      </c>
      <c r="T1163" t="s">
        <v>528</v>
      </c>
      <c r="U1163">
        <v>8.859847735785692E-2</v>
      </c>
      <c r="V1163" t="s">
        <v>162</v>
      </c>
    </row>
    <row r="1164" spans="9:22" x14ac:dyDescent="0.45">
      <c r="I1164" t="s">
        <v>197</v>
      </c>
      <c r="J1164" t="s">
        <v>529</v>
      </c>
      <c r="K1164">
        <v>3.1230183016903265E-2</v>
      </c>
      <c r="L1164" t="s">
        <v>162</v>
      </c>
      <c r="N1164" t="s">
        <v>309</v>
      </c>
      <c r="O1164" t="s">
        <v>529</v>
      </c>
      <c r="P1164">
        <v>7.1062428946505338E-3</v>
      </c>
      <c r="Q1164" t="s">
        <v>162</v>
      </c>
      <c r="S1164" t="s">
        <v>421</v>
      </c>
      <c r="T1164" t="s">
        <v>529</v>
      </c>
      <c r="U1164">
        <v>1.0593994419204866E-2</v>
      </c>
      <c r="V1164" t="s">
        <v>162</v>
      </c>
    </row>
    <row r="1165" spans="9:22" x14ac:dyDescent="0.45">
      <c r="I1165" t="s">
        <v>197</v>
      </c>
      <c r="J1165" t="s">
        <v>530</v>
      </c>
      <c r="K1165">
        <v>6.710444512258272E-2</v>
      </c>
      <c r="L1165" t="s">
        <v>162</v>
      </c>
      <c r="N1165" t="s">
        <v>309</v>
      </c>
      <c r="O1165" t="s">
        <v>530</v>
      </c>
      <c r="P1165">
        <v>1.733023946987252E-2</v>
      </c>
      <c r="Q1165" t="s">
        <v>162</v>
      </c>
      <c r="S1165" t="s">
        <v>421</v>
      </c>
      <c r="T1165" t="s">
        <v>530</v>
      </c>
      <c r="U1165">
        <v>2.195493538499645E-2</v>
      </c>
      <c r="V1165" t="s">
        <v>162</v>
      </c>
    </row>
    <row r="1166" spans="9:22" x14ac:dyDescent="0.45">
      <c r="I1166" t="s">
        <v>197</v>
      </c>
      <c r="J1166" t="s">
        <v>531</v>
      </c>
      <c r="K1166">
        <v>0.15252493357896063</v>
      </c>
      <c r="L1166" t="s">
        <v>162</v>
      </c>
      <c r="N1166" t="s">
        <v>309</v>
      </c>
      <c r="O1166" t="s">
        <v>531</v>
      </c>
      <c r="P1166">
        <v>4.9771824841844808E-2</v>
      </c>
      <c r="Q1166" t="s">
        <v>162</v>
      </c>
      <c r="S1166" t="s">
        <v>421</v>
      </c>
      <c r="T1166" t="s">
        <v>531</v>
      </c>
      <c r="U1166">
        <v>5.5614344741005073E-2</v>
      </c>
      <c r="V1166" t="s">
        <v>162</v>
      </c>
    </row>
    <row r="1167" spans="9:22" x14ac:dyDescent="0.45">
      <c r="I1167" t="s">
        <v>197</v>
      </c>
      <c r="J1167" t="s">
        <v>532</v>
      </c>
      <c r="K1167">
        <v>2.0107100696102307E-2</v>
      </c>
      <c r="L1167" t="s">
        <v>162</v>
      </c>
      <c r="N1167" t="s">
        <v>309</v>
      </c>
      <c r="O1167" t="s">
        <v>532</v>
      </c>
      <c r="P1167">
        <v>9.1524487429531908E-3</v>
      </c>
      <c r="Q1167" t="s">
        <v>162</v>
      </c>
      <c r="S1167" t="s">
        <v>421</v>
      </c>
      <c r="T1167" t="s">
        <v>532</v>
      </c>
      <c r="U1167">
        <v>1.0179203344176251E-2</v>
      </c>
      <c r="V1167" t="s">
        <v>162</v>
      </c>
    </row>
    <row r="1168" spans="9:22" x14ac:dyDescent="0.45">
      <c r="I1168" t="s">
        <v>197</v>
      </c>
      <c r="J1168" t="s">
        <v>533</v>
      </c>
      <c r="K1168">
        <v>3.0132079042137928E-2</v>
      </c>
      <c r="L1168" t="s">
        <v>162</v>
      </c>
      <c r="N1168" t="s">
        <v>309</v>
      </c>
      <c r="O1168" t="s">
        <v>533</v>
      </c>
      <c r="P1168">
        <v>6.5840678263737212E-2</v>
      </c>
      <c r="Q1168" t="s">
        <v>162</v>
      </c>
      <c r="S1168" t="s">
        <v>421</v>
      </c>
      <c r="T1168" t="s">
        <v>533</v>
      </c>
      <c r="U1168">
        <v>6.077530767453878E-2</v>
      </c>
      <c r="V1168" t="s">
        <v>162</v>
      </c>
    </row>
    <row r="1169" spans="9:22" x14ac:dyDescent="0.45">
      <c r="I1169" t="s">
        <v>197</v>
      </c>
      <c r="J1169" t="s">
        <v>534</v>
      </c>
      <c r="K1169">
        <v>3.840675822428443E-2</v>
      </c>
      <c r="L1169" t="s">
        <v>162</v>
      </c>
      <c r="N1169" t="s">
        <v>309</v>
      </c>
      <c r="O1169" t="s">
        <v>534</v>
      </c>
      <c r="P1169">
        <v>0.10495048603591692</v>
      </c>
      <c r="Q1169" t="s">
        <v>162</v>
      </c>
      <c r="S1169" t="s">
        <v>421</v>
      </c>
      <c r="T1169" t="s">
        <v>534</v>
      </c>
      <c r="U1169">
        <v>0.10680125221005946</v>
      </c>
      <c r="V1169" t="s">
        <v>162</v>
      </c>
    </row>
    <row r="1170" spans="9:22" x14ac:dyDescent="0.45">
      <c r="I1170" t="s">
        <v>197</v>
      </c>
      <c r="J1170" t="s">
        <v>535</v>
      </c>
      <c r="K1170">
        <v>2.0625654571813347E-2</v>
      </c>
      <c r="L1170" t="s">
        <v>162</v>
      </c>
      <c r="N1170" t="s">
        <v>309</v>
      </c>
      <c r="O1170" t="s">
        <v>535</v>
      </c>
      <c r="P1170">
        <v>8.9373563345593269E-3</v>
      </c>
      <c r="Q1170" t="s">
        <v>162</v>
      </c>
      <c r="S1170" t="s">
        <v>421</v>
      </c>
      <c r="T1170" t="s">
        <v>535</v>
      </c>
      <c r="U1170">
        <v>1.1205784863871823E-2</v>
      </c>
      <c r="V1170" t="s">
        <v>162</v>
      </c>
    </row>
    <row r="1171" spans="9:22" x14ac:dyDescent="0.45">
      <c r="I1171" t="s">
        <v>197</v>
      </c>
      <c r="J1171" t="s">
        <v>536</v>
      </c>
      <c r="K1171">
        <v>4.4374152964343987E-2</v>
      </c>
      <c r="L1171" t="s">
        <v>162</v>
      </c>
      <c r="N1171" t="s">
        <v>309</v>
      </c>
      <c r="O1171" t="s">
        <v>536</v>
      </c>
      <c r="P1171">
        <v>1.7890002087882495E-2</v>
      </c>
      <c r="Q1171" t="s">
        <v>162</v>
      </c>
      <c r="S1171" t="s">
        <v>421</v>
      </c>
      <c r="T1171" t="s">
        <v>536</v>
      </c>
      <c r="U1171">
        <v>2.2362618051993011E-2</v>
      </c>
      <c r="V1171" t="s">
        <v>162</v>
      </c>
    </row>
    <row r="1172" spans="9:22" x14ac:dyDescent="0.45">
      <c r="I1172" t="s">
        <v>197</v>
      </c>
      <c r="J1172" t="s">
        <v>537</v>
      </c>
      <c r="K1172">
        <v>8.9875720402843223E-2</v>
      </c>
      <c r="L1172" t="s">
        <v>162</v>
      </c>
      <c r="N1172" t="s">
        <v>309</v>
      </c>
      <c r="O1172" t="s">
        <v>537</v>
      </c>
      <c r="P1172">
        <v>4.7271310300560317E-2</v>
      </c>
      <c r="Q1172" t="s">
        <v>162</v>
      </c>
      <c r="S1172" t="s">
        <v>421</v>
      </c>
      <c r="T1172" t="s">
        <v>537</v>
      </c>
      <c r="U1172">
        <v>5.7903440671640723E-2</v>
      </c>
      <c r="V1172" t="s">
        <v>162</v>
      </c>
    </row>
    <row r="1173" spans="9:22" x14ac:dyDescent="0.45">
      <c r="I1173" t="s">
        <v>197</v>
      </c>
      <c r="J1173" t="s">
        <v>538</v>
      </c>
      <c r="K1173">
        <v>8.5790373257132058E-3</v>
      </c>
      <c r="L1173" t="s">
        <v>162</v>
      </c>
      <c r="N1173" t="s">
        <v>309</v>
      </c>
      <c r="O1173" t="s">
        <v>538</v>
      </c>
      <c r="P1173">
        <v>9.4331658204967056E-3</v>
      </c>
      <c r="Q1173" t="s">
        <v>162</v>
      </c>
      <c r="S1173" t="s">
        <v>421</v>
      </c>
      <c r="T1173" t="s">
        <v>538</v>
      </c>
      <c r="U1173">
        <v>1.1491229168294849E-2</v>
      </c>
      <c r="V1173" t="s">
        <v>162</v>
      </c>
    </row>
    <row r="1174" spans="9:22" x14ac:dyDescent="0.45">
      <c r="I1174" t="s">
        <v>197</v>
      </c>
      <c r="J1174" t="s">
        <v>539</v>
      </c>
      <c r="K1174">
        <v>6.3639899680897347E-3</v>
      </c>
      <c r="L1174" t="s">
        <v>162</v>
      </c>
      <c r="N1174" t="s">
        <v>309</v>
      </c>
      <c r="O1174" t="s">
        <v>539</v>
      </c>
      <c r="P1174">
        <v>7.3214699615515424E-2</v>
      </c>
      <c r="Q1174" t="s">
        <v>162</v>
      </c>
      <c r="S1174" t="s">
        <v>421</v>
      </c>
      <c r="T1174" t="s">
        <v>539</v>
      </c>
      <c r="U1174">
        <v>6.852924548136502E-2</v>
      </c>
      <c r="V1174" t="s">
        <v>162</v>
      </c>
    </row>
    <row r="1175" spans="9:22" x14ac:dyDescent="0.45">
      <c r="I1175" t="s">
        <v>197</v>
      </c>
      <c r="J1175" t="s">
        <v>540</v>
      </c>
      <c r="K1175">
        <v>8.2907847790634126E-4</v>
      </c>
      <c r="L1175" t="s">
        <v>162</v>
      </c>
      <c r="N1175" t="s">
        <v>309</v>
      </c>
      <c r="O1175" t="s">
        <v>540</v>
      </c>
      <c r="P1175">
        <v>4.000598269135628E-2</v>
      </c>
      <c r="Q1175" t="s">
        <v>162</v>
      </c>
      <c r="S1175" t="s">
        <v>421</v>
      </c>
      <c r="T1175" t="s">
        <v>540</v>
      </c>
      <c r="U1175">
        <v>4.2437809411328645E-2</v>
      </c>
      <c r="V1175" t="s">
        <v>162</v>
      </c>
    </row>
    <row r="1176" spans="9:22" x14ac:dyDescent="0.45">
      <c r="I1176" t="s">
        <v>197</v>
      </c>
      <c r="J1176" t="s">
        <v>541</v>
      </c>
      <c r="K1176">
        <v>2.7711237229274144E-3</v>
      </c>
      <c r="L1176" t="s">
        <v>162</v>
      </c>
      <c r="N1176" t="s">
        <v>309</v>
      </c>
      <c r="O1176" t="s">
        <v>541</v>
      </c>
      <c r="P1176">
        <v>3.9802749480273916E-3</v>
      </c>
      <c r="Q1176" t="s">
        <v>162</v>
      </c>
      <c r="S1176" t="s">
        <v>421</v>
      </c>
      <c r="T1176" t="s">
        <v>541</v>
      </c>
      <c r="U1176">
        <v>4.9101715407701549E-3</v>
      </c>
      <c r="V1176" t="s">
        <v>162</v>
      </c>
    </row>
    <row r="1177" spans="9:22" x14ac:dyDescent="0.45">
      <c r="I1177" t="s">
        <v>197</v>
      </c>
      <c r="J1177" t="s">
        <v>542</v>
      </c>
      <c r="K1177">
        <v>8.7898735422071821E-3</v>
      </c>
      <c r="L1177" t="s">
        <v>162</v>
      </c>
      <c r="N1177" t="s">
        <v>309</v>
      </c>
      <c r="O1177" t="s">
        <v>542</v>
      </c>
      <c r="P1177">
        <v>7.0359610045394472E-3</v>
      </c>
      <c r="Q1177" t="s">
        <v>162</v>
      </c>
      <c r="S1177" t="s">
        <v>421</v>
      </c>
      <c r="T1177" t="s">
        <v>542</v>
      </c>
      <c r="U1177">
        <v>9.860111121352268E-3</v>
      </c>
      <c r="V1177" t="s">
        <v>162</v>
      </c>
    </row>
    <row r="1178" spans="9:22" x14ac:dyDescent="0.45">
      <c r="I1178" t="s">
        <v>197</v>
      </c>
      <c r="J1178" t="s">
        <v>543</v>
      </c>
      <c r="K1178">
        <v>1.3654706140301318E-2</v>
      </c>
      <c r="L1178" t="s">
        <v>162</v>
      </c>
      <c r="N1178" t="s">
        <v>309</v>
      </c>
      <c r="O1178" t="s">
        <v>543</v>
      </c>
      <c r="P1178">
        <v>1.913083323840966E-2</v>
      </c>
      <c r="Q1178" t="s">
        <v>162</v>
      </c>
      <c r="S1178" t="s">
        <v>421</v>
      </c>
      <c r="T1178" t="s">
        <v>543</v>
      </c>
      <c r="U1178">
        <v>2.3314923698429423E-2</v>
      </c>
      <c r="V1178" t="s">
        <v>162</v>
      </c>
    </row>
    <row r="1179" spans="9:22" x14ac:dyDescent="0.45">
      <c r="I1179" t="s">
        <v>197</v>
      </c>
      <c r="J1179" t="s">
        <v>544</v>
      </c>
      <c r="K1179">
        <v>0</v>
      </c>
      <c r="L1179" t="s">
        <v>162</v>
      </c>
      <c r="N1179" t="s">
        <v>309</v>
      </c>
      <c r="O1179" t="s">
        <v>544</v>
      </c>
      <c r="P1179">
        <v>4.9723411225197469E-3</v>
      </c>
      <c r="Q1179" t="s">
        <v>162</v>
      </c>
      <c r="S1179" t="s">
        <v>421</v>
      </c>
      <c r="T1179" t="s">
        <v>544</v>
      </c>
      <c r="U1179">
        <v>4.4020831892497133E-3</v>
      </c>
      <c r="V1179" t="s">
        <v>162</v>
      </c>
    </row>
    <row r="1180" spans="9:22" x14ac:dyDescent="0.45">
      <c r="I1180" t="s">
        <v>197</v>
      </c>
      <c r="J1180" t="s">
        <v>545</v>
      </c>
      <c r="K1180">
        <v>0</v>
      </c>
      <c r="L1180" t="s">
        <v>162</v>
      </c>
      <c r="N1180" t="s">
        <v>309</v>
      </c>
      <c r="O1180" t="s">
        <v>545</v>
      </c>
      <c r="P1180">
        <v>2.9214964092112366E-2</v>
      </c>
      <c r="Q1180" t="s">
        <v>162</v>
      </c>
      <c r="S1180" t="s">
        <v>421</v>
      </c>
      <c r="T1180" t="s">
        <v>545</v>
      </c>
      <c r="U1180">
        <v>2.6093324570857567E-2</v>
      </c>
      <c r="V1180" t="s">
        <v>162</v>
      </c>
    </row>
    <row r="1181" spans="9:22" x14ac:dyDescent="0.45">
      <c r="I1181" t="s">
        <v>197</v>
      </c>
      <c r="J1181" t="s">
        <v>546</v>
      </c>
      <c r="K1181">
        <v>0</v>
      </c>
      <c r="L1181" t="s">
        <v>162</v>
      </c>
      <c r="N1181" t="s">
        <v>309</v>
      </c>
      <c r="O1181" t="s">
        <v>546</v>
      </c>
      <c r="P1181">
        <v>3.6593708084005666E-2</v>
      </c>
      <c r="Q1181" t="s">
        <v>162</v>
      </c>
      <c r="S1181" t="s">
        <v>421</v>
      </c>
      <c r="T1181" t="s">
        <v>546</v>
      </c>
      <c r="U1181">
        <v>2.7157802751137636E-2</v>
      </c>
      <c r="V1181" t="s">
        <v>162</v>
      </c>
    </row>
    <row r="1182" spans="9:22" x14ac:dyDescent="0.45">
      <c r="I1182" t="s">
        <v>197</v>
      </c>
      <c r="J1182" t="s">
        <v>547</v>
      </c>
      <c r="K1182">
        <v>3.358615940956192E-3</v>
      </c>
      <c r="L1182" t="s">
        <v>162</v>
      </c>
      <c r="N1182" t="s">
        <v>309</v>
      </c>
      <c r="O1182" t="s">
        <v>547</v>
      </c>
      <c r="P1182">
        <v>4.0397892840920487E-3</v>
      </c>
      <c r="Q1182" t="s">
        <v>162</v>
      </c>
      <c r="S1182" t="s">
        <v>421</v>
      </c>
      <c r="T1182" t="s">
        <v>547</v>
      </c>
      <c r="U1182">
        <v>2.789398687636118E-3</v>
      </c>
      <c r="V1182" t="s">
        <v>162</v>
      </c>
    </row>
    <row r="1183" spans="9:22" x14ac:dyDescent="0.45">
      <c r="I1183" t="s">
        <v>197</v>
      </c>
      <c r="J1183" t="s">
        <v>548</v>
      </c>
      <c r="K1183">
        <v>1.2469618704982754E-2</v>
      </c>
      <c r="L1183" t="s">
        <v>162</v>
      </c>
      <c r="N1183" t="s">
        <v>309</v>
      </c>
      <c r="O1183" t="s">
        <v>548</v>
      </c>
      <c r="P1183">
        <v>6.8865366323227917E-3</v>
      </c>
      <c r="Q1183" t="s">
        <v>162</v>
      </c>
      <c r="S1183" t="s">
        <v>421</v>
      </c>
      <c r="T1183" t="s">
        <v>548</v>
      </c>
      <c r="U1183">
        <v>5.4186565617015932E-3</v>
      </c>
      <c r="V1183" t="s">
        <v>162</v>
      </c>
    </row>
    <row r="1184" spans="9:22" x14ac:dyDescent="0.45">
      <c r="I1184" t="s">
        <v>197</v>
      </c>
      <c r="J1184" t="s">
        <v>549</v>
      </c>
      <c r="K1184">
        <v>1.8757957378083143E-2</v>
      </c>
      <c r="L1184" t="s">
        <v>162</v>
      </c>
      <c r="N1184" t="s">
        <v>309</v>
      </c>
      <c r="O1184" t="s">
        <v>549</v>
      </c>
      <c r="P1184">
        <v>1.7469134471139493E-2</v>
      </c>
      <c r="Q1184" t="s">
        <v>162</v>
      </c>
      <c r="S1184" t="s">
        <v>421</v>
      </c>
      <c r="T1184" t="s">
        <v>549</v>
      </c>
      <c r="U1184">
        <v>1.2686587820364203E-2</v>
      </c>
      <c r="V1184" t="s">
        <v>162</v>
      </c>
    </row>
    <row r="1185" spans="9:22" x14ac:dyDescent="0.45">
      <c r="I1185" t="s">
        <v>197</v>
      </c>
      <c r="J1185" t="s">
        <v>550</v>
      </c>
      <c r="K1185">
        <v>0</v>
      </c>
      <c r="L1185" t="s">
        <v>162</v>
      </c>
      <c r="N1185" t="s">
        <v>309</v>
      </c>
      <c r="O1185" t="s">
        <v>550</v>
      </c>
      <c r="P1185">
        <v>4.5875431019871101E-3</v>
      </c>
      <c r="Q1185" t="s">
        <v>162</v>
      </c>
      <c r="S1185" t="s">
        <v>421</v>
      </c>
      <c r="T1185" t="s">
        <v>550</v>
      </c>
      <c r="U1185">
        <v>2.3554074890857488E-3</v>
      </c>
      <c r="V1185" t="s">
        <v>162</v>
      </c>
    </row>
    <row r="1186" spans="9:22" x14ac:dyDescent="0.45">
      <c r="I1186" t="s">
        <v>197</v>
      </c>
      <c r="J1186" t="s">
        <v>551</v>
      </c>
      <c r="K1186">
        <v>0</v>
      </c>
      <c r="L1186" t="s">
        <v>162</v>
      </c>
      <c r="N1186" t="s">
        <v>309</v>
      </c>
      <c r="O1186" t="s">
        <v>551</v>
      </c>
      <c r="P1186">
        <v>2.6503766619154941E-2</v>
      </c>
      <c r="Q1186" t="s">
        <v>162</v>
      </c>
      <c r="S1186" t="s">
        <v>421</v>
      </c>
      <c r="T1186" t="s">
        <v>551</v>
      </c>
      <c r="U1186">
        <v>1.468632681760638E-2</v>
      </c>
      <c r="V1186" t="s">
        <v>162</v>
      </c>
    </row>
    <row r="1187" spans="9:22" x14ac:dyDescent="0.45">
      <c r="I1187" t="s">
        <v>198</v>
      </c>
      <c r="J1187" t="s">
        <v>161</v>
      </c>
      <c r="K1187">
        <v>1.4152305998279885E-4</v>
      </c>
      <c r="L1187" t="s">
        <v>162</v>
      </c>
      <c r="N1187" t="s">
        <v>310</v>
      </c>
      <c r="O1187" t="s">
        <v>161</v>
      </c>
      <c r="P1187">
        <v>3.0261323140067981E-2</v>
      </c>
      <c r="Q1187" t="s">
        <v>162</v>
      </c>
      <c r="S1187" t="s">
        <v>422</v>
      </c>
      <c r="T1187" t="s">
        <v>161</v>
      </c>
      <c r="U1187">
        <v>2.6585474174630343E-2</v>
      </c>
      <c r="V1187" t="s">
        <v>162</v>
      </c>
    </row>
    <row r="1188" spans="9:22" x14ac:dyDescent="0.45">
      <c r="I1188" t="s">
        <v>198</v>
      </c>
      <c r="J1188" t="s">
        <v>163</v>
      </c>
      <c r="K1188">
        <v>3.793844967670738E-3</v>
      </c>
      <c r="L1188" t="s">
        <v>162</v>
      </c>
      <c r="N1188" t="s">
        <v>310</v>
      </c>
      <c r="O1188" t="s">
        <v>163</v>
      </c>
      <c r="P1188">
        <v>3.5150607348559283E-3</v>
      </c>
      <c r="Q1188" t="s">
        <v>162</v>
      </c>
      <c r="S1188" t="s">
        <v>422</v>
      </c>
      <c r="T1188" t="s">
        <v>163</v>
      </c>
      <c r="U1188">
        <v>2.8354853986133802E-3</v>
      </c>
      <c r="V1188" t="s">
        <v>162</v>
      </c>
    </row>
    <row r="1189" spans="9:22" x14ac:dyDescent="0.45">
      <c r="I1189" t="s">
        <v>198</v>
      </c>
      <c r="J1189" t="s">
        <v>164</v>
      </c>
      <c r="K1189">
        <v>1.2770323631171573E-2</v>
      </c>
      <c r="L1189" t="s">
        <v>162</v>
      </c>
      <c r="N1189" t="s">
        <v>310</v>
      </c>
      <c r="O1189" t="s">
        <v>164</v>
      </c>
      <c r="P1189">
        <v>6.6398797233919024E-3</v>
      </c>
      <c r="Q1189" t="s">
        <v>162</v>
      </c>
      <c r="S1189" t="s">
        <v>422</v>
      </c>
      <c r="T1189" t="s">
        <v>164</v>
      </c>
      <c r="U1189">
        <v>5.8251778448655629E-3</v>
      </c>
      <c r="V1189" t="s">
        <v>162</v>
      </c>
    </row>
    <row r="1190" spans="9:22" x14ac:dyDescent="0.45">
      <c r="I1190" t="s">
        <v>198</v>
      </c>
      <c r="J1190" t="s">
        <v>519</v>
      </c>
      <c r="K1190">
        <v>2.1569911016743055E-2</v>
      </c>
      <c r="L1190" t="s">
        <v>162</v>
      </c>
      <c r="N1190" t="s">
        <v>310</v>
      </c>
      <c r="O1190" t="s">
        <v>519</v>
      </c>
      <c r="P1190">
        <v>1.4658602183330099E-2</v>
      </c>
      <c r="Q1190" t="s">
        <v>162</v>
      </c>
      <c r="S1190" t="s">
        <v>422</v>
      </c>
      <c r="T1190" t="s">
        <v>519</v>
      </c>
      <c r="U1190">
        <v>1.4565473671977934E-2</v>
      </c>
      <c r="V1190" t="s">
        <v>162</v>
      </c>
    </row>
    <row r="1191" spans="9:22" x14ac:dyDescent="0.45">
      <c r="I1191" t="s">
        <v>198</v>
      </c>
      <c r="J1191" t="s">
        <v>520</v>
      </c>
      <c r="K1191">
        <v>0</v>
      </c>
      <c r="L1191" t="s">
        <v>162</v>
      </c>
      <c r="N1191" t="s">
        <v>310</v>
      </c>
      <c r="O1191" t="s">
        <v>520</v>
      </c>
      <c r="P1191">
        <v>3.4020401775594795E-3</v>
      </c>
      <c r="Q1191" t="s">
        <v>162</v>
      </c>
      <c r="S1191" t="s">
        <v>422</v>
      </c>
      <c r="T1191" t="s">
        <v>520</v>
      </c>
      <c r="U1191">
        <v>2.7961292476729937E-3</v>
      </c>
      <c r="V1191" t="s">
        <v>162</v>
      </c>
    </row>
    <row r="1192" spans="9:22" x14ac:dyDescent="0.45">
      <c r="I1192" t="s">
        <v>198</v>
      </c>
      <c r="J1192" t="s">
        <v>521</v>
      </c>
      <c r="K1192">
        <v>0</v>
      </c>
      <c r="L1192" t="s">
        <v>162</v>
      </c>
      <c r="N1192" t="s">
        <v>310</v>
      </c>
      <c r="O1192" t="s">
        <v>521</v>
      </c>
      <c r="P1192">
        <v>2.2119841944341564E-2</v>
      </c>
      <c r="Q1192" t="s">
        <v>162</v>
      </c>
      <c r="S1192" t="s">
        <v>422</v>
      </c>
      <c r="T1192" t="s">
        <v>521</v>
      </c>
      <c r="U1192">
        <v>1.8362152737761695E-2</v>
      </c>
      <c r="V1192" t="s">
        <v>162</v>
      </c>
    </row>
    <row r="1193" spans="9:22" x14ac:dyDescent="0.45">
      <c r="I1193" t="s">
        <v>198</v>
      </c>
      <c r="J1193" t="s">
        <v>165</v>
      </c>
      <c r="K1193">
        <v>1.644195588245E-2</v>
      </c>
      <c r="L1193" t="s">
        <v>162</v>
      </c>
      <c r="N1193" t="s">
        <v>310</v>
      </c>
      <c r="O1193" t="s">
        <v>165</v>
      </c>
      <c r="P1193">
        <v>5.4902533214518878E-2</v>
      </c>
      <c r="Q1193" t="s">
        <v>162</v>
      </c>
      <c r="S1193" t="s">
        <v>422</v>
      </c>
      <c r="T1193" t="s">
        <v>165</v>
      </c>
      <c r="U1193">
        <v>5.5083129195113191E-2</v>
      </c>
      <c r="V1193" t="s">
        <v>162</v>
      </c>
    </row>
    <row r="1194" spans="9:22" x14ac:dyDescent="0.45">
      <c r="I1194" t="s">
        <v>198</v>
      </c>
      <c r="J1194" t="s">
        <v>166</v>
      </c>
      <c r="K1194">
        <v>1.6011560699816092E-2</v>
      </c>
      <c r="L1194" t="s">
        <v>162</v>
      </c>
      <c r="N1194" t="s">
        <v>310</v>
      </c>
      <c r="O1194" t="s">
        <v>166</v>
      </c>
      <c r="P1194">
        <v>5.4646262445544793E-3</v>
      </c>
      <c r="Q1194" t="s">
        <v>162</v>
      </c>
      <c r="S1194" t="s">
        <v>422</v>
      </c>
      <c r="T1194" t="s">
        <v>166</v>
      </c>
      <c r="U1194">
        <v>5.9576748259096554E-3</v>
      </c>
      <c r="V1194" t="s">
        <v>162</v>
      </c>
    </row>
    <row r="1195" spans="9:22" x14ac:dyDescent="0.45">
      <c r="I1195" t="s">
        <v>198</v>
      </c>
      <c r="J1195" t="s">
        <v>167</v>
      </c>
      <c r="K1195">
        <v>3.7952885768898804E-2</v>
      </c>
      <c r="L1195" t="s">
        <v>162</v>
      </c>
      <c r="N1195" t="s">
        <v>310</v>
      </c>
      <c r="O1195" t="s">
        <v>167</v>
      </c>
      <c r="P1195">
        <v>9.964560370548891E-3</v>
      </c>
      <c r="Q1195" t="s">
        <v>162</v>
      </c>
      <c r="S1195" t="s">
        <v>422</v>
      </c>
      <c r="T1195" t="s">
        <v>167</v>
      </c>
      <c r="U1195">
        <v>1.1548505731953979E-2</v>
      </c>
      <c r="V1195" t="s">
        <v>162</v>
      </c>
    </row>
    <row r="1196" spans="9:22" x14ac:dyDescent="0.45">
      <c r="I1196" t="s">
        <v>198</v>
      </c>
      <c r="J1196" t="s">
        <v>522</v>
      </c>
      <c r="K1196">
        <v>8.2886548131086424E-2</v>
      </c>
      <c r="L1196" t="s">
        <v>162</v>
      </c>
      <c r="N1196" t="s">
        <v>310</v>
      </c>
      <c r="O1196" t="s">
        <v>522</v>
      </c>
      <c r="P1196">
        <v>2.6308902234273429E-2</v>
      </c>
      <c r="Q1196" t="s">
        <v>162</v>
      </c>
      <c r="S1196" t="s">
        <v>422</v>
      </c>
      <c r="T1196" t="s">
        <v>522</v>
      </c>
      <c r="U1196">
        <v>2.6395319942787272E-2</v>
      </c>
      <c r="V1196" t="s">
        <v>162</v>
      </c>
    </row>
    <row r="1197" spans="9:22" x14ac:dyDescent="0.45">
      <c r="I1197" t="s">
        <v>198</v>
      </c>
      <c r="J1197" t="s">
        <v>523</v>
      </c>
      <c r="K1197">
        <v>4.9518328195708059E-3</v>
      </c>
      <c r="L1197" t="s">
        <v>162</v>
      </c>
      <c r="N1197" t="s">
        <v>310</v>
      </c>
      <c r="O1197" t="s">
        <v>523</v>
      </c>
      <c r="P1197">
        <v>6.5616662879672489E-3</v>
      </c>
      <c r="Q1197" t="s">
        <v>162</v>
      </c>
      <c r="S1197" t="s">
        <v>422</v>
      </c>
      <c r="T1197" t="s">
        <v>523</v>
      </c>
      <c r="U1197">
        <v>5.0235005603482237E-3</v>
      </c>
      <c r="V1197" t="s">
        <v>162</v>
      </c>
    </row>
    <row r="1198" spans="9:22" x14ac:dyDescent="0.45">
      <c r="I1198" t="s">
        <v>198</v>
      </c>
      <c r="J1198" t="s">
        <v>524</v>
      </c>
      <c r="K1198">
        <v>1.1369087292881659E-3</v>
      </c>
      <c r="L1198" t="s">
        <v>162</v>
      </c>
      <c r="N1198" t="s">
        <v>310</v>
      </c>
      <c r="O1198" t="s">
        <v>524</v>
      </c>
      <c r="P1198">
        <v>4.2879253048867971E-2</v>
      </c>
      <c r="Q1198" t="s">
        <v>162</v>
      </c>
      <c r="S1198" t="s">
        <v>422</v>
      </c>
      <c r="T1198" t="s">
        <v>524</v>
      </c>
      <c r="U1198">
        <v>3.1714588798351394E-2</v>
      </c>
      <c r="V1198" t="s">
        <v>162</v>
      </c>
    </row>
    <row r="1199" spans="9:22" x14ac:dyDescent="0.45">
      <c r="I1199" t="s">
        <v>198</v>
      </c>
      <c r="J1199" t="s">
        <v>168</v>
      </c>
      <c r="K1199">
        <v>2.8567629620358175E-2</v>
      </c>
      <c r="L1199" t="s">
        <v>162</v>
      </c>
      <c r="N1199" t="s">
        <v>310</v>
      </c>
      <c r="O1199" t="s">
        <v>168</v>
      </c>
      <c r="P1199">
        <v>2.9681922760181161E-2</v>
      </c>
      <c r="Q1199" t="s">
        <v>162</v>
      </c>
      <c r="S1199" t="s">
        <v>422</v>
      </c>
      <c r="T1199" t="s">
        <v>168</v>
      </c>
      <c r="U1199">
        <v>3.2800589910302373E-2</v>
      </c>
      <c r="V1199" t="s">
        <v>162</v>
      </c>
    </row>
    <row r="1200" spans="9:22" x14ac:dyDescent="0.45">
      <c r="I1200" t="s">
        <v>198</v>
      </c>
      <c r="J1200" t="s">
        <v>169</v>
      </c>
      <c r="K1200">
        <v>1.3395612842409969E-2</v>
      </c>
      <c r="L1200" t="s">
        <v>162</v>
      </c>
      <c r="N1200" t="s">
        <v>310</v>
      </c>
      <c r="O1200" t="s">
        <v>169</v>
      </c>
      <c r="P1200">
        <v>2.7682481310471324E-3</v>
      </c>
      <c r="Q1200" t="s">
        <v>162</v>
      </c>
      <c r="S1200" t="s">
        <v>422</v>
      </c>
      <c r="T1200" t="s">
        <v>169</v>
      </c>
      <c r="U1200">
        <v>3.3984260252716619E-3</v>
      </c>
      <c r="V1200" t="s">
        <v>162</v>
      </c>
    </row>
    <row r="1201" spans="9:22" x14ac:dyDescent="0.45">
      <c r="I1201" t="s">
        <v>198</v>
      </c>
      <c r="J1201" t="s">
        <v>170</v>
      </c>
      <c r="K1201">
        <v>2.7985106949078933E-2</v>
      </c>
      <c r="L1201" t="s">
        <v>162</v>
      </c>
      <c r="N1201" t="s">
        <v>310</v>
      </c>
      <c r="O1201" t="s">
        <v>170</v>
      </c>
      <c r="P1201">
        <v>5.7431521006079452E-3</v>
      </c>
      <c r="Q1201" t="s">
        <v>162</v>
      </c>
      <c r="S1201" t="s">
        <v>422</v>
      </c>
      <c r="T1201" t="s">
        <v>170</v>
      </c>
      <c r="U1201">
        <v>6.9600217161250016E-3</v>
      </c>
      <c r="V1201" t="s">
        <v>162</v>
      </c>
    </row>
    <row r="1202" spans="9:22" x14ac:dyDescent="0.45">
      <c r="I1202" t="s">
        <v>198</v>
      </c>
      <c r="J1202" t="s">
        <v>525</v>
      </c>
      <c r="K1202">
        <v>6.4619017993634786E-2</v>
      </c>
      <c r="L1202" t="s">
        <v>162</v>
      </c>
      <c r="N1202" t="s">
        <v>310</v>
      </c>
      <c r="O1202" t="s">
        <v>525</v>
      </c>
      <c r="P1202">
        <v>1.6195080964576999E-2</v>
      </c>
      <c r="Q1202" t="s">
        <v>162</v>
      </c>
      <c r="S1202" t="s">
        <v>422</v>
      </c>
      <c r="T1202" t="s">
        <v>525</v>
      </c>
      <c r="U1202">
        <v>1.8490377400433262E-2</v>
      </c>
      <c r="V1202" t="s">
        <v>162</v>
      </c>
    </row>
    <row r="1203" spans="9:22" x14ac:dyDescent="0.45">
      <c r="I1203" t="s">
        <v>198</v>
      </c>
      <c r="J1203" t="s">
        <v>526</v>
      </c>
      <c r="K1203">
        <v>8.1480875572475468E-3</v>
      </c>
      <c r="L1203" t="s">
        <v>162</v>
      </c>
      <c r="N1203" t="s">
        <v>310</v>
      </c>
      <c r="O1203" t="s">
        <v>526</v>
      </c>
      <c r="P1203">
        <v>3.3111379891491207E-3</v>
      </c>
      <c r="Q1203" t="s">
        <v>162</v>
      </c>
      <c r="S1203" t="s">
        <v>422</v>
      </c>
      <c r="T1203" t="s">
        <v>526</v>
      </c>
      <c r="U1203">
        <v>3.7806418422552473E-3</v>
      </c>
      <c r="V1203" t="s">
        <v>162</v>
      </c>
    </row>
    <row r="1204" spans="9:22" x14ac:dyDescent="0.45">
      <c r="I1204" t="s">
        <v>198</v>
      </c>
      <c r="J1204" t="s">
        <v>527</v>
      </c>
      <c r="K1204">
        <v>5.8437386026292462E-3</v>
      </c>
      <c r="L1204" t="s">
        <v>162</v>
      </c>
      <c r="N1204" t="s">
        <v>310</v>
      </c>
      <c r="O1204" t="s">
        <v>527</v>
      </c>
      <c r="P1204">
        <v>2.2091469006789013E-2</v>
      </c>
      <c r="Q1204" t="s">
        <v>162</v>
      </c>
      <c r="S1204" t="s">
        <v>422</v>
      </c>
      <c r="T1204" t="s">
        <v>527</v>
      </c>
      <c r="U1204">
        <v>2.3542519819627503E-2</v>
      </c>
      <c r="V1204" t="s">
        <v>162</v>
      </c>
    </row>
    <row r="1205" spans="9:22" x14ac:dyDescent="0.45">
      <c r="I1205" t="s">
        <v>198</v>
      </c>
      <c r="J1205" t="s">
        <v>528</v>
      </c>
      <c r="K1205">
        <v>9.0991697665495627E-2</v>
      </c>
      <c r="L1205" t="s">
        <v>162</v>
      </c>
      <c r="N1205" t="s">
        <v>310</v>
      </c>
      <c r="O1205" t="s">
        <v>528</v>
      </c>
      <c r="P1205">
        <v>8.9684061443211407E-2</v>
      </c>
      <c r="Q1205" t="s">
        <v>162</v>
      </c>
      <c r="S1205" t="s">
        <v>422</v>
      </c>
      <c r="T1205" t="s">
        <v>528</v>
      </c>
      <c r="U1205">
        <v>8.6385397678514553E-2</v>
      </c>
      <c r="V1205" t="s">
        <v>162</v>
      </c>
    </row>
    <row r="1206" spans="9:22" x14ac:dyDescent="0.45">
      <c r="I1206" t="s">
        <v>198</v>
      </c>
      <c r="J1206" t="s">
        <v>529</v>
      </c>
      <c r="K1206">
        <v>3.2849466183353868E-2</v>
      </c>
      <c r="L1206" t="s">
        <v>162</v>
      </c>
      <c r="N1206" t="s">
        <v>310</v>
      </c>
      <c r="O1206" t="s">
        <v>529</v>
      </c>
      <c r="P1206">
        <v>7.239361075830719E-3</v>
      </c>
      <c r="Q1206" t="s">
        <v>162</v>
      </c>
      <c r="S1206" t="s">
        <v>422</v>
      </c>
      <c r="T1206" t="s">
        <v>529</v>
      </c>
      <c r="U1206">
        <v>9.4968285586968671E-3</v>
      </c>
      <c r="V1206" t="s">
        <v>162</v>
      </c>
    </row>
    <row r="1207" spans="9:22" x14ac:dyDescent="0.45">
      <c r="I1207" t="s">
        <v>198</v>
      </c>
      <c r="J1207" t="s">
        <v>530</v>
      </c>
      <c r="K1207">
        <v>6.9163758139871065E-2</v>
      </c>
      <c r="L1207" t="s">
        <v>162</v>
      </c>
      <c r="N1207" t="s">
        <v>310</v>
      </c>
      <c r="O1207" t="s">
        <v>530</v>
      </c>
      <c r="P1207">
        <v>1.6447416619751062E-2</v>
      </c>
      <c r="Q1207" t="s">
        <v>162</v>
      </c>
      <c r="S1207" t="s">
        <v>422</v>
      </c>
      <c r="T1207" t="s">
        <v>530</v>
      </c>
      <c r="U1207">
        <v>1.9968328583352124E-2</v>
      </c>
      <c r="V1207" t="s">
        <v>162</v>
      </c>
    </row>
    <row r="1208" spans="9:22" x14ac:dyDescent="0.45">
      <c r="I1208" t="s">
        <v>198</v>
      </c>
      <c r="J1208" t="s">
        <v>531</v>
      </c>
      <c r="K1208">
        <v>0.15183470692832529</v>
      </c>
      <c r="L1208" t="s">
        <v>162</v>
      </c>
      <c r="N1208" t="s">
        <v>310</v>
      </c>
      <c r="O1208" t="s">
        <v>531</v>
      </c>
      <c r="P1208">
        <v>4.7357737402833215E-2</v>
      </c>
      <c r="Q1208" t="s">
        <v>162</v>
      </c>
      <c r="S1208" t="s">
        <v>422</v>
      </c>
      <c r="T1208" t="s">
        <v>531</v>
      </c>
      <c r="U1208">
        <v>5.268365678346118E-2</v>
      </c>
      <c r="V1208" t="s">
        <v>162</v>
      </c>
    </row>
    <row r="1209" spans="9:22" x14ac:dyDescent="0.45">
      <c r="I1209" t="s">
        <v>198</v>
      </c>
      <c r="J1209" t="s">
        <v>532</v>
      </c>
      <c r="K1209">
        <v>1.9742006069613658E-2</v>
      </c>
      <c r="L1209" t="s">
        <v>162</v>
      </c>
      <c r="N1209" t="s">
        <v>310</v>
      </c>
      <c r="O1209" t="s">
        <v>532</v>
      </c>
      <c r="P1209">
        <v>9.3307932795978765E-3</v>
      </c>
      <c r="Q1209" t="s">
        <v>162</v>
      </c>
      <c r="S1209" t="s">
        <v>422</v>
      </c>
      <c r="T1209" t="s">
        <v>532</v>
      </c>
      <c r="U1209">
        <v>1.0019007104177326E-2</v>
      </c>
      <c r="V1209" t="s">
        <v>162</v>
      </c>
    </row>
    <row r="1210" spans="9:22" x14ac:dyDescent="0.45">
      <c r="I1210" t="s">
        <v>198</v>
      </c>
      <c r="J1210" t="s">
        <v>533</v>
      </c>
      <c r="K1210">
        <v>2.7386305689725134E-2</v>
      </c>
      <c r="L1210" t="s">
        <v>162</v>
      </c>
      <c r="N1210" t="s">
        <v>310</v>
      </c>
      <c r="O1210" t="s">
        <v>533</v>
      </c>
      <c r="P1210">
        <v>6.570297498943746E-2</v>
      </c>
      <c r="Q1210" t="s">
        <v>162</v>
      </c>
      <c r="S1210" t="s">
        <v>422</v>
      </c>
      <c r="T1210" t="s">
        <v>533</v>
      </c>
      <c r="U1210">
        <v>5.8576004198309349E-2</v>
      </c>
      <c r="V1210" t="s">
        <v>162</v>
      </c>
    </row>
    <row r="1211" spans="9:22" x14ac:dyDescent="0.45">
      <c r="I1211" t="s">
        <v>198</v>
      </c>
      <c r="J1211" t="s">
        <v>534</v>
      </c>
      <c r="K1211">
        <v>4.3869589040988678E-2</v>
      </c>
      <c r="L1211" t="s">
        <v>162</v>
      </c>
      <c r="N1211" t="s">
        <v>310</v>
      </c>
      <c r="O1211" t="s">
        <v>534</v>
      </c>
      <c r="P1211">
        <v>0.10848547876350495</v>
      </c>
      <c r="Q1211" t="s">
        <v>162</v>
      </c>
      <c r="S1211" t="s">
        <v>422</v>
      </c>
      <c r="T1211" t="s">
        <v>534</v>
      </c>
      <c r="U1211">
        <v>0.10800396583811499</v>
      </c>
      <c r="V1211" t="s">
        <v>162</v>
      </c>
    </row>
    <row r="1212" spans="9:22" x14ac:dyDescent="0.45">
      <c r="I1212" t="s">
        <v>198</v>
      </c>
      <c r="J1212" t="s">
        <v>535</v>
      </c>
      <c r="K1212">
        <v>2.1306658020343407E-2</v>
      </c>
      <c r="L1212" t="s">
        <v>162</v>
      </c>
      <c r="N1212" t="s">
        <v>310</v>
      </c>
      <c r="O1212" t="s">
        <v>535</v>
      </c>
      <c r="P1212">
        <v>1.083430557275112E-2</v>
      </c>
      <c r="Q1212" t="s">
        <v>162</v>
      </c>
      <c r="S1212" t="s">
        <v>422</v>
      </c>
      <c r="T1212" t="s">
        <v>535</v>
      </c>
      <c r="U1212">
        <v>1.1922153641317204E-2</v>
      </c>
      <c r="V1212" t="s">
        <v>162</v>
      </c>
    </row>
    <row r="1213" spans="9:22" x14ac:dyDescent="0.45">
      <c r="I1213" t="s">
        <v>198</v>
      </c>
      <c r="J1213" t="s">
        <v>536</v>
      </c>
      <c r="K1213">
        <v>4.1890556217763907E-2</v>
      </c>
      <c r="L1213" t="s">
        <v>162</v>
      </c>
      <c r="N1213" t="s">
        <v>310</v>
      </c>
      <c r="O1213" t="s">
        <v>536</v>
      </c>
      <c r="P1213">
        <v>2.1562517121081617E-2</v>
      </c>
      <c r="Q1213" t="s">
        <v>162</v>
      </c>
      <c r="S1213" t="s">
        <v>422</v>
      </c>
      <c r="T1213" t="s">
        <v>536</v>
      </c>
      <c r="U1213">
        <v>2.3825406626527511E-2</v>
      </c>
      <c r="V1213" t="s">
        <v>162</v>
      </c>
    </row>
    <row r="1214" spans="9:22" x14ac:dyDescent="0.45">
      <c r="I1214" t="s">
        <v>198</v>
      </c>
      <c r="J1214" t="s">
        <v>537</v>
      </c>
      <c r="K1214">
        <v>8.2999178301525298E-2</v>
      </c>
      <c r="L1214" t="s">
        <v>162</v>
      </c>
      <c r="N1214" t="s">
        <v>310</v>
      </c>
      <c r="O1214" t="s">
        <v>537</v>
      </c>
      <c r="P1214">
        <v>5.7669447162712544E-2</v>
      </c>
      <c r="Q1214" t="s">
        <v>162</v>
      </c>
      <c r="S1214" t="s">
        <v>422</v>
      </c>
      <c r="T1214" t="s">
        <v>537</v>
      </c>
      <c r="U1214">
        <v>6.1313049079837083E-2</v>
      </c>
      <c r="V1214" t="s">
        <v>162</v>
      </c>
    </row>
    <row r="1215" spans="9:22" x14ac:dyDescent="0.45">
      <c r="I1215" t="s">
        <v>198</v>
      </c>
      <c r="J1215" t="s">
        <v>538</v>
      </c>
      <c r="K1215">
        <v>7.8891387165553658E-3</v>
      </c>
      <c r="L1215" t="s">
        <v>162</v>
      </c>
      <c r="N1215" t="s">
        <v>310</v>
      </c>
      <c r="O1215" t="s">
        <v>538</v>
      </c>
      <c r="P1215">
        <v>1.1967781979837288E-2</v>
      </c>
      <c r="Q1215" t="s">
        <v>162</v>
      </c>
      <c r="S1215" t="s">
        <v>422</v>
      </c>
      <c r="T1215" t="s">
        <v>538</v>
      </c>
      <c r="U1215">
        <v>1.2227902351766013E-2</v>
      </c>
      <c r="V1215" t="s">
        <v>162</v>
      </c>
    </row>
    <row r="1216" spans="9:22" x14ac:dyDescent="0.45">
      <c r="I1216" t="s">
        <v>198</v>
      </c>
      <c r="J1216" t="s">
        <v>539</v>
      </c>
      <c r="K1216">
        <v>5.6893853250041052E-3</v>
      </c>
      <c r="L1216" t="s">
        <v>162</v>
      </c>
      <c r="N1216" t="s">
        <v>310</v>
      </c>
      <c r="O1216" t="s">
        <v>539</v>
      </c>
      <c r="P1216">
        <v>7.604673747965808E-2</v>
      </c>
      <c r="Q1216" t="s">
        <v>162</v>
      </c>
      <c r="S1216" t="s">
        <v>422</v>
      </c>
      <c r="T1216" t="s">
        <v>539</v>
      </c>
      <c r="U1216">
        <v>6.8405157455070462E-2</v>
      </c>
      <c r="V1216" t="s">
        <v>162</v>
      </c>
    </row>
    <row r="1217" spans="9:22" x14ac:dyDescent="0.45">
      <c r="I1217" t="s">
        <v>198</v>
      </c>
      <c r="J1217" t="s">
        <v>540</v>
      </c>
      <c r="K1217">
        <v>1.3473419295555583E-3</v>
      </c>
      <c r="L1217" t="s">
        <v>162</v>
      </c>
      <c r="N1217" t="s">
        <v>310</v>
      </c>
      <c r="O1217" t="s">
        <v>540</v>
      </c>
      <c r="P1217">
        <v>2.2278077676765616E-2</v>
      </c>
      <c r="Q1217" t="s">
        <v>162</v>
      </c>
      <c r="S1217" t="s">
        <v>422</v>
      </c>
      <c r="T1217" t="s">
        <v>540</v>
      </c>
      <c r="U1217">
        <v>3.8058551100105656E-2</v>
      </c>
      <c r="V1217" t="s">
        <v>162</v>
      </c>
    </row>
    <row r="1218" spans="9:22" x14ac:dyDescent="0.45">
      <c r="I1218" t="s">
        <v>198</v>
      </c>
      <c r="J1218" t="s">
        <v>541</v>
      </c>
      <c r="K1218">
        <v>2.9443910362306328E-3</v>
      </c>
      <c r="L1218" t="s">
        <v>162</v>
      </c>
      <c r="N1218" t="s">
        <v>310</v>
      </c>
      <c r="O1218" t="s">
        <v>541</v>
      </c>
      <c r="P1218">
        <v>2.363343784947992E-3</v>
      </c>
      <c r="Q1218" t="s">
        <v>162</v>
      </c>
      <c r="S1218" t="s">
        <v>422</v>
      </c>
      <c r="T1218" t="s">
        <v>541</v>
      </c>
      <c r="U1218">
        <v>4.4341260176153901E-3</v>
      </c>
      <c r="V1218" t="s">
        <v>162</v>
      </c>
    </row>
    <row r="1219" spans="9:22" x14ac:dyDescent="0.45">
      <c r="I1219" t="s">
        <v>198</v>
      </c>
      <c r="J1219" t="s">
        <v>542</v>
      </c>
      <c r="K1219">
        <v>8.8826659936468155E-3</v>
      </c>
      <c r="L1219" t="s">
        <v>162</v>
      </c>
      <c r="N1219" t="s">
        <v>310</v>
      </c>
      <c r="O1219" t="s">
        <v>542</v>
      </c>
      <c r="P1219">
        <v>4.283528204551545E-3</v>
      </c>
      <c r="Q1219" t="s">
        <v>162</v>
      </c>
      <c r="S1219" t="s">
        <v>422</v>
      </c>
      <c r="T1219" t="s">
        <v>542</v>
      </c>
      <c r="U1219">
        <v>9.0141071001564356E-3</v>
      </c>
      <c r="V1219" t="s">
        <v>162</v>
      </c>
    </row>
    <row r="1220" spans="9:22" x14ac:dyDescent="0.45">
      <c r="I1220" t="s">
        <v>198</v>
      </c>
      <c r="J1220" t="s">
        <v>543</v>
      </c>
      <c r="K1220">
        <v>1.4244447210865228E-2</v>
      </c>
      <c r="L1220" t="s">
        <v>162</v>
      </c>
      <c r="N1220" t="s">
        <v>310</v>
      </c>
      <c r="O1220" t="s">
        <v>543</v>
      </c>
      <c r="P1220">
        <v>1.1567846622367687E-2</v>
      </c>
      <c r="Q1220" t="s">
        <v>162</v>
      </c>
      <c r="S1220" t="s">
        <v>422</v>
      </c>
      <c r="T1220" t="s">
        <v>543</v>
      </c>
      <c r="U1220">
        <v>2.3148508527268512E-2</v>
      </c>
      <c r="V1220" t="s">
        <v>162</v>
      </c>
    </row>
    <row r="1221" spans="9:22" x14ac:dyDescent="0.45">
      <c r="I1221" t="s">
        <v>198</v>
      </c>
      <c r="J1221" t="s">
        <v>544</v>
      </c>
      <c r="K1221">
        <v>0</v>
      </c>
      <c r="L1221" t="s">
        <v>162</v>
      </c>
      <c r="N1221" t="s">
        <v>310</v>
      </c>
      <c r="O1221" t="s">
        <v>544</v>
      </c>
      <c r="P1221">
        <v>3.0390625105687842E-3</v>
      </c>
      <c r="Q1221" t="s">
        <v>162</v>
      </c>
      <c r="S1221" t="s">
        <v>422</v>
      </c>
      <c r="T1221" t="s">
        <v>544</v>
      </c>
      <c r="U1221">
        <v>4.4849482690168061E-3</v>
      </c>
      <c r="V1221" t="s">
        <v>162</v>
      </c>
    </row>
    <row r="1222" spans="9:22" x14ac:dyDescent="0.45">
      <c r="I1222" t="s">
        <v>198</v>
      </c>
      <c r="J1222" t="s">
        <v>545</v>
      </c>
      <c r="K1222">
        <v>0</v>
      </c>
      <c r="L1222" t="s">
        <v>162</v>
      </c>
      <c r="N1222" t="s">
        <v>310</v>
      </c>
      <c r="O1222" t="s">
        <v>545</v>
      </c>
      <c r="P1222">
        <v>1.7869946434179974E-2</v>
      </c>
      <c r="Q1222" t="s">
        <v>162</v>
      </c>
      <c r="S1222" t="s">
        <v>422</v>
      </c>
      <c r="T1222" t="s">
        <v>545</v>
      </c>
      <c r="U1222">
        <v>2.5859377397435556E-2</v>
      </c>
      <c r="V1222" t="s">
        <v>162</v>
      </c>
    </row>
    <row r="1223" spans="9:22" x14ac:dyDescent="0.45">
      <c r="I1223" t="s">
        <v>198</v>
      </c>
      <c r="J1223" t="s">
        <v>546</v>
      </c>
      <c r="K1223">
        <v>1.7647112461029832E-9</v>
      </c>
      <c r="L1223" t="s">
        <v>162</v>
      </c>
      <c r="N1223" t="s">
        <v>310</v>
      </c>
      <c r="O1223" t="s">
        <v>546</v>
      </c>
      <c r="P1223">
        <v>4.2742055044311951E-2</v>
      </c>
      <c r="Q1223" t="s">
        <v>162</v>
      </c>
      <c r="S1223" t="s">
        <v>422</v>
      </c>
      <c r="T1223" t="s">
        <v>546</v>
      </c>
      <c r="U1223">
        <v>3.0625349179049702E-2</v>
      </c>
      <c r="V1223" t="s">
        <v>162</v>
      </c>
    </row>
    <row r="1224" spans="9:22" x14ac:dyDescent="0.45">
      <c r="I1224" t="s">
        <v>198</v>
      </c>
      <c r="J1224" t="s">
        <v>547</v>
      </c>
      <c r="K1224">
        <v>3.3368390639766697E-3</v>
      </c>
      <c r="L1224" t="s">
        <v>162</v>
      </c>
      <c r="N1224" t="s">
        <v>310</v>
      </c>
      <c r="O1224" t="s">
        <v>547</v>
      </c>
      <c r="P1224">
        <v>4.7488231978371391E-3</v>
      </c>
      <c r="Q1224" t="s">
        <v>162</v>
      </c>
      <c r="S1224" t="s">
        <v>422</v>
      </c>
      <c r="T1224" t="s">
        <v>547</v>
      </c>
      <c r="U1224">
        <v>3.3794783095273334E-3</v>
      </c>
      <c r="V1224" t="s">
        <v>162</v>
      </c>
    </row>
    <row r="1225" spans="9:22" x14ac:dyDescent="0.45">
      <c r="I1225" t="s">
        <v>198</v>
      </c>
      <c r="J1225" t="s">
        <v>548</v>
      </c>
      <c r="K1225">
        <v>1.158575937566758E-2</v>
      </c>
      <c r="L1225" t="s">
        <v>162</v>
      </c>
      <c r="N1225" t="s">
        <v>310</v>
      </c>
      <c r="O1225" t="s">
        <v>548</v>
      </c>
      <c r="P1225">
        <v>8.9944151897116756E-3</v>
      </c>
      <c r="Q1225" t="s">
        <v>162</v>
      </c>
      <c r="S1225" t="s">
        <v>422</v>
      </c>
      <c r="T1225" t="s">
        <v>548</v>
      </c>
      <c r="U1225">
        <v>6.7093746454147483E-3</v>
      </c>
      <c r="V1225" t="s">
        <v>162</v>
      </c>
    </row>
    <row r="1226" spans="9:22" x14ac:dyDescent="0.45">
      <c r="I1226" t="s">
        <v>198</v>
      </c>
      <c r="J1226" t="s">
        <v>549</v>
      </c>
      <c r="K1226">
        <v>1.5829619054742897E-2</v>
      </c>
      <c r="L1226" t="s">
        <v>162</v>
      </c>
      <c r="N1226" t="s">
        <v>310</v>
      </c>
      <c r="O1226" t="s">
        <v>549</v>
      </c>
      <c r="P1226">
        <v>2.2089509340993466E-2</v>
      </c>
      <c r="Q1226" t="s">
        <v>162</v>
      </c>
      <c r="S1226" t="s">
        <v>422</v>
      </c>
      <c r="T1226" t="s">
        <v>549</v>
      </c>
      <c r="U1226">
        <v>1.5797730968356849E-2</v>
      </c>
      <c r="V1226" t="s">
        <v>162</v>
      </c>
    </row>
    <row r="1227" spans="9:22" x14ac:dyDescent="0.45">
      <c r="I1227" t="s">
        <v>198</v>
      </c>
      <c r="J1227" t="s">
        <v>550</v>
      </c>
      <c r="K1227">
        <v>0</v>
      </c>
      <c r="L1227" t="s">
        <v>162</v>
      </c>
      <c r="N1227" t="s">
        <v>310</v>
      </c>
      <c r="O1227" t="s">
        <v>550</v>
      </c>
      <c r="P1227">
        <v>4.6421818591392671E-3</v>
      </c>
      <c r="Q1227" t="s">
        <v>162</v>
      </c>
      <c r="S1227" t="s">
        <v>422</v>
      </c>
      <c r="T1227" t="s">
        <v>550</v>
      </c>
      <c r="U1227">
        <v>2.8465959417307918E-3</v>
      </c>
      <c r="V1227" t="s">
        <v>162</v>
      </c>
    </row>
    <row r="1228" spans="9:22" x14ac:dyDescent="0.45">
      <c r="I1228" t="s">
        <v>198</v>
      </c>
      <c r="J1228" t="s">
        <v>551</v>
      </c>
      <c r="K1228">
        <v>0</v>
      </c>
      <c r="L1228" t="s">
        <v>162</v>
      </c>
      <c r="N1228" t="s">
        <v>310</v>
      </c>
      <c r="O1228" t="s">
        <v>551</v>
      </c>
      <c r="P1228">
        <v>2.6583296987788236E-2</v>
      </c>
      <c r="Q1228" t="s">
        <v>162</v>
      </c>
      <c r="S1228" t="s">
        <v>422</v>
      </c>
      <c r="T1228" t="s">
        <v>551</v>
      </c>
      <c r="U1228">
        <v>1.7149805801179658E-2</v>
      </c>
      <c r="V1228" t="s">
        <v>162</v>
      </c>
    </row>
    <row r="1229" spans="9:22" x14ac:dyDescent="0.45">
      <c r="I1229" t="s">
        <v>199</v>
      </c>
      <c r="J1229" t="s">
        <v>161</v>
      </c>
      <c r="K1229">
        <v>0</v>
      </c>
      <c r="L1229" t="s">
        <v>162</v>
      </c>
      <c r="N1229" t="s">
        <v>311</v>
      </c>
      <c r="O1229" t="s">
        <v>161</v>
      </c>
      <c r="P1229">
        <v>2.8086956730947989E-2</v>
      </c>
      <c r="Q1229" t="s">
        <v>162</v>
      </c>
      <c r="S1229" t="s">
        <v>423</v>
      </c>
      <c r="T1229" t="s">
        <v>161</v>
      </c>
      <c r="U1229">
        <v>2.6181293016284048E-2</v>
      </c>
      <c r="V1229" t="s">
        <v>162</v>
      </c>
    </row>
    <row r="1230" spans="9:22" x14ac:dyDescent="0.45">
      <c r="I1230" t="s">
        <v>199</v>
      </c>
      <c r="J1230" t="s">
        <v>163</v>
      </c>
      <c r="K1230">
        <v>3.0363772860611676E-3</v>
      </c>
      <c r="L1230" t="s">
        <v>162</v>
      </c>
      <c r="N1230" t="s">
        <v>311</v>
      </c>
      <c r="O1230" t="s">
        <v>163</v>
      </c>
      <c r="P1230">
        <v>3.159790161138177E-3</v>
      </c>
      <c r="Q1230" t="s">
        <v>162</v>
      </c>
      <c r="S1230" t="s">
        <v>423</v>
      </c>
      <c r="T1230" t="s">
        <v>163</v>
      </c>
      <c r="U1230">
        <v>3.0296474228718282E-3</v>
      </c>
      <c r="V1230" t="s">
        <v>162</v>
      </c>
    </row>
    <row r="1231" spans="9:22" x14ac:dyDescent="0.45">
      <c r="I1231" t="s">
        <v>199</v>
      </c>
      <c r="J1231" t="s">
        <v>164</v>
      </c>
      <c r="K1231">
        <v>1.1189484738532287E-2</v>
      </c>
      <c r="L1231" t="s">
        <v>162</v>
      </c>
      <c r="N1231" t="s">
        <v>311</v>
      </c>
      <c r="O1231" t="s">
        <v>164</v>
      </c>
      <c r="P1231">
        <v>5.8901335441146271E-3</v>
      </c>
      <c r="Q1231" t="s">
        <v>162</v>
      </c>
      <c r="S1231" t="s">
        <v>423</v>
      </c>
      <c r="T1231" t="s">
        <v>164</v>
      </c>
      <c r="U1231">
        <v>6.1700108706625959E-3</v>
      </c>
      <c r="V1231" t="s">
        <v>162</v>
      </c>
    </row>
    <row r="1232" spans="9:22" x14ac:dyDescent="0.45">
      <c r="I1232" t="s">
        <v>199</v>
      </c>
      <c r="J1232" t="s">
        <v>519</v>
      </c>
      <c r="K1232">
        <v>1.7543642592273302E-2</v>
      </c>
      <c r="L1232" t="s">
        <v>162</v>
      </c>
      <c r="N1232" t="s">
        <v>311</v>
      </c>
      <c r="O1232" t="s">
        <v>519</v>
      </c>
      <c r="P1232">
        <v>1.4132919602520028E-2</v>
      </c>
      <c r="Q1232" t="s">
        <v>162</v>
      </c>
      <c r="S1232" t="s">
        <v>423</v>
      </c>
      <c r="T1232" t="s">
        <v>519</v>
      </c>
      <c r="U1232">
        <v>1.5149566858674796E-2</v>
      </c>
      <c r="V1232" t="s">
        <v>162</v>
      </c>
    </row>
    <row r="1233" spans="9:22" x14ac:dyDescent="0.45">
      <c r="I1233" t="s">
        <v>199</v>
      </c>
      <c r="J1233" t="s">
        <v>520</v>
      </c>
      <c r="K1233">
        <v>0</v>
      </c>
      <c r="L1233" t="s">
        <v>162</v>
      </c>
      <c r="N1233" t="s">
        <v>311</v>
      </c>
      <c r="O1233" t="s">
        <v>520</v>
      </c>
      <c r="P1233">
        <v>3.7431247011950617E-3</v>
      </c>
      <c r="Q1233" t="s">
        <v>162</v>
      </c>
      <c r="S1233" t="s">
        <v>423</v>
      </c>
      <c r="T1233" t="s">
        <v>520</v>
      </c>
      <c r="U1233">
        <v>3.0783222066215945E-3</v>
      </c>
      <c r="V1233" t="s">
        <v>162</v>
      </c>
    </row>
    <row r="1234" spans="9:22" x14ac:dyDescent="0.45">
      <c r="I1234" t="s">
        <v>199</v>
      </c>
      <c r="J1234" t="s">
        <v>521</v>
      </c>
      <c r="K1234">
        <v>0</v>
      </c>
      <c r="L1234" t="s">
        <v>162</v>
      </c>
      <c r="N1234" t="s">
        <v>311</v>
      </c>
      <c r="O1234" t="s">
        <v>521</v>
      </c>
      <c r="P1234">
        <v>2.0501515866543384E-2</v>
      </c>
      <c r="Q1234" t="s">
        <v>162</v>
      </c>
      <c r="S1234" t="s">
        <v>423</v>
      </c>
      <c r="T1234" t="s">
        <v>521</v>
      </c>
      <c r="U1234">
        <v>1.9776928021231838E-2</v>
      </c>
      <c r="V1234" t="s">
        <v>162</v>
      </c>
    </row>
    <row r="1235" spans="9:22" x14ac:dyDescent="0.45">
      <c r="I1235" t="s">
        <v>199</v>
      </c>
      <c r="J1235" t="s">
        <v>165</v>
      </c>
      <c r="K1235">
        <v>1.7199267852120257E-2</v>
      </c>
      <c r="L1235" t="s">
        <v>162</v>
      </c>
      <c r="N1235" t="s">
        <v>311</v>
      </c>
      <c r="O1235" t="s">
        <v>165</v>
      </c>
      <c r="P1235">
        <v>5.8218821339139859E-2</v>
      </c>
      <c r="Q1235" t="s">
        <v>162</v>
      </c>
      <c r="S1235" t="s">
        <v>423</v>
      </c>
      <c r="T1235" t="s">
        <v>165</v>
      </c>
      <c r="U1235">
        <v>4.8075017080038633E-2</v>
      </c>
      <c r="V1235" t="s">
        <v>162</v>
      </c>
    </row>
    <row r="1236" spans="9:22" x14ac:dyDescent="0.45">
      <c r="I1236" t="s">
        <v>199</v>
      </c>
      <c r="J1236" t="s">
        <v>166</v>
      </c>
      <c r="K1236">
        <v>1.6167819924960209E-2</v>
      </c>
      <c r="L1236" t="s">
        <v>162</v>
      </c>
      <c r="N1236" t="s">
        <v>311</v>
      </c>
      <c r="O1236" t="s">
        <v>166</v>
      </c>
      <c r="P1236">
        <v>6.0263036065075744E-3</v>
      </c>
      <c r="Q1236" t="s">
        <v>162</v>
      </c>
      <c r="S1236" t="s">
        <v>423</v>
      </c>
      <c r="T1236" t="s">
        <v>166</v>
      </c>
      <c r="U1236">
        <v>5.2463984755859875E-3</v>
      </c>
      <c r="V1236" t="s">
        <v>162</v>
      </c>
    </row>
    <row r="1237" spans="9:22" x14ac:dyDescent="0.45">
      <c r="I1237" t="s">
        <v>199</v>
      </c>
      <c r="J1237" t="s">
        <v>167</v>
      </c>
      <c r="K1237">
        <v>3.8531403568838024E-2</v>
      </c>
      <c r="L1237" t="s">
        <v>162</v>
      </c>
      <c r="N1237" t="s">
        <v>311</v>
      </c>
      <c r="O1237" t="s">
        <v>167</v>
      </c>
      <c r="P1237">
        <v>1.0171323803814107E-2</v>
      </c>
      <c r="Q1237" t="s">
        <v>162</v>
      </c>
      <c r="S1237" t="s">
        <v>423</v>
      </c>
      <c r="T1237" t="s">
        <v>167</v>
      </c>
      <c r="U1237">
        <v>1.0388953669140928E-2</v>
      </c>
      <c r="V1237" t="s">
        <v>162</v>
      </c>
    </row>
    <row r="1238" spans="9:22" x14ac:dyDescent="0.45">
      <c r="I1238" t="s">
        <v>199</v>
      </c>
      <c r="J1238" t="s">
        <v>522</v>
      </c>
      <c r="K1238">
        <v>8.2773088135863995E-2</v>
      </c>
      <c r="L1238" t="s">
        <v>162</v>
      </c>
      <c r="N1238" t="s">
        <v>311</v>
      </c>
      <c r="O1238" t="s">
        <v>522</v>
      </c>
      <c r="P1238">
        <v>2.5510372910051329E-2</v>
      </c>
      <c r="Q1238" t="s">
        <v>162</v>
      </c>
      <c r="S1238" t="s">
        <v>423</v>
      </c>
      <c r="T1238" t="s">
        <v>522</v>
      </c>
      <c r="U1238">
        <v>2.6249991019000007E-2</v>
      </c>
      <c r="V1238" t="s">
        <v>162</v>
      </c>
    </row>
    <row r="1239" spans="9:22" x14ac:dyDescent="0.45">
      <c r="I1239" t="s">
        <v>199</v>
      </c>
      <c r="J1239" t="s">
        <v>523</v>
      </c>
      <c r="K1239">
        <v>4.8423146207726532E-3</v>
      </c>
      <c r="L1239" t="s">
        <v>162</v>
      </c>
      <c r="N1239" t="s">
        <v>311</v>
      </c>
      <c r="O1239" t="s">
        <v>523</v>
      </c>
      <c r="P1239">
        <v>6.0831188825722932E-3</v>
      </c>
      <c r="Q1239" t="s">
        <v>162</v>
      </c>
      <c r="S1239" t="s">
        <v>423</v>
      </c>
      <c r="T1239" t="s">
        <v>523</v>
      </c>
      <c r="U1239">
        <v>5.5431433320765793E-3</v>
      </c>
      <c r="V1239" t="s">
        <v>162</v>
      </c>
    </row>
    <row r="1240" spans="9:22" x14ac:dyDescent="0.45">
      <c r="I1240" t="s">
        <v>199</v>
      </c>
      <c r="J1240" t="s">
        <v>524</v>
      </c>
      <c r="K1240">
        <v>1.235694911316528E-3</v>
      </c>
      <c r="L1240" t="s">
        <v>162</v>
      </c>
      <c r="N1240" t="s">
        <v>311</v>
      </c>
      <c r="O1240" t="s">
        <v>524</v>
      </c>
      <c r="P1240">
        <v>4.1251788930050465E-2</v>
      </c>
      <c r="Q1240" t="s">
        <v>162</v>
      </c>
      <c r="S1240" t="s">
        <v>423</v>
      </c>
      <c r="T1240" t="s">
        <v>524</v>
      </c>
      <c r="U1240">
        <v>3.3286176941237915E-2</v>
      </c>
      <c r="V1240" t="s">
        <v>162</v>
      </c>
    </row>
    <row r="1241" spans="9:22" x14ac:dyDescent="0.45">
      <c r="I1241" t="s">
        <v>199</v>
      </c>
      <c r="J1241" t="s">
        <v>168</v>
      </c>
      <c r="K1241">
        <v>2.8628097761085713E-2</v>
      </c>
      <c r="L1241" t="s">
        <v>162</v>
      </c>
      <c r="N1241" t="s">
        <v>311</v>
      </c>
      <c r="O1241" t="s">
        <v>168</v>
      </c>
      <c r="P1241">
        <v>3.3783092123268459E-2</v>
      </c>
      <c r="Q1241" t="s">
        <v>162</v>
      </c>
      <c r="S1241" t="s">
        <v>423</v>
      </c>
      <c r="T1241" t="s">
        <v>168</v>
      </c>
      <c r="U1241">
        <v>3.7398915560488827E-2</v>
      </c>
      <c r="V1241" t="s">
        <v>162</v>
      </c>
    </row>
    <row r="1242" spans="9:22" x14ac:dyDescent="0.45">
      <c r="I1242" t="s">
        <v>199</v>
      </c>
      <c r="J1242" t="s">
        <v>169</v>
      </c>
      <c r="K1242">
        <v>1.3459645593335241E-2</v>
      </c>
      <c r="L1242" t="s">
        <v>162</v>
      </c>
      <c r="N1242" t="s">
        <v>311</v>
      </c>
      <c r="O1242" t="s">
        <v>169</v>
      </c>
      <c r="P1242">
        <v>3.0979058173912022E-3</v>
      </c>
      <c r="Q1242" t="s">
        <v>162</v>
      </c>
      <c r="S1242" t="s">
        <v>423</v>
      </c>
      <c r="T1242" t="s">
        <v>169</v>
      </c>
      <c r="U1242">
        <v>3.7516486075079422E-3</v>
      </c>
      <c r="V1242" t="s">
        <v>162</v>
      </c>
    </row>
    <row r="1243" spans="9:22" x14ac:dyDescent="0.45">
      <c r="I1243" t="s">
        <v>199</v>
      </c>
      <c r="J1243" t="s">
        <v>170</v>
      </c>
      <c r="K1243">
        <v>2.7846141000056359E-2</v>
      </c>
      <c r="L1243" t="s">
        <v>162</v>
      </c>
      <c r="N1243" t="s">
        <v>311</v>
      </c>
      <c r="O1243" t="s">
        <v>170</v>
      </c>
      <c r="P1243">
        <v>6.415495413931778E-3</v>
      </c>
      <c r="Q1243" t="s">
        <v>162</v>
      </c>
      <c r="S1243" t="s">
        <v>423</v>
      </c>
      <c r="T1243" t="s">
        <v>170</v>
      </c>
      <c r="U1243">
        <v>7.7754709904360271E-3</v>
      </c>
      <c r="V1243" t="s">
        <v>162</v>
      </c>
    </row>
    <row r="1244" spans="9:22" x14ac:dyDescent="0.45">
      <c r="I1244" t="s">
        <v>199</v>
      </c>
      <c r="J1244" t="s">
        <v>525</v>
      </c>
      <c r="K1244">
        <v>6.5194514165064041E-2</v>
      </c>
      <c r="L1244" t="s">
        <v>162</v>
      </c>
      <c r="N1244" t="s">
        <v>311</v>
      </c>
      <c r="O1244" t="s">
        <v>525</v>
      </c>
      <c r="P1244">
        <v>1.5729461111197517E-2</v>
      </c>
      <c r="Q1244" t="s">
        <v>162</v>
      </c>
      <c r="S1244" t="s">
        <v>423</v>
      </c>
      <c r="T1244" t="s">
        <v>525</v>
      </c>
      <c r="U1244">
        <v>2.1883007196599961E-2</v>
      </c>
      <c r="V1244" t="s">
        <v>162</v>
      </c>
    </row>
    <row r="1245" spans="9:22" x14ac:dyDescent="0.45">
      <c r="I1245" t="s">
        <v>199</v>
      </c>
      <c r="J1245" t="s">
        <v>526</v>
      </c>
      <c r="K1245">
        <v>8.4005409427297031E-3</v>
      </c>
      <c r="L1245" t="s">
        <v>162</v>
      </c>
      <c r="N1245" t="s">
        <v>311</v>
      </c>
      <c r="O1245" t="s">
        <v>526</v>
      </c>
      <c r="P1245">
        <v>3.276792181256853E-3</v>
      </c>
      <c r="Q1245" t="s">
        <v>162</v>
      </c>
      <c r="S1245" t="s">
        <v>423</v>
      </c>
      <c r="T1245" t="s">
        <v>526</v>
      </c>
      <c r="U1245">
        <v>4.6307977844151889E-3</v>
      </c>
      <c r="V1245" t="s">
        <v>162</v>
      </c>
    </row>
    <row r="1246" spans="9:22" x14ac:dyDescent="0.45">
      <c r="I1246" t="s">
        <v>199</v>
      </c>
      <c r="J1246" t="s">
        <v>527</v>
      </c>
      <c r="K1246">
        <v>5.7087275504677506E-3</v>
      </c>
      <c r="L1246" t="s">
        <v>162</v>
      </c>
      <c r="N1246" t="s">
        <v>311</v>
      </c>
      <c r="O1246" t="s">
        <v>527</v>
      </c>
      <c r="P1246">
        <v>2.3516763217262926E-2</v>
      </c>
      <c r="Q1246" t="s">
        <v>162</v>
      </c>
      <c r="S1246" t="s">
        <v>423</v>
      </c>
      <c r="T1246" t="s">
        <v>527</v>
      </c>
      <c r="U1246">
        <v>2.7972411169989515E-2</v>
      </c>
      <c r="V1246" t="s">
        <v>162</v>
      </c>
    </row>
    <row r="1247" spans="9:22" x14ac:dyDescent="0.45">
      <c r="I1247" t="s">
        <v>199</v>
      </c>
      <c r="J1247" t="s">
        <v>528</v>
      </c>
      <c r="K1247">
        <v>9.1737987058533435E-2</v>
      </c>
      <c r="L1247" t="s">
        <v>162</v>
      </c>
      <c r="N1247" t="s">
        <v>311</v>
      </c>
      <c r="O1247" t="s">
        <v>528</v>
      </c>
      <c r="P1247">
        <v>9.6337640688214377E-2</v>
      </c>
      <c r="Q1247" t="s">
        <v>162</v>
      </c>
      <c r="S1247" t="s">
        <v>423</v>
      </c>
      <c r="T1247" t="s">
        <v>528</v>
      </c>
      <c r="U1247">
        <v>9.1544155038474684E-2</v>
      </c>
      <c r="V1247" t="s">
        <v>162</v>
      </c>
    </row>
    <row r="1248" spans="9:22" x14ac:dyDescent="0.45">
      <c r="I1248" t="s">
        <v>199</v>
      </c>
      <c r="J1248" t="s">
        <v>529</v>
      </c>
      <c r="K1248">
        <v>3.3405361059860847E-2</v>
      </c>
      <c r="L1248" t="s">
        <v>162</v>
      </c>
      <c r="N1248" t="s">
        <v>311</v>
      </c>
      <c r="O1248" t="s">
        <v>529</v>
      </c>
      <c r="P1248">
        <v>7.7509274001387341E-3</v>
      </c>
      <c r="Q1248" t="s">
        <v>162</v>
      </c>
      <c r="S1248" t="s">
        <v>423</v>
      </c>
      <c r="T1248" t="s">
        <v>529</v>
      </c>
      <c r="U1248">
        <v>8.6716260707412739E-3</v>
      </c>
      <c r="V1248" t="s">
        <v>162</v>
      </c>
    </row>
    <row r="1249" spans="9:22" x14ac:dyDescent="0.45">
      <c r="I1249" t="s">
        <v>199</v>
      </c>
      <c r="J1249" t="s">
        <v>530</v>
      </c>
      <c r="K1249">
        <v>7.0860904852699677E-2</v>
      </c>
      <c r="L1249" t="s">
        <v>162</v>
      </c>
      <c r="N1249" t="s">
        <v>311</v>
      </c>
      <c r="O1249" t="s">
        <v>530</v>
      </c>
      <c r="P1249">
        <v>1.8102074161572269E-2</v>
      </c>
      <c r="Q1249" t="s">
        <v>162</v>
      </c>
      <c r="S1249" t="s">
        <v>423</v>
      </c>
      <c r="T1249" t="s">
        <v>530</v>
      </c>
      <c r="U1249">
        <v>1.789833904305177E-2</v>
      </c>
      <c r="V1249" t="s">
        <v>162</v>
      </c>
    </row>
    <row r="1250" spans="9:22" x14ac:dyDescent="0.45">
      <c r="I1250" t="s">
        <v>199</v>
      </c>
      <c r="J1250" t="s">
        <v>531</v>
      </c>
      <c r="K1250">
        <v>0.15775711767055747</v>
      </c>
      <c r="L1250" t="s">
        <v>162</v>
      </c>
      <c r="N1250" t="s">
        <v>311</v>
      </c>
      <c r="O1250" t="s">
        <v>531</v>
      </c>
      <c r="P1250">
        <v>5.1499719518368639E-2</v>
      </c>
      <c r="Q1250" t="s">
        <v>162</v>
      </c>
      <c r="S1250" t="s">
        <v>423</v>
      </c>
      <c r="T1250" t="s">
        <v>531</v>
      </c>
      <c r="U1250">
        <v>4.8621459819825442E-2</v>
      </c>
      <c r="V1250" t="s">
        <v>162</v>
      </c>
    </row>
    <row r="1251" spans="9:22" x14ac:dyDescent="0.45">
      <c r="I1251" t="s">
        <v>199</v>
      </c>
      <c r="J1251" t="s">
        <v>532</v>
      </c>
      <c r="K1251">
        <v>2.1061953864631316E-2</v>
      </c>
      <c r="L1251" t="s">
        <v>162</v>
      </c>
      <c r="N1251" t="s">
        <v>311</v>
      </c>
      <c r="O1251" t="s">
        <v>532</v>
      </c>
      <c r="P1251">
        <v>1.0198867508667719E-2</v>
      </c>
      <c r="Q1251" t="s">
        <v>162</v>
      </c>
      <c r="S1251" t="s">
        <v>423</v>
      </c>
      <c r="T1251" t="s">
        <v>532</v>
      </c>
      <c r="U1251">
        <v>1.0254347233453408E-2</v>
      </c>
      <c r="V1251" t="s">
        <v>162</v>
      </c>
    </row>
    <row r="1252" spans="9:22" x14ac:dyDescent="0.45">
      <c r="I1252" t="s">
        <v>199</v>
      </c>
      <c r="J1252" t="s">
        <v>533</v>
      </c>
      <c r="K1252">
        <v>3.0584686966956598E-2</v>
      </c>
      <c r="L1252" t="s">
        <v>162</v>
      </c>
      <c r="N1252" t="s">
        <v>311</v>
      </c>
      <c r="O1252" t="s">
        <v>533</v>
      </c>
      <c r="P1252">
        <v>7.4335351021075871E-2</v>
      </c>
      <c r="Q1252" t="s">
        <v>162</v>
      </c>
      <c r="S1252" t="s">
        <v>423</v>
      </c>
      <c r="T1252" t="s">
        <v>533</v>
      </c>
      <c r="U1252">
        <v>6.4761655573366383E-2</v>
      </c>
      <c r="V1252" t="s">
        <v>162</v>
      </c>
    </row>
    <row r="1253" spans="9:22" x14ac:dyDescent="0.45">
      <c r="I1253" t="s">
        <v>199</v>
      </c>
      <c r="J1253" t="s">
        <v>534</v>
      </c>
      <c r="K1253">
        <v>3.9393837214854961E-2</v>
      </c>
      <c r="L1253" t="s">
        <v>162</v>
      </c>
      <c r="N1253" t="s">
        <v>311</v>
      </c>
      <c r="O1253" t="s">
        <v>534</v>
      </c>
      <c r="P1253">
        <v>0.10134023732757912</v>
      </c>
      <c r="Q1253" t="s">
        <v>162</v>
      </c>
      <c r="S1253" t="s">
        <v>423</v>
      </c>
      <c r="T1253" t="s">
        <v>534</v>
      </c>
      <c r="U1253">
        <v>0.10491712714015848</v>
      </c>
      <c r="V1253" t="s">
        <v>162</v>
      </c>
    </row>
    <row r="1254" spans="9:22" x14ac:dyDescent="0.45">
      <c r="I1254" t="s">
        <v>199</v>
      </c>
      <c r="J1254" t="s">
        <v>535</v>
      </c>
      <c r="K1254">
        <v>2.0669949139558885E-2</v>
      </c>
      <c r="L1254" t="s">
        <v>162</v>
      </c>
      <c r="N1254" t="s">
        <v>311</v>
      </c>
      <c r="O1254" t="s">
        <v>535</v>
      </c>
      <c r="P1254">
        <v>9.5409033309840161E-3</v>
      </c>
      <c r="Q1254" t="s">
        <v>162</v>
      </c>
      <c r="S1254" t="s">
        <v>423</v>
      </c>
      <c r="T1254" t="s">
        <v>535</v>
      </c>
      <c r="U1254">
        <v>1.1453422985733125E-2</v>
      </c>
      <c r="V1254" t="s">
        <v>162</v>
      </c>
    </row>
    <row r="1255" spans="9:22" x14ac:dyDescent="0.45">
      <c r="I1255" t="s">
        <v>199</v>
      </c>
      <c r="J1255" t="s">
        <v>536</v>
      </c>
      <c r="K1255">
        <v>4.2629252544276665E-2</v>
      </c>
      <c r="L1255" t="s">
        <v>162</v>
      </c>
      <c r="N1255" t="s">
        <v>311</v>
      </c>
      <c r="O1255" t="s">
        <v>536</v>
      </c>
      <c r="P1255">
        <v>1.9001254699252401E-2</v>
      </c>
      <c r="Q1255" t="s">
        <v>162</v>
      </c>
      <c r="S1255" t="s">
        <v>423</v>
      </c>
      <c r="T1255" t="s">
        <v>536</v>
      </c>
      <c r="U1255">
        <v>2.3080611054356544E-2</v>
      </c>
      <c r="V1255" t="s">
        <v>162</v>
      </c>
    </row>
    <row r="1256" spans="9:22" x14ac:dyDescent="0.45">
      <c r="I1256" t="s">
        <v>199</v>
      </c>
      <c r="J1256" t="s">
        <v>537</v>
      </c>
      <c r="K1256">
        <v>8.8302744747603121E-2</v>
      </c>
      <c r="L1256" t="s">
        <v>162</v>
      </c>
      <c r="N1256" t="s">
        <v>311</v>
      </c>
      <c r="O1256" t="s">
        <v>537</v>
      </c>
      <c r="P1256">
        <v>5.3230836546554097E-2</v>
      </c>
      <c r="Q1256" t="s">
        <v>162</v>
      </c>
      <c r="S1256" t="s">
        <v>423</v>
      </c>
      <c r="T1256" t="s">
        <v>537</v>
      </c>
      <c r="U1256">
        <v>6.2256245100990121E-2</v>
      </c>
      <c r="V1256" t="s">
        <v>162</v>
      </c>
    </row>
    <row r="1257" spans="9:22" x14ac:dyDescent="0.45">
      <c r="I1257" t="s">
        <v>199</v>
      </c>
      <c r="J1257" t="s">
        <v>538</v>
      </c>
      <c r="K1257">
        <v>8.540870409501862E-3</v>
      </c>
      <c r="L1257" t="s">
        <v>162</v>
      </c>
      <c r="N1257" t="s">
        <v>311</v>
      </c>
      <c r="O1257" t="s">
        <v>538</v>
      </c>
      <c r="P1257">
        <v>1.1281045220135582E-2</v>
      </c>
      <c r="Q1257" t="s">
        <v>162</v>
      </c>
      <c r="S1257" t="s">
        <v>423</v>
      </c>
      <c r="T1257" t="s">
        <v>538</v>
      </c>
      <c r="U1257">
        <v>1.2880679341483629E-2</v>
      </c>
      <c r="V1257" t="s">
        <v>162</v>
      </c>
    </row>
    <row r="1258" spans="9:22" x14ac:dyDescent="0.45">
      <c r="I1258" t="s">
        <v>199</v>
      </c>
      <c r="J1258" t="s">
        <v>539</v>
      </c>
      <c r="K1258">
        <v>6.7743790778621018E-3</v>
      </c>
      <c r="L1258" t="s">
        <v>162</v>
      </c>
      <c r="N1258" t="s">
        <v>311</v>
      </c>
      <c r="O1258" t="s">
        <v>539</v>
      </c>
      <c r="P1258">
        <v>7.6373516557179569E-2</v>
      </c>
      <c r="Q1258" t="s">
        <v>162</v>
      </c>
      <c r="S1258" t="s">
        <v>423</v>
      </c>
      <c r="T1258" t="s">
        <v>539</v>
      </c>
      <c r="U1258">
        <v>7.281987055114704E-2</v>
      </c>
      <c r="V1258" t="s">
        <v>162</v>
      </c>
    </row>
    <row r="1259" spans="9:22" x14ac:dyDescent="0.45">
      <c r="I1259" t="s">
        <v>199</v>
      </c>
      <c r="J1259" t="s">
        <v>540</v>
      </c>
      <c r="K1259">
        <v>1.0902249997876657E-3</v>
      </c>
      <c r="L1259" t="s">
        <v>162</v>
      </c>
      <c r="N1259" t="s">
        <v>311</v>
      </c>
      <c r="O1259" t="s">
        <v>540</v>
      </c>
      <c r="P1259">
        <v>2.1187210509379304E-2</v>
      </c>
      <c r="Q1259" t="s">
        <v>162</v>
      </c>
      <c r="S1259" t="s">
        <v>423</v>
      </c>
      <c r="T1259" t="s">
        <v>540</v>
      </c>
      <c r="U1259">
        <v>3.6917478920614505E-2</v>
      </c>
      <c r="V1259" t="s">
        <v>162</v>
      </c>
    </row>
    <row r="1260" spans="9:22" x14ac:dyDescent="0.45">
      <c r="I1260" t="s">
        <v>199</v>
      </c>
      <c r="J1260" t="s">
        <v>541</v>
      </c>
      <c r="K1260">
        <v>2.7737084742483018E-3</v>
      </c>
      <c r="L1260" t="s">
        <v>162</v>
      </c>
      <c r="N1260" t="s">
        <v>311</v>
      </c>
      <c r="O1260" t="s">
        <v>541</v>
      </c>
      <c r="P1260">
        <v>2.621850804955353E-3</v>
      </c>
      <c r="Q1260" t="s">
        <v>162</v>
      </c>
      <c r="S1260" t="s">
        <v>423</v>
      </c>
      <c r="T1260" t="s">
        <v>541</v>
      </c>
      <c r="U1260">
        <v>3.8344790632491819E-3</v>
      </c>
      <c r="V1260" t="s">
        <v>162</v>
      </c>
    </row>
    <row r="1261" spans="9:22" x14ac:dyDescent="0.45">
      <c r="I1261" t="s">
        <v>199</v>
      </c>
      <c r="J1261" t="s">
        <v>542</v>
      </c>
      <c r="K1261">
        <v>8.2031231631337232E-3</v>
      </c>
      <c r="L1261" t="s">
        <v>162</v>
      </c>
      <c r="N1261" t="s">
        <v>311</v>
      </c>
      <c r="O1261" t="s">
        <v>542</v>
      </c>
      <c r="P1261">
        <v>4.9825637425603376E-3</v>
      </c>
      <c r="Q1261" t="s">
        <v>162</v>
      </c>
      <c r="S1261" t="s">
        <v>423</v>
      </c>
      <c r="T1261" t="s">
        <v>542</v>
      </c>
      <c r="U1261">
        <v>7.7902718031722861E-3</v>
      </c>
      <c r="V1261" t="s">
        <v>162</v>
      </c>
    </row>
    <row r="1262" spans="9:22" x14ac:dyDescent="0.45">
      <c r="I1262" t="s">
        <v>199</v>
      </c>
      <c r="J1262" t="s">
        <v>543</v>
      </c>
      <c r="K1262">
        <v>1.3980728672133087E-2</v>
      </c>
      <c r="L1262" t="s">
        <v>162</v>
      </c>
      <c r="N1262" t="s">
        <v>311</v>
      </c>
      <c r="O1262" t="s">
        <v>543</v>
      </c>
      <c r="P1262">
        <v>1.2633986060680329E-2</v>
      </c>
      <c r="Q1262" t="s">
        <v>162</v>
      </c>
      <c r="S1262" t="s">
        <v>423</v>
      </c>
      <c r="T1262" t="s">
        <v>543</v>
      </c>
      <c r="U1262">
        <v>1.9274324355507355E-2</v>
      </c>
      <c r="V1262" t="s">
        <v>162</v>
      </c>
    </row>
    <row r="1263" spans="9:22" x14ac:dyDescent="0.45">
      <c r="I1263" t="s">
        <v>199</v>
      </c>
      <c r="J1263" t="s">
        <v>544</v>
      </c>
      <c r="K1263">
        <v>0</v>
      </c>
      <c r="L1263" t="s">
        <v>162</v>
      </c>
      <c r="N1263" t="s">
        <v>311</v>
      </c>
      <c r="O1263" t="s">
        <v>544</v>
      </c>
      <c r="P1263">
        <v>3.0678256889342895E-3</v>
      </c>
      <c r="Q1263" t="s">
        <v>162</v>
      </c>
      <c r="S1263" t="s">
        <v>423</v>
      </c>
      <c r="T1263" t="s">
        <v>544</v>
      </c>
      <c r="U1263">
        <v>3.9664191548095425E-3</v>
      </c>
      <c r="V1263" t="s">
        <v>162</v>
      </c>
    </row>
    <row r="1264" spans="9:22" x14ac:dyDescent="0.45">
      <c r="I1264" t="s">
        <v>199</v>
      </c>
      <c r="J1264" t="s">
        <v>545</v>
      </c>
      <c r="K1264">
        <v>0</v>
      </c>
      <c r="L1264" t="s">
        <v>162</v>
      </c>
      <c r="N1264" t="s">
        <v>311</v>
      </c>
      <c r="O1264" t="s">
        <v>545</v>
      </c>
      <c r="P1264">
        <v>1.582902978219276E-2</v>
      </c>
      <c r="Q1264" t="s">
        <v>162</v>
      </c>
      <c r="S1264" t="s">
        <v>423</v>
      </c>
      <c r="T1264" t="s">
        <v>545</v>
      </c>
      <c r="U1264">
        <v>2.6408462732888747E-2</v>
      </c>
      <c r="V1264" t="s">
        <v>162</v>
      </c>
    </row>
    <row r="1265" spans="9:22" x14ac:dyDescent="0.45">
      <c r="I1265" t="s">
        <v>199</v>
      </c>
      <c r="J1265" t="s">
        <v>546</v>
      </c>
      <c r="K1265">
        <v>0</v>
      </c>
      <c r="L1265" t="s">
        <v>162</v>
      </c>
      <c r="N1265" t="s">
        <v>311</v>
      </c>
      <c r="O1265" t="s">
        <v>546</v>
      </c>
      <c r="P1265">
        <v>4.0333332975988373E-2</v>
      </c>
      <c r="Q1265" t="s">
        <v>162</v>
      </c>
      <c r="S1265" t="s">
        <v>423</v>
      </c>
      <c r="T1265" t="s">
        <v>546</v>
      </c>
      <c r="U1265">
        <v>2.4200739048168936E-2</v>
      </c>
      <c r="V1265" t="s">
        <v>162</v>
      </c>
    </row>
    <row r="1266" spans="9:22" x14ac:dyDescent="0.45">
      <c r="I1266" t="s">
        <v>199</v>
      </c>
      <c r="J1266" t="s">
        <v>547</v>
      </c>
      <c r="K1266">
        <v>1.988247960229323E-3</v>
      </c>
      <c r="L1266" t="s">
        <v>162</v>
      </c>
      <c r="N1266" t="s">
        <v>311</v>
      </c>
      <c r="O1266" t="s">
        <v>547</v>
      </c>
      <c r="P1266">
        <v>4.4657655105570853E-3</v>
      </c>
      <c r="Q1266" t="s">
        <v>162</v>
      </c>
      <c r="S1266" t="s">
        <v>423</v>
      </c>
      <c r="T1266" t="s">
        <v>547</v>
      </c>
      <c r="U1266">
        <v>2.7043531553889752E-3</v>
      </c>
      <c r="V1266" t="s">
        <v>162</v>
      </c>
    </row>
    <row r="1267" spans="9:22" x14ac:dyDescent="0.45">
      <c r="I1267" t="s">
        <v>199</v>
      </c>
      <c r="J1267" t="s">
        <v>548</v>
      </c>
      <c r="K1267">
        <v>8.1087553186717076E-3</v>
      </c>
      <c r="L1267" t="s">
        <v>162</v>
      </c>
      <c r="N1267" t="s">
        <v>311</v>
      </c>
      <c r="O1267" t="s">
        <v>548</v>
      </c>
      <c r="P1267">
        <v>8.3796488797164351E-3</v>
      </c>
      <c r="Q1267" t="s">
        <v>162</v>
      </c>
      <c r="S1267" t="s">
        <v>423</v>
      </c>
      <c r="T1267" t="s">
        <v>548</v>
      </c>
      <c r="U1267">
        <v>5.6750821695595666E-3</v>
      </c>
      <c r="V1267" t="s">
        <v>162</v>
      </c>
    </row>
    <row r="1268" spans="9:22" x14ac:dyDescent="0.45">
      <c r="I1268" t="s">
        <v>199</v>
      </c>
      <c r="J1268" t="s">
        <v>549</v>
      </c>
      <c r="K1268">
        <v>1.0379406161424916E-2</v>
      </c>
      <c r="L1268" t="s">
        <v>162</v>
      </c>
      <c r="N1268" t="s">
        <v>311</v>
      </c>
      <c r="O1268" t="s">
        <v>549</v>
      </c>
      <c r="P1268">
        <v>1.9478766446432639E-2</v>
      </c>
      <c r="Q1268" t="s">
        <v>162</v>
      </c>
      <c r="S1268" t="s">
        <v>423</v>
      </c>
      <c r="T1268" t="s">
        <v>549</v>
      </c>
      <c r="U1268">
        <v>1.4457962203508132E-2</v>
      </c>
      <c r="V1268" t="s">
        <v>162</v>
      </c>
    </row>
    <row r="1269" spans="9:22" x14ac:dyDescent="0.45">
      <c r="I1269" t="s">
        <v>199</v>
      </c>
      <c r="J1269" t="s">
        <v>550</v>
      </c>
      <c r="K1269">
        <v>0</v>
      </c>
      <c r="L1269" t="s">
        <v>162</v>
      </c>
      <c r="N1269" t="s">
        <v>311</v>
      </c>
      <c r="O1269" t="s">
        <v>550</v>
      </c>
      <c r="P1269">
        <v>4.1043569176698455E-3</v>
      </c>
      <c r="Q1269" t="s">
        <v>162</v>
      </c>
      <c r="S1269" t="s">
        <v>423</v>
      </c>
      <c r="T1269" t="s">
        <v>550</v>
      </c>
      <c r="U1269">
        <v>2.813673539585052E-3</v>
      </c>
      <c r="V1269" t="s">
        <v>162</v>
      </c>
    </row>
    <row r="1270" spans="9:22" x14ac:dyDescent="0.45">
      <c r="I1270" t="s">
        <v>199</v>
      </c>
      <c r="J1270" t="s">
        <v>551</v>
      </c>
      <c r="K1270">
        <v>0</v>
      </c>
      <c r="L1270" t="s">
        <v>162</v>
      </c>
      <c r="N1270" t="s">
        <v>311</v>
      </c>
      <c r="O1270" t="s">
        <v>551</v>
      </c>
      <c r="P1270">
        <v>2.5327608758305826E-2</v>
      </c>
      <c r="Q1270" t="s">
        <v>162</v>
      </c>
      <c r="S1270" t="s">
        <v>423</v>
      </c>
      <c r="T1270" t="s">
        <v>551</v>
      </c>
      <c r="U1270">
        <v>1.7209514677899659E-2</v>
      </c>
      <c r="V1270" t="s">
        <v>162</v>
      </c>
    </row>
    <row r="1271" spans="9:22" x14ac:dyDescent="0.45">
      <c r="I1271" t="s">
        <v>200</v>
      </c>
      <c r="J1271" t="s">
        <v>161</v>
      </c>
      <c r="K1271">
        <v>0</v>
      </c>
      <c r="L1271" t="s">
        <v>162</v>
      </c>
      <c r="N1271" t="s">
        <v>312</v>
      </c>
      <c r="O1271" t="s">
        <v>161</v>
      </c>
      <c r="P1271">
        <v>2.9433894997628458E-2</v>
      </c>
      <c r="Q1271" t="s">
        <v>162</v>
      </c>
      <c r="S1271" t="s">
        <v>424</v>
      </c>
      <c r="T1271" t="s">
        <v>161</v>
      </c>
      <c r="U1271">
        <v>2.268130988214799E-2</v>
      </c>
      <c r="V1271" t="s">
        <v>162</v>
      </c>
    </row>
    <row r="1272" spans="9:22" x14ac:dyDescent="0.45">
      <c r="I1272" t="s">
        <v>200</v>
      </c>
      <c r="J1272" t="s">
        <v>163</v>
      </c>
      <c r="K1272">
        <v>1.6250827751286675E-3</v>
      </c>
      <c r="L1272" t="s">
        <v>162</v>
      </c>
      <c r="N1272" t="s">
        <v>312</v>
      </c>
      <c r="O1272" t="s">
        <v>163</v>
      </c>
      <c r="P1272">
        <v>3.3766967046183409E-3</v>
      </c>
      <c r="Q1272" t="s">
        <v>162</v>
      </c>
      <c r="S1272" t="s">
        <v>424</v>
      </c>
      <c r="T1272" t="s">
        <v>163</v>
      </c>
      <c r="U1272">
        <v>2.5401312492068511E-3</v>
      </c>
      <c r="V1272" t="s">
        <v>162</v>
      </c>
    </row>
    <row r="1273" spans="9:22" x14ac:dyDescent="0.45">
      <c r="I1273" t="s">
        <v>200</v>
      </c>
      <c r="J1273" t="s">
        <v>164</v>
      </c>
      <c r="K1273">
        <v>7.8827470250901078E-3</v>
      </c>
      <c r="L1273" t="s">
        <v>162</v>
      </c>
      <c r="N1273" t="s">
        <v>312</v>
      </c>
      <c r="O1273" t="s">
        <v>164</v>
      </c>
      <c r="P1273">
        <v>5.9437374071665697E-3</v>
      </c>
      <c r="Q1273" t="s">
        <v>162</v>
      </c>
      <c r="S1273" t="s">
        <v>424</v>
      </c>
      <c r="T1273" t="s">
        <v>164</v>
      </c>
      <c r="U1273">
        <v>5.1889516835280152E-3</v>
      </c>
      <c r="V1273" t="s">
        <v>162</v>
      </c>
    </row>
    <row r="1274" spans="9:22" x14ac:dyDescent="0.45">
      <c r="I1274" t="s">
        <v>200</v>
      </c>
      <c r="J1274" t="s">
        <v>519</v>
      </c>
      <c r="K1274">
        <v>1.3514126717076925E-2</v>
      </c>
      <c r="L1274" t="s">
        <v>162</v>
      </c>
      <c r="N1274" t="s">
        <v>312</v>
      </c>
      <c r="O1274" t="s">
        <v>519</v>
      </c>
      <c r="P1274">
        <v>1.3406737401223624E-2</v>
      </c>
      <c r="Q1274" t="s">
        <v>162</v>
      </c>
      <c r="S1274" t="s">
        <v>424</v>
      </c>
      <c r="T1274" t="s">
        <v>519</v>
      </c>
      <c r="U1274">
        <v>1.3189236689731654E-2</v>
      </c>
      <c r="V1274" t="s">
        <v>162</v>
      </c>
    </row>
    <row r="1275" spans="9:22" x14ac:dyDescent="0.45">
      <c r="I1275" t="s">
        <v>200</v>
      </c>
      <c r="J1275" t="s">
        <v>520</v>
      </c>
      <c r="K1275">
        <v>0</v>
      </c>
      <c r="L1275" t="s">
        <v>162</v>
      </c>
      <c r="N1275" t="s">
        <v>312</v>
      </c>
      <c r="O1275" t="s">
        <v>520</v>
      </c>
      <c r="P1275">
        <v>3.7852542792727152E-3</v>
      </c>
      <c r="Q1275" t="s">
        <v>162</v>
      </c>
      <c r="S1275" t="s">
        <v>424</v>
      </c>
      <c r="T1275" t="s">
        <v>520</v>
      </c>
      <c r="U1275">
        <v>2.6759514265807713E-3</v>
      </c>
      <c r="V1275" t="s">
        <v>162</v>
      </c>
    </row>
    <row r="1276" spans="9:22" x14ac:dyDescent="0.45">
      <c r="I1276" t="s">
        <v>200</v>
      </c>
      <c r="J1276" t="s">
        <v>521</v>
      </c>
      <c r="K1276">
        <v>0</v>
      </c>
      <c r="L1276" t="s">
        <v>162</v>
      </c>
      <c r="N1276" t="s">
        <v>312</v>
      </c>
      <c r="O1276" t="s">
        <v>521</v>
      </c>
      <c r="P1276">
        <v>2.3277418615734208E-2</v>
      </c>
      <c r="Q1276" t="s">
        <v>162</v>
      </c>
      <c r="S1276" t="s">
        <v>424</v>
      </c>
      <c r="T1276" t="s">
        <v>521</v>
      </c>
      <c r="U1276">
        <v>1.7344218181682497E-2</v>
      </c>
      <c r="V1276" t="s">
        <v>162</v>
      </c>
    </row>
    <row r="1277" spans="9:22" x14ac:dyDescent="0.45">
      <c r="I1277" t="s">
        <v>200</v>
      </c>
      <c r="J1277" t="s">
        <v>165</v>
      </c>
      <c r="K1277">
        <v>1.5065315742813249E-2</v>
      </c>
      <c r="L1277" t="s">
        <v>162</v>
      </c>
      <c r="N1277" t="s">
        <v>312</v>
      </c>
      <c r="O1277" t="s">
        <v>165</v>
      </c>
      <c r="P1277">
        <v>6.0548264948735858E-2</v>
      </c>
      <c r="Q1277" t="s">
        <v>162</v>
      </c>
      <c r="S1277" t="s">
        <v>424</v>
      </c>
      <c r="T1277" t="s">
        <v>165</v>
      </c>
      <c r="U1277">
        <v>5.6400633775422093E-2</v>
      </c>
      <c r="V1277" t="s">
        <v>162</v>
      </c>
    </row>
    <row r="1278" spans="9:22" x14ac:dyDescent="0.45">
      <c r="I1278" t="s">
        <v>200</v>
      </c>
      <c r="J1278" t="s">
        <v>166</v>
      </c>
      <c r="K1278">
        <v>1.5217587944807622E-2</v>
      </c>
      <c r="L1278" t="s">
        <v>162</v>
      </c>
      <c r="N1278" t="s">
        <v>312</v>
      </c>
      <c r="O1278" t="s">
        <v>166</v>
      </c>
      <c r="P1278">
        <v>6.1881404688236691E-3</v>
      </c>
      <c r="Q1278" t="s">
        <v>162</v>
      </c>
      <c r="S1278" t="s">
        <v>424</v>
      </c>
      <c r="T1278" t="s">
        <v>166</v>
      </c>
      <c r="U1278">
        <v>6.1028323109641259E-3</v>
      </c>
      <c r="V1278" t="s">
        <v>162</v>
      </c>
    </row>
    <row r="1279" spans="9:22" x14ac:dyDescent="0.45">
      <c r="I1279" t="s">
        <v>200</v>
      </c>
      <c r="J1279" t="s">
        <v>167</v>
      </c>
      <c r="K1279">
        <v>3.6983742978653672E-2</v>
      </c>
      <c r="L1279" t="s">
        <v>162</v>
      </c>
      <c r="N1279" t="s">
        <v>312</v>
      </c>
      <c r="O1279" t="s">
        <v>167</v>
      </c>
      <c r="P1279">
        <v>1.0502756679554623E-2</v>
      </c>
      <c r="Q1279" t="s">
        <v>162</v>
      </c>
      <c r="S1279" t="s">
        <v>424</v>
      </c>
      <c r="T1279" t="s">
        <v>167</v>
      </c>
      <c r="U1279">
        <v>1.1678495005723075E-2</v>
      </c>
      <c r="V1279" t="s">
        <v>162</v>
      </c>
    </row>
    <row r="1280" spans="9:22" x14ac:dyDescent="0.45">
      <c r="I1280" t="s">
        <v>200</v>
      </c>
      <c r="J1280" t="s">
        <v>522</v>
      </c>
      <c r="K1280">
        <v>8.1220060511575515E-2</v>
      </c>
      <c r="L1280" t="s">
        <v>162</v>
      </c>
      <c r="N1280" t="s">
        <v>312</v>
      </c>
      <c r="O1280" t="s">
        <v>522</v>
      </c>
      <c r="P1280">
        <v>2.5236755963671878E-2</v>
      </c>
      <c r="Q1280" t="s">
        <v>162</v>
      </c>
      <c r="S1280" t="s">
        <v>424</v>
      </c>
      <c r="T1280" t="s">
        <v>522</v>
      </c>
      <c r="U1280">
        <v>2.7508614053335725E-2</v>
      </c>
      <c r="V1280" t="s">
        <v>162</v>
      </c>
    </row>
    <row r="1281" spans="9:22" x14ac:dyDescent="0.45">
      <c r="I1281" t="s">
        <v>200</v>
      </c>
      <c r="J1281" t="s">
        <v>523</v>
      </c>
      <c r="K1281">
        <v>4.8702478796464593E-3</v>
      </c>
      <c r="L1281" t="s">
        <v>162</v>
      </c>
      <c r="N1281" t="s">
        <v>312</v>
      </c>
      <c r="O1281" t="s">
        <v>523</v>
      </c>
      <c r="P1281">
        <v>5.9090746663077497E-3</v>
      </c>
      <c r="Q1281" t="s">
        <v>162</v>
      </c>
      <c r="S1281" t="s">
        <v>424</v>
      </c>
      <c r="T1281" t="s">
        <v>523</v>
      </c>
      <c r="U1281">
        <v>5.477910136247364E-3</v>
      </c>
      <c r="V1281" t="s">
        <v>162</v>
      </c>
    </row>
    <row r="1282" spans="9:22" x14ac:dyDescent="0.45">
      <c r="I1282" t="s">
        <v>200</v>
      </c>
      <c r="J1282" t="s">
        <v>524</v>
      </c>
      <c r="K1282">
        <v>1.0770535108327358E-3</v>
      </c>
      <c r="L1282" t="s">
        <v>162</v>
      </c>
      <c r="N1282" t="s">
        <v>312</v>
      </c>
      <c r="O1282" t="s">
        <v>524</v>
      </c>
      <c r="P1282">
        <v>4.1561410715091361E-2</v>
      </c>
      <c r="Q1282" t="s">
        <v>162</v>
      </c>
      <c r="S1282" t="s">
        <v>424</v>
      </c>
      <c r="T1282" t="s">
        <v>524</v>
      </c>
      <c r="U1282">
        <v>3.4544437351342862E-2</v>
      </c>
      <c r="V1282" t="s">
        <v>162</v>
      </c>
    </row>
    <row r="1283" spans="9:22" x14ac:dyDescent="0.45">
      <c r="I1283" t="s">
        <v>200</v>
      </c>
      <c r="J1283" t="s">
        <v>168</v>
      </c>
      <c r="K1283">
        <v>2.7837916765987191E-2</v>
      </c>
      <c r="L1283" t="s">
        <v>162</v>
      </c>
      <c r="N1283" t="s">
        <v>312</v>
      </c>
      <c r="O1283" t="s">
        <v>168</v>
      </c>
      <c r="P1283">
        <v>3.1655648691423871E-2</v>
      </c>
      <c r="Q1283" t="s">
        <v>162</v>
      </c>
      <c r="S1283" t="s">
        <v>424</v>
      </c>
      <c r="T1283" t="s">
        <v>168</v>
      </c>
      <c r="U1283">
        <v>3.728777100113196E-2</v>
      </c>
      <c r="V1283" t="s">
        <v>162</v>
      </c>
    </row>
    <row r="1284" spans="9:22" x14ac:dyDescent="0.45">
      <c r="I1284" t="s">
        <v>200</v>
      </c>
      <c r="J1284" t="s">
        <v>169</v>
      </c>
      <c r="K1284">
        <v>1.306045571814113E-2</v>
      </c>
      <c r="L1284" t="s">
        <v>162</v>
      </c>
      <c r="N1284" t="s">
        <v>312</v>
      </c>
      <c r="O1284" t="s">
        <v>169</v>
      </c>
      <c r="P1284">
        <v>2.7882484904420777E-3</v>
      </c>
      <c r="Q1284" t="s">
        <v>162</v>
      </c>
      <c r="S1284" t="s">
        <v>424</v>
      </c>
      <c r="T1284" t="s">
        <v>169</v>
      </c>
      <c r="U1284">
        <v>3.9247790742033446E-3</v>
      </c>
      <c r="V1284" t="s">
        <v>162</v>
      </c>
    </row>
    <row r="1285" spans="9:22" x14ac:dyDescent="0.45">
      <c r="I1285" t="s">
        <v>200</v>
      </c>
      <c r="J1285" t="s">
        <v>170</v>
      </c>
      <c r="K1285">
        <v>2.7494870120219395E-2</v>
      </c>
      <c r="L1285" t="s">
        <v>162</v>
      </c>
      <c r="N1285" t="s">
        <v>312</v>
      </c>
      <c r="O1285" t="s">
        <v>170</v>
      </c>
      <c r="P1285">
        <v>5.804317169195221E-3</v>
      </c>
      <c r="Q1285" t="s">
        <v>162</v>
      </c>
      <c r="S1285" t="s">
        <v>424</v>
      </c>
      <c r="T1285" t="s">
        <v>170</v>
      </c>
      <c r="U1285">
        <v>8.0135284207910745E-3</v>
      </c>
      <c r="V1285" t="s">
        <v>162</v>
      </c>
    </row>
    <row r="1286" spans="9:22" x14ac:dyDescent="0.45">
      <c r="I1286" t="s">
        <v>200</v>
      </c>
      <c r="J1286" t="s">
        <v>525</v>
      </c>
      <c r="K1286">
        <v>6.1669229064596875E-2</v>
      </c>
      <c r="L1286" t="s">
        <v>162</v>
      </c>
      <c r="N1286" t="s">
        <v>312</v>
      </c>
      <c r="O1286" t="s">
        <v>525</v>
      </c>
      <c r="P1286">
        <v>1.6530988004577571E-2</v>
      </c>
      <c r="Q1286" t="s">
        <v>162</v>
      </c>
      <c r="S1286" t="s">
        <v>424</v>
      </c>
      <c r="T1286" t="s">
        <v>525</v>
      </c>
      <c r="U1286">
        <v>2.1503229773870904E-2</v>
      </c>
      <c r="V1286" t="s">
        <v>162</v>
      </c>
    </row>
    <row r="1287" spans="9:22" x14ac:dyDescent="0.45">
      <c r="I1287" t="s">
        <v>200</v>
      </c>
      <c r="J1287" t="s">
        <v>526</v>
      </c>
      <c r="K1287">
        <v>7.3050351549646016E-3</v>
      </c>
      <c r="L1287" t="s">
        <v>162</v>
      </c>
      <c r="N1287" t="s">
        <v>312</v>
      </c>
      <c r="O1287" t="s">
        <v>526</v>
      </c>
      <c r="P1287">
        <v>3.4628586771351141E-3</v>
      </c>
      <c r="Q1287" t="s">
        <v>162</v>
      </c>
      <c r="S1287" t="s">
        <v>424</v>
      </c>
      <c r="T1287" t="s">
        <v>526</v>
      </c>
      <c r="U1287">
        <v>4.417221905583359E-3</v>
      </c>
      <c r="V1287" t="s">
        <v>162</v>
      </c>
    </row>
    <row r="1288" spans="9:22" x14ac:dyDescent="0.45">
      <c r="I1288" t="s">
        <v>200</v>
      </c>
      <c r="J1288" t="s">
        <v>527</v>
      </c>
      <c r="K1288">
        <v>5.0626840827224569E-3</v>
      </c>
      <c r="L1288" t="s">
        <v>162</v>
      </c>
      <c r="N1288" t="s">
        <v>312</v>
      </c>
      <c r="O1288" t="s">
        <v>527</v>
      </c>
      <c r="P1288">
        <v>2.3741039778345258E-2</v>
      </c>
      <c r="Q1288" t="s">
        <v>162</v>
      </c>
      <c r="S1288" t="s">
        <v>424</v>
      </c>
      <c r="T1288" t="s">
        <v>527</v>
      </c>
      <c r="U1288">
        <v>2.7273374880095312E-2</v>
      </c>
      <c r="V1288" t="s">
        <v>162</v>
      </c>
    </row>
    <row r="1289" spans="9:22" x14ac:dyDescent="0.45">
      <c r="I1289" t="s">
        <v>200</v>
      </c>
      <c r="J1289" t="s">
        <v>528</v>
      </c>
      <c r="K1289">
        <v>9.3316282301796866E-2</v>
      </c>
      <c r="L1289" t="s">
        <v>162</v>
      </c>
      <c r="N1289" t="s">
        <v>312</v>
      </c>
      <c r="O1289" t="s">
        <v>528</v>
      </c>
      <c r="P1289">
        <v>9.1406061810879971E-2</v>
      </c>
      <c r="Q1289" t="s">
        <v>162</v>
      </c>
      <c r="S1289" t="s">
        <v>424</v>
      </c>
      <c r="T1289" t="s">
        <v>528</v>
      </c>
      <c r="U1289">
        <v>9.3340504133819877E-2</v>
      </c>
      <c r="V1289" t="s">
        <v>162</v>
      </c>
    </row>
    <row r="1290" spans="9:22" x14ac:dyDescent="0.45">
      <c r="I1290" t="s">
        <v>200</v>
      </c>
      <c r="J1290" t="s">
        <v>529</v>
      </c>
      <c r="K1290">
        <v>3.4224663932087063E-2</v>
      </c>
      <c r="L1290" t="s">
        <v>162</v>
      </c>
      <c r="N1290" t="s">
        <v>312</v>
      </c>
      <c r="O1290" t="s">
        <v>529</v>
      </c>
      <c r="P1290">
        <v>7.906867659330425E-3</v>
      </c>
      <c r="Q1290" t="s">
        <v>162</v>
      </c>
      <c r="S1290" t="s">
        <v>424</v>
      </c>
      <c r="T1290" t="s">
        <v>529</v>
      </c>
      <c r="U1290">
        <v>9.9219409742312536E-3</v>
      </c>
      <c r="V1290" t="s">
        <v>162</v>
      </c>
    </row>
    <row r="1291" spans="9:22" x14ac:dyDescent="0.45">
      <c r="I1291" t="s">
        <v>200</v>
      </c>
      <c r="J1291" t="s">
        <v>530</v>
      </c>
      <c r="K1291">
        <v>7.2835755900894278E-2</v>
      </c>
      <c r="L1291" t="s">
        <v>162</v>
      </c>
      <c r="N1291" t="s">
        <v>312</v>
      </c>
      <c r="O1291" t="s">
        <v>530</v>
      </c>
      <c r="P1291">
        <v>1.8218156749068359E-2</v>
      </c>
      <c r="Q1291" t="s">
        <v>162</v>
      </c>
      <c r="S1291" t="s">
        <v>424</v>
      </c>
      <c r="T1291" t="s">
        <v>530</v>
      </c>
      <c r="U1291">
        <v>2.0541714857902092E-2</v>
      </c>
      <c r="V1291" t="s">
        <v>162</v>
      </c>
    </row>
    <row r="1292" spans="9:22" x14ac:dyDescent="0.45">
      <c r="I1292" t="s">
        <v>200</v>
      </c>
      <c r="J1292" t="s">
        <v>531</v>
      </c>
      <c r="K1292">
        <v>0.17032372041392477</v>
      </c>
      <c r="L1292" t="s">
        <v>162</v>
      </c>
      <c r="N1292" t="s">
        <v>312</v>
      </c>
      <c r="O1292" t="s">
        <v>531</v>
      </c>
      <c r="P1292">
        <v>5.1115647958645254E-2</v>
      </c>
      <c r="Q1292" t="s">
        <v>162</v>
      </c>
      <c r="S1292" t="s">
        <v>424</v>
      </c>
      <c r="T1292" t="s">
        <v>531</v>
      </c>
      <c r="U1292">
        <v>5.2538504182800941E-2</v>
      </c>
      <c r="V1292" t="s">
        <v>162</v>
      </c>
    </row>
    <row r="1293" spans="9:22" x14ac:dyDescent="0.45">
      <c r="I1293" t="s">
        <v>200</v>
      </c>
      <c r="J1293" t="s">
        <v>532</v>
      </c>
      <c r="K1293">
        <v>2.4475194825979745E-2</v>
      </c>
      <c r="L1293" t="s">
        <v>162</v>
      </c>
      <c r="N1293" t="s">
        <v>312</v>
      </c>
      <c r="O1293" t="s">
        <v>532</v>
      </c>
      <c r="P1293">
        <v>9.8958496801699776E-3</v>
      </c>
      <c r="Q1293" t="s">
        <v>162</v>
      </c>
      <c r="S1293" t="s">
        <v>424</v>
      </c>
      <c r="T1293" t="s">
        <v>532</v>
      </c>
      <c r="U1293">
        <v>1.0045562699112149E-2</v>
      </c>
      <c r="V1293" t="s">
        <v>162</v>
      </c>
    </row>
    <row r="1294" spans="9:22" x14ac:dyDescent="0.45">
      <c r="I1294" t="s">
        <v>200</v>
      </c>
      <c r="J1294" t="s">
        <v>533</v>
      </c>
      <c r="K1294">
        <v>3.5536548402089738E-2</v>
      </c>
      <c r="L1294" t="s">
        <v>162</v>
      </c>
      <c r="N1294" t="s">
        <v>312</v>
      </c>
      <c r="O1294" t="s">
        <v>533</v>
      </c>
      <c r="P1294">
        <v>6.41660470027796E-2</v>
      </c>
      <c r="Q1294" t="s">
        <v>162</v>
      </c>
      <c r="S1294" t="s">
        <v>424</v>
      </c>
      <c r="T1294" t="s">
        <v>533</v>
      </c>
      <c r="U1294">
        <v>6.1633686329788828E-2</v>
      </c>
      <c r="V1294" t="s">
        <v>162</v>
      </c>
    </row>
    <row r="1295" spans="9:22" x14ac:dyDescent="0.45">
      <c r="I1295" t="s">
        <v>200</v>
      </c>
      <c r="J1295" t="s">
        <v>534</v>
      </c>
      <c r="K1295">
        <v>3.806250751240859E-2</v>
      </c>
      <c r="L1295" t="s">
        <v>162</v>
      </c>
      <c r="N1295" t="s">
        <v>312</v>
      </c>
      <c r="O1295" t="s">
        <v>534</v>
      </c>
      <c r="P1295">
        <v>0.10185738822612338</v>
      </c>
      <c r="Q1295" t="s">
        <v>162</v>
      </c>
      <c r="S1295" t="s">
        <v>424</v>
      </c>
      <c r="T1295" t="s">
        <v>534</v>
      </c>
      <c r="U1295">
        <v>0.10855540999796993</v>
      </c>
      <c r="V1295" t="s">
        <v>162</v>
      </c>
    </row>
    <row r="1296" spans="9:22" x14ac:dyDescent="0.45">
      <c r="I1296" t="s">
        <v>200</v>
      </c>
      <c r="J1296" t="s">
        <v>535</v>
      </c>
      <c r="K1296">
        <v>1.9913833512881791E-2</v>
      </c>
      <c r="L1296" t="s">
        <v>162</v>
      </c>
      <c r="N1296" t="s">
        <v>312</v>
      </c>
      <c r="O1296" t="s">
        <v>535</v>
      </c>
      <c r="P1296">
        <v>8.7174343137567823E-3</v>
      </c>
      <c r="Q1296" t="s">
        <v>162</v>
      </c>
      <c r="S1296" t="s">
        <v>424</v>
      </c>
      <c r="T1296" t="s">
        <v>535</v>
      </c>
      <c r="U1296">
        <v>1.2090811464373475E-2</v>
      </c>
      <c r="V1296" t="s">
        <v>162</v>
      </c>
    </row>
    <row r="1297" spans="9:22" x14ac:dyDescent="0.45">
      <c r="I1297" t="s">
        <v>200</v>
      </c>
      <c r="J1297" t="s">
        <v>536</v>
      </c>
      <c r="K1297">
        <v>4.3179074627258937E-2</v>
      </c>
      <c r="L1297" t="s">
        <v>162</v>
      </c>
      <c r="N1297" t="s">
        <v>312</v>
      </c>
      <c r="O1297" t="s">
        <v>536</v>
      </c>
      <c r="P1297">
        <v>1.7904957945161403E-2</v>
      </c>
      <c r="Q1297" t="s">
        <v>162</v>
      </c>
      <c r="S1297" t="s">
        <v>424</v>
      </c>
      <c r="T1297" t="s">
        <v>536</v>
      </c>
      <c r="U1297">
        <v>2.4046446446459289E-2</v>
      </c>
      <c r="V1297" t="s">
        <v>162</v>
      </c>
    </row>
    <row r="1298" spans="9:22" x14ac:dyDescent="0.45">
      <c r="I1298" t="s">
        <v>200</v>
      </c>
      <c r="J1298" t="s">
        <v>537</v>
      </c>
      <c r="K1298">
        <v>9.7242416740439111E-2</v>
      </c>
      <c r="L1298" t="s">
        <v>162</v>
      </c>
      <c r="N1298" t="s">
        <v>312</v>
      </c>
      <c r="O1298" t="s">
        <v>537</v>
      </c>
      <c r="P1298">
        <v>5.3905433997662754E-2</v>
      </c>
      <c r="Q1298" t="s">
        <v>162</v>
      </c>
      <c r="S1298" t="s">
        <v>424</v>
      </c>
      <c r="T1298" t="s">
        <v>537</v>
      </c>
      <c r="U1298">
        <v>6.1323017013426795E-2</v>
      </c>
      <c r="V1298" t="s">
        <v>162</v>
      </c>
    </row>
    <row r="1299" spans="9:22" x14ac:dyDescent="0.45">
      <c r="I1299" t="s">
        <v>200</v>
      </c>
      <c r="J1299" t="s">
        <v>538</v>
      </c>
      <c r="K1299">
        <v>9.9204916877911904E-3</v>
      </c>
      <c r="L1299" t="s">
        <v>162</v>
      </c>
      <c r="N1299" t="s">
        <v>312</v>
      </c>
      <c r="O1299" t="s">
        <v>538</v>
      </c>
      <c r="P1299">
        <v>1.0808414075987659E-2</v>
      </c>
      <c r="Q1299" t="s">
        <v>162</v>
      </c>
      <c r="S1299" t="s">
        <v>424</v>
      </c>
      <c r="T1299" t="s">
        <v>538</v>
      </c>
      <c r="U1299">
        <v>1.2297904566180986E-2</v>
      </c>
      <c r="V1299" t="s">
        <v>162</v>
      </c>
    </row>
    <row r="1300" spans="9:22" x14ac:dyDescent="0.45">
      <c r="I1300" t="s">
        <v>200</v>
      </c>
      <c r="J1300" t="s">
        <v>539</v>
      </c>
      <c r="K1300">
        <v>8.3454689576404634E-3</v>
      </c>
      <c r="L1300" t="s">
        <v>162</v>
      </c>
      <c r="N1300" t="s">
        <v>312</v>
      </c>
      <c r="O1300" t="s">
        <v>539</v>
      </c>
      <c r="P1300">
        <v>7.3641103628900417E-2</v>
      </c>
      <c r="Q1300" t="s">
        <v>162</v>
      </c>
      <c r="S1300" t="s">
        <v>424</v>
      </c>
      <c r="T1300" t="s">
        <v>539</v>
      </c>
      <c r="U1300">
        <v>6.9905192042288164E-2</v>
      </c>
      <c r="V1300" t="s">
        <v>162</v>
      </c>
    </row>
    <row r="1301" spans="9:22" x14ac:dyDescent="0.45">
      <c r="I1301" t="s">
        <v>200</v>
      </c>
      <c r="J1301" t="s">
        <v>540</v>
      </c>
      <c r="K1301">
        <v>1.0948261072478904E-3</v>
      </c>
      <c r="L1301" t="s">
        <v>162</v>
      </c>
      <c r="N1301" t="s">
        <v>312</v>
      </c>
      <c r="O1301" t="s">
        <v>540</v>
      </c>
      <c r="P1301">
        <v>2.7633697685124588E-2</v>
      </c>
      <c r="Q1301" t="s">
        <v>162</v>
      </c>
      <c r="S1301" t="s">
        <v>424</v>
      </c>
      <c r="T1301" t="s">
        <v>540</v>
      </c>
      <c r="U1301">
        <v>3.3555299869066905E-2</v>
      </c>
      <c r="V1301" t="s">
        <v>162</v>
      </c>
    </row>
    <row r="1302" spans="9:22" x14ac:dyDescent="0.45">
      <c r="I1302" t="s">
        <v>200</v>
      </c>
      <c r="J1302" t="s">
        <v>541</v>
      </c>
      <c r="K1302">
        <v>2.4377690517723301E-3</v>
      </c>
      <c r="L1302" t="s">
        <v>162</v>
      </c>
      <c r="N1302" t="s">
        <v>312</v>
      </c>
      <c r="O1302" t="s">
        <v>541</v>
      </c>
      <c r="P1302">
        <v>3.3759020890232147E-3</v>
      </c>
      <c r="Q1302" t="s">
        <v>162</v>
      </c>
      <c r="S1302" t="s">
        <v>424</v>
      </c>
      <c r="T1302" t="s">
        <v>541</v>
      </c>
      <c r="U1302">
        <v>3.7202317418210495E-3</v>
      </c>
      <c r="V1302" t="s">
        <v>162</v>
      </c>
    </row>
    <row r="1303" spans="9:22" x14ac:dyDescent="0.45">
      <c r="I1303" t="s">
        <v>200</v>
      </c>
      <c r="J1303" t="s">
        <v>542</v>
      </c>
      <c r="K1303">
        <v>7.0652700387485419E-3</v>
      </c>
      <c r="L1303" t="s">
        <v>162</v>
      </c>
      <c r="N1303" t="s">
        <v>312</v>
      </c>
      <c r="O1303" t="s">
        <v>542</v>
      </c>
      <c r="P1303">
        <v>6.1037362744915235E-3</v>
      </c>
      <c r="Q1303" t="s">
        <v>162</v>
      </c>
      <c r="S1303" t="s">
        <v>424</v>
      </c>
      <c r="T1303" t="s">
        <v>542</v>
      </c>
      <c r="U1303">
        <v>7.51111903383141E-3</v>
      </c>
      <c r="V1303" t="s">
        <v>162</v>
      </c>
    </row>
    <row r="1304" spans="9:22" x14ac:dyDescent="0.45">
      <c r="I1304" t="s">
        <v>200</v>
      </c>
      <c r="J1304" t="s">
        <v>543</v>
      </c>
      <c r="K1304">
        <v>1.183325892739979E-2</v>
      </c>
      <c r="L1304" t="s">
        <v>162</v>
      </c>
      <c r="N1304" t="s">
        <v>312</v>
      </c>
      <c r="O1304" t="s">
        <v>543</v>
      </c>
      <c r="P1304">
        <v>1.5020164414654367E-2</v>
      </c>
      <c r="Q1304" t="s">
        <v>162</v>
      </c>
      <c r="S1304" t="s">
        <v>424</v>
      </c>
      <c r="T1304" t="s">
        <v>543</v>
      </c>
      <c r="U1304">
        <v>1.8801821449010138E-2</v>
      </c>
      <c r="V1304" t="s">
        <v>162</v>
      </c>
    </row>
    <row r="1305" spans="9:22" x14ac:dyDescent="0.45">
      <c r="I1305" t="s">
        <v>200</v>
      </c>
      <c r="J1305" t="s">
        <v>544</v>
      </c>
      <c r="K1305">
        <v>0</v>
      </c>
      <c r="L1305" t="s">
        <v>162</v>
      </c>
      <c r="N1305" t="s">
        <v>312</v>
      </c>
      <c r="O1305" t="s">
        <v>544</v>
      </c>
      <c r="P1305">
        <v>3.6101119774900768E-3</v>
      </c>
      <c r="Q1305" t="s">
        <v>162</v>
      </c>
      <c r="S1305" t="s">
        <v>424</v>
      </c>
      <c r="T1305" t="s">
        <v>544</v>
      </c>
      <c r="U1305">
        <v>3.9140168104436369E-3</v>
      </c>
      <c r="V1305" t="s">
        <v>162</v>
      </c>
    </row>
    <row r="1306" spans="9:22" x14ac:dyDescent="0.45">
      <c r="I1306" t="s">
        <v>200</v>
      </c>
      <c r="J1306" t="s">
        <v>545</v>
      </c>
      <c r="K1306">
        <v>0</v>
      </c>
      <c r="L1306" t="s">
        <v>162</v>
      </c>
      <c r="N1306" t="s">
        <v>312</v>
      </c>
      <c r="O1306" t="s">
        <v>545</v>
      </c>
      <c r="P1306">
        <v>1.9551477936843732E-2</v>
      </c>
      <c r="Q1306" t="s">
        <v>162</v>
      </c>
      <c r="S1306" t="s">
        <v>424</v>
      </c>
      <c r="T1306" t="s">
        <v>545</v>
      </c>
      <c r="U1306">
        <v>2.3598694404747038E-2</v>
      </c>
      <c r="V1306" t="s">
        <v>162</v>
      </c>
    </row>
    <row r="1307" spans="9:22" x14ac:dyDescent="0.45">
      <c r="I1307" t="s">
        <v>200</v>
      </c>
      <c r="J1307" t="s">
        <v>546</v>
      </c>
      <c r="K1307">
        <v>0</v>
      </c>
      <c r="L1307" t="s">
        <v>162</v>
      </c>
      <c r="N1307" t="s">
        <v>312</v>
      </c>
      <c r="O1307" t="s">
        <v>546</v>
      </c>
      <c r="P1307">
        <v>4.1161412521163669E-2</v>
      </c>
      <c r="Q1307" t="s">
        <v>162</v>
      </c>
      <c r="S1307" t="s">
        <v>424</v>
      </c>
      <c r="T1307" t="s">
        <v>546</v>
      </c>
      <c r="U1307">
        <v>2.5914354567644852E-2</v>
      </c>
      <c r="V1307" t="s">
        <v>162</v>
      </c>
    </row>
    <row r="1308" spans="9:22" x14ac:dyDescent="0.45">
      <c r="I1308" t="s">
        <v>200</v>
      </c>
      <c r="J1308" t="s">
        <v>547</v>
      </c>
      <c r="K1308">
        <v>5.2181341488198682E-4</v>
      </c>
      <c r="L1308" t="s">
        <v>162</v>
      </c>
      <c r="N1308" t="s">
        <v>312</v>
      </c>
      <c r="O1308" t="s">
        <v>547</v>
      </c>
      <c r="P1308">
        <v>4.6232710002902218E-3</v>
      </c>
      <c r="Q1308" t="s">
        <v>162</v>
      </c>
      <c r="S1308" t="s">
        <v>424</v>
      </c>
      <c r="T1308" t="s">
        <v>547</v>
      </c>
      <c r="U1308">
        <v>3.0277470542883038E-3</v>
      </c>
      <c r="V1308" t="s">
        <v>162</v>
      </c>
    </row>
    <row r="1309" spans="9:22" x14ac:dyDescent="0.45">
      <c r="I1309" t="s">
        <v>200</v>
      </c>
      <c r="J1309" t="s">
        <v>548</v>
      </c>
      <c r="K1309">
        <v>4.2327656372431362E-3</v>
      </c>
      <c r="L1309" t="s">
        <v>162</v>
      </c>
      <c r="N1309" t="s">
        <v>312</v>
      </c>
      <c r="O1309" t="s">
        <v>548</v>
      </c>
      <c r="P1309">
        <v>8.599599377643501E-3</v>
      </c>
      <c r="Q1309" t="s">
        <v>162</v>
      </c>
      <c r="S1309" t="s">
        <v>424</v>
      </c>
      <c r="T1309" t="s">
        <v>548</v>
      </c>
      <c r="U1309">
        <v>5.8487818537160622E-3</v>
      </c>
      <c r="V1309" t="s">
        <v>162</v>
      </c>
    </row>
    <row r="1310" spans="9:22" x14ac:dyDescent="0.45">
      <c r="I1310" t="s">
        <v>200</v>
      </c>
      <c r="J1310" t="s">
        <v>549</v>
      </c>
      <c r="K1310">
        <v>5.552182015257685E-3</v>
      </c>
      <c r="L1310" t="s">
        <v>162</v>
      </c>
      <c r="N1310" t="s">
        <v>312</v>
      </c>
      <c r="O1310" t="s">
        <v>549</v>
      </c>
      <c r="P1310">
        <v>1.8976136184283024E-2</v>
      </c>
      <c r="Q1310" t="s">
        <v>162</v>
      </c>
      <c r="S1310" t="s">
        <v>424</v>
      </c>
      <c r="T1310" t="s">
        <v>549</v>
      </c>
      <c r="U1310">
        <v>1.3467878995953269E-2</v>
      </c>
      <c r="V1310" t="s">
        <v>162</v>
      </c>
    </row>
    <row r="1311" spans="9:22" x14ac:dyDescent="0.45">
      <c r="I1311" t="s">
        <v>200</v>
      </c>
      <c r="J1311" t="s">
        <v>550</v>
      </c>
      <c r="K1311">
        <v>0</v>
      </c>
      <c r="L1311" t="s">
        <v>162</v>
      </c>
      <c r="N1311" t="s">
        <v>312</v>
      </c>
      <c r="O1311" t="s">
        <v>550</v>
      </c>
      <c r="P1311">
        <v>3.9378495748869256E-3</v>
      </c>
      <c r="Q1311" t="s">
        <v>162</v>
      </c>
      <c r="S1311" t="s">
        <v>424</v>
      </c>
      <c r="T1311" t="s">
        <v>550</v>
      </c>
      <c r="U1311">
        <v>2.3923081779988406E-3</v>
      </c>
      <c r="V1311" t="s">
        <v>162</v>
      </c>
    </row>
    <row r="1312" spans="9:22" x14ac:dyDescent="0.45">
      <c r="I1312" t="s">
        <v>200</v>
      </c>
      <c r="J1312" t="s">
        <v>551</v>
      </c>
      <c r="K1312">
        <v>0</v>
      </c>
      <c r="L1312" t="s">
        <v>162</v>
      </c>
      <c r="N1312" t="s">
        <v>312</v>
      </c>
      <c r="O1312" t="s">
        <v>551</v>
      </c>
      <c r="P1312">
        <v>2.4710034256693693E-2</v>
      </c>
      <c r="Q1312" t="s">
        <v>162</v>
      </c>
      <c r="S1312" t="s">
        <v>424</v>
      </c>
      <c r="T1312" t="s">
        <v>551</v>
      </c>
      <c r="U1312">
        <v>1.4254424531536721E-2</v>
      </c>
      <c r="V1312" t="s">
        <v>162</v>
      </c>
    </row>
    <row r="1313" spans="9:22" x14ac:dyDescent="0.45">
      <c r="I1313" t="s">
        <v>201</v>
      </c>
      <c r="J1313" t="s">
        <v>161</v>
      </c>
      <c r="K1313">
        <v>0</v>
      </c>
      <c r="L1313" t="s">
        <v>162</v>
      </c>
      <c r="N1313" t="s">
        <v>313</v>
      </c>
      <c r="O1313" t="s">
        <v>161</v>
      </c>
      <c r="P1313">
        <v>3.5177380591657668E-2</v>
      </c>
      <c r="Q1313" t="s">
        <v>162</v>
      </c>
      <c r="S1313" t="s">
        <v>425</v>
      </c>
      <c r="T1313" t="s">
        <v>161</v>
      </c>
      <c r="U1313">
        <v>2.9408727878956278E-2</v>
      </c>
      <c r="V1313" t="s">
        <v>162</v>
      </c>
    </row>
    <row r="1314" spans="9:22" x14ac:dyDescent="0.45">
      <c r="I1314" t="s">
        <v>201</v>
      </c>
      <c r="J1314" t="s">
        <v>163</v>
      </c>
      <c r="K1314">
        <v>2.8112473929190274E-3</v>
      </c>
      <c r="L1314" t="s">
        <v>162</v>
      </c>
      <c r="N1314" t="s">
        <v>313</v>
      </c>
      <c r="O1314" t="s">
        <v>163</v>
      </c>
      <c r="P1314">
        <v>3.3732444520985271E-3</v>
      </c>
      <c r="Q1314" t="s">
        <v>162</v>
      </c>
      <c r="S1314" t="s">
        <v>425</v>
      </c>
      <c r="T1314" t="s">
        <v>163</v>
      </c>
      <c r="U1314">
        <v>3.3566692035238276E-3</v>
      </c>
      <c r="V1314" t="s">
        <v>162</v>
      </c>
    </row>
    <row r="1315" spans="9:22" x14ac:dyDescent="0.45">
      <c r="I1315" t="s">
        <v>201</v>
      </c>
      <c r="J1315" t="s">
        <v>164</v>
      </c>
      <c r="K1315">
        <v>1.1647916179464313E-2</v>
      </c>
      <c r="L1315" t="s">
        <v>162</v>
      </c>
      <c r="N1315" t="s">
        <v>313</v>
      </c>
      <c r="O1315" t="s">
        <v>164</v>
      </c>
      <c r="P1315">
        <v>6.1849348440289539E-3</v>
      </c>
      <c r="Q1315" t="s">
        <v>162</v>
      </c>
      <c r="S1315" t="s">
        <v>425</v>
      </c>
      <c r="T1315" t="s">
        <v>164</v>
      </c>
      <c r="U1315">
        <v>6.6930755567987631E-3</v>
      </c>
      <c r="V1315" t="s">
        <v>162</v>
      </c>
    </row>
    <row r="1316" spans="9:22" x14ac:dyDescent="0.45">
      <c r="I1316" t="s">
        <v>201</v>
      </c>
      <c r="J1316" t="s">
        <v>519</v>
      </c>
      <c r="K1316">
        <v>2.0128662931233155E-2</v>
      </c>
      <c r="L1316" t="s">
        <v>162</v>
      </c>
      <c r="N1316" t="s">
        <v>313</v>
      </c>
      <c r="O1316" t="s">
        <v>519</v>
      </c>
      <c r="P1316">
        <v>1.5620499564182875E-2</v>
      </c>
      <c r="Q1316" t="s">
        <v>162</v>
      </c>
      <c r="S1316" t="s">
        <v>425</v>
      </c>
      <c r="T1316" t="s">
        <v>519</v>
      </c>
      <c r="U1316">
        <v>1.7063815473919941E-2</v>
      </c>
      <c r="V1316" t="s">
        <v>162</v>
      </c>
    </row>
    <row r="1317" spans="9:22" x14ac:dyDescent="0.45">
      <c r="I1317" t="s">
        <v>201</v>
      </c>
      <c r="J1317" t="s">
        <v>520</v>
      </c>
      <c r="K1317">
        <v>0</v>
      </c>
      <c r="L1317" t="s">
        <v>162</v>
      </c>
      <c r="N1317" t="s">
        <v>313</v>
      </c>
      <c r="O1317" t="s">
        <v>520</v>
      </c>
      <c r="P1317">
        <v>3.8630297460948097E-3</v>
      </c>
      <c r="Q1317" t="s">
        <v>162</v>
      </c>
      <c r="S1317" t="s">
        <v>425</v>
      </c>
      <c r="T1317" t="s">
        <v>520</v>
      </c>
      <c r="U1317">
        <v>3.3549293217455477E-3</v>
      </c>
      <c r="V1317" t="s">
        <v>162</v>
      </c>
    </row>
    <row r="1318" spans="9:22" x14ac:dyDescent="0.45">
      <c r="I1318" t="s">
        <v>201</v>
      </c>
      <c r="J1318" t="s">
        <v>521</v>
      </c>
      <c r="K1318">
        <v>0</v>
      </c>
      <c r="L1318" t="s">
        <v>162</v>
      </c>
      <c r="N1318" t="s">
        <v>313</v>
      </c>
      <c r="O1318" t="s">
        <v>521</v>
      </c>
      <c r="P1318">
        <v>2.5159711569816948E-2</v>
      </c>
      <c r="Q1318" t="s">
        <v>162</v>
      </c>
      <c r="S1318" t="s">
        <v>425</v>
      </c>
      <c r="T1318" t="s">
        <v>521</v>
      </c>
      <c r="U1318">
        <v>2.0938796052125303E-2</v>
      </c>
      <c r="V1318" t="s">
        <v>162</v>
      </c>
    </row>
    <row r="1319" spans="9:22" x14ac:dyDescent="0.45">
      <c r="I1319" t="s">
        <v>201</v>
      </c>
      <c r="J1319" t="s">
        <v>165</v>
      </c>
      <c r="K1319">
        <v>1.3974952748663881E-2</v>
      </c>
      <c r="L1319" t="s">
        <v>162</v>
      </c>
      <c r="N1319" t="s">
        <v>313</v>
      </c>
      <c r="O1319" t="s">
        <v>165</v>
      </c>
      <c r="P1319">
        <v>5.3839431274740689E-2</v>
      </c>
      <c r="Q1319" t="s">
        <v>162</v>
      </c>
      <c r="S1319" t="s">
        <v>425</v>
      </c>
      <c r="T1319" t="s">
        <v>165</v>
      </c>
      <c r="U1319">
        <v>5.7076374731380386E-2</v>
      </c>
      <c r="V1319" t="s">
        <v>162</v>
      </c>
    </row>
    <row r="1320" spans="9:22" x14ac:dyDescent="0.45">
      <c r="I1320" t="s">
        <v>201</v>
      </c>
      <c r="J1320" t="s">
        <v>166</v>
      </c>
      <c r="K1320">
        <v>1.5291833237126113E-2</v>
      </c>
      <c r="L1320" t="s">
        <v>162</v>
      </c>
      <c r="N1320" t="s">
        <v>313</v>
      </c>
      <c r="O1320" t="s">
        <v>166</v>
      </c>
      <c r="P1320">
        <v>5.1392179884629267E-3</v>
      </c>
      <c r="Q1320" t="s">
        <v>162</v>
      </c>
      <c r="S1320" t="s">
        <v>425</v>
      </c>
      <c r="T1320" t="s">
        <v>166</v>
      </c>
      <c r="U1320">
        <v>6.1687459906352759E-3</v>
      </c>
      <c r="V1320" t="s">
        <v>162</v>
      </c>
    </row>
    <row r="1321" spans="9:22" x14ac:dyDescent="0.45">
      <c r="I1321" t="s">
        <v>201</v>
      </c>
      <c r="J1321" t="s">
        <v>167</v>
      </c>
      <c r="K1321">
        <v>3.9324029399752457E-2</v>
      </c>
      <c r="L1321" t="s">
        <v>162</v>
      </c>
      <c r="N1321" t="s">
        <v>313</v>
      </c>
      <c r="O1321" t="s">
        <v>167</v>
      </c>
      <c r="P1321">
        <v>1.1170417084562987E-2</v>
      </c>
      <c r="Q1321" t="s">
        <v>162</v>
      </c>
      <c r="S1321" t="s">
        <v>425</v>
      </c>
      <c r="T1321" t="s">
        <v>167</v>
      </c>
      <c r="U1321">
        <v>1.172574184336502E-2</v>
      </c>
      <c r="V1321" t="s">
        <v>162</v>
      </c>
    </row>
    <row r="1322" spans="9:22" x14ac:dyDescent="0.45">
      <c r="I1322" t="s">
        <v>201</v>
      </c>
      <c r="J1322" t="s">
        <v>522</v>
      </c>
      <c r="K1322">
        <v>8.7308687023436873E-2</v>
      </c>
      <c r="L1322" t="s">
        <v>162</v>
      </c>
      <c r="N1322" t="s">
        <v>313</v>
      </c>
      <c r="O1322" t="s">
        <v>522</v>
      </c>
      <c r="P1322">
        <v>3.2498295717075805E-2</v>
      </c>
      <c r="Q1322" t="s">
        <v>162</v>
      </c>
      <c r="S1322" t="s">
        <v>425</v>
      </c>
      <c r="T1322" t="s">
        <v>522</v>
      </c>
      <c r="U1322">
        <v>2.8143135486645099E-2</v>
      </c>
      <c r="V1322" t="s">
        <v>162</v>
      </c>
    </row>
    <row r="1323" spans="9:22" x14ac:dyDescent="0.45">
      <c r="I1323" t="s">
        <v>201</v>
      </c>
      <c r="J1323" t="s">
        <v>523</v>
      </c>
      <c r="K1323">
        <v>6.5949502356001674E-3</v>
      </c>
      <c r="L1323" t="s">
        <v>162</v>
      </c>
      <c r="N1323" t="s">
        <v>313</v>
      </c>
      <c r="O1323" t="s">
        <v>523</v>
      </c>
      <c r="P1323">
        <v>7.0603572360647439E-3</v>
      </c>
      <c r="Q1323" t="s">
        <v>162</v>
      </c>
      <c r="S1323" t="s">
        <v>425</v>
      </c>
      <c r="T1323" t="s">
        <v>523</v>
      </c>
      <c r="U1323">
        <v>5.7937928267595947E-3</v>
      </c>
      <c r="V1323" t="s">
        <v>162</v>
      </c>
    </row>
    <row r="1324" spans="9:22" x14ac:dyDescent="0.45">
      <c r="I1324" t="s">
        <v>201</v>
      </c>
      <c r="J1324" t="s">
        <v>524</v>
      </c>
      <c r="K1324">
        <v>2.0493902457345147E-3</v>
      </c>
      <c r="L1324" t="s">
        <v>162</v>
      </c>
      <c r="N1324" t="s">
        <v>313</v>
      </c>
      <c r="O1324" t="s">
        <v>524</v>
      </c>
      <c r="P1324">
        <v>4.0904208008624279E-2</v>
      </c>
      <c r="Q1324" t="s">
        <v>162</v>
      </c>
      <c r="S1324" t="s">
        <v>425</v>
      </c>
      <c r="T1324" t="s">
        <v>524</v>
      </c>
      <c r="U1324">
        <v>3.6258813645993225E-2</v>
      </c>
      <c r="V1324" t="s">
        <v>162</v>
      </c>
    </row>
    <row r="1325" spans="9:22" x14ac:dyDescent="0.45">
      <c r="I1325" t="s">
        <v>201</v>
      </c>
      <c r="J1325" t="s">
        <v>168</v>
      </c>
      <c r="K1325">
        <v>2.2585440488184814E-2</v>
      </c>
      <c r="L1325" t="s">
        <v>162</v>
      </c>
      <c r="N1325" t="s">
        <v>313</v>
      </c>
      <c r="O1325" t="s">
        <v>168</v>
      </c>
      <c r="P1325">
        <v>5.012667197908291E-2</v>
      </c>
      <c r="Q1325" t="s">
        <v>162</v>
      </c>
      <c r="S1325" t="s">
        <v>425</v>
      </c>
      <c r="T1325" t="s">
        <v>168</v>
      </c>
      <c r="U1325">
        <v>3.6414242725038459E-2</v>
      </c>
      <c r="V1325" t="s">
        <v>162</v>
      </c>
    </row>
    <row r="1326" spans="9:22" x14ac:dyDescent="0.45">
      <c r="I1326" t="s">
        <v>201</v>
      </c>
      <c r="J1326" t="s">
        <v>169</v>
      </c>
      <c r="K1326">
        <v>1.1966763842314036E-2</v>
      </c>
      <c r="L1326" t="s">
        <v>162</v>
      </c>
      <c r="N1326" t="s">
        <v>313</v>
      </c>
      <c r="O1326" t="s">
        <v>169</v>
      </c>
      <c r="P1326">
        <v>6.4834134863171709E-3</v>
      </c>
      <c r="Q1326" t="s">
        <v>162</v>
      </c>
      <c r="S1326" t="s">
        <v>425</v>
      </c>
      <c r="T1326" t="s">
        <v>169</v>
      </c>
      <c r="U1326">
        <v>4.0490168120951645E-3</v>
      </c>
      <c r="V1326" t="s">
        <v>162</v>
      </c>
    </row>
    <row r="1327" spans="9:22" x14ac:dyDescent="0.45">
      <c r="I1327" t="s">
        <v>201</v>
      </c>
      <c r="J1327" t="s">
        <v>170</v>
      </c>
      <c r="K1327">
        <v>2.7445452702671944E-2</v>
      </c>
      <c r="L1327" t="s">
        <v>162</v>
      </c>
      <c r="N1327" t="s">
        <v>313</v>
      </c>
      <c r="O1327" t="s">
        <v>170</v>
      </c>
      <c r="P1327">
        <v>1.4842242220666215E-2</v>
      </c>
      <c r="Q1327" t="s">
        <v>162</v>
      </c>
      <c r="S1327" t="s">
        <v>425</v>
      </c>
      <c r="T1327" t="s">
        <v>170</v>
      </c>
      <c r="U1327">
        <v>8.0428726302312278E-3</v>
      </c>
      <c r="V1327" t="s">
        <v>162</v>
      </c>
    </row>
    <row r="1328" spans="9:22" x14ac:dyDescent="0.45">
      <c r="I1328" t="s">
        <v>201</v>
      </c>
      <c r="J1328" t="s">
        <v>525</v>
      </c>
      <c r="K1328">
        <v>6.3722952639264571E-2</v>
      </c>
      <c r="L1328" t="s">
        <v>162</v>
      </c>
      <c r="N1328" t="s">
        <v>313</v>
      </c>
      <c r="O1328" t="s">
        <v>525</v>
      </c>
      <c r="P1328">
        <v>3.6174826710686343E-2</v>
      </c>
      <c r="Q1328" t="s">
        <v>162</v>
      </c>
      <c r="S1328" t="s">
        <v>425</v>
      </c>
      <c r="T1328" t="s">
        <v>525</v>
      </c>
      <c r="U1328">
        <v>2.0541364819247714E-2</v>
      </c>
      <c r="V1328" t="s">
        <v>162</v>
      </c>
    </row>
    <row r="1329" spans="9:22" x14ac:dyDescent="0.45">
      <c r="I1329" t="s">
        <v>201</v>
      </c>
      <c r="J1329" t="s">
        <v>526</v>
      </c>
      <c r="K1329">
        <v>7.5148397347935131E-3</v>
      </c>
      <c r="L1329" t="s">
        <v>162</v>
      </c>
      <c r="N1329" t="s">
        <v>313</v>
      </c>
      <c r="O1329" t="s">
        <v>526</v>
      </c>
      <c r="P1329">
        <v>6.5863685245486541E-3</v>
      </c>
      <c r="Q1329" t="s">
        <v>162</v>
      </c>
      <c r="S1329" t="s">
        <v>425</v>
      </c>
      <c r="T1329" t="s">
        <v>526</v>
      </c>
      <c r="U1329">
        <v>4.1592131862988203E-3</v>
      </c>
      <c r="V1329" t="s">
        <v>162</v>
      </c>
    </row>
    <row r="1330" spans="9:22" x14ac:dyDescent="0.45">
      <c r="I1330" t="s">
        <v>201</v>
      </c>
      <c r="J1330" t="s">
        <v>527</v>
      </c>
      <c r="K1330">
        <v>5.8201577630330754E-3</v>
      </c>
      <c r="L1330" t="s">
        <v>162</v>
      </c>
      <c r="N1330" t="s">
        <v>313</v>
      </c>
      <c r="O1330" t="s">
        <v>527</v>
      </c>
      <c r="P1330">
        <v>3.8005231845634722E-2</v>
      </c>
      <c r="Q1330" t="s">
        <v>162</v>
      </c>
      <c r="S1330" t="s">
        <v>425</v>
      </c>
      <c r="T1330" t="s">
        <v>527</v>
      </c>
      <c r="U1330">
        <v>2.4043975413875613E-2</v>
      </c>
      <c r="V1330" t="s">
        <v>162</v>
      </c>
    </row>
    <row r="1331" spans="9:22" x14ac:dyDescent="0.45">
      <c r="I1331" t="s">
        <v>201</v>
      </c>
      <c r="J1331" t="s">
        <v>528</v>
      </c>
      <c r="K1331">
        <v>8.2363463816949908E-2</v>
      </c>
      <c r="L1331" t="s">
        <v>162</v>
      </c>
      <c r="N1331" t="s">
        <v>313</v>
      </c>
      <c r="O1331" t="s">
        <v>528</v>
      </c>
      <c r="P1331">
        <v>5.9139564842061336E-2</v>
      </c>
      <c r="Q1331" t="s">
        <v>162</v>
      </c>
      <c r="S1331" t="s">
        <v>425</v>
      </c>
      <c r="T1331" t="s">
        <v>528</v>
      </c>
      <c r="U1331">
        <v>9.6698598823474341E-2</v>
      </c>
      <c r="V1331" t="s">
        <v>162</v>
      </c>
    </row>
    <row r="1332" spans="9:22" x14ac:dyDescent="0.45">
      <c r="I1332" t="s">
        <v>201</v>
      </c>
      <c r="J1332" t="s">
        <v>529</v>
      </c>
      <c r="K1332">
        <v>3.2145300550348754E-2</v>
      </c>
      <c r="L1332" t="s">
        <v>162</v>
      </c>
      <c r="N1332" t="s">
        <v>313</v>
      </c>
      <c r="O1332" t="s">
        <v>529</v>
      </c>
      <c r="P1332">
        <v>8.1778280788883401E-3</v>
      </c>
      <c r="Q1332" t="s">
        <v>162</v>
      </c>
      <c r="S1332" t="s">
        <v>425</v>
      </c>
      <c r="T1332" t="s">
        <v>529</v>
      </c>
      <c r="U1332">
        <v>1.0329486815646011E-2</v>
      </c>
      <c r="V1332" t="s">
        <v>162</v>
      </c>
    </row>
    <row r="1333" spans="9:22" x14ac:dyDescent="0.45">
      <c r="I1333" t="s">
        <v>201</v>
      </c>
      <c r="J1333" t="s">
        <v>530</v>
      </c>
      <c r="K1333">
        <v>6.986843755151971E-2</v>
      </c>
      <c r="L1333" t="s">
        <v>162</v>
      </c>
      <c r="N1333" t="s">
        <v>313</v>
      </c>
      <c r="O1333" t="s">
        <v>530</v>
      </c>
      <c r="P1333">
        <v>1.8646400975278633E-2</v>
      </c>
      <c r="Q1333" t="s">
        <v>162</v>
      </c>
      <c r="S1333" t="s">
        <v>425</v>
      </c>
      <c r="T1333" t="s">
        <v>530</v>
      </c>
      <c r="U1333">
        <v>2.0236491123807463E-2</v>
      </c>
      <c r="V1333" t="s">
        <v>162</v>
      </c>
    </row>
    <row r="1334" spans="9:22" x14ac:dyDescent="0.45">
      <c r="I1334" t="s">
        <v>201</v>
      </c>
      <c r="J1334" t="s">
        <v>531</v>
      </c>
      <c r="K1334">
        <v>0.15559262017702025</v>
      </c>
      <c r="L1334" t="s">
        <v>162</v>
      </c>
      <c r="N1334" t="s">
        <v>313</v>
      </c>
      <c r="O1334" t="s">
        <v>531</v>
      </c>
      <c r="P1334">
        <v>5.1494028877110277E-2</v>
      </c>
      <c r="Q1334" t="s">
        <v>162</v>
      </c>
      <c r="S1334" t="s">
        <v>425</v>
      </c>
      <c r="T1334" t="s">
        <v>531</v>
      </c>
      <c r="U1334">
        <v>4.8323811351269827E-2</v>
      </c>
      <c r="V1334" t="s">
        <v>162</v>
      </c>
    </row>
    <row r="1335" spans="9:22" x14ac:dyDescent="0.45">
      <c r="I1335" t="s">
        <v>201</v>
      </c>
      <c r="J1335" t="s">
        <v>532</v>
      </c>
      <c r="K1335">
        <v>2.0426957881012283E-2</v>
      </c>
      <c r="L1335" t="s">
        <v>162</v>
      </c>
      <c r="N1335" t="s">
        <v>313</v>
      </c>
      <c r="O1335" t="s">
        <v>532</v>
      </c>
      <c r="P1335">
        <v>9.7818006248630938E-3</v>
      </c>
      <c r="Q1335" t="s">
        <v>162</v>
      </c>
      <c r="S1335" t="s">
        <v>425</v>
      </c>
      <c r="T1335" t="s">
        <v>532</v>
      </c>
      <c r="U1335">
        <v>9.532723187199197E-3</v>
      </c>
      <c r="V1335" t="s">
        <v>162</v>
      </c>
    </row>
    <row r="1336" spans="9:22" x14ac:dyDescent="0.45">
      <c r="I1336" t="s">
        <v>201</v>
      </c>
      <c r="J1336" t="s">
        <v>533</v>
      </c>
      <c r="K1336">
        <v>3.2098295636414927E-2</v>
      </c>
      <c r="L1336" t="s">
        <v>162</v>
      </c>
      <c r="N1336" t="s">
        <v>313</v>
      </c>
      <c r="O1336" t="s">
        <v>533</v>
      </c>
      <c r="P1336">
        <v>4.9371962526895567E-2</v>
      </c>
      <c r="Q1336" t="s">
        <v>162</v>
      </c>
      <c r="S1336" t="s">
        <v>425</v>
      </c>
      <c r="T1336" t="s">
        <v>533</v>
      </c>
      <c r="U1336">
        <v>5.9821130127750019E-2</v>
      </c>
      <c r="V1336" t="s">
        <v>162</v>
      </c>
    </row>
    <row r="1337" spans="9:22" x14ac:dyDescent="0.45">
      <c r="I1337" t="s">
        <v>201</v>
      </c>
      <c r="J1337" t="s">
        <v>534</v>
      </c>
      <c r="K1337">
        <v>3.7095386464570217E-2</v>
      </c>
      <c r="L1337" t="s">
        <v>162</v>
      </c>
      <c r="N1337" t="s">
        <v>313</v>
      </c>
      <c r="O1337" t="s">
        <v>534</v>
      </c>
      <c r="P1337">
        <v>5.9221446154629438E-2</v>
      </c>
      <c r="Q1337" t="s">
        <v>162</v>
      </c>
      <c r="S1337" t="s">
        <v>425</v>
      </c>
      <c r="T1337" t="s">
        <v>534</v>
      </c>
      <c r="U1337">
        <v>0.10246030282782753</v>
      </c>
      <c r="V1337" t="s">
        <v>162</v>
      </c>
    </row>
    <row r="1338" spans="9:22" x14ac:dyDescent="0.45">
      <c r="I1338" t="s">
        <v>201</v>
      </c>
      <c r="J1338" t="s">
        <v>535</v>
      </c>
      <c r="K1338">
        <v>2.0938177824531494E-2</v>
      </c>
      <c r="L1338" t="s">
        <v>162</v>
      </c>
      <c r="N1338" t="s">
        <v>313</v>
      </c>
      <c r="O1338" t="s">
        <v>535</v>
      </c>
      <c r="P1338">
        <v>6.7397559752393841E-3</v>
      </c>
      <c r="Q1338" t="s">
        <v>162</v>
      </c>
      <c r="S1338" t="s">
        <v>425</v>
      </c>
      <c r="T1338" t="s">
        <v>535</v>
      </c>
      <c r="U1338">
        <v>1.0730702530436139E-2</v>
      </c>
      <c r="V1338" t="s">
        <v>162</v>
      </c>
    </row>
    <row r="1339" spans="9:22" x14ac:dyDescent="0.45">
      <c r="I1339" t="s">
        <v>201</v>
      </c>
      <c r="J1339" t="s">
        <v>536</v>
      </c>
      <c r="K1339">
        <v>4.5473401291909729E-2</v>
      </c>
      <c r="L1339" t="s">
        <v>162</v>
      </c>
      <c r="N1339" t="s">
        <v>313</v>
      </c>
      <c r="O1339" t="s">
        <v>536</v>
      </c>
      <c r="P1339">
        <v>1.6043346888980247E-2</v>
      </c>
      <c r="Q1339" t="s">
        <v>162</v>
      </c>
      <c r="S1339" t="s">
        <v>425</v>
      </c>
      <c r="T1339" t="s">
        <v>536</v>
      </c>
      <c r="U1339">
        <v>2.1253655086340695E-2</v>
      </c>
      <c r="V1339" t="s">
        <v>162</v>
      </c>
    </row>
    <row r="1340" spans="9:22" x14ac:dyDescent="0.45">
      <c r="I1340" t="s">
        <v>201</v>
      </c>
      <c r="J1340" t="s">
        <v>537</v>
      </c>
      <c r="K1340">
        <v>9.4935280842197017E-2</v>
      </c>
      <c r="L1340" t="s">
        <v>162</v>
      </c>
      <c r="N1340" t="s">
        <v>313</v>
      </c>
      <c r="O1340" t="s">
        <v>537</v>
      </c>
      <c r="P1340">
        <v>4.4883532407077716E-2</v>
      </c>
      <c r="Q1340" t="s">
        <v>162</v>
      </c>
      <c r="S1340" t="s">
        <v>425</v>
      </c>
      <c r="T1340" t="s">
        <v>537</v>
      </c>
      <c r="U1340">
        <v>5.365828488715179E-2</v>
      </c>
      <c r="V1340" t="s">
        <v>162</v>
      </c>
    </row>
    <row r="1341" spans="9:22" x14ac:dyDescent="0.45">
      <c r="I1341" t="s">
        <v>201</v>
      </c>
      <c r="J1341" t="s">
        <v>538</v>
      </c>
      <c r="K1341">
        <v>1.0400975675949857E-2</v>
      </c>
      <c r="L1341" t="s">
        <v>162</v>
      </c>
      <c r="N1341" t="s">
        <v>313</v>
      </c>
      <c r="O1341" t="s">
        <v>538</v>
      </c>
      <c r="P1341">
        <v>8.2716836623693436E-3</v>
      </c>
      <c r="Q1341" t="s">
        <v>162</v>
      </c>
      <c r="S1341" t="s">
        <v>425</v>
      </c>
      <c r="T1341" t="s">
        <v>538</v>
      </c>
      <c r="U1341">
        <v>1.1211866911258722E-2</v>
      </c>
      <c r="V1341" t="s">
        <v>162</v>
      </c>
    </row>
    <row r="1342" spans="9:22" x14ac:dyDescent="0.45">
      <c r="I1342" t="s">
        <v>201</v>
      </c>
      <c r="J1342" t="s">
        <v>539</v>
      </c>
      <c r="K1342">
        <v>8.835884077712965E-3</v>
      </c>
      <c r="L1342" t="s">
        <v>162</v>
      </c>
      <c r="N1342" t="s">
        <v>313</v>
      </c>
      <c r="O1342" t="s">
        <v>539</v>
      </c>
      <c r="P1342">
        <v>4.520548114618346E-2</v>
      </c>
      <c r="Q1342" t="s">
        <v>162</v>
      </c>
      <c r="S1342" t="s">
        <v>425</v>
      </c>
      <c r="T1342" t="s">
        <v>539</v>
      </c>
      <c r="U1342">
        <v>6.7827584981314124E-2</v>
      </c>
      <c r="V1342" t="s">
        <v>162</v>
      </c>
    </row>
    <row r="1343" spans="9:22" x14ac:dyDescent="0.45">
      <c r="I1343" t="s">
        <v>201</v>
      </c>
      <c r="J1343" t="s">
        <v>540</v>
      </c>
      <c r="K1343">
        <v>7.4346386392247022E-4</v>
      </c>
      <c r="L1343" t="s">
        <v>162</v>
      </c>
      <c r="N1343" t="s">
        <v>313</v>
      </c>
      <c r="O1343" t="s">
        <v>540</v>
      </c>
      <c r="P1343">
        <v>3.1557173584361262E-2</v>
      </c>
      <c r="Q1343" t="s">
        <v>162</v>
      </c>
      <c r="S1343" t="s">
        <v>425</v>
      </c>
      <c r="T1343" t="s">
        <v>540</v>
      </c>
      <c r="U1343">
        <v>3.4041470862704891E-2</v>
      </c>
      <c r="V1343" t="s">
        <v>162</v>
      </c>
    </row>
    <row r="1344" spans="9:22" x14ac:dyDescent="0.45">
      <c r="I1344" t="s">
        <v>201</v>
      </c>
      <c r="J1344" t="s">
        <v>541</v>
      </c>
      <c r="K1344">
        <v>2.5954271464860121E-3</v>
      </c>
      <c r="L1344" t="s">
        <v>162</v>
      </c>
      <c r="N1344" t="s">
        <v>313</v>
      </c>
      <c r="O1344" t="s">
        <v>541</v>
      </c>
      <c r="P1344">
        <v>3.0246448429987497E-3</v>
      </c>
      <c r="Q1344" t="s">
        <v>162</v>
      </c>
      <c r="S1344" t="s">
        <v>425</v>
      </c>
      <c r="T1344" t="s">
        <v>541</v>
      </c>
      <c r="U1344">
        <v>3.7202642719795509E-3</v>
      </c>
      <c r="V1344" t="s">
        <v>162</v>
      </c>
    </row>
    <row r="1345" spans="9:22" x14ac:dyDescent="0.45">
      <c r="I1345" t="s">
        <v>201</v>
      </c>
      <c r="J1345" t="s">
        <v>542</v>
      </c>
      <c r="K1345">
        <v>8.4239952150050087E-3</v>
      </c>
      <c r="L1345" t="s">
        <v>162</v>
      </c>
      <c r="N1345" t="s">
        <v>313</v>
      </c>
      <c r="O1345" t="s">
        <v>542</v>
      </c>
      <c r="P1345">
        <v>6.0611153380100173E-3</v>
      </c>
      <c r="Q1345" t="s">
        <v>162</v>
      </c>
      <c r="S1345" t="s">
        <v>425</v>
      </c>
      <c r="T1345" t="s">
        <v>542</v>
      </c>
      <c r="U1345">
        <v>7.3930134269841533E-3</v>
      </c>
      <c r="V1345" t="s">
        <v>162</v>
      </c>
    </row>
    <row r="1346" spans="9:22" x14ac:dyDescent="0.45">
      <c r="I1346" t="s">
        <v>201</v>
      </c>
      <c r="J1346" t="s">
        <v>543</v>
      </c>
      <c r="K1346">
        <v>1.3285413689216102E-2</v>
      </c>
      <c r="L1346" t="s">
        <v>162</v>
      </c>
      <c r="N1346" t="s">
        <v>313</v>
      </c>
      <c r="O1346" t="s">
        <v>543</v>
      </c>
      <c r="P1346">
        <v>1.8142408385592775E-2</v>
      </c>
      <c r="Q1346" t="s">
        <v>162</v>
      </c>
      <c r="S1346" t="s">
        <v>425</v>
      </c>
      <c r="T1346" t="s">
        <v>543</v>
      </c>
      <c r="U1346">
        <v>1.8843376392811539E-2</v>
      </c>
      <c r="V1346" t="s">
        <v>162</v>
      </c>
    </row>
    <row r="1347" spans="9:22" x14ac:dyDescent="0.45">
      <c r="I1347" t="s">
        <v>201</v>
      </c>
      <c r="J1347" t="s">
        <v>544</v>
      </c>
      <c r="K1347">
        <v>0</v>
      </c>
      <c r="L1347" t="s">
        <v>162</v>
      </c>
      <c r="N1347" t="s">
        <v>313</v>
      </c>
      <c r="O1347" t="s">
        <v>544</v>
      </c>
      <c r="P1347">
        <v>4.5219498676322776E-3</v>
      </c>
      <c r="Q1347" t="s">
        <v>162</v>
      </c>
      <c r="S1347" t="s">
        <v>425</v>
      </c>
      <c r="T1347" t="s">
        <v>544</v>
      </c>
      <c r="U1347">
        <v>3.8388924394188793E-3</v>
      </c>
      <c r="V1347" t="s">
        <v>162</v>
      </c>
    </row>
    <row r="1348" spans="9:22" x14ac:dyDescent="0.45">
      <c r="I1348" t="s">
        <v>201</v>
      </c>
      <c r="J1348" t="s">
        <v>545</v>
      </c>
      <c r="K1348">
        <v>0</v>
      </c>
      <c r="L1348" t="s">
        <v>162</v>
      </c>
      <c r="N1348" t="s">
        <v>313</v>
      </c>
      <c r="O1348" t="s">
        <v>545</v>
      </c>
      <c r="P1348">
        <v>2.5521866069920608E-2</v>
      </c>
      <c r="Q1348" t="s">
        <v>162</v>
      </c>
      <c r="S1348" t="s">
        <v>425</v>
      </c>
      <c r="T1348" t="s">
        <v>545</v>
      </c>
      <c r="U1348">
        <v>2.2016951658149476E-2</v>
      </c>
      <c r="V1348" t="s">
        <v>162</v>
      </c>
    </row>
    <row r="1349" spans="9:22" x14ac:dyDescent="0.45">
      <c r="I1349" t="s">
        <v>201</v>
      </c>
      <c r="J1349" t="s">
        <v>546</v>
      </c>
      <c r="K1349">
        <v>0</v>
      </c>
      <c r="L1349" t="s">
        <v>162</v>
      </c>
      <c r="N1349" t="s">
        <v>313</v>
      </c>
      <c r="O1349" t="s">
        <v>546</v>
      </c>
      <c r="P1349">
        <v>5.7481283187274052E-2</v>
      </c>
      <c r="Q1349" t="s">
        <v>162</v>
      </c>
      <c r="S1349" t="s">
        <v>425</v>
      </c>
      <c r="T1349" t="s">
        <v>546</v>
      </c>
      <c r="U1349">
        <v>2.9145211199593488E-2</v>
      </c>
      <c r="V1349" t="s">
        <v>162</v>
      </c>
    </row>
    <row r="1350" spans="9:22" x14ac:dyDescent="0.45">
      <c r="I1350" t="s">
        <v>201</v>
      </c>
      <c r="J1350" t="s">
        <v>547</v>
      </c>
      <c r="K1350">
        <v>1.4830289129293137E-3</v>
      </c>
      <c r="L1350" t="s">
        <v>162</v>
      </c>
      <c r="N1350" t="s">
        <v>313</v>
      </c>
      <c r="O1350" t="s">
        <v>547</v>
      </c>
      <c r="P1350">
        <v>5.7544668675261236E-3</v>
      </c>
      <c r="Q1350" t="s">
        <v>162</v>
      </c>
      <c r="S1350" t="s">
        <v>425</v>
      </c>
      <c r="T1350" t="s">
        <v>547</v>
      </c>
      <c r="U1350">
        <v>3.1891706554532488E-3</v>
      </c>
      <c r="V1350" t="s">
        <v>162</v>
      </c>
    </row>
    <row r="1351" spans="9:22" x14ac:dyDescent="0.45">
      <c r="I1351" t="s">
        <v>201</v>
      </c>
      <c r="J1351" t="s">
        <v>548</v>
      </c>
      <c r="K1351">
        <v>9.7806391810293953E-3</v>
      </c>
      <c r="L1351" t="s">
        <v>162</v>
      </c>
      <c r="N1351" t="s">
        <v>313</v>
      </c>
      <c r="O1351" t="s">
        <v>548</v>
      </c>
      <c r="P1351">
        <v>1.0951090012114185E-2</v>
      </c>
      <c r="Q1351" t="s">
        <v>162</v>
      </c>
      <c r="S1351" t="s">
        <v>425</v>
      </c>
      <c r="T1351" t="s">
        <v>548</v>
      </c>
      <c r="U1351">
        <v>6.2127373313924936E-3</v>
      </c>
      <c r="V1351" t="s">
        <v>162</v>
      </c>
    </row>
    <row r="1352" spans="9:22" x14ac:dyDescent="0.45">
      <c r="I1352" t="s">
        <v>201</v>
      </c>
      <c r="J1352" t="s">
        <v>549</v>
      </c>
      <c r="K1352">
        <v>1.532657363708499E-2</v>
      </c>
      <c r="L1352" t="s">
        <v>162</v>
      </c>
      <c r="N1352" t="s">
        <v>313</v>
      </c>
      <c r="O1352" t="s">
        <v>549</v>
      </c>
      <c r="P1352">
        <v>2.6293535873082752E-2</v>
      </c>
      <c r="Q1352" t="s">
        <v>162</v>
      </c>
      <c r="S1352" t="s">
        <v>425</v>
      </c>
      <c r="T1352" t="s">
        <v>549</v>
      </c>
      <c r="U1352">
        <v>1.5047975008476091E-2</v>
      </c>
      <c r="V1352" t="s">
        <v>162</v>
      </c>
    </row>
    <row r="1353" spans="9:22" x14ac:dyDescent="0.45">
      <c r="I1353" t="s">
        <v>201</v>
      </c>
      <c r="J1353" t="s">
        <v>550</v>
      </c>
      <c r="K1353">
        <v>0</v>
      </c>
      <c r="L1353" t="s">
        <v>162</v>
      </c>
      <c r="N1353" t="s">
        <v>313</v>
      </c>
      <c r="O1353" t="s">
        <v>550</v>
      </c>
      <c r="P1353">
        <v>5.6203663422346416E-3</v>
      </c>
      <c r="Q1353" t="s">
        <v>162</v>
      </c>
      <c r="S1353" t="s">
        <v>425</v>
      </c>
      <c r="T1353" t="s">
        <v>550</v>
      </c>
      <c r="U1353">
        <v>2.9229093607416965E-3</v>
      </c>
      <c r="V1353" t="s">
        <v>162</v>
      </c>
    </row>
    <row r="1354" spans="9:22" x14ac:dyDescent="0.45">
      <c r="I1354" t="s">
        <v>201</v>
      </c>
      <c r="J1354" t="s">
        <v>551</v>
      </c>
      <c r="K1354">
        <v>0</v>
      </c>
      <c r="L1354" t="s">
        <v>162</v>
      </c>
      <c r="N1354" t="s">
        <v>313</v>
      </c>
      <c r="O1354" t="s">
        <v>551</v>
      </c>
      <c r="P1354">
        <v>3.5883784625329096E-2</v>
      </c>
      <c r="Q1354" t="s">
        <v>162</v>
      </c>
      <c r="S1354" t="s">
        <v>425</v>
      </c>
      <c r="T1354" t="s">
        <v>551</v>
      </c>
      <c r="U1354">
        <v>1.8310085140184035E-2</v>
      </c>
      <c r="V1354" t="s">
        <v>162</v>
      </c>
    </row>
    <row r="1355" spans="9:22" x14ac:dyDescent="0.45">
      <c r="I1355" t="s">
        <v>202</v>
      </c>
      <c r="J1355" t="s">
        <v>161</v>
      </c>
      <c r="K1355">
        <v>0</v>
      </c>
      <c r="L1355" t="s">
        <v>162</v>
      </c>
      <c r="N1355" t="s">
        <v>314</v>
      </c>
      <c r="O1355" t="s">
        <v>161</v>
      </c>
      <c r="P1355">
        <v>3.860256002289341E-2</v>
      </c>
      <c r="Q1355" t="s">
        <v>162</v>
      </c>
      <c r="S1355" t="s">
        <v>426</v>
      </c>
      <c r="T1355" t="s">
        <v>161</v>
      </c>
      <c r="U1355">
        <v>3.0417706466866732E-2</v>
      </c>
      <c r="V1355" t="s">
        <v>162</v>
      </c>
    </row>
    <row r="1356" spans="9:22" x14ac:dyDescent="0.45">
      <c r="I1356" t="s">
        <v>202</v>
      </c>
      <c r="J1356" t="s">
        <v>163</v>
      </c>
      <c r="K1356">
        <v>1.5195529111658949E-3</v>
      </c>
      <c r="L1356" t="s">
        <v>162</v>
      </c>
      <c r="N1356" t="s">
        <v>314</v>
      </c>
      <c r="O1356" t="s">
        <v>163</v>
      </c>
      <c r="P1356">
        <v>4.0457168845430902E-3</v>
      </c>
      <c r="Q1356" t="s">
        <v>162</v>
      </c>
      <c r="S1356" t="s">
        <v>426</v>
      </c>
      <c r="T1356" t="s">
        <v>163</v>
      </c>
      <c r="U1356">
        <v>3.2907002574366654E-3</v>
      </c>
      <c r="V1356" t="s">
        <v>162</v>
      </c>
    </row>
    <row r="1357" spans="9:22" x14ac:dyDescent="0.45">
      <c r="I1357" t="s">
        <v>202</v>
      </c>
      <c r="J1357" t="s">
        <v>164</v>
      </c>
      <c r="K1357">
        <v>1.0320581065993508E-2</v>
      </c>
      <c r="L1357" t="s">
        <v>162</v>
      </c>
      <c r="N1357" t="s">
        <v>314</v>
      </c>
      <c r="O1357" t="s">
        <v>164</v>
      </c>
      <c r="P1357">
        <v>7.2009365528963266E-3</v>
      </c>
      <c r="Q1357" t="s">
        <v>162</v>
      </c>
      <c r="S1357" t="s">
        <v>426</v>
      </c>
      <c r="T1357" t="s">
        <v>164</v>
      </c>
      <c r="U1357">
        <v>6.5238501363167238E-3</v>
      </c>
      <c r="V1357" t="s">
        <v>162</v>
      </c>
    </row>
    <row r="1358" spans="9:22" x14ac:dyDescent="0.45">
      <c r="I1358" t="s">
        <v>202</v>
      </c>
      <c r="J1358" t="s">
        <v>519</v>
      </c>
      <c r="K1358">
        <v>1.9014974853388173E-2</v>
      </c>
      <c r="L1358" t="s">
        <v>162</v>
      </c>
      <c r="N1358" t="s">
        <v>314</v>
      </c>
      <c r="O1358" t="s">
        <v>519</v>
      </c>
      <c r="P1358">
        <v>2.0105045012118964E-2</v>
      </c>
      <c r="Q1358" t="s">
        <v>162</v>
      </c>
      <c r="S1358" t="s">
        <v>426</v>
      </c>
      <c r="T1358" t="s">
        <v>519</v>
      </c>
      <c r="U1358">
        <v>1.6039768924649082E-2</v>
      </c>
      <c r="V1358" t="s">
        <v>162</v>
      </c>
    </row>
    <row r="1359" spans="9:22" x14ac:dyDescent="0.45">
      <c r="I1359" t="s">
        <v>202</v>
      </c>
      <c r="J1359" t="s">
        <v>520</v>
      </c>
      <c r="K1359">
        <v>0</v>
      </c>
      <c r="L1359" t="s">
        <v>162</v>
      </c>
      <c r="N1359" t="s">
        <v>314</v>
      </c>
      <c r="O1359" t="s">
        <v>520</v>
      </c>
      <c r="P1359">
        <v>5.0646753509277281E-3</v>
      </c>
      <c r="Q1359" t="s">
        <v>162</v>
      </c>
      <c r="S1359" t="s">
        <v>426</v>
      </c>
      <c r="T1359" t="s">
        <v>520</v>
      </c>
      <c r="U1359">
        <v>3.2497495700883829E-3</v>
      </c>
      <c r="V1359" t="s">
        <v>162</v>
      </c>
    </row>
    <row r="1360" spans="9:22" x14ac:dyDescent="0.45">
      <c r="I1360" t="s">
        <v>202</v>
      </c>
      <c r="J1360" t="s">
        <v>521</v>
      </c>
      <c r="K1360">
        <v>0</v>
      </c>
      <c r="L1360" t="s">
        <v>162</v>
      </c>
      <c r="N1360" t="s">
        <v>314</v>
      </c>
      <c r="O1360" t="s">
        <v>521</v>
      </c>
      <c r="P1360">
        <v>3.2332038828849052E-2</v>
      </c>
      <c r="Q1360" t="s">
        <v>162</v>
      </c>
      <c r="S1360" t="s">
        <v>426</v>
      </c>
      <c r="T1360" t="s">
        <v>521</v>
      </c>
      <c r="U1360">
        <v>2.1668024735308739E-2</v>
      </c>
      <c r="V1360" t="s">
        <v>162</v>
      </c>
    </row>
    <row r="1361" spans="9:22" x14ac:dyDescent="0.45">
      <c r="I1361" t="s">
        <v>202</v>
      </c>
      <c r="J1361" t="s">
        <v>165</v>
      </c>
      <c r="K1361">
        <v>1.2610278982355842E-2</v>
      </c>
      <c r="L1361" t="s">
        <v>162</v>
      </c>
      <c r="N1361" t="s">
        <v>314</v>
      </c>
      <c r="O1361" t="s">
        <v>165</v>
      </c>
      <c r="P1361">
        <v>5.8270327325001453E-2</v>
      </c>
      <c r="Q1361" t="s">
        <v>162</v>
      </c>
      <c r="S1361" t="s">
        <v>426</v>
      </c>
      <c r="T1361" t="s">
        <v>165</v>
      </c>
      <c r="U1361">
        <v>5.3537797896540916E-2</v>
      </c>
      <c r="V1361" t="s">
        <v>162</v>
      </c>
    </row>
    <row r="1362" spans="9:22" x14ac:dyDescent="0.45">
      <c r="I1362" t="s">
        <v>202</v>
      </c>
      <c r="J1362" t="s">
        <v>166</v>
      </c>
      <c r="K1362">
        <v>1.5112035869994534E-2</v>
      </c>
      <c r="L1362" t="s">
        <v>162</v>
      </c>
      <c r="N1362" t="s">
        <v>314</v>
      </c>
      <c r="O1362" t="s">
        <v>166</v>
      </c>
      <c r="P1362">
        <v>4.6998649603497283E-3</v>
      </c>
      <c r="Q1362" t="s">
        <v>162</v>
      </c>
      <c r="S1362" t="s">
        <v>426</v>
      </c>
      <c r="T1362" t="s">
        <v>166</v>
      </c>
      <c r="U1362">
        <v>5.9387775471492748E-3</v>
      </c>
      <c r="V1362" t="s">
        <v>162</v>
      </c>
    </row>
    <row r="1363" spans="9:22" x14ac:dyDescent="0.45">
      <c r="I1363" t="s">
        <v>202</v>
      </c>
      <c r="J1363" t="s">
        <v>167</v>
      </c>
      <c r="K1363">
        <v>3.9532599746111251E-2</v>
      </c>
      <c r="L1363" t="s">
        <v>162</v>
      </c>
      <c r="N1363" t="s">
        <v>314</v>
      </c>
      <c r="O1363" t="s">
        <v>167</v>
      </c>
      <c r="P1363">
        <v>1.1025835484355139E-2</v>
      </c>
      <c r="Q1363" t="s">
        <v>162</v>
      </c>
      <c r="S1363" t="s">
        <v>426</v>
      </c>
      <c r="T1363" t="s">
        <v>167</v>
      </c>
      <c r="U1363">
        <v>1.1348879816436128E-2</v>
      </c>
      <c r="V1363" t="s">
        <v>162</v>
      </c>
    </row>
    <row r="1364" spans="9:22" x14ac:dyDescent="0.45">
      <c r="I1364" t="s">
        <v>202</v>
      </c>
      <c r="J1364" t="s">
        <v>522</v>
      </c>
      <c r="K1364">
        <v>8.879970268986323E-2</v>
      </c>
      <c r="L1364" t="s">
        <v>162</v>
      </c>
      <c r="N1364" t="s">
        <v>314</v>
      </c>
      <c r="O1364" t="s">
        <v>522</v>
      </c>
      <c r="P1364">
        <v>3.4983696112614912E-2</v>
      </c>
      <c r="Q1364" t="s">
        <v>162</v>
      </c>
      <c r="S1364" t="s">
        <v>426</v>
      </c>
      <c r="T1364" t="s">
        <v>522</v>
      </c>
      <c r="U1364">
        <v>2.7786121972418209E-2</v>
      </c>
      <c r="V1364" t="s">
        <v>162</v>
      </c>
    </row>
    <row r="1365" spans="9:22" x14ac:dyDescent="0.45">
      <c r="I1365" t="s">
        <v>202</v>
      </c>
      <c r="J1365" t="s">
        <v>523</v>
      </c>
      <c r="K1365">
        <v>6.6173303691529784E-3</v>
      </c>
      <c r="L1365" t="s">
        <v>162</v>
      </c>
      <c r="N1365" t="s">
        <v>314</v>
      </c>
      <c r="O1365" t="s">
        <v>523</v>
      </c>
      <c r="P1365">
        <v>7.3577641568433735E-3</v>
      </c>
      <c r="Q1365" t="s">
        <v>162</v>
      </c>
      <c r="S1365" t="s">
        <v>426</v>
      </c>
      <c r="T1365" t="s">
        <v>523</v>
      </c>
      <c r="U1365">
        <v>5.7888504039557394E-3</v>
      </c>
      <c r="V1365" t="s">
        <v>162</v>
      </c>
    </row>
    <row r="1366" spans="9:22" x14ac:dyDescent="0.45">
      <c r="I1366" t="s">
        <v>202</v>
      </c>
      <c r="J1366" t="s">
        <v>524</v>
      </c>
      <c r="K1366">
        <v>2.0980454021515913E-3</v>
      </c>
      <c r="L1366" t="s">
        <v>162</v>
      </c>
      <c r="N1366" t="s">
        <v>314</v>
      </c>
      <c r="O1366" t="s">
        <v>524</v>
      </c>
      <c r="P1366">
        <v>4.4705214545688939E-2</v>
      </c>
      <c r="Q1366" t="s">
        <v>162</v>
      </c>
      <c r="S1366" t="s">
        <v>426</v>
      </c>
      <c r="T1366" t="s">
        <v>524</v>
      </c>
      <c r="U1366">
        <v>3.5262319153658225E-2</v>
      </c>
      <c r="V1366" t="s">
        <v>162</v>
      </c>
    </row>
    <row r="1367" spans="9:22" x14ac:dyDescent="0.45">
      <c r="I1367" t="s">
        <v>202</v>
      </c>
      <c r="J1367" t="s">
        <v>168</v>
      </c>
      <c r="K1367">
        <v>2.8200318693352655E-2</v>
      </c>
      <c r="L1367" t="s">
        <v>162</v>
      </c>
      <c r="N1367" t="s">
        <v>314</v>
      </c>
      <c r="O1367" t="s">
        <v>168</v>
      </c>
      <c r="P1367">
        <v>4.2492297226396823E-2</v>
      </c>
      <c r="Q1367" t="s">
        <v>162</v>
      </c>
      <c r="S1367" t="s">
        <v>426</v>
      </c>
      <c r="T1367" t="s">
        <v>168</v>
      </c>
      <c r="U1367">
        <v>3.9930613456289676E-2</v>
      </c>
      <c r="V1367" t="s">
        <v>162</v>
      </c>
    </row>
    <row r="1368" spans="9:22" x14ac:dyDescent="0.45">
      <c r="I1368" t="s">
        <v>202</v>
      </c>
      <c r="J1368" t="s">
        <v>169</v>
      </c>
      <c r="K1368">
        <v>1.3641211458681614E-2</v>
      </c>
      <c r="L1368" t="s">
        <v>162</v>
      </c>
      <c r="N1368" t="s">
        <v>314</v>
      </c>
      <c r="O1368" t="s">
        <v>169</v>
      </c>
      <c r="P1368">
        <v>5.9917804313699505E-3</v>
      </c>
      <c r="Q1368" t="s">
        <v>162</v>
      </c>
      <c r="S1368" t="s">
        <v>426</v>
      </c>
      <c r="T1368" t="s">
        <v>169</v>
      </c>
      <c r="U1368">
        <v>3.9479184613845286E-3</v>
      </c>
      <c r="V1368" t="s">
        <v>162</v>
      </c>
    </row>
    <row r="1369" spans="9:22" x14ac:dyDescent="0.45">
      <c r="I1369" t="s">
        <v>202</v>
      </c>
      <c r="J1369" t="s">
        <v>170</v>
      </c>
      <c r="K1369">
        <v>2.8821453915587106E-2</v>
      </c>
      <c r="L1369" t="s">
        <v>162</v>
      </c>
      <c r="N1369" t="s">
        <v>314</v>
      </c>
      <c r="O1369" t="s">
        <v>170</v>
      </c>
      <c r="P1369">
        <v>1.3789339178792043E-2</v>
      </c>
      <c r="Q1369" t="s">
        <v>162</v>
      </c>
      <c r="S1369" t="s">
        <v>426</v>
      </c>
      <c r="T1369" t="s">
        <v>170</v>
      </c>
      <c r="U1369">
        <v>7.8626519595482829E-3</v>
      </c>
      <c r="V1369" t="s">
        <v>162</v>
      </c>
    </row>
    <row r="1370" spans="9:22" x14ac:dyDescent="0.45">
      <c r="I1370" t="s">
        <v>202</v>
      </c>
      <c r="J1370" t="s">
        <v>525</v>
      </c>
      <c r="K1370">
        <v>6.4018318619053188E-2</v>
      </c>
      <c r="L1370" t="s">
        <v>162</v>
      </c>
      <c r="N1370" t="s">
        <v>314</v>
      </c>
      <c r="O1370" t="s">
        <v>525</v>
      </c>
      <c r="P1370">
        <v>3.5059569725624552E-2</v>
      </c>
      <c r="Q1370" t="s">
        <v>162</v>
      </c>
      <c r="S1370" t="s">
        <v>426</v>
      </c>
      <c r="T1370" t="s">
        <v>525</v>
      </c>
      <c r="U1370">
        <v>2.1595478492596774E-2</v>
      </c>
      <c r="V1370" t="s">
        <v>162</v>
      </c>
    </row>
    <row r="1371" spans="9:22" x14ac:dyDescent="0.45">
      <c r="I1371" t="s">
        <v>202</v>
      </c>
      <c r="J1371" t="s">
        <v>526</v>
      </c>
      <c r="K1371">
        <v>8.0355371254554608E-3</v>
      </c>
      <c r="L1371" t="s">
        <v>162</v>
      </c>
      <c r="N1371" t="s">
        <v>314</v>
      </c>
      <c r="O1371" t="s">
        <v>526</v>
      </c>
      <c r="P1371">
        <v>6.251228164628678E-3</v>
      </c>
      <c r="Q1371" t="s">
        <v>162</v>
      </c>
      <c r="S1371" t="s">
        <v>426</v>
      </c>
      <c r="T1371" t="s">
        <v>526</v>
      </c>
      <c r="U1371">
        <v>4.5198991168707665E-3</v>
      </c>
      <c r="V1371" t="s">
        <v>162</v>
      </c>
    </row>
    <row r="1372" spans="9:22" x14ac:dyDescent="0.45">
      <c r="I1372" t="s">
        <v>202</v>
      </c>
      <c r="J1372" t="s">
        <v>527</v>
      </c>
      <c r="K1372">
        <v>6.9259101361848407E-3</v>
      </c>
      <c r="L1372" t="s">
        <v>162</v>
      </c>
      <c r="N1372" t="s">
        <v>314</v>
      </c>
      <c r="O1372" t="s">
        <v>527</v>
      </c>
      <c r="P1372">
        <v>3.5292688620279129E-2</v>
      </c>
      <c r="Q1372" t="s">
        <v>162</v>
      </c>
      <c r="S1372" t="s">
        <v>426</v>
      </c>
      <c r="T1372" t="s">
        <v>527</v>
      </c>
      <c r="U1372">
        <v>2.677978402138673E-2</v>
      </c>
      <c r="V1372" t="s">
        <v>162</v>
      </c>
    </row>
    <row r="1373" spans="9:22" x14ac:dyDescent="0.45">
      <c r="I1373" t="s">
        <v>202</v>
      </c>
      <c r="J1373" t="s">
        <v>528</v>
      </c>
      <c r="K1373">
        <v>8.2793770922252277E-2</v>
      </c>
      <c r="L1373" t="s">
        <v>162</v>
      </c>
      <c r="N1373" t="s">
        <v>314</v>
      </c>
      <c r="O1373" t="s">
        <v>528</v>
      </c>
      <c r="P1373">
        <v>4.6381354409119377E-2</v>
      </c>
      <c r="Q1373" t="s">
        <v>162</v>
      </c>
      <c r="S1373" t="s">
        <v>426</v>
      </c>
      <c r="T1373" t="s">
        <v>528</v>
      </c>
      <c r="U1373">
        <v>8.8379957413597651E-2</v>
      </c>
      <c r="V1373" t="s">
        <v>162</v>
      </c>
    </row>
    <row r="1374" spans="9:22" x14ac:dyDescent="0.45">
      <c r="I1374" t="s">
        <v>202</v>
      </c>
      <c r="J1374" t="s">
        <v>529</v>
      </c>
      <c r="K1374">
        <v>3.2176460585481174E-2</v>
      </c>
      <c r="L1374" t="s">
        <v>162</v>
      </c>
      <c r="N1374" t="s">
        <v>314</v>
      </c>
      <c r="O1374" t="s">
        <v>529</v>
      </c>
      <c r="P1374">
        <v>5.2382832427565109E-3</v>
      </c>
      <c r="Q1374" t="s">
        <v>162</v>
      </c>
      <c r="S1374" t="s">
        <v>426</v>
      </c>
      <c r="T1374" t="s">
        <v>529</v>
      </c>
      <c r="U1374">
        <v>9.1784002021490681E-3</v>
      </c>
      <c r="V1374" t="s">
        <v>162</v>
      </c>
    </row>
    <row r="1375" spans="9:22" x14ac:dyDescent="0.45">
      <c r="I1375" t="s">
        <v>202</v>
      </c>
      <c r="J1375" t="s">
        <v>530</v>
      </c>
      <c r="K1375">
        <v>7.0254614060869025E-2</v>
      </c>
      <c r="L1375" t="s">
        <v>162</v>
      </c>
      <c r="N1375" t="s">
        <v>314</v>
      </c>
      <c r="O1375" t="s">
        <v>530</v>
      </c>
      <c r="P1375">
        <v>1.2777215483605888E-2</v>
      </c>
      <c r="Q1375" t="s">
        <v>162</v>
      </c>
      <c r="S1375" t="s">
        <v>426</v>
      </c>
      <c r="T1375" t="s">
        <v>530</v>
      </c>
      <c r="U1375">
        <v>1.855733394621047E-2</v>
      </c>
      <c r="V1375" t="s">
        <v>162</v>
      </c>
    </row>
    <row r="1376" spans="9:22" x14ac:dyDescent="0.45">
      <c r="I1376" t="s">
        <v>202</v>
      </c>
      <c r="J1376" t="s">
        <v>531</v>
      </c>
      <c r="K1376">
        <v>0.15856272503245153</v>
      </c>
      <c r="L1376" t="s">
        <v>162</v>
      </c>
      <c r="N1376" t="s">
        <v>314</v>
      </c>
      <c r="O1376" t="s">
        <v>531</v>
      </c>
      <c r="P1376">
        <v>4.4070263660366774E-2</v>
      </c>
      <c r="Q1376" t="s">
        <v>162</v>
      </c>
      <c r="S1376" t="s">
        <v>426</v>
      </c>
      <c r="T1376" t="s">
        <v>531</v>
      </c>
      <c r="U1376">
        <v>4.6211174523221557E-2</v>
      </c>
      <c r="V1376" t="s">
        <v>162</v>
      </c>
    </row>
    <row r="1377" spans="9:22" x14ac:dyDescent="0.45">
      <c r="I1377" t="s">
        <v>202</v>
      </c>
      <c r="J1377" t="s">
        <v>532</v>
      </c>
      <c r="K1377">
        <v>2.2433663580075258E-2</v>
      </c>
      <c r="L1377" t="s">
        <v>162</v>
      </c>
      <c r="N1377" t="s">
        <v>314</v>
      </c>
      <c r="O1377" t="s">
        <v>532</v>
      </c>
      <c r="P1377">
        <v>9.7051533681319271E-3</v>
      </c>
      <c r="Q1377" t="s">
        <v>162</v>
      </c>
      <c r="S1377" t="s">
        <v>426</v>
      </c>
      <c r="T1377" t="s">
        <v>532</v>
      </c>
      <c r="U1377">
        <v>9.3377787474165745E-3</v>
      </c>
      <c r="V1377" t="s">
        <v>162</v>
      </c>
    </row>
    <row r="1378" spans="9:22" x14ac:dyDescent="0.45">
      <c r="I1378" t="s">
        <v>202</v>
      </c>
      <c r="J1378" t="s">
        <v>533</v>
      </c>
      <c r="K1378">
        <v>3.5603880492728342E-2</v>
      </c>
      <c r="L1378" t="s">
        <v>162</v>
      </c>
      <c r="N1378" t="s">
        <v>314</v>
      </c>
      <c r="O1378" t="s">
        <v>533</v>
      </c>
      <c r="P1378">
        <v>5.0782117348855356E-2</v>
      </c>
      <c r="Q1378" t="s">
        <v>162</v>
      </c>
      <c r="S1378" t="s">
        <v>426</v>
      </c>
      <c r="T1378" t="s">
        <v>533</v>
      </c>
      <c r="U1378">
        <v>5.6025354839775013E-2</v>
      </c>
      <c r="V1378" t="s">
        <v>162</v>
      </c>
    </row>
    <row r="1379" spans="9:22" x14ac:dyDescent="0.45">
      <c r="I1379" t="s">
        <v>202</v>
      </c>
      <c r="J1379" t="s">
        <v>534</v>
      </c>
      <c r="K1379">
        <v>3.3468863886740266E-2</v>
      </c>
      <c r="L1379" t="s">
        <v>162</v>
      </c>
      <c r="N1379" t="s">
        <v>314</v>
      </c>
      <c r="O1379" t="s">
        <v>534</v>
      </c>
      <c r="P1379">
        <v>5.8788769292631479E-2</v>
      </c>
      <c r="Q1379" t="s">
        <v>162</v>
      </c>
      <c r="S1379" t="s">
        <v>426</v>
      </c>
      <c r="T1379" t="s">
        <v>534</v>
      </c>
      <c r="U1379">
        <v>0.10524767919910495</v>
      </c>
      <c r="V1379" t="s">
        <v>162</v>
      </c>
    </row>
    <row r="1380" spans="9:22" x14ac:dyDescent="0.45">
      <c r="I1380" t="s">
        <v>202</v>
      </c>
      <c r="J1380" t="s">
        <v>535</v>
      </c>
      <c r="K1380">
        <v>1.9479461216137396E-2</v>
      </c>
      <c r="L1380" t="s">
        <v>162</v>
      </c>
      <c r="N1380" t="s">
        <v>314</v>
      </c>
      <c r="O1380" t="s">
        <v>535</v>
      </c>
      <c r="P1380">
        <v>6.2992276361457005E-3</v>
      </c>
      <c r="Q1380" t="s">
        <v>162</v>
      </c>
      <c r="S1380" t="s">
        <v>426</v>
      </c>
      <c r="T1380" t="s">
        <v>535</v>
      </c>
      <c r="U1380">
        <v>1.1611789033164798E-2</v>
      </c>
      <c r="V1380" t="s">
        <v>162</v>
      </c>
    </row>
    <row r="1381" spans="9:22" x14ac:dyDescent="0.45">
      <c r="I1381" t="s">
        <v>202</v>
      </c>
      <c r="J1381" t="s">
        <v>536</v>
      </c>
      <c r="K1381">
        <v>4.2862833811648134E-2</v>
      </c>
      <c r="L1381" t="s">
        <v>162</v>
      </c>
      <c r="N1381" t="s">
        <v>314</v>
      </c>
      <c r="O1381" t="s">
        <v>536</v>
      </c>
      <c r="P1381">
        <v>1.4129514033262834E-2</v>
      </c>
      <c r="Q1381" t="s">
        <v>162</v>
      </c>
      <c r="S1381" t="s">
        <v>426</v>
      </c>
      <c r="T1381" t="s">
        <v>536</v>
      </c>
      <c r="U1381">
        <v>2.2929094734311335E-2</v>
      </c>
      <c r="V1381" t="s">
        <v>162</v>
      </c>
    </row>
    <row r="1382" spans="9:22" x14ac:dyDescent="0.45">
      <c r="I1382" t="s">
        <v>202</v>
      </c>
      <c r="J1382" t="s">
        <v>537</v>
      </c>
      <c r="K1382">
        <v>9.2613405780420557E-2</v>
      </c>
      <c r="L1382" t="s">
        <v>162</v>
      </c>
      <c r="N1382" t="s">
        <v>314</v>
      </c>
      <c r="O1382" t="s">
        <v>537</v>
      </c>
      <c r="P1382">
        <v>3.8998365805770631E-2</v>
      </c>
      <c r="Q1382" t="s">
        <v>162</v>
      </c>
      <c r="S1382" t="s">
        <v>426</v>
      </c>
      <c r="T1382" t="s">
        <v>537</v>
      </c>
      <c r="U1382">
        <v>5.6597300565431961E-2</v>
      </c>
      <c r="V1382" t="s">
        <v>162</v>
      </c>
    </row>
    <row r="1383" spans="9:22" x14ac:dyDescent="0.45">
      <c r="I1383" t="s">
        <v>202</v>
      </c>
      <c r="J1383" t="s">
        <v>538</v>
      </c>
      <c r="K1383">
        <v>1.0145539568371227E-2</v>
      </c>
      <c r="L1383" t="s">
        <v>162</v>
      </c>
      <c r="N1383" t="s">
        <v>314</v>
      </c>
      <c r="O1383" t="s">
        <v>538</v>
      </c>
      <c r="P1383">
        <v>7.7769344347502038E-3</v>
      </c>
      <c r="Q1383" t="s">
        <v>162</v>
      </c>
      <c r="S1383" t="s">
        <v>426</v>
      </c>
      <c r="T1383" t="s">
        <v>538</v>
      </c>
      <c r="U1383">
        <v>1.1539046146036453E-2</v>
      </c>
      <c r="V1383" t="s">
        <v>162</v>
      </c>
    </row>
    <row r="1384" spans="9:22" x14ac:dyDescent="0.45">
      <c r="I1384" t="s">
        <v>202</v>
      </c>
      <c r="J1384" t="s">
        <v>539</v>
      </c>
      <c r="K1384">
        <v>8.9702027720132017E-3</v>
      </c>
      <c r="L1384" t="s">
        <v>162</v>
      </c>
      <c r="N1384" t="s">
        <v>314</v>
      </c>
      <c r="O1384" t="s">
        <v>539</v>
      </c>
      <c r="P1384">
        <v>4.7649652099809613E-2</v>
      </c>
      <c r="Q1384" t="s">
        <v>162</v>
      </c>
      <c r="S1384" t="s">
        <v>426</v>
      </c>
      <c r="T1384" t="s">
        <v>539</v>
      </c>
      <c r="U1384">
        <v>6.9022468543071855E-2</v>
      </c>
      <c r="V1384" t="s">
        <v>162</v>
      </c>
    </row>
    <row r="1385" spans="9:22" x14ac:dyDescent="0.45">
      <c r="I1385" t="s">
        <v>202</v>
      </c>
      <c r="J1385" t="s">
        <v>540</v>
      </c>
      <c r="K1385">
        <v>7.2856604712512253E-4</v>
      </c>
      <c r="L1385" t="s">
        <v>162</v>
      </c>
      <c r="N1385" t="s">
        <v>314</v>
      </c>
      <c r="O1385" t="s">
        <v>540</v>
      </c>
      <c r="P1385">
        <v>3.1813847863562617E-2</v>
      </c>
      <c r="Q1385" t="s">
        <v>162</v>
      </c>
      <c r="S1385" t="s">
        <v>426</v>
      </c>
      <c r="T1385" t="s">
        <v>540</v>
      </c>
      <c r="U1385">
        <v>3.2173159921446377E-2</v>
      </c>
      <c r="V1385" t="s">
        <v>162</v>
      </c>
    </row>
    <row r="1386" spans="9:22" x14ac:dyDescent="0.45">
      <c r="I1386" t="s">
        <v>202</v>
      </c>
      <c r="J1386" t="s">
        <v>541</v>
      </c>
      <c r="K1386">
        <v>2.5402795744718927E-3</v>
      </c>
      <c r="L1386" t="s">
        <v>162</v>
      </c>
      <c r="N1386" t="s">
        <v>314</v>
      </c>
      <c r="O1386" t="s">
        <v>541</v>
      </c>
      <c r="P1386">
        <v>2.9504220995247221E-3</v>
      </c>
      <c r="Q1386" t="s">
        <v>162</v>
      </c>
      <c r="S1386" t="s">
        <v>426</v>
      </c>
      <c r="T1386" t="s">
        <v>541</v>
      </c>
      <c r="U1386">
        <v>3.5860096165212579E-3</v>
      </c>
      <c r="V1386" t="s">
        <v>162</v>
      </c>
    </row>
    <row r="1387" spans="9:22" x14ac:dyDescent="0.45">
      <c r="I1387" t="s">
        <v>202</v>
      </c>
      <c r="J1387" t="s">
        <v>542</v>
      </c>
      <c r="K1387">
        <v>8.2453867557177197E-3</v>
      </c>
      <c r="L1387" t="s">
        <v>162</v>
      </c>
      <c r="N1387" t="s">
        <v>314</v>
      </c>
      <c r="O1387" t="s">
        <v>542</v>
      </c>
      <c r="P1387">
        <v>6.0777082084408829E-3</v>
      </c>
      <c r="Q1387" t="s">
        <v>162</v>
      </c>
      <c r="S1387" t="s">
        <v>426</v>
      </c>
      <c r="T1387" t="s">
        <v>542</v>
      </c>
      <c r="U1387">
        <v>7.2900316166301564E-3</v>
      </c>
      <c r="V1387" t="s">
        <v>162</v>
      </c>
    </row>
    <row r="1388" spans="9:22" x14ac:dyDescent="0.45">
      <c r="I1388" t="s">
        <v>202</v>
      </c>
      <c r="J1388" t="s">
        <v>543</v>
      </c>
      <c r="K1388">
        <v>1.3596243701348062E-2</v>
      </c>
      <c r="L1388" t="s">
        <v>162</v>
      </c>
      <c r="N1388" t="s">
        <v>314</v>
      </c>
      <c r="O1388" t="s">
        <v>543</v>
      </c>
      <c r="P1388">
        <v>1.7508534174638268E-2</v>
      </c>
      <c r="Q1388" t="s">
        <v>162</v>
      </c>
      <c r="S1388" t="s">
        <v>426</v>
      </c>
      <c r="T1388" t="s">
        <v>543</v>
      </c>
      <c r="U1388">
        <v>1.9108180445709243E-2</v>
      </c>
      <c r="V1388" t="s">
        <v>162</v>
      </c>
    </row>
    <row r="1389" spans="9:22" x14ac:dyDescent="0.45">
      <c r="I1389" t="s">
        <v>202</v>
      </c>
      <c r="J1389" t="s">
        <v>544</v>
      </c>
      <c r="K1389">
        <v>0</v>
      </c>
      <c r="L1389" t="s">
        <v>162</v>
      </c>
      <c r="N1389" t="s">
        <v>314</v>
      </c>
      <c r="O1389" t="s">
        <v>544</v>
      </c>
      <c r="P1389">
        <v>4.0141093834836911E-3</v>
      </c>
      <c r="Q1389" t="s">
        <v>162</v>
      </c>
      <c r="S1389" t="s">
        <v>426</v>
      </c>
      <c r="T1389" t="s">
        <v>544</v>
      </c>
      <c r="U1389">
        <v>3.9339208187722215E-3</v>
      </c>
      <c r="V1389" t="s">
        <v>162</v>
      </c>
    </row>
    <row r="1390" spans="9:22" x14ac:dyDescent="0.45">
      <c r="I1390" t="s">
        <v>202</v>
      </c>
      <c r="J1390" t="s">
        <v>545</v>
      </c>
      <c r="K1390">
        <v>0</v>
      </c>
      <c r="L1390" t="s">
        <v>162</v>
      </c>
      <c r="N1390" t="s">
        <v>314</v>
      </c>
      <c r="O1390" t="s">
        <v>545</v>
      </c>
      <c r="P1390">
        <v>2.4366880514024275E-2</v>
      </c>
      <c r="Q1390" t="s">
        <v>162</v>
      </c>
      <c r="S1390" t="s">
        <v>426</v>
      </c>
      <c r="T1390" t="s">
        <v>545</v>
      </c>
      <c r="U1390">
        <v>2.2807448940447502E-2</v>
      </c>
      <c r="V1390" t="s">
        <v>162</v>
      </c>
    </row>
    <row r="1391" spans="9:22" x14ac:dyDescent="0.45">
      <c r="I1391" t="s">
        <v>202</v>
      </c>
      <c r="J1391" t="s">
        <v>546</v>
      </c>
      <c r="K1391">
        <v>0</v>
      </c>
      <c r="L1391" t="s">
        <v>162</v>
      </c>
      <c r="N1391" t="s">
        <v>314</v>
      </c>
      <c r="O1391" t="s">
        <v>546</v>
      </c>
      <c r="P1391">
        <v>6.3934729187328856E-2</v>
      </c>
      <c r="Q1391" t="s">
        <v>162</v>
      </c>
      <c r="S1391" t="s">
        <v>426</v>
      </c>
      <c r="T1391" t="s">
        <v>546</v>
      </c>
      <c r="U1391">
        <v>2.9465855859311219E-2</v>
      </c>
      <c r="V1391" t="s">
        <v>162</v>
      </c>
    </row>
    <row r="1392" spans="9:22" x14ac:dyDescent="0.45">
      <c r="I1392" t="s">
        <v>202</v>
      </c>
      <c r="J1392" t="s">
        <v>547</v>
      </c>
      <c r="K1392">
        <v>4.2842347677669179E-4</v>
      </c>
      <c r="L1392" t="s">
        <v>162</v>
      </c>
      <c r="N1392" t="s">
        <v>314</v>
      </c>
      <c r="O1392" t="s">
        <v>547</v>
      </c>
      <c r="P1392">
        <v>6.3882997218101785E-3</v>
      </c>
      <c r="Q1392" t="s">
        <v>162</v>
      </c>
      <c r="S1392" t="s">
        <v>426</v>
      </c>
      <c r="T1392" t="s">
        <v>547</v>
      </c>
      <c r="U1392">
        <v>3.4963572657020895E-3</v>
      </c>
      <c r="V1392" t="s">
        <v>162</v>
      </c>
    </row>
    <row r="1393" spans="9:22" x14ac:dyDescent="0.45">
      <c r="I1393" t="s">
        <v>202</v>
      </c>
      <c r="J1393" t="s">
        <v>548</v>
      </c>
      <c r="K1393">
        <v>7.9504956309046845E-3</v>
      </c>
      <c r="L1393" t="s">
        <v>162</v>
      </c>
      <c r="N1393" t="s">
        <v>314</v>
      </c>
      <c r="O1393" t="s">
        <v>548</v>
      </c>
      <c r="P1393">
        <v>1.2316850830579358E-2</v>
      </c>
      <c r="Q1393" t="s">
        <v>162</v>
      </c>
      <c r="S1393" t="s">
        <v>426</v>
      </c>
      <c r="T1393" t="s">
        <v>548</v>
      </c>
      <c r="U1393">
        <v>7.0795563680146429E-3</v>
      </c>
      <c r="V1393" t="s">
        <v>162</v>
      </c>
    </row>
    <row r="1394" spans="9:22" x14ac:dyDescent="0.45">
      <c r="I1394" t="s">
        <v>202</v>
      </c>
      <c r="J1394" t="s">
        <v>549</v>
      </c>
      <c r="K1394">
        <v>1.1877331265974556E-2</v>
      </c>
      <c r="L1394" t="s">
        <v>162</v>
      </c>
      <c r="N1394" t="s">
        <v>314</v>
      </c>
      <c r="O1394" t="s">
        <v>549</v>
      </c>
      <c r="P1394">
        <v>3.1365278150327885E-2</v>
      </c>
      <c r="Q1394" t="s">
        <v>162</v>
      </c>
      <c r="S1394" t="s">
        <v>426</v>
      </c>
      <c r="T1394" t="s">
        <v>549</v>
      </c>
      <c r="U1394">
        <v>1.7680881862344237E-2</v>
      </c>
      <c r="V1394" t="s">
        <v>162</v>
      </c>
    </row>
    <row r="1395" spans="9:22" x14ac:dyDescent="0.45">
      <c r="I1395" t="s">
        <v>202</v>
      </c>
      <c r="J1395" t="s">
        <v>550</v>
      </c>
      <c r="K1395">
        <v>0</v>
      </c>
      <c r="L1395" t="s">
        <v>162</v>
      </c>
      <c r="N1395" t="s">
        <v>314</v>
      </c>
      <c r="O1395" t="s">
        <v>550</v>
      </c>
      <c r="P1395">
        <v>6.9069585617220998E-3</v>
      </c>
      <c r="Q1395" t="s">
        <v>162</v>
      </c>
      <c r="S1395" t="s">
        <v>426</v>
      </c>
      <c r="T1395" t="s">
        <v>550</v>
      </c>
      <c r="U1395">
        <v>3.3199928748093382E-3</v>
      </c>
      <c r="V1395" t="s">
        <v>162</v>
      </c>
    </row>
    <row r="1396" spans="9:22" x14ac:dyDescent="0.45">
      <c r="I1396" t="s">
        <v>202</v>
      </c>
      <c r="J1396" t="s">
        <v>551</v>
      </c>
      <c r="K1396">
        <v>0</v>
      </c>
      <c r="L1396" t="s">
        <v>162</v>
      </c>
      <c r="N1396" t="s">
        <v>314</v>
      </c>
      <c r="O1396" t="s">
        <v>551</v>
      </c>
      <c r="P1396">
        <v>4.2488951905178193E-2</v>
      </c>
      <c r="Q1396" t="s">
        <v>162</v>
      </c>
      <c r="S1396" t="s">
        <v>426</v>
      </c>
      <c r="T1396" t="s">
        <v>551</v>
      </c>
      <c r="U1396">
        <v>1.9932334127897026E-2</v>
      </c>
      <c r="V1396" t="s">
        <v>162</v>
      </c>
    </row>
    <row r="1397" spans="9:22" x14ac:dyDescent="0.45">
      <c r="I1397" t="s">
        <v>203</v>
      </c>
      <c r="J1397" t="s">
        <v>161</v>
      </c>
      <c r="K1397">
        <v>0</v>
      </c>
      <c r="L1397" t="s">
        <v>162</v>
      </c>
      <c r="N1397" t="s">
        <v>315</v>
      </c>
      <c r="O1397" t="s">
        <v>161</v>
      </c>
      <c r="P1397">
        <v>3.3370476319638374E-2</v>
      </c>
      <c r="Q1397" t="s">
        <v>162</v>
      </c>
      <c r="S1397" t="s">
        <v>427</v>
      </c>
      <c r="T1397" t="s">
        <v>161</v>
      </c>
      <c r="U1397">
        <v>4.7232461439634638E-2</v>
      </c>
      <c r="V1397" t="s">
        <v>162</v>
      </c>
    </row>
    <row r="1398" spans="9:22" x14ac:dyDescent="0.45">
      <c r="I1398" t="s">
        <v>203</v>
      </c>
      <c r="J1398" t="s">
        <v>163</v>
      </c>
      <c r="K1398">
        <v>1.0792757881379831E-4</v>
      </c>
      <c r="L1398" t="s">
        <v>162</v>
      </c>
      <c r="N1398" t="s">
        <v>315</v>
      </c>
      <c r="O1398" t="s">
        <v>163</v>
      </c>
      <c r="P1398">
        <v>4.2959890040680359E-3</v>
      </c>
      <c r="Q1398" t="s">
        <v>162</v>
      </c>
      <c r="S1398" t="s">
        <v>427</v>
      </c>
      <c r="T1398" t="s">
        <v>163</v>
      </c>
      <c r="U1398">
        <v>5.0997874809673239E-3</v>
      </c>
      <c r="V1398" t="s">
        <v>162</v>
      </c>
    </row>
    <row r="1399" spans="9:22" x14ac:dyDescent="0.45">
      <c r="I1399" t="s">
        <v>203</v>
      </c>
      <c r="J1399" t="s">
        <v>164</v>
      </c>
      <c r="K1399">
        <v>3.2082349761209561E-3</v>
      </c>
      <c r="L1399" t="s">
        <v>162</v>
      </c>
      <c r="N1399" t="s">
        <v>315</v>
      </c>
      <c r="O1399" t="s">
        <v>164</v>
      </c>
      <c r="P1399">
        <v>9.0024634023366783E-3</v>
      </c>
      <c r="Q1399" t="s">
        <v>162</v>
      </c>
      <c r="S1399" t="s">
        <v>427</v>
      </c>
      <c r="T1399" t="s">
        <v>164</v>
      </c>
      <c r="U1399">
        <v>1.0083734915340448E-2</v>
      </c>
      <c r="V1399" t="s">
        <v>162</v>
      </c>
    </row>
    <row r="1400" spans="9:22" x14ac:dyDescent="0.45">
      <c r="I1400" t="s">
        <v>203</v>
      </c>
      <c r="J1400" t="s">
        <v>519</v>
      </c>
      <c r="K1400">
        <v>9.3558081637988826E-3</v>
      </c>
      <c r="L1400" t="s">
        <v>162</v>
      </c>
      <c r="N1400" t="s">
        <v>315</v>
      </c>
      <c r="O1400" t="s">
        <v>519</v>
      </c>
      <c r="P1400">
        <v>2.3163423246743722E-2</v>
      </c>
      <c r="Q1400" t="s">
        <v>162</v>
      </c>
      <c r="S1400" t="s">
        <v>427</v>
      </c>
      <c r="T1400" t="s">
        <v>519</v>
      </c>
      <c r="U1400">
        <v>2.449944764110595E-2</v>
      </c>
      <c r="V1400" t="s">
        <v>162</v>
      </c>
    </row>
    <row r="1401" spans="9:22" x14ac:dyDescent="0.45">
      <c r="I1401" t="s">
        <v>203</v>
      </c>
      <c r="J1401" t="s">
        <v>520</v>
      </c>
      <c r="K1401">
        <v>0</v>
      </c>
      <c r="L1401" t="s">
        <v>162</v>
      </c>
      <c r="N1401" t="s">
        <v>315</v>
      </c>
      <c r="O1401" t="s">
        <v>520</v>
      </c>
      <c r="P1401">
        <v>4.7165272727675202E-3</v>
      </c>
      <c r="Q1401" t="s">
        <v>162</v>
      </c>
      <c r="S1401" t="s">
        <v>427</v>
      </c>
      <c r="T1401" t="s">
        <v>520</v>
      </c>
      <c r="U1401">
        <v>4.7784846086657336E-3</v>
      </c>
      <c r="V1401" t="s">
        <v>162</v>
      </c>
    </row>
    <row r="1402" spans="9:22" x14ac:dyDescent="0.45">
      <c r="I1402" t="s">
        <v>203</v>
      </c>
      <c r="J1402" t="s">
        <v>521</v>
      </c>
      <c r="K1402">
        <v>0</v>
      </c>
      <c r="L1402" t="s">
        <v>162</v>
      </c>
      <c r="N1402" t="s">
        <v>315</v>
      </c>
      <c r="O1402" t="s">
        <v>521</v>
      </c>
      <c r="P1402">
        <v>2.6210511358574943E-2</v>
      </c>
      <c r="Q1402" t="s">
        <v>162</v>
      </c>
      <c r="S1402" t="s">
        <v>427</v>
      </c>
      <c r="T1402" t="s">
        <v>521</v>
      </c>
      <c r="U1402">
        <v>3.0350428942485873E-2</v>
      </c>
      <c r="V1402" t="s">
        <v>162</v>
      </c>
    </row>
    <row r="1403" spans="9:22" x14ac:dyDescent="0.45">
      <c r="I1403" t="s">
        <v>203</v>
      </c>
      <c r="J1403" t="s">
        <v>165</v>
      </c>
      <c r="K1403">
        <v>9.1008598848383512E-3</v>
      </c>
      <c r="L1403" t="s">
        <v>162</v>
      </c>
      <c r="N1403" t="s">
        <v>315</v>
      </c>
      <c r="O1403" t="s">
        <v>165</v>
      </c>
      <c r="P1403">
        <v>7.2284075607692413E-2</v>
      </c>
      <c r="Q1403" t="s">
        <v>162</v>
      </c>
      <c r="S1403" t="s">
        <v>427</v>
      </c>
      <c r="T1403" t="s">
        <v>165</v>
      </c>
      <c r="U1403">
        <v>5.8575707042090371E-2</v>
      </c>
      <c r="V1403" t="s">
        <v>162</v>
      </c>
    </row>
    <row r="1404" spans="9:22" x14ac:dyDescent="0.45">
      <c r="I1404" t="s">
        <v>203</v>
      </c>
      <c r="J1404" t="s">
        <v>166</v>
      </c>
      <c r="K1404">
        <v>1.0973663717841912E-2</v>
      </c>
      <c r="L1404" t="s">
        <v>162</v>
      </c>
      <c r="N1404" t="s">
        <v>315</v>
      </c>
      <c r="O1404" t="s">
        <v>166</v>
      </c>
      <c r="P1404">
        <v>8.6833437528041277E-3</v>
      </c>
      <c r="Q1404" t="s">
        <v>162</v>
      </c>
      <c r="S1404" t="s">
        <v>427</v>
      </c>
      <c r="T1404" t="s">
        <v>166</v>
      </c>
      <c r="U1404">
        <v>6.365497727547003E-3</v>
      </c>
      <c r="V1404" t="s">
        <v>162</v>
      </c>
    </row>
    <row r="1405" spans="9:22" x14ac:dyDescent="0.45">
      <c r="I1405" t="s">
        <v>203</v>
      </c>
      <c r="J1405" t="s">
        <v>167</v>
      </c>
      <c r="K1405">
        <v>3.0689781108710446E-2</v>
      </c>
      <c r="L1405" t="s">
        <v>162</v>
      </c>
      <c r="N1405" t="s">
        <v>315</v>
      </c>
      <c r="O1405" t="s">
        <v>167</v>
      </c>
      <c r="P1405">
        <v>1.844395935410955E-2</v>
      </c>
      <c r="Q1405" t="s">
        <v>162</v>
      </c>
      <c r="S1405" t="s">
        <v>427</v>
      </c>
      <c r="T1405" t="s">
        <v>167</v>
      </c>
      <c r="U1405">
        <v>1.2603545747864793E-2</v>
      </c>
      <c r="V1405" t="s">
        <v>162</v>
      </c>
    </row>
    <row r="1406" spans="9:22" x14ac:dyDescent="0.45">
      <c r="I1406" t="s">
        <v>203</v>
      </c>
      <c r="J1406" t="s">
        <v>522</v>
      </c>
      <c r="K1406">
        <v>7.542710204374202E-2</v>
      </c>
      <c r="L1406" t="s">
        <v>162</v>
      </c>
      <c r="N1406" t="s">
        <v>315</v>
      </c>
      <c r="O1406" t="s">
        <v>522</v>
      </c>
      <c r="P1406">
        <v>4.5936995963117316E-2</v>
      </c>
      <c r="Q1406" t="s">
        <v>162</v>
      </c>
      <c r="S1406" t="s">
        <v>427</v>
      </c>
      <c r="T1406" t="s">
        <v>522</v>
      </c>
      <c r="U1406">
        <v>3.2919737204957972E-2</v>
      </c>
      <c r="V1406" t="s">
        <v>162</v>
      </c>
    </row>
    <row r="1407" spans="9:22" x14ac:dyDescent="0.45">
      <c r="I1407" t="s">
        <v>203</v>
      </c>
      <c r="J1407" t="s">
        <v>523</v>
      </c>
      <c r="K1407">
        <v>8.9694326597774526E-3</v>
      </c>
      <c r="L1407" t="s">
        <v>162</v>
      </c>
      <c r="N1407" t="s">
        <v>315</v>
      </c>
      <c r="O1407" t="s">
        <v>523</v>
      </c>
      <c r="P1407">
        <v>8.6377412189208302E-3</v>
      </c>
      <c r="Q1407" t="s">
        <v>162</v>
      </c>
      <c r="S1407" t="s">
        <v>427</v>
      </c>
      <c r="T1407" t="s">
        <v>523</v>
      </c>
      <c r="U1407">
        <v>7.1487869372949967E-3</v>
      </c>
      <c r="V1407" t="s">
        <v>162</v>
      </c>
    </row>
    <row r="1408" spans="9:22" x14ac:dyDescent="0.45">
      <c r="I1408" t="s">
        <v>203</v>
      </c>
      <c r="J1408" t="s">
        <v>524</v>
      </c>
      <c r="K1408">
        <v>4.2169275426491388E-3</v>
      </c>
      <c r="L1408" t="s">
        <v>162</v>
      </c>
      <c r="N1408" t="s">
        <v>315</v>
      </c>
      <c r="O1408" t="s">
        <v>524</v>
      </c>
      <c r="P1408">
        <v>4.870512182176482E-2</v>
      </c>
      <c r="Q1408" t="s">
        <v>162</v>
      </c>
      <c r="S1408" t="s">
        <v>427</v>
      </c>
      <c r="T1408" t="s">
        <v>524</v>
      </c>
      <c r="U1408">
        <v>4.055874830021957E-2</v>
      </c>
      <c r="V1408" t="s">
        <v>162</v>
      </c>
    </row>
    <row r="1409" spans="9:22" x14ac:dyDescent="0.45">
      <c r="I1409" t="s">
        <v>203</v>
      </c>
      <c r="J1409" t="s">
        <v>168</v>
      </c>
      <c r="K1409">
        <v>2.2232377208659244E-2</v>
      </c>
      <c r="L1409" t="s">
        <v>162</v>
      </c>
      <c r="N1409" t="s">
        <v>315</v>
      </c>
      <c r="O1409" t="s">
        <v>168</v>
      </c>
      <c r="P1409">
        <v>3.1931957136090122E-2</v>
      </c>
      <c r="Q1409" t="s">
        <v>162</v>
      </c>
      <c r="S1409" t="s">
        <v>427</v>
      </c>
      <c r="T1409" t="s">
        <v>168</v>
      </c>
      <c r="U1409">
        <v>2.2641249438113548E-2</v>
      </c>
      <c r="V1409" t="s">
        <v>162</v>
      </c>
    </row>
    <row r="1410" spans="9:22" x14ac:dyDescent="0.45">
      <c r="I1410" t="s">
        <v>203</v>
      </c>
      <c r="J1410" t="s">
        <v>169</v>
      </c>
      <c r="K1410">
        <v>1.2360343495985525E-2</v>
      </c>
      <c r="L1410" t="s">
        <v>162</v>
      </c>
      <c r="N1410" t="s">
        <v>315</v>
      </c>
      <c r="O1410" t="s">
        <v>169</v>
      </c>
      <c r="P1410">
        <v>3.7875453191765561E-3</v>
      </c>
      <c r="Q1410" t="s">
        <v>162</v>
      </c>
      <c r="S1410" t="s">
        <v>427</v>
      </c>
      <c r="T1410" t="s">
        <v>169</v>
      </c>
      <c r="U1410">
        <v>2.3249384796613769E-3</v>
      </c>
      <c r="V1410" t="s">
        <v>162</v>
      </c>
    </row>
    <row r="1411" spans="9:22" x14ac:dyDescent="0.45">
      <c r="I1411" t="s">
        <v>203</v>
      </c>
      <c r="J1411" t="s">
        <v>170</v>
      </c>
      <c r="K1411">
        <v>2.7308593530877581E-2</v>
      </c>
      <c r="L1411" t="s">
        <v>162</v>
      </c>
      <c r="N1411" t="s">
        <v>315</v>
      </c>
      <c r="O1411" t="s">
        <v>170</v>
      </c>
      <c r="P1411">
        <v>8.4972347470773837E-3</v>
      </c>
      <c r="Q1411" t="s">
        <v>162</v>
      </c>
      <c r="S1411" t="s">
        <v>427</v>
      </c>
      <c r="T1411" t="s">
        <v>170</v>
      </c>
      <c r="U1411">
        <v>4.4530237839420618E-3</v>
      </c>
      <c r="V1411" t="s">
        <v>162</v>
      </c>
    </row>
    <row r="1412" spans="9:22" x14ac:dyDescent="0.45">
      <c r="I1412" t="s">
        <v>203</v>
      </c>
      <c r="J1412" t="s">
        <v>525</v>
      </c>
      <c r="K1412">
        <v>6.4181645236427304E-2</v>
      </c>
      <c r="L1412" t="s">
        <v>162</v>
      </c>
      <c r="N1412" t="s">
        <v>315</v>
      </c>
      <c r="O1412" t="s">
        <v>525</v>
      </c>
      <c r="P1412">
        <v>2.4680120844766281E-2</v>
      </c>
      <c r="Q1412" t="s">
        <v>162</v>
      </c>
      <c r="S1412" t="s">
        <v>427</v>
      </c>
      <c r="T1412" t="s">
        <v>525</v>
      </c>
      <c r="U1412">
        <v>1.1449980086161906E-2</v>
      </c>
      <c r="V1412" t="s">
        <v>162</v>
      </c>
    </row>
    <row r="1413" spans="9:22" x14ac:dyDescent="0.45">
      <c r="I1413" t="s">
        <v>203</v>
      </c>
      <c r="J1413" t="s">
        <v>526</v>
      </c>
      <c r="K1413">
        <v>1.0761270508736466E-2</v>
      </c>
      <c r="L1413" t="s">
        <v>162</v>
      </c>
      <c r="N1413" t="s">
        <v>315</v>
      </c>
      <c r="O1413" t="s">
        <v>526</v>
      </c>
      <c r="P1413">
        <v>4.8136629934092869E-3</v>
      </c>
      <c r="Q1413" t="s">
        <v>162</v>
      </c>
      <c r="S1413" t="s">
        <v>427</v>
      </c>
      <c r="T1413" t="s">
        <v>526</v>
      </c>
      <c r="U1413">
        <v>2.3066423712177347E-3</v>
      </c>
      <c r="V1413" t="s">
        <v>162</v>
      </c>
    </row>
    <row r="1414" spans="9:22" x14ac:dyDescent="0.45">
      <c r="I1414" t="s">
        <v>203</v>
      </c>
      <c r="J1414" t="s">
        <v>527</v>
      </c>
      <c r="K1414">
        <v>1.3260724961350506E-2</v>
      </c>
      <c r="L1414" t="s">
        <v>162</v>
      </c>
      <c r="N1414" t="s">
        <v>315</v>
      </c>
      <c r="O1414" t="s">
        <v>527</v>
      </c>
      <c r="P1414">
        <v>2.4311625032774623E-2</v>
      </c>
      <c r="Q1414" t="s">
        <v>162</v>
      </c>
      <c r="S1414" t="s">
        <v>427</v>
      </c>
      <c r="T1414" t="s">
        <v>527</v>
      </c>
      <c r="U1414">
        <v>1.5202441225124565E-2</v>
      </c>
      <c r="V1414" t="s">
        <v>162</v>
      </c>
    </row>
    <row r="1415" spans="9:22" x14ac:dyDescent="0.45">
      <c r="I1415" t="s">
        <v>203</v>
      </c>
      <c r="J1415" t="s">
        <v>528</v>
      </c>
      <c r="K1415">
        <v>8.1144311644412631E-2</v>
      </c>
      <c r="L1415" t="s">
        <v>162</v>
      </c>
      <c r="N1415" t="s">
        <v>315</v>
      </c>
      <c r="O1415" t="s">
        <v>528</v>
      </c>
      <c r="P1415">
        <v>6.1923636026062046E-2</v>
      </c>
      <c r="Q1415" t="s">
        <v>162</v>
      </c>
      <c r="S1415" t="s">
        <v>427</v>
      </c>
      <c r="T1415" t="s">
        <v>528</v>
      </c>
      <c r="U1415">
        <v>6.9299156262901992E-2</v>
      </c>
      <c r="V1415" t="s">
        <v>162</v>
      </c>
    </row>
    <row r="1416" spans="9:22" x14ac:dyDescent="0.45">
      <c r="I1416" t="s">
        <v>203</v>
      </c>
      <c r="J1416" t="s">
        <v>529</v>
      </c>
      <c r="K1416">
        <v>3.441602501678296E-2</v>
      </c>
      <c r="L1416" t="s">
        <v>162</v>
      </c>
      <c r="N1416" t="s">
        <v>315</v>
      </c>
      <c r="O1416" t="s">
        <v>529</v>
      </c>
      <c r="P1416">
        <v>7.2451229125629528E-3</v>
      </c>
      <c r="Q1416" t="s">
        <v>162</v>
      </c>
      <c r="S1416" t="s">
        <v>427</v>
      </c>
      <c r="T1416" t="s">
        <v>529</v>
      </c>
      <c r="U1416">
        <v>7.7125983208116457E-3</v>
      </c>
      <c r="V1416" t="s">
        <v>162</v>
      </c>
    </row>
    <row r="1417" spans="9:22" x14ac:dyDescent="0.45">
      <c r="I1417" t="s">
        <v>203</v>
      </c>
      <c r="J1417" t="s">
        <v>530</v>
      </c>
      <c r="K1417">
        <v>7.5251227985934005E-2</v>
      </c>
      <c r="L1417" t="s">
        <v>162</v>
      </c>
      <c r="N1417" t="s">
        <v>315</v>
      </c>
      <c r="O1417" t="s">
        <v>530</v>
      </c>
      <c r="P1417">
        <v>1.6732148205555276E-2</v>
      </c>
      <c r="Q1417" t="s">
        <v>162</v>
      </c>
      <c r="S1417" t="s">
        <v>427</v>
      </c>
      <c r="T1417" t="s">
        <v>530</v>
      </c>
      <c r="U1417">
        <v>1.5313919059225817E-2</v>
      </c>
      <c r="V1417" t="s">
        <v>162</v>
      </c>
    </row>
    <row r="1418" spans="9:22" x14ac:dyDescent="0.45">
      <c r="I1418" t="s">
        <v>203</v>
      </c>
      <c r="J1418" t="s">
        <v>531</v>
      </c>
      <c r="K1418">
        <v>0.1820444767570977</v>
      </c>
      <c r="L1418" t="s">
        <v>162</v>
      </c>
      <c r="N1418" t="s">
        <v>315</v>
      </c>
      <c r="O1418" t="s">
        <v>531</v>
      </c>
      <c r="P1418">
        <v>4.939807151527404E-2</v>
      </c>
      <c r="Q1418" t="s">
        <v>162</v>
      </c>
      <c r="S1418" t="s">
        <v>427</v>
      </c>
      <c r="T1418" t="s">
        <v>531</v>
      </c>
      <c r="U1418">
        <v>3.7982897986552827E-2</v>
      </c>
      <c r="V1418" t="s">
        <v>162</v>
      </c>
    </row>
    <row r="1419" spans="9:22" x14ac:dyDescent="0.45">
      <c r="I1419" t="s">
        <v>203</v>
      </c>
      <c r="J1419" t="s">
        <v>532</v>
      </c>
      <c r="K1419">
        <v>3.0402639508974708E-2</v>
      </c>
      <c r="L1419" t="s">
        <v>162</v>
      </c>
      <c r="N1419" t="s">
        <v>315</v>
      </c>
      <c r="O1419" t="s">
        <v>532</v>
      </c>
      <c r="P1419">
        <v>1.0441744664031119E-2</v>
      </c>
      <c r="Q1419" t="s">
        <v>162</v>
      </c>
      <c r="S1419" t="s">
        <v>427</v>
      </c>
      <c r="T1419" t="s">
        <v>532</v>
      </c>
      <c r="U1419">
        <v>7.6213317451312426E-3</v>
      </c>
      <c r="V1419" t="s">
        <v>162</v>
      </c>
    </row>
    <row r="1420" spans="9:22" x14ac:dyDescent="0.45">
      <c r="I1420" t="s">
        <v>203</v>
      </c>
      <c r="J1420" t="s">
        <v>533</v>
      </c>
      <c r="K1420">
        <v>5.8545653346086197E-2</v>
      </c>
      <c r="L1420" t="s">
        <v>162</v>
      </c>
      <c r="N1420" t="s">
        <v>315</v>
      </c>
      <c r="O1420" t="s">
        <v>533</v>
      </c>
      <c r="P1420">
        <v>5.286995553637585E-2</v>
      </c>
      <c r="Q1420" t="s">
        <v>162</v>
      </c>
      <c r="S1420" t="s">
        <v>427</v>
      </c>
      <c r="T1420" t="s">
        <v>533</v>
      </c>
      <c r="U1420">
        <v>4.5148734791653232E-2</v>
      </c>
      <c r="V1420" t="s">
        <v>162</v>
      </c>
    </row>
    <row r="1421" spans="9:22" x14ac:dyDescent="0.45">
      <c r="I1421" t="s">
        <v>203</v>
      </c>
      <c r="J1421" t="s">
        <v>534</v>
      </c>
      <c r="K1421">
        <v>2.0232030655402782E-2</v>
      </c>
      <c r="L1421" t="s">
        <v>162</v>
      </c>
      <c r="N1421" t="s">
        <v>315</v>
      </c>
      <c r="O1421" t="s">
        <v>534</v>
      </c>
      <c r="P1421">
        <v>6.5072678587713428E-2</v>
      </c>
      <c r="Q1421" t="s">
        <v>162</v>
      </c>
      <c r="S1421" t="s">
        <v>427</v>
      </c>
      <c r="T1421" t="s">
        <v>534</v>
      </c>
      <c r="U1421">
        <v>0.1012559882132434</v>
      </c>
      <c r="V1421" t="s">
        <v>162</v>
      </c>
    </row>
    <row r="1422" spans="9:22" x14ac:dyDescent="0.45">
      <c r="I1422" t="s">
        <v>203</v>
      </c>
      <c r="J1422" t="s">
        <v>535</v>
      </c>
      <c r="K1422">
        <v>1.5366903066505469E-2</v>
      </c>
      <c r="L1422" t="s">
        <v>162</v>
      </c>
      <c r="N1422" t="s">
        <v>315</v>
      </c>
      <c r="O1422" t="s">
        <v>535</v>
      </c>
      <c r="P1422">
        <v>7.2775011890423274E-3</v>
      </c>
      <c r="Q1422" t="s">
        <v>162</v>
      </c>
      <c r="S1422" t="s">
        <v>427</v>
      </c>
      <c r="T1422" t="s">
        <v>535</v>
      </c>
      <c r="U1422">
        <v>1.0788329730443375E-2</v>
      </c>
      <c r="V1422" t="s">
        <v>162</v>
      </c>
    </row>
    <row r="1423" spans="9:22" x14ac:dyDescent="0.45">
      <c r="I1423" t="s">
        <v>203</v>
      </c>
      <c r="J1423" t="s">
        <v>536</v>
      </c>
      <c r="K1423">
        <v>3.9571847304648709E-2</v>
      </c>
      <c r="L1423" t="s">
        <v>162</v>
      </c>
      <c r="N1423" t="s">
        <v>315</v>
      </c>
      <c r="O1423" t="s">
        <v>536</v>
      </c>
      <c r="P1423">
        <v>1.5740691222057498E-2</v>
      </c>
      <c r="Q1423" t="s">
        <v>162</v>
      </c>
      <c r="S1423" t="s">
        <v>427</v>
      </c>
      <c r="T1423" t="s">
        <v>536</v>
      </c>
      <c r="U1423">
        <v>2.1642037680946365E-2</v>
      </c>
      <c r="V1423" t="s">
        <v>162</v>
      </c>
    </row>
    <row r="1424" spans="9:22" x14ac:dyDescent="0.45">
      <c r="I1424" t="s">
        <v>203</v>
      </c>
      <c r="J1424" t="s">
        <v>537</v>
      </c>
      <c r="K1424">
        <v>9.7701162808170219E-2</v>
      </c>
      <c r="L1424" t="s">
        <v>162</v>
      </c>
      <c r="N1424" t="s">
        <v>315</v>
      </c>
      <c r="O1424" t="s">
        <v>537</v>
      </c>
      <c r="P1424">
        <v>4.3154543351603861E-2</v>
      </c>
      <c r="Q1424" t="s">
        <v>162</v>
      </c>
      <c r="S1424" t="s">
        <v>427</v>
      </c>
      <c r="T1424" t="s">
        <v>537</v>
      </c>
      <c r="U1424">
        <v>5.4478599680525715E-2</v>
      </c>
      <c r="V1424" t="s">
        <v>162</v>
      </c>
    </row>
    <row r="1425" spans="9:22" x14ac:dyDescent="0.45">
      <c r="I1425" t="s">
        <v>203</v>
      </c>
      <c r="J1425" t="s">
        <v>538</v>
      </c>
      <c r="K1425">
        <v>1.2086267281218675E-2</v>
      </c>
      <c r="L1425" t="s">
        <v>162</v>
      </c>
      <c r="N1425" t="s">
        <v>315</v>
      </c>
      <c r="O1425" t="s">
        <v>538</v>
      </c>
      <c r="P1425">
        <v>9.1462121698701795E-3</v>
      </c>
      <c r="Q1425" t="s">
        <v>162</v>
      </c>
      <c r="S1425" t="s">
        <v>427</v>
      </c>
      <c r="T1425" t="s">
        <v>538</v>
      </c>
      <c r="U1425">
        <v>1.0835410196002839E-2</v>
      </c>
      <c r="V1425" t="s">
        <v>162</v>
      </c>
    </row>
    <row r="1426" spans="9:22" x14ac:dyDescent="0.45">
      <c r="I1426" t="s">
        <v>203</v>
      </c>
      <c r="J1426" t="s">
        <v>539</v>
      </c>
      <c r="K1426">
        <v>1.4454820408335024E-2</v>
      </c>
      <c r="L1426" t="s">
        <v>162</v>
      </c>
      <c r="N1426" t="s">
        <v>315</v>
      </c>
      <c r="O1426" t="s">
        <v>539</v>
      </c>
      <c r="P1426">
        <v>5.1445717414291423E-2</v>
      </c>
      <c r="Q1426" t="s">
        <v>162</v>
      </c>
      <c r="S1426" t="s">
        <v>427</v>
      </c>
      <c r="T1426" t="s">
        <v>539</v>
      </c>
      <c r="U1426">
        <v>6.949101614459284E-2</v>
      </c>
      <c r="V1426" t="s">
        <v>162</v>
      </c>
    </row>
    <row r="1427" spans="9:22" x14ac:dyDescent="0.45">
      <c r="I1427" t="s">
        <v>203</v>
      </c>
      <c r="J1427" t="s">
        <v>540</v>
      </c>
      <c r="K1427">
        <v>6.4290398055395025E-5</v>
      </c>
      <c r="L1427" t="s">
        <v>162</v>
      </c>
      <c r="N1427" t="s">
        <v>315</v>
      </c>
      <c r="O1427" t="s">
        <v>540</v>
      </c>
      <c r="P1427">
        <v>3.8671431775518114E-2</v>
      </c>
      <c r="Q1427" t="s">
        <v>162</v>
      </c>
      <c r="S1427" t="s">
        <v>427</v>
      </c>
      <c r="T1427" t="s">
        <v>540</v>
      </c>
      <c r="U1427">
        <v>4.1382288767708816E-2</v>
      </c>
      <c r="V1427" t="s">
        <v>162</v>
      </c>
    </row>
    <row r="1428" spans="9:22" x14ac:dyDescent="0.45">
      <c r="I1428" t="s">
        <v>203</v>
      </c>
      <c r="J1428" t="s">
        <v>541</v>
      </c>
      <c r="K1428">
        <v>1.6181642479441668E-3</v>
      </c>
      <c r="L1428" t="s">
        <v>162</v>
      </c>
      <c r="N1428" t="s">
        <v>315</v>
      </c>
      <c r="O1428" t="s">
        <v>541</v>
      </c>
      <c r="P1428">
        <v>4.3096037752678408E-3</v>
      </c>
      <c r="Q1428" t="s">
        <v>162</v>
      </c>
      <c r="S1428" t="s">
        <v>427</v>
      </c>
      <c r="T1428" t="s">
        <v>541</v>
      </c>
      <c r="U1428">
        <v>4.4991806598696175E-3</v>
      </c>
      <c r="V1428" t="s">
        <v>162</v>
      </c>
    </row>
    <row r="1429" spans="9:22" x14ac:dyDescent="0.45">
      <c r="I1429" t="s">
        <v>203</v>
      </c>
      <c r="J1429" t="s">
        <v>542</v>
      </c>
      <c r="K1429">
        <v>6.8735407916239938E-3</v>
      </c>
      <c r="L1429" t="s">
        <v>162</v>
      </c>
      <c r="N1429" t="s">
        <v>315</v>
      </c>
      <c r="O1429" t="s">
        <v>542</v>
      </c>
      <c r="P1429">
        <v>8.9870908437444906E-3</v>
      </c>
      <c r="Q1429" t="s">
        <v>162</v>
      </c>
      <c r="S1429" t="s">
        <v>427</v>
      </c>
      <c r="T1429" t="s">
        <v>542</v>
      </c>
      <c r="U1429">
        <v>9.1581867476614384E-3</v>
      </c>
      <c r="V1429" t="s">
        <v>162</v>
      </c>
    </row>
    <row r="1430" spans="9:22" x14ac:dyDescent="0.45">
      <c r="I1430" t="s">
        <v>203</v>
      </c>
      <c r="J1430" t="s">
        <v>543</v>
      </c>
      <c r="K1430">
        <v>1.5236716187627721E-2</v>
      </c>
      <c r="L1430" t="s">
        <v>162</v>
      </c>
      <c r="N1430" t="s">
        <v>315</v>
      </c>
      <c r="O1430" t="s">
        <v>543</v>
      </c>
      <c r="P1430">
        <v>2.3401865127317456E-2</v>
      </c>
      <c r="Q1430" t="s">
        <v>162</v>
      </c>
      <c r="S1430" t="s">
        <v>427</v>
      </c>
      <c r="T1430" t="s">
        <v>543</v>
      </c>
      <c r="U1430">
        <v>2.3869181540967625E-2</v>
      </c>
      <c r="V1430" t="s">
        <v>162</v>
      </c>
    </row>
    <row r="1431" spans="9:22" x14ac:dyDescent="0.45">
      <c r="I1431" t="s">
        <v>203</v>
      </c>
      <c r="J1431" t="s">
        <v>544</v>
      </c>
      <c r="K1431">
        <v>0</v>
      </c>
      <c r="L1431" t="s">
        <v>162</v>
      </c>
      <c r="N1431" t="s">
        <v>315</v>
      </c>
      <c r="O1431" t="s">
        <v>544</v>
      </c>
      <c r="P1431">
        <v>4.5801393448108036E-3</v>
      </c>
      <c r="Q1431" t="s">
        <v>162</v>
      </c>
      <c r="S1431" t="s">
        <v>427</v>
      </c>
      <c r="T1431" t="s">
        <v>544</v>
      </c>
      <c r="U1431">
        <v>4.7887816117307422E-3</v>
      </c>
      <c r="V1431" t="s">
        <v>162</v>
      </c>
    </row>
    <row r="1432" spans="9:22" x14ac:dyDescent="0.45">
      <c r="I1432" t="s">
        <v>203</v>
      </c>
      <c r="J1432" t="s">
        <v>545</v>
      </c>
      <c r="K1432">
        <v>0</v>
      </c>
      <c r="L1432" t="s">
        <v>162</v>
      </c>
      <c r="N1432" t="s">
        <v>315</v>
      </c>
      <c r="O1432" t="s">
        <v>545</v>
      </c>
      <c r="P1432">
        <v>2.7861887462734703E-2</v>
      </c>
      <c r="Q1432" t="s">
        <v>162</v>
      </c>
      <c r="S1432" t="s">
        <v>427</v>
      </c>
      <c r="T1432" t="s">
        <v>545</v>
      </c>
      <c r="U1432">
        <v>2.8624254269696243E-2</v>
      </c>
      <c r="V1432" t="s">
        <v>162</v>
      </c>
    </row>
    <row r="1433" spans="9:22" x14ac:dyDescent="0.45">
      <c r="I1433" t="s">
        <v>203</v>
      </c>
      <c r="J1433" t="s">
        <v>546</v>
      </c>
      <c r="K1433">
        <v>0</v>
      </c>
      <c r="L1433" t="s">
        <v>162</v>
      </c>
      <c r="N1433" t="s">
        <v>315</v>
      </c>
      <c r="O1433" t="s">
        <v>546</v>
      </c>
      <c r="P1433">
        <v>3.6730122448564238E-2</v>
      </c>
      <c r="Q1433" t="s">
        <v>162</v>
      </c>
      <c r="S1433" t="s">
        <v>427</v>
      </c>
      <c r="T1433" t="s">
        <v>546</v>
      </c>
      <c r="U1433">
        <v>3.7797909808459054E-2</v>
      </c>
      <c r="V1433" t="s">
        <v>162</v>
      </c>
    </row>
    <row r="1434" spans="9:22" x14ac:dyDescent="0.45">
      <c r="I1434" t="s">
        <v>203</v>
      </c>
      <c r="J1434" t="s">
        <v>547</v>
      </c>
      <c r="K1434">
        <v>3.7606820938914963E-5</v>
      </c>
      <c r="L1434" t="s">
        <v>162</v>
      </c>
      <c r="N1434" t="s">
        <v>315</v>
      </c>
      <c r="O1434" t="s">
        <v>547</v>
      </c>
      <c r="P1434">
        <v>3.7685700220984721E-3</v>
      </c>
      <c r="Q1434" t="s">
        <v>162</v>
      </c>
      <c r="S1434" t="s">
        <v>427</v>
      </c>
      <c r="T1434" t="s">
        <v>547</v>
      </c>
      <c r="U1434">
        <v>4.2384194190743353E-3</v>
      </c>
      <c r="V1434" t="s">
        <v>162</v>
      </c>
    </row>
    <row r="1435" spans="9:22" x14ac:dyDescent="0.45">
      <c r="I1435" t="s">
        <v>203</v>
      </c>
      <c r="J1435" t="s">
        <v>548</v>
      </c>
      <c r="K1435">
        <v>3.6852770526729726E-3</v>
      </c>
      <c r="L1435" t="s">
        <v>162</v>
      </c>
      <c r="N1435" t="s">
        <v>315</v>
      </c>
      <c r="O1435" t="s">
        <v>548</v>
      </c>
      <c r="P1435">
        <v>7.7926355134885356E-3</v>
      </c>
      <c r="Q1435" t="s">
        <v>162</v>
      </c>
      <c r="S1435" t="s">
        <v>427</v>
      </c>
      <c r="T1435" t="s">
        <v>548</v>
      </c>
      <c r="U1435">
        <v>8.3056817960827645E-3</v>
      </c>
      <c r="V1435" t="s">
        <v>162</v>
      </c>
    </row>
    <row r="1436" spans="9:22" x14ac:dyDescent="0.45">
      <c r="I1436" t="s">
        <v>203</v>
      </c>
      <c r="J1436" t="s">
        <v>549</v>
      </c>
      <c r="K1436">
        <v>9.1123460992346469E-3</v>
      </c>
      <c r="L1436" t="s">
        <v>162</v>
      </c>
      <c r="N1436" t="s">
        <v>315</v>
      </c>
      <c r="O1436" t="s">
        <v>549</v>
      </c>
      <c r="P1436">
        <v>2.1259296505003942E-2</v>
      </c>
      <c r="Q1436" t="s">
        <v>162</v>
      </c>
      <c r="S1436" t="s">
        <v>427</v>
      </c>
      <c r="T1436" t="s">
        <v>549</v>
      </c>
      <c r="U1436">
        <v>1.9799323141802164E-2</v>
      </c>
      <c r="V1436" t="s">
        <v>162</v>
      </c>
    </row>
    <row r="1437" spans="9:22" x14ac:dyDescent="0.45">
      <c r="I1437" t="s">
        <v>203</v>
      </c>
      <c r="J1437" t="s">
        <v>550</v>
      </c>
      <c r="K1437">
        <v>0</v>
      </c>
      <c r="L1437" t="s">
        <v>162</v>
      </c>
      <c r="N1437" t="s">
        <v>315</v>
      </c>
      <c r="O1437" t="s">
        <v>550</v>
      </c>
      <c r="P1437">
        <v>4.3829854248767777E-3</v>
      </c>
      <c r="Q1437" t="s">
        <v>162</v>
      </c>
      <c r="S1437" t="s">
        <v>427</v>
      </c>
      <c r="T1437" t="s">
        <v>550</v>
      </c>
      <c r="U1437">
        <v>3.9363631401758926E-3</v>
      </c>
      <c r="V1437" t="s">
        <v>162</v>
      </c>
    </row>
    <row r="1438" spans="9:22" x14ac:dyDescent="0.45">
      <c r="I1438" t="s">
        <v>203</v>
      </c>
      <c r="J1438" t="s">
        <v>551</v>
      </c>
      <c r="K1438">
        <v>0</v>
      </c>
      <c r="L1438" t="s">
        <v>162</v>
      </c>
      <c r="N1438" t="s">
        <v>315</v>
      </c>
      <c r="O1438" t="s">
        <v>551</v>
      </c>
      <c r="P1438">
        <v>2.6333574566301362E-2</v>
      </c>
      <c r="Q1438" t="s">
        <v>162</v>
      </c>
      <c r="S1438" t="s">
        <v>427</v>
      </c>
      <c r="T1438" t="s">
        <v>551</v>
      </c>
      <c r="U1438">
        <v>2.3435765912340627E-2</v>
      </c>
      <c r="V1438" t="s">
        <v>162</v>
      </c>
    </row>
    <row r="1439" spans="9:22" x14ac:dyDescent="0.45">
      <c r="I1439" t="s">
        <v>204</v>
      </c>
      <c r="J1439" t="s">
        <v>161</v>
      </c>
      <c r="K1439">
        <v>4.4984228851381298E-6</v>
      </c>
      <c r="L1439" t="s">
        <v>162</v>
      </c>
      <c r="N1439" t="s">
        <v>316</v>
      </c>
      <c r="O1439" t="s">
        <v>161</v>
      </c>
      <c r="P1439">
        <v>3.8638543065438187E-2</v>
      </c>
      <c r="Q1439" t="s">
        <v>162</v>
      </c>
      <c r="S1439" t="s">
        <v>428</v>
      </c>
      <c r="T1439" t="s">
        <v>161</v>
      </c>
      <c r="U1439">
        <v>4.8653186390595446E-2</v>
      </c>
      <c r="V1439" t="s">
        <v>162</v>
      </c>
    </row>
    <row r="1440" spans="9:22" x14ac:dyDescent="0.45">
      <c r="I1440" t="s">
        <v>204</v>
      </c>
      <c r="J1440" t="s">
        <v>163</v>
      </c>
      <c r="K1440">
        <v>1.1061546935923125E-3</v>
      </c>
      <c r="L1440" t="s">
        <v>162</v>
      </c>
      <c r="N1440" t="s">
        <v>316</v>
      </c>
      <c r="O1440" t="s">
        <v>163</v>
      </c>
      <c r="P1440">
        <v>4.7044483188244286E-3</v>
      </c>
      <c r="Q1440" t="s">
        <v>162</v>
      </c>
      <c r="S1440" t="s">
        <v>428</v>
      </c>
      <c r="T1440" t="s">
        <v>163</v>
      </c>
      <c r="U1440">
        <v>5.4093824761496118E-3</v>
      </c>
      <c r="V1440" t="s">
        <v>162</v>
      </c>
    </row>
    <row r="1441" spans="9:22" x14ac:dyDescent="0.45">
      <c r="I1441" t="s">
        <v>204</v>
      </c>
      <c r="J1441" t="s">
        <v>164</v>
      </c>
      <c r="K1441">
        <v>4.5573759249435226E-3</v>
      </c>
      <c r="L1441" t="s">
        <v>162</v>
      </c>
      <c r="N1441" t="s">
        <v>316</v>
      </c>
      <c r="O1441" t="s">
        <v>164</v>
      </c>
      <c r="P1441">
        <v>9.7067026479824275E-3</v>
      </c>
      <c r="Q1441" t="s">
        <v>162</v>
      </c>
      <c r="S1441" t="s">
        <v>428</v>
      </c>
      <c r="T1441" t="s">
        <v>164</v>
      </c>
      <c r="U1441">
        <v>1.0630370581754707E-2</v>
      </c>
      <c r="V1441" t="s">
        <v>162</v>
      </c>
    </row>
    <row r="1442" spans="9:22" x14ac:dyDescent="0.45">
      <c r="I1442" t="s">
        <v>204</v>
      </c>
      <c r="J1442" t="s">
        <v>519</v>
      </c>
      <c r="K1442">
        <v>9.8973826139728948E-3</v>
      </c>
      <c r="L1442" t="s">
        <v>162</v>
      </c>
      <c r="N1442" t="s">
        <v>316</v>
      </c>
      <c r="O1442" t="s">
        <v>519</v>
      </c>
      <c r="P1442">
        <v>2.4801600099634155E-2</v>
      </c>
      <c r="Q1442" t="s">
        <v>162</v>
      </c>
      <c r="S1442" t="s">
        <v>428</v>
      </c>
      <c r="T1442" t="s">
        <v>519</v>
      </c>
      <c r="U1442">
        <v>2.4720781333763441E-2</v>
      </c>
      <c r="V1442" t="s">
        <v>162</v>
      </c>
    </row>
    <row r="1443" spans="9:22" x14ac:dyDescent="0.45">
      <c r="I1443" t="s">
        <v>204</v>
      </c>
      <c r="J1443" t="s">
        <v>520</v>
      </c>
      <c r="K1443">
        <v>0</v>
      </c>
      <c r="L1443" t="s">
        <v>162</v>
      </c>
      <c r="N1443" t="s">
        <v>316</v>
      </c>
      <c r="O1443" t="s">
        <v>520</v>
      </c>
      <c r="P1443">
        <v>4.9907565808737665E-3</v>
      </c>
      <c r="Q1443" t="s">
        <v>162</v>
      </c>
      <c r="S1443" t="s">
        <v>428</v>
      </c>
      <c r="T1443" t="s">
        <v>520</v>
      </c>
      <c r="U1443">
        <v>4.736728663824471E-3</v>
      </c>
      <c r="V1443" t="s">
        <v>162</v>
      </c>
    </row>
    <row r="1444" spans="9:22" x14ac:dyDescent="0.45">
      <c r="I1444" t="s">
        <v>204</v>
      </c>
      <c r="J1444" t="s">
        <v>521</v>
      </c>
      <c r="K1444">
        <v>0</v>
      </c>
      <c r="L1444" t="s">
        <v>162</v>
      </c>
      <c r="N1444" t="s">
        <v>316</v>
      </c>
      <c r="O1444" t="s">
        <v>521</v>
      </c>
      <c r="P1444">
        <v>2.8457070159565109E-2</v>
      </c>
      <c r="Q1444" t="s">
        <v>162</v>
      </c>
      <c r="S1444" t="s">
        <v>428</v>
      </c>
      <c r="T1444" t="s">
        <v>521</v>
      </c>
      <c r="U1444">
        <v>2.901491496867542E-2</v>
      </c>
      <c r="V1444" t="s">
        <v>162</v>
      </c>
    </row>
    <row r="1445" spans="9:22" x14ac:dyDescent="0.45">
      <c r="I1445" t="s">
        <v>204</v>
      </c>
      <c r="J1445" t="s">
        <v>165</v>
      </c>
      <c r="K1445">
        <v>1.3145193152606411E-2</v>
      </c>
      <c r="L1445" t="s">
        <v>162</v>
      </c>
      <c r="N1445" t="s">
        <v>316</v>
      </c>
      <c r="O1445" t="s">
        <v>165</v>
      </c>
      <c r="P1445">
        <v>7.1999288440107681E-2</v>
      </c>
      <c r="Q1445" t="s">
        <v>162</v>
      </c>
      <c r="S1445" t="s">
        <v>428</v>
      </c>
      <c r="T1445" t="s">
        <v>165</v>
      </c>
      <c r="U1445">
        <v>5.8583611056027725E-2</v>
      </c>
      <c r="V1445" t="s">
        <v>162</v>
      </c>
    </row>
    <row r="1446" spans="9:22" x14ac:dyDescent="0.45">
      <c r="I1446" t="s">
        <v>204</v>
      </c>
      <c r="J1446" t="s">
        <v>166</v>
      </c>
      <c r="K1446">
        <v>1.2337395706422907E-2</v>
      </c>
      <c r="L1446" t="s">
        <v>162</v>
      </c>
      <c r="N1446" t="s">
        <v>316</v>
      </c>
      <c r="O1446" t="s">
        <v>166</v>
      </c>
      <c r="P1446">
        <v>8.0327470394254193E-3</v>
      </c>
      <c r="Q1446" t="s">
        <v>162</v>
      </c>
      <c r="S1446" t="s">
        <v>428</v>
      </c>
      <c r="T1446" t="s">
        <v>166</v>
      </c>
      <c r="U1446">
        <v>6.8074480485943063E-3</v>
      </c>
      <c r="V1446" t="s">
        <v>162</v>
      </c>
    </row>
    <row r="1447" spans="9:22" x14ac:dyDescent="0.45">
      <c r="I1447" t="s">
        <v>204</v>
      </c>
      <c r="J1447" t="s">
        <v>167</v>
      </c>
      <c r="K1447">
        <v>2.9572867900623925E-2</v>
      </c>
      <c r="L1447" t="s">
        <v>162</v>
      </c>
      <c r="N1447" t="s">
        <v>316</v>
      </c>
      <c r="O1447" t="s">
        <v>167</v>
      </c>
      <c r="P1447">
        <v>1.6442579069762906E-2</v>
      </c>
      <c r="Q1447" t="s">
        <v>162</v>
      </c>
      <c r="S1447" t="s">
        <v>428</v>
      </c>
      <c r="T1447" t="s">
        <v>167</v>
      </c>
      <c r="U1447">
        <v>1.3671299029122416E-2</v>
      </c>
      <c r="V1447" t="s">
        <v>162</v>
      </c>
    </row>
    <row r="1448" spans="9:22" x14ac:dyDescent="0.45">
      <c r="I1448" t="s">
        <v>204</v>
      </c>
      <c r="J1448" t="s">
        <v>522</v>
      </c>
      <c r="K1448">
        <v>6.797314487118078E-2</v>
      </c>
      <c r="L1448" t="s">
        <v>162</v>
      </c>
      <c r="N1448" t="s">
        <v>316</v>
      </c>
      <c r="O1448" t="s">
        <v>522</v>
      </c>
      <c r="P1448">
        <v>3.9355507595019559E-2</v>
      </c>
      <c r="Q1448" t="s">
        <v>162</v>
      </c>
      <c r="S1448" t="s">
        <v>428</v>
      </c>
      <c r="T1448" t="s">
        <v>522</v>
      </c>
      <c r="U1448">
        <v>3.3508979306999906E-2</v>
      </c>
      <c r="V1448" t="s">
        <v>162</v>
      </c>
    </row>
    <row r="1449" spans="9:22" x14ac:dyDescent="0.45">
      <c r="I1449" t="s">
        <v>204</v>
      </c>
      <c r="J1449" t="s">
        <v>523</v>
      </c>
      <c r="K1449">
        <v>8.1457300152575577E-3</v>
      </c>
      <c r="L1449" t="s">
        <v>162</v>
      </c>
      <c r="N1449" t="s">
        <v>316</v>
      </c>
      <c r="O1449" t="s">
        <v>523</v>
      </c>
      <c r="P1449">
        <v>7.7108049544786584E-3</v>
      </c>
      <c r="Q1449" t="s">
        <v>162</v>
      </c>
      <c r="S1449" t="s">
        <v>428</v>
      </c>
      <c r="T1449" t="s">
        <v>523</v>
      </c>
      <c r="U1449">
        <v>6.7701075950907371E-3</v>
      </c>
      <c r="V1449" t="s">
        <v>162</v>
      </c>
    </row>
    <row r="1450" spans="9:22" x14ac:dyDescent="0.45">
      <c r="I1450" t="s">
        <v>204</v>
      </c>
      <c r="J1450" t="s">
        <v>524</v>
      </c>
      <c r="K1450">
        <v>2.8481655002285345E-3</v>
      </c>
      <c r="L1450" t="s">
        <v>162</v>
      </c>
      <c r="N1450" t="s">
        <v>316</v>
      </c>
      <c r="O1450" t="s">
        <v>524</v>
      </c>
      <c r="P1450">
        <v>4.6100815454603643E-2</v>
      </c>
      <c r="Q1450" t="s">
        <v>162</v>
      </c>
      <c r="S1450" t="s">
        <v>428</v>
      </c>
      <c r="T1450" t="s">
        <v>524</v>
      </c>
      <c r="U1450">
        <v>3.982859513702016E-2</v>
      </c>
      <c r="V1450" t="s">
        <v>162</v>
      </c>
    </row>
    <row r="1451" spans="9:22" x14ac:dyDescent="0.45">
      <c r="I1451" t="s">
        <v>204</v>
      </c>
      <c r="J1451" t="s">
        <v>168</v>
      </c>
      <c r="K1451">
        <v>2.0795737927068292E-2</v>
      </c>
      <c r="L1451" t="s">
        <v>162</v>
      </c>
      <c r="N1451" t="s">
        <v>316</v>
      </c>
      <c r="O1451" t="s">
        <v>168</v>
      </c>
      <c r="P1451">
        <v>3.2592746885524833E-2</v>
      </c>
      <c r="Q1451" t="s">
        <v>162</v>
      </c>
      <c r="S1451" t="s">
        <v>428</v>
      </c>
      <c r="T1451" t="s">
        <v>168</v>
      </c>
      <c r="U1451">
        <v>2.3724489984395605E-2</v>
      </c>
      <c r="V1451" t="s">
        <v>162</v>
      </c>
    </row>
    <row r="1452" spans="9:22" x14ac:dyDescent="0.45">
      <c r="I1452" t="s">
        <v>204</v>
      </c>
      <c r="J1452" t="s">
        <v>169</v>
      </c>
      <c r="K1452">
        <v>1.0766579607161103E-2</v>
      </c>
      <c r="L1452" t="s">
        <v>162</v>
      </c>
      <c r="N1452" t="s">
        <v>316</v>
      </c>
      <c r="O1452" t="s">
        <v>169</v>
      </c>
      <c r="P1452">
        <v>3.4824381922405529E-3</v>
      </c>
      <c r="Q1452" t="s">
        <v>162</v>
      </c>
      <c r="S1452" t="s">
        <v>428</v>
      </c>
      <c r="T1452" t="s">
        <v>169</v>
      </c>
      <c r="U1452">
        <v>2.6125767805842848E-3</v>
      </c>
      <c r="V1452" t="s">
        <v>162</v>
      </c>
    </row>
    <row r="1453" spans="9:22" x14ac:dyDescent="0.45">
      <c r="I1453" t="s">
        <v>204</v>
      </c>
      <c r="J1453" t="s">
        <v>170</v>
      </c>
      <c r="K1453">
        <v>2.2969076656270959E-2</v>
      </c>
      <c r="L1453" t="s">
        <v>162</v>
      </c>
      <c r="N1453" t="s">
        <v>316</v>
      </c>
      <c r="O1453" t="s">
        <v>170</v>
      </c>
      <c r="P1453">
        <v>7.1109406731359728E-3</v>
      </c>
      <c r="Q1453" t="s">
        <v>162</v>
      </c>
      <c r="S1453" t="s">
        <v>428</v>
      </c>
      <c r="T1453" t="s">
        <v>170</v>
      </c>
      <c r="U1453">
        <v>4.9655259955100799E-3</v>
      </c>
      <c r="V1453" t="s">
        <v>162</v>
      </c>
    </row>
    <row r="1454" spans="9:22" x14ac:dyDescent="0.45">
      <c r="I1454" t="s">
        <v>204</v>
      </c>
      <c r="J1454" t="s">
        <v>525</v>
      </c>
      <c r="K1454">
        <v>5.2304657170447869E-2</v>
      </c>
      <c r="L1454" t="s">
        <v>162</v>
      </c>
      <c r="N1454" t="s">
        <v>316</v>
      </c>
      <c r="O1454" t="s">
        <v>525</v>
      </c>
      <c r="P1454">
        <v>1.9188707104443019E-2</v>
      </c>
      <c r="Q1454" t="s">
        <v>162</v>
      </c>
      <c r="S1454" t="s">
        <v>428</v>
      </c>
      <c r="T1454" t="s">
        <v>525</v>
      </c>
      <c r="U1454">
        <v>1.1866836023975102E-2</v>
      </c>
      <c r="V1454" t="s">
        <v>162</v>
      </c>
    </row>
    <row r="1455" spans="9:22" x14ac:dyDescent="0.45">
      <c r="I1455" t="s">
        <v>204</v>
      </c>
      <c r="J1455" t="s">
        <v>526</v>
      </c>
      <c r="K1455">
        <v>7.1421104843920839E-3</v>
      </c>
      <c r="L1455" t="s">
        <v>162</v>
      </c>
      <c r="N1455" t="s">
        <v>316</v>
      </c>
      <c r="O1455" t="s">
        <v>526</v>
      </c>
      <c r="P1455">
        <v>4.0355320593763091E-3</v>
      </c>
      <c r="Q1455" t="s">
        <v>162</v>
      </c>
      <c r="S1455" t="s">
        <v>428</v>
      </c>
      <c r="T1455" t="s">
        <v>526</v>
      </c>
      <c r="U1455">
        <v>2.5588074044908607E-3</v>
      </c>
      <c r="V1455" t="s">
        <v>162</v>
      </c>
    </row>
    <row r="1456" spans="9:22" x14ac:dyDescent="0.45">
      <c r="I1456" t="s">
        <v>204</v>
      </c>
      <c r="J1456" t="s">
        <v>527</v>
      </c>
      <c r="K1456">
        <v>6.7711185802834736E-3</v>
      </c>
      <c r="L1456" t="s">
        <v>162</v>
      </c>
      <c r="N1456" t="s">
        <v>316</v>
      </c>
      <c r="O1456" t="s">
        <v>527</v>
      </c>
      <c r="P1456">
        <v>2.4000098749712692E-2</v>
      </c>
      <c r="Q1456" t="s">
        <v>162</v>
      </c>
      <c r="S1456" t="s">
        <v>428</v>
      </c>
      <c r="T1456" t="s">
        <v>527</v>
      </c>
      <c r="U1456">
        <v>1.6065503263546801E-2</v>
      </c>
      <c r="V1456" t="s">
        <v>162</v>
      </c>
    </row>
    <row r="1457" spans="9:22" x14ac:dyDescent="0.45">
      <c r="I1457" t="s">
        <v>204</v>
      </c>
      <c r="J1457" t="s">
        <v>528</v>
      </c>
      <c r="K1457">
        <v>7.5512067267037922E-2</v>
      </c>
      <c r="L1457" t="s">
        <v>162</v>
      </c>
      <c r="N1457" t="s">
        <v>316</v>
      </c>
      <c r="O1457" t="s">
        <v>528</v>
      </c>
      <c r="P1457">
        <v>5.8018073642358732E-2</v>
      </c>
      <c r="Q1457" t="s">
        <v>162</v>
      </c>
      <c r="S1457" t="s">
        <v>428</v>
      </c>
      <c r="T1457" t="s">
        <v>528</v>
      </c>
      <c r="U1457">
        <v>6.9530253830091329E-2</v>
      </c>
      <c r="V1457" t="s">
        <v>162</v>
      </c>
    </row>
    <row r="1458" spans="9:22" x14ac:dyDescent="0.45">
      <c r="I1458" t="s">
        <v>204</v>
      </c>
      <c r="J1458" t="s">
        <v>529</v>
      </c>
      <c r="K1458">
        <v>3.1969678053260911E-2</v>
      </c>
      <c r="L1458" t="s">
        <v>162</v>
      </c>
      <c r="N1458" t="s">
        <v>316</v>
      </c>
      <c r="O1458" t="s">
        <v>529</v>
      </c>
      <c r="P1458">
        <v>6.5966733618617549E-3</v>
      </c>
      <c r="Q1458" t="s">
        <v>162</v>
      </c>
      <c r="S1458" t="s">
        <v>428</v>
      </c>
      <c r="T1458" t="s">
        <v>529</v>
      </c>
      <c r="U1458">
        <v>7.7778329795695003E-3</v>
      </c>
      <c r="V1458" t="s">
        <v>162</v>
      </c>
    </row>
    <row r="1459" spans="9:22" x14ac:dyDescent="0.45">
      <c r="I1459" t="s">
        <v>204</v>
      </c>
      <c r="J1459" t="s">
        <v>530</v>
      </c>
      <c r="K1459">
        <v>6.9967808826699285E-2</v>
      </c>
      <c r="L1459" t="s">
        <v>162</v>
      </c>
      <c r="N1459" t="s">
        <v>316</v>
      </c>
      <c r="O1459" t="s">
        <v>530</v>
      </c>
      <c r="P1459">
        <v>1.4106656666284157E-2</v>
      </c>
      <c r="Q1459" t="s">
        <v>162</v>
      </c>
      <c r="S1459" t="s">
        <v>428</v>
      </c>
      <c r="T1459" t="s">
        <v>530</v>
      </c>
      <c r="U1459">
        <v>1.5718666705723004E-2</v>
      </c>
      <c r="V1459" t="s">
        <v>162</v>
      </c>
    </row>
    <row r="1460" spans="9:22" x14ac:dyDescent="0.45">
      <c r="I1460" t="s">
        <v>204</v>
      </c>
      <c r="J1460" t="s">
        <v>531</v>
      </c>
      <c r="K1460">
        <v>0.17304591974342198</v>
      </c>
      <c r="L1460" t="s">
        <v>162</v>
      </c>
      <c r="N1460" t="s">
        <v>316</v>
      </c>
      <c r="O1460" t="s">
        <v>531</v>
      </c>
      <c r="P1460">
        <v>3.8457729332764014E-2</v>
      </c>
      <c r="Q1460" t="s">
        <v>162</v>
      </c>
      <c r="S1460" t="s">
        <v>428</v>
      </c>
      <c r="T1460" t="s">
        <v>531</v>
      </c>
      <c r="U1460">
        <v>4.0009528000127845E-2</v>
      </c>
      <c r="V1460" t="s">
        <v>162</v>
      </c>
    </row>
    <row r="1461" spans="9:22" x14ac:dyDescent="0.45">
      <c r="I1461" t="s">
        <v>204</v>
      </c>
      <c r="J1461" t="s">
        <v>532</v>
      </c>
      <c r="K1461">
        <v>2.6560483859305907E-2</v>
      </c>
      <c r="L1461" t="s">
        <v>162</v>
      </c>
      <c r="N1461" t="s">
        <v>316</v>
      </c>
      <c r="O1461" t="s">
        <v>532</v>
      </c>
      <c r="P1461">
        <v>8.0434355250496373E-3</v>
      </c>
      <c r="Q1461" t="s">
        <v>162</v>
      </c>
      <c r="S1461" t="s">
        <v>428</v>
      </c>
      <c r="T1461" t="s">
        <v>532</v>
      </c>
      <c r="U1461">
        <v>7.7562059464995935E-3</v>
      </c>
      <c r="V1461" t="s">
        <v>162</v>
      </c>
    </row>
    <row r="1462" spans="9:22" x14ac:dyDescent="0.45">
      <c r="I1462" t="s">
        <v>204</v>
      </c>
      <c r="J1462" t="s">
        <v>533</v>
      </c>
      <c r="K1462">
        <v>3.9581657895078129E-2</v>
      </c>
      <c r="L1462" t="s">
        <v>162</v>
      </c>
      <c r="N1462" t="s">
        <v>316</v>
      </c>
      <c r="O1462" t="s">
        <v>533</v>
      </c>
      <c r="P1462">
        <v>4.56259176408342E-2</v>
      </c>
      <c r="Q1462" t="s">
        <v>162</v>
      </c>
      <c r="S1462" t="s">
        <v>428</v>
      </c>
      <c r="T1462" t="s">
        <v>533</v>
      </c>
      <c r="U1462">
        <v>4.6257125825790037E-2</v>
      </c>
      <c r="V1462" t="s">
        <v>162</v>
      </c>
    </row>
    <row r="1463" spans="9:22" x14ac:dyDescent="0.45">
      <c r="I1463" t="s">
        <v>204</v>
      </c>
      <c r="J1463" t="s">
        <v>534</v>
      </c>
      <c r="K1463">
        <v>3.3960520568663569E-2</v>
      </c>
      <c r="L1463" t="s">
        <v>162</v>
      </c>
      <c r="N1463" t="s">
        <v>316</v>
      </c>
      <c r="O1463" t="s">
        <v>534</v>
      </c>
      <c r="P1463">
        <v>7.4305642875108421E-2</v>
      </c>
      <c r="Q1463" t="s">
        <v>162</v>
      </c>
      <c r="S1463" t="s">
        <v>428</v>
      </c>
      <c r="T1463" t="s">
        <v>534</v>
      </c>
      <c r="U1463">
        <v>9.8370742644067838E-2</v>
      </c>
      <c r="V1463" t="s">
        <v>162</v>
      </c>
    </row>
    <row r="1464" spans="9:22" x14ac:dyDescent="0.45">
      <c r="I1464" t="s">
        <v>204</v>
      </c>
      <c r="J1464" t="s">
        <v>535</v>
      </c>
      <c r="K1464">
        <v>2.3051001557151549E-2</v>
      </c>
      <c r="L1464" t="s">
        <v>162</v>
      </c>
      <c r="N1464" t="s">
        <v>316</v>
      </c>
      <c r="O1464" t="s">
        <v>535</v>
      </c>
      <c r="P1464">
        <v>8.5847656372753933E-3</v>
      </c>
      <c r="Q1464" t="s">
        <v>162</v>
      </c>
      <c r="S1464" t="s">
        <v>428</v>
      </c>
      <c r="T1464" t="s">
        <v>535</v>
      </c>
      <c r="U1464">
        <v>1.0700946438542807E-2</v>
      </c>
      <c r="V1464" t="s">
        <v>162</v>
      </c>
    </row>
    <row r="1465" spans="9:22" x14ac:dyDescent="0.45">
      <c r="I1465" t="s">
        <v>204</v>
      </c>
      <c r="J1465" t="s">
        <v>536</v>
      </c>
      <c r="K1465">
        <v>5.3127552371731085E-2</v>
      </c>
      <c r="L1465" t="s">
        <v>162</v>
      </c>
      <c r="N1465" t="s">
        <v>316</v>
      </c>
      <c r="O1465" t="s">
        <v>536</v>
      </c>
      <c r="P1465">
        <v>1.768735970141248E-2</v>
      </c>
      <c r="Q1465" t="s">
        <v>162</v>
      </c>
      <c r="S1465" t="s">
        <v>428</v>
      </c>
      <c r="T1465" t="s">
        <v>536</v>
      </c>
      <c r="U1465">
        <v>2.1450697582872446E-2</v>
      </c>
      <c r="V1465" t="s">
        <v>162</v>
      </c>
    </row>
    <row r="1466" spans="9:22" x14ac:dyDescent="0.45">
      <c r="I1466" t="s">
        <v>204</v>
      </c>
      <c r="J1466" t="s">
        <v>537</v>
      </c>
      <c r="K1466">
        <v>0.12523898621635599</v>
      </c>
      <c r="L1466" t="s">
        <v>162</v>
      </c>
      <c r="N1466" t="s">
        <v>316</v>
      </c>
      <c r="O1466" t="s">
        <v>537</v>
      </c>
      <c r="P1466">
        <v>4.463907819573263E-2</v>
      </c>
      <c r="Q1466" t="s">
        <v>162</v>
      </c>
      <c r="S1466" t="s">
        <v>428</v>
      </c>
      <c r="T1466" t="s">
        <v>537</v>
      </c>
      <c r="U1466">
        <v>5.1305431157190377E-2</v>
      </c>
      <c r="V1466" t="s">
        <v>162</v>
      </c>
    </row>
    <row r="1467" spans="9:22" x14ac:dyDescent="0.45">
      <c r="I1467" t="s">
        <v>204</v>
      </c>
      <c r="J1467" t="s">
        <v>538</v>
      </c>
      <c r="K1467">
        <v>1.5012248235679758E-2</v>
      </c>
      <c r="L1467" t="s">
        <v>162</v>
      </c>
      <c r="N1467" t="s">
        <v>316</v>
      </c>
      <c r="O1467" t="s">
        <v>538</v>
      </c>
      <c r="P1467">
        <v>8.867194982156653E-3</v>
      </c>
      <c r="Q1467" t="s">
        <v>162</v>
      </c>
      <c r="S1467" t="s">
        <v>428</v>
      </c>
      <c r="T1467" t="s">
        <v>538</v>
      </c>
      <c r="U1467">
        <v>1.0041645465646927E-2</v>
      </c>
      <c r="V1467" t="s">
        <v>162</v>
      </c>
    </row>
    <row r="1468" spans="9:22" x14ac:dyDescent="0.45">
      <c r="I1468" t="s">
        <v>204</v>
      </c>
      <c r="J1468" t="s">
        <v>539</v>
      </c>
      <c r="K1468">
        <v>1.2557869552540318E-2</v>
      </c>
      <c r="L1468" t="s">
        <v>162</v>
      </c>
      <c r="N1468" t="s">
        <v>316</v>
      </c>
      <c r="O1468" t="s">
        <v>539</v>
      </c>
      <c r="P1468">
        <v>5.1307296113628019E-2</v>
      </c>
      <c r="Q1468" t="s">
        <v>162</v>
      </c>
      <c r="S1468" t="s">
        <v>428</v>
      </c>
      <c r="T1468" t="s">
        <v>539</v>
      </c>
      <c r="U1468">
        <v>6.6676504213317556E-2</v>
      </c>
      <c r="V1468" t="s">
        <v>162</v>
      </c>
    </row>
    <row r="1469" spans="9:22" x14ac:dyDescent="0.45">
      <c r="I1469" t="s">
        <v>204</v>
      </c>
      <c r="J1469" t="s">
        <v>540</v>
      </c>
      <c r="K1469">
        <v>1.8827515406140216E-3</v>
      </c>
      <c r="L1469" t="s">
        <v>162</v>
      </c>
      <c r="N1469" t="s">
        <v>316</v>
      </c>
      <c r="O1469" t="s">
        <v>540</v>
      </c>
      <c r="P1469">
        <v>3.8968761707813597E-2</v>
      </c>
      <c r="Q1469" t="s">
        <v>162</v>
      </c>
      <c r="S1469" t="s">
        <v>428</v>
      </c>
      <c r="T1469" t="s">
        <v>540</v>
      </c>
      <c r="U1469">
        <v>4.1574940528280153E-2</v>
      </c>
      <c r="V1469" t="s">
        <v>162</v>
      </c>
    </row>
    <row r="1470" spans="9:22" x14ac:dyDescent="0.45">
      <c r="I1470" t="s">
        <v>204</v>
      </c>
      <c r="J1470" t="s">
        <v>541</v>
      </c>
      <c r="K1470">
        <v>3.2870901070264761E-3</v>
      </c>
      <c r="L1470" t="s">
        <v>162</v>
      </c>
      <c r="N1470" t="s">
        <v>316</v>
      </c>
      <c r="O1470" t="s">
        <v>541</v>
      </c>
      <c r="P1470">
        <v>4.4012964840048881E-3</v>
      </c>
      <c r="Q1470" t="s">
        <v>162</v>
      </c>
      <c r="S1470" t="s">
        <v>428</v>
      </c>
      <c r="T1470" t="s">
        <v>541</v>
      </c>
      <c r="U1470">
        <v>4.7110639628248968E-3</v>
      </c>
      <c r="V1470" t="s">
        <v>162</v>
      </c>
    </row>
    <row r="1471" spans="9:22" x14ac:dyDescent="0.45">
      <c r="I1471" t="s">
        <v>204</v>
      </c>
      <c r="J1471" t="s">
        <v>542</v>
      </c>
      <c r="K1471">
        <v>8.7554685472537846E-3</v>
      </c>
      <c r="L1471" t="s">
        <v>162</v>
      </c>
      <c r="N1471" t="s">
        <v>316</v>
      </c>
      <c r="O1471" t="s">
        <v>542</v>
      </c>
      <c r="P1471">
        <v>9.0137078874499236E-3</v>
      </c>
      <c r="Q1471" t="s">
        <v>162</v>
      </c>
      <c r="S1471" t="s">
        <v>428</v>
      </c>
      <c r="T1471" t="s">
        <v>542</v>
      </c>
      <c r="U1471">
        <v>9.455882977532977E-3</v>
      </c>
      <c r="V1471" t="s">
        <v>162</v>
      </c>
    </row>
    <row r="1472" spans="9:22" x14ac:dyDescent="0.45">
      <c r="I1472" t="s">
        <v>204</v>
      </c>
      <c r="J1472" t="s">
        <v>543</v>
      </c>
      <c r="K1472">
        <v>1.6576216833982898E-2</v>
      </c>
      <c r="L1472" t="s">
        <v>162</v>
      </c>
      <c r="N1472" t="s">
        <v>316</v>
      </c>
      <c r="O1472" t="s">
        <v>543</v>
      </c>
      <c r="P1472">
        <v>2.3362502728225397E-2</v>
      </c>
      <c r="Q1472" t="s">
        <v>162</v>
      </c>
      <c r="S1472" t="s">
        <v>428</v>
      </c>
      <c r="T1472" t="s">
        <v>543</v>
      </c>
      <c r="U1472">
        <v>2.3527450072419798E-2</v>
      </c>
      <c r="V1472" t="s">
        <v>162</v>
      </c>
    </row>
    <row r="1473" spans="9:22" x14ac:dyDescent="0.45">
      <c r="I1473" t="s">
        <v>204</v>
      </c>
      <c r="J1473" t="s">
        <v>544</v>
      </c>
      <c r="K1473">
        <v>0</v>
      </c>
      <c r="L1473" t="s">
        <v>162</v>
      </c>
      <c r="N1473" t="s">
        <v>316</v>
      </c>
      <c r="O1473" t="s">
        <v>544</v>
      </c>
      <c r="P1473">
        <v>4.47872579913558E-3</v>
      </c>
      <c r="Q1473" t="s">
        <v>162</v>
      </c>
      <c r="S1473" t="s">
        <v>428</v>
      </c>
      <c r="T1473" t="s">
        <v>544</v>
      </c>
      <c r="U1473">
        <v>4.7407373961463111E-3</v>
      </c>
      <c r="V1473" t="s">
        <v>162</v>
      </c>
    </row>
    <row r="1474" spans="9:22" x14ac:dyDescent="0.45">
      <c r="I1474" t="s">
        <v>204</v>
      </c>
      <c r="J1474" t="s">
        <v>545</v>
      </c>
      <c r="K1474">
        <v>0</v>
      </c>
      <c r="L1474" t="s">
        <v>162</v>
      </c>
      <c r="N1474" t="s">
        <v>316</v>
      </c>
      <c r="O1474" t="s">
        <v>545</v>
      </c>
      <c r="P1474">
        <v>2.7875747831674839E-2</v>
      </c>
      <c r="Q1474" t="s">
        <v>162</v>
      </c>
      <c r="S1474" t="s">
        <v>428</v>
      </c>
      <c r="T1474" t="s">
        <v>545</v>
      </c>
      <c r="U1474">
        <v>2.7184078785322453E-2</v>
      </c>
      <c r="V1474" t="s">
        <v>162</v>
      </c>
    </row>
    <row r="1475" spans="9:22" x14ac:dyDescent="0.45">
      <c r="I1475" t="s">
        <v>204</v>
      </c>
      <c r="J1475" t="s">
        <v>546</v>
      </c>
      <c r="K1475">
        <v>3.095436531134901E-5</v>
      </c>
      <c r="L1475" t="s">
        <v>162</v>
      </c>
      <c r="N1475" t="s">
        <v>316</v>
      </c>
      <c r="O1475" t="s">
        <v>546</v>
      </c>
      <c r="P1475">
        <v>4.4351599833234175E-2</v>
      </c>
      <c r="Q1475" t="s">
        <v>162</v>
      </c>
      <c r="S1475" t="s">
        <v>428</v>
      </c>
      <c r="T1475" t="s">
        <v>546</v>
      </c>
      <c r="U1475">
        <v>3.6325338990794022E-2</v>
      </c>
      <c r="V1475" t="s">
        <v>162</v>
      </c>
    </row>
    <row r="1476" spans="9:22" x14ac:dyDescent="0.45">
      <c r="I1476" t="s">
        <v>204</v>
      </c>
      <c r="J1476" t="s">
        <v>547</v>
      </c>
      <c r="K1476">
        <v>1.9100958441129877E-3</v>
      </c>
      <c r="L1476" t="s">
        <v>162</v>
      </c>
      <c r="N1476" t="s">
        <v>316</v>
      </c>
      <c r="O1476" t="s">
        <v>547</v>
      </c>
      <c r="P1476">
        <v>5.1256012420644063E-3</v>
      </c>
      <c r="Q1476" t="s">
        <v>162</v>
      </c>
      <c r="S1476" t="s">
        <v>428</v>
      </c>
      <c r="T1476" t="s">
        <v>547</v>
      </c>
      <c r="U1476">
        <v>4.4886390386717689E-3</v>
      </c>
      <c r="V1476" t="s">
        <v>162</v>
      </c>
    </row>
    <row r="1477" spans="9:22" x14ac:dyDescent="0.45">
      <c r="I1477" t="s">
        <v>204</v>
      </c>
      <c r="J1477" t="s">
        <v>548</v>
      </c>
      <c r="K1477">
        <v>6.2844923417834332E-3</v>
      </c>
      <c r="L1477" t="s">
        <v>162</v>
      </c>
      <c r="N1477" t="s">
        <v>316</v>
      </c>
      <c r="O1477" t="s">
        <v>548</v>
      </c>
      <c r="P1477">
        <v>1.0659671540777346E-2</v>
      </c>
      <c r="Q1477" t="s">
        <v>162</v>
      </c>
      <c r="S1477" t="s">
        <v>428</v>
      </c>
      <c r="T1477" t="s">
        <v>548</v>
      </c>
      <c r="U1477">
        <v>8.7786807688059864E-3</v>
      </c>
      <c r="V1477" t="s">
        <v>162</v>
      </c>
    </row>
    <row r="1478" spans="9:22" x14ac:dyDescent="0.45">
      <c r="I1478" t="s">
        <v>204</v>
      </c>
      <c r="J1478" t="s">
        <v>549</v>
      </c>
      <c r="K1478">
        <v>1.1349947045649487E-2</v>
      </c>
      <c r="L1478" t="s">
        <v>162</v>
      </c>
      <c r="N1478" t="s">
        <v>316</v>
      </c>
      <c r="O1478" t="s">
        <v>549</v>
      </c>
      <c r="P1478">
        <v>2.6725477510115943E-2</v>
      </c>
      <c r="Q1478" t="s">
        <v>162</v>
      </c>
      <c r="S1478" t="s">
        <v>428</v>
      </c>
      <c r="T1478" t="s">
        <v>549</v>
      </c>
      <c r="U1478">
        <v>2.1103736654570285E-2</v>
      </c>
      <c r="V1478" t="s">
        <v>162</v>
      </c>
    </row>
    <row r="1479" spans="9:22" x14ac:dyDescent="0.45">
      <c r="I1479" t="s">
        <v>204</v>
      </c>
      <c r="J1479" t="s">
        <v>550</v>
      </c>
      <c r="K1479">
        <v>0</v>
      </c>
      <c r="L1479" t="s">
        <v>162</v>
      </c>
      <c r="N1479" t="s">
        <v>316</v>
      </c>
      <c r="O1479" t="s">
        <v>550</v>
      </c>
      <c r="P1479">
        <v>5.3500343389149829E-3</v>
      </c>
      <c r="Q1479" t="s">
        <v>162</v>
      </c>
      <c r="S1479" t="s">
        <v>428</v>
      </c>
      <c r="T1479" t="s">
        <v>550</v>
      </c>
      <c r="U1479">
        <v>4.2324356069363316E-3</v>
      </c>
      <c r="V1479" t="s">
        <v>162</v>
      </c>
    </row>
    <row r="1480" spans="9:22" x14ac:dyDescent="0.45">
      <c r="I1480" t="s">
        <v>204</v>
      </c>
      <c r="J1480" t="s">
        <v>551</v>
      </c>
      <c r="K1480">
        <v>0</v>
      </c>
      <c r="L1480" t="s">
        <v>162</v>
      </c>
      <c r="N1480" t="s">
        <v>316</v>
      </c>
      <c r="O1480" t="s">
        <v>551</v>
      </c>
      <c r="P1480">
        <v>3.209572233197433E-2</v>
      </c>
      <c r="Q1480" t="s">
        <v>162</v>
      </c>
      <c r="S1480" t="s">
        <v>428</v>
      </c>
      <c r="T1480" t="s">
        <v>551</v>
      </c>
      <c r="U1480">
        <v>2.4152290388134275E-2</v>
      </c>
      <c r="V1480" t="s">
        <v>162</v>
      </c>
    </row>
    <row r="1481" spans="9:22" x14ac:dyDescent="0.45">
      <c r="I1481" t="s">
        <v>205</v>
      </c>
      <c r="J1481" t="s">
        <v>161</v>
      </c>
      <c r="K1481">
        <v>0</v>
      </c>
      <c r="L1481" t="s">
        <v>162</v>
      </c>
      <c r="N1481" t="s">
        <v>317</v>
      </c>
      <c r="O1481" t="s">
        <v>161</v>
      </c>
      <c r="P1481">
        <v>2.9959763512682588E-2</v>
      </c>
      <c r="Q1481" t="s">
        <v>162</v>
      </c>
      <c r="S1481" t="s">
        <v>429</v>
      </c>
      <c r="T1481" t="s">
        <v>161</v>
      </c>
      <c r="U1481">
        <v>4.0808064250580749E-2</v>
      </c>
      <c r="V1481" t="s">
        <v>162</v>
      </c>
    </row>
    <row r="1482" spans="9:22" x14ac:dyDescent="0.45">
      <c r="I1482" t="s">
        <v>205</v>
      </c>
      <c r="J1482" t="s">
        <v>163</v>
      </c>
      <c r="K1482">
        <v>2.9705986468888713E-4</v>
      </c>
      <c r="L1482" t="s">
        <v>162</v>
      </c>
      <c r="N1482" t="s">
        <v>317</v>
      </c>
      <c r="O1482" t="s">
        <v>163</v>
      </c>
      <c r="P1482">
        <v>3.2779293318894163E-3</v>
      </c>
      <c r="Q1482" t="s">
        <v>162</v>
      </c>
      <c r="S1482" t="s">
        <v>429</v>
      </c>
      <c r="T1482" t="s">
        <v>163</v>
      </c>
      <c r="U1482">
        <v>4.3709940956957053E-3</v>
      </c>
      <c r="V1482" t="s">
        <v>162</v>
      </c>
    </row>
    <row r="1483" spans="9:22" x14ac:dyDescent="0.45">
      <c r="I1483" t="s">
        <v>205</v>
      </c>
      <c r="J1483" t="s">
        <v>164</v>
      </c>
      <c r="K1483">
        <v>4.1238490883048016E-3</v>
      </c>
      <c r="L1483" t="s">
        <v>162</v>
      </c>
      <c r="N1483" t="s">
        <v>317</v>
      </c>
      <c r="O1483" t="s">
        <v>164</v>
      </c>
      <c r="P1483">
        <v>6.7364176030881157E-3</v>
      </c>
      <c r="Q1483" t="s">
        <v>162</v>
      </c>
      <c r="S1483" t="s">
        <v>429</v>
      </c>
      <c r="T1483" t="s">
        <v>164</v>
      </c>
      <c r="U1483">
        <v>8.7348269521115175E-3</v>
      </c>
      <c r="V1483" t="s">
        <v>162</v>
      </c>
    </row>
    <row r="1484" spans="9:22" x14ac:dyDescent="0.45">
      <c r="I1484" t="s">
        <v>205</v>
      </c>
      <c r="J1484" t="s">
        <v>519</v>
      </c>
      <c r="K1484">
        <v>9.8500436287815418E-3</v>
      </c>
      <c r="L1484" t="s">
        <v>162</v>
      </c>
      <c r="N1484" t="s">
        <v>317</v>
      </c>
      <c r="O1484" t="s">
        <v>519</v>
      </c>
      <c r="P1484">
        <v>1.8500168935770656E-2</v>
      </c>
      <c r="Q1484" t="s">
        <v>162</v>
      </c>
      <c r="S1484" t="s">
        <v>429</v>
      </c>
      <c r="T1484" t="s">
        <v>519</v>
      </c>
      <c r="U1484">
        <v>2.2036906132005402E-2</v>
      </c>
      <c r="V1484" t="s">
        <v>162</v>
      </c>
    </row>
    <row r="1485" spans="9:22" x14ac:dyDescent="0.45">
      <c r="I1485" t="s">
        <v>205</v>
      </c>
      <c r="J1485" t="s">
        <v>520</v>
      </c>
      <c r="K1485">
        <v>0</v>
      </c>
      <c r="L1485" t="s">
        <v>162</v>
      </c>
      <c r="N1485" t="s">
        <v>317</v>
      </c>
      <c r="O1485" t="s">
        <v>520</v>
      </c>
      <c r="P1485">
        <v>4.1774100426530212E-3</v>
      </c>
      <c r="Q1485" t="s">
        <v>162</v>
      </c>
      <c r="S1485" t="s">
        <v>429</v>
      </c>
      <c r="T1485" t="s">
        <v>520</v>
      </c>
      <c r="U1485">
        <v>4.3427691882556539E-3</v>
      </c>
      <c r="V1485" t="s">
        <v>162</v>
      </c>
    </row>
    <row r="1486" spans="9:22" x14ac:dyDescent="0.45">
      <c r="I1486" t="s">
        <v>205</v>
      </c>
      <c r="J1486" t="s">
        <v>521</v>
      </c>
      <c r="K1486">
        <v>0</v>
      </c>
      <c r="L1486" t="s">
        <v>162</v>
      </c>
      <c r="N1486" t="s">
        <v>317</v>
      </c>
      <c r="O1486" t="s">
        <v>521</v>
      </c>
      <c r="P1486">
        <v>2.5033923039903792E-2</v>
      </c>
      <c r="Q1486" t="s">
        <v>162</v>
      </c>
      <c r="S1486" t="s">
        <v>429</v>
      </c>
      <c r="T1486" t="s">
        <v>521</v>
      </c>
      <c r="U1486">
        <v>2.5900117801374304E-2</v>
      </c>
      <c r="V1486" t="s">
        <v>162</v>
      </c>
    </row>
    <row r="1487" spans="9:22" x14ac:dyDescent="0.45">
      <c r="I1487" t="s">
        <v>205</v>
      </c>
      <c r="J1487" t="s">
        <v>165</v>
      </c>
      <c r="K1487">
        <v>1.2752628468054359E-2</v>
      </c>
      <c r="L1487" t="s">
        <v>162</v>
      </c>
      <c r="N1487" t="s">
        <v>317</v>
      </c>
      <c r="O1487" t="s">
        <v>165</v>
      </c>
      <c r="P1487">
        <v>9.5825405483712336E-2</v>
      </c>
      <c r="Q1487" t="s">
        <v>162</v>
      </c>
      <c r="S1487" t="s">
        <v>429</v>
      </c>
      <c r="T1487" t="s">
        <v>165</v>
      </c>
      <c r="U1487">
        <v>5.8668218643993221E-2</v>
      </c>
      <c r="V1487" t="s">
        <v>162</v>
      </c>
    </row>
    <row r="1488" spans="9:22" x14ac:dyDescent="0.45">
      <c r="I1488" t="s">
        <v>205</v>
      </c>
      <c r="J1488" t="s">
        <v>166</v>
      </c>
      <c r="K1488">
        <v>1.3760512050688184E-2</v>
      </c>
      <c r="L1488" t="s">
        <v>162</v>
      </c>
      <c r="N1488" t="s">
        <v>317</v>
      </c>
      <c r="O1488" t="s">
        <v>166</v>
      </c>
      <c r="P1488">
        <v>1.0462099701590901E-2</v>
      </c>
      <c r="Q1488" t="s">
        <v>162</v>
      </c>
      <c r="S1488" t="s">
        <v>429</v>
      </c>
      <c r="T1488" t="s">
        <v>166</v>
      </c>
      <c r="U1488">
        <v>6.2272978941831456E-3</v>
      </c>
      <c r="V1488" t="s">
        <v>162</v>
      </c>
    </row>
    <row r="1489" spans="9:22" x14ac:dyDescent="0.45">
      <c r="I1489" t="s">
        <v>205</v>
      </c>
      <c r="J1489" t="s">
        <v>167</v>
      </c>
      <c r="K1489">
        <v>3.5288000014218598E-2</v>
      </c>
      <c r="L1489" t="s">
        <v>162</v>
      </c>
      <c r="N1489" t="s">
        <v>317</v>
      </c>
      <c r="O1489" t="s">
        <v>167</v>
      </c>
      <c r="P1489">
        <v>2.1330116634415325E-2</v>
      </c>
      <c r="Q1489" t="s">
        <v>162</v>
      </c>
      <c r="S1489" t="s">
        <v>429</v>
      </c>
      <c r="T1489" t="s">
        <v>167</v>
      </c>
      <c r="U1489">
        <v>1.2146161234008567E-2</v>
      </c>
      <c r="V1489" t="s">
        <v>162</v>
      </c>
    </row>
    <row r="1490" spans="9:22" x14ac:dyDescent="0.45">
      <c r="I1490" t="s">
        <v>205</v>
      </c>
      <c r="J1490" t="s">
        <v>522</v>
      </c>
      <c r="K1490">
        <v>8.2399169627419139E-2</v>
      </c>
      <c r="L1490" t="s">
        <v>162</v>
      </c>
      <c r="N1490" t="s">
        <v>317</v>
      </c>
      <c r="O1490" t="s">
        <v>522</v>
      </c>
      <c r="P1490">
        <v>5.6396935983208642E-2</v>
      </c>
      <c r="Q1490" t="s">
        <v>162</v>
      </c>
      <c r="S1490" t="s">
        <v>429</v>
      </c>
      <c r="T1490" t="s">
        <v>522</v>
      </c>
      <c r="U1490">
        <v>3.1433670299041289E-2</v>
      </c>
      <c r="V1490" t="s">
        <v>162</v>
      </c>
    </row>
    <row r="1491" spans="9:22" x14ac:dyDescent="0.45">
      <c r="I1491" t="s">
        <v>205</v>
      </c>
      <c r="J1491" t="s">
        <v>523</v>
      </c>
      <c r="K1491">
        <v>9.0896131091539895E-3</v>
      </c>
      <c r="L1491" t="s">
        <v>162</v>
      </c>
      <c r="N1491" t="s">
        <v>317</v>
      </c>
      <c r="O1491" t="s">
        <v>523</v>
      </c>
      <c r="P1491">
        <v>1.1663200296895037E-2</v>
      </c>
      <c r="Q1491" t="s">
        <v>162</v>
      </c>
      <c r="S1491" t="s">
        <v>429</v>
      </c>
      <c r="T1491" t="s">
        <v>523</v>
      </c>
      <c r="U1491">
        <v>6.7891146984596839E-3</v>
      </c>
      <c r="V1491" t="s">
        <v>162</v>
      </c>
    </row>
    <row r="1492" spans="9:22" x14ac:dyDescent="0.45">
      <c r="I1492" t="s">
        <v>205</v>
      </c>
      <c r="J1492" t="s">
        <v>524</v>
      </c>
      <c r="K1492">
        <v>3.2097255180470866E-3</v>
      </c>
      <c r="L1492" t="s">
        <v>162</v>
      </c>
      <c r="N1492" t="s">
        <v>317</v>
      </c>
      <c r="O1492" t="s">
        <v>524</v>
      </c>
      <c r="P1492">
        <v>6.6476830471020459E-2</v>
      </c>
      <c r="Q1492" t="s">
        <v>162</v>
      </c>
      <c r="S1492" t="s">
        <v>429</v>
      </c>
      <c r="T1492" t="s">
        <v>524</v>
      </c>
      <c r="U1492">
        <v>3.9479110496073999E-2</v>
      </c>
      <c r="V1492" t="s">
        <v>162</v>
      </c>
    </row>
    <row r="1493" spans="9:22" x14ac:dyDescent="0.45">
      <c r="I1493" t="s">
        <v>205</v>
      </c>
      <c r="J1493" t="s">
        <v>168</v>
      </c>
      <c r="K1493">
        <v>2.2797175667024626E-2</v>
      </c>
      <c r="L1493" t="s">
        <v>162</v>
      </c>
      <c r="N1493" t="s">
        <v>317</v>
      </c>
      <c r="O1493" t="s">
        <v>168</v>
      </c>
      <c r="P1493">
        <v>4.6122168924859319E-2</v>
      </c>
      <c r="Q1493" t="s">
        <v>162</v>
      </c>
      <c r="S1493" t="s">
        <v>429</v>
      </c>
      <c r="T1493" t="s">
        <v>168</v>
      </c>
      <c r="U1493">
        <v>2.2544177107546373E-2</v>
      </c>
      <c r="V1493" t="s">
        <v>162</v>
      </c>
    </row>
    <row r="1494" spans="9:22" x14ac:dyDescent="0.45">
      <c r="I1494" t="s">
        <v>205</v>
      </c>
      <c r="J1494" t="s">
        <v>169</v>
      </c>
      <c r="K1494">
        <v>1.1354052702092807E-2</v>
      </c>
      <c r="L1494" t="s">
        <v>162</v>
      </c>
      <c r="N1494" t="s">
        <v>317</v>
      </c>
      <c r="O1494" t="s">
        <v>169</v>
      </c>
      <c r="P1494">
        <v>4.4240531755384482E-3</v>
      </c>
      <c r="Q1494" t="s">
        <v>162</v>
      </c>
      <c r="S1494" t="s">
        <v>429</v>
      </c>
      <c r="T1494" t="s">
        <v>169</v>
      </c>
      <c r="U1494">
        <v>2.1870593224849722E-3</v>
      </c>
      <c r="V1494" t="s">
        <v>162</v>
      </c>
    </row>
    <row r="1495" spans="9:22" x14ac:dyDescent="0.45">
      <c r="I1495" t="s">
        <v>205</v>
      </c>
      <c r="J1495" t="s">
        <v>170</v>
      </c>
      <c r="K1495">
        <v>2.3942468589083967E-2</v>
      </c>
      <c r="L1495" t="s">
        <v>162</v>
      </c>
      <c r="N1495" t="s">
        <v>317</v>
      </c>
      <c r="O1495" t="s">
        <v>170</v>
      </c>
      <c r="P1495">
        <v>8.9024988707671719E-3</v>
      </c>
      <c r="Q1495" t="s">
        <v>162</v>
      </c>
      <c r="S1495" t="s">
        <v>429</v>
      </c>
      <c r="T1495" t="s">
        <v>170</v>
      </c>
      <c r="U1495">
        <v>4.5519815759108434E-3</v>
      </c>
      <c r="V1495" t="s">
        <v>162</v>
      </c>
    </row>
    <row r="1496" spans="9:22" x14ac:dyDescent="0.45">
      <c r="I1496" t="s">
        <v>205</v>
      </c>
      <c r="J1496" t="s">
        <v>525</v>
      </c>
      <c r="K1496">
        <v>5.2644546375462266E-2</v>
      </c>
      <c r="L1496" t="s">
        <v>162</v>
      </c>
      <c r="N1496" t="s">
        <v>317</v>
      </c>
      <c r="O1496" t="s">
        <v>525</v>
      </c>
      <c r="P1496">
        <v>2.3589695229200135E-2</v>
      </c>
      <c r="Q1496" t="s">
        <v>162</v>
      </c>
      <c r="S1496" t="s">
        <v>429</v>
      </c>
      <c r="T1496" t="s">
        <v>525</v>
      </c>
      <c r="U1496">
        <v>1.1753768228303152E-2</v>
      </c>
      <c r="V1496" t="s">
        <v>162</v>
      </c>
    </row>
    <row r="1497" spans="9:22" x14ac:dyDescent="0.45">
      <c r="I1497" t="s">
        <v>205</v>
      </c>
      <c r="J1497" t="s">
        <v>526</v>
      </c>
      <c r="K1497">
        <v>7.5021637979379389E-3</v>
      </c>
      <c r="L1497" t="s">
        <v>162</v>
      </c>
      <c r="N1497" t="s">
        <v>317</v>
      </c>
      <c r="O1497" t="s">
        <v>526</v>
      </c>
      <c r="P1497">
        <v>4.9897383712588835E-3</v>
      </c>
      <c r="Q1497" t="s">
        <v>162</v>
      </c>
      <c r="S1497" t="s">
        <v>429</v>
      </c>
      <c r="T1497" t="s">
        <v>526</v>
      </c>
      <c r="U1497">
        <v>2.4005160463599386E-3</v>
      </c>
      <c r="V1497" t="s">
        <v>162</v>
      </c>
    </row>
    <row r="1498" spans="9:22" x14ac:dyDescent="0.45">
      <c r="I1498" t="s">
        <v>205</v>
      </c>
      <c r="J1498" t="s">
        <v>527</v>
      </c>
      <c r="K1498">
        <v>8.5818054696811825E-3</v>
      </c>
      <c r="L1498" t="s">
        <v>162</v>
      </c>
      <c r="N1498" t="s">
        <v>317</v>
      </c>
      <c r="O1498" t="s">
        <v>527</v>
      </c>
      <c r="P1498">
        <v>3.3940232547387698E-2</v>
      </c>
      <c r="Q1498" t="s">
        <v>162</v>
      </c>
      <c r="S1498" t="s">
        <v>429</v>
      </c>
      <c r="T1498" t="s">
        <v>527</v>
      </c>
      <c r="U1498">
        <v>1.6595049429101821E-2</v>
      </c>
      <c r="V1498" t="s">
        <v>162</v>
      </c>
    </row>
    <row r="1499" spans="9:22" x14ac:dyDescent="0.45">
      <c r="I1499" t="s">
        <v>205</v>
      </c>
      <c r="J1499" t="s">
        <v>528</v>
      </c>
      <c r="K1499">
        <v>0.10036074912762075</v>
      </c>
      <c r="L1499" t="s">
        <v>162</v>
      </c>
      <c r="N1499" t="s">
        <v>317</v>
      </c>
      <c r="O1499" t="s">
        <v>528</v>
      </c>
      <c r="P1499">
        <v>4.9702190323719982E-2</v>
      </c>
      <c r="Q1499" t="s">
        <v>162</v>
      </c>
      <c r="S1499" t="s">
        <v>429</v>
      </c>
      <c r="T1499" t="s">
        <v>528</v>
      </c>
      <c r="U1499">
        <v>6.9469211710349643E-2</v>
      </c>
      <c r="V1499" t="s">
        <v>162</v>
      </c>
    </row>
    <row r="1500" spans="9:22" x14ac:dyDescent="0.45">
      <c r="I1500" t="s">
        <v>205</v>
      </c>
      <c r="J1500" t="s">
        <v>529</v>
      </c>
      <c r="K1500">
        <v>3.4915345577665464E-2</v>
      </c>
      <c r="L1500" t="s">
        <v>162</v>
      </c>
      <c r="N1500" t="s">
        <v>317</v>
      </c>
      <c r="O1500" t="s">
        <v>529</v>
      </c>
      <c r="P1500">
        <v>4.730012457232766E-3</v>
      </c>
      <c r="Q1500" t="s">
        <v>162</v>
      </c>
      <c r="S1500" t="s">
        <v>429</v>
      </c>
      <c r="T1500" t="s">
        <v>529</v>
      </c>
      <c r="U1500">
        <v>7.4626896196917742E-3</v>
      </c>
      <c r="V1500" t="s">
        <v>162</v>
      </c>
    </row>
    <row r="1501" spans="9:22" x14ac:dyDescent="0.45">
      <c r="I1501" t="s">
        <v>205</v>
      </c>
      <c r="J1501" t="s">
        <v>530</v>
      </c>
      <c r="K1501">
        <v>6.9711541110343028E-2</v>
      </c>
      <c r="L1501" t="s">
        <v>162</v>
      </c>
      <c r="N1501" t="s">
        <v>317</v>
      </c>
      <c r="O1501" t="s">
        <v>530</v>
      </c>
      <c r="P1501">
        <v>1.0708894478529109E-2</v>
      </c>
      <c r="Q1501" t="s">
        <v>162</v>
      </c>
      <c r="S1501" t="s">
        <v>429</v>
      </c>
      <c r="T1501" t="s">
        <v>530</v>
      </c>
      <c r="U1501">
        <v>1.4657635554761267E-2</v>
      </c>
      <c r="V1501" t="s">
        <v>162</v>
      </c>
    </row>
    <row r="1502" spans="9:22" x14ac:dyDescent="0.45">
      <c r="I1502" t="s">
        <v>205</v>
      </c>
      <c r="J1502" t="s">
        <v>531</v>
      </c>
      <c r="K1502">
        <v>0.15901610971339158</v>
      </c>
      <c r="L1502" t="s">
        <v>162</v>
      </c>
      <c r="N1502" t="s">
        <v>317</v>
      </c>
      <c r="O1502" t="s">
        <v>531</v>
      </c>
      <c r="P1502">
        <v>3.5552095235695989E-2</v>
      </c>
      <c r="Q1502" t="s">
        <v>162</v>
      </c>
      <c r="S1502" t="s">
        <v>429</v>
      </c>
      <c r="T1502" t="s">
        <v>531</v>
      </c>
      <c r="U1502">
        <v>3.6131614883326758E-2</v>
      </c>
      <c r="V1502" t="s">
        <v>162</v>
      </c>
    </row>
    <row r="1503" spans="9:22" x14ac:dyDescent="0.45">
      <c r="I1503" t="s">
        <v>205</v>
      </c>
      <c r="J1503" t="s">
        <v>532</v>
      </c>
      <c r="K1503">
        <v>2.545577981906683E-2</v>
      </c>
      <c r="L1503" t="s">
        <v>162</v>
      </c>
      <c r="N1503" t="s">
        <v>317</v>
      </c>
      <c r="O1503" t="s">
        <v>532</v>
      </c>
      <c r="P1503">
        <v>8.348044266612873E-3</v>
      </c>
      <c r="Q1503" t="s">
        <v>162</v>
      </c>
      <c r="S1503" t="s">
        <v>429</v>
      </c>
      <c r="T1503" t="s">
        <v>532</v>
      </c>
      <c r="U1503">
        <v>7.4459769080225452E-3</v>
      </c>
      <c r="V1503" t="s">
        <v>162</v>
      </c>
    </row>
    <row r="1504" spans="9:22" x14ac:dyDescent="0.45">
      <c r="I1504" t="s">
        <v>205</v>
      </c>
      <c r="J1504" t="s">
        <v>533</v>
      </c>
      <c r="K1504">
        <v>4.9359371781218062E-2</v>
      </c>
      <c r="L1504" t="s">
        <v>162</v>
      </c>
      <c r="N1504" t="s">
        <v>317</v>
      </c>
      <c r="O1504" t="s">
        <v>533</v>
      </c>
      <c r="P1504">
        <v>4.7375053972836062E-2</v>
      </c>
      <c r="Q1504" t="s">
        <v>162</v>
      </c>
      <c r="S1504" t="s">
        <v>429</v>
      </c>
      <c r="T1504" t="s">
        <v>533</v>
      </c>
      <c r="U1504">
        <v>4.454935024974007E-2</v>
      </c>
      <c r="V1504" t="s">
        <v>162</v>
      </c>
    </row>
    <row r="1505" spans="9:22" x14ac:dyDescent="0.45">
      <c r="I1505" t="s">
        <v>205</v>
      </c>
      <c r="J1505" t="s">
        <v>534</v>
      </c>
      <c r="K1505">
        <v>3.6543910779058379E-2</v>
      </c>
      <c r="L1505" t="s">
        <v>162</v>
      </c>
      <c r="N1505" t="s">
        <v>317</v>
      </c>
      <c r="O1505" t="s">
        <v>534</v>
      </c>
      <c r="P1505">
        <v>6.0732957225213172E-2</v>
      </c>
      <c r="Q1505" t="s">
        <v>162</v>
      </c>
      <c r="S1505" t="s">
        <v>429</v>
      </c>
      <c r="T1505" t="s">
        <v>534</v>
      </c>
      <c r="U1505">
        <v>0.10609303437338091</v>
      </c>
      <c r="V1505" t="s">
        <v>162</v>
      </c>
    </row>
    <row r="1506" spans="9:22" x14ac:dyDescent="0.45">
      <c r="I1506" t="s">
        <v>205</v>
      </c>
      <c r="J1506" t="s">
        <v>535</v>
      </c>
      <c r="K1506">
        <v>2.1196201238730276E-2</v>
      </c>
      <c r="L1506" t="s">
        <v>162</v>
      </c>
      <c r="N1506" t="s">
        <v>317</v>
      </c>
      <c r="O1506" t="s">
        <v>535</v>
      </c>
      <c r="P1506">
        <v>5.8280203841595147E-3</v>
      </c>
      <c r="Q1506" t="s">
        <v>162</v>
      </c>
      <c r="S1506" t="s">
        <v>429</v>
      </c>
      <c r="T1506" t="s">
        <v>535</v>
      </c>
      <c r="U1506">
        <v>1.1243664988465655E-2</v>
      </c>
      <c r="V1506" t="s">
        <v>162</v>
      </c>
    </row>
    <row r="1507" spans="9:22" x14ac:dyDescent="0.45">
      <c r="I1507" t="s">
        <v>205</v>
      </c>
      <c r="J1507" t="s">
        <v>536</v>
      </c>
      <c r="K1507">
        <v>4.5505655356548824E-2</v>
      </c>
      <c r="L1507" t="s">
        <v>162</v>
      </c>
      <c r="N1507" t="s">
        <v>317</v>
      </c>
      <c r="O1507" t="s">
        <v>536</v>
      </c>
      <c r="P1507">
        <v>1.1722684769121694E-2</v>
      </c>
      <c r="Q1507" t="s">
        <v>162</v>
      </c>
      <c r="S1507" t="s">
        <v>429</v>
      </c>
      <c r="T1507" t="s">
        <v>536</v>
      </c>
      <c r="U1507">
        <v>2.2766946126619479E-2</v>
      </c>
      <c r="V1507" t="s">
        <v>162</v>
      </c>
    </row>
    <row r="1508" spans="9:22" x14ac:dyDescent="0.45">
      <c r="I1508" t="s">
        <v>205</v>
      </c>
      <c r="J1508" t="s">
        <v>537</v>
      </c>
      <c r="K1508">
        <v>0.10057438235309525</v>
      </c>
      <c r="L1508" t="s">
        <v>162</v>
      </c>
      <c r="N1508" t="s">
        <v>317</v>
      </c>
      <c r="O1508" t="s">
        <v>537</v>
      </c>
      <c r="P1508">
        <v>3.3314056396829987E-2</v>
      </c>
      <c r="Q1508" t="s">
        <v>162</v>
      </c>
      <c r="S1508" t="s">
        <v>429</v>
      </c>
      <c r="T1508" t="s">
        <v>537</v>
      </c>
      <c r="U1508">
        <v>5.7070958642923886E-2</v>
      </c>
      <c r="V1508" t="s">
        <v>162</v>
      </c>
    </row>
    <row r="1509" spans="9:22" x14ac:dyDescent="0.45">
      <c r="I1509" t="s">
        <v>205</v>
      </c>
      <c r="J1509" t="s">
        <v>538</v>
      </c>
      <c r="K1509">
        <v>1.2797166873008933E-2</v>
      </c>
      <c r="L1509" t="s">
        <v>162</v>
      </c>
      <c r="N1509" t="s">
        <v>317</v>
      </c>
      <c r="O1509" t="s">
        <v>538</v>
      </c>
      <c r="P1509">
        <v>7.7182848488600271E-3</v>
      </c>
      <c r="Q1509" t="s">
        <v>162</v>
      </c>
      <c r="S1509" t="s">
        <v>429</v>
      </c>
      <c r="T1509" t="s">
        <v>538</v>
      </c>
      <c r="U1509">
        <v>1.1770523044483184E-2</v>
      </c>
      <c r="V1509" t="s">
        <v>162</v>
      </c>
    </row>
    <row r="1510" spans="9:22" x14ac:dyDescent="0.45">
      <c r="I1510" t="s">
        <v>205</v>
      </c>
      <c r="J1510" t="s">
        <v>539</v>
      </c>
      <c r="K1510">
        <v>1.3322666152761979E-2</v>
      </c>
      <c r="L1510" t="s">
        <v>162</v>
      </c>
      <c r="N1510" t="s">
        <v>317</v>
      </c>
      <c r="O1510" t="s">
        <v>539</v>
      </c>
      <c r="P1510">
        <v>4.5013041685114767E-2</v>
      </c>
      <c r="Q1510" t="s">
        <v>162</v>
      </c>
      <c r="S1510" t="s">
        <v>429</v>
      </c>
      <c r="T1510" t="s">
        <v>539</v>
      </c>
      <c r="U1510">
        <v>7.504880383999718E-2</v>
      </c>
      <c r="V1510" t="s">
        <v>162</v>
      </c>
    </row>
    <row r="1511" spans="9:22" x14ac:dyDescent="0.45">
      <c r="I1511" t="s">
        <v>205</v>
      </c>
      <c r="J1511" t="s">
        <v>540</v>
      </c>
      <c r="K1511">
        <v>4.605869330168358E-4</v>
      </c>
      <c r="L1511" t="s">
        <v>162</v>
      </c>
      <c r="N1511" t="s">
        <v>317</v>
      </c>
      <c r="O1511" t="s">
        <v>540</v>
      </c>
      <c r="P1511">
        <v>4.1335980451726421E-2</v>
      </c>
      <c r="Q1511" t="s">
        <v>162</v>
      </c>
      <c r="S1511" t="s">
        <v>429</v>
      </c>
      <c r="T1511" t="s">
        <v>540</v>
      </c>
      <c r="U1511">
        <v>4.7327206631494333E-2</v>
      </c>
      <c r="V1511" t="s">
        <v>162</v>
      </c>
    </row>
    <row r="1512" spans="9:22" x14ac:dyDescent="0.45">
      <c r="I1512" t="s">
        <v>205</v>
      </c>
      <c r="J1512" t="s">
        <v>541</v>
      </c>
      <c r="K1512">
        <v>2.1896325114931191E-3</v>
      </c>
      <c r="L1512" t="s">
        <v>162</v>
      </c>
      <c r="N1512" t="s">
        <v>317</v>
      </c>
      <c r="O1512" t="s">
        <v>541</v>
      </c>
      <c r="P1512">
        <v>4.182014313497749E-3</v>
      </c>
      <c r="Q1512" t="s">
        <v>162</v>
      </c>
      <c r="S1512" t="s">
        <v>429</v>
      </c>
      <c r="T1512" t="s">
        <v>541</v>
      </c>
      <c r="U1512">
        <v>5.3103932894366232E-3</v>
      </c>
      <c r="V1512" t="s">
        <v>162</v>
      </c>
    </row>
    <row r="1513" spans="9:22" x14ac:dyDescent="0.45">
      <c r="I1513" t="s">
        <v>205</v>
      </c>
      <c r="J1513" t="s">
        <v>542</v>
      </c>
      <c r="K1513">
        <v>7.2215754498973547E-3</v>
      </c>
      <c r="L1513" t="s">
        <v>162</v>
      </c>
      <c r="N1513" t="s">
        <v>317</v>
      </c>
      <c r="O1513" t="s">
        <v>542</v>
      </c>
      <c r="P1513">
        <v>7.9997498676444741E-3</v>
      </c>
      <c r="Q1513" t="s">
        <v>162</v>
      </c>
      <c r="S1513" t="s">
        <v>429</v>
      </c>
      <c r="T1513" t="s">
        <v>542</v>
      </c>
      <c r="U1513">
        <v>1.053437015077132E-2</v>
      </c>
      <c r="V1513" t="s">
        <v>162</v>
      </c>
    </row>
    <row r="1514" spans="9:22" x14ac:dyDescent="0.45">
      <c r="I1514" t="s">
        <v>205</v>
      </c>
      <c r="J1514" t="s">
        <v>543</v>
      </c>
      <c r="K1514">
        <v>1.270450579005458E-2</v>
      </c>
      <c r="L1514" t="s">
        <v>162</v>
      </c>
      <c r="N1514" t="s">
        <v>317</v>
      </c>
      <c r="O1514" t="s">
        <v>543</v>
      </c>
      <c r="P1514">
        <v>2.1600873742454039E-2</v>
      </c>
      <c r="Q1514" t="s">
        <v>162</v>
      </c>
      <c r="S1514" t="s">
        <v>429</v>
      </c>
      <c r="T1514" t="s">
        <v>543</v>
      </c>
      <c r="U1514">
        <v>2.5769593478004321E-2</v>
      </c>
      <c r="V1514" t="s">
        <v>162</v>
      </c>
    </row>
    <row r="1515" spans="9:22" x14ac:dyDescent="0.45">
      <c r="I1515" t="s">
        <v>205</v>
      </c>
      <c r="J1515" t="s">
        <v>544</v>
      </c>
      <c r="K1515">
        <v>0</v>
      </c>
      <c r="L1515" t="s">
        <v>162</v>
      </c>
      <c r="N1515" t="s">
        <v>317</v>
      </c>
      <c r="O1515" t="s">
        <v>544</v>
      </c>
      <c r="P1515">
        <v>4.5028831198513277E-3</v>
      </c>
      <c r="Q1515" t="s">
        <v>162</v>
      </c>
      <c r="S1515" t="s">
        <v>429</v>
      </c>
      <c r="T1515" t="s">
        <v>544</v>
      </c>
      <c r="U1515">
        <v>5.4145630617208826E-3</v>
      </c>
      <c r="V1515" t="s">
        <v>162</v>
      </c>
    </row>
    <row r="1516" spans="9:22" x14ac:dyDescent="0.45">
      <c r="I1516" t="s">
        <v>205</v>
      </c>
      <c r="J1516" t="s">
        <v>545</v>
      </c>
      <c r="K1516">
        <v>0</v>
      </c>
      <c r="L1516" t="s">
        <v>162</v>
      </c>
      <c r="N1516" t="s">
        <v>317</v>
      </c>
      <c r="O1516" t="s">
        <v>545</v>
      </c>
      <c r="P1516">
        <v>2.7013822962377674E-2</v>
      </c>
      <c r="Q1516" t="s">
        <v>162</v>
      </c>
      <c r="S1516" t="s">
        <v>429</v>
      </c>
      <c r="T1516" t="s">
        <v>545</v>
      </c>
      <c r="U1516">
        <v>3.2289657308892813E-2</v>
      </c>
      <c r="V1516" t="s">
        <v>162</v>
      </c>
    </row>
    <row r="1517" spans="9:22" x14ac:dyDescent="0.45">
      <c r="I1517" t="s">
        <v>205</v>
      </c>
      <c r="J1517" t="s">
        <v>546</v>
      </c>
      <c r="K1517">
        <v>0</v>
      </c>
      <c r="L1517" t="s">
        <v>162</v>
      </c>
      <c r="N1517" t="s">
        <v>317</v>
      </c>
      <c r="O1517" t="s">
        <v>546</v>
      </c>
      <c r="P1517">
        <v>4.1194190865862811E-2</v>
      </c>
      <c r="Q1517" t="s">
        <v>162</v>
      </c>
      <c r="S1517" t="s">
        <v>429</v>
      </c>
      <c r="T1517" t="s">
        <v>546</v>
      </c>
      <c r="U1517">
        <v>3.4391763621204163E-2</v>
      </c>
      <c r="V1517" t="s">
        <v>162</v>
      </c>
    </row>
    <row r="1518" spans="9:22" x14ac:dyDescent="0.45">
      <c r="I1518" t="s">
        <v>205</v>
      </c>
      <c r="J1518" t="s">
        <v>547</v>
      </c>
      <c r="K1518">
        <v>5.0297442900886901E-5</v>
      </c>
      <c r="L1518" t="s">
        <v>162</v>
      </c>
      <c r="N1518" t="s">
        <v>317</v>
      </c>
      <c r="O1518" t="s">
        <v>547</v>
      </c>
      <c r="P1518">
        <v>4.6481563745706276E-3</v>
      </c>
      <c r="Q1518" t="s">
        <v>162</v>
      </c>
      <c r="S1518" t="s">
        <v>429</v>
      </c>
      <c r="T1518" t="s">
        <v>547</v>
      </c>
      <c r="U1518">
        <v>3.5723067900886151E-3</v>
      </c>
      <c r="V1518" t="s">
        <v>162</v>
      </c>
    </row>
    <row r="1519" spans="9:22" x14ac:dyDescent="0.45">
      <c r="I1519" t="s">
        <v>205</v>
      </c>
      <c r="J1519" t="s">
        <v>548</v>
      </c>
      <c r="K1519">
        <v>4.0689588473536552E-3</v>
      </c>
      <c r="L1519" t="s">
        <v>162</v>
      </c>
      <c r="N1519" t="s">
        <v>317</v>
      </c>
      <c r="O1519" t="s">
        <v>548</v>
      </c>
      <c r="P1519">
        <v>9.034731322797418E-3</v>
      </c>
      <c r="Q1519" t="s">
        <v>162</v>
      </c>
      <c r="S1519" t="s">
        <v>429</v>
      </c>
      <c r="T1519" t="s">
        <v>548</v>
      </c>
      <c r="U1519">
        <v>7.021700334094081E-3</v>
      </c>
      <c r="V1519" t="s">
        <v>162</v>
      </c>
    </row>
    <row r="1520" spans="9:22" x14ac:dyDescent="0.45">
      <c r="I1520" t="s">
        <v>205</v>
      </c>
      <c r="J1520" t="s">
        <v>549</v>
      </c>
      <c r="K1520">
        <v>6.9527491721348518E-3</v>
      </c>
      <c r="L1520" t="s">
        <v>162</v>
      </c>
      <c r="N1520" t="s">
        <v>317</v>
      </c>
      <c r="O1520" t="s">
        <v>549</v>
      </c>
      <c r="P1520">
        <v>1.9111057524743423E-2</v>
      </c>
      <c r="Q1520" t="s">
        <v>162</v>
      </c>
      <c r="S1520" t="s">
        <v>429</v>
      </c>
      <c r="T1520" t="s">
        <v>549</v>
      </c>
      <c r="U1520">
        <v>1.7678695293571384E-2</v>
      </c>
      <c r="V1520" t="s">
        <v>162</v>
      </c>
    </row>
    <row r="1521" spans="9:22" x14ac:dyDescent="0.45">
      <c r="I1521" t="s">
        <v>205</v>
      </c>
      <c r="J1521" t="s">
        <v>550</v>
      </c>
      <c r="K1521">
        <v>0</v>
      </c>
      <c r="L1521" t="s">
        <v>162</v>
      </c>
      <c r="N1521" t="s">
        <v>317</v>
      </c>
      <c r="O1521" t="s">
        <v>550</v>
      </c>
      <c r="P1521">
        <v>3.620956725397102E-3</v>
      </c>
      <c r="Q1521" t="s">
        <v>162</v>
      </c>
      <c r="S1521" t="s">
        <v>429</v>
      </c>
      <c r="T1521" t="s">
        <v>550</v>
      </c>
      <c r="U1521">
        <v>3.7195379626209428E-3</v>
      </c>
      <c r="V1521" t="s">
        <v>162</v>
      </c>
    </row>
    <row r="1522" spans="9:22" x14ac:dyDescent="0.45">
      <c r="I1522" t="s">
        <v>205</v>
      </c>
      <c r="J1522" t="s">
        <v>551</v>
      </c>
      <c r="K1522">
        <v>0</v>
      </c>
      <c r="L1522" t="s">
        <v>162</v>
      </c>
      <c r="N1522" t="s">
        <v>317</v>
      </c>
      <c r="O1522" t="s">
        <v>551</v>
      </c>
      <c r="P1522">
        <v>2.3201658529306723E-2</v>
      </c>
      <c r="Q1522" t="s">
        <v>162</v>
      </c>
      <c r="S1522" t="s">
        <v>429</v>
      </c>
      <c r="T1522" t="s">
        <v>551</v>
      </c>
      <c r="U1522">
        <v>2.228999874084928E-2</v>
      </c>
      <c r="V1522" t="s">
        <v>162</v>
      </c>
    </row>
    <row r="1523" spans="9:22" x14ac:dyDescent="0.45">
      <c r="I1523" t="s">
        <v>206</v>
      </c>
      <c r="J1523" t="s">
        <v>161</v>
      </c>
      <c r="K1523">
        <v>0</v>
      </c>
      <c r="L1523" t="s">
        <v>162</v>
      </c>
      <c r="N1523" t="s">
        <v>318</v>
      </c>
      <c r="O1523" t="s">
        <v>161</v>
      </c>
      <c r="P1523">
        <v>4.6678027920543E-2</v>
      </c>
      <c r="Q1523" t="s">
        <v>162</v>
      </c>
      <c r="S1523" t="s">
        <v>430</v>
      </c>
      <c r="T1523" t="s">
        <v>161</v>
      </c>
      <c r="U1523">
        <v>4.447089900912074E-2</v>
      </c>
      <c r="V1523" t="s">
        <v>162</v>
      </c>
    </row>
    <row r="1524" spans="9:22" x14ac:dyDescent="0.45">
      <c r="I1524" t="s">
        <v>206</v>
      </c>
      <c r="J1524" t="s">
        <v>163</v>
      </c>
      <c r="K1524">
        <v>4.5183299161549441E-4</v>
      </c>
      <c r="L1524" t="s">
        <v>162</v>
      </c>
      <c r="N1524" t="s">
        <v>318</v>
      </c>
      <c r="O1524" t="s">
        <v>163</v>
      </c>
      <c r="P1524">
        <v>4.291236344098657E-3</v>
      </c>
      <c r="Q1524" t="s">
        <v>162</v>
      </c>
      <c r="S1524" t="s">
        <v>430</v>
      </c>
      <c r="T1524" t="s">
        <v>163</v>
      </c>
      <c r="U1524">
        <v>4.8827580019106965E-3</v>
      </c>
      <c r="V1524" t="s">
        <v>162</v>
      </c>
    </row>
    <row r="1525" spans="9:22" x14ac:dyDescent="0.45">
      <c r="I1525" t="s">
        <v>206</v>
      </c>
      <c r="J1525" t="s">
        <v>164</v>
      </c>
      <c r="K1525">
        <v>4.2921118383420845E-3</v>
      </c>
      <c r="L1525" t="s">
        <v>162</v>
      </c>
      <c r="N1525" t="s">
        <v>318</v>
      </c>
      <c r="O1525" t="s">
        <v>164</v>
      </c>
      <c r="P1525">
        <v>7.2101642273063706E-3</v>
      </c>
      <c r="Q1525" t="s">
        <v>162</v>
      </c>
      <c r="S1525" t="s">
        <v>430</v>
      </c>
      <c r="T1525" t="s">
        <v>164</v>
      </c>
      <c r="U1525">
        <v>9.6318270394049523E-3</v>
      </c>
      <c r="V1525" t="s">
        <v>162</v>
      </c>
    </row>
    <row r="1526" spans="9:22" x14ac:dyDescent="0.45">
      <c r="I1526" t="s">
        <v>206</v>
      </c>
      <c r="J1526" t="s">
        <v>519</v>
      </c>
      <c r="K1526">
        <v>1.0121457390103944E-2</v>
      </c>
      <c r="L1526" t="s">
        <v>162</v>
      </c>
      <c r="N1526" t="s">
        <v>318</v>
      </c>
      <c r="O1526" t="s">
        <v>519</v>
      </c>
      <c r="P1526">
        <v>1.5709968610460735E-2</v>
      </c>
      <c r="Q1526" t="s">
        <v>162</v>
      </c>
      <c r="S1526" t="s">
        <v>430</v>
      </c>
      <c r="T1526" t="s">
        <v>519</v>
      </c>
      <c r="U1526">
        <v>2.4212346264554974E-2</v>
      </c>
      <c r="V1526" t="s">
        <v>162</v>
      </c>
    </row>
    <row r="1527" spans="9:22" x14ac:dyDescent="0.45">
      <c r="I1527" t="s">
        <v>206</v>
      </c>
      <c r="J1527" t="s">
        <v>520</v>
      </c>
      <c r="K1527">
        <v>0</v>
      </c>
      <c r="L1527" t="s">
        <v>162</v>
      </c>
      <c r="N1527" t="s">
        <v>318</v>
      </c>
      <c r="O1527" t="s">
        <v>520</v>
      </c>
      <c r="P1527">
        <v>4.7776057440746039E-3</v>
      </c>
      <c r="Q1527" t="s">
        <v>162</v>
      </c>
      <c r="S1527" t="s">
        <v>430</v>
      </c>
      <c r="T1527" t="s">
        <v>520</v>
      </c>
      <c r="U1527">
        <v>4.9392279957890623E-3</v>
      </c>
      <c r="V1527" t="s">
        <v>162</v>
      </c>
    </row>
    <row r="1528" spans="9:22" x14ac:dyDescent="0.45">
      <c r="I1528" t="s">
        <v>206</v>
      </c>
      <c r="J1528" t="s">
        <v>521</v>
      </c>
      <c r="K1528">
        <v>0</v>
      </c>
      <c r="L1528" t="s">
        <v>162</v>
      </c>
      <c r="N1528" t="s">
        <v>318</v>
      </c>
      <c r="O1528" t="s">
        <v>521</v>
      </c>
      <c r="P1528">
        <v>3.3709544393426889E-2</v>
      </c>
      <c r="Q1528" t="s">
        <v>162</v>
      </c>
      <c r="S1528" t="s">
        <v>430</v>
      </c>
      <c r="T1528" t="s">
        <v>521</v>
      </c>
      <c r="U1528">
        <v>3.1268158556608548E-2</v>
      </c>
      <c r="V1528" t="s">
        <v>162</v>
      </c>
    </row>
    <row r="1529" spans="9:22" x14ac:dyDescent="0.45">
      <c r="I1529" t="s">
        <v>206</v>
      </c>
      <c r="J1529" t="s">
        <v>165</v>
      </c>
      <c r="K1529">
        <v>1.0746929029743797E-2</v>
      </c>
      <c r="L1529" t="s">
        <v>162</v>
      </c>
      <c r="N1529" t="s">
        <v>318</v>
      </c>
      <c r="O1529" t="s">
        <v>165</v>
      </c>
      <c r="P1529">
        <v>7.9085103458966896E-2</v>
      </c>
      <c r="Q1529" t="s">
        <v>162</v>
      </c>
      <c r="S1529" t="s">
        <v>430</v>
      </c>
      <c r="T1529" t="s">
        <v>165</v>
      </c>
      <c r="U1529">
        <v>5.5970490393282182E-2</v>
      </c>
      <c r="V1529" t="s">
        <v>162</v>
      </c>
    </row>
    <row r="1530" spans="9:22" x14ac:dyDescent="0.45">
      <c r="I1530" t="s">
        <v>206</v>
      </c>
      <c r="J1530" t="s">
        <v>166</v>
      </c>
      <c r="K1530">
        <v>1.2156920388349693E-2</v>
      </c>
      <c r="L1530" t="s">
        <v>162</v>
      </c>
      <c r="N1530" t="s">
        <v>318</v>
      </c>
      <c r="O1530" t="s">
        <v>166</v>
      </c>
      <c r="P1530">
        <v>7.256819913374647E-3</v>
      </c>
      <c r="Q1530" t="s">
        <v>162</v>
      </c>
      <c r="S1530" t="s">
        <v>430</v>
      </c>
      <c r="T1530" t="s">
        <v>166</v>
      </c>
      <c r="U1530">
        <v>6.4234460239406509E-3</v>
      </c>
      <c r="V1530" t="s">
        <v>162</v>
      </c>
    </row>
    <row r="1531" spans="9:22" x14ac:dyDescent="0.45">
      <c r="I1531" t="s">
        <v>206</v>
      </c>
      <c r="J1531" t="s">
        <v>167</v>
      </c>
      <c r="K1531">
        <v>3.2719958562924756E-2</v>
      </c>
      <c r="L1531" t="s">
        <v>162</v>
      </c>
      <c r="N1531" t="s">
        <v>318</v>
      </c>
      <c r="O1531" t="s">
        <v>167</v>
      </c>
      <c r="P1531">
        <v>1.3288117767908496E-2</v>
      </c>
      <c r="Q1531" t="s">
        <v>162</v>
      </c>
      <c r="S1531" t="s">
        <v>430</v>
      </c>
      <c r="T1531" t="s">
        <v>167</v>
      </c>
      <c r="U1531">
        <v>1.2690997874338346E-2</v>
      </c>
      <c r="V1531" t="s">
        <v>162</v>
      </c>
    </row>
    <row r="1532" spans="9:22" x14ac:dyDescent="0.45">
      <c r="I1532" t="s">
        <v>206</v>
      </c>
      <c r="J1532" t="s">
        <v>522</v>
      </c>
      <c r="K1532">
        <v>7.9930691821219216E-2</v>
      </c>
      <c r="L1532" t="s">
        <v>162</v>
      </c>
      <c r="N1532" t="s">
        <v>318</v>
      </c>
      <c r="O1532" t="s">
        <v>522</v>
      </c>
      <c r="P1532">
        <v>3.6485870209373363E-2</v>
      </c>
      <c r="Q1532" t="s">
        <v>162</v>
      </c>
      <c r="S1532" t="s">
        <v>430</v>
      </c>
      <c r="T1532" t="s">
        <v>522</v>
      </c>
      <c r="U1532">
        <v>3.1869024913573039E-2</v>
      </c>
      <c r="V1532" t="s">
        <v>162</v>
      </c>
    </row>
    <row r="1533" spans="9:22" x14ac:dyDescent="0.45">
      <c r="I1533" t="s">
        <v>206</v>
      </c>
      <c r="J1533" t="s">
        <v>523</v>
      </c>
      <c r="K1533">
        <v>8.6806707056090934E-3</v>
      </c>
      <c r="L1533" t="s">
        <v>162</v>
      </c>
      <c r="N1533" t="s">
        <v>318</v>
      </c>
      <c r="O1533" t="s">
        <v>523</v>
      </c>
      <c r="P1533">
        <v>7.758157029509217E-3</v>
      </c>
      <c r="Q1533" t="s">
        <v>162</v>
      </c>
      <c r="S1533" t="s">
        <v>430</v>
      </c>
      <c r="T1533" t="s">
        <v>523</v>
      </c>
      <c r="U1533">
        <v>6.4864620330315429E-3</v>
      </c>
      <c r="V1533" t="s">
        <v>162</v>
      </c>
    </row>
    <row r="1534" spans="9:22" x14ac:dyDescent="0.45">
      <c r="I1534" t="s">
        <v>206</v>
      </c>
      <c r="J1534" t="s">
        <v>524</v>
      </c>
      <c r="K1534">
        <v>2.8278127525914612E-3</v>
      </c>
      <c r="L1534" t="s">
        <v>162</v>
      </c>
      <c r="N1534" t="s">
        <v>318</v>
      </c>
      <c r="O1534" t="s">
        <v>524</v>
      </c>
      <c r="P1534">
        <v>5.5523105439908391E-2</v>
      </c>
      <c r="Q1534" t="s">
        <v>162</v>
      </c>
      <c r="S1534" t="s">
        <v>430</v>
      </c>
      <c r="T1534" t="s">
        <v>524</v>
      </c>
      <c r="U1534">
        <v>3.7503335245914191E-2</v>
      </c>
      <c r="V1534" t="s">
        <v>162</v>
      </c>
    </row>
    <row r="1535" spans="9:22" x14ac:dyDescent="0.45">
      <c r="I1535" t="s">
        <v>206</v>
      </c>
      <c r="J1535" t="s">
        <v>168</v>
      </c>
      <c r="K1535">
        <v>2.1022839376587603E-2</v>
      </c>
      <c r="L1535" t="s">
        <v>162</v>
      </c>
      <c r="N1535" t="s">
        <v>318</v>
      </c>
      <c r="O1535" t="s">
        <v>168</v>
      </c>
      <c r="P1535">
        <v>3.6615278237418003E-2</v>
      </c>
      <c r="Q1535" t="s">
        <v>162</v>
      </c>
      <c r="S1535" t="s">
        <v>430</v>
      </c>
      <c r="T1535" t="s">
        <v>168</v>
      </c>
      <c r="U1535">
        <v>2.5711459899863596E-2</v>
      </c>
      <c r="V1535" t="s">
        <v>162</v>
      </c>
    </row>
    <row r="1536" spans="9:22" x14ac:dyDescent="0.45">
      <c r="I1536" t="s">
        <v>206</v>
      </c>
      <c r="J1536" t="s">
        <v>169</v>
      </c>
      <c r="K1536">
        <v>1.1504723964698191E-2</v>
      </c>
      <c r="L1536" t="s">
        <v>162</v>
      </c>
      <c r="N1536" t="s">
        <v>318</v>
      </c>
      <c r="O1536" t="s">
        <v>169</v>
      </c>
      <c r="P1536">
        <v>3.7062664611527498E-3</v>
      </c>
      <c r="Q1536" t="s">
        <v>162</v>
      </c>
      <c r="S1536" t="s">
        <v>430</v>
      </c>
      <c r="T1536" t="s">
        <v>169</v>
      </c>
      <c r="U1536">
        <v>2.8127045327406585E-3</v>
      </c>
      <c r="V1536" t="s">
        <v>162</v>
      </c>
    </row>
    <row r="1537" spans="9:22" x14ac:dyDescent="0.45">
      <c r="I1537" t="s">
        <v>206</v>
      </c>
      <c r="J1537" t="s">
        <v>170</v>
      </c>
      <c r="K1537">
        <v>2.5668139844622986E-2</v>
      </c>
      <c r="L1537" t="s">
        <v>162</v>
      </c>
      <c r="N1537" t="s">
        <v>318</v>
      </c>
      <c r="O1537" t="s">
        <v>170</v>
      </c>
      <c r="P1537">
        <v>9.1498290054729033E-3</v>
      </c>
      <c r="Q1537" t="s">
        <v>162</v>
      </c>
      <c r="S1537" t="s">
        <v>430</v>
      </c>
      <c r="T1537" t="s">
        <v>170</v>
      </c>
      <c r="U1537">
        <v>5.4419284586789719E-3</v>
      </c>
      <c r="V1537" t="s">
        <v>162</v>
      </c>
    </row>
    <row r="1538" spans="9:22" x14ac:dyDescent="0.45">
      <c r="I1538" t="s">
        <v>206</v>
      </c>
      <c r="J1538" t="s">
        <v>525</v>
      </c>
      <c r="K1538">
        <v>5.7978736060170684E-2</v>
      </c>
      <c r="L1538" t="s">
        <v>162</v>
      </c>
      <c r="N1538" t="s">
        <v>318</v>
      </c>
      <c r="O1538" t="s">
        <v>525</v>
      </c>
      <c r="P1538">
        <v>2.6426330255853541E-2</v>
      </c>
      <c r="Q1538" t="s">
        <v>162</v>
      </c>
      <c r="S1538" t="s">
        <v>430</v>
      </c>
      <c r="T1538" t="s">
        <v>525</v>
      </c>
      <c r="U1538">
        <v>1.3982401977975732E-2</v>
      </c>
      <c r="V1538" t="s">
        <v>162</v>
      </c>
    </row>
    <row r="1539" spans="9:22" x14ac:dyDescent="0.45">
      <c r="I1539" t="s">
        <v>206</v>
      </c>
      <c r="J1539" t="s">
        <v>526</v>
      </c>
      <c r="K1539">
        <v>8.246216706667097E-3</v>
      </c>
      <c r="L1539" t="s">
        <v>162</v>
      </c>
      <c r="N1539" t="s">
        <v>318</v>
      </c>
      <c r="O1539" t="s">
        <v>526</v>
      </c>
      <c r="P1539">
        <v>4.2539601616089686E-3</v>
      </c>
      <c r="Q1539" t="s">
        <v>162</v>
      </c>
      <c r="S1539" t="s">
        <v>430</v>
      </c>
      <c r="T1539" t="s">
        <v>526</v>
      </c>
      <c r="U1539">
        <v>2.9714020540618927E-3</v>
      </c>
      <c r="V1539" t="s">
        <v>162</v>
      </c>
    </row>
    <row r="1540" spans="9:22" x14ac:dyDescent="0.45">
      <c r="I1540" t="s">
        <v>206</v>
      </c>
      <c r="J1540" t="s">
        <v>527</v>
      </c>
      <c r="K1540">
        <v>8.6004833987188903E-3</v>
      </c>
      <c r="L1540" t="s">
        <v>162</v>
      </c>
      <c r="N1540" t="s">
        <v>318</v>
      </c>
      <c r="O1540" t="s">
        <v>527</v>
      </c>
      <c r="P1540">
        <v>2.133617237562049E-2</v>
      </c>
      <c r="Q1540" t="s">
        <v>162</v>
      </c>
      <c r="S1540" t="s">
        <v>430</v>
      </c>
      <c r="T1540" t="s">
        <v>527</v>
      </c>
      <c r="U1540">
        <v>1.8241802169760197E-2</v>
      </c>
      <c r="V1540" t="s">
        <v>162</v>
      </c>
    </row>
    <row r="1541" spans="9:22" x14ac:dyDescent="0.45">
      <c r="I1541" t="s">
        <v>206</v>
      </c>
      <c r="J1541" t="s">
        <v>528</v>
      </c>
      <c r="K1541">
        <v>7.65717875484659E-2</v>
      </c>
      <c r="L1541" t="s">
        <v>162</v>
      </c>
      <c r="N1541" t="s">
        <v>318</v>
      </c>
      <c r="O1541" t="s">
        <v>528</v>
      </c>
      <c r="P1541">
        <v>4.2553832677903428E-2</v>
      </c>
      <c r="Q1541" t="s">
        <v>162</v>
      </c>
      <c r="S1541" t="s">
        <v>430</v>
      </c>
      <c r="T1541" t="s">
        <v>528</v>
      </c>
      <c r="U1541">
        <v>6.7723812890751883E-2</v>
      </c>
      <c r="V1541" t="s">
        <v>162</v>
      </c>
    </row>
    <row r="1542" spans="9:22" x14ac:dyDescent="0.45">
      <c r="I1542" t="s">
        <v>206</v>
      </c>
      <c r="J1542" t="s">
        <v>529</v>
      </c>
      <c r="K1542">
        <v>3.3472477485414619E-2</v>
      </c>
      <c r="L1542" t="s">
        <v>162</v>
      </c>
      <c r="N1542" t="s">
        <v>318</v>
      </c>
      <c r="O1542" t="s">
        <v>529</v>
      </c>
      <c r="P1542">
        <v>3.0756335014755069E-3</v>
      </c>
      <c r="Q1542" t="s">
        <v>162</v>
      </c>
      <c r="S1542" t="s">
        <v>430</v>
      </c>
      <c r="T1542" t="s">
        <v>529</v>
      </c>
      <c r="U1542">
        <v>7.271783957263237E-3</v>
      </c>
      <c r="V1542" t="s">
        <v>162</v>
      </c>
    </row>
    <row r="1543" spans="9:22" x14ac:dyDescent="0.45">
      <c r="I1543" t="s">
        <v>206</v>
      </c>
      <c r="J1543" t="s">
        <v>530</v>
      </c>
      <c r="K1543">
        <v>7.2155831907275564E-2</v>
      </c>
      <c r="L1543" t="s">
        <v>162</v>
      </c>
      <c r="N1543" t="s">
        <v>318</v>
      </c>
      <c r="O1543" t="s">
        <v>530</v>
      </c>
      <c r="P1543">
        <v>7.8540333872276699E-3</v>
      </c>
      <c r="Q1543" t="s">
        <v>162</v>
      </c>
      <c r="S1543" t="s">
        <v>430</v>
      </c>
      <c r="T1543" t="s">
        <v>530</v>
      </c>
      <c r="U1543">
        <v>1.466917310000802E-2</v>
      </c>
      <c r="V1543" t="s">
        <v>162</v>
      </c>
    </row>
    <row r="1544" spans="9:22" x14ac:dyDescent="0.45">
      <c r="I1544" t="s">
        <v>206</v>
      </c>
      <c r="J1544" t="s">
        <v>531</v>
      </c>
      <c r="K1544">
        <v>0.17694724965611383</v>
      </c>
      <c r="L1544" t="s">
        <v>162</v>
      </c>
      <c r="N1544" t="s">
        <v>318</v>
      </c>
      <c r="O1544" t="s">
        <v>531</v>
      </c>
      <c r="P1544">
        <v>2.4234723926982296E-2</v>
      </c>
      <c r="Q1544" t="s">
        <v>162</v>
      </c>
      <c r="S1544" t="s">
        <v>430</v>
      </c>
      <c r="T1544" t="s">
        <v>531</v>
      </c>
      <c r="U1544">
        <v>3.7013544269846724E-2</v>
      </c>
      <c r="V1544" t="s">
        <v>162</v>
      </c>
    </row>
    <row r="1545" spans="9:22" x14ac:dyDescent="0.45">
      <c r="I1545" t="s">
        <v>206</v>
      </c>
      <c r="J1545" t="s">
        <v>532</v>
      </c>
      <c r="K1545">
        <v>2.801325074383702E-2</v>
      </c>
      <c r="L1545" t="s">
        <v>162</v>
      </c>
      <c r="N1545" t="s">
        <v>318</v>
      </c>
      <c r="O1545" t="s">
        <v>532</v>
      </c>
      <c r="P1545">
        <v>5.3890845684266865E-3</v>
      </c>
      <c r="Q1545" t="s">
        <v>162</v>
      </c>
      <c r="S1545" t="s">
        <v>430</v>
      </c>
      <c r="T1545" t="s">
        <v>532</v>
      </c>
      <c r="U1545">
        <v>7.5490220975086486E-3</v>
      </c>
      <c r="V1545" t="s">
        <v>162</v>
      </c>
    </row>
    <row r="1546" spans="9:22" x14ac:dyDescent="0.45">
      <c r="I1546" t="s">
        <v>206</v>
      </c>
      <c r="J1546" t="s">
        <v>533</v>
      </c>
      <c r="K1546">
        <v>4.5567217136765502E-2</v>
      </c>
      <c r="L1546" t="s">
        <v>162</v>
      </c>
      <c r="N1546" t="s">
        <v>318</v>
      </c>
      <c r="O1546" t="s">
        <v>533</v>
      </c>
      <c r="P1546">
        <v>3.5578133991213366E-2</v>
      </c>
      <c r="Q1546" t="s">
        <v>162</v>
      </c>
      <c r="S1546" t="s">
        <v>430</v>
      </c>
      <c r="T1546" t="s">
        <v>533</v>
      </c>
      <c r="U1546">
        <v>4.508916932975867E-2</v>
      </c>
      <c r="V1546" t="s">
        <v>162</v>
      </c>
    </row>
    <row r="1547" spans="9:22" x14ac:dyDescent="0.45">
      <c r="I1547" t="s">
        <v>206</v>
      </c>
      <c r="J1547" t="s">
        <v>534</v>
      </c>
      <c r="K1547">
        <v>2.4628626595052654E-2</v>
      </c>
      <c r="L1547" t="s">
        <v>162</v>
      </c>
      <c r="N1547" t="s">
        <v>318</v>
      </c>
      <c r="O1547" t="s">
        <v>534</v>
      </c>
      <c r="P1547">
        <v>7.9059253579928462E-2</v>
      </c>
      <c r="Q1547" t="s">
        <v>162</v>
      </c>
      <c r="S1547" t="s">
        <v>430</v>
      </c>
      <c r="T1547" t="s">
        <v>534</v>
      </c>
      <c r="U1547">
        <v>9.285826991062418E-2</v>
      </c>
      <c r="V1547" t="s">
        <v>162</v>
      </c>
    </row>
    <row r="1548" spans="9:22" x14ac:dyDescent="0.45">
      <c r="I1548" t="s">
        <v>206</v>
      </c>
      <c r="J1548" t="s">
        <v>535</v>
      </c>
      <c r="K1548">
        <v>1.9447461152377211E-2</v>
      </c>
      <c r="L1548" t="s">
        <v>162</v>
      </c>
      <c r="N1548" t="s">
        <v>318</v>
      </c>
      <c r="O1548" t="s">
        <v>535</v>
      </c>
      <c r="P1548">
        <v>7.1391227989334215E-3</v>
      </c>
      <c r="Q1548" t="s">
        <v>162</v>
      </c>
      <c r="S1548" t="s">
        <v>430</v>
      </c>
      <c r="T1548" t="s">
        <v>535</v>
      </c>
      <c r="U1548">
        <v>9.7719227889362294E-3</v>
      </c>
      <c r="V1548" t="s">
        <v>162</v>
      </c>
    </row>
    <row r="1549" spans="9:22" x14ac:dyDescent="0.45">
      <c r="I1549" t="s">
        <v>206</v>
      </c>
      <c r="J1549" t="s">
        <v>536</v>
      </c>
      <c r="K1549">
        <v>4.772316067995068E-2</v>
      </c>
      <c r="L1549" t="s">
        <v>162</v>
      </c>
      <c r="N1549" t="s">
        <v>318</v>
      </c>
      <c r="O1549" t="s">
        <v>536</v>
      </c>
      <c r="P1549">
        <v>1.5819404665492139E-2</v>
      </c>
      <c r="Q1549" t="s">
        <v>162</v>
      </c>
      <c r="S1549" t="s">
        <v>430</v>
      </c>
      <c r="T1549" t="s">
        <v>536</v>
      </c>
      <c r="U1549">
        <v>2.0003161371614817E-2</v>
      </c>
      <c r="V1549" t="s">
        <v>162</v>
      </c>
    </row>
    <row r="1550" spans="9:22" x14ac:dyDescent="0.45">
      <c r="I1550" t="s">
        <v>206</v>
      </c>
      <c r="J1550" t="s">
        <v>537</v>
      </c>
      <c r="K1550">
        <v>0.11118388177938845</v>
      </c>
      <c r="L1550" t="s">
        <v>162</v>
      </c>
      <c r="N1550" t="s">
        <v>318</v>
      </c>
      <c r="O1550" t="s">
        <v>537</v>
      </c>
      <c r="P1550">
        <v>4.2090867523180447E-2</v>
      </c>
      <c r="Q1550" t="s">
        <v>162</v>
      </c>
      <c r="S1550" t="s">
        <v>430</v>
      </c>
      <c r="T1550" t="s">
        <v>537</v>
      </c>
      <c r="U1550">
        <v>5.0932902223656838E-2</v>
      </c>
      <c r="V1550" t="s">
        <v>162</v>
      </c>
    </row>
    <row r="1551" spans="9:22" x14ac:dyDescent="0.45">
      <c r="I1551" t="s">
        <v>206</v>
      </c>
      <c r="J1551" t="s">
        <v>538</v>
      </c>
      <c r="K1551">
        <v>1.3773415215288307E-2</v>
      </c>
      <c r="L1551" t="s">
        <v>162</v>
      </c>
      <c r="N1551" t="s">
        <v>318</v>
      </c>
      <c r="O1551" t="s">
        <v>538</v>
      </c>
      <c r="P1551">
        <v>8.8322464076317168E-3</v>
      </c>
      <c r="Q1551" t="s">
        <v>162</v>
      </c>
      <c r="S1551" t="s">
        <v>430</v>
      </c>
      <c r="T1551" t="s">
        <v>538</v>
      </c>
      <c r="U1551">
        <v>1.0094874290356368E-2</v>
      </c>
      <c r="V1551" t="s">
        <v>162</v>
      </c>
    </row>
    <row r="1552" spans="9:22" x14ac:dyDescent="0.45">
      <c r="I1552" t="s">
        <v>206</v>
      </c>
      <c r="J1552" t="s">
        <v>539</v>
      </c>
      <c r="K1552">
        <v>1.4367752416840815E-2</v>
      </c>
      <c r="L1552" t="s">
        <v>162</v>
      </c>
      <c r="N1552" t="s">
        <v>318</v>
      </c>
      <c r="O1552" t="s">
        <v>539</v>
      </c>
      <c r="P1552">
        <v>6.0334616969706871E-2</v>
      </c>
      <c r="Q1552" t="s">
        <v>162</v>
      </c>
      <c r="S1552" t="s">
        <v>430</v>
      </c>
      <c r="T1552" t="s">
        <v>539</v>
      </c>
      <c r="U1552">
        <v>6.4251354504480523E-2</v>
      </c>
      <c r="V1552" t="s">
        <v>162</v>
      </c>
    </row>
    <row r="1553" spans="9:22" x14ac:dyDescent="0.45">
      <c r="I1553" t="s">
        <v>206</v>
      </c>
      <c r="J1553" t="s">
        <v>540</v>
      </c>
      <c r="K1553">
        <v>4.7605344650091436E-4</v>
      </c>
      <c r="L1553" t="s">
        <v>162</v>
      </c>
      <c r="N1553" t="s">
        <v>318</v>
      </c>
      <c r="O1553" t="s">
        <v>540</v>
      </c>
      <c r="P1553">
        <v>4.9917570619263968E-2</v>
      </c>
      <c r="Q1553" t="s">
        <v>162</v>
      </c>
      <c r="S1553" t="s">
        <v>430</v>
      </c>
      <c r="T1553" t="s">
        <v>540</v>
      </c>
      <c r="U1553">
        <v>4.8091182856373003E-2</v>
      </c>
      <c r="V1553" t="s">
        <v>162</v>
      </c>
    </row>
    <row r="1554" spans="9:22" x14ac:dyDescent="0.45">
      <c r="I1554" t="s">
        <v>206</v>
      </c>
      <c r="J1554" t="s">
        <v>541</v>
      </c>
      <c r="K1554">
        <v>2.0994628685193487E-3</v>
      </c>
      <c r="L1554" t="s">
        <v>162</v>
      </c>
      <c r="N1554" t="s">
        <v>318</v>
      </c>
      <c r="O1554" t="s">
        <v>541</v>
      </c>
      <c r="P1554">
        <v>5.3948186106156024E-3</v>
      </c>
      <c r="Q1554" t="s">
        <v>162</v>
      </c>
      <c r="S1554" t="s">
        <v>430</v>
      </c>
      <c r="T1554" t="s">
        <v>541</v>
      </c>
      <c r="U1554">
        <v>5.6411857367659676E-3</v>
      </c>
      <c r="V1554" t="s">
        <v>162</v>
      </c>
    </row>
    <row r="1555" spans="9:22" x14ac:dyDescent="0.45">
      <c r="I1555" t="s">
        <v>206</v>
      </c>
      <c r="J1555" t="s">
        <v>542</v>
      </c>
      <c r="K1555">
        <v>7.7170723051798399E-3</v>
      </c>
      <c r="L1555" t="s">
        <v>162</v>
      </c>
      <c r="N1555" t="s">
        <v>318</v>
      </c>
      <c r="O1555" t="s">
        <v>542</v>
      </c>
      <c r="P1555">
        <v>8.2224487090395496E-3</v>
      </c>
      <c r="Q1555" t="s">
        <v>162</v>
      </c>
      <c r="S1555" t="s">
        <v>430</v>
      </c>
      <c r="T1555" t="s">
        <v>542</v>
      </c>
      <c r="U1555">
        <v>1.0965814877104288E-2</v>
      </c>
      <c r="V1555" t="s">
        <v>162</v>
      </c>
    </row>
    <row r="1556" spans="9:22" x14ac:dyDescent="0.45">
      <c r="I1556" t="s">
        <v>206</v>
      </c>
      <c r="J1556" t="s">
        <v>543</v>
      </c>
      <c r="K1556">
        <v>1.4902337254793296E-2</v>
      </c>
      <c r="L1556" t="s">
        <v>162</v>
      </c>
      <c r="N1556" t="s">
        <v>318</v>
      </c>
      <c r="O1556" t="s">
        <v>543</v>
      </c>
      <c r="P1556">
        <v>1.8326992816936911E-2</v>
      </c>
      <c r="Q1556" t="s">
        <v>162</v>
      </c>
      <c r="S1556" t="s">
        <v>430</v>
      </c>
      <c r="T1556" t="s">
        <v>543</v>
      </c>
      <c r="U1556">
        <v>2.6788052407350563E-2</v>
      </c>
      <c r="V1556" t="s">
        <v>162</v>
      </c>
    </row>
    <row r="1557" spans="9:22" x14ac:dyDescent="0.45">
      <c r="I1557" t="s">
        <v>206</v>
      </c>
      <c r="J1557" t="s">
        <v>544</v>
      </c>
      <c r="K1557">
        <v>0</v>
      </c>
      <c r="L1557" t="s">
        <v>162</v>
      </c>
      <c r="N1557" t="s">
        <v>318</v>
      </c>
      <c r="O1557" t="s">
        <v>544</v>
      </c>
      <c r="P1557">
        <v>5.4574822986233392E-3</v>
      </c>
      <c r="Q1557" t="s">
        <v>162</v>
      </c>
      <c r="S1557" t="s">
        <v>430</v>
      </c>
      <c r="T1557" t="s">
        <v>544</v>
      </c>
      <c r="U1557">
        <v>5.3324627822251168E-3</v>
      </c>
      <c r="V1557" t="s">
        <v>162</v>
      </c>
    </row>
    <row r="1558" spans="9:22" x14ac:dyDescent="0.45">
      <c r="I1558" t="s">
        <v>206</v>
      </c>
      <c r="J1558" t="s">
        <v>545</v>
      </c>
      <c r="K1558">
        <v>0</v>
      </c>
      <c r="L1558" t="s">
        <v>162</v>
      </c>
      <c r="N1558" t="s">
        <v>318</v>
      </c>
      <c r="O1558" t="s">
        <v>545</v>
      </c>
      <c r="P1558">
        <v>3.3578452826849833E-2</v>
      </c>
      <c r="Q1558" t="s">
        <v>162</v>
      </c>
      <c r="S1558" t="s">
        <v>430</v>
      </c>
      <c r="T1558" t="s">
        <v>545</v>
      </c>
      <c r="U1558">
        <v>3.2221817349265276E-2</v>
      </c>
      <c r="V1558" t="s">
        <v>162</v>
      </c>
    </row>
    <row r="1559" spans="9:22" x14ac:dyDescent="0.45">
      <c r="I1559" t="s">
        <v>206</v>
      </c>
      <c r="J1559" t="s">
        <v>546</v>
      </c>
      <c r="K1559">
        <v>0</v>
      </c>
      <c r="L1559" t="s">
        <v>162</v>
      </c>
      <c r="N1559" t="s">
        <v>318</v>
      </c>
      <c r="O1559" t="s">
        <v>546</v>
      </c>
      <c r="P1559">
        <v>5.684047420695703E-2</v>
      </c>
      <c r="Q1559" t="s">
        <v>162</v>
      </c>
      <c r="S1559" t="s">
        <v>430</v>
      </c>
      <c r="T1559" t="s">
        <v>546</v>
      </c>
      <c r="U1559">
        <v>3.8798910479355506E-2</v>
      </c>
      <c r="V1559" t="s">
        <v>162</v>
      </c>
    </row>
    <row r="1560" spans="9:22" x14ac:dyDescent="0.45">
      <c r="I1560" t="s">
        <v>206</v>
      </c>
      <c r="J1560" t="s">
        <v>547</v>
      </c>
      <c r="K1560">
        <v>6.0256071813688278E-4</v>
      </c>
      <c r="L1560" t="s">
        <v>162</v>
      </c>
      <c r="N1560" t="s">
        <v>318</v>
      </c>
      <c r="O1560" t="s">
        <v>547</v>
      </c>
      <c r="P1560">
        <v>5.9457721439599405E-3</v>
      </c>
      <c r="Q1560" t="s">
        <v>162</v>
      </c>
      <c r="S1560" t="s">
        <v>430</v>
      </c>
      <c r="T1560" t="s">
        <v>547</v>
      </c>
      <c r="U1560">
        <v>4.2475534694451705E-3</v>
      </c>
      <c r="V1560" t="s">
        <v>162</v>
      </c>
    </row>
    <row r="1561" spans="9:22" x14ac:dyDescent="0.45">
      <c r="I1561" t="s">
        <v>206</v>
      </c>
      <c r="J1561" t="s">
        <v>548</v>
      </c>
      <c r="K1561">
        <v>5.195762220532244E-3</v>
      </c>
      <c r="L1561" t="s">
        <v>162</v>
      </c>
      <c r="N1561" t="s">
        <v>318</v>
      </c>
      <c r="O1561" t="s">
        <v>548</v>
      </c>
      <c r="P1561">
        <v>9.6719239817781646E-3</v>
      </c>
      <c r="Q1561" t="s">
        <v>162</v>
      </c>
      <c r="S1561" t="s">
        <v>430</v>
      </c>
      <c r="T1561" t="s">
        <v>548</v>
      </c>
      <c r="U1561">
        <v>8.3604817484610391E-3</v>
      </c>
      <c r="V1561" t="s">
        <v>162</v>
      </c>
    </row>
    <row r="1562" spans="9:22" x14ac:dyDescent="0.45">
      <c r="I1562" t="s">
        <v>206</v>
      </c>
      <c r="J1562" t="s">
        <v>549</v>
      </c>
      <c r="K1562">
        <v>1.0205114037602509E-2</v>
      </c>
      <c r="L1562" t="s">
        <v>162</v>
      </c>
      <c r="N1562" t="s">
        <v>318</v>
      </c>
      <c r="O1562" t="s">
        <v>549</v>
      </c>
      <c r="P1562">
        <v>2.07561491430019E-2</v>
      </c>
      <c r="Q1562" t="s">
        <v>162</v>
      </c>
      <c r="S1562" t="s">
        <v>430</v>
      </c>
      <c r="T1562" t="s">
        <v>549</v>
      </c>
      <c r="U1562">
        <v>2.154465247879404E-2</v>
      </c>
      <c r="V1562" t="s">
        <v>162</v>
      </c>
    </row>
    <row r="1563" spans="9:22" x14ac:dyDescent="0.45">
      <c r="I1563" t="s">
        <v>206</v>
      </c>
      <c r="J1563" t="s">
        <v>550</v>
      </c>
      <c r="K1563">
        <v>0</v>
      </c>
      <c r="L1563" t="s">
        <v>162</v>
      </c>
      <c r="N1563" t="s">
        <v>318</v>
      </c>
      <c r="O1563" t="s">
        <v>550</v>
      </c>
      <c r="P1563">
        <v>5.516546218195752E-3</v>
      </c>
      <c r="Q1563" t="s">
        <v>162</v>
      </c>
      <c r="S1563" t="s">
        <v>430</v>
      </c>
      <c r="T1563" t="s">
        <v>550</v>
      </c>
      <c r="U1563">
        <v>4.4323616213801063E-3</v>
      </c>
      <c r="V1563" t="s">
        <v>162</v>
      </c>
    </row>
    <row r="1564" spans="9:22" x14ac:dyDescent="0.45">
      <c r="I1564" t="s">
        <v>206</v>
      </c>
      <c r="J1564" t="s">
        <v>551</v>
      </c>
      <c r="K1564">
        <v>0</v>
      </c>
      <c r="L1564" t="s">
        <v>162</v>
      </c>
      <c r="N1564" t="s">
        <v>318</v>
      </c>
      <c r="O1564" t="s">
        <v>551</v>
      </c>
      <c r="P1564">
        <v>3.5148856870597787E-2</v>
      </c>
      <c r="Q1564" t="s">
        <v>162</v>
      </c>
      <c r="S1564" t="s">
        <v>430</v>
      </c>
      <c r="T1564" t="s">
        <v>551</v>
      </c>
      <c r="U1564">
        <v>2.6835861014121755E-2</v>
      </c>
      <c r="V1564" t="s">
        <v>162</v>
      </c>
    </row>
    <row r="1565" spans="9:22" x14ac:dyDescent="0.45">
      <c r="I1565" t="s">
        <v>207</v>
      </c>
      <c r="J1565" t="s">
        <v>161</v>
      </c>
      <c r="K1565">
        <v>0</v>
      </c>
      <c r="L1565" t="s">
        <v>162</v>
      </c>
      <c r="N1565" t="s">
        <v>319</v>
      </c>
      <c r="O1565" t="s">
        <v>161</v>
      </c>
      <c r="P1565">
        <v>4.5420100373730073E-2</v>
      </c>
      <c r="Q1565" t="s">
        <v>162</v>
      </c>
      <c r="S1565" t="s">
        <v>431</v>
      </c>
      <c r="T1565" t="s">
        <v>161</v>
      </c>
      <c r="U1565">
        <v>2.4364040842071669E-2</v>
      </c>
      <c r="V1565" t="s">
        <v>162</v>
      </c>
    </row>
    <row r="1566" spans="9:22" x14ac:dyDescent="0.45">
      <c r="I1566" t="s">
        <v>207</v>
      </c>
      <c r="J1566" t="s">
        <v>163</v>
      </c>
      <c r="K1566">
        <v>7.8329763358060797E-4</v>
      </c>
      <c r="L1566" t="s">
        <v>162</v>
      </c>
      <c r="N1566" t="s">
        <v>319</v>
      </c>
      <c r="O1566" t="s">
        <v>163</v>
      </c>
      <c r="P1566">
        <v>4.7287300653267791E-3</v>
      </c>
      <c r="Q1566" t="s">
        <v>162</v>
      </c>
      <c r="S1566" t="s">
        <v>431</v>
      </c>
      <c r="T1566" t="s">
        <v>163</v>
      </c>
      <c r="U1566">
        <v>2.5164682739013621E-3</v>
      </c>
      <c r="V1566" t="s">
        <v>162</v>
      </c>
    </row>
    <row r="1567" spans="9:22" x14ac:dyDescent="0.45">
      <c r="I1567" t="s">
        <v>207</v>
      </c>
      <c r="J1567" t="s">
        <v>164</v>
      </c>
      <c r="K1567">
        <v>4.7296434886619455E-3</v>
      </c>
      <c r="L1567" t="s">
        <v>162</v>
      </c>
      <c r="N1567" t="s">
        <v>319</v>
      </c>
      <c r="O1567" t="s">
        <v>164</v>
      </c>
      <c r="P1567">
        <v>8.4843490409122566E-3</v>
      </c>
      <c r="Q1567" t="s">
        <v>162</v>
      </c>
      <c r="S1567" t="s">
        <v>431</v>
      </c>
      <c r="T1567" t="s">
        <v>164</v>
      </c>
      <c r="U1567">
        <v>5.0687055487702633E-3</v>
      </c>
      <c r="V1567" t="s">
        <v>162</v>
      </c>
    </row>
    <row r="1568" spans="9:22" x14ac:dyDescent="0.45">
      <c r="I1568" t="s">
        <v>207</v>
      </c>
      <c r="J1568" t="s">
        <v>519</v>
      </c>
      <c r="K1568">
        <v>1.0535791843884848E-2</v>
      </c>
      <c r="L1568" t="s">
        <v>162</v>
      </c>
      <c r="N1568" t="s">
        <v>319</v>
      </c>
      <c r="O1568" t="s">
        <v>519</v>
      </c>
      <c r="P1568">
        <v>1.7170467710623388E-2</v>
      </c>
      <c r="Q1568" t="s">
        <v>162</v>
      </c>
      <c r="S1568" t="s">
        <v>431</v>
      </c>
      <c r="T1568" t="s">
        <v>519</v>
      </c>
      <c r="U1568">
        <v>1.2998398043403327E-2</v>
      </c>
      <c r="V1568" t="s">
        <v>162</v>
      </c>
    </row>
    <row r="1569" spans="9:22" x14ac:dyDescent="0.45">
      <c r="I1569" t="s">
        <v>207</v>
      </c>
      <c r="J1569" t="s">
        <v>520</v>
      </c>
      <c r="K1569">
        <v>0</v>
      </c>
      <c r="L1569" t="s">
        <v>162</v>
      </c>
      <c r="N1569" t="s">
        <v>319</v>
      </c>
      <c r="O1569" t="s">
        <v>520</v>
      </c>
      <c r="P1569">
        <v>5.2213225150632061E-3</v>
      </c>
      <c r="Q1569" t="s">
        <v>162</v>
      </c>
      <c r="S1569" t="s">
        <v>431</v>
      </c>
      <c r="T1569" t="s">
        <v>520</v>
      </c>
      <c r="U1569">
        <v>2.9318823752857563E-3</v>
      </c>
      <c r="V1569" t="s">
        <v>162</v>
      </c>
    </row>
    <row r="1570" spans="9:22" x14ac:dyDescent="0.45">
      <c r="I1570" t="s">
        <v>207</v>
      </c>
      <c r="J1570" t="s">
        <v>521</v>
      </c>
      <c r="K1570">
        <v>0</v>
      </c>
      <c r="L1570" t="s">
        <v>162</v>
      </c>
      <c r="N1570" t="s">
        <v>319</v>
      </c>
      <c r="O1570" t="s">
        <v>521</v>
      </c>
      <c r="P1570">
        <v>3.5402462456769486E-2</v>
      </c>
      <c r="Q1570" t="s">
        <v>162</v>
      </c>
      <c r="S1570" t="s">
        <v>431</v>
      </c>
      <c r="T1570" t="s">
        <v>521</v>
      </c>
      <c r="U1570">
        <v>1.8673832341083451E-2</v>
      </c>
      <c r="V1570" t="s">
        <v>162</v>
      </c>
    </row>
    <row r="1571" spans="9:22" x14ac:dyDescent="0.45">
      <c r="I1571" t="s">
        <v>207</v>
      </c>
      <c r="J1571" t="s">
        <v>165</v>
      </c>
      <c r="K1571">
        <v>1.3412743304765617E-2</v>
      </c>
      <c r="L1571" t="s">
        <v>162</v>
      </c>
      <c r="N1571" t="s">
        <v>319</v>
      </c>
      <c r="O1571" t="s">
        <v>165</v>
      </c>
      <c r="P1571">
        <v>7.0476142859385874E-2</v>
      </c>
      <c r="Q1571" t="s">
        <v>162</v>
      </c>
      <c r="S1571" t="s">
        <v>431</v>
      </c>
      <c r="T1571" t="s">
        <v>165</v>
      </c>
      <c r="U1571">
        <v>5.8483303294918083E-2</v>
      </c>
      <c r="V1571" t="s">
        <v>162</v>
      </c>
    </row>
    <row r="1572" spans="9:22" x14ac:dyDescent="0.45">
      <c r="I1572" t="s">
        <v>207</v>
      </c>
      <c r="J1572" t="s">
        <v>166</v>
      </c>
      <c r="K1572">
        <v>1.2934473395948179E-2</v>
      </c>
      <c r="L1572" t="s">
        <v>162</v>
      </c>
      <c r="N1572" t="s">
        <v>319</v>
      </c>
      <c r="O1572" t="s">
        <v>166</v>
      </c>
      <c r="P1572">
        <v>6.5521756607261799E-3</v>
      </c>
      <c r="Q1572" t="s">
        <v>162</v>
      </c>
      <c r="S1572" t="s">
        <v>431</v>
      </c>
      <c r="T1572" t="s">
        <v>166</v>
      </c>
      <c r="U1572">
        <v>6.0945327428676317E-3</v>
      </c>
      <c r="V1572" t="s">
        <v>162</v>
      </c>
    </row>
    <row r="1573" spans="9:22" x14ac:dyDescent="0.45">
      <c r="I1573" t="s">
        <v>207</v>
      </c>
      <c r="J1573" t="s">
        <v>167</v>
      </c>
      <c r="K1573">
        <v>3.3556251834389282E-2</v>
      </c>
      <c r="L1573" t="s">
        <v>162</v>
      </c>
      <c r="N1573" t="s">
        <v>319</v>
      </c>
      <c r="O1573" t="s">
        <v>167</v>
      </c>
      <c r="P1573">
        <v>1.1557462526271121E-2</v>
      </c>
      <c r="Q1573" t="s">
        <v>162</v>
      </c>
      <c r="S1573" t="s">
        <v>431</v>
      </c>
      <c r="T1573" t="s">
        <v>167</v>
      </c>
      <c r="U1573">
        <v>1.2338617014850877E-2</v>
      </c>
      <c r="V1573" t="s">
        <v>162</v>
      </c>
    </row>
    <row r="1574" spans="9:22" x14ac:dyDescent="0.45">
      <c r="I1574" t="s">
        <v>207</v>
      </c>
      <c r="J1574" t="s">
        <v>522</v>
      </c>
      <c r="K1574">
        <v>7.7903437512859636E-2</v>
      </c>
      <c r="L1574" t="s">
        <v>162</v>
      </c>
      <c r="N1574" t="s">
        <v>319</v>
      </c>
      <c r="O1574" t="s">
        <v>522</v>
      </c>
      <c r="P1574">
        <v>3.2294967188525474E-2</v>
      </c>
      <c r="Q1574" t="s">
        <v>162</v>
      </c>
      <c r="S1574" t="s">
        <v>431</v>
      </c>
      <c r="T1574" t="s">
        <v>522</v>
      </c>
      <c r="U1574">
        <v>3.2068662698961053E-2</v>
      </c>
      <c r="V1574" t="s">
        <v>162</v>
      </c>
    </row>
    <row r="1575" spans="9:22" x14ac:dyDescent="0.45">
      <c r="I1575" t="s">
        <v>207</v>
      </c>
      <c r="J1575" t="s">
        <v>523</v>
      </c>
      <c r="K1575">
        <v>8.1601492506912544E-3</v>
      </c>
      <c r="L1575" t="s">
        <v>162</v>
      </c>
      <c r="N1575" t="s">
        <v>319</v>
      </c>
      <c r="O1575" t="s">
        <v>523</v>
      </c>
      <c r="P1575">
        <v>7.0786510746291172E-3</v>
      </c>
      <c r="Q1575" t="s">
        <v>162</v>
      </c>
      <c r="S1575" t="s">
        <v>431</v>
      </c>
      <c r="T1575" t="s">
        <v>523</v>
      </c>
      <c r="U1575">
        <v>6.3299846373154655E-3</v>
      </c>
      <c r="V1575" t="s">
        <v>162</v>
      </c>
    </row>
    <row r="1576" spans="9:22" x14ac:dyDescent="0.45">
      <c r="I1576" t="s">
        <v>207</v>
      </c>
      <c r="J1576" t="s">
        <v>524</v>
      </c>
      <c r="K1576">
        <v>2.3810759809891812E-3</v>
      </c>
      <c r="L1576" t="s">
        <v>162</v>
      </c>
      <c r="N1576" t="s">
        <v>319</v>
      </c>
      <c r="O1576" t="s">
        <v>524</v>
      </c>
      <c r="P1576">
        <v>5.0069530477578596E-2</v>
      </c>
      <c r="Q1576" t="s">
        <v>162</v>
      </c>
      <c r="S1576" t="s">
        <v>431</v>
      </c>
      <c r="T1576" t="s">
        <v>524</v>
      </c>
      <c r="U1576">
        <v>3.7526858063681862E-2</v>
      </c>
      <c r="V1576" t="s">
        <v>162</v>
      </c>
    </row>
    <row r="1577" spans="9:22" x14ac:dyDescent="0.45">
      <c r="I1577" t="s">
        <v>207</v>
      </c>
      <c r="J1577" t="s">
        <v>168</v>
      </c>
      <c r="K1577">
        <v>2.4913232743794492E-2</v>
      </c>
      <c r="L1577" t="s">
        <v>162</v>
      </c>
      <c r="N1577" t="s">
        <v>319</v>
      </c>
      <c r="O1577" t="s">
        <v>168</v>
      </c>
      <c r="P1577">
        <v>3.7110086233406517E-2</v>
      </c>
      <c r="Q1577" t="s">
        <v>162</v>
      </c>
      <c r="S1577" t="s">
        <v>431</v>
      </c>
      <c r="T1577" t="s">
        <v>168</v>
      </c>
      <c r="U1577">
        <v>4.2849993281315633E-2</v>
      </c>
      <c r="V1577" t="s">
        <v>162</v>
      </c>
    </row>
    <row r="1578" spans="9:22" x14ac:dyDescent="0.45">
      <c r="I1578" t="s">
        <v>207</v>
      </c>
      <c r="J1578" t="s">
        <v>169</v>
      </c>
      <c r="K1578">
        <v>1.2011953330803746E-2</v>
      </c>
      <c r="L1578" t="s">
        <v>162</v>
      </c>
      <c r="N1578" t="s">
        <v>319</v>
      </c>
      <c r="O1578" t="s">
        <v>169</v>
      </c>
      <c r="P1578">
        <v>3.6577765159225726E-3</v>
      </c>
      <c r="Q1578" t="s">
        <v>162</v>
      </c>
      <c r="S1578" t="s">
        <v>431</v>
      </c>
      <c r="T1578" t="s">
        <v>169</v>
      </c>
      <c r="U1578">
        <v>4.3414018218756092E-3</v>
      </c>
      <c r="V1578" t="s">
        <v>162</v>
      </c>
    </row>
    <row r="1579" spans="9:22" x14ac:dyDescent="0.45">
      <c r="I1579" t="s">
        <v>207</v>
      </c>
      <c r="J1579" t="s">
        <v>170</v>
      </c>
      <c r="K1579">
        <v>2.4374157894492376E-2</v>
      </c>
      <c r="L1579" t="s">
        <v>162</v>
      </c>
      <c r="N1579" t="s">
        <v>319</v>
      </c>
      <c r="O1579" t="s">
        <v>170</v>
      </c>
      <c r="P1579">
        <v>9.0298984046245246E-3</v>
      </c>
      <c r="Q1579" t="s">
        <v>162</v>
      </c>
      <c r="S1579" t="s">
        <v>431</v>
      </c>
      <c r="T1579" t="s">
        <v>170</v>
      </c>
      <c r="U1579">
        <v>8.8218635805221157E-3</v>
      </c>
      <c r="V1579" t="s">
        <v>162</v>
      </c>
    </row>
    <row r="1580" spans="9:22" x14ac:dyDescent="0.45">
      <c r="I1580" t="s">
        <v>207</v>
      </c>
      <c r="J1580" t="s">
        <v>525</v>
      </c>
      <c r="K1580">
        <v>5.152823070932061E-2</v>
      </c>
      <c r="L1580" t="s">
        <v>162</v>
      </c>
      <c r="N1580" t="s">
        <v>319</v>
      </c>
      <c r="O1580" t="s">
        <v>525</v>
      </c>
      <c r="P1580">
        <v>2.595110946661652E-2</v>
      </c>
      <c r="Q1580" t="s">
        <v>162</v>
      </c>
      <c r="S1580" t="s">
        <v>431</v>
      </c>
      <c r="T1580" t="s">
        <v>525</v>
      </c>
      <c r="U1580">
        <v>2.4585542088383965E-2</v>
      </c>
      <c r="V1580" t="s">
        <v>162</v>
      </c>
    </row>
    <row r="1581" spans="9:22" x14ac:dyDescent="0.45">
      <c r="I1581" t="s">
        <v>207</v>
      </c>
      <c r="J1581" t="s">
        <v>526</v>
      </c>
      <c r="K1581">
        <v>6.9125242972416156E-3</v>
      </c>
      <c r="L1581" t="s">
        <v>162</v>
      </c>
      <c r="N1581" t="s">
        <v>319</v>
      </c>
      <c r="O1581" t="s">
        <v>526</v>
      </c>
      <c r="P1581">
        <v>4.8369555810005085E-3</v>
      </c>
      <c r="Q1581" t="s">
        <v>162</v>
      </c>
      <c r="S1581" t="s">
        <v>431</v>
      </c>
      <c r="T1581" t="s">
        <v>526</v>
      </c>
      <c r="U1581">
        <v>5.1780012066168744E-3</v>
      </c>
      <c r="V1581" t="s">
        <v>162</v>
      </c>
    </row>
    <row r="1582" spans="9:22" x14ac:dyDescent="0.45">
      <c r="I1582" t="s">
        <v>207</v>
      </c>
      <c r="J1582" t="s">
        <v>527</v>
      </c>
      <c r="K1582">
        <v>7.0086860827623925E-3</v>
      </c>
      <c r="L1582" t="s">
        <v>162</v>
      </c>
      <c r="N1582" t="s">
        <v>319</v>
      </c>
      <c r="O1582" t="s">
        <v>527</v>
      </c>
      <c r="P1582">
        <v>2.8340658894433549E-2</v>
      </c>
      <c r="Q1582" t="s">
        <v>162</v>
      </c>
      <c r="S1582" t="s">
        <v>431</v>
      </c>
      <c r="T1582" t="s">
        <v>527</v>
      </c>
      <c r="U1582">
        <v>2.8060788700624541E-2</v>
      </c>
      <c r="V1582" t="s">
        <v>162</v>
      </c>
    </row>
    <row r="1583" spans="9:22" x14ac:dyDescent="0.45">
      <c r="I1583" t="s">
        <v>207</v>
      </c>
      <c r="J1583" t="s">
        <v>528</v>
      </c>
      <c r="K1583">
        <v>9.6175997799041901E-2</v>
      </c>
      <c r="L1583" t="s">
        <v>162</v>
      </c>
      <c r="N1583" t="s">
        <v>319</v>
      </c>
      <c r="O1583" t="s">
        <v>528</v>
      </c>
      <c r="P1583">
        <v>4.0797639544116159E-2</v>
      </c>
      <c r="Q1583" t="s">
        <v>162</v>
      </c>
      <c r="S1583" t="s">
        <v>431</v>
      </c>
      <c r="T1583" t="s">
        <v>528</v>
      </c>
      <c r="U1583">
        <v>7.9627563177571123E-2</v>
      </c>
      <c r="V1583" t="s">
        <v>162</v>
      </c>
    </row>
    <row r="1584" spans="9:22" x14ac:dyDescent="0.45">
      <c r="I1584" t="s">
        <v>207</v>
      </c>
      <c r="J1584" t="s">
        <v>529</v>
      </c>
      <c r="K1584">
        <v>3.3915426307413982E-2</v>
      </c>
      <c r="L1584" t="s">
        <v>162</v>
      </c>
      <c r="N1584" t="s">
        <v>319</v>
      </c>
      <c r="O1584" t="s">
        <v>529</v>
      </c>
      <c r="P1584">
        <v>2.9432639877921564E-3</v>
      </c>
      <c r="Q1584" t="s">
        <v>162</v>
      </c>
      <c r="S1584" t="s">
        <v>431</v>
      </c>
      <c r="T1584" t="s">
        <v>529</v>
      </c>
      <c r="U1584">
        <v>8.8040387029799418E-3</v>
      </c>
      <c r="V1584" t="s">
        <v>162</v>
      </c>
    </row>
    <row r="1585" spans="9:22" x14ac:dyDescent="0.45">
      <c r="I1585" t="s">
        <v>207</v>
      </c>
      <c r="J1585" t="s">
        <v>530</v>
      </c>
      <c r="K1585">
        <v>6.7803898397845078E-2</v>
      </c>
      <c r="L1585" t="s">
        <v>162</v>
      </c>
      <c r="N1585" t="s">
        <v>319</v>
      </c>
      <c r="O1585" t="s">
        <v>530</v>
      </c>
      <c r="P1585">
        <v>7.3572514074371209E-3</v>
      </c>
      <c r="Q1585" t="s">
        <v>162</v>
      </c>
      <c r="S1585" t="s">
        <v>431</v>
      </c>
      <c r="T1585" t="s">
        <v>530</v>
      </c>
      <c r="U1585">
        <v>1.7718438532841174E-2</v>
      </c>
      <c r="V1585" t="s">
        <v>162</v>
      </c>
    </row>
    <row r="1586" spans="9:22" x14ac:dyDescent="0.45">
      <c r="I1586" t="s">
        <v>207</v>
      </c>
      <c r="J1586" t="s">
        <v>531</v>
      </c>
      <c r="K1586">
        <v>0.15918850413956662</v>
      </c>
      <c r="L1586" t="s">
        <v>162</v>
      </c>
      <c r="N1586" t="s">
        <v>319</v>
      </c>
      <c r="O1586" t="s">
        <v>531</v>
      </c>
      <c r="P1586">
        <v>2.5426878727328305E-2</v>
      </c>
      <c r="Q1586" t="s">
        <v>162</v>
      </c>
      <c r="S1586" t="s">
        <v>431</v>
      </c>
      <c r="T1586" t="s">
        <v>531</v>
      </c>
      <c r="U1586">
        <v>4.4894552152495791E-2</v>
      </c>
      <c r="V1586" t="s">
        <v>162</v>
      </c>
    </row>
    <row r="1587" spans="9:22" x14ac:dyDescent="0.45">
      <c r="I1587" t="s">
        <v>207</v>
      </c>
      <c r="J1587" t="s">
        <v>532</v>
      </c>
      <c r="K1587">
        <v>2.4863285403750462E-2</v>
      </c>
      <c r="L1587" t="s">
        <v>162</v>
      </c>
      <c r="N1587" t="s">
        <v>319</v>
      </c>
      <c r="O1587" t="s">
        <v>532</v>
      </c>
      <c r="P1587">
        <v>6.1182984513366316E-3</v>
      </c>
      <c r="Q1587" t="s">
        <v>162</v>
      </c>
      <c r="S1587" t="s">
        <v>431</v>
      </c>
      <c r="T1587" t="s">
        <v>532</v>
      </c>
      <c r="U1587">
        <v>8.9075252779074309E-3</v>
      </c>
      <c r="V1587" t="s">
        <v>162</v>
      </c>
    </row>
    <row r="1588" spans="9:22" x14ac:dyDescent="0.45">
      <c r="I1588" t="s">
        <v>207</v>
      </c>
      <c r="J1588" t="s">
        <v>533</v>
      </c>
      <c r="K1588">
        <v>4.1076558390280259E-2</v>
      </c>
      <c r="L1588" t="s">
        <v>162</v>
      </c>
      <c r="N1588" t="s">
        <v>319</v>
      </c>
      <c r="O1588" t="s">
        <v>533</v>
      </c>
      <c r="P1588">
        <v>3.9851181702568246E-2</v>
      </c>
      <c r="Q1588" t="s">
        <v>162</v>
      </c>
      <c r="S1588" t="s">
        <v>431</v>
      </c>
      <c r="T1588" t="s">
        <v>533</v>
      </c>
      <c r="U1588">
        <v>5.4526562010420367E-2</v>
      </c>
      <c r="V1588" t="s">
        <v>162</v>
      </c>
    </row>
    <row r="1589" spans="9:22" x14ac:dyDescent="0.45">
      <c r="I1589" t="s">
        <v>207</v>
      </c>
      <c r="J1589" t="s">
        <v>534</v>
      </c>
      <c r="K1589">
        <v>4.0319663785494599E-2</v>
      </c>
      <c r="L1589" t="s">
        <v>162</v>
      </c>
      <c r="N1589" t="s">
        <v>319</v>
      </c>
      <c r="O1589" t="s">
        <v>534</v>
      </c>
      <c r="P1589">
        <v>7.4642318275808833E-2</v>
      </c>
      <c r="Q1589" t="s">
        <v>162</v>
      </c>
      <c r="S1589" t="s">
        <v>431</v>
      </c>
      <c r="T1589" t="s">
        <v>534</v>
      </c>
      <c r="U1589">
        <v>9.1975206209724714E-2</v>
      </c>
      <c r="V1589" t="s">
        <v>162</v>
      </c>
    </row>
    <row r="1590" spans="9:22" x14ac:dyDescent="0.45">
      <c r="I1590" t="s">
        <v>207</v>
      </c>
      <c r="J1590" t="s">
        <v>535</v>
      </c>
      <c r="K1590">
        <v>2.3073713081731811E-2</v>
      </c>
      <c r="L1590" t="s">
        <v>162</v>
      </c>
      <c r="N1590" t="s">
        <v>319</v>
      </c>
      <c r="O1590" t="s">
        <v>535</v>
      </c>
      <c r="P1590">
        <v>6.6727402994521141E-3</v>
      </c>
      <c r="Q1590" t="s">
        <v>162</v>
      </c>
      <c r="S1590" t="s">
        <v>431</v>
      </c>
      <c r="T1590" t="s">
        <v>535</v>
      </c>
      <c r="U1590">
        <v>1.1220283178261715E-2</v>
      </c>
      <c r="V1590" t="s">
        <v>162</v>
      </c>
    </row>
    <row r="1591" spans="9:22" x14ac:dyDescent="0.45">
      <c r="I1591" t="s">
        <v>207</v>
      </c>
      <c r="J1591" t="s">
        <v>536</v>
      </c>
      <c r="K1591">
        <v>4.9428532661148321E-2</v>
      </c>
      <c r="L1591" t="s">
        <v>162</v>
      </c>
      <c r="N1591" t="s">
        <v>319</v>
      </c>
      <c r="O1591" t="s">
        <v>536</v>
      </c>
      <c r="P1591">
        <v>1.3836371058460402E-2</v>
      </c>
      <c r="Q1591" t="s">
        <v>162</v>
      </c>
      <c r="S1591" t="s">
        <v>431</v>
      </c>
      <c r="T1591" t="s">
        <v>536</v>
      </c>
      <c r="U1591">
        <v>2.3423833221654464E-2</v>
      </c>
      <c r="V1591" t="s">
        <v>162</v>
      </c>
    </row>
    <row r="1592" spans="9:22" x14ac:dyDescent="0.45">
      <c r="I1592" t="s">
        <v>207</v>
      </c>
      <c r="J1592" t="s">
        <v>537</v>
      </c>
      <c r="K1592">
        <v>0.11030585189258305</v>
      </c>
      <c r="L1592" t="s">
        <v>162</v>
      </c>
      <c r="N1592" t="s">
        <v>319</v>
      </c>
      <c r="O1592" t="s">
        <v>537</v>
      </c>
      <c r="P1592">
        <v>3.5230715816393594E-2</v>
      </c>
      <c r="Q1592" t="s">
        <v>162</v>
      </c>
      <c r="S1592" t="s">
        <v>431</v>
      </c>
      <c r="T1592" t="s">
        <v>537</v>
      </c>
      <c r="U1592">
        <v>6.0578392754279016E-2</v>
      </c>
      <c r="V1592" t="s">
        <v>162</v>
      </c>
    </row>
    <row r="1593" spans="9:22" x14ac:dyDescent="0.45">
      <c r="I1593" t="s">
        <v>207</v>
      </c>
      <c r="J1593" t="s">
        <v>538</v>
      </c>
      <c r="K1593">
        <v>1.2923765656056898E-2</v>
      </c>
      <c r="L1593" t="s">
        <v>162</v>
      </c>
      <c r="N1593" t="s">
        <v>319</v>
      </c>
      <c r="O1593" t="s">
        <v>538</v>
      </c>
      <c r="P1593">
        <v>7.4461344784755561E-3</v>
      </c>
      <c r="Q1593" t="s">
        <v>162</v>
      </c>
      <c r="S1593" t="s">
        <v>431</v>
      </c>
      <c r="T1593" t="s">
        <v>538</v>
      </c>
      <c r="U1593">
        <v>1.1653026024599273E-2</v>
      </c>
      <c r="V1593" t="s">
        <v>162</v>
      </c>
    </row>
    <row r="1594" spans="9:22" x14ac:dyDescent="0.45">
      <c r="I1594" t="s">
        <v>207</v>
      </c>
      <c r="J1594" t="s">
        <v>539</v>
      </c>
      <c r="K1594">
        <v>1.1651441016677214E-2</v>
      </c>
      <c r="L1594" t="s">
        <v>162</v>
      </c>
      <c r="N1594" t="s">
        <v>319</v>
      </c>
      <c r="O1594" t="s">
        <v>539</v>
      </c>
      <c r="P1594">
        <v>5.4956901582741309E-2</v>
      </c>
      <c r="Q1594" t="s">
        <v>162</v>
      </c>
      <c r="S1594" t="s">
        <v>431</v>
      </c>
      <c r="T1594" t="s">
        <v>539</v>
      </c>
      <c r="U1594">
        <v>6.5438656724366093E-2</v>
      </c>
      <c r="V1594" t="s">
        <v>162</v>
      </c>
    </row>
    <row r="1595" spans="9:22" x14ac:dyDescent="0.45">
      <c r="I1595" t="s">
        <v>207</v>
      </c>
      <c r="J1595" t="s">
        <v>540</v>
      </c>
      <c r="K1595">
        <v>8.2557447962238839E-4</v>
      </c>
      <c r="L1595" t="s">
        <v>162</v>
      </c>
      <c r="N1595" t="s">
        <v>319</v>
      </c>
      <c r="O1595" t="s">
        <v>540</v>
      </c>
      <c r="P1595">
        <v>4.7830645175663516E-2</v>
      </c>
      <c r="Q1595" t="s">
        <v>162</v>
      </c>
      <c r="S1595" t="s">
        <v>431</v>
      </c>
      <c r="T1595" t="s">
        <v>540</v>
      </c>
      <c r="U1595">
        <v>3.6788273894931008E-2</v>
      </c>
      <c r="V1595" t="s">
        <v>162</v>
      </c>
    </row>
    <row r="1596" spans="9:22" x14ac:dyDescent="0.45">
      <c r="I1596" t="s">
        <v>207</v>
      </c>
      <c r="J1596" t="s">
        <v>541</v>
      </c>
      <c r="K1596">
        <v>2.2523672304510063E-3</v>
      </c>
      <c r="L1596" t="s">
        <v>162</v>
      </c>
      <c r="N1596" t="s">
        <v>319</v>
      </c>
      <c r="O1596" t="s">
        <v>541</v>
      </c>
      <c r="P1596">
        <v>4.9571699779316367E-3</v>
      </c>
      <c r="Q1596" t="s">
        <v>162</v>
      </c>
      <c r="S1596" t="s">
        <v>431</v>
      </c>
      <c r="T1596" t="s">
        <v>541</v>
      </c>
      <c r="U1596">
        <v>4.7094407311197442E-3</v>
      </c>
      <c r="V1596" t="s">
        <v>162</v>
      </c>
    </row>
    <row r="1597" spans="9:22" x14ac:dyDescent="0.45">
      <c r="I1597" t="s">
        <v>207</v>
      </c>
      <c r="J1597" t="s">
        <v>542</v>
      </c>
      <c r="K1597">
        <v>7.4579797867671141E-3</v>
      </c>
      <c r="L1597" t="s">
        <v>162</v>
      </c>
      <c r="N1597" t="s">
        <v>319</v>
      </c>
      <c r="O1597" t="s">
        <v>542</v>
      </c>
      <c r="P1597">
        <v>7.9964064659673092E-3</v>
      </c>
      <c r="Q1597" t="s">
        <v>162</v>
      </c>
      <c r="S1597" t="s">
        <v>431</v>
      </c>
      <c r="T1597" t="s">
        <v>542</v>
      </c>
      <c r="U1597">
        <v>9.8318067064270161E-3</v>
      </c>
      <c r="V1597" t="s">
        <v>162</v>
      </c>
    </row>
    <row r="1598" spans="9:22" x14ac:dyDescent="0.45">
      <c r="I1598" t="s">
        <v>207</v>
      </c>
      <c r="J1598" t="s">
        <v>543</v>
      </c>
      <c r="K1598">
        <v>1.3280880057958635E-2</v>
      </c>
      <c r="L1598" t="s">
        <v>162</v>
      </c>
      <c r="N1598" t="s">
        <v>319</v>
      </c>
      <c r="O1598" t="s">
        <v>543</v>
      </c>
      <c r="P1598">
        <v>1.8152817775541383E-2</v>
      </c>
      <c r="Q1598" t="s">
        <v>162</v>
      </c>
      <c r="S1598" t="s">
        <v>431</v>
      </c>
      <c r="T1598" t="s">
        <v>543</v>
      </c>
      <c r="U1598">
        <v>2.4690887497277221E-2</v>
      </c>
      <c r="V1598" t="s">
        <v>162</v>
      </c>
    </row>
    <row r="1599" spans="9:22" x14ac:dyDescent="0.45">
      <c r="I1599" t="s">
        <v>207</v>
      </c>
      <c r="J1599" t="s">
        <v>544</v>
      </c>
      <c r="K1599">
        <v>0</v>
      </c>
      <c r="L1599" t="s">
        <v>162</v>
      </c>
      <c r="N1599" t="s">
        <v>319</v>
      </c>
      <c r="O1599" t="s">
        <v>544</v>
      </c>
      <c r="P1599">
        <v>4.9463609678783559E-3</v>
      </c>
      <c r="Q1599" t="s">
        <v>162</v>
      </c>
      <c r="S1599" t="s">
        <v>431</v>
      </c>
      <c r="T1599" t="s">
        <v>544</v>
      </c>
      <c r="U1599">
        <v>4.4761810202127213E-3</v>
      </c>
      <c r="V1599" t="s">
        <v>162</v>
      </c>
    </row>
    <row r="1600" spans="9:22" x14ac:dyDescent="0.45">
      <c r="I1600" t="s">
        <v>207</v>
      </c>
      <c r="J1600" t="s">
        <v>545</v>
      </c>
      <c r="K1600">
        <v>0</v>
      </c>
      <c r="L1600" t="s">
        <v>162</v>
      </c>
      <c r="N1600" t="s">
        <v>319</v>
      </c>
      <c r="O1600" t="s">
        <v>545</v>
      </c>
      <c r="P1600">
        <v>3.2547574323590414E-2</v>
      </c>
      <c r="Q1600" t="s">
        <v>162</v>
      </c>
      <c r="S1600" t="s">
        <v>431</v>
      </c>
      <c r="T1600" t="s">
        <v>545</v>
      </c>
      <c r="U1600">
        <v>2.5539452476060289E-2</v>
      </c>
      <c r="V1600" t="s">
        <v>162</v>
      </c>
    </row>
    <row r="1601" spans="9:22" x14ac:dyDescent="0.45">
      <c r="I1601" t="s">
        <v>207</v>
      </c>
      <c r="J1601" t="s">
        <v>546</v>
      </c>
      <c r="K1601">
        <v>0</v>
      </c>
      <c r="L1601" t="s">
        <v>162</v>
      </c>
      <c r="N1601" t="s">
        <v>319</v>
      </c>
      <c r="O1601" t="s">
        <v>546</v>
      </c>
      <c r="P1601">
        <v>6.7228801834617047E-2</v>
      </c>
      <c r="Q1601" t="s">
        <v>162</v>
      </c>
      <c r="S1601" t="s">
        <v>431</v>
      </c>
      <c r="T1601" t="s">
        <v>546</v>
      </c>
      <c r="U1601">
        <v>3.2203425808536981E-2</v>
      </c>
      <c r="V1601" t="s">
        <v>162</v>
      </c>
    </row>
    <row r="1602" spans="9:22" x14ac:dyDescent="0.45">
      <c r="I1602" t="s">
        <v>207</v>
      </c>
      <c r="J1602" t="s">
        <v>547</v>
      </c>
      <c r="K1602">
        <v>8.173892609757992E-4</v>
      </c>
      <c r="L1602" t="s">
        <v>162</v>
      </c>
      <c r="N1602" t="s">
        <v>319</v>
      </c>
      <c r="O1602" t="s">
        <v>547</v>
      </c>
      <c r="P1602">
        <v>6.744736525376778E-3</v>
      </c>
      <c r="Q1602" t="s">
        <v>162</v>
      </c>
      <c r="S1602" t="s">
        <v>431</v>
      </c>
      <c r="T1602" t="s">
        <v>547</v>
      </c>
      <c r="U1602">
        <v>3.6968383407494638E-3</v>
      </c>
      <c r="V1602" t="s">
        <v>162</v>
      </c>
    </row>
    <row r="1603" spans="9:22" x14ac:dyDescent="0.45">
      <c r="I1603" t="s">
        <v>207</v>
      </c>
      <c r="J1603" t="s">
        <v>548</v>
      </c>
      <c r="K1603">
        <v>5.2710660191712866E-3</v>
      </c>
      <c r="L1603" t="s">
        <v>162</v>
      </c>
      <c r="N1603" t="s">
        <v>319</v>
      </c>
      <c r="O1603" t="s">
        <v>548</v>
      </c>
      <c r="P1603">
        <v>1.1748203506132203E-2</v>
      </c>
      <c r="Q1603" t="s">
        <v>162</v>
      </c>
      <c r="S1603" t="s">
        <v>431</v>
      </c>
      <c r="T1603" t="s">
        <v>548</v>
      </c>
      <c r="U1603">
        <v>7.2472378068551089E-3</v>
      </c>
      <c r="V1603" t="s">
        <v>162</v>
      </c>
    </row>
    <row r="1604" spans="9:22" x14ac:dyDescent="0.45">
      <c r="I1604" t="s">
        <v>207</v>
      </c>
      <c r="J1604" t="s">
        <v>549</v>
      </c>
      <c r="K1604">
        <v>8.2224553292782696E-3</v>
      </c>
      <c r="L1604" t="s">
        <v>162</v>
      </c>
      <c r="N1604" t="s">
        <v>319</v>
      </c>
      <c r="O1604" t="s">
        <v>549</v>
      </c>
      <c r="P1604">
        <v>2.8232251785709674E-2</v>
      </c>
      <c r="Q1604" t="s">
        <v>162</v>
      </c>
      <c r="S1604" t="s">
        <v>431</v>
      </c>
      <c r="T1604" t="s">
        <v>549</v>
      </c>
      <c r="U1604">
        <v>1.6997754920150612E-2</v>
      </c>
      <c r="V1604" t="s">
        <v>162</v>
      </c>
    </row>
    <row r="1605" spans="9:22" x14ac:dyDescent="0.45">
      <c r="I1605" t="s">
        <v>207</v>
      </c>
      <c r="J1605" t="s">
        <v>550</v>
      </c>
      <c r="K1605">
        <v>0</v>
      </c>
      <c r="L1605" t="s">
        <v>162</v>
      </c>
      <c r="N1605" t="s">
        <v>319</v>
      </c>
      <c r="O1605" t="s">
        <v>550</v>
      </c>
      <c r="P1605">
        <v>6.9851411340209326E-3</v>
      </c>
      <c r="Q1605" t="s">
        <v>162</v>
      </c>
      <c r="S1605" t="s">
        <v>431</v>
      </c>
      <c r="T1605" t="s">
        <v>550</v>
      </c>
      <c r="U1605">
        <v>3.3588929967851887E-3</v>
      </c>
      <c r="V1605" t="s">
        <v>162</v>
      </c>
    </row>
    <row r="1606" spans="9:22" x14ac:dyDescent="0.45">
      <c r="I1606" t="s">
        <v>207</v>
      </c>
      <c r="J1606" t="s">
        <v>551</v>
      </c>
      <c r="K1606">
        <v>0</v>
      </c>
      <c r="L1606" t="s">
        <v>162</v>
      </c>
      <c r="N1606" t="s">
        <v>319</v>
      </c>
      <c r="O1606" t="s">
        <v>551</v>
      </c>
      <c r="P1606">
        <v>4.3967348150111454E-2</v>
      </c>
      <c r="Q1606" t="s">
        <v>162</v>
      </c>
      <c r="S1606" t="s">
        <v>431</v>
      </c>
      <c r="T1606" t="s">
        <v>551</v>
      </c>
      <c r="U1606">
        <v>1.8458853277343795E-2</v>
      </c>
      <c r="V1606" t="s">
        <v>162</v>
      </c>
    </row>
    <row r="1607" spans="9:22" x14ac:dyDescent="0.45">
      <c r="I1607" t="s">
        <v>208</v>
      </c>
      <c r="J1607" t="s">
        <v>161</v>
      </c>
      <c r="K1607">
        <v>0</v>
      </c>
      <c r="L1607" t="s">
        <v>162</v>
      </c>
      <c r="N1607" t="s">
        <v>320</v>
      </c>
      <c r="O1607" t="s">
        <v>161</v>
      </c>
      <c r="P1607">
        <v>3.8545229285268837E-2</v>
      </c>
      <c r="Q1607" t="s">
        <v>162</v>
      </c>
      <c r="S1607" t="s">
        <v>432</v>
      </c>
      <c r="T1607" t="s">
        <v>161</v>
      </c>
      <c r="U1607">
        <v>3.3331119218716961E-2</v>
      </c>
      <c r="V1607" t="s">
        <v>162</v>
      </c>
    </row>
    <row r="1608" spans="9:22" x14ac:dyDescent="0.45">
      <c r="I1608" t="s">
        <v>208</v>
      </c>
      <c r="J1608" t="s">
        <v>163</v>
      </c>
      <c r="K1608">
        <v>9.7353895722326357E-4</v>
      </c>
      <c r="L1608" t="s">
        <v>162</v>
      </c>
      <c r="N1608" t="s">
        <v>320</v>
      </c>
      <c r="O1608" t="s">
        <v>163</v>
      </c>
      <c r="P1608">
        <v>4.298508847178314E-3</v>
      </c>
      <c r="Q1608" t="s">
        <v>162</v>
      </c>
      <c r="S1608" t="s">
        <v>432</v>
      </c>
      <c r="T1608" t="s">
        <v>163</v>
      </c>
      <c r="U1608">
        <v>3.727065537795015E-3</v>
      </c>
      <c r="V1608" t="s">
        <v>162</v>
      </c>
    </row>
    <row r="1609" spans="9:22" x14ac:dyDescent="0.45">
      <c r="I1609" t="s">
        <v>208</v>
      </c>
      <c r="J1609" t="s">
        <v>164</v>
      </c>
      <c r="K1609">
        <v>5.3877452580127121E-3</v>
      </c>
      <c r="L1609" t="s">
        <v>162</v>
      </c>
      <c r="N1609" t="s">
        <v>320</v>
      </c>
      <c r="O1609" t="s">
        <v>164</v>
      </c>
      <c r="P1609">
        <v>8.2518328282299071E-3</v>
      </c>
      <c r="Q1609" t="s">
        <v>162</v>
      </c>
      <c r="S1609" t="s">
        <v>432</v>
      </c>
      <c r="T1609" t="s">
        <v>164</v>
      </c>
      <c r="U1609">
        <v>7.5679935677419501E-3</v>
      </c>
      <c r="V1609" t="s">
        <v>162</v>
      </c>
    </row>
    <row r="1610" spans="9:22" x14ac:dyDescent="0.45">
      <c r="I1610" t="s">
        <v>208</v>
      </c>
      <c r="J1610" t="s">
        <v>519</v>
      </c>
      <c r="K1610">
        <v>9.1694881730755851E-3</v>
      </c>
      <c r="L1610" t="s">
        <v>162</v>
      </c>
      <c r="N1610" t="s">
        <v>320</v>
      </c>
      <c r="O1610" t="s">
        <v>519</v>
      </c>
      <c r="P1610">
        <v>2.074199798437075E-2</v>
      </c>
      <c r="Q1610" t="s">
        <v>162</v>
      </c>
      <c r="S1610" t="s">
        <v>432</v>
      </c>
      <c r="T1610" t="s">
        <v>519</v>
      </c>
      <c r="U1610">
        <v>1.9255318865558708E-2</v>
      </c>
      <c r="V1610" t="s">
        <v>162</v>
      </c>
    </row>
    <row r="1611" spans="9:22" x14ac:dyDescent="0.45">
      <c r="I1611" t="s">
        <v>208</v>
      </c>
      <c r="J1611" t="s">
        <v>520</v>
      </c>
      <c r="K1611">
        <v>0</v>
      </c>
      <c r="L1611" t="s">
        <v>162</v>
      </c>
      <c r="N1611" t="s">
        <v>320</v>
      </c>
      <c r="O1611" t="s">
        <v>520</v>
      </c>
      <c r="P1611">
        <v>4.5433345317512745E-3</v>
      </c>
      <c r="Q1611" t="s">
        <v>162</v>
      </c>
      <c r="S1611" t="s">
        <v>432</v>
      </c>
      <c r="T1611" t="s">
        <v>520</v>
      </c>
      <c r="U1611">
        <v>4.0788462122456305E-3</v>
      </c>
      <c r="V1611" t="s">
        <v>162</v>
      </c>
    </row>
    <row r="1612" spans="9:22" x14ac:dyDescent="0.45">
      <c r="I1612" t="s">
        <v>208</v>
      </c>
      <c r="J1612" t="s">
        <v>521</v>
      </c>
      <c r="K1612">
        <v>0</v>
      </c>
      <c r="L1612" t="s">
        <v>162</v>
      </c>
      <c r="N1612" t="s">
        <v>320</v>
      </c>
      <c r="O1612" t="s">
        <v>521</v>
      </c>
      <c r="P1612">
        <v>2.5524343396821594E-2</v>
      </c>
      <c r="Q1612" t="s">
        <v>162</v>
      </c>
      <c r="S1612" t="s">
        <v>432</v>
      </c>
      <c r="T1612" t="s">
        <v>521</v>
      </c>
      <c r="U1612">
        <v>2.3648115881456402E-2</v>
      </c>
      <c r="V1612" t="s">
        <v>162</v>
      </c>
    </row>
    <row r="1613" spans="9:22" x14ac:dyDescent="0.45">
      <c r="I1613" t="s">
        <v>208</v>
      </c>
      <c r="J1613" t="s">
        <v>165</v>
      </c>
      <c r="K1613">
        <v>2.0217633999820277E-2</v>
      </c>
      <c r="L1613" t="s">
        <v>162</v>
      </c>
      <c r="N1613" t="s">
        <v>320</v>
      </c>
      <c r="O1613" t="s">
        <v>165</v>
      </c>
      <c r="P1613">
        <v>6.7141510873727481E-2</v>
      </c>
      <c r="Q1613" t="s">
        <v>162</v>
      </c>
      <c r="S1613" t="s">
        <v>432</v>
      </c>
      <c r="T1613" t="s">
        <v>165</v>
      </c>
      <c r="U1613">
        <v>5.1964867505389062E-2</v>
      </c>
      <c r="V1613" t="s">
        <v>162</v>
      </c>
    </row>
    <row r="1614" spans="9:22" x14ac:dyDescent="0.45">
      <c r="I1614" t="s">
        <v>208</v>
      </c>
      <c r="J1614" t="s">
        <v>166</v>
      </c>
      <c r="K1614">
        <v>1.6754240475370136E-2</v>
      </c>
      <c r="L1614" t="s">
        <v>162</v>
      </c>
      <c r="N1614" t="s">
        <v>320</v>
      </c>
      <c r="O1614" t="s">
        <v>166</v>
      </c>
      <c r="P1614">
        <v>7.1828495648182996E-3</v>
      </c>
      <c r="Q1614" t="s">
        <v>162</v>
      </c>
      <c r="S1614" t="s">
        <v>432</v>
      </c>
      <c r="T1614" t="s">
        <v>166</v>
      </c>
      <c r="U1614">
        <v>5.6802281850483749E-3</v>
      </c>
      <c r="V1614" t="s">
        <v>162</v>
      </c>
    </row>
    <row r="1615" spans="9:22" x14ac:dyDescent="0.45">
      <c r="I1615" t="s">
        <v>208</v>
      </c>
      <c r="J1615" t="s">
        <v>167</v>
      </c>
      <c r="K1615">
        <v>3.7326686959212187E-2</v>
      </c>
      <c r="L1615" t="s">
        <v>162</v>
      </c>
      <c r="N1615" t="s">
        <v>320</v>
      </c>
      <c r="O1615" t="s">
        <v>167</v>
      </c>
      <c r="P1615">
        <v>1.2655807842828959E-2</v>
      </c>
      <c r="Q1615" t="s">
        <v>162</v>
      </c>
      <c r="S1615" t="s">
        <v>432</v>
      </c>
      <c r="T1615" t="s">
        <v>167</v>
      </c>
      <c r="U1615">
        <v>1.1076468262994594E-2</v>
      </c>
      <c r="V1615" t="s">
        <v>162</v>
      </c>
    </row>
    <row r="1616" spans="9:22" x14ac:dyDescent="0.45">
      <c r="I1616" t="s">
        <v>208</v>
      </c>
      <c r="J1616" t="s">
        <v>522</v>
      </c>
      <c r="K1616">
        <v>7.9564052866384141E-2</v>
      </c>
      <c r="L1616" t="s">
        <v>162</v>
      </c>
      <c r="N1616" t="s">
        <v>320</v>
      </c>
      <c r="O1616" t="s">
        <v>522</v>
      </c>
      <c r="P1616">
        <v>2.9018341973034732E-2</v>
      </c>
      <c r="Q1616" t="s">
        <v>162</v>
      </c>
      <c r="S1616" t="s">
        <v>432</v>
      </c>
      <c r="T1616" t="s">
        <v>522</v>
      </c>
      <c r="U1616">
        <v>2.6412680888757478E-2</v>
      </c>
      <c r="V1616" t="s">
        <v>162</v>
      </c>
    </row>
    <row r="1617" spans="9:22" x14ac:dyDescent="0.45">
      <c r="I1617" t="s">
        <v>208</v>
      </c>
      <c r="J1617" t="s">
        <v>523</v>
      </c>
      <c r="K1617">
        <v>6.7783407452647187E-3</v>
      </c>
      <c r="L1617" t="s">
        <v>162</v>
      </c>
      <c r="N1617" t="s">
        <v>320</v>
      </c>
      <c r="O1617" t="s">
        <v>523</v>
      </c>
      <c r="P1617">
        <v>6.2435663872217996E-3</v>
      </c>
      <c r="Q1617" t="s">
        <v>162</v>
      </c>
      <c r="S1617" t="s">
        <v>432</v>
      </c>
      <c r="T1617" t="s">
        <v>523</v>
      </c>
      <c r="U1617">
        <v>5.2196235578694716E-3</v>
      </c>
      <c r="V1617" t="s">
        <v>162</v>
      </c>
    </row>
    <row r="1618" spans="9:22" x14ac:dyDescent="0.45">
      <c r="I1618" t="s">
        <v>208</v>
      </c>
      <c r="J1618" t="s">
        <v>524</v>
      </c>
      <c r="K1618">
        <v>1.7081775567861959E-3</v>
      </c>
      <c r="L1618" t="s">
        <v>162</v>
      </c>
      <c r="N1618" t="s">
        <v>320</v>
      </c>
      <c r="O1618" t="s">
        <v>524</v>
      </c>
      <c r="P1618">
        <v>4.2351773455300099E-2</v>
      </c>
      <c r="Q1618" t="s">
        <v>162</v>
      </c>
      <c r="S1618" t="s">
        <v>432</v>
      </c>
      <c r="T1618" t="s">
        <v>524</v>
      </c>
      <c r="U1618">
        <v>3.1262585313440852E-2</v>
      </c>
      <c r="V1618" t="s">
        <v>162</v>
      </c>
    </row>
    <row r="1619" spans="9:22" x14ac:dyDescent="0.45">
      <c r="I1619" t="s">
        <v>208</v>
      </c>
      <c r="J1619" t="s">
        <v>168</v>
      </c>
      <c r="K1619">
        <v>2.2196617639842833E-2</v>
      </c>
      <c r="L1619" t="s">
        <v>162</v>
      </c>
      <c r="N1619" t="s">
        <v>320</v>
      </c>
      <c r="O1619" t="s">
        <v>168</v>
      </c>
      <c r="P1619">
        <v>3.9196391831017058E-2</v>
      </c>
      <c r="Q1619" t="s">
        <v>162</v>
      </c>
      <c r="S1619" t="s">
        <v>432</v>
      </c>
      <c r="T1619" t="s">
        <v>168</v>
      </c>
      <c r="U1619">
        <v>3.5654154280784271E-2</v>
      </c>
      <c r="V1619" t="s">
        <v>162</v>
      </c>
    </row>
    <row r="1620" spans="9:22" x14ac:dyDescent="0.45">
      <c r="I1620" t="s">
        <v>208</v>
      </c>
      <c r="J1620" t="s">
        <v>169</v>
      </c>
      <c r="K1620">
        <v>9.6356895804288502E-3</v>
      </c>
      <c r="L1620" t="s">
        <v>162</v>
      </c>
      <c r="N1620" t="s">
        <v>320</v>
      </c>
      <c r="O1620" t="s">
        <v>169</v>
      </c>
      <c r="P1620">
        <v>3.6879635487587301E-3</v>
      </c>
      <c r="Q1620" t="s">
        <v>162</v>
      </c>
      <c r="S1620" t="s">
        <v>432</v>
      </c>
      <c r="T1620" t="s">
        <v>169</v>
      </c>
      <c r="U1620">
        <v>3.8592410794952839E-3</v>
      </c>
      <c r="V1620" t="s">
        <v>162</v>
      </c>
    </row>
    <row r="1621" spans="9:22" x14ac:dyDescent="0.45">
      <c r="I1621" t="s">
        <v>208</v>
      </c>
      <c r="J1621" t="s">
        <v>170</v>
      </c>
      <c r="K1621">
        <v>2.1249323612470353E-2</v>
      </c>
      <c r="L1621" t="s">
        <v>162</v>
      </c>
      <c r="N1621" t="s">
        <v>320</v>
      </c>
      <c r="O1621" t="s">
        <v>170</v>
      </c>
      <c r="P1621">
        <v>7.3783962690520772E-3</v>
      </c>
      <c r="Q1621" t="s">
        <v>162</v>
      </c>
      <c r="S1621" t="s">
        <v>432</v>
      </c>
      <c r="T1621" t="s">
        <v>170</v>
      </c>
      <c r="U1621">
        <v>7.7476807574242221E-3</v>
      </c>
      <c r="V1621" t="s">
        <v>162</v>
      </c>
    </row>
    <row r="1622" spans="9:22" x14ac:dyDescent="0.45">
      <c r="I1622" t="s">
        <v>208</v>
      </c>
      <c r="J1622" t="s">
        <v>525</v>
      </c>
      <c r="K1622">
        <v>4.6640702539579242E-2</v>
      </c>
      <c r="L1622" t="s">
        <v>162</v>
      </c>
      <c r="N1622" t="s">
        <v>320</v>
      </c>
      <c r="O1622" t="s">
        <v>525</v>
      </c>
      <c r="P1622">
        <v>1.9875983809239696E-2</v>
      </c>
      <c r="Q1622" t="s">
        <v>162</v>
      </c>
      <c r="S1622" t="s">
        <v>432</v>
      </c>
      <c r="T1622" t="s">
        <v>525</v>
      </c>
      <c r="U1622">
        <v>2.103729537769846E-2</v>
      </c>
      <c r="V1622" t="s">
        <v>162</v>
      </c>
    </row>
    <row r="1623" spans="9:22" x14ac:dyDescent="0.45">
      <c r="I1623" t="s">
        <v>208</v>
      </c>
      <c r="J1623" t="s">
        <v>526</v>
      </c>
      <c r="K1623">
        <v>6.2022385986402577E-3</v>
      </c>
      <c r="L1623" t="s">
        <v>162</v>
      </c>
      <c r="N1623" t="s">
        <v>320</v>
      </c>
      <c r="O1623" t="s">
        <v>526</v>
      </c>
      <c r="P1623">
        <v>3.8187135995618512E-3</v>
      </c>
      <c r="Q1623" t="s">
        <v>162</v>
      </c>
      <c r="S1623" t="s">
        <v>432</v>
      </c>
      <c r="T1623" t="s">
        <v>526</v>
      </c>
      <c r="U1623">
        <v>4.2324416939245376E-3</v>
      </c>
      <c r="V1623" t="s">
        <v>162</v>
      </c>
    </row>
    <row r="1624" spans="9:22" x14ac:dyDescent="0.45">
      <c r="I1624" t="s">
        <v>208</v>
      </c>
      <c r="J1624" t="s">
        <v>527</v>
      </c>
      <c r="K1624">
        <v>5.6030770435642569E-3</v>
      </c>
      <c r="L1624" t="s">
        <v>162</v>
      </c>
      <c r="N1624" t="s">
        <v>320</v>
      </c>
      <c r="O1624" t="s">
        <v>527</v>
      </c>
      <c r="P1624">
        <v>2.6079663022071417E-2</v>
      </c>
      <c r="Q1624" t="s">
        <v>162</v>
      </c>
      <c r="S1624" t="s">
        <v>432</v>
      </c>
      <c r="T1624" t="s">
        <v>527</v>
      </c>
      <c r="U1624">
        <v>2.5518974909464576E-2</v>
      </c>
      <c r="V1624" t="s">
        <v>162</v>
      </c>
    </row>
    <row r="1625" spans="9:22" x14ac:dyDescent="0.45">
      <c r="I1625" t="s">
        <v>208</v>
      </c>
      <c r="J1625" t="s">
        <v>528</v>
      </c>
      <c r="K1625">
        <v>0.11182923419399055</v>
      </c>
      <c r="L1625" t="s">
        <v>162</v>
      </c>
      <c r="N1625" t="s">
        <v>320</v>
      </c>
      <c r="O1625" t="s">
        <v>528</v>
      </c>
      <c r="P1625">
        <v>8.576545182346039E-2</v>
      </c>
      <c r="Q1625" t="s">
        <v>162</v>
      </c>
      <c r="S1625" t="s">
        <v>432</v>
      </c>
      <c r="T1625" t="s">
        <v>528</v>
      </c>
      <c r="U1625">
        <v>7.6009227370791396E-2</v>
      </c>
      <c r="V1625" t="s">
        <v>162</v>
      </c>
    </row>
    <row r="1626" spans="9:22" x14ac:dyDescent="0.45">
      <c r="I1626" t="s">
        <v>208</v>
      </c>
      <c r="J1626" t="s">
        <v>529</v>
      </c>
      <c r="K1626">
        <v>3.4300193258472458E-2</v>
      </c>
      <c r="L1626" t="s">
        <v>162</v>
      </c>
      <c r="N1626" t="s">
        <v>320</v>
      </c>
      <c r="O1626" t="s">
        <v>529</v>
      </c>
      <c r="P1626">
        <v>7.0536683608715478E-3</v>
      </c>
      <c r="Q1626" t="s">
        <v>162</v>
      </c>
      <c r="S1626" t="s">
        <v>432</v>
      </c>
      <c r="T1626" t="s">
        <v>529</v>
      </c>
      <c r="U1626">
        <v>8.1789301737005844E-3</v>
      </c>
      <c r="V1626" t="s">
        <v>162</v>
      </c>
    </row>
    <row r="1627" spans="9:22" x14ac:dyDescent="0.45">
      <c r="I1627" t="s">
        <v>208</v>
      </c>
      <c r="J1627" t="s">
        <v>530</v>
      </c>
      <c r="K1627">
        <v>6.6111404294466838E-2</v>
      </c>
      <c r="L1627" t="s">
        <v>162</v>
      </c>
      <c r="N1627" t="s">
        <v>320</v>
      </c>
      <c r="O1627" t="s">
        <v>530</v>
      </c>
      <c r="P1627">
        <v>1.625808363185877E-2</v>
      </c>
      <c r="Q1627" t="s">
        <v>162</v>
      </c>
      <c r="S1627" t="s">
        <v>432</v>
      </c>
      <c r="T1627" t="s">
        <v>530</v>
      </c>
      <c r="U1627">
        <v>1.6035622735584312E-2</v>
      </c>
      <c r="V1627" t="s">
        <v>162</v>
      </c>
    </row>
    <row r="1628" spans="9:22" x14ac:dyDescent="0.45">
      <c r="I1628" t="s">
        <v>208</v>
      </c>
      <c r="J1628" t="s">
        <v>531</v>
      </c>
      <c r="K1628">
        <v>0.14581786631566995</v>
      </c>
      <c r="L1628" t="s">
        <v>162</v>
      </c>
      <c r="N1628" t="s">
        <v>320</v>
      </c>
      <c r="O1628" t="s">
        <v>531</v>
      </c>
      <c r="P1628">
        <v>4.7165228755893754E-2</v>
      </c>
      <c r="Q1628" t="s">
        <v>162</v>
      </c>
      <c r="S1628" t="s">
        <v>432</v>
      </c>
      <c r="T1628" t="s">
        <v>531</v>
      </c>
      <c r="U1628">
        <v>3.9686983257345293E-2</v>
      </c>
      <c r="V1628" t="s">
        <v>162</v>
      </c>
    </row>
    <row r="1629" spans="9:22" x14ac:dyDescent="0.45">
      <c r="I1629" t="s">
        <v>208</v>
      </c>
      <c r="J1629" t="s">
        <v>532</v>
      </c>
      <c r="K1629">
        <v>2.1986827887637644E-2</v>
      </c>
      <c r="L1629" t="s">
        <v>162</v>
      </c>
      <c r="N1629" t="s">
        <v>320</v>
      </c>
      <c r="O1629" t="s">
        <v>532</v>
      </c>
      <c r="P1629">
        <v>8.5932552918937324E-3</v>
      </c>
      <c r="Q1629" t="s">
        <v>162</v>
      </c>
      <c r="S1629" t="s">
        <v>432</v>
      </c>
      <c r="T1629" t="s">
        <v>532</v>
      </c>
      <c r="U1629">
        <v>7.9977217687545801E-3</v>
      </c>
      <c r="V1629" t="s">
        <v>162</v>
      </c>
    </row>
    <row r="1630" spans="9:22" x14ac:dyDescent="0.45">
      <c r="I1630" t="s">
        <v>208</v>
      </c>
      <c r="J1630" t="s">
        <v>533</v>
      </c>
      <c r="K1630">
        <v>3.6549070723799662E-2</v>
      </c>
      <c r="L1630" t="s">
        <v>162</v>
      </c>
      <c r="N1630" t="s">
        <v>320</v>
      </c>
      <c r="O1630" t="s">
        <v>533</v>
      </c>
      <c r="P1630">
        <v>5.8705214510214508E-2</v>
      </c>
      <c r="Q1630" t="s">
        <v>162</v>
      </c>
      <c r="S1630" t="s">
        <v>432</v>
      </c>
      <c r="T1630" t="s">
        <v>533</v>
      </c>
      <c r="U1630">
        <v>4.8759296643707539E-2</v>
      </c>
      <c r="V1630" t="s">
        <v>162</v>
      </c>
    </row>
    <row r="1631" spans="9:22" x14ac:dyDescent="0.45">
      <c r="I1631" t="s">
        <v>208</v>
      </c>
      <c r="J1631" t="s">
        <v>534</v>
      </c>
      <c r="K1631">
        <v>5.2184513295219982E-2</v>
      </c>
      <c r="L1631" t="s">
        <v>162</v>
      </c>
      <c r="N1631" t="s">
        <v>320</v>
      </c>
      <c r="O1631" t="s">
        <v>534</v>
      </c>
      <c r="P1631">
        <v>8.9331585963860372E-2</v>
      </c>
      <c r="Q1631" t="s">
        <v>162</v>
      </c>
      <c r="S1631" t="s">
        <v>432</v>
      </c>
      <c r="T1631" t="s">
        <v>534</v>
      </c>
      <c r="U1631">
        <v>0.11039360383612519</v>
      </c>
      <c r="V1631" t="s">
        <v>162</v>
      </c>
    </row>
    <row r="1632" spans="9:22" x14ac:dyDescent="0.45">
      <c r="I1632" t="s">
        <v>208</v>
      </c>
      <c r="J1632" t="s">
        <v>535</v>
      </c>
      <c r="K1632">
        <v>2.5382545383066422E-2</v>
      </c>
      <c r="L1632" t="s">
        <v>162</v>
      </c>
      <c r="N1632" t="s">
        <v>320</v>
      </c>
      <c r="O1632" t="s">
        <v>535</v>
      </c>
      <c r="P1632">
        <v>7.0057014387508425E-3</v>
      </c>
      <c r="Q1632" t="s">
        <v>162</v>
      </c>
      <c r="S1632" t="s">
        <v>432</v>
      </c>
      <c r="T1632" t="s">
        <v>535</v>
      </c>
      <c r="U1632">
        <v>1.1760172701007109E-2</v>
      </c>
      <c r="V1632" t="s">
        <v>162</v>
      </c>
    </row>
    <row r="1633" spans="9:22" x14ac:dyDescent="0.45">
      <c r="I1633" t="s">
        <v>208</v>
      </c>
      <c r="J1633" t="s">
        <v>536</v>
      </c>
      <c r="K1633">
        <v>5.0638308694604145E-2</v>
      </c>
      <c r="L1633" t="s">
        <v>162</v>
      </c>
      <c r="N1633" t="s">
        <v>320</v>
      </c>
      <c r="O1633" t="s">
        <v>536</v>
      </c>
      <c r="P1633">
        <v>1.4423425112591105E-2</v>
      </c>
      <c r="Q1633" t="s">
        <v>162</v>
      </c>
      <c r="S1633" t="s">
        <v>432</v>
      </c>
      <c r="T1633" t="s">
        <v>536</v>
      </c>
      <c r="U1633">
        <v>2.4092525064537004E-2</v>
      </c>
      <c r="V1633" t="s">
        <v>162</v>
      </c>
    </row>
    <row r="1634" spans="9:22" x14ac:dyDescent="0.45">
      <c r="I1634" t="s">
        <v>208</v>
      </c>
      <c r="J1634" t="s">
        <v>537</v>
      </c>
      <c r="K1634">
        <v>0.10799789826798926</v>
      </c>
      <c r="L1634" t="s">
        <v>162</v>
      </c>
      <c r="N1634" t="s">
        <v>320</v>
      </c>
      <c r="O1634" t="s">
        <v>537</v>
      </c>
      <c r="P1634">
        <v>4.0880020567134558E-2</v>
      </c>
      <c r="Q1634" t="s">
        <v>162</v>
      </c>
      <c r="S1634" t="s">
        <v>432</v>
      </c>
      <c r="T1634" t="s">
        <v>537</v>
      </c>
      <c r="U1634">
        <v>6.1233783862780986E-2</v>
      </c>
      <c r="V1634" t="s">
        <v>162</v>
      </c>
    </row>
    <row r="1635" spans="9:22" x14ac:dyDescent="0.45">
      <c r="I1635" t="s">
        <v>208</v>
      </c>
      <c r="J1635" t="s">
        <v>538</v>
      </c>
      <c r="K1635">
        <v>1.1737795063405882E-2</v>
      </c>
      <c r="L1635" t="s">
        <v>162</v>
      </c>
      <c r="N1635" t="s">
        <v>320</v>
      </c>
      <c r="O1635" t="s">
        <v>538</v>
      </c>
      <c r="P1635">
        <v>7.5814283149691596E-3</v>
      </c>
      <c r="Q1635" t="s">
        <v>162</v>
      </c>
      <c r="S1635" t="s">
        <v>432</v>
      </c>
      <c r="T1635" t="s">
        <v>538</v>
      </c>
      <c r="U1635">
        <v>1.2424426489863933E-2</v>
      </c>
      <c r="V1635" t="s">
        <v>162</v>
      </c>
    </row>
    <row r="1636" spans="9:22" x14ac:dyDescent="0.45">
      <c r="I1636" t="s">
        <v>208</v>
      </c>
      <c r="J1636" t="s">
        <v>539</v>
      </c>
      <c r="K1636">
        <v>1.0050127017240375E-2</v>
      </c>
      <c r="L1636" t="s">
        <v>162</v>
      </c>
      <c r="N1636" t="s">
        <v>320</v>
      </c>
      <c r="O1636" t="s">
        <v>539</v>
      </c>
      <c r="P1636">
        <v>6.2116018471901603E-2</v>
      </c>
      <c r="Q1636" t="s">
        <v>162</v>
      </c>
      <c r="S1636" t="s">
        <v>432</v>
      </c>
      <c r="T1636" t="s">
        <v>539</v>
      </c>
      <c r="U1636">
        <v>7.4016322719389668E-2</v>
      </c>
      <c r="V1636" t="s">
        <v>162</v>
      </c>
    </row>
    <row r="1637" spans="9:22" x14ac:dyDescent="0.45">
      <c r="I1637" t="s">
        <v>208</v>
      </c>
      <c r="J1637" t="s">
        <v>540</v>
      </c>
      <c r="K1637">
        <v>1.2258338086543741E-3</v>
      </c>
      <c r="L1637" t="s">
        <v>162</v>
      </c>
      <c r="N1637" t="s">
        <v>320</v>
      </c>
      <c r="O1637" t="s">
        <v>540</v>
      </c>
      <c r="P1637">
        <v>3.8261187972486038E-2</v>
      </c>
      <c r="Q1637" t="s">
        <v>162</v>
      </c>
      <c r="S1637" t="s">
        <v>432</v>
      </c>
      <c r="T1637" t="s">
        <v>540</v>
      </c>
      <c r="U1637">
        <v>3.7928407912810651E-2</v>
      </c>
      <c r="V1637" t="s">
        <v>162</v>
      </c>
    </row>
    <row r="1638" spans="9:22" x14ac:dyDescent="0.45">
      <c r="I1638" t="s">
        <v>208</v>
      </c>
      <c r="J1638" t="s">
        <v>541</v>
      </c>
      <c r="K1638">
        <v>3.1035699497035723E-3</v>
      </c>
      <c r="L1638" t="s">
        <v>162</v>
      </c>
      <c r="N1638" t="s">
        <v>320</v>
      </c>
      <c r="O1638" t="s">
        <v>541</v>
      </c>
      <c r="P1638">
        <v>3.7061667011215804E-3</v>
      </c>
      <c r="Q1638" t="s">
        <v>162</v>
      </c>
      <c r="S1638" t="s">
        <v>432</v>
      </c>
      <c r="T1638" t="s">
        <v>541</v>
      </c>
      <c r="U1638">
        <v>4.6312198550735898E-3</v>
      </c>
      <c r="V1638" t="s">
        <v>162</v>
      </c>
    </row>
    <row r="1639" spans="9:22" x14ac:dyDescent="0.45">
      <c r="I1639" t="s">
        <v>208</v>
      </c>
      <c r="J1639" t="s">
        <v>542</v>
      </c>
      <c r="K1639">
        <v>8.0707046962470684E-3</v>
      </c>
      <c r="L1639" t="s">
        <v>162</v>
      </c>
      <c r="N1639" t="s">
        <v>320</v>
      </c>
      <c r="O1639" t="s">
        <v>542</v>
      </c>
      <c r="P1639">
        <v>6.4676356120170796E-3</v>
      </c>
      <c r="Q1639" t="s">
        <v>162</v>
      </c>
      <c r="S1639" t="s">
        <v>432</v>
      </c>
      <c r="T1639" t="s">
        <v>542</v>
      </c>
      <c r="U1639">
        <v>9.6753522100822397E-3</v>
      </c>
      <c r="V1639" t="s">
        <v>162</v>
      </c>
    </row>
    <row r="1640" spans="9:22" x14ac:dyDescent="0.45">
      <c r="I1640" t="s">
        <v>208</v>
      </c>
      <c r="J1640" t="s">
        <v>543</v>
      </c>
      <c r="K1640">
        <v>1.2667440585900611E-2</v>
      </c>
      <c r="L1640" t="s">
        <v>162</v>
      </c>
      <c r="N1640" t="s">
        <v>320</v>
      </c>
      <c r="O1640" t="s">
        <v>543</v>
      </c>
      <c r="P1640">
        <v>1.6555390316269639E-2</v>
      </c>
      <c r="Q1640" t="s">
        <v>162</v>
      </c>
      <c r="S1640" t="s">
        <v>432</v>
      </c>
      <c r="T1640" t="s">
        <v>543</v>
      </c>
      <c r="U1640">
        <v>2.4603561126943705E-2</v>
      </c>
      <c r="V1640" t="s">
        <v>162</v>
      </c>
    </row>
    <row r="1641" spans="9:22" x14ac:dyDescent="0.45">
      <c r="I1641" t="s">
        <v>208</v>
      </c>
      <c r="J1641" t="s">
        <v>544</v>
      </c>
      <c r="K1641">
        <v>0</v>
      </c>
      <c r="L1641" t="s">
        <v>162</v>
      </c>
      <c r="N1641" t="s">
        <v>320</v>
      </c>
      <c r="O1641" t="s">
        <v>544</v>
      </c>
      <c r="P1641">
        <v>4.1231096990650071E-3</v>
      </c>
      <c r="Q1641" t="s">
        <v>162</v>
      </c>
      <c r="S1641" t="s">
        <v>432</v>
      </c>
      <c r="T1641" t="s">
        <v>544</v>
      </c>
      <c r="U1641">
        <v>4.6139192685804723E-3</v>
      </c>
      <c r="V1641" t="s">
        <v>162</v>
      </c>
    </row>
    <row r="1642" spans="9:22" x14ac:dyDescent="0.45">
      <c r="I1642" t="s">
        <v>208</v>
      </c>
      <c r="J1642" t="s">
        <v>545</v>
      </c>
      <c r="K1642">
        <v>0</v>
      </c>
      <c r="L1642" t="s">
        <v>162</v>
      </c>
      <c r="N1642" t="s">
        <v>320</v>
      </c>
      <c r="O1642" t="s">
        <v>545</v>
      </c>
      <c r="P1642">
        <v>2.7132800498935274E-2</v>
      </c>
      <c r="Q1642" t="s">
        <v>162</v>
      </c>
      <c r="S1642" t="s">
        <v>432</v>
      </c>
      <c r="T1642" t="s">
        <v>545</v>
      </c>
      <c r="U1642">
        <v>2.4914741267162109E-2</v>
      </c>
      <c r="V1642" t="s">
        <v>162</v>
      </c>
    </row>
    <row r="1643" spans="9:22" x14ac:dyDescent="0.45">
      <c r="I1643" t="s">
        <v>208</v>
      </c>
      <c r="J1643" t="s">
        <v>546</v>
      </c>
      <c r="K1643">
        <v>0</v>
      </c>
      <c r="L1643" t="s">
        <v>162</v>
      </c>
      <c r="N1643" t="s">
        <v>320</v>
      </c>
      <c r="O1643" t="s">
        <v>546</v>
      </c>
      <c r="P1643">
        <v>3.5015538854829241E-2</v>
      </c>
      <c r="Q1643" t="s">
        <v>162</v>
      </c>
      <c r="S1643" t="s">
        <v>432</v>
      </c>
      <c r="T1643" t="s">
        <v>546</v>
      </c>
      <c r="U1643">
        <v>3.1484705479644569E-2</v>
      </c>
      <c r="V1643" t="s">
        <v>162</v>
      </c>
    </row>
    <row r="1644" spans="9:22" x14ac:dyDescent="0.45">
      <c r="I1644" t="s">
        <v>208</v>
      </c>
      <c r="J1644" t="s">
        <v>547</v>
      </c>
      <c r="K1644">
        <v>6.4590652181947242E-4</v>
      </c>
      <c r="L1644" t="s">
        <v>162</v>
      </c>
      <c r="N1644" t="s">
        <v>320</v>
      </c>
      <c r="O1644" t="s">
        <v>547</v>
      </c>
      <c r="P1644">
        <v>3.6153513138546239E-3</v>
      </c>
      <c r="Q1644" t="s">
        <v>162</v>
      </c>
      <c r="S1644" t="s">
        <v>432</v>
      </c>
      <c r="T1644" t="s">
        <v>547</v>
      </c>
      <c r="U1644">
        <v>3.4940161384209747E-3</v>
      </c>
      <c r="V1644" t="s">
        <v>162</v>
      </c>
    </row>
    <row r="1645" spans="9:22" x14ac:dyDescent="0.45">
      <c r="I1645" t="s">
        <v>208</v>
      </c>
      <c r="J1645" t="s">
        <v>548</v>
      </c>
      <c r="K1645">
        <v>4.3768221595112573E-3</v>
      </c>
      <c r="L1645" t="s">
        <v>162</v>
      </c>
      <c r="N1645" t="s">
        <v>320</v>
      </c>
      <c r="O1645" t="s">
        <v>548</v>
      </c>
      <c r="P1645">
        <v>6.9875528254286102E-3</v>
      </c>
      <c r="Q1645" t="s">
        <v>162</v>
      </c>
      <c r="S1645" t="s">
        <v>432</v>
      </c>
      <c r="T1645" t="s">
        <v>548</v>
      </c>
      <c r="U1645">
        <v>7.2578833301351073E-3</v>
      </c>
      <c r="V1645" t="s">
        <v>162</v>
      </c>
    </row>
    <row r="1646" spans="9:22" x14ac:dyDescent="0.45">
      <c r="I1646" t="s">
        <v>208</v>
      </c>
      <c r="J1646" t="s">
        <v>549</v>
      </c>
      <c r="K1646">
        <v>5.9163838769238147E-3</v>
      </c>
      <c r="L1646" t="s">
        <v>162</v>
      </c>
      <c r="N1646" t="s">
        <v>320</v>
      </c>
      <c r="O1646" t="s">
        <v>549</v>
      </c>
      <c r="P1646">
        <v>1.7109358601217362E-2</v>
      </c>
      <c r="Q1646" t="s">
        <v>162</v>
      </c>
      <c r="S1646" t="s">
        <v>432</v>
      </c>
      <c r="T1646" t="s">
        <v>549</v>
      </c>
      <c r="U1646">
        <v>1.7582876977763135E-2</v>
      </c>
      <c r="V1646" t="s">
        <v>162</v>
      </c>
    </row>
    <row r="1647" spans="9:22" x14ac:dyDescent="0.45">
      <c r="I1647" t="s">
        <v>208</v>
      </c>
      <c r="J1647" t="s">
        <v>550</v>
      </c>
      <c r="K1647">
        <v>0</v>
      </c>
      <c r="L1647" t="s">
        <v>162</v>
      </c>
      <c r="N1647" t="s">
        <v>320</v>
      </c>
      <c r="O1647" t="s">
        <v>550</v>
      </c>
      <c r="P1647">
        <v>3.8499975451531674E-3</v>
      </c>
      <c r="Q1647" t="s">
        <v>162</v>
      </c>
      <c r="S1647" t="s">
        <v>432</v>
      </c>
      <c r="T1647" t="s">
        <v>550</v>
      </c>
      <c r="U1647">
        <v>3.2424496124811926E-3</v>
      </c>
      <c r="V1647" t="s">
        <v>162</v>
      </c>
    </row>
    <row r="1648" spans="9:22" x14ac:dyDescent="0.45">
      <c r="I1648" t="s">
        <v>208</v>
      </c>
      <c r="J1648" t="s">
        <v>551</v>
      </c>
      <c r="K1648">
        <v>0</v>
      </c>
      <c r="L1648" t="s">
        <v>162</v>
      </c>
      <c r="N1648" t="s">
        <v>320</v>
      </c>
      <c r="O1648" t="s">
        <v>551</v>
      </c>
      <c r="P1648">
        <v>2.5760618765971612E-2</v>
      </c>
      <c r="Q1648" t="s">
        <v>162</v>
      </c>
      <c r="S1648" t="s">
        <v>432</v>
      </c>
      <c r="T1648" t="s">
        <v>551</v>
      </c>
      <c r="U1648">
        <v>1.8707549101506987E-2</v>
      </c>
      <c r="V1648" t="s">
        <v>162</v>
      </c>
    </row>
    <row r="1649" spans="9:22" x14ac:dyDescent="0.45">
      <c r="I1649" t="s">
        <v>209</v>
      </c>
      <c r="J1649" t="s">
        <v>161</v>
      </c>
      <c r="K1649">
        <v>0</v>
      </c>
      <c r="L1649" t="s">
        <v>162</v>
      </c>
      <c r="N1649" t="s">
        <v>321</v>
      </c>
      <c r="O1649" t="s">
        <v>161</v>
      </c>
      <c r="P1649">
        <v>4.3511504667335589E-2</v>
      </c>
      <c r="Q1649" t="s">
        <v>162</v>
      </c>
      <c r="S1649" t="s">
        <v>433</v>
      </c>
      <c r="T1649" t="s">
        <v>161</v>
      </c>
      <c r="U1649">
        <v>4.3684661663153983E-2</v>
      </c>
      <c r="V1649" t="s">
        <v>162</v>
      </c>
    </row>
    <row r="1650" spans="9:22" x14ac:dyDescent="0.45">
      <c r="I1650" t="s">
        <v>209</v>
      </c>
      <c r="J1650" t="s">
        <v>163</v>
      </c>
      <c r="K1650">
        <v>9.7459439771446015E-5</v>
      </c>
      <c r="L1650" t="s">
        <v>162</v>
      </c>
      <c r="N1650" t="s">
        <v>321</v>
      </c>
      <c r="O1650" t="s">
        <v>163</v>
      </c>
      <c r="P1650">
        <v>4.7573654090688755E-3</v>
      </c>
      <c r="Q1650" t="s">
        <v>162</v>
      </c>
      <c r="S1650" t="s">
        <v>433</v>
      </c>
      <c r="T1650" t="s">
        <v>163</v>
      </c>
      <c r="U1650">
        <v>5.0110467676749053E-3</v>
      </c>
      <c r="V1650" t="s">
        <v>162</v>
      </c>
    </row>
    <row r="1651" spans="9:22" x14ac:dyDescent="0.45">
      <c r="I1651" t="s">
        <v>209</v>
      </c>
      <c r="J1651" t="s">
        <v>164</v>
      </c>
      <c r="K1651">
        <v>5.1207271327142678E-3</v>
      </c>
      <c r="L1651" t="s">
        <v>162</v>
      </c>
      <c r="N1651" t="s">
        <v>321</v>
      </c>
      <c r="O1651" t="s">
        <v>164</v>
      </c>
      <c r="P1651">
        <v>9.0068665320456685E-3</v>
      </c>
      <c r="Q1651" t="s">
        <v>162</v>
      </c>
      <c r="S1651" t="s">
        <v>433</v>
      </c>
      <c r="T1651" t="s">
        <v>164</v>
      </c>
      <c r="U1651">
        <v>9.8523418630269855E-3</v>
      </c>
      <c r="V1651" t="s">
        <v>162</v>
      </c>
    </row>
    <row r="1652" spans="9:22" x14ac:dyDescent="0.45">
      <c r="I1652" t="s">
        <v>209</v>
      </c>
      <c r="J1652" t="s">
        <v>519</v>
      </c>
      <c r="K1652">
        <v>1.3875398732385517E-2</v>
      </c>
      <c r="L1652" t="s">
        <v>162</v>
      </c>
      <c r="N1652" t="s">
        <v>321</v>
      </c>
      <c r="O1652" t="s">
        <v>519</v>
      </c>
      <c r="P1652">
        <v>2.2534706006498251E-2</v>
      </c>
      <c r="Q1652" t="s">
        <v>162</v>
      </c>
      <c r="S1652" t="s">
        <v>433</v>
      </c>
      <c r="T1652" t="s">
        <v>519</v>
      </c>
      <c r="U1652">
        <v>2.3462085264208152E-2</v>
      </c>
      <c r="V1652" t="s">
        <v>162</v>
      </c>
    </row>
    <row r="1653" spans="9:22" x14ac:dyDescent="0.45">
      <c r="I1653" t="s">
        <v>209</v>
      </c>
      <c r="J1653" t="s">
        <v>520</v>
      </c>
      <c r="K1653">
        <v>0</v>
      </c>
      <c r="L1653" t="s">
        <v>162</v>
      </c>
      <c r="N1653" t="s">
        <v>321</v>
      </c>
      <c r="O1653" t="s">
        <v>520</v>
      </c>
      <c r="P1653">
        <v>4.5028282006448232E-3</v>
      </c>
      <c r="Q1653" t="s">
        <v>162</v>
      </c>
      <c r="S1653" t="s">
        <v>433</v>
      </c>
      <c r="T1653" t="s">
        <v>520</v>
      </c>
      <c r="U1653">
        <v>4.5963243152109907E-3</v>
      </c>
      <c r="V1653" t="s">
        <v>162</v>
      </c>
    </row>
    <row r="1654" spans="9:22" x14ac:dyDescent="0.45">
      <c r="I1654" t="s">
        <v>209</v>
      </c>
      <c r="J1654" t="s">
        <v>521</v>
      </c>
      <c r="K1654">
        <v>0</v>
      </c>
      <c r="L1654" t="s">
        <v>162</v>
      </c>
      <c r="N1654" t="s">
        <v>321</v>
      </c>
      <c r="O1654" t="s">
        <v>521</v>
      </c>
      <c r="P1654">
        <v>2.507628378057148E-2</v>
      </c>
      <c r="Q1654" t="s">
        <v>162</v>
      </c>
      <c r="S1654" t="s">
        <v>433</v>
      </c>
      <c r="T1654" t="s">
        <v>521</v>
      </c>
      <c r="U1654">
        <v>2.7165463853765059E-2</v>
      </c>
      <c r="V1654" t="s">
        <v>162</v>
      </c>
    </row>
    <row r="1655" spans="9:22" x14ac:dyDescent="0.45">
      <c r="I1655" t="s">
        <v>209</v>
      </c>
      <c r="J1655" t="s">
        <v>165</v>
      </c>
      <c r="K1655">
        <v>1.0380501368924374E-2</v>
      </c>
      <c r="L1655" t="s">
        <v>162</v>
      </c>
      <c r="N1655" t="s">
        <v>321</v>
      </c>
      <c r="O1655" t="s">
        <v>165</v>
      </c>
      <c r="P1655">
        <v>7.1226516557400629E-2</v>
      </c>
      <c r="Q1655" t="s">
        <v>162</v>
      </c>
      <c r="S1655" t="s">
        <v>433</v>
      </c>
      <c r="T1655" t="s">
        <v>165</v>
      </c>
      <c r="U1655">
        <v>4.7354699278526403E-2</v>
      </c>
      <c r="V1655" t="s">
        <v>162</v>
      </c>
    </row>
    <row r="1656" spans="9:22" x14ac:dyDescent="0.45">
      <c r="I1656" t="s">
        <v>209</v>
      </c>
      <c r="J1656" t="s">
        <v>166</v>
      </c>
      <c r="K1656">
        <v>1.3308128931611513E-2</v>
      </c>
      <c r="L1656" t="s">
        <v>162</v>
      </c>
      <c r="N1656" t="s">
        <v>321</v>
      </c>
      <c r="O1656" t="s">
        <v>166</v>
      </c>
      <c r="P1656">
        <v>7.4245271345661787E-3</v>
      </c>
      <c r="Q1656" t="s">
        <v>162</v>
      </c>
      <c r="S1656" t="s">
        <v>433</v>
      </c>
      <c r="T1656" t="s">
        <v>166</v>
      </c>
      <c r="U1656">
        <v>5.4265237491810947E-3</v>
      </c>
      <c r="V1656" t="s">
        <v>162</v>
      </c>
    </row>
    <row r="1657" spans="9:22" x14ac:dyDescent="0.45">
      <c r="I1657" t="s">
        <v>209</v>
      </c>
      <c r="J1657" t="s">
        <v>167</v>
      </c>
      <c r="K1657">
        <v>3.5052708615168016E-2</v>
      </c>
      <c r="L1657" t="s">
        <v>162</v>
      </c>
      <c r="N1657" t="s">
        <v>321</v>
      </c>
      <c r="O1657" t="s">
        <v>167</v>
      </c>
      <c r="P1657">
        <v>1.411544599463296E-2</v>
      </c>
      <c r="Q1657" t="s">
        <v>162</v>
      </c>
      <c r="S1657" t="s">
        <v>433</v>
      </c>
      <c r="T1657" t="s">
        <v>167</v>
      </c>
      <c r="U1657">
        <v>1.0755822040285495E-2</v>
      </c>
      <c r="V1657" t="s">
        <v>162</v>
      </c>
    </row>
    <row r="1658" spans="9:22" x14ac:dyDescent="0.45">
      <c r="I1658" t="s">
        <v>209</v>
      </c>
      <c r="J1658" t="s">
        <v>522</v>
      </c>
      <c r="K1658">
        <v>8.4709639866316452E-2</v>
      </c>
      <c r="L1658" t="s">
        <v>162</v>
      </c>
      <c r="N1658" t="s">
        <v>321</v>
      </c>
      <c r="O1658" t="s">
        <v>522</v>
      </c>
      <c r="P1658">
        <v>3.4852636572106653E-2</v>
      </c>
      <c r="Q1658" t="s">
        <v>162</v>
      </c>
      <c r="S1658" t="s">
        <v>433</v>
      </c>
      <c r="T1658" t="s">
        <v>522</v>
      </c>
      <c r="U1658">
        <v>2.5848257134265144E-2</v>
      </c>
      <c r="V1658" t="s">
        <v>162</v>
      </c>
    </row>
    <row r="1659" spans="9:22" x14ac:dyDescent="0.45">
      <c r="I1659" t="s">
        <v>209</v>
      </c>
      <c r="J1659" t="s">
        <v>523</v>
      </c>
      <c r="K1659">
        <v>1.1705703630018128E-2</v>
      </c>
      <c r="L1659" t="s">
        <v>162</v>
      </c>
      <c r="N1659" t="s">
        <v>321</v>
      </c>
      <c r="O1659" t="s">
        <v>523</v>
      </c>
      <c r="P1659">
        <v>7.753681604974051E-3</v>
      </c>
      <c r="Q1659" t="s">
        <v>162</v>
      </c>
      <c r="S1659" t="s">
        <v>433</v>
      </c>
      <c r="T1659" t="s">
        <v>523</v>
      </c>
      <c r="U1659">
        <v>5.4579132141830524E-3</v>
      </c>
      <c r="V1659" t="s">
        <v>162</v>
      </c>
    </row>
    <row r="1660" spans="9:22" x14ac:dyDescent="0.45">
      <c r="I1660" t="s">
        <v>209</v>
      </c>
      <c r="J1660" t="s">
        <v>524</v>
      </c>
      <c r="K1660">
        <v>5.8409549883045421E-3</v>
      </c>
      <c r="L1660" t="s">
        <v>162</v>
      </c>
      <c r="N1660" t="s">
        <v>321</v>
      </c>
      <c r="O1660" t="s">
        <v>524</v>
      </c>
      <c r="P1660">
        <v>4.9584668535511453E-2</v>
      </c>
      <c r="Q1660" t="s">
        <v>162</v>
      </c>
      <c r="S1660" t="s">
        <v>433</v>
      </c>
      <c r="T1660" t="s">
        <v>524</v>
      </c>
      <c r="U1660">
        <v>3.2533002327099048E-2</v>
      </c>
      <c r="V1660" t="s">
        <v>162</v>
      </c>
    </row>
    <row r="1661" spans="9:22" x14ac:dyDescent="0.45">
      <c r="I1661" t="s">
        <v>209</v>
      </c>
      <c r="J1661" t="s">
        <v>168</v>
      </c>
      <c r="K1661">
        <v>1.5734588823046999E-2</v>
      </c>
      <c r="L1661" t="s">
        <v>162</v>
      </c>
      <c r="N1661" t="s">
        <v>321</v>
      </c>
      <c r="O1661" t="s">
        <v>168</v>
      </c>
      <c r="P1661">
        <v>3.484302276585205E-2</v>
      </c>
      <c r="Q1661" t="s">
        <v>162</v>
      </c>
      <c r="S1661" t="s">
        <v>433</v>
      </c>
      <c r="T1661" t="s">
        <v>168</v>
      </c>
      <c r="U1661">
        <v>2.264864952433544E-2</v>
      </c>
      <c r="V1661" t="s">
        <v>162</v>
      </c>
    </row>
    <row r="1662" spans="9:22" x14ac:dyDescent="0.45">
      <c r="I1662" t="s">
        <v>209</v>
      </c>
      <c r="J1662" t="s">
        <v>169</v>
      </c>
      <c r="K1662">
        <v>9.2267577398303553E-3</v>
      </c>
      <c r="L1662" t="s">
        <v>162</v>
      </c>
      <c r="N1662" t="s">
        <v>321</v>
      </c>
      <c r="O1662" t="s">
        <v>169</v>
      </c>
      <c r="P1662">
        <v>3.2576040550985536E-3</v>
      </c>
      <c r="Q1662" t="s">
        <v>162</v>
      </c>
      <c r="S1662" t="s">
        <v>433</v>
      </c>
      <c r="T1662" t="s">
        <v>169</v>
      </c>
      <c r="U1662">
        <v>2.6815430957784752E-3</v>
      </c>
      <c r="V1662" t="s">
        <v>162</v>
      </c>
    </row>
    <row r="1663" spans="9:22" x14ac:dyDescent="0.45">
      <c r="I1663" t="s">
        <v>209</v>
      </c>
      <c r="J1663" t="s">
        <v>170</v>
      </c>
      <c r="K1663">
        <v>2.1144258164010818E-2</v>
      </c>
      <c r="L1663" t="s">
        <v>162</v>
      </c>
      <c r="N1663" t="s">
        <v>321</v>
      </c>
      <c r="O1663" t="s">
        <v>170</v>
      </c>
      <c r="P1663">
        <v>7.297763970429064E-3</v>
      </c>
      <c r="Q1663" t="s">
        <v>162</v>
      </c>
      <c r="S1663" t="s">
        <v>433</v>
      </c>
      <c r="T1663" t="s">
        <v>170</v>
      </c>
      <c r="U1663">
        <v>5.1646524068009632E-3</v>
      </c>
      <c r="V1663" t="s">
        <v>162</v>
      </c>
    </row>
    <row r="1664" spans="9:22" x14ac:dyDescent="0.45">
      <c r="I1664" t="s">
        <v>209</v>
      </c>
      <c r="J1664" t="s">
        <v>525</v>
      </c>
      <c r="K1664">
        <v>4.8579434441667541E-2</v>
      </c>
      <c r="L1664" t="s">
        <v>162</v>
      </c>
      <c r="N1664" t="s">
        <v>321</v>
      </c>
      <c r="O1664" t="s">
        <v>525</v>
      </c>
      <c r="P1664">
        <v>2.0138877612467306E-2</v>
      </c>
      <c r="Q1664" t="s">
        <v>162</v>
      </c>
      <c r="S1664" t="s">
        <v>433</v>
      </c>
      <c r="T1664" t="s">
        <v>525</v>
      </c>
      <c r="U1664">
        <v>1.1959876487869704E-2</v>
      </c>
      <c r="V1664" t="s">
        <v>162</v>
      </c>
    </row>
    <row r="1665" spans="9:22" x14ac:dyDescent="0.45">
      <c r="I1665" t="s">
        <v>209</v>
      </c>
      <c r="J1665" t="s">
        <v>526</v>
      </c>
      <c r="K1665">
        <v>7.335598526205838E-3</v>
      </c>
      <c r="L1665" t="s">
        <v>162</v>
      </c>
      <c r="N1665" t="s">
        <v>321</v>
      </c>
      <c r="O1665" t="s">
        <v>526</v>
      </c>
      <c r="P1665">
        <v>3.6197397239507993E-3</v>
      </c>
      <c r="Q1665" t="s">
        <v>162</v>
      </c>
      <c r="S1665" t="s">
        <v>433</v>
      </c>
      <c r="T1665" t="s">
        <v>526</v>
      </c>
      <c r="U1665">
        <v>2.4289182877513236E-3</v>
      </c>
      <c r="V1665" t="s">
        <v>162</v>
      </c>
    </row>
    <row r="1666" spans="9:22" x14ac:dyDescent="0.45">
      <c r="I1666" t="s">
        <v>209</v>
      </c>
      <c r="J1666" t="s">
        <v>527</v>
      </c>
      <c r="K1666">
        <v>9.9037621836452917E-3</v>
      </c>
      <c r="L1666" t="s">
        <v>162</v>
      </c>
      <c r="N1666" t="s">
        <v>321</v>
      </c>
      <c r="O1666" t="s">
        <v>527</v>
      </c>
      <c r="P1666">
        <v>2.6127837277459584E-2</v>
      </c>
      <c r="Q1666" t="s">
        <v>162</v>
      </c>
      <c r="S1666" t="s">
        <v>433</v>
      </c>
      <c r="T1666" t="s">
        <v>527</v>
      </c>
      <c r="U1666">
        <v>1.4695367461375846E-2</v>
      </c>
      <c r="V1666" t="s">
        <v>162</v>
      </c>
    </row>
    <row r="1667" spans="9:22" x14ac:dyDescent="0.45">
      <c r="I1667" t="s">
        <v>209</v>
      </c>
      <c r="J1667" t="s">
        <v>528</v>
      </c>
      <c r="K1667">
        <v>8.6762231490752295E-2</v>
      </c>
      <c r="L1667" t="s">
        <v>162</v>
      </c>
      <c r="N1667" t="s">
        <v>321</v>
      </c>
      <c r="O1667" t="s">
        <v>528</v>
      </c>
      <c r="P1667">
        <v>7.8975025055943684E-2</v>
      </c>
      <c r="Q1667" t="s">
        <v>162</v>
      </c>
      <c r="S1667" t="s">
        <v>433</v>
      </c>
      <c r="T1667" t="s">
        <v>528</v>
      </c>
      <c r="U1667">
        <v>7.3832786547758864E-2</v>
      </c>
      <c r="V1667" t="s">
        <v>162</v>
      </c>
    </row>
    <row r="1668" spans="9:22" x14ac:dyDescent="0.45">
      <c r="I1668" t="s">
        <v>209</v>
      </c>
      <c r="J1668" t="s">
        <v>529</v>
      </c>
      <c r="K1668">
        <v>3.2756705917922777E-2</v>
      </c>
      <c r="L1668" t="s">
        <v>162</v>
      </c>
      <c r="N1668" t="s">
        <v>321</v>
      </c>
      <c r="O1668" t="s">
        <v>529</v>
      </c>
      <c r="P1668">
        <v>7.2585843630382689E-3</v>
      </c>
      <c r="Q1668" t="s">
        <v>162</v>
      </c>
      <c r="S1668" t="s">
        <v>433</v>
      </c>
      <c r="T1668" t="s">
        <v>529</v>
      </c>
      <c r="U1668">
        <v>8.3139312417731155E-3</v>
      </c>
      <c r="V1668" t="s">
        <v>162</v>
      </c>
    </row>
    <row r="1669" spans="9:22" x14ac:dyDescent="0.45">
      <c r="I1669" t="s">
        <v>209</v>
      </c>
      <c r="J1669" t="s">
        <v>530</v>
      </c>
      <c r="K1669">
        <v>6.7262552916757604E-2</v>
      </c>
      <c r="L1669" t="s">
        <v>162</v>
      </c>
      <c r="N1669" t="s">
        <v>321</v>
      </c>
      <c r="O1669" t="s">
        <v>530</v>
      </c>
      <c r="P1669">
        <v>1.5424548022039729E-2</v>
      </c>
      <c r="Q1669" t="s">
        <v>162</v>
      </c>
      <c r="S1669" t="s">
        <v>433</v>
      </c>
      <c r="T1669" t="s">
        <v>530</v>
      </c>
      <c r="U1669">
        <v>1.6837772277084859E-2</v>
      </c>
      <c r="V1669" t="s">
        <v>162</v>
      </c>
    </row>
    <row r="1670" spans="9:22" x14ac:dyDescent="0.45">
      <c r="I1670" t="s">
        <v>209</v>
      </c>
      <c r="J1670" t="s">
        <v>531</v>
      </c>
      <c r="K1670">
        <v>0.14978385616612863</v>
      </c>
      <c r="L1670" t="s">
        <v>162</v>
      </c>
      <c r="N1670" t="s">
        <v>321</v>
      </c>
      <c r="O1670" t="s">
        <v>531</v>
      </c>
      <c r="P1670">
        <v>4.0119299355754208E-2</v>
      </c>
      <c r="Q1670" t="s">
        <v>162</v>
      </c>
      <c r="S1670" t="s">
        <v>433</v>
      </c>
      <c r="T1670" t="s">
        <v>531</v>
      </c>
      <c r="U1670">
        <v>4.3276129138928587E-2</v>
      </c>
      <c r="V1670" t="s">
        <v>162</v>
      </c>
    </row>
    <row r="1671" spans="9:22" x14ac:dyDescent="0.45">
      <c r="I1671" t="s">
        <v>209</v>
      </c>
      <c r="J1671" t="s">
        <v>532</v>
      </c>
      <c r="K1671">
        <v>2.4012380841090811E-2</v>
      </c>
      <c r="L1671" t="s">
        <v>162</v>
      </c>
      <c r="N1671" t="s">
        <v>321</v>
      </c>
      <c r="O1671" t="s">
        <v>532</v>
      </c>
      <c r="P1671">
        <v>7.0449333930591987E-3</v>
      </c>
      <c r="Q1671" t="s">
        <v>162</v>
      </c>
      <c r="S1671" t="s">
        <v>433</v>
      </c>
      <c r="T1671" t="s">
        <v>532</v>
      </c>
      <c r="U1671">
        <v>8.4740764392998037E-3</v>
      </c>
      <c r="V1671" t="s">
        <v>162</v>
      </c>
    </row>
    <row r="1672" spans="9:22" x14ac:dyDescent="0.45">
      <c r="I1672" t="s">
        <v>209</v>
      </c>
      <c r="J1672" t="s">
        <v>533</v>
      </c>
      <c r="K1672">
        <v>5.0472240787898706E-2</v>
      </c>
      <c r="L1672" t="s">
        <v>162</v>
      </c>
      <c r="N1672" t="s">
        <v>321</v>
      </c>
      <c r="O1672" t="s">
        <v>533</v>
      </c>
      <c r="P1672">
        <v>5.6991788200698223E-2</v>
      </c>
      <c r="Q1672" t="s">
        <v>162</v>
      </c>
      <c r="S1672" t="s">
        <v>433</v>
      </c>
      <c r="T1672" t="s">
        <v>533</v>
      </c>
      <c r="U1672">
        <v>5.0217581143210628E-2</v>
      </c>
      <c r="V1672" t="s">
        <v>162</v>
      </c>
    </row>
    <row r="1673" spans="9:22" x14ac:dyDescent="0.45">
      <c r="I1673" t="s">
        <v>209</v>
      </c>
      <c r="J1673" t="s">
        <v>534</v>
      </c>
      <c r="K1673">
        <v>3.5174080322566185E-2</v>
      </c>
      <c r="L1673" t="s">
        <v>162</v>
      </c>
      <c r="N1673" t="s">
        <v>321</v>
      </c>
      <c r="O1673" t="s">
        <v>534</v>
      </c>
      <c r="P1673">
        <v>8.2919808098799716E-2</v>
      </c>
      <c r="Q1673" t="s">
        <v>162</v>
      </c>
      <c r="S1673" t="s">
        <v>433</v>
      </c>
      <c r="T1673" t="s">
        <v>534</v>
      </c>
      <c r="U1673">
        <v>0.1094441654159478</v>
      </c>
      <c r="V1673" t="s">
        <v>162</v>
      </c>
    </row>
    <row r="1674" spans="9:22" x14ac:dyDescent="0.45">
      <c r="I1674" t="s">
        <v>209</v>
      </c>
      <c r="J1674" t="s">
        <v>535</v>
      </c>
      <c r="K1674">
        <v>2.3385963002812531E-2</v>
      </c>
      <c r="L1674" t="s">
        <v>162</v>
      </c>
      <c r="N1674" t="s">
        <v>321</v>
      </c>
      <c r="O1674" t="s">
        <v>535</v>
      </c>
      <c r="P1674">
        <v>6.7855463783151404E-3</v>
      </c>
      <c r="Q1674" t="s">
        <v>162</v>
      </c>
      <c r="S1674" t="s">
        <v>433</v>
      </c>
      <c r="T1674" t="s">
        <v>535</v>
      </c>
      <c r="U1674">
        <v>1.1562559328351277E-2</v>
      </c>
      <c r="V1674" t="s">
        <v>162</v>
      </c>
    </row>
    <row r="1675" spans="9:22" x14ac:dyDescent="0.45">
      <c r="I1675" t="s">
        <v>209</v>
      </c>
      <c r="J1675" t="s">
        <v>536</v>
      </c>
      <c r="K1675">
        <v>5.1765371777157676E-2</v>
      </c>
      <c r="L1675" t="s">
        <v>162</v>
      </c>
      <c r="N1675" t="s">
        <v>321</v>
      </c>
      <c r="O1675" t="s">
        <v>536</v>
      </c>
      <c r="P1675">
        <v>1.4620036081600856E-2</v>
      </c>
      <c r="Q1675" t="s">
        <v>162</v>
      </c>
      <c r="S1675" t="s">
        <v>433</v>
      </c>
      <c r="T1675" t="s">
        <v>536</v>
      </c>
      <c r="U1675">
        <v>2.3236338649709316E-2</v>
      </c>
      <c r="V1675" t="s">
        <v>162</v>
      </c>
    </row>
    <row r="1676" spans="9:22" x14ac:dyDescent="0.45">
      <c r="I1676" t="s">
        <v>209</v>
      </c>
      <c r="J1676" t="s">
        <v>537</v>
      </c>
      <c r="K1676">
        <v>0.1141770821944702</v>
      </c>
      <c r="L1676" t="s">
        <v>162</v>
      </c>
      <c r="N1676" t="s">
        <v>321</v>
      </c>
      <c r="O1676" t="s">
        <v>537</v>
      </c>
      <c r="P1676">
        <v>4.0257283121605841E-2</v>
      </c>
      <c r="Q1676" t="s">
        <v>162</v>
      </c>
      <c r="S1676" t="s">
        <v>433</v>
      </c>
      <c r="T1676" t="s">
        <v>537</v>
      </c>
      <c r="U1676">
        <v>5.8696116204578638E-2</v>
      </c>
      <c r="V1676" t="s">
        <v>162</v>
      </c>
    </row>
    <row r="1677" spans="9:22" x14ac:dyDescent="0.45">
      <c r="I1677" t="s">
        <v>209</v>
      </c>
      <c r="J1677" t="s">
        <v>538</v>
      </c>
      <c r="K1677">
        <v>1.6001756340618432E-2</v>
      </c>
      <c r="L1677" t="s">
        <v>162</v>
      </c>
      <c r="N1677" t="s">
        <v>321</v>
      </c>
      <c r="O1677" t="s">
        <v>538</v>
      </c>
      <c r="P1677">
        <v>8.4251548969799701E-3</v>
      </c>
      <c r="Q1677" t="s">
        <v>162</v>
      </c>
      <c r="S1677" t="s">
        <v>433</v>
      </c>
      <c r="T1677" t="s">
        <v>538</v>
      </c>
      <c r="U1677">
        <v>1.240234375667202E-2</v>
      </c>
      <c r="V1677" t="s">
        <v>162</v>
      </c>
    </row>
    <row r="1678" spans="9:22" x14ac:dyDescent="0.45">
      <c r="I1678" t="s">
        <v>209</v>
      </c>
      <c r="J1678" t="s">
        <v>539</v>
      </c>
      <c r="K1678">
        <v>1.7341321514673214E-2</v>
      </c>
      <c r="L1678" t="s">
        <v>162</v>
      </c>
      <c r="N1678" t="s">
        <v>321</v>
      </c>
      <c r="O1678" t="s">
        <v>539</v>
      </c>
      <c r="P1678">
        <v>6.6031704896112209E-2</v>
      </c>
      <c r="Q1678" t="s">
        <v>162</v>
      </c>
      <c r="S1678" t="s">
        <v>433</v>
      </c>
      <c r="T1678" t="s">
        <v>539</v>
      </c>
      <c r="U1678">
        <v>7.4809481110128931E-2</v>
      </c>
      <c r="V1678" t="s">
        <v>162</v>
      </c>
    </row>
    <row r="1679" spans="9:22" x14ac:dyDescent="0.45">
      <c r="I1679" t="s">
        <v>209</v>
      </c>
      <c r="J1679" t="s">
        <v>540</v>
      </c>
      <c r="K1679">
        <v>7.5877583377026456E-6</v>
      </c>
      <c r="L1679" t="s">
        <v>162</v>
      </c>
      <c r="N1679" t="s">
        <v>321</v>
      </c>
      <c r="O1679" t="s">
        <v>540</v>
      </c>
      <c r="P1679">
        <v>3.3700229916250844E-2</v>
      </c>
      <c r="Q1679" t="s">
        <v>162</v>
      </c>
      <c r="S1679" t="s">
        <v>433</v>
      </c>
      <c r="T1679" t="s">
        <v>540</v>
      </c>
      <c r="U1679">
        <v>4.42804568448356E-2</v>
      </c>
      <c r="V1679" t="s">
        <v>162</v>
      </c>
    </row>
    <row r="1680" spans="9:22" x14ac:dyDescent="0.45">
      <c r="I1680" t="s">
        <v>209</v>
      </c>
      <c r="J1680" t="s">
        <v>541</v>
      </c>
      <c r="K1680">
        <v>1.8319891130788796E-3</v>
      </c>
      <c r="L1680" t="s">
        <v>162</v>
      </c>
      <c r="N1680" t="s">
        <v>321</v>
      </c>
      <c r="O1680" t="s">
        <v>541</v>
      </c>
      <c r="P1680">
        <v>2.8166251654995578E-3</v>
      </c>
      <c r="Q1680" t="s">
        <v>162</v>
      </c>
      <c r="S1680" t="s">
        <v>433</v>
      </c>
      <c r="T1680" t="s">
        <v>541</v>
      </c>
      <c r="U1680">
        <v>5.1709318245444502E-3</v>
      </c>
      <c r="V1680" t="s">
        <v>162</v>
      </c>
    </row>
    <row r="1681" spans="9:22" x14ac:dyDescent="0.45">
      <c r="I1681" t="s">
        <v>209</v>
      </c>
      <c r="J1681" t="s">
        <v>542</v>
      </c>
      <c r="K1681">
        <v>8.0393241814122E-3</v>
      </c>
      <c r="L1681" t="s">
        <v>162</v>
      </c>
      <c r="N1681" t="s">
        <v>321</v>
      </c>
      <c r="O1681" t="s">
        <v>542</v>
      </c>
      <c r="P1681">
        <v>5.2366638301531206E-3</v>
      </c>
      <c r="Q1681" t="s">
        <v>162</v>
      </c>
      <c r="S1681" t="s">
        <v>433</v>
      </c>
      <c r="T1681" t="s">
        <v>542</v>
      </c>
      <c r="U1681">
        <v>1.0182004006939162E-2</v>
      </c>
      <c r="V1681" t="s">
        <v>162</v>
      </c>
    </row>
    <row r="1682" spans="9:22" x14ac:dyDescent="0.45">
      <c r="I1682" t="s">
        <v>209</v>
      </c>
      <c r="J1682" t="s">
        <v>543</v>
      </c>
      <c r="K1682">
        <v>1.6058294070455097E-2</v>
      </c>
      <c r="L1682" t="s">
        <v>162</v>
      </c>
      <c r="N1682" t="s">
        <v>321</v>
      </c>
      <c r="O1682" t="s">
        <v>543</v>
      </c>
      <c r="P1682">
        <v>1.6256261348522909E-2</v>
      </c>
      <c r="Q1682" t="s">
        <v>162</v>
      </c>
      <c r="S1682" t="s">
        <v>433</v>
      </c>
      <c r="T1682" t="s">
        <v>543</v>
      </c>
      <c r="U1682">
        <v>2.5281455796155192E-2</v>
      </c>
      <c r="V1682" t="s">
        <v>162</v>
      </c>
    </row>
    <row r="1683" spans="9:22" x14ac:dyDescent="0.45">
      <c r="I1683" t="s">
        <v>209</v>
      </c>
      <c r="J1683" t="s">
        <v>544</v>
      </c>
      <c r="K1683">
        <v>0</v>
      </c>
      <c r="L1683" t="s">
        <v>162</v>
      </c>
      <c r="N1683" t="s">
        <v>321</v>
      </c>
      <c r="O1683" t="s">
        <v>544</v>
      </c>
      <c r="P1683">
        <v>3.9069093393505313E-3</v>
      </c>
      <c r="Q1683" t="s">
        <v>162</v>
      </c>
      <c r="S1683" t="s">
        <v>433</v>
      </c>
      <c r="T1683" t="s">
        <v>544</v>
      </c>
      <c r="U1683">
        <v>5.295122153827974E-3</v>
      </c>
      <c r="V1683" t="s">
        <v>162</v>
      </c>
    </row>
    <row r="1684" spans="9:22" x14ac:dyDescent="0.45">
      <c r="I1684" t="s">
        <v>209</v>
      </c>
      <c r="J1684" t="s">
        <v>545</v>
      </c>
      <c r="K1684">
        <v>0</v>
      </c>
      <c r="L1684" t="s">
        <v>162</v>
      </c>
      <c r="N1684" t="s">
        <v>321</v>
      </c>
      <c r="O1684" t="s">
        <v>545</v>
      </c>
      <c r="P1684">
        <v>2.396670103538559E-2</v>
      </c>
      <c r="Q1684" t="s">
        <v>162</v>
      </c>
      <c r="S1684" t="s">
        <v>433</v>
      </c>
      <c r="T1684" t="s">
        <v>545</v>
      </c>
      <c r="U1684">
        <v>2.9415926357359137E-2</v>
      </c>
      <c r="V1684" t="s">
        <v>162</v>
      </c>
    </row>
    <row r="1685" spans="9:22" x14ac:dyDescent="0.45">
      <c r="I1685" t="s">
        <v>209</v>
      </c>
      <c r="J1685" t="s">
        <v>546</v>
      </c>
      <c r="K1685">
        <v>0</v>
      </c>
      <c r="L1685" t="s">
        <v>162</v>
      </c>
      <c r="N1685" t="s">
        <v>321</v>
      </c>
      <c r="O1685" t="s">
        <v>546</v>
      </c>
      <c r="P1685">
        <v>3.7969427092425199E-2</v>
      </c>
      <c r="Q1685" t="s">
        <v>162</v>
      </c>
      <c r="S1685" t="s">
        <v>433</v>
      </c>
      <c r="T1685" t="s">
        <v>546</v>
      </c>
      <c r="U1685">
        <v>3.3434290512621985E-2</v>
      </c>
      <c r="V1685" t="s">
        <v>162</v>
      </c>
    </row>
    <row r="1686" spans="9:22" x14ac:dyDescent="0.45">
      <c r="I1686" t="s">
        <v>209</v>
      </c>
      <c r="J1686" t="s">
        <v>547</v>
      </c>
      <c r="K1686">
        <v>0</v>
      </c>
      <c r="L1686" t="s">
        <v>162</v>
      </c>
      <c r="N1686" t="s">
        <v>321</v>
      </c>
      <c r="O1686" t="s">
        <v>547</v>
      </c>
      <c r="P1686">
        <v>3.7357034427647653E-3</v>
      </c>
      <c r="Q1686" t="s">
        <v>162</v>
      </c>
      <c r="S1686" t="s">
        <v>433</v>
      </c>
      <c r="T1686" t="s">
        <v>547</v>
      </c>
      <c r="U1686">
        <v>3.888689469881996E-3</v>
      </c>
      <c r="V1686" t="s">
        <v>162</v>
      </c>
    </row>
    <row r="1687" spans="9:22" x14ac:dyDescent="0.45">
      <c r="I1687" t="s">
        <v>209</v>
      </c>
      <c r="J1687" t="s">
        <v>548</v>
      </c>
      <c r="K1687">
        <v>3.9026906567001876E-3</v>
      </c>
      <c r="L1687" t="s">
        <v>162</v>
      </c>
      <c r="N1687" t="s">
        <v>321</v>
      </c>
      <c r="O1687" t="s">
        <v>548</v>
      </c>
      <c r="P1687">
        <v>7.1114441058910197E-3</v>
      </c>
      <c r="Q1687" t="s">
        <v>162</v>
      </c>
      <c r="S1687" t="s">
        <v>433</v>
      </c>
      <c r="T1687" t="s">
        <v>548</v>
      </c>
      <c r="U1687">
        <v>7.745826767869458E-3</v>
      </c>
      <c r="V1687" t="s">
        <v>162</v>
      </c>
    </row>
    <row r="1688" spans="9:22" x14ac:dyDescent="0.45">
      <c r="I1688" t="s">
        <v>209</v>
      </c>
      <c r="J1688" t="s">
        <v>549</v>
      </c>
      <c r="K1688">
        <v>9.2489483635432648E-3</v>
      </c>
      <c r="L1688" t="s">
        <v>162</v>
      </c>
      <c r="N1688" t="s">
        <v>321</v>
      </c>
      <c r="O1688" t="s">
        <v>549</v>
      </c>
      <c r="P1688">
        <v>1.9292469258110706E-2</v>
      </c>
      <c r="Q1688" t="s">
        <v>162</v>
      </c>
      <c r="S1688" t="s">
        <v>433</v>
      </c>
      <c r="T1688" t="s">
        <v>549</v>
      </c>
      <c r="U1688">
        <v>1.8875789630053031E-2</v>
      </c>
      <c r="V1688" t="s">
        <v>162</v>
      </c>
    </row>
    <row r="1689" spans="9:22" x14ac:dyDescent="0.45">
      <c r="I1689" t="s">
        <v>209</v>
      </c>
      <c r="J1689" t="s">
        <v>550</v>
      </c>
      <c r="K1689">
        <v>0</v>
      </c>
      <c r="L1689" t="s">
        <v>162</v>
      </c>
      <c r="N1689" t="s">
        <v>321</v>
      </c>
      <c r="O1689" t="s">
        <v>550</v>
      </c>
      <c r="P1689">
        <v>4.4283311238608736E-3</v>
      </c>
      <c r="Q1689" t="s">
        <v>162</v>
      </c>
      <c r="S1689" t="s">
        <v>433</v>
      </c>
      <c r="T1689" t="s">
        <v>550</v>
      </c>
      <c r="U1689">
        <v>3.6685042442276246E-3</v>
      </c>
      <c r="V1689" t="s">
        <v>162</v>
      </c>
    </row>
    <row r="1690" spans="9:22" x14ac:dyDescent="0.45">
      <c r="I1690" t="s">
        <v>209</v>
      </c>
      <c r="J1690" t="s">
        <v>551</v>
      </c>
      <c r="K1690">
        <v>0</v>
      </c>
      <c r="L1690" t="s">
        <v>162</v>
      </c>
      <c r="N1690" t="s">
        <v>321</v>
      </c>
      <c r="O1690" t="s">
        <v>551</v>
      </c>
      <c r="P1690">
        <v>2.7093646077220604E-2</v>
      </c>
      <c r="Q1690" t="s">
        <v>162</v>
      </c>
      <c r="S1690" t="s">
        <v>433</v>
      </c>
      <c r="T1690" t="s">
        <v>551</v>
      </c>
      <c r="U1690">
        <v>2.0930572403748841E-2</v>
      </c>
      <c r="V1690" t="s">
        <v>162</v>
      </c>
    </row>
    <row r="1691" spans="9:22" x14ac:dyDescent="0.45">
      <c r="I1691" t="s">
        <v>210</v>
      </c>
      <c r="J1691" t="s">
        <v>161</v>
      </c>
      <c r="K1691">
        <v>0</v>
      </c>
      <c r="L1691" t="s">
        <v>162</v>
      </c>
      <c r="N1691" t="s">
        <v>322</v>
      </c>
      <c r="O1691" t="s">
        <v>161</v>
      </c>
      <c r="P1691">
        <v>3.9956477852236862E-2</v>
      </c>
      <c r="Q1691" t="s">
        <v>162</v>
      </c>
      <c r="S1691" t="s">
        <v>434</v>
      </c>
      <c r="T1691" t="s">
        <v>161</v>
      </c>
      <c r="U1691">
        <v>3.9612538413355144E-2</v>
      </c>
      <c r="V1691" t="s">
        <v>162</v>
      </c>
    </row>
    <row r="1692" spans="9:22" x14ac:dyDescent="0.45">
      <c r="I1692" t="s">
        <v>210</v>
      </c>
      <c r="J1692" t="s">
        <v>163</v>
      </c>
      <c r="K1692">
        <v>5.7481814508522329E-4</v>
      </c>
      <c r="L1692" t="s">
        <v>162</v>
      </c>
      <c r="N1692" t="s">
        <v>322</v>
      </c>
      <c r="O1692" t="s">
        <v>163</v>
      </c>
      <c r="P1692">
        <v>4.5225146430672826E-3</v>
      </c>
      <c r="Q1692" t="s">
        <v>162</v>
      </c>
      <c r="S1692" t="s">
        <v>434</v>
      </c>
      <c r="T1692" t="s">
        <v>163</v>
      </c>
      <c r="U1692">
        <v>4.7210493460182173E-3</v>
      </c>
      <c r="V1692" t="s">
        <v>162</v>
      </c>
    </row>
    <row r="1693" spans="9:22" x14ac:dyDescent="0.45">
      <c r="I1693" t="s">
        <v>210</v>
      </c>
      <c r="J1693" t="s">
        <v>164</v>
      </c>
      <c r="K1693">
        <v>6.517480224725339E-3</v>
      </c>
      <c r="L1693" t="s">
        <v>162</v>
      </c>
      <c r="N1693" t="s">
        <v>322</v>
      </c>
      <c r="O1693" t="s">
        <v>164</v>
      </c>
      <c r="P1693">
        <v>8.7414383856210462E-3</v>
      </c>
      <c r="Q1693" t="s">
        <v>162</v>
      </c>
      <c r="S1693" t="s">
        <v>434</v>
      </c>
      <c r="T1693" t="s">
        <v>164</v>
      </c>
      <c r="U1693">
        <v>9.4511202102609045E-3</v>
      </c>
      <c r="V1693" t="s">
        <v>162</v>
      </c>
    </row>
    <row r="1694" spans="9:22" x14ac:dyDescent="0.45">
      <c r="I1694" t="s">
        <v>210</v>
      </c>
      <c r="J1694" t="s">
        <v>519</v>
      </c>
      <c r="K1694">
        <v>1.5280107319911838E-2</v>
      </c>
      <c r="L1694" t="s">
        <v>162</v>
      </c>
      <c r="N1694" t="s">
        <v>322</v>
      </c>
      <c r="O1694" t="s">
        <v>519</v>
      </c>
      <c r="P1694">
        <v>2.1529784320986484E-2</v>
      </c>
      <c r="Q1694" t="s">
        <v>162</v>
      </c>
      <c r="S1694" t="s">
        <v>434</v>
      </c>
      <c r="T1694" t="s">
        <v>519</v>
      </c>
      <c r="U1694">
        <v>2.3234721756490398E-2</v>
      </c>
      <c r="V1694" t="s">
        <v>162</v>
      </c>
    </row>
    <row r="1695" spans="9:22" x14ac:dyDescent="0.45">
      <c r="I1695" t="s">
        <v>210</v>
      </c>
      <c r="J1695" t="s">
        <v>520</v>
      </c>
      <c r="K1695">
        <v>0</v>
      </c>
      <c r="L1695" t="s">
        <v>162</v>
      </c>
      <c r="N1695" t="s">
        <v>322</v>
      </c>
      <c r="O1695" t="s">
        <v>520</v>
      </c>
      <c r="P1695">
        <v>4.7825462893147834E-3</v>
      </c>
      <c r="Q1695" t="s">
        <v>162</v>
      </c>
      <c r="S1695" t="s">
        <v>434</v>
      </c>
      <c r="T1695" t="s">
        <v>520</v>
      </c>
      <c r="U1695">
        <v>4.6639759576973458E-3</v>
      </c>
      <c r="V1695" t="s">
        <v>162</v>
      </c>
    </row>
    <row r="1696" spans="9:22" x14ac:dyDescent="0.45">
      <c r="I1696" t="s">
        <v>210</v>
      </c>
      <c r="J1696" t="s">
        <v>521</v>
      </c>
      <c r="K1696">
        <v>0</v>
      </c>
      <c r="L1696" t="s">
        <v>162</v>
      </c>
      <c r="N1696" t="s">
        <v>322</v>
      </c>
      <c r="O1696" t="s">
        <v>521</v>
      </c>
      <c r="P1696">
        <v>2.901505840889285E-2</v>
      </c>
      <c r="Q1696" t="s">
        <v>162</v>
      </c>
      <c r="S1696" t="s">
        <v>434</v>
      </c>
      <c r="T1696" t="s">
        <v>521</v>
      </c>
      <c r="U1696">
        <v>2.6776419410634168E-2</v>
      </c>
      <c r="V1696" t="s">
        <v>162</v>
      </c>
    </row>
    <row r="1697" spans="9:22" x14ac:dyDescent="0.45">
      <c r="I1697" t="s">
        <v>210</v>
      </c>
      <c r="J1697" t="s">
        <v>165</v>
      </c>
      <c r="K1697">
        <v>1.1874246310652883E-2</v>
      </c>
      <c r="L1697" t="s">
        <v>162</v>
      </c>
      <c r="N1697" t="s">
        <v>322</v>
      </c>
      <c r="O1697" t="s">
        <v>165</v>
      </c>
      <c r="P1697">
        <v>7.3743826896723638E-2</v>
      </c>
      <c r="Q1697" t="s">
        <v>162</v>
      </c>
      <c r="S1697" t="s">
        <v>434</v>
      </c>
      <c r="T1697" t="s">
        <v>165</v>
      </c>
      <c r="U1697">
        <v>5.4684405485912108E-2</v>
      </c>
      <c r="V1697" t="s">
        <v>162</v>
      </c>
    </row>
    <row r="1698" spans="9:22" x14ac:dyDescent="0.45">
      <c r="I1698" t="s">
        <v>210</v>
      </c>
      <c r="J1698" t="s">
        <v>166</v>
      </c>
      <c r="K1698">
        <v>1.3640708233370009E-2</v>
      </c>
      <c r="L1698" t="s">
        <v>162</v>
      </c>
      <c r="N1698" t="s">
        <v>322</v>
      </c>
      <c r="O1698" t="s">
        <v>166</v>
      </c>
      <c r="P1698">
        <v>7.4147315153104036E-3</v>
      </c>
      <c r="Q1698" t="s">
        <v>162</v>
      </c>
      <c r="S1698" t="s">
        <v>434</v>
      </c>
      <c r="T1698" t="s">
        <v>166</v>
      </c>
      <c r="U1698">
        <v>6.0720195616772738E-3</v>
      </c>
      <c r="V1698" t="s">
        <v>162</v>
      </c>
    </row>
    <row r="1699" spans="9:22" x14ac:dyDescent="0.45">
      <c r="I1699" t="s">
        <v>210</v>
      </c>
      <c r="J1699" t="s">
        <v>167</v>
      </c>
      <c r="K1699">
        <v>3.5190477927549244E-2</v>
      </c>
      <c r="L1699" t="s">
        <v>162</v>
      </c>
      <c r="N1699" t="s">
        <v>322</v>
      </c>
      <c r="O1699" t="s">
        <v>167</v>
      </c>
      <c r="P1699">
        <v>1.423171692305132E-2</v>
      </c>
      <c r="Q1699" t="s">
        <v>162</v>
      </c>
      <c r="S1699" t="s">
        <v>434</v>
      </c>
      <c r="T1699" t="s">
        <v>167</v>
      </c>
      <c r="U1699">
        <v>1.1846173589007287E-2</v>
      </c>
      <c r="V1699" t="s">
        <v>162</v>
      </c>
    </row>
    <row r="1700" spans="9:22" x14ac:dyDescent="0.45">
      <c r="I1700" t="s">
        <v>210</v>
      </c>
      <c r="J1700" t="s">
        <v>522</v>
      </c>
      <c r="K1700">
        <v>8.299156675776774E-2</v>
      </c>
      <c r="L1700" t="s">
        <v>162</v>
      </c>
      <c r="N1700" t="s">
        <v>322</v>
      </c>
      <c r="O1700" t="s">
        <v>522</v>
      </c>
      <c r="P1700">
        <v>3.594857318008636E-2</v>
      </c>
      <c r="Q1700" t="s">
        <v>162</v>
      </c>
      <c r="S1700" t="s">
        <v>434</v>
      </c>
      <c r="T1700" t="s">
        <v>522</v>
      </c>
      <c r="U1700">
        <v>2.7672180692846386E-2</v>
      </c>
      <c r="V1700" t="s">
        <v>162</v>
      </c>
    </row>
    <row r="1701" spans="9:22" x14ac:dyDescent="0.45">
      <c r="I1701" t="s">
        <v>210</v>
      </c>
      <c r="J1701" t="s">
        <v>523</v>
      </c>
      <c r="K1701">
        <v>1.0158065996033833E-2</v>
      </c>
      <c r="L1701" t="s">
        <v>162</v>
      </c>
      <c r="N1701" t="s">
        <v>322</v>
      </c>
      <c r="O1701" t="s">
        <v>523</v>
      </c>
      <c r="P1701">
        <v>7.6473157895435876E-3</v>
      </c>
      <c r="Q1701" t="s">
        <v>162</v>
      </c>
      <c r="S1701" t="s">
        <v>434</v>
      </c>
      <c r="T1701" t="s">
        <v>523</v>
      </c>
      <c r="U1701">
        <v>5.8050862450443131E-3</v>
      </c>
      <c r="V1701" t="s">
        <v>162</v>
      </c>
    </row>
    <row r="1702" spans="9:22" x14ac:dyDescent="0.45">
      <c r="I1702" t="s">
        <v>210</v>
      </c>
      <c r="J1702" t="s">
        <v>524</v>
      </c>
      <c r="K1702">
        <v>3.9010548549985253E-3</v>
      </c>
      <c r="L1702" t="s">
        <v>162</v>
      </c>
      <c r="N1702" t="s">
        <v>322</v>
      </c>
      <c r="O1702" t="s">
        <v>524</v>
      </c>
      <c r="P1702">
        <v>4.9548293508288502E-2</v>
      </c>
      <c r="Q1702" t="s">
        <v>162</v>
      </c>
      <c r="S1702" t="s">
        <v>434</v>
      </c>
      <c r="T1702" t="s">
        <v>524</v>
      </c>
      <c r="U1702">
        <v>3.613209921218033E-2</v>
      </c>
      <c r="V1702" t="s">
        <v>162</v>
      </c>
    </row>
    <row r="1703" spans="9:22" x14ac:dyDescent="0.45">
      <c r="I1703" t="s">
        <v>210</v>
      </c>
      <c r="J1703" t="s">
        <v>168</v>
      </c>
      <c r="K1703">
        <v>1.8615292830231993E-2</v>
      </c>
      <c r="L1703" t="s">
        <v>162</v>
      </c>
      <c r="N1703" t="s">
        <v>322</v>
      </c>
      <c r="O1703" t="s">
        <v>168</v>
      </c>
      <c r="P1703">
        <v>3.8935666393504501E-2</v>
      </c>
      <c r="Q1703" t="s">
        <v>162</v>
      </c>
      <c r="S1703" t="s">
        <v>434</v>
      </c>
      <c r="T1703" t="s">
        <v>168</v>
      </c>
      <c r="U1703">
        <v>2.7530787548814863E-2</v>
      </c>
      <c r="V1703" t="s">
        <v>162</v>
      </c>
    </row>
    <row r="1704" spans="9:22" x14ac:dyDescent="0.45">
      <c r="I1704" t="s">
        <v>210</v>
      </c>
      <c r="J1704" t="s">
        <v>169</v>
      </c>
      <c r="K1704">
        <v>1.0045846499144575E-2</v>
      </c>
      <c r="L1704" t="s">
        <v>162</v>
      </c>
      <c r="N1704" t="s">
        <v>322</v>
      </c>
      <c r="O1704" t="s">
        <v>169</v>
      </c>
      <c r="P1704">
        <v>3.6207398091097943E-3</v>
      </c>
      <c r="Q1704" t="s">
        <v>162</v>
      </c>
      <c r="S1704" t="s">
        <v>434</v>
      </c>
      <c r="T1704" t="s">
        <v>169</v>
      </c>
      <c r="U1704">
        <v>3.1332993007850887E-3</v>
      </c>
      <c r="V1704" t="s">
        <v>162</v>
      </c>
    </row>
    <row r="1705" spans="9:22" x14ac:dyDescent="0.45">
      <c r="I1705" t="s">
        <v>210</v>
      </c>
      <c r="J1705" t="s">
        <v>170</v>
      </c>
      <c r="K1705">
        <v>2.2129572234126565E-2</v>
      </c>
      <c r="L1705" t="s">
        <v>162</v>
      </c>
      <c r="N1705" t="s">
        <v>322</v>
      </c>
      <c r="O1705" t="s">
        <v>170</v>
      </c>
      <c r="P1705">
        <v>7.2220532347903581E-3</v>
      </c>
      <c r="Q1705" t="s">
        <v>162</v>
      </c>
      <c r="S1705" t="s">
        <v>434</v>
      </c>
      <c r="T1705" t="s">
        <v>170</v>
      </c>
      <c r="U1705">
        <v>6.1696804653897513E-3</v>
      </c>
      <c r="V1705" t="s">
        <v>162</v>
      </c>
    </row>
    <row r="1706" spans="9:22" x14ac:dyDescent="0.45">
      <c r="I1706" t="s">
        <v>210</v>
      </c>
      <c r="J1706" t="s">
        <v>525</v>
      </c>
      <c r="K1706">
        <v>4.7774456519562497E-2</v>
      </c>
      <c r="L1706" t="s">
        <v>162</v>
      </c>
      <c r="N1706" t="s">
        <v>322</v>
      </c>
      <c r="O1706" t="s">
        <v>525</v>
      </c>
      <c r="P1706">
        <v>1.8175689306328544E-2</v>
      </c>
      <c r="Q1706" t="s">
        <v>162</v>
      </c>
      <c r="S1706" t="s">
        <v>434</v>
      </c>
      <c r="T1706" t="s">
        <v>525</v>
      </c>
      <c r="U1706">
        <v>1.5275298406851627E-2</v>
      </c>
      <c r="V1706" t="s">
        <v>162</v>
      </c>
    </row>
    <row r="1707" spans="9:22" x14ac:dyDescent="0.45">
      <c r="I1707" t="s">
        <v>210</v>
      </c>
      <c r="J1707" t="s">
        <v>526</v>
      </c>
      <c r="K1707">
        <v>6.5178650953750016E-3</v>
      </c>
      <c r="L1707" t="s">
        <v>162</v>
      </c>
      <c r="N1707" t="s">
        <v>322</v>
      </c>
      <c r="O1707" t="s">
        <v>526</v>
      </c>
      <c r="P1707">
        <v>3.4462007439121844E-3</v>
      </c>
      <c r="Q1707" t="s">
        <v>162</v>
      </c>
      <c r="S1707" t="s">
        <v>434</v>
      </c>
      <c r="T1707" t="s">
        <v>526</v>
      </c>
      <c r="U1707">
        <v>2.9766548160645979E-3</v>
      </c>
      <c r="V1707" t="s">
        <v>162</v>
      </c>
    </row>
    <row r="1708" spans="9:22" x14ac:dyDescent="0.45">
      <c r="I1708" t="s">
        <v>210</v>
      </c>
      <c r="J1708" t="s">
        <v>527</v>
      </c>
      <c r="K1708">
        <v>8.1190722969681477E-3</v>
      </c>
      <c r="L1708" t="s">
        <v>162</v>
      </c>
      <c r="N1708" t="s">
        <v>322</v>
      </c>
      <c r="O1708" t="s">
        <v>527</v>
      </c>
      <c r="P1708">
        <v>2.4251227161315073E-2</v>
      </c>
      <c r="Q1708" t="s">
        <v>162</v>
      </c>
      <c r="S1708" t="s">
        <v>434</v>
      </c>
      <c r="T1708" t="s">
        <v>527</v>
      </c>
      <c r="U1708">
        <v>1.7785169499080909E-2</v>
      </c>
      <c r="V1708" t="s">
        <v>162</v>
      </c>
    </row>
    <row r="1709" spans="9:22" x14ac:dyDescent="0.45">
      <c r="I1709" t="s">
        <v>210</v>
      </c>
      <c r="J1709" t="s">
        <v>528</v>
      </c>
      <c r="K1709">
        <v>9.3367632515077695E-2</v>
      </c>
      <c r="L1709" t="s">
        <v>162</v>
      </c>
      <c r="N1709" t="s">
        <v>322</v>
      </c>
      <c r="O1709" t="s">
        <v>528</v>
      </c>
      <c r="P1709">
        <v>8.509542526048057E-2</v>
      </c>
      <c r="Q1709" t="s">
        <v>162</v>
      </c>
      <c r="S1709" t="s">
        <v>434</v>
      </c>
      <c r="T1709" t="s">
        <v>528</v>
      </c>
      <c r="U1709">
        <v>7.2193506061640933E-2</v>
      </c>
      <c r="V1709" t="s">
        <v>162</v>
      </c>
    </row>
    <row r="1710" spans="9:22" x14ac:dyDescent="0.45">
      <c r="I1710" t="s">
        <v>210</v>
      </c>
      <c r="J1710" t="s">
        <v>529</v>
      </c>
      <c r="K1710">
        <v>3.3707183921681587E-2</v>
      </c>
      <c r="L1710" t="s">
        <v>162</v>
      </c>
      <c r="N1710" t="s">
        <v>322</v>
      </c>
      <c r="O1710" t="s">
        <v>529</v>
      </c>
      <c r="P1710">
        <v>6.6765440448093797E-3</v>
      </c>
      <c r="Q1710" t="s">
        <v>162</v>
      </c>
      <c r="S1710" t="s">
        <v>434</v>
      </c>
      <c r="T1710" t="s">
        <v>529</v>
      </c>
      <c r="U1710">
        <v>8.0629085822714244E-3</v>
      </c>
      <c r="V1710" t="s">
        <v>162</v>
      </c>
    </row>
    <row r="1711" spans="9:22" x14ac:dyDescent="0.45">
      <c r="I1711" t="s">
        <v>210</v>
      </c>
      <c r="J1711" t="s">
        <v>530</v>
      </c>
      <c r="K1711">
        <v>6.7652258979339797E-2</v>
      </c>
      <c r="L1711" t="s">
        <v>162</v>
      </c>
      <c r="N1711" t="s">
        <v>322</v>
      </c>
      <c r="O1711" t="s">
        <v>530</v>
      </c>
      <c r="P1711">
        <v>1.4831101916093567E-2</v>
      </c>
      <c r="Q1711" t="s">
        <v>162</v>
      </c>
      <c r="S1711" t="s">
        <v>434</v>
      </c>
      <c r="T1711" t="s">
        <v>530</v>
      </c>
      <c r="U1711">
        <v>1.6010762802190735E-2</v>
      </c>
      <c r="V1711" t="s">
        <v>162</v>
      </c>
    </row>
    <row r="1712" spans="9:22" x14ac:dyDescent="0.45">
      <c r="I1712" t="s">
        <v>210</v>
      </c>
      <c r="J1712" t="s">
        <v>531</v>
      </c>
      <c r="K1712">
        <v>0.14736674050645374</v>
      </c>
      <c r="L1712" t="s">
        <v>162</v>
      </c>
      <c r="N1712" t="s">
        <v>322</v>
      </c>
      <c r="O1712" t="s">
        <v>531</v>
      </c>
      <c r="P1712">
        <v>4.1600541609417931E-2</v>
      </c>
      <c r="Q1712" t="s">
        <v>162</v>
      </c>
      <c r="S1712" t="s">
        <v>434</v>
      </c>
      <c r="T1712" t="s">
        <v>531</v>
      </c>
      <c r="U1712">
        <v>3.8908577160858319E-2</v>
      </c>
      <c r="V1712" t="s">
        <v>162</v>
      </c>
    </row>
    <row r="1713" spans="9:22" x14ac:dyDescent="0.45">
      <c r="I1713" t="s">
        <v>210</v>
      </c>
      <c r="J1713" t="s">
        <v>532</v>
      </c>
      <c r="K1713">
        <v>2.3080525379412627E-2</v>
      </c>
      <c r="L1713" t="s">
        <v>162</v>
      </c>
      <c r="N1713" t="s">
        <v>322</v>
      </c>
      <c r="O1713" t="s">
        <v>532</v>
      </c>
      <c r="P1713">
        <v>8.0526400699131983E-3</v>
      </c>
      <c r="Q1713" t="s">
        <v>162</v>
      </c>
      <c r="S1713" t="s">
        <v>434</v>
      </c>
      <c r="T1713" t="s">
        <v>532</v>
      </c>
      <c r="U1713">
        <v>7.3933708513585971E-3</v>
      </c>
      <c r="V1713" t="s">
        <v>162</v>
      </c>
    </row>
    <row r="1714" spans="9:22" x14ac:dyDescent="0.45">
      <c r="I1714" t="s">
        <v>210</v>
      </c>
      <c r="J1714" t="s">
        <v>533</v>
      </c>
      <c r="K1714">
        <v>4.4401551468318999E-2</v>
      </c>
      <c r="L1714" t="s">
        <v>162</v>
      </c>
      <c r="N1714" t="s">
        <v>322</v>
      </c>
      <c r="O1714" t="s">
        <v>533</v>
      </c>
      <c r="P1714">
        <v>5.4517075945533011E-2</v>
      </c>
      <c r="Q1714" t="s">
        <v>162</v>
      </c>
      <c r="S1714" t="s">
        <v>434</v>
      </c>
      <c r="T1714" t="s">
        <v>533</v>
      </c>
      <c r="U1714">
        <v>4.5465888419516522E-2</v>
      </c>
      <c r="V1714" t="s">
        <v>162</v>
      </c>
    </row>
    <row r="1715" spans="9:22" x14ac:dyDescent="0.45">
      <c r="I1715" t="s">
        <v>210</v>
      </c>
      <c r="J1715" t="s">
        <v>534</v>
      </c>
      <c r="K1715">
        <v>3.9709303030002419E-2</v>
      </c>
      <c r="L1715" t="s">
        <v>162</v>
      </c>
      <c r="N1715" t="s">
        <v>322</v>
      </c>
      <c r="O1715" t="s">
        <v>534</v>
      </c>
      <c r="P1715">
        <v>8.5830805843238905E-2</v>
      </c>
      <c r="Q1715" t="s">
        <v>162</v>
      </c>
      <c r="S1715" t="s">
        <v>434</v>
      </c>
      <c r="T1715" t="s">
        <v>534</v>
      </c>
      <c r="U1715">
        <v>0.10293428892167251</v>
      </c>
      <c r="V1715" t="s">
        <v>162</v>
      </c>
    </row>
    <row r="1716" spans="9:22" x14ac:dyDescent="0.45">
      <c r="I1716" t="s">
        <v>210</v>
      </c>
      <c r="J1716" t="s">
        <v>535</v>
      </c>
      <c r="K1716">
        <v>2.4163913594035018E-2</v>
      </c>
      <c r="L1716" t="s">
        <v>162</v>
      </c>
      <c r="N1716" t="s">
        <v>322</v>
      </c>
      <c r="O1716" t="s">
        <v>535</v>
      </c>
      <c r="P1716">
        <v>6.8822878120708576E-3</v>
      </c>
      <c r="Q1716" t="s">
        <v>162</v>
      </c>
      <c r="S1716" t="s">
        <v>434</v>
      </c>
      <c r="T1716" t="s">
        <v>535</v>
      </c>
      <c r="U1716">
        <v>1.1350993287364209E-2</v>
      </c>
      <c r="V1716" t="s">
        <v>162</v>
      </c>
    </row>
    <row r="1717" spans="9:22" x14ac:dyDescent="0.45">
      <c r="I1717" t="s">
        <v>210</v>
      </c>
      <c r="J1717" t="s">
        <v>536</v>
      </c>
      <c r="K1717">
        <v>5.1955389651193645E-2</v>
      </c>
      <c r="L1717" t="s">
        <v>162</v>
      </c>
      <c r="N1717" t="s">
        <v>322</v>
      </c>
      <c r="O1717" t="s">
        <v>536</v>
      </c>
      <c r="P1717">
        <v>1.3974879062212106E-2</v>
      </c>
      <c r="Q1717" t="s">
        <v>162</v>
      </c>
      <c r="S1717" t="s">
        <v>434</v>
      </c>
      <c r="T1717" t="s">
        <v>536</v>
      </c>
      <c r="U1717">
        <v>2.2675865668539727E-2</v>
      </c>
      <c r="V1717" t="s">
        <v>162</v>
      </c>
    </row>
    <row r="1718" spans="9:22" x14ac:dyDescent="0.45">
      <c r="I1718" t="s">
        <v>210</v>
      </c>
      <c r="J1718" t="s">
        <v>537</v>
      </c>
      <c r="K1718">
        <v>0.11014293080743041</v>
      </c>
      <c r="L1718" t="s">
        <v>162</v>
      </c>
      <c r="N1718" t="s">
        <v>322</v>
      </c>
      <c r="O1718" t="s">
        <v>537</v>
      </c>
      <c r="P1718">
        <v>3.8311672033465631E-2</v>
      </c>
      <c r="Q1718" t="s">
        <v>162</v>
      </c>
      <c r="S1718" t="s">
        <v>434</v>
      </c>
      <c r="T1718" t="s">
        <v>537</v>
      </c>
      <c r="U1718">
        <v>5.5889582132847164E-2</v>
      </c>
      <c r="V1718" t="s">
        <v>162</v>
      </c>
    </row>
    <row r="1719" spans="9:22" x14ac:dyDescent="0.45">
      <c r="I1719" t="s">
        <v>210</v>
      </c>
      <c r="J1719" t="s">
        <v>538</v>
      </c>
      <c r="K1719">
        <v>1.4226906326200444E-2</v>
      </c>
      <c r="L1719" t="s">
        <v>162</v>
      </c>
      <c r="N1719" t="s">
        <v>322</v>
      </c>
      <c r="O1719" t="s">
        <v>538</v>
      </c>
      <c r="P1719">
        <v>7.3568118794773698E-3</v>
      </c>
      <c r="Q1719" t="s">
        <v>162</v>
      </c>
      <c r="S1719" t="s">
        <v>434</v>
      </c>
      <c r="T1719" t="s">
        <v>538</v>
      </c>
      <c r="U1719">
        <v>1.1050972765894812E-2</v>
      </c>
      <c r="V1719" t="s">
        <v>162</v>
      </c>
    </row>
    <row r="1720" spans="9:22" x14ac:dyDescent="0.45">
      <c r="I1720" t="s">
        <v>210</v>
      </c>
      <c r="J1720" t="s">
        <v>539</v>
      </c>
      <c r="K1720">
        <v>1.409992649550274E-2</v>
      </c>
      <c r="L1720" t="s">
        <v>162</v>
      </c>
      <c r="N1720" t="s">
        <v>322</v>
      </c>
      <c r="O1720" t="s">
        <v>539</v>
      </c>
      <c r="P1720">
        <v>5.7590125641921612E-2</v>
      </c>
      <c r="Q1720" t="s">
        <v>162</v>
      </c>
      <c r="S1720" t="s">
        <v>434</v>
      </c>
      <c r="T1720" t="s">
        <v>539</v>
      </c>
      <c r="U1720">
        <v>6.7874782796613561E-2</v>
      </c>
      <c r="V1720" t="s">
        <v>162</v>
      </c>
    </row>
    <row r="1721" spans="9:22" x14ac:dyDescent="0.45">
      <c r="I1721" t="s">
        <v>210</v>
      </c>
      <c r="J1721" t="s">
        <v>540</v>
      </c>
      <c r="K1721">
        <v>2.1730401884186899E-4</v>
      </c>
      <c r="L1721" t="s">
        <v>162</v>
      </c>
      <c r="N1721" t="s">
        <v>322</v>
      </c>
      <c r="O1721" t="s">
        <v>540</v>
      </c>
      <c r="P1721">
        <v>3.6240582747003133E-2</v>
      </c>
      <c r="Q1721" t="s">
        <v>162</v>
      </c>
      <c r="S1721" t="s">
        <v>434</v>
      </c>
      <c r="T1721" t="s">
        <v>540</v>
      </c>
      <c r="U1721">
        <v>4.1300104287499653E-2</v>
      </c>
      <c r="V1721" t="s">
        <v>162</v>
      </c>
    </row>
    <row r="1722" spans="9:22" x14ac:dyDescent="0.45">
      <c r="I1722" t="s">
        <v>210</v>
      </c>
      <c r="J1722" t="s">
        <v>541</v>
      </c>
      <c r="K1722">
        <v>2.7232006482523336E-3</v>
      </c>
      <c r="L1722" t="s">
        <v>162</v>
      </c>
      <c r="N1722" t="s">
        <v>322</v>
      </c>
      <c r="O1722" t="s">
        <v>541</v>
      </c>
      <c r="P1722">
        <v>3.3777676644827499E-3</v>
      </c>
      <c r="Q1722" t="s">
        <v>162</v>
      </c>
      <c r="S1722" t="s">
        <v>434</v>
      </c>
      <c r="T1722" t="s">
        <v>541</v>
      </c>
      <c r="U1722">
        <v>4.6738048240764817E-3</v>
      </c>
      <c r="V1722" t="s">
        <v>162</v>
      </c>
    </row>
    <row r="1723" spans="9:22" x14ac:dyDescent="0.45">
      <c r="I1723" t="s">
        <v>210</v>
      </c>
      <c r="J1723" t="s">
        <v>542</v>
      </c>
      <c r="K1723">
        <v>8.9907465314498485E-3</v>
      </c>
      <c r="L1723" t="s">
        <v>162</v>
      </c>
      <c r="N1723" t="s">
        <v>322</v>
      </c>
      <c r="O1723" t="s">
        <v>542</v>
      </c>
      <c r="P1723">
        <v>6.0926204631384833E-3</v>
      </c>
      <c r="Q1723" t="s">
        <v>162</v>
      </c>
      <c r="S1723" t="s">
        <v>434</v>
      </c>
      <c r="T1723" t="s">
        <v>542</v>
      </c>
      <c r="U1723">
        <v>9.0994529711736216E-3</v>
      </c>
      <c r="V1723" t="s">
        <v>162</v>
      </c>
    </row>
    <row r="1724" spans="9:22" x14ac:dyDescent="0.45">
      <c r="I1724" t="s">
        <v>210</v>
      </c>
      <c r="J1724" t="s">
        <v>543</v>
      </c>
      <c r="K1724">
        <v>1.5892055518326901E-2</v>
      </c>
      <c r="L1724" t="s">
        <v>162</v>
      </c>
      <c r="N1724" t="s">
        <v>322</v>
      </c>
      <c r="O1724" t="s">
        <v>543</v>
      </c>
      <c r="P1724">
        <v>1.6447279420030856E-2</v>
      </c>
      <c r="Q1724" t="s">
        <v>162</v>
      </c>
      <c r="S1724" t="s">
        <v>434</v>
      </c>
      <c r="T1724" t="s">
        <v>543</v>
      </c>
      <c r="U1724">
        <v>2.1648420885921463E-2</v>
      </c>
      <c r="V1724" t="s">
        <v>162</v>
      </c>
    </row>
    <row r="1725" spans="9:22" x14ac:dyDescent="0.45">
      <c r="I1725" t="s">
        <v>210</v>
      </c>
      <c r="J1725" t="s">
        <v>544</v>
      </c>
      <c r="K1725">
        <v>0</v>
      </c>
      <c r="L1725" t="s">
        <v>162</v>
      </c>
      <c r="N1725" t="s">
        <v>322</v>
      </c>
      <c r="O1725" t="s">
        <v>544</v>
      </c>
      <c r="P1725">
        <v>4.0301008793081116E-3</v>
      </c>
      <c r="Q1725" t="s">
        <v>162</v>
      </c>
      <c r="S1725" t="s">
        <v>434</v>
      </c>
      <c r="T1725" t="s">
        <v>544</v>
      </c>
      <c r="U1725">
        <v>4.3483920942368037E-3</v>
      </c>
      <c r="V1725" t="s">
        <v>162</v>
      </c>
    </row>
    <row r="1726" spans="9:22" x14ac:dyDescent="0.45">
      <c r="I1726" t="s">
        <v>210</v>
      </c>
      <c r="J1726" t="s">
        <v>545</v>
      </c>
      <c r="K1726">
        <v>0</v>
      </c>
      <c r="L1726" t="s">
        <v>162</v>
      </c>
      <c r="N1726" t="s">
        <v>322</v>
      </c>
      <c r="O1726" t="s">
        <v>545</v>
      </c>
      <c r="P1726">
        <v>2.5934666641007884E-2</v>
      </c>
      <c r="Q1726" t="s">
        <v>162</v>
      </c>
      <c r="S1726" t="s">
        <v>434</v>
      </c>
      <c r="T1726" t="s">
        <v>545</v>
      </c>
      <c r="U1726">
        <v>2.5958022577151373E-2</v>
      </c>
      <c r="V1726" t="s">
        <v>162</v>
      </c>
    </row>
    <row r="1727" spans="9:22" x14ac:dyDescent="0.45">
      <c r="I1727" t="s">
        <v>210</v>
      </c>
      <c r="J1727" t="s">
        <v>546</v>
      </c>
      <c r="K1727">
        <v>0</v>
      </c>
      <c r="L1727" t="s">
        <v>162</v>
      </c>
      <c r="N1727" t="s">
        <v>322</v>
      </c>
      <c r="O1727" t="s">
        <v>546</v>
      </c>
      <c r="P1727">
        <v>3.77001315623108E-2</v>
      </c>
      <c r="Q1727" t="s">
        <v>162</v>
      </c>
      <c r="S1727" t="s">
        <v>434</v>
      </c>
      <c r="T1727" t="s">
        <v>546</v>
      </c>
      <c r="U1727">
        <v>4.1680038507549803E-2</v>
      </c>
      <c r="V1727" t="s">
        <v>162</v>
      </c>
    </row>
    <row r="1728" spans="9:22" x14ac:dyDescent="0.45">
      <c r="I1728" t="s">
        <v>210</v>
      </c>
      <c r="J1728" t="s">
        <v>547</v>
      </c>
      <c r="K1728">
        <v>2.4180832916356557E-6</v>
      </c>
      <c r="L1728" t="s">
        <v>162</v>
      </c>
      <c r="N1728" t="s">
        <v>322</v>
      </c>
      <c r="O1728" t="s">
        <v>547</v>
      </c>
      <c r="P1728">
        <v>3.8789838286378948E-3</v>
      </c>
      <c r="Q1728" t="s">
        <v>162</v>
      </c>
      <c r="S1728" t="s">
        <v>434</v>
      </c>
      <c r="T1728" t="s">
        <v>547</v>
      </c>
      <c r="U1728">
        <v>4.6736552634467554E-3</v>
      </c>
      <c r="V1728" t="s">
        <v>162</v>
      </c>
    </row>
    <row r="1729" spans="9:22" x14ac:dyDescent="0.45">
      <c r="I1729" t="s">
        <v>210</v>
      </c>
      <c r="J1729" t="s">
        <v>548</v>
      </c>
      <c r="K1729">
        <v>5.1910057216658298E-3</v>
      </c>
      <c r="L1729" t="s">
        <v>162</v>
      </c>
      <c r="N1729" t="s">
        <v>322</v>
      </c>
      <c r="O1729" t="s">
        <v>548</v>
      </c>
      <c r="P1729">
        <v>7.2471750002010803E-3</v>
      </c>
      <c r="Q1729" t="s">
        <v>162</v>
      </c>
      <c r="S1729" t="s">
        <v>434</v>
      </c>
      <c r="T1729" t="s">
        <v>548</v>
      </c>
      <c r="U1729">
        <v>9.3399630796328036E-3</v>
      </c>
      <c r="V1729" t="s">
        <v>162</v>
      </c>
    </row>
    <row r="1730" spans="9:22" x14ac:dyDescent="0.45">
      <c r="I1730" t="s">
        <v>210</v>
      </c>
      <c r="J1730" t="s">
        <v>549</v>
      </c>
      <c r="K1730">
        <v>9.7783755580180196E-3</v>
      </c>
      <c r="L1730" t="s">
        <v>162</v>
      </c>
      <c r="N1730" t="s">
        <v>322</v>
      </c>
      <c r="O1730" t="s">
        <v>549</v>
      </c>
      <c r="P1730">
        <v>1.757314314696419E-2</v>
      </c>
      <c r="Q1730" t="s">
        <v>162</v>
      </c>
      <c r="S1730" t="s">
        <v>434</v>
      </c>
      <c r="T1730" t="s">
        <v>549</v>
      </c>
      <c r="U1730">
        <v>2.3470975639966786E-2</v>
      </c>
      <c r="V1730" t="s">
        <v>162</v>
      </c>
    </row>
    <row r="1731" spans="9:22" x14ac:dyDescent="0.45">
      <c r="I1731" t="s">
        <v>210</v>
      </c>
      <c r="J1731" t="s">
        <v>550</v>
      </c>
      <c r="K1731">
        <v>0</v>
      </c>
      <c r="L1731" t="s">
        <v>162</v>
      </c>
      <c r="N1731" t="s">
        <v>322</v>
      </c>
      <c r="O1731" t="s">
        <v>550</v>
      </c>
      <c r="P1731">
        <v>3.80452670170997E-3</v>
      </c>
      <c r="Q1731" t="s">
        <v>162</v>
      </c>
      <c r="S1731" t="s">
        <v>434</v>
      </c>
      <c r="T1731" t="s">
        <v>550</v>
      </c>
      <c r="U1731">
        <v>4.5188871431242582E-3</v>
      </c>
      <c r="V1731" t="s">
        <v>162</v>
      </c>
    </row>
    <row r="1732" spans="9:22" x14ac:dyDescent="0.45">
      <c r="I1732" t="s">
        <v>210</v>
      </c>
      <c r="J1732" t="s">
        <v>551</v>
      </c>
      <c r="K1732">
        <v>0</v>
      </c>
      <c r="L1732" t="s">
        <v>162</v>
      </c>
      <c r="N1732" t="s">
        <v>322</v>
      </c>
      <c r="O1732" t="s">
        <v>551</v>
      </c>
      <c r="P1732">
        <v>2.4219256464484015E-2</v>
      </c>
      <c r="Q1732" t="s">
        <v>162</v>
      </c>
      <c r="S1732" t="s">
        <v>434</v>
      </c>
      <c r="T1732" t="s">
        <v>551</v>
      </c>
      <c r="U1732">
        <v>2.593410335733904E-2</v>
      </c>
      <c r="V1732" t="s">
        <v>162</v>
      </c>
    </row>
    <row r="1733" spans="9:22" x14ac:dyDescent="0.45">
      <c r="I1733" t="s">
        <v>211</v>
      </c>
      <c r="J1733" t="s">
        <v>161</v>
      </c>
      <c r="K1733">
        <v>0</v>
      </c>
      <c r="L1733" t="s">
        <v>162</v>
      </c>
      <c r="N1733" t="s">
        <v>323</v>
      </c>
      <c r="O1733" t="s">
        <v>161</v>
      </c>
      <c r="P1733">
        <v>4.0055794527587361E-2</v>
      </c>
      <c r="Q1733" t="s">
        <v>162</v>
      </c>
      <c r="S1733" t="s">
        <v>435</v>
      </c>
      <c r="T1733" t="s">
        <v>161</v>
      </c>
      <c r="U1733">
        <v>2.8209149033857121E-2</v>
      </c>
      <c r="V1733" t="s">
        <v>162</v>
      </c>
    </row>
    <row r="1734" spans="9:22" x14ac:dyDescent="0.45">
      <c r="I1734" t="s">
        <v>211</v>
      </c>
      <c r="J1734" t="s">
        <v>163</v>
      </c>
      <c r="K1734">
        <v>1.2817858613824653E-3</v>
      </c>
      <c r="L1734" t="s">
        <v>162</v>
      </c>
      <c r="N1734" t="s">
        <v>323</v>
      </c>
      <c r="O1734" t="s">
        <v>163</v>
      </c>
      <c r="P1734">
        <v>4.3425395513033158E-3</v>
      </c>
      <c r="Q1734" t="s">
        <v>162</v>
      </c>
      <c r="S1734" t="s">
        <v>435</v>
      </c>
      <c r="T1734" t="s">
        <v>163</v>
      </c>
      <c r="U1734">
        <v>3.1434182491075499E-3</v>
      </c>
      <c r="V1734" t="s">
        <v>162</v>
      </c>
    </row>
    <row r="1735" spans="9:22" x14ac:dyDescent="0.45">
      <c r="I1735" t="s">
        <v>211</v>
      </c>
      <c r="J1735" t="s">
        <v>164</v>
      </c>
      <c r="K1735">
        <v>8.076717796965123E-3</v>
      </c>
      <c r="L1735" t="s">
        <v>162</v>
      </c>
      <c r="N1735" t="s">
        <v>323</v>
      </c>
      <c r="O1735" t="s">
        <v>164</v>
      </c>
      <c r="P1735">
        <v>8.4612087990905797E-3</v>
      </c>
      <c r="Q1735" t="s">
        <v>162</v>
      </c>
      <c r="S1735" t="s">
        <v>435</v>
      </c>
      <c r="T1735" t="s">
        <v>164</v>
      </c>
      <c r="U1735">
        <v>6.4576382953214131E-3</v>
      </c>
      <c r="V1735" t="s">
        <v>162</v>
      </c>
    </row>
    <row r="1736" spans="9:22" x14ac:dyDescent="0.45">
      <c r="I1736" t="s">
        <v>211</v>
      </c>
      <c r="J1736" t="s">
        <v>519</v>
      </c>
      <c r="K1736">
        <v>1.5673058339357879E-2</v>
      </c>
      <c r="L1736" t="s">
        <v>162</v>
      </c>
      <c r="N1736" t="s">
        <v>323</v>
      </c>
      <c r="O1736" t="s">
        <v>519</v>
      </c>
      <c r="P1736">
        <v>2.1196273572575638E-2</v>
      </c>
      <c r="Q1736" t="s">
        <v>162</v>
      </c>
      <c r="S1736" t="s">
        <v>435</v>
      </c>
      <c r="T1736" t="s">
        <v>519</v>
      </c>
      <c r="U1736">
        <v>1.6409654135295774E-2</v>
      </c>
      <c r="V1736" t="s">
        <v>162</v>
      </c>
    </row>
    <row r="1737" spans="9:22" x14ac:dyDescent="0.45">
      <c r="I1737" t="s">
        <v>211</v>
      </c>
      <c r="J1737" t="s">
        <v>520</v>
      </c>
      <c r="K1737">
        <v>0</v>
      </c>
      <c r="L1737" t="s">
        <v>162</v>
      </c>
      <c r="N1737" t="s">
        <v>323</v>
      </c>
      <c r="O1737" t="s">
        <v>520</v>
      </c>
      <c r="P1737">
        <v>4.8396684422638662E-3</v>
      </c>
      <c r="Q1737" t="s">
        <v>162</v>
      </c>
      <c r="S1737" t="s">
        <v>435</v>
      </c>
      <c r="T1737" t="s">
        <v>520</v>
      </c>
      <c r="U1737">
        <v>3.0793870187513484E-3</v>
      </c>
      <c r="V1737" t="s">
        <v>162</v>
      </c>
    </row>
    <row r="1738" spans="9:22" x14ac:dyDescent="0.45">
      <c r="I1738" t="s">
        <v>211</v>
      </c>
      <c r="J1738" t="s">
        <v>521</v>
      </c>
      <c r="K1738">
        <v>0</v>
      </c>
      <c r="L1738" t="s">
        <v>162</v>
      </c>
      <c r="N1738" t="s">
        <v>323</v>
      </c>
      <c r="O1738" t="s">
        <v>521</v>
      </c>
      <c r="P1738">
        <v>3.059662330310994E-2</v>
      </c>
      <c r="Q1738" t="s">
        <v>162</v>
      </c>
      <c r="S1738" t="s">
        <v>435</v>
      </c>
      <c r="T1738" t="s">
        <v>521</v>
      </c>
      <c r="U1738">
        <v>1.8862392739524614E-2</v>
      </c>
      <c r="V1738" t="s">
        <v>162</v>
      </c>
    </row>
    <row r="1739" spans="9:22" x14ac:dyDescent="0.45">
      <c r="I1739" t="s">
        <v>211</v>
      </c>
      <c r="J1739" t="s">
        <v>165</v>
      </c>
      <c r="K1739">
        <v>1.5745832153249373E-2</v>
      </c>
      <c r="L1739" t="s">
        <v>162</v>
      </c>
      <c r="N1739" t="s">
        <v>323</v>
      </c>
      <c r="O1739" t="s">
        <v>165</v>
      </c>
      <c r="P1739">
        <v>6.6922711047846251E-2</v>
      </c>
      <c r="Q1739" t="s">
        <v>162</v>
      </c>
      <c r="S1739" t="s">
        <v>435</v>
      </c>
      <c r="T1739" t="s">
        <v>165</v>
      </c>
      <c r="U1739">
        <v>5.6643858424419907E-2</v>
      </c>
      <c r="V1739" t="s">
        <v>162</v>
      </c>
    </row>
    <row r="1740" spans="9:22" x14ac:dyDescent="0.45">
      <c r="I1740" t="s">
        <v>211</v>
      </c>
      <c r="J1740" t="s">
        <v>166</v>
      </c>
      <c r="K1740">
        <v>1.4839716953284628E-2</v>
      </c>
      <c r="L1740" t="s">
        <v>162</v>
      </c>
      <c r="N1740" t="s">
        <v>323</v>
      </c>
      <c r="O1740" t="s">
        <v>166</v>
      </c>
      <c r="P1740">
        <v>7.1775267445791926E-3</v>
      </c>
      <c r="Q1740" t="s">
        <v>162</v>
      </c>
      <c r="S1740" t="s">
        <v>435</v>
      </c>
      <c r="T1740" t="s">
        <v>166</v>
      </c>
      <c r="U1740">
        <v>6.1573742353968636E-3</v>
      </c>
      <c r="V1740" t="s">
        <v>162</v>
      </c>
    </row>
    <row r="1741" spans="9:22" x14ac:dyDescent="0.45">
      <c r="I1741" t="s">
        <v>211</v>
      </c>
      <c r="J1741" t="s">
        <v>167</v>
      </c>
      <c r="K1741">
        <v>3.5382292742169058E-2</v>
      </c>
      <c r="L1741" t="s">
        <v>162</v>
      </c>
      <c r="N1741" t="s">
        <v>323</v>
      </c>
      <c r="O1741" t="s">
        <v>167</v>
      </c>
      <c r="P1741">
        <v>1.3018865294281833E-2</v>
      </c>
      <c r="Q1741" t="s">
        <v>162</v>
      </c>
      <c r="S1741" t="s">
        <v>435</v>
      </c>
      <c r="T1741" t="s">
        <v>167</v>
      </c>
      <c r="U1741">
        <v>1.210220530774646E-2</v>
      </c>
      <c r="V1741" t="s">
        <v>162</v>
      </c>
    </row>
    <row r="1742" spans="9:22" x14ac:dyDescent="0.45">
      <c r="I1742" t="s">
        <v>211</v>
      </c>
      <c r="J1742" t="s">
        <v>522</v>
      </c>
      <c r="K1742">
        <v>7.9611862621714338E-2</v>
      </c>
      <c r="L1742" t="s">
        <v>162</v>
      </c>
      <c r="N1742" t="s">
        <v>323</v>
      </c>
      <c r="O1742" t="s">
        <v>522</v>
      </c>
      <c r="P1742">
        <v>3.0704492969244393E-2</v>
      </c>
      <c r="Q1742" t="s">
        <v>162</v>
      </c>
      <c r="S1742" t="s">
        <v>435</v>
      </c>
      <c r="T1742" t="s">
        <v>522</v>
      </c>
      <c r="U1742">
        <v>2.9638868689254812E-2</v>
      </c>
      <c r="V1742" t="s">
        <v>162</v>
      </c>
    </row>
    <row r="1743" spans="9:22" x14ac:dyDescent="0.45">
      <c r="I1743" t="s">
        <v>211</v>
      </c>
      <c r="J1743" t="s">
        <v>523</v>
      </c>
      <c r="K1743">
        <v>7.6027403958106449E-3</v>
      </c>
      <c r="L1743" t="s">
        <v>162</v>
      </c>
      <c r="N1743" t="s">
        <v>323</v>
      </c>
      <c r="O1743" t="s">
        <v>523</v>
      </c>
      <c r="P1743">
        <v>6.6640263230239695E-3</v>
      </c>
      <c r="Q1743" t="s">
        <v>162</v>
      </c>
      <c r="S1743" t="s">
        <v>435</v>
      </c>
      <c r="T1743" t="s">
        <v>523</v>
      </c>
      <c r="U1743">
        <v>5.9293794925957032E-3</v>
      </c>
      <c r="V1743" t="s">
        <v>162</v>
      </c>
    </row>
    <row r="1744" spans="9:22" x14ac:dyDescent="0.45">
      <c r="I1744" t="s">
        <v>211</v>
      </c>
      <c r="J1744" t="s">
        <v>524</v>
      </c>
      <c r="K1744">
        <v>2.5228208978794265E-3</v>
      </c>
      <c r="L1744" t="s">
        <v>162</v>
      </c>
      <c r="N1744" t="s">
        <v>323</v>
      </c>
      <c r="O1744" t="s">
        <v>524</v>
      </c>
      <c r="P1744">
        <v>4.5140467800420664E-2</v>
      </c>
      <c r="Q1744" t="s">
        <v>162</v>
      </c>
      <c r="S1744" t="s">
        <v>435</v>
      </c>
      <c r="T1744" t="s">
        <v>524</v>
      </c>
      <c r="U1744">
        <v>3.6301927954415135E-2</v>
      </c>
      <c r="V1744" t="s">
        <v>162</v>
      </c>
    </row>
    <row r="1745" spans="9:22" x14ac:dyDescent="0.45">
      <c r="I1745" t="s">
        <v>211</v>
      </c>
      <c r="J1745" t="s">
        <v>168</v>
      </c>
      <c r="K1745">
        <v>2.3280484992373458E-2</v>
      </c>
      <c r="L1745" t="s">
        <v>162</v>
      </c>
      <c r="N1745" t="s">
        <v>323</v>
      </c>
      <c r="O1745" t="s">
        <v>168</v>
      </c>
      <c r="P1745">
        <v>3.9395914158873356E-2</v>
      </c>
      <c r="Q1745" t="s">
        <v>162</v>
      </c>
      <c r="S1745" t="s">
        <v>435</v>
      </c>
      <c r="T1745" t="s">
        <v>168</v>
      </c>
      <c r="U1745">
        <v>3.0586495788853967E-2</v>
      </c>
      <c r="V1745" t="s">
        <v>162</v>
      </c>
    </row>
    <row r="1746" spans="9:22" x14ac:dyDescent="0.45">
      <c r="I1746" t="s">
        <v>211</v>
      </c>
      <c r="J1746" t="s">
        <v>169</v>
      </c>
      <c r="K1746">
        <v>1.1156579486425264E-2</v>
      </c>
      <c r="L1746" t="s">
        <v>162</v>
      </c>
      <c r="N1746" t="s">
        <v>323</v>
      </c>
      <c r="O1746" t="s">
        <v>169</v>
      </c>
      <c r="P1746">
        <v>3.9572759077968166E-3</v>
      </c>
      <c r="Q1746" t="s">
        <v>162</v>
      </c>
      <c r="S1746" t="s">
        <v>435</v>
      </c>
      <c r="T1746" t="s">
        <v>169</v>
      </c>
      <c r="U1746">
        <v>2.9494887683014252E-3</v>
      </c>
      <c r="V1746" t="s">
        <v>162</v>
      </c>
    </row>
    <row r="1747" spans="9:22" x14ac:dyDescent="0.45">
      <c r="I1747" t="s">
        <v>211</v>
      </c>
      <c r="J1747" t="s">
        <v>170</v>
      </c>
      <c r="K1747">
        <v>2.345305820423501E-2</v>
      </c>
      <c r="L1747" t="s">
        <v>162</v>
      </c>
      <c r="N1747" t="s">
        <v>323</v>
      </c>
      <c r="O1747" t="s">
        <v>170</v>
      </c>
      <c r="P1747">
        <v>7.7374465265546482E-3</v>
      </c>
      <c r="Q1747" t="s">
        <v>162</v>
      </c>
      <c r="S1747" t="s">
        <v>435</v>
      </c>
      <c r="T1747" t="s">
        <v>170</v>
      </c>
      <c r="U1747">
        <v>5.835556422148361E-3</v>
      </c>
      <c r="V1747" t="s">
        <v>162</v>
      </c>
    </row>
    <row r="1748" spans="9:22" x14ac:dyDescent="0.45">
      <c r="I1748" t="s">
        <v>211</v>
      </c>
      <c r="J1748" t="s">
        <v>525</v>
      </c>
      <c r="K1748">
        <v>5.023278408223663E-2</v>
      </c>
      <c r="L1748" t="s">
        <v>162</v>
      </c>
      <c r="N1748" t="s">
        <v>323</v>
      </c>
      <c r="O1748" t="s">
        <v>525</v>
      </c>
      <c r="P1748">
        <v>1.9323156509353578E-2</v>
      </c>
      <c r="Q1748" t="s">
        <v>162</v>
      </c>
      <c r="S1748" t="s">
        <v>435</v>
      </c>
      <c r="T1748" t="s">
        <v>525</v>
      </c>
      <c r="U1748">
        <v>1.5524746164027185E-2</v>
      </c>
      <c r="V1748" t="s">
        <v>162</v>
      </c>
    </row>
    <row r="1749" spans="9:22" x14ac:dyDescent="0.45">
      <c r="I1749" t="s">
        <v>211</v>
      </c>
      <c r="J1749" t="s">
        <v>526</v>
      </c>
      <c r="K1749">
        <v>6.8576176697339054E-3</v>
      </c>
      <c r="L1749" t="s">
        <v>162</v>
      </c>
      <c r="N1749" t="s">
        <v>323</v>
      </c>
      <c r="O1749" t="s">
        <v>526</v>
      </c>
      <c r="P1749">
        <v>3.5449743597771766E-3</v>
      </c>
      <c r="Q1749" t="s">
        <v>162</v>
      </c>
      <c r="S1749" t="s">
        <v>435</v>
      </c>
      <c r="T1749" t="s">
        <v>526</v>
      </c>
      <c r="U1749">
        <v>3.3687919876789485E-3</v>
      </c>
      <c r="V1749" t="s">
        <v>162</v>
      </c>
    </row>
    <row r="1750" spans="9:22" x14ac:dyDescent="0.45">
      <c r="I1750" t="s">
        <v>211</v>
      </c>
      <c r="J1750" t="s">
        <v>527</v>
      </c>
      <c r="K1750">
        <v>5.9500223866785478E-3</v>
      </c>
      <c r="L1750" t="s">
        <v>162</v>
      </c>
      <c r="N1750" t="s">
        <v>323</v>
      </c>
      <c r="O1750" t="s">
        <v>527</v>
      </c>
      <c r="P1750">
        <v>2.5031392830729131E-2</v>
      </c>
      <c r="Q1750" t="s">
        <v>162</v>
      </c>
      <c r="S1750" t="s">
        <v>435</v>
      </c>
      <c r="T1750" t="s">
        <v>527</v>
      </c>
      <c r="U1750">
        <v>2.18788975077235E-2</v>
      </c>
      <c r="V1750" t="s">
        <v>162</v>
      </c>
    </row>
    <row r="1751" spans="9:22" x14ac:dyDescent="0.45">
      <c r="I1751" t="s">
        <v>211</v>
      </c>
      <c r="J1751" t="s">
        <v>528</v>
      </c>
      <c r="K1751">
        <v>0.10212497180490268</v>
      </c>
      <c r="L1751" t="s">
        <v>162</v>
      </c>
      <c r="N1751" t="s">
        <v>323</v>
      </c>
      <c r="O1751" t="s">
        <v>528</v>
      </c>
      <c r="P1751">
        <v>8.9207611483965263E-2</v>
      </c>
      <c r="Q1751" t="s">
        <v>162</v>
      </c>
      <c r="S1751" t="s">
        <v>435</v>
      </c>
      <c r="T1751" t="s">
        <v>528</v>
      </c>
      <c r="U1751">
        <v>9.7578086435238576E-2</v>
      </c>
      <c r="V1751" t="s">
        <v>162</v>
      </c>
    </row>
    <row r="1752" spans="9:22" x14ac:dyDescent="0.45">
      <c r="I1752" t="s">
        <v>211</v>
      </c>
      <c r="J1752" t="s">
        <v>529</v>
      </c>
      <c r="K1752">
        <v>3.3464706427670403E-2</v>
      </c>
      <c r="L1752" t="s">
        <v>162</v>
      </c>
      <c r="N1752" t="s">
        <v>323</v>
      </c>
      <c r="O1752" t="s">
        <v>529</v>
      </c>
      <c r="P1752">
        <v>7.3620353482234217E-3</v>
      </c>
      <c r="Q1752" t="s">
        <v>162</v>
      </c>
      <c r="S1752" t="s">
        <v>435</v>
      </c>
      <c r="T1752" t="s">
        <v>529</v>
      </c>
      <c r="U1752">
        <v>9.5387089544805119E-3</v>
      </c>
      <c r="V1752" t="s">
        <v>162</v>
      </c>
    </row>
    <row r="1753" spans="9:22" x14ac:dyDescent="0.45">
      <c r="I1753" t="s">
        <v>211</v>
      </c>
      <c r="J1753" t="s">
        <v>530</v>
      </c>
      <c r="K1753">
        <v>6.4929456874969801E-2</v>
      </c>
      <c r="L1753" t="s">
        <v>162</v>
      </c>
      <c r="N1753" t="s">
        <v>323</v>
      </c>
      <c r="O1753" t="s">
        <v>530</v>
      </c>
      <c r="P1753">
        <v>1.6509581788574184E-2</v>
      </c>
      <c r="Q1753" t="s">
        <v>162</v>
      </c>
      <c r="S1753" t="s">
        <v>435</v>
      </c>
      <c r="T1753" t="s">
        <v>530</v>
      </c>
      <c r="U1753">
        <v>1.8940781047505916E-2</v>
      </c>
      <c r="V1753" t="s">
        <v>162</v>
      </c>
    </row>
    <row r="1754" spans="9:22" x14ac:dyDescent="0.45">
      <c r="I1754" t="s">
        <v>211</v>
      </c>
      <c r="J1754" t="s">
        <v>531</v>
      </c>
      <c r="K1754">
        <v>0.14287682532742682</v>
      </c>
      <c r="L1754" t="s">
        <v>162</v>
      </c>
      <c r="N1754" t="s">
        <v>323</v>
      </c>
      <c r="O1754" t="s">
        <v>531</v>
      </c>
      <c r="P1754">
        <v>4.7217988308251531E-2</v>
      </c>
      <c r="Q1754" t="s">
        <v>162</v>
      </c>
      <c r="S1754" t="s">
        <v>435</v>
      </c>
      <c r="T1754" t="s">
        <v>531</v>
      </c>
      <c r="U1754">
        <v>4.8765594765715202E-2</v>
      </c>
      <c r="V1754" t="s">
        <v>162</v>
      </c>
    </row>
    <row r="1755" spans="9:22" x14ac:dyDescent="0.45">
      <c r="I1755" t="s">
        <v>211</v>
      </c>
      <c r="J1755" t="s">
        <v>532</v>
      </c>
      <c r="K1755">
        <v>2.2808526333046149E-2</v>
      </c>
      <c r="L1755" t="s">
        <v>162</v>
      </c>
      <c r="N1755" t="s">
        <v>323</v>
      </c>
      <c r="O1755" t="s">
        <v>532</v>
      </c>
      <c r="P1755">
        <v>9.092779412156712E-3</v>
      </c>
      <c r="Q1755" t="s">
        <v>162</v>
      </c>
      <c r="S1755" t="s">
        <v>435</v>
      </c>
      <c r="T1755" t="s">
        <v>532</v>
      </c>
      <c r="U1755">
        <v>9.8841051681276774E-3</v>
      </c>
      <c r="V1755" t="s">
        <v>162</v>
      </c>
    </row>
    <row r="1756" spans="9:22" x14ac:dyDescent="0.45">
      <c r="I1756" t="s">
        <v>211</v>
      </c>
      <c r="J1756" t="s">
        <v>533</v>
      </c>
      <c r="K1756">
        <v>4.0818445376795902E-2</v>
      </c>
      <c r="L1756" t="s">
        <v>162</v>
      </c>
      <c r="N1756" t="s">
        <v>323</v>
      </c>
      <c r="O1756" t="s">
        <v>533</v>
      </c>
      <c r="P1756">
        <v>5.9826038408038518E-2</v>
      </c>
      <c r="Q1756" t="s">
        <v>162</v>
      </c>
      <c r="S1756" t="s">
        <v>435</v>
      </c>
      <c r="T1756" t="s">
        <v>533</v>
      </c>
      <c r="U1756">
        <v>6.1774201822962498E-2</v>
      </c>
      <c r="V1756" t="s">
        <v>162</v>
      </c>
    </row>
    <row r="1757" spans="9:22" x14ac:dyDescent="0.45">
      <c r="I1757" t="s">
        <v>211</v>
      </c>
      <c r="J1757" t="s">
        <v>534</v>
      </c>
      <c r="K1757">
        <v>4.7941594736368456E-2</v>
      </c>
      <c r="L1757" t="s">
        <v>162</v>
      </c>
      <c r="N1757" t="s">
        <v>323</v>
      </c>
      <c r="O1757" t="s">
        <v>534</v>
      </c>
      <c r="P1757">
        <v>8.0837075470631375E-2</v>
      </c>
      <c r="Q1757" t="s">
        <v>162</v>
      </c>
      <c r="S1757" t="s">
        <v>435</v>
      </c>
      <c r="T1757" t="s">
        <v>534</v>
      </c>
      <c r="U1757">
        <v>0.10756828348449232</v>
      </c>
      <c r="V1757" t="s">
        <v>162</v>
      </c>
    </row>
    <row r="1758" spans="9:22" x14ac:dyDescent="0.45">
      <c r="I1758" t="s">
        <v>211</v>
      </c>
      <c r="J1758" t="s">
        <v>535</v>
      </c>
      <c r="K1758">
        <v>2.4828348173137747E-2</v>
      </c>
      <c r="L1758" t="s">
        <v>162</v>
      </c>
      <c r="N1758" t="s">
        <v>323</v>
      </c>
      <c r="O1758" t="s">
        <v>535</v>
      </c>
      <c r="P1758">
        <v>6.2276883021975919E-3</v>
      </c>
      <c r="Q1758" t="s">
        <v>162</v>
      </c>
      <c r="S1758" t="s">
        <v>435</v>
      </c>
      <c r="T1758" t="s">
        <v>535</v>
      </c>
      <c r="U1758">
        <v>1.1577143946907564E-2</v>
      </c>
      <c r="V1758" t="s">
        <v>162</v>
      </c>
    </row>
    <row r="1759" spans="9:22" x14ac:dyDescent="0.45">
      <c r="I1759" t="s">
        <v>211</v>
      </c>
      <c r="J1759" t="s">
        <v>536</v>
      </c>
      <c r="K1759">
        <v>5.049073033432569E-2</v>
      </c>
      <c r="L1759" t="s">
        <v>162</v>
      </c>
      <c r="N1759" t="s">
        <v>323</v>
      </c>
      <c r="O1759" t="s">
        <v>536</v>
      </c>
      <c r="P1759">
        <v>1.3368221892272707E-2</v>
      </c>
      <c r="Q1759" t="s">
        <v>162</v>
      </c>
      <c r="S1759" t="s">
        <v>435</v>
      </c>
      <c r="T1759" t="s">
        <v>536</v>
      </c>
      <c r="U1759">
        <v>2.2729910996929972E-2</v>
      </c>
      <c r="V1759" t="s">
        <v>162</v>
      </c>
    </row>
    <row r="1760" spans="9:22" x14ac:dyDescent="0.45">
      <c r="I1760" t="s">
        <v>211</v>
      </c>
      <c r="J1760" t="s">
        <v>537</v>
      </c>
      <c r="K1760">
        <v>0.10294705440681778</v>
      </c>
      <c r="L1760" t="s">
        <v>162</v>
      </c>
      <c r="N1760" t="s">
        <v>323</v>
      </c>
      <c r="O1760" t="s">
        <v>537</v>
      </c>
      <c r="P1760">
        <v>3.7935777504254344E-2</v>
      </c>
      <c r="Q1760" t="s">
        <v>162</v>
      </c>
      <c r="S1760" t="s">
        <v>435</v>
      </c>
      <c r="T1760" t="s">
        <v>537</v>
      </c>
      <c r="U1760">
        <v>5.8516631821890527E-2</v>
      </c>
      <c r="V1760" t="s">
        <v>162</v>
      </c>
    </row>
    <row r="1761" spans="9:22" x14ac:dyDescent="0.45">
      <c r="I1761" t="s">
        <v>211</v>
      </c>
      <c r="J1761" t="s">
        <v>538</v>
      </c>
      <c r="K1761">
        <v>1.2737143725621392E-2</v>
      </c>
      <c r="L1761" t="s">
        <v>162</v>
      </c>
      <c r="N1761" t="s">
        <v>323</v>
      </c>
      <c r="O1761" t="s">
        <v>538</v>
      </c>
      <c r="P1761">
        <v>7.1672925531766421E-3</v>
      </c>
      <c r="Q1761" t="s">
        <v>162</v>
      </c>
      <c r="S1761" t="s">
        <v>435</v>
      </c>
      <c r="T1761" t="s">
        <v>538</v>
      </c>
      <c r="U1761">
        <v>1.2357275568413945E-2</v>
      </c>
      <c r="V1761" t="s">
        <v>162</v>
      </c>
    </row>
    <row r="1762" spans="9:22" x14ac:dyDescent="0.45">
      <c r="I1762" t="s">
        <v>211</v>
      </c>
      <c r="J1762" t="s">
        <v>539</v>
      </c>
      <c r="K1762">
        <v>1.2023708365214597E-2</v>
      </c>
      <c r="L1762" t="s">
        <v>162</v>
      </c>
      <c r="N1762" t="s">
        <v>323</v>
      </c>
      <c r="O1762" t="s">
        <v>539</v>
      </c>
      <c r="P1762">
        <v>5.5852032769621154E-2</v>
      </c>
      <c r="Q1762" t="s">
        <v>162</v>
      </c>
      <c r="S1762" t="s">
        <v>435</v>
      </c>
      <c r="T1762" t="s">
        <v>539</v>
      </c>
      <c r="U1762">
        <v>7.3720223752233527E-2</v>
      </c>
      <c r="V1762" t="s">
        <v>162</v>
      </c>
    </row>
    <row r="1763" spans="9:22" x14ac:dyDescent="0.45">
      <c r="I1763" t="s">
        <v>211</v>
      </c>
      <c r="J1763" t="s">
        <v>540</v>
      </c>
      <c r="K1763">
        <v>7.6426452950733865E-4</v>
      </c>
      <c r="L1763" t="s">
        <v>162</v>
      </c>
      <c r="N1763" t="s">
        <v>323</v>
      </c>
      <c r="O1763" t="s">
        <v>540</v>
      </c>
      <c r="P1763">
        <v>3.9938300196188985E-2</v>
      </c>
      <c r="Q1763" t="s">
        <v>162</v>
      </c>
      <c r="S1763" t="s">
        <v>435</v>
      </c>
      <c r="T1763" t="s">
        <v>540</v>
      </c>
      <c r="U1763">
        <v>3.312386828140762E-2</v>
      </c>
      <c r="V1763" t="s">
        <v>162</v>
      </c>
    </row>
    <row r="1764" spans="9:22" x14ac:dyDescent="0.45">
      <c r="I1764" t="s">
        <v>211</v>
      </c>
      <c r="J1764" t="s">
        <v>541</v>
      </c>
      <c r="K1764">
        <v>3.1134326162372424E-3</v>
      </c>
      <c r="L1764" t="s">
        <v>162</v>
      </c>
      <c r="N1764" t="s">
        <v>323</v>
      </c>
      <c r="O1764" t="s">
        <v>541</v>
      </c>
      <c r="P1764">
        <v>3.7421753158990421E-3</v>
      </c>
      <c r="Q1764" t="s">
        <v>162</v>
      </c>
      <c r="S1764" t="s">
        <v>435</v>
      </c>
      <c r="T1764" t="s">
        <v>541</v>
      </c>
      <c r="U1764">
        <v>3.8983829194275876E-3</v>
      </c>
      <c r="V1764" t="s">
        <v>162</v>
      </c>
    </row>
    <row r="1765" spans="9:22" x14ac:dyDescent="0.45">
      <c r="I1765" t="s">
        <v>211</v>
      </c>
      <c r="J1765" t="s">
        <v>542</v>
      </c>
      <c r="K1765">
        <v>9.0195367255711256E-3</v>
      </c>
      <c r="L1765" t="s">
        <v>162</v>
      </c>
      <c r="N1765" t="s">
        <v>323</v>
      </c>
      <c r="O1765" t="s">
        <v>542</v>
      </c>
      <c r="P1765">
        <v>6.4736197588128501E-3</v>
      </c>
      <c r="Q1765" t="s">
        <v>162</v>
      </c>
      <c r="S1765" t="s">
        <v>435</v>
      </c>
      <c r="T1765" t="s">
        <v>542</v>
      </c>
      <c r="U1765">
        <v>7.7326205908004831E-3</v>
      </c>
      <c r="V1765" t="s">
        <v>162</v>
      </c>
    </row>
    <row r="1766" spans="9:22" x14ac:dyDescent="0.45">
      <c r="I1766" t="s">
        <v>211</v>
      </c>
      <c r="J1766" t="s">
        <v>543</v>
      </c>
      <c r="K1766">
        <v>1.3747237883201152E-2</v>
      </c>
      <c r="L1766" t="s">
        <v>162</v>
      </c>
      <c r="N1766" t="s">
        <v>323</v>
      </c>
      <c r="O1766" t="s">
        <v>543</v>
      </c>
      <c r="P1766">
        <v>1.5950304748867591E-2</v>
      </c>
      <c r="Q1766" t="s">
        <v>162</v>
      </c>
      <c r="S1766" t="s">
        <v>435</v>
      </c>
      <c r="T1766" t="s">
        <v>543</v>
      </c>
      <c r="U1766">
        <v>1.9018790404436891E-2</v>
      </c>
      <c r="V1766" t="s">
        <v>162</v>
      </c>
    </row>
    <row r="1767" spans="9:22" x14ac:dyDescent="0.45">
      <c r="I1767" t="s">
        <v>211</v>
      </c>
      <c r="J1767" t="s">
        <v>544</v>
      </c>
      <c r="K1767">
        <v>0</v>
      </c>
      <c r="L1767" t="s">
        <v>162</v>
      </c>
      <c r="N1767" t="s">
        <v>323</v>
      </c>
      <c r="O1767" t="s">
        <v>544</v>
      </c>
      <c r="P1767">
        <v>3.8898996000857641E-3</v>
      </c>
      <c r="Q1767" t="s">
        <v>162</v>
      </c>
      <c r="S1767" t="s">
        <v>435</v>
      </c>
      <c r="T1767" t="s">
        <v>544</v>
      </c>
      <c r="U1767">
        <v>3.7253375159710354E-3</v>
      </c>
      <c r="V1767" t="s">
        <v>162</v>
      </c>
    </row>
    <row r="1768" spans="9:22" x14ac:dyDescent="0.45">
      <c r="I1768" t="s">
        <v>211</v>
      </c>
      <c r="J1768" t="s">
        <v>545</v>
      </c>
      <c r="K1768">
        <v>0</v>
      </c>
      <c r="L1768" t="s">
        <v>162</v>
      </c>
      <c r="N1768" t="s">
        <v>323</v>
      </c>
      <c r="O1768" t="s">
        <v>545</v>
      </c>
      <c r="P1768">
        <v>2.7016531238012301E-2</v>
      </c>
      <c r="Q1768" t="s">
        <v>162</v>
      </c>
      <c r="S1768" t="s">
        <v>435</v>
      </c>
      <c r="T1768" t="s">
        <v>545</v>
      </c>
      <c r="U1768">
        <v>2.2517998964670358E-2</v>
      </c>
      <c r="V1768" t="s">
        <v>162</v>
      </c>
    </row>
    <row r="1769" spans="9:22" x14ac:dyDescent="0.45">
      <c r="I1769" t="s">
        <v>211</v>
      </c>
      <c r="J1769" t="s">
        <v>546</v>
      </c>
      <c r="K1769">
        <v>0</v>
      </c>
      <c r="L1769" t="s">
        <v>162</v>
      </c>
      <c r="N1769" t="s">
        <v>323</v>
      </c>
      <c r="O1769" t="s">
        <v>546</v>
      </c>
      <c r="P1769">
        <v>3.8093278531766993E-2</v>
      </c>
      <c r="Q1769" t="s">
        <v>162</v>
      </c>
      <c r="S1769" t="s">
        <v>435</v>
      </c>
      <c r="T1769" t="s">
        <v>546</v>
      </c>
      <c r="U1769">
        <v>2.843577723515189E-2</v>
      </c>
      <c r="V1769" t="s">
        <v>162</v>
      </c>
    </row>
    <row r="1770" spans="9:22" x14ac:dyDescent="0.45">
      <c r="I1770" t="s">
        <v>211</v>
      </c>
      <c r="J1770" t="s">
        <v>547</v>
      </c>
      <c r="K1770">
        <v>1.0440383163842019E-4</v>
      </c>
      <c r="L1770" t="s">
        <v>162</v>
      </c>
      <c r="N1770" t="s">
        <v>323</v>
      </c>
      <c r="O1770" t="s">
        <v>547</v>
      </c>
      <c r="P1770">
        <v>3.7078299137215595E-3</v>
      </c>
      <c r="Q1770" t="s">
        <v>162</v>
      </c>
      <c r="S1770" t="s">
        <v>435</v>
      </c>
      <c r="T1770" t="s">
        <v>547</v>
      </c>
      <c r="U1770">
        <v>3.1889403211278157E-3</v>
      </c>
      <c r="V1770" t="s">
        <v>162</v>
      </c>
    </row>
    <row r="1771" spans="9:22" x14ac:dyDescent="0.45">
      <c r="I1771" t="s">
        <v>211</v>
      </c>
      <c r="J1771" t="s">
        <v>548</v>
      </c>
      <c r="K1771">
        <v>5.6659944271961445E-3</v>
      </c>
      <c r="L1771" t="s">
        <v>162</v>
      </c>
      <c r="N1771" t="s">
        <v>323</v>
      </c>
      <c r="O1771" t="s">
        <v>548</v>
      </c>
      <c r="P1771">
        <v>6.7074129574035369E-3</v>
      </c>
      <c r="Q1771" t="s">
        <v>162</v>
      </c>
      <c r="S1771" t="s">
        <v>435</v>
      </c>
      <c r="T1771" t="s">
        <v>548</v>
      </c>
      <c r="U1771">
        <v>6.3625073525180537E-3</v>
      </c>
      <c r="V1771" t="s">
        <v>162</v>
      </c>
    </row>
    <row r="1772" spans="9:22" x14ac:dyDescent="0.45">
      <c r="I1772" t="s">
        <v>211</v>
      </c>
      <c r="J1772" t="s">
        <v>549</v>
      </c>
      <c r="K1772">
        <v>7.9262435168578269E-3</v>
      </c>
      <c r="L1772" t="s">
        <v>162</v>
      </c>
      <c r="N1772" t="s">
        <v>323</v>
      </c>
      <c r="O1772" t="s">
        <v>549</v>
      </c>
      <c r="P1772">
        <v>1.6835356522567266E-2</v>
      </c>
      <c r="Q1772" t="s">
        <v>162</v>
      </c>
      <c r="S1772" t="s">
        <v>435</v>
      </c>
      <c r="T1772" t="s">
        <v>549</v>
      </c>
      <c r="U1772">
        <v>1.5532046315120398E-2</v>
      </c>
      <c r="V1772" t="s">
        <v>162</v>
      </c>
    </row>
    <row r="1773" spans="9:22" x14ac:dyDescent="0.45">
      <c r="I1773" t="s">
        <v>211</v>
      </c>
      <c r="J1773" t="s">
        <v>550</v>
      </c>
      <c r="K1773">
        <v>0</v>
      </c>
      <c r="L1773" t="s">
        <v>162</v>
      </c>
      <c r="N1773" t="s">
        <v>323</v>
      </c>
      <c r="O1773" t="s">
        <v>550</v>
      </c>
      <c r="P1773">
        <v>4.0756870652316497E-3</v>
      </c>
      <c r="Q1773" t="s">
        <v>162</v>
      </c>
      <c r="S1773" t="s">
        <v>435</v>
      </c>
      <c r="T1773" t="s">
        <v>550</v>
      </c>
      <c r="U1773">
        <v>2.9866565761356347E-3</v>
      </c>
      <c r="V1773" t="s">
        <v>162</v>
      </c>
    </row>
    <row r="1774" spans="9:22" x14ac:dyDescent="0.45">
      <c r="I1774" t="s">
        <v>211</v>
      </c>
      <c r="J1774" t="s">
        <v>551</v>
      </c>
      <c r="K1774">
        <v>0</v>
      </c>
      <c r="L1774" t="s">
        <v>162</v>
      </c>
      <c r="N1774" t="s">
        <v>323</v>
      </c>
      <c r="O1774" t="s">
        <v>551</v>
      </c>
      <c r="P1774">
        <v>2.4855122241671843E-2</v>
      </c>
      <c r="Q1774" t="s">
        <v>162</v>
      </c>
      <c r="S1774" t="s">
        <v>435</v>
      </c>
      <c r="T1774" t="s">
        <v>551</v>
      </c>
      <c r="U1774">
        <v>1.7446895543917533E-2</v>
      </c>
      <c r="V1774" t="s">
        <v>162</v>
      </c>
    </row>
    <row r="1775" spans="9:22" x14ac:dyDescent="0.45">
      <c r="I1775" t="s">
        <v>212</v>
      </c>
      <c r="J1775" t="s">
        <v>161</v>
      </c>
      <c r="K1775">
        <v>0</v>
      </c>
      <c r="L1775" t="s">
        <v>162</v>
      </c>
      <c r="N1775" t="s">
        <v>324</v>
      </c>
      <c r="O1775" t="s">
        <v>161</v>
      </c>
      <c r="P1775">
        <v>3.9245354079645189E-2</v>
      </c>
      <c r="Q1775" t="s">
        <v>162</v>
      </c>
      <c r="S1775" t="s">
        <v>436</v>
      </c>
      <c r="T1775" t="s">
        <v>161</v>
      </c>
      <c r="U1775">
        <v>2.7340770950734308E-2</v>
      </c>
      <c r="V1775" t="s">
        <v>162</v>
      </c>
    </row>
    <row r="1776" spans="9:22" x14ac:dyDescent="0.45">
      <c r="I1776" t="s">
        <v>212</v>
      </c>
      <c r="J1776" t="s">
        <v>163</v>
      </c>
      <c r="K1776">
        <v>1.9082476303717239E-3</v>
      </c>
      <c r="L1776" t="s">
        <v>162</v>
      </c>
      <c r="N1776" t="s">
        <v>324</v>
      </c>
      <c r="O1776" t="s">
        <v>163</v>
      </c>
      <c r="P1776">
        <v>4.2282570325041981E-3</v>
      </c>
      <c r="Q1776" t="s">
        <v>162</v>
      </c>
      <c r="S1776" t="s">
        <v>436</v>
      </c>
      <c r="T1776" t="s">
        <v>163</v>
      </c>
      <c r="U1776">
        <v>3.1300379130155299E-3</v>
      </c>
      <c r="V1776" t="s">
        <v>162</v>
      </c>
    </row>
    <row r="1777" spans="9:22" x14ac:dyDescent="0.45">
      <c r="I1777" t="s">
        <v>212</v>
      </c>
      <c r="J1777" t="s">
        <v>164</v>
      </c>
      <c r="K1777">
        <v>8.5777167345645663E-3</v>
      </c>
      <c r="L1777" t="s">
        <v>162</v>
      </c>
      <c r="N1777" t="s">
        <v>324</v>
      </c>
      <c r="O1777" t="s">
        <v>164</v>
      </c>
      <c r="P1777">
        <v>7.7152153237662283E-3</v>
      </c>
      <c r="Q1777" t="s">
        <v>162</v>
      </c>
      <c r="S1777" t="s">
        <v>436</v>
      </c>
      <c r="T1777" t="s">
        <v>164</v>
      </c>
      <c r="U1777">
        <v>6.6467478735332559E-3</v>
      </c>
      <c r="V1777" t="s">
        <v>162</v>
      </c>
    </row>
    <row r="1778" spans="9:22" x14ac:dyDescent="0.45">
      <c r="I1778" t="s">
        <v>212</v>
      </c>
      <c r="J1778" t="s">
        <v>519</v>
      </c>
      <c r="K1778">
        <v>1.7274368536928333E-2</v>
      </c>
      <c r="L1778" t="s">
        <v>162</v>
      </c>
      <c r="N1778" t="s">
        <v>324</v>
      </c>
      <c r="O1778" t="s">
        <v>519</v>
      </c>
      <c r="P1778">
        <v>1.853869950029207E-2</v>
      </c>
      <c r="Q1778" t="s">
        <v>162</v>
      </c>
      <c r="S1778" t="s">
        <v>436</v>
      </c>
      <c r="T1778" t="s">
        <v>519</v>
      </c>
      <c r="U1778">
        <v>1.7231528923812689E-2</v>
      </c>
      <c r="V1778" t="s">
        <v>162</v>
      </c>
    </row>
    <row r="1779" spans="9:22" x14ac:dyDescent="0.45">
      <c r="I1779" t="s">
        <v>212</v>
      </c>
      <c r="J1779" t="s">
        <v>520</v>
      </c>
      <c r="K1779">
        <v>0</v>
      </c>
      <c r="L1779" t="s">
        <v>162</v>
      </c>
      <c r="N1779" t="s">
        <v>324</v>
      </c>
      <c r="O1779" t="s">
        <v>520</v>
      </c>
      <c r="P1779">
        <v>4.4572448981480871E-3</v>
      </c>
      <c r="Q1779" t="s">
        <v>162</v>
      </c>
      <c r="S1779" t="s">
        <v>436</v>
      </c>
      <c r="T1779" t="s">
        <v>520</v>
      </c>
      <c r="U1779">
        <v>3.1594162765884001E-3</v>
      </c>
      <c r="V1779" t="s">
        <v>162</v>
      </c>
    </row>
    <row r="1780" spans="9:22" x14ac:dyDescent="0.45">
      <c r="I1780" t="s">
        <v>212</v>
      </c>
      <c r="J1780" t="s">
        <v>521</v>
      </c>
      <c r="K1780">
        <v>0</v>
      </c>
      <c r="L1780" t="s">
        <v>162</v>
      </c>
      <c r="N1780" t="s">
        <v>324</v>
      </c>
      <c r="O1780" t="s">
        <v>521</v>
      </c>
      <c r="P1780">
        <v>2.7767544408345363E-2</v>
      </c>
      <c r="Q1780" t="s">
        <v>162</v>
      </c>
      <c r="S1780" t="s">
        <v>436</v>
      </c>
      <c r="T1780" t="s">
        <v>521</v>
      </c>
      <c r="U1780">
        <v>1.9130268095664253E-2</v>
      </c>
      <c r="V1780" t="s">
        <v>162</v>
      </c>
    </row>
    <row r="1781" spans="9:22" x14ac:dyDescent="0.45">
      <c r="I1781" t="s">
        <v>212</v>
      </c>
      <c r="J1781" t="s">
        <v>165</v>
      </c>
      <c r="K1781">
        <v>1.5816912866148468E-2</v>
      </c>
      <c r="L1781" t="s">
        <v>162</v>
      </c>
      <c r="N1781" t="s">
        <v>324</v>
      </c>
      <c r="O1781" t="s">
        <v>165</v>
      </c>
      <c r="P1781">
        <v>5.7364226374569678E-2</v>
      </c>
      <c r="Q1781" t="s">
        <v>162</v>
      </c>
      <c r="S1781" t="s">
        <v>436</v>
      </c>
      <c r="T1781" t="s">
        <v>165</v>
      </c>
      <c r="U1781">
        <v>5.4423459167811147E-2</v>
      </c>
      <c r="V1781" t="s">
        <v>162</v>
      </c>
    </row>
    <row r="1782" spans="9:22" x14ac:dyDescent="0.45">
      <c r="I1782" t="s">
        <v>212</v>
      </c>
      <c r="J1782" t="s">
        <v>166</v>
      </c>
      <c r="K1782">
        <v>1.4750351536122945E-2</v>
      </c>
      <c r="L1782" t="s">
        <v>162</v>
      </c>
      <c r="N1782" t="s">
        <v>324</v>
      </c>
      <c r="O1782" t="s">
        <v>166</v>
      </c>
      <c r="P1782">
        <v>5.998770217625027E-3</v>
      </c>
      <c r="Q1782" t="s">
        <v>162</v>
      </c>
      <c r="S1782" t="s">
        <v>436</v>
      </c>
      <c r="T1782" t="s">
        <v>166</v>
      </c>
      <c r="U1782">
        <v>5.6009633252532649E-3</v>
      </c>
      <c r="V1782" t="s">
        <v>162</v>
      </c>
    </row>
    <row r="1783" spans="9:22" x14ac:dyDescent="0.45">
      <c r="I1783" t="s">
        <v>212</v>
      </c>
      <c r="J1783" t="s">
        <v>167</v>
      </c>
      <c r="K1783">
        <v>3.4799551842784694E-2</v>
      </c>
      <c r="L1783" t="s">
        <v>162</v>
      </c>
      <c r="N1783" t="s">
        <v>324</v>
      </c>
      <c r="O1783" t="s">
        <v>167</v>
      </c>
      <c r="P1783">
        <v>1.0064069570101423E-2</v>
      </c>
      <c r="Q1783" t="s">
        <v>162</v>
      </c>
      <c r="S1783" t="s">
        <v>436</v>
      </c>
      <c r="T1783" t="s">
        <v>167</v>
      </c>
      <c r="U1783">
        <v>1.0989145712178947E-2</v>
      </c>
      <c r="V1783" t="s">
        <v>162</v>
      </c>
    </row>
    <row r="1784" spans="9:22" x14ac:dyDescent="0.45">
      <c r="I1784" t="s">
        <v>212</v>
      </c>
      <c r="J1784" t="s">
        <v>522</v>
      </c>
      <c r="K1784">
        <v>7.8202828103825922E-2</v>
      </c>
      <c r="L1784" t="s">
        <v>162</v>
      </c>
      <c r="N1784" t="s">
        <v>324</v>
      </c>
      <c r="O1784" t="s">
        <v>522</v>
      </c>
      <c r="P1784">
        <v>2.3503849603832887E-2</v>
      </c>
      <c r="Q1784" t="s">
        <v>162</v>
      </c>
      <c r="S1784" t="s">
        <v>436</v>
      </c>
      <c r="T1784" t="s">
        <v>522</v>
      </c>
      <c r="U1784">
        <v>2.721130888942808E-2</v>
      </c>
      <c r="V1784" t="s">
        <v>162</v>
      </c>
    </row>
    <row r="1785" spans="9:22" x14ac:dyDescent="0.45">
      <c r="I1785" t="s">
        <v>212</v>
      </c>
      <c r="J1785" t="s">
        <v>523</v>
      </c>
      <c r="K1785">
        <v>7.8341634634525627E-3</v>
      </c>
      <c r="L1785" t="s">
        <v>162</v>
      </c>
      <c r="N1785" t="s">
        <v>324</v>
      </c>
      <c r="O1785" t="s">
        <v>523</v>
      </c>
      <c r="P1785">
        <v>5.574004067369724E-3</v>
      </c>
      <c r="Q1785" t="s">
        <v>162</v>
      </c>
      <c r="S1785" t="s">
        <v>436</v>
      </c>
      <c r="T1785" t="s">
        <v>523</v>
      </c>
      <c r="U1785">
        <v>5.6249850738940904E-3</v>
      </c>
      <c r="V1785" t="s">
        <v>162</v>
      </c>
    </row>
    <row r="1786" spans="9:22" x14ac:dyDescent="0.45">
      <c r="I1786" t="s">
        <v>212</v>
      </c>
      <c r="J1786" t="s">
        <v>524</v>
      </c>
      <c r="K1786">
        <v>2.3514212955907188E-3</v>
      </c>
      <c r="L1786" t="s">
        <v>162</v>
      </c>
      <c r="N1786" t="s">
        <v>324</v>
      </c>
      <c r="O1786" t="s">
        <v>524</v>
      </c>
      <c r="P1786">
        <v>3.9771624649656168E-2</v>
      </c>
      <c r="Q1786" t="s">
        <v>162</v>
      </c>
      <c r="S1786" t="s">
        <v>436</v>
      </c>
      <c r="T1786" t="s">
        <v>524</v>
      </c>
      <c r="U1786">
        <v>3.5882013819399323E-2</v>
      </c>
      <c r="V1786" t="s">
        <v>162</v>
      </c>
    </row>
    <row r="1787" spans="9:22" x14ac:dyDescent="0.45">
      <c r="I1787" t="s">
        <v>212</v>
      </c>
      <c r="J1787" t="s">
        <v>168</v>
      </c>
      <c r="K1787">
        <v>2.0866482943869533E-2</v>
      </c>
      <c r="L1787" t="s">
        <v>162</v>
      </c>
      <c r="N1787" t="s">
        <v>324</v>
      </c>
      <c r="O1787" t="s">
        <v>168</v>
      </c>
      <c r="P1787">
        <v>3.7030755700644707E-2</v>
      </c>
      <c r="Q1787" t="s">
        <v>162</v>
      </c>
      <c r="S1787" t="s">
        <v>436</v>
      </c>
      <c r="T1787" t="s">
        <v>168</v>
      </c>
      <c r="U1787">
        <v>3.1739554378524187E-2</v>
      </c>
      <c r="V1787" t="s">
        <v>162</v>
      </c>
    </row>
    <row r="1788" spans="9:22" x14ac:dyDescent="0.45">
      <c r="I1788" t="s">
        <v>212</v>
      </c>
      <c r="J1788" t="s">
        <v>169</v>
      </c>
      <c r="K1788">
        <v>1.0356102034670321E-2</v>
      </c>
      <c r="L1788" t="s">
        <v>162</v>
      </c>
      <c r="N1788" t="s">
        <v>324</v>
      </c>
      <c r="O1788" t="s">
        <v>169</v>
      </c>
      <c r="P1788">
        <v>3.6229784601331358E-3</v>
      </c>
      <c r="Q1788" t="s">
        <v>162</v>
      </c>
      <c r="S1788" t="s">
        <v>436</v>
      </c>
      <c r="T1788" t="s">
        <v>169</v>
      </c>
      <c r="U1788">
        <v>2.9426922739624181E-3</v>
      </c>
      <c r="V1788" t="s">
        <v>162</v>
      </c>
    </row>
    <row r="1789" spans="9:22" x14ac:dyDescent="0.45">
      <c r="I1789" t="s">
        <v>212</v>
      </c>
      <c r="J1789" t="s">
        <v>170</v>
      </c>
      <c r="K1789">
        <v>2.1963082408096475E-2</v>
      </c>
      <c r="L1789" t="s">
        <v>162</v>
      </c>
      <c r="N1789" t="s">
        <v>324</v>
      </c>
      <c r="O1789" t="s">
        <v>170</v>
      </c>
      <c r="P1789">
        <v>7.591402452193953E-3</v>
      </c>
      <c r="Q1789" t="s">
        <v>162</v>
      </c>
      <c r="S1789" t="s">
        <v>436</v>
      </c>
      <c r="T1789" t="s">
        <v>170</v>
      </c>
      <c r="U1789">
        <v>5.9022898337790586E-3</v>
      </c>
      <c r="V1789" t="s">
        <v>162</v>
      </c>
    </row>
    <row r="1790" spans="9:22" x14ac:dyDescent="0.45">
      <c r="I1790" t="s">
        <v>212</v>
      </c>
      <c r="J1790" t="s">
        <v>525</v>
      </c>
      <c r="K1790">
        <v>4.7228567087353186E-2</v>
      </c>
      <c r="L1790" t="s">
        <v>162</v>
      </c>
      <c r="N1790" t="s">
        <v>324</v>
      </c>
      <c r="O1790" t="s">
        <v>525</v>
      </c>
      <c r="P1790">
        <v>1.9603421807590827E-2</v>
      </c>
      <c r="Q1790" t="s">
        <v>162</v>
      </c>
      <c r="S1790" t="s">
        <v>436</v>
      </c>
      <c r="T1790" t="s">
        <v>525</v>
      </c>
      <c r="U1790">
        <v>1.6607140627060389E-2</v>
      </c>
      <c r="V1790" t="s">
        <v>162</v>
      </c>
    </row>
    <row r="1791" spans="9:22" x14ac:dyDescent="0.45">
      <c r="I1791" t="s">
        <v>212</v>
      </c>
      <c r="J1791" t="s">
        <v>526</v>
      </c>
      <c r="K1791">
        <v>6.3191575646239567E-3</v>
      </c>
      <c r="L1791" t="s">
        <v>162</v>
      </c>
      <c r="N1791" t="s">
        <v>324</v>
      </c>
      <c r="O1791" t="s">
        <v>526</v>
      </c>
      <c r="P1791">
        <v>3.5675430993742023E-3</v>
      </c>
      <c r="Q1791" t="s">
        <v>162</v>
      </c>
      <c r="S1791" t="s">
        <v>436</v>
      </c>
      <c r="T1791" t="s">
        <v>526</v>
      </c>
      <c r="U1791">
        <v>3.6226937249946812E-3</v>
      </c>
      <c r="V1791" t="s">
        <v>162</v>
      </c>
    </row>
    <row r="1792" spans="9:22" x14ac:dyDescent="0.45">
      <c r="I1792" t="s">
        <v>212</v>
      </c>
      <c r="J1792" t="s">
        <v>527</v>
      </c>
      <c r="K1792">
        <v>6.2168158739460168E-3</v>
      </c>
      <c r="L1792" t="s">
        <v>162</v>
      </c>
      <c r="N1792" t="s">
        <v>324</v>
      </c>
      <c r="O1792" t="s">
        <v>527</v>
      </c>
      <c r="P1792">
        <v>2.4221599446710509E-2</v>
      </c>
      <c r="Q1792" t="s">
        <v>162</v>
      </c>
      <c r="S1792" t="s">
        <v>436</v>
      </c>
      <c r="T1792" t="s">
        <v>527</v>
      </c>
      <c r="U1792">
        <v>2.3426234738622549E-2</v>
      </c>
      <c r="V1792" t="s">
        <v>162</v>
      </c>
    </row>
    <row r="1793" spans="9:22" x14ac:dyDescent="0.45">
      <c r="I1793" t="s">
        <v>212</v>
      </c>
      <c r="J1793" t="s">
        <v>528</v>
      </c>
      <c r="K1793">
        <v>9.5918584405862387E-2</v>
      </c>
      <c r="L1793" t="s">
        <v>162</v>
      </c>
      <c r="N1793" t="s">
        <v>324</v>
      </c>
      <c r="O1793" t="s">
        <v>528</v>
      </c>
      <c r="P1793">
        <v>8.6228625329456923E-2</v>
      </c>
      <c r="Q1793" t="s">
        <v>162</v>
      </c>
      <c r="S1793" t="s">
        <v>436</v>
      </c>
      <c r="T1793" t="s">
        <v>528</v>
      </c>
      <c r="U1793">
        <v>9.8489452432189012E-2</v>
      </c>
      <c r="V1793" t="s">
        <v>162</v>
      </c>
    </row>
    <row r="1794" spans="9:22" x14ac:dyDescent="0.45">
      <c r="I1794" t="s">
        <v>212</v>
      </c>
      <c r="J1794" t="s">
        <v>529</v>
      </c>
      <c r="K1794">
        <v>3.2054329214403439E-2</v>
      </c>
      <c r="L1794" t="s">
        <v>162</v>
      </c>
      <c r="N1794" t="s">
        <v>324</v>
      </c>
      <c r="O1794" t="s">
        <v>529</v>
      </c>
      <c r="P1794">
        <v>7.4491298664255742E-3</v>
      </c>
      <c r="Q1794" t="s">
        <v>162</v>
      </c>
      <c r="S1794" t="s">
        <v>436</v>
      </c>
      <c r="T1794" t="s">
        <v>529</v>
      </c>
      <c r="U1794">
        <v>9.5347000221754873E-3</v>
      </c>
      <c r="V1794" t="s">
        <v>162</v>
      </c>
    </row>
    <row r="1795" spans="9:22" x14ac:dyDescent="0.45">
      <c r="I1795" t="s">
        <v>212</v>
      </c>
      <c r="J1795" t="s">
        <v>530</v>
      </c>
      <c r="K1795">
        <v>6.3426887668068893E-2</v>
      </c>
      <c r="L1795" t="s">
        <v>162</v>
      </c>
      <c r="N1795" t="s">
        <v>324</v>
      </c>
      <c r="O1795" t="s">
        <v>530</v>
      </c>
      <c r="P1795">
        <v>1.732518263515118E-2</v>
      </c>
      <c r="Q1795" t="s">
        <v>162</v>
      </c>
      <c r="S1795" t="s">
        <v>436</v>
      </c>
      <c r="T1795" t="s">
        <v>530</v>
      </c>
      <c r="U1795">
        <v>1.898541811401842E-2</v>
      </c>
      <c r="V1795" t="s">
        <v>162</v>
      </c>
    </row>
    <row r="1796" spans="9:22" x14ac:dyDescent="0.45">
      <c r="I1796" t="s">
        <v>212</v>
      </c>
      <c r="J1796" t="s">
        <v>531</v>
      </c>
      <c r="K1796">
        <v>0.13953133250922178</v>
      </c>
      <c r="L1796" t="s">
        <v>162</v>
      </c>
      <c r="N1796" t="s">
        <v>324</v>
      </c>
      <c r="O1796" t="s">
        <v>531</v>
      </c>
      <c r="P1796">
        <v>4.9878388978611223E-2</v>
      </c>
      <c r="Q1796" t="s">
        <v>162</v>
      </c>
      <c r="S1796" t="s">
        <v>436</v>
      </c>
      <c r="T1796" t="s">
        <v>531</v>
      </c>
      <c r="U1796">
        <v>4.8792311568107267E-2</v>
      </c>
      <c r="V1796" t="s">
        <v>162</v>
      </c>
    </row>
    <row r="1797" spans="9:22" x14ac:dyDescent="0.45">
      <c r="I1797" t="s">
        <v>212</v>
      </c>
      <c r="J1797" t="s">
        <v>532</v>
      </c>
      <c r="K1797">
        <v>2.2042696022251389E-2</v>
      </c>
      <c r="L1797" t="s">
        <v>162</v>
      </c>
      <c r="N1797" t="s">
        <v>324</v>
      </c>
      <c r="O1797" t="s">
        <v>532</v>
      </c>
      <c r="P1797">
        <v>9.041388199445919E-3</v>
      </c>
      <c r="Q1797" t="s">
        <v>162</v>
      </c>
      <c r="S1797" t="s">
        <v>436</v>
      </c>
      <c r="T1797" t="s">
        <v>532</v>
      </c>
      <c r="U1797">
        <v>9.9647739964383326E-3</v>
      </c>
      <c r="V1797" t="s">
        <v>162</v>
      </c>
    </row>
    <row r="1798" spans="9:22" x14ac:dyDescent="0.45">
      <c r="I1798" t="s">
        <v>212</v>
      </c>
      <c r="J1798" t="s">
        <v>533</v>
      </c>
      <c r="K1798">
        <v>3.6446834372127285E-2</v>
      </c>
      <c r="L1798" t="s">
        <v>162</v>
      </c>
      <c r="N1798" t="s">
        <v>324</v>
      </c>
      <c r="O1798" t="s">
        <v>533</v>
      </c>
      <c r="P1798">
        <v>6.1148479942988061E-2</v>
      </c>
      <c r="Q1798" t="s">
        <v>162</v>
      </c>
      <c r="S1798" t="s">
        <v>436</v>
      </c>
      <c r="T1798" t="s">
        <v>533</v>
      </c>
      <c r="U1798">
        <v>6.1460845925036242E-2</v>
      </c>
      <c r="V1798" t="s">
        <v>162</v>
      </c>
    </row>
    <row r="1799" spans="9:22" x14ac:dyDescent="0.45">
      <c r="I1799" t="s">
        <v>212</v>
      </c>
      <c r="J1799" t="s">
        <v>534</v>
      </c>
      <c r="K1799">
        <v>5.0695004775166475E-2</v>
      </c>
      <c r="L1799" t="s">
        <v>162</v>
      </c>
      <c r="N1799" t="s">
        <v>324</v>
      </c>
      <c r="O1799" t="s">
        <v>534</v>
      </c>
      <c r="P1799">
        <v>9.6038512771889378E-2</v>
      </c>
      <c r="Q1799" t="s">
        <v>162</v>
      </c>
      <c r="S1799" t="s">
        <v>436</v>
      </c>
      <c r="T1799" t="s">
        <v>534</v>
      </c>
      <c r="U1799">
        <v>0.10830878607886064</v>
      </c>
      <c r="V1799" t="s">
        <v>162</v>
      </c>
    </row>
    <row r="1800" spans="9:22" x14ac:dyDescent="0.45">
      <c r="I1800" t="s">
        <v>212</v>
      </c>
      <c r="J1800" t="s">
        <v>535</v>
      </c>
      <c r="K1800">
        <v>2.6687815470386376E-2</v>
      </c>
      <c r="L1800" t="s">
        <v>162</v>
      </c>
      <c r="N1800" t="s">
        <v>324</v>
      </c>
      <c r="O1800" t="s">
        <v>535</v>
      </c>
      <c r="P1800">
        <v>7.6897555308333698E-3</v>
      </c>
      <c r="Q1800" t="s">
        <v>162</v>
      </c>
      <c r="S1800" t="s">
        <v>436</v>
      </c>
      <c r="T1800" t="s">
        <v>535</v>
      </c>
      <c r="U1800">
        <v>1.1405691447706617E-2</v>
      </c>
      <c r="V1800" t="s">
        <v>162</v>
      </c>
    </row>
    <row r="1801" spans="9:22" x14ac:dyDescent="0.45">
      <c r="I1801" t="s">
        <v>212</v>
      </c>
      <c r="J1801" t="s">
        <v>536</v>
      </c>
      <c r="K1801">
        <v>5.3743948333211278E-2</v>
      </c>
      <c r="L1801" t="s">
        <v>162</v>
      </c>
      <c r="N1801" t="s">
        <v>324</v>
      </c>
      <c r="O1801" t="s">
        <v>536</v>
      </c>
      <c r="P1801">
        <v>1.5744983734900995E-2</v>
      </c>
      <c r="Q1801" t="s">
        <v>162</v>
      </c>
      <c r="S1801" t="s">
        <v>436</v>
      </c>
      <c r="T1801" t="s">
        <v>536</v>
      </c>
      <c r="U1801">
        <v>2.2267402898656651E-2</v>
      </c>
      <c r="V1801" t="s">
        <v>162</v>
      </c>
    </row>
    <row r="1802" spans="9:22" x14ac:dyDescent="0.45">
      <c r="I1802" t="s">
        <v>212</v>
      </c>
      <c r="J1802" t="s">
        <v>537</v>
      </c>
      <c r="K1802">
        <v>0.11072827917862334</v>
      </c>
      <c r="L1802" t="s">
        <v>162</v>
      </c>
      <c r="N1802" t="s">
        <v>324</v>
      </c>
      <c r="O1802" t="s">
        <v>537</v>
      </c>
      <c r="P1802">
        <v>4.2642673896112294E-2</v>
      </c>
      <c r="Q1802" t="s">
        <v>162</v>
      </c>
      <c r="S1802" t="s">
        <v>436</v>
      </c>
      <c r="T1802" t="s">
        <v>537</v>
      </c>
      <c r="U1802">
        <v>5.777396288602387E-2</v>
      </c>
      <c r="V1802" t="s">
        <v>162</v>
      </c>
    </row>
    <row r="1803" spans="9:22" x14ac:dyDescent="0.45">
      <c r="I1803" t="s">
        <v>212</v>
      </c>
      <c r="J1803" t="s">
        <v>538</v>
      </c>
      <c r="K1803">
        <v>1.3369614641857888E-2</v>
      </c>
      <c r="L1803" t="s">
        <v>162</v>
      </c>
      <c r="N1803" t="s">
        <v>324</v>
      </c>
      <c r="O1803" t="s">
        <v>538</v>
      </c>
      <c r="P1803">
        <v>7.8962607867786409E-3</v>
      </c>
      <c r="Q1803" t="s">
        <v>162</v>
      </c>
      <c r="S1803" t="s">
        <v>436</v>
      </c>
      <c r="T1803" t="s">
        <v>538</v>
      </c>
      <c r="U1803">
        <v>1.2434094648437963E-2</v>
      </c>
      <c r="V1803" t="s">
        <v>162</v>
      </c>
    </row>
    <row r="1804" spans="9:22" x14ac:dyDescent="0.45">
      <c r="I1804" t="s">
        <v>212</v>
      </c>
      <c r="J1804" t="s">
        <v>539</v>
      </c>
      <c r="K1804">
        <v>1.1926888912358165E-2</v>
      </c>
      <c r="L1804" t="s">
        <v>162</v>
      </c>
      <c r="N1804" t="s">
        <v>324</v>
      </c>
      <c r="O1804" t="s">
        <v>539</v>
      </c>
      <c r="P1804">
        <v>6.2903360576898631E-2</v>
      </c>
      <c r="Q1804" t="s">
        <v>162</v>
      </c>
      <c r="S1804" t="s">
        <v>436</v>
      </c>
      <c r="T1804" t="s">
        <v>539</v>
      </c>
      <c r="U1804">
        <v>7.5111491435510297E-2</v>
      </c>
      <c r="V1804" t="s">
        <v>162</v>
      </c>
    </row>
    <row r="1805" spans="9:22" x14ac:dyDescent="0.45">
      <c r="I1805" t="s">
        <v>212</v>
      </c>
      <c r="J1805" t="s">
        <v>540</v>
      </c>
      <c r="K1805">
        <v>1.2002644391058339E-3</v>
      </c>
      <c r="L1805" t="s">
        <v>162</v>
      </c>
      <c r="N1805" t="s">
        <v>324</v>
      </c>
      <c r="O1805" t="s">
        <v>540</v>
      </c>
      <c r="P1805">
        <v>4.1346352148082077E-2</v>
      </c>
      <c r="Q1805" t="s">
        <v>162</v>
      </c>
      <c r="S1805" t="s">
        <v>436</v>
      </c>
      <c r="T1805" t="s">
        <v>540</v>
      </c>
      <c r="U1805">
        <v>3.0853585486068608E-2</v>
      </c>
      <c r="V1805" t="s">
        <v>162</v>
      </c>
    </row>
    <row r="1806" spans="9:22" x14ac:dyDescent="0.45">
      <c r="I1806" t="s">
        <v>212</v>
      </c>
      <c r="J1806" t="s">
        <v>541</v>
      </c>
      <c r="K1806">
        <v>3.8516276378441901E-3</v>
      </c>
      <c r="L1806" t="s">
        <v>162</v>
      </c>
      <c r="N1806" t="s">
        <v>324</v>
      </c>
      <c r="O1806" t="s">
        <v>541</v>
      </c>
      <c r="P1806">
        <v>4.2620099314756481E-3</v>
      </c>
      <c r="Q1806" t="s">
        <v>162</v>
      </c>
      <c r="S1806" t="s">
        <v>436</v>
      </c>
      <c r="T1806" t="s">
        <v>541</v>
      </c>
      <c r="U1806">
        <v>3.6757075437994289E-3</v>
      </c>
      <c r="V1806" t="s">
        <v>162</v>
      </c>
    </row>
    <row r="1807" spans="9:22" x14ac:dyDescent="0.45">
      <c r="I1807" t="s">
        <v>212</v>
      </c>
      <c r="J1807" t="s">
        <v>542</v>
      </c>
      <c r="K1807">
        <v>1.0338499044562634E-2</v>
      </c>
      <c r="L1807" t="s">
        <v>162</v>
      </c>
      <c r="N1807" t="s">
        <v>324</v>
      </c>
      <c r="O1807" t="s">
        <v>542</v>
      </c>
      <c r="P1807">
        <v>7.6648778681327034E-3</v>
      </c>
      <c r="Q1807" t="s">
        <v>162</v>
      </c>
      <c r="S1807" t="s">
        <v>436</v>
      </c>
      <c r="T1807" t="s">
        <v>542</v>
      </c>
      <c r="U1807">
        <v>7.3189527486955249E-3</v>
      </c>
      <c r="V1807" t="s">
        <v>162</v>
      </c>
    </row>
    <row r="1808" spans="9:22" x14ac:dyDescent="0.45">
      <c r="I1808" t="s">
        <v>212</v>
      </c>
      <c r="J1808" t="s">
        <v>543</v>
      </c>
      <c r="K1808">
        <v>1.7219477335977923E-2</v>
      </c>
      <c r="L1808" t="s">
        <v>162</v>
      </c>
      <c r="N1808" t="s">
        <v>324</v>
      </c>
      <c r="O1808" t="s">
        <v>543</v>
      </c>
      <c r="P1808">
        <v>1.8500581063106994E-2</v>
      </c>
      <c r="Q1808" t="s">
        <v>162</v>
      </c>
      <c r="S1808" t="s">
        <v>436</v>
      </c>
      <c r="T1808" t="s">
        <v>543</v>
      </c>
      <c r="U1808">
        <v>1.8333934614086909E-2</v>
      </c>
      <c r="V1808" t="s">
        <v>162</v>
      </c>
    </row>
    <row r="1809" spans="9:22" x14ac:dyDescent="0.45">
      <c r="I1809" t="s">
        <v>212</v>
      </c>
      <c r="J1809" t="s">
        <v>544</v>
      </c>
      <c r="K1809">
        <v>0</v>
      </c>
      <c r="L1809" t="s">
        <v>162</v>
      </c>
      <c r="N1809" t="s">
        <v>324</v>
      </c>
      <c r="O1809" t="s">
        <v>544</v>
      </c>
      <c r="P1809">
        <v>4.4912022753059513E-3</v>
      </c>
      <c r="Q1809" t="s">
        <v>162</v>
      </c>
      <c r="S1809" t="s">
        <v>436</v>
      </c>
      <c r="T1809" t="s">
        <v>544</v>
      </c>
      <c r="U1809">
        <v>3.5879148126155371E-3</v>
      </c>
      <c r="V1809" t="s">
        <v>162</v>
      </c>
    </row>
    <row r="1810" spans="9:22" x14ac:dyDescent="0.45">
      <c r="I1810" t="s">
        <v>212</v>
      </c>
      <c r="J1810" t="s">
        <v>545</v>
      </c>
      <c r="K1810">
        <v>0</v>
      </c>
      <c r="L1810" t="s">
        <v>162</v>
      </c>
      <c r="N1810" t="s">
        <v>324</v>
      </c>
      <c r="O1810" t="s">
        <v>545</v>
      </c>
      <c r="P1810">
        <v>2.7918188164807723E-2</v>
      </c>
      <c r="Q1810" t="s">
        <v>162</v>
      </c>
      <c r="S1810" t="s">
        <v>436</v>
      </c>
      <c r="T1810" t="s">
        <v>545</v>
      </c>
      <c r="U1810">
        <v>2.1831504068394819E-2</v>
      </c>
      <c r="V1810" t="s">
        <v>162</v>
      </c>
    </row>
    <row r="1811" spans="9:22" x14ac:dyDescent="0.45">
      <c r="I1811" t="s">
        <v>212</v>
      </c>
      <c r="J1811" t="s">
        <v>546</v>
      </c>
      <c r="K1811">
        <v>0</v>
      </c>
      <c r="L1811" t="s">
        <v>162</v>
      </c>
      <c r="N1811" t="s">
        <v>324</v>
      </c>
      <c r="O1811" t="s">
        <v>546</v>
      </c>
      <c r="P1811">
        <v>3.5150984072926751E-2</v>
      </c>
      <c r="Q1811" t="s">
        <v>162</v>
      </c>
      <c r="S1811" t="s">
        <v>436</v>
      </c>
      <c r="T1811" t="s">
        <v>546</v>
      </c>
      <c r="U1811">
        <v>2.9374596645887777E-2</v>
      </c>
      <c r="V1811" t="s">
        <v>162</v>
      </c>
    </row>
    <row r="1812" spans="9:22" x14ac:dyDescent="0.45">
      <c r="I1812" t="s">
        <v>212</v>
      </c>
      <c r="J1812" t="s">
        <v>547</v>
      </c>
      <c r="K1812">
        <v>5.9915354669955526E-4</v>
      </c>
      <c r="L1812" t="s">
        <v>162</v>
      </c>
      <c r="N1812" t="s">
        <v>324</v>
      </c>
      <c r="O1812" t="s">
        <v>547</v>
      </c>
      <c r="P1812">
        <v>3.6573577059289832E-3</v>
      </c>
      <c r="Q1812" t="s">
        <v>162</v>
      </c>
      <c r="S1812" t="s">
        <v>436</v>
      </c>
      <c r="T1812" t="s">
        <v>547</v>
      </c>
      <c r="U1812">
        <v>3.5007790359770931E-3</v>
      </c>
      <c r="V1812" t="s">
        <v>162</v>
      </c>
    </row>
    <row r="1813" spans="9:22" x14ac:dyDescent="0.45">
      <c r="I1813" t="s">
        <v>212</v>
      </c>
      <c r="J1813" t="s">
        <v>548</v>
      </c>
      <c r="K1813">
        <v>6.1051540104805598E-3</v>
      </c>
      <c r="L1813" t="s">
        <v>162</v>
      </c>
      <c r="N1813" t="s">
        <v>324</v>
      </c>
      <c r="O1813" t="s">
        <v>548</v>
      </c>
      <c r="P1813">
        <v>6.6105092877676306E-3</v>
      </c>
      <c r="Q1813" t="s">
        <v>162</v>
      </c>
      <c r="S1813" t="s">
        <v>436</v>
      </c>
      <c r="T1813" t="s">
        <v>548</v>
      </c>
      <c r="U1813">
        <v>7.1193165939966189E-3</v>
      </c>
      <c r="V1813" t="s">
        <v>162</v>
      </c>
    </row>
    <row r="1814" spans="9:22" x14ac:dyDescent="0.45">
      <c r="I1814" t="s">
        <v>212</v>
      </c>
      <c r="J1814" t="s">
        <v>549</v>
      </c>
      <c r="K1814">
        <v>9.6478385594399915E-3</v>
      </c>
      <c r="L1814" t="s">
        <v>162</v>
      </c>
      <c r="N1814" t="s">
        <v>324</v>
      </c>
      <c r="O1814" t="s">
        <v>549</v>
      </c>
      <c r="P1814">
        <v>1.6564434015161313E-2</v>
      </c>
      <c r="Q1814" t="s">
        <v>162</v>
      </c>
      <c r="S1814" t="s">
        <v>436</v>
      </c>
      <c r="T1814" t="s">
        <v>549</v>
      </c>
      <c r="U1814">
        <v>1.7598208022387273E-2</v>
      </c>
      <c r="V1814" t="s">
        <v>162</v>
      </c>
    </row>
    <row r="1815" spans="9:22" x14ac:dyDescent="0.45">
      <c r="I1815" t="s">
        <v>212</v>
      </c>
      <c r="J1815" t="s">
        <v>550</v>
      </c>
      <c r="K1815">
        <v>0</v>
      </c>
      <c r="L1815" t="s">
        <v>162</v>
      </c>
      <c r="N1815" t="s">
        <v>324</v>
      </c>
      <c r="O1815" t="s">
        <v>550</v>
      </c>
      <c r="P1815">
        <v>4.3029693869104171E-3</v>
      </c>
      <c r="Q1815" t="s">
        <v>162</v>
      </c>
      <c r="S1815" t="s">
        <v>436</v>
      </c>
      <c r="T1815" t="s">
        <v>550</v>
      </c>
      <c r="U1815">
        <v>3.2827713261413616E-3</v>
      </c>
      <c r="V1815" t="s">
        <v>162</v>
      </c>
    </row>
    <row r="1816" spans="9:22" x14ac:dyDescent="0.45">
      <c r="I1816" t="s">
        <v>212</v>
      </c>
      <c r="J1816" t="s">
        <v>551</v>
      </c>
      <c r="K1816">
        <v>0</v>
      </c>
      <c r="L1816" t="s">
        <v>162</v>
      </c>
      <c r="N1816" t="s">
        <v>324</v>
      </c>
      <c r="O1816" t="s">
        <v>551</v>
      </c>
      <c r="P1816">
        <v>2.5677231138397705E-2</v>
      </c>
      <c r="Q1816" t="s">
        <v>162</v>
      </c>
      <c r="S1816" t="s">
        <v>436</v>
      </c>
      <c r="T1816" t="s">
        <v>551</v>
      </c>
      <c r="U1816">
        <v>1.8382546050532928E-2</v>
      </c>
      <c r="V1816" t="s">
        <v>162</v>
      </c>
    </row>
    <row r="1817" spans="9:22" x14ac:dyDescent="0.45">
      <c r="I1817" t="s">
        <v>213</v>
      </c>
      <c r="J1817" t="s">
        <v>161</v>
      </c>
      <c r="K1817">
        <v>0</v>
      </c>
      <c r="L1817" t="s">
        <v>162</v>
      </c>
      <c r="N1817" t="s">
        <v>325</v>
      </c>
      <c r="O1817" t="s">
        <v>161</v>
      </c>
      <c r="P1817">
        <v>5.5859120251405776E-2</v>
      </c>
      <c r="Q1817" t="s">
        <v>162</v>
      </c>
      <c r="S1817" t="s">
        <v>437</v>
      </c>
      <c r="T1817" t="s">
        <v>161</v>
      </c>
      <c r="U1817">
        <v>2.5259551305158806E-2</v>
      </c>
      <c r="V1817" t="s">
        <v>162</v>
      </c>
    </row>
    <row r="1818" spans="9:22" x14ac:dyDescent="0.45">
      <c r="I1818" t="s">
        <v>213</v>
      </c>
      <c r="J1818" t="s">
        <v>163</v>
      </c>
      <c r="K1818">
        <v>2.1815715747937454E-3</v>
      </c>
      <c r="L1818" t="s">
        <v>162</v>
      </c>
      <c r="N1818" t="s">
        <v>325</v>
      </c>
      <c r="O1818" t="s">
        <v>163</v>
      </c>
      <c r="P1818">
        <v>6.1267779187132122E-3</v>
      </c>
      <c r="Q1818" t="s">
        <v>162</v>
      </c>
      <c r="S1818" t="s">
        <v>437</v>
      </c>
      <c r="T1818" t="s">
        <v>163</v>
      </c>
      <c r="U1818">
        <v>2.8725237867594836E-3</v>
      </c>
      <c r="V1818" t="s">
        <v>162</v>
      </c>
    </row>
    <row r="1819" spans="9:22" x14ac:dyDescent="0.45">
      <c r="I1819" t="s">
        <v>213</v>
      </c>
      <c r="J1819" t="s">
        <v>164</v>
      </c>
      <c r="K1819">
        <v>8.6605344192977191E-3</v>
      </c>
      <c r="L1819" t="s">
        <v>162</v>
      </c>
      <c r="N1819" t="s">
        <v>325</v>
      </c>
      <c r="O1819" t="s">
        <v>164</v>
      </c>
      <c r="P1819">
        <v>1.170695172258655E-2</v>
      </c>
      <c r="Q1819" t="s">
        <v>162</v>
      </c>
      <c r="S1819" t="s">
        <v>437</v>
      </c>
      <c r="T1819" t="s">
        <v>164</v>
      </c>
      <c r="U1819">
        <v>5.7889920435729332E-3</v>
      </c>
      <c r="V1819" t="s">
        <v>162</v>
      </c>
    </row>
    <row r="1820" spans="9:22" x14ac:dyDescent="0.45">
      <c r="I1820" t="s">
        <v>213</v>
      </c>
      <c r="J1820" t="s">
        <v>519</v>
      </c>
      <c r="K1820">
        <v>1.4012945875020994E-2</v>
      </c>
      <c r="L1820" t="s">
        <v>162</v>
      </c>
      <c r="N1820" t="s">
        <v>325</v>
      </c>
      <c r="O1820" t="s">
        <v>519</v>
      </c>
      <c r="P1820">
        <v>2.3445682115352907E-2</v>
      </c>
      <c r="Q1820" t="s">
        <v>162</v>
      </c>
      <c r="S1820" t="s">
        <v>437</v>
      </c>
      <c r="T1820" t="s">
        <v>519</v>
      </c>
      <c r="U1820">
        <v>1.5356816138417911E-2</v>
      </c>
      <c r="V1820" t="s">
        <v>162</v>
      </c>
    </row>
    <row r="1821" spans="9:22" x14ac:dyDescent="0.45">
      <c r="I1821" t="s">
        <v>213</v>
      </c>
      <c r="J1821" t="s">
        <v>520</v>
      </c>
      <c r="K1821">
        <v>0</v>
      </c>
      <c r="L1821" t="s">
        <v>162</v>
      </c>
      <c r="N1821" t="s">
        <v>325</v>
      </c>
      <c r="O1821" t="s">
        <v>520</v>
      </c>
      <c r="P1821">
        <v>5.372361902831242E-3</v>
      </c>
      <c r="Q1821" t="s">
        <v>162</v>
      </c>
      <c r="S1821" t="s">
        <v>437</v>
      </c>
      <c r="T1821" t="s">
        <v>520</v>
      </c>
      <c r="U1821">
        <v>3.0931368245341114E-3</v>
      </c>
      <c r="V1821" t="s">
        <v>162</v>
      </c>
    </row>
    <row r="1822" spans="9:22" x14ac:dyDescent="0.45">
      <c r="I1822" t="s">
        <v>213</v>
      </c>
      <c r="J1822" t="s">
        <v>521</v>
      </c>
      <c r="K1822">
        <v>0</v>
      </c>
      <c r="L1822" t="s">
        <v>162</v>
      </c>
      <c r="N1822" t="s">
        <v>325</v>
      </c>
      <c r="O1822" t="s">
        <v>521</v>
      </c>
      <c r="P1822">
        <v>3.5839544720937581E-2</v>
      </c>
      <c r="Q1822" t="s">
        <v>162</v>
      </c>
      <c r="S1822" t="s">
        <v>437</v>
      </c>
      <c r="T1822" t="s">
        <v>521</v>
      </c>
      <c r="U1822">
        <v>1.9163593943603643E-2</v>
      </c>
      <c r="V1822" t="s">
        <v>162</v>
      </c>
    </row>
    <row r="1823" spans="9:22" x14ac:dyDescent="0.45">
      <c r="I1823" t="s">
        <v>213</v>
      </c>
      <c r="J1823" t="s">
        <v>165</v>
      </c>
      <c r="K1823">
        <v>1.8453090353334062E-2</v>
      </c>
      <c r="L1823" t="s">
        <v>162</v>
      </c>
      <c r="N1823" t="s">
        <v>325</v>
      </c>
      <c r="O1823" t="s">
        <v>165</v>
      </c>
      <c r="P1823">
        <v>7.0634869595204805E-2</v>
      </c>
      <c r="Q1823" t="s">
        <v>162</v>
      </c>
      <c r="S1823" t="s">
        <v>437</v>
      </c>
      <c r="T1823" t="s">
        <v>165</v>
      </c>
      <c r="U1823">
        <v>6.4456724038344695E-2</v>
      </c>
      <c r="V1823" t="s">
        <v>162</v>
      </c>
    </row>
    <row r="1824" spans="9:22" x14ac:dyDescent="0.45">
      <c r="I1824" t="s">
        <v>213</v>
      </c>
      <c r="J1824" t="s">
        <v>166</v>
      </c>
      <c r="K1824">
        <v>1.4930837909344026E-2</v>
      </c>
      <c r="L1824" t="s">
        <v>162</v>
      </c>
      <c r="N1824" t="s">
        <v>325</v>
      </c>
      <c r="O1824" t="s">
        <v>166</v>
      </c>
      <c r="P1824">
        <v>6.2543595268863567E-3</v>
      </c>
      <c r="Q1824" t="s">
        <v>162</v>
      </c>
      <c r="S1824" t="s">
        <v>437</v>
      </c>
      <c r="T1824" t="s">
        <v>166</v>
      </c>
      <c r="U1824">
        <v>7.0351758698559592E-3</v>
      </c>
      <c r="V1824" t="s">
        <v>162</v>
      </c>
    </row>
    <row r="1825" spans="9:22" x14ac:dyDescent="0.45">
      <c r="I1825" t="s">
        <v>213</v>
      </c>
      <c r="J1825" t="s">
        <v>167</v>
      </c>
      <c r="K1825">
        <v>3.4375802775772818E-2</v>
      </c>
      <c r="L1825" t="s">
        <v>162</v>
      </c>
      <c r="N1825" t="s">
        <v>325</v>
      </c>
      <c r="O1825" t="s">
        <v>167</v>
      </c>
      <c r="P1825">
        <v>1.106707451925968E-2</v>
      </c>
      <c r="Q1825" t="s">
        <v>162</v>
      </c>
      <c r="S1825" t="s">
        <v>437</v>
      </c>
      <c r="T1825" t="s">
        <v>167</v>
      </c>
      <c r="U1825">
        <v>1.3463220054266598E-2</v>
      </c>
      <c r="V1825" t="s">
        <v>162</v>
      </c>
    </row>
    <row r="1826" spans="9:22" x14ac:dyDescent="0.45">
      <c r="I1826" t="s">
        <v>213</v>
      </c>
      <c r="J1826" t="s">
        <v>522</v>
      </c>
      <c r="K1826">
        <v>7.6538613617496573E-2</v>
      </c>
      <c r="L1826" t="s">
        <v>162</v>
      </c>
      <c r="N1826" t="s">
        <v>325</v>
      </c>
      <c r="O1826" t="s">
        <v>522</v>
      </c>
      <c r="P1826">
        <v>3.0776427920495196E-2</v>
      </c>
      <c r="Q1826" t="s">
        <v>162</v>
      </c>
      <c r="S1826" t="s">
        <v>437</v>
      </c>
      <c r="T1826" t="s">
        <v>522</v>
      </c>
      <c r="U1826">
        <v>3.1814820746879656E-2</v>
      </c>
      <c r="V1826" t="s">
        <v>162</v>
      </c>
    </row>
    <row r="1827" spans="9:22" x14ac:dyDescent="0.45">
      <c r="I1827" t="s">
        <v>213</v>
      </c>
      <c r="J1827" t="s">
        <v>523</v>
      </c>
      <c r="K1827">
        <v>5.7801430272194929E-3</v>
      </c>
      <c r="L1827" t="s">
        <v>162</v>
      </c>
      <c r="N1827" t="s">
        <v>325</v>
      </c>
      <c r="O1827" t="s">
        <v>523</v>
      </c>
      <c r="P1827">
        <v>6.6934794372879068E-3</v>
      </c>
      <c r="Q1827" t="s">
        <v>162</v>
      </c>
      <c r="S1827" t="s">
        <v>437</v>
      </c>
      <c r="T1827" t="s">
        <v>523</v>
      </c>
      <c r="U1827">
        <v>6.859873381117306E-3</v>
      </c>
      <c r="V1827" t="s">
        <v>162</v>
      </c>
    </row>
    <row r="1828" spans="9:22" x14ac:dyDescent="0.45">
      <c r="I1828" t="s">
        <v>213</v>
      </c>
      <c r="J1828" t="s">
        <v>524</v>
      </c>
      <c r="K1828">
        <v>1.0094563594973478E-3</v>
      </c>
      <c r="L1828" t="s">
        <v>162</v>
      </c>
      <c r="N1828" t="s">
        <v>325</v>
      </c>
      <c r="O1828" t="s">
        <v>524</v>
      </c>
      <c r="P1828">
        <v>4.7169403944261425E-2</v>
      </c>
      <c r="Q1828" t="s">
        <v>162</v>
      </c>
      <c r="S1828" t="s">
        <v>437</v>
      </c>
      <c r="T1828" t="s">
        <v>524</v>
      </c>
      <c r="U1828">
        <v>4.2811618363007946E-2</v>
      </c>
      <c r="V1828" t="s">
        <v>162</v>
      </c>
    </row>
    <row r="1829" spans="9:22" x14ac:dyDescent="0.45">
      <c r="I1829" t="s">
        <v>213</v>
      </c>
      <c r="J1829" t="s">
        <v>168</v>
      </c>
      <c r="K1829">
        <v>2.522727146611968E-2</v>
      </c>
      <c r="L1829" t="s">
        <v>162</v>
      </c>
      <c r="N1829" t="s">
        <v>325</v>
      </c>
      <c r="O1829" t="s">
        <v>168</v>
      </c>
      <c r="P1829">
        <v>2.5590746800580728E-2</v>
      </c>
      <c r="Q1829" t="s">
        <v>162</v>
      </c>
      <c r="S1829" t="s">
        <v>437</v>
      </c>
      <c r="T1829" t="s">
        <v>168</v>
      </c>
      <c r="U1829">
        <v>2.6321205544202121E-2</v>
      </c>
      <c r="V1829" t="s">
        <v>162</v>
      </c>
    </row>
    <row r="1830" spans="9:22" x14ac:dyDescent="0.45">
      <c r="I1830" t="s">
        <v>213</v>
      </c>
      <c r="J1830" t="s">
        <v>169</v>
      </c>
      <c r="K1830">
        <v>1.1287347790778137E-2</v>
      </c>
      <c r="L1830" t="s">
        <v>162</v>
      </c>
      <c r="N1830" t="s">
        <v>325</v>
      </c>
      <c r="O1830" t="s">
        <v>169</v>
      </c>
      <c r="P1830">
        <v>3.5789105922566793E-3</v>
      </c>
      <c r="Q1830" t="s">
        <v>162</v>
      </c>
      <c r="S1830" t="s">
        <v>437</v>
      </c>
      <c r="T1830" t="s">
        <v>169</v>
      </c>
      <c r="U1830">
        <v>2.430646523404795E-3</v>
      </c>
      <c r="V1830" t="s">
        <v>162</v>
      </c>
    </row>
    <row r="1831" spans="9:22" x14ac:dyDescent="0.45">
      <c r="I1831" t="s">
        <v>213</v>
      </c>
      <c r="J1831" t="s">
        <v>170</v>
      </c>
      <c r="K1831">
        <v>2.3373077363837085E-2</v>
      </c>
      <c r="L1831" t="s">
        <v>162</v>
      </c>
      <c r="N1831" t="s">
        <v>325</v>
      </c>
      <c r="O1831" t="s">
        <v>170</v>
      </c>
      <c r="P1831">
        <v>8.4976223438233914E-3</v>
      </c>
      <c r="Q1831" t="s">
        <v>162</v>
      </c>
      <c r="S1831" t="s">
        <v>437</v>
      </c>
      <c r="T1831" t="s">
        <v>170</v>
      </c>
      <c r="U1831">
        <v>4.8408987289657746E-3</v>
      </c>
      <c r="V1831" t="s">
        <v>162</v>
      </c>
    </row>
    <row r="1832" spans="9:22" x14ac:dyDescent="0.45">
      <c r="I1832" t="s">
        <v>213</v>
      </c>
      <c r="J1832" t="s">
        <v>525</v>
      </c>
      <c r="K1832">
        <v>5.3599569060450887E-2</v>
      </c>
      <c r="L1832" t="s">
        <v>162</v>
      </c>
      <c r="N1832" t="s">
        <v>325</v>
      </c>
      <c r="O1832" t="s">
        <v>525</v>
      </c>
      <c r="P1832">
        <v>2.256885967751654E-2</v>
      </c>
      <c r="Q1832" t="s">
        <v>162</v>
      </c>
      <c r="S1832" t="s">
        <v>437</v>
      </c>
      <c r="T1832" t="s">
        <v>525</v>
      </c>
      <c r="U1832">
        <v>1.3785141176318495E-2</v>
      </c>
      <c r="V1832" t="s">
        <v>162</v>
      </c>
    </row>
    <row r="1833" spans="9:22" x14ac:dyDescent="0.45">
      <c r="I1833" t="s">
        <v>213</v>
      </c>
      <c r="J1833" t="s">
        <v>526</v>
      </c>
      <c r="K1833">
        <v>7.5554988448577279E-3</v>
      </c>
      <c r="L1833" t="s">
        <v>162</v>
      </c>
      <c r="N1833" t="s">
        <v>325</v>
      </c>
      <c r="O1833" t="s">
        <v>526</v>
      </c>
      <c r="P1833">
        <v>3.9899853177308205E-3</v>
      </c>
      <c r="Q1833" t="s">
        <v>162</v>
      </c>
      <c r="S1833" t="s">
        <v>437</v>
      </c>
      <c r="T1833" t="s">
        <v>526</v>
      </c>
      <c r="U1833">
        <v>2.9574648567611507E-3</v>
      </c>
      <c r="V1833" t="s">
        <v>162</v>
      </c>
    </row>
    <row r="1834" spans="9:22" x14ac:dyDescent="0.45">
      <c r="I1834" t="s">
        <v>213</v>
      </c>
      <c r="J1834" t="s">
        <v>527</v>
      </c>
      <c r="K1834">
        <v>5.6883850672691779E-3</v>
      </c>
      <c r="L1834" t="s">
        <v>162</v>
      </c>
      <c r="N1834" t="s">
        <v>325</v>
      </c>
      <c r="O1834" t="s">
        <v>527</v>
      </c>
      <c r="P1834">
        <v>2.0687638063261675E-2</v>
      </c>
      <c r="Q1834" t="s">
        <v>162</v>
      </c>
      <c r="S1834" t="s">
        <v>437</v>
      </c>
      <c r="T1834" t="s">
        <v>527</v>
      </c>
      <c r="U1834">
        <v>1.9397718680190391E-2</v>
      </c>
      <c r="V1834" t="s">
        <v>162</v>
      </c>
    </row>
    <row r="1835" spans="9:22" x14ac:dyDescent="0.45">
      <c r="I1835" t="s">
        <v>213</v>
      </c>
      <c r="J1835" t="s">
        <v>528</v>
      </c>
      <c r="K1835">
        <v>0.11050409979411004</v>
      </c>
      <c r="L1835" t="s">
        <v>162</v>
      </c>
      <c r="N1835" t="s">
        <v>325</v>
      </c>
      <c r="O1835" t="s">
        <v>528</v>
      </c>
      <c r="P1835">
        <v>4.8887908055255579E-2</v>
      </c>
      <c r="Q1835" t="s">
        <v>162</v>
      </c>
      <c r="S1835" t="s">
        <v>437</v>
      </c>
      <c r="T1835" t="s">
        <v>528</v>
      </c>
      <c r="U1835">
        <v>0.10151562932393399</v>
      </c>
      <c r="V1835" t="s">
        <v>162</v>
      </c>
    </row>
    <row r="1836" spans="9:22" x14ac:dyDescent="0.45">
      <c r="I1836" t="s">
        <v>213</v>
      </c>
      <c r="J1836" t="s">
        <v>529</v>
      </c>
      <c r="K1836">
        <v>3.3517501423187962E-2</v>
      </c>
      <c r="L1836" t="s">
        <v>162</v>
      </c>
      <c r="N1836" t="s">
        <v>325</v>
      </c>
      <c r="O1836" t="s">
        <v>529</v>
      </c>
      <c r="P1836">
        <v>5.1758165628644831E-3</v>
      </c>
      <c r="Q1836" t="s">
        <v>162</v>
      </c>
      <c r="S1836" t="s">
        <v>437</v>
      </c>
      <c r="T1836" t="s">
        <v>529</v>
      </c>
      <c r="U1836">
        <v>1.0137131484515102E-2</v>
      </c>
      <c r="V1836" t="s">
        <v>162</v>
      </c>
    </row>
    <row r="1837" spans="9:22" x14ac:dyDescent="0.45">
      <c r="I1837" t="s">
        <v>213</v>
      </c>
      <c r="J1837" t="s">
        <v>530</v>
      </c>
      <c r="K1837">
        <v>6.5845112609689088E-2</v>
      </c>
      <c r="L1837" t="s">
        <v>162</v>
      </c>
      <c r="N1837" t="s">
        <v>325</v>
      </c>
      <c r="O1837" t="s">
        <v>530</v>
      </c>
      <c r="P1837">
        <v>1.1590446367895404E-2</v>
      </c>
      <c r="Q1837" t="s">
        <v>162</v>
      </c>
      <c r="S1837" t="s">
        <v>437</v>
      </c>
      <c r="T1837" t="s">
        <v>530</v>
      </c>
      <c r="U1837">
        <v>2.0513630345678886E-2</v>
      </c>
      <c r="V1837" t="s">
        <v>162</v>
      </c>
    </row>
    <row r="1838" spans="9:22" x14ac:dyDescent="0.45">
      <c r="I1838" t="s">
        <v>213</v>
      </c>
      <c r="J1838" t="s">
        <v>531</v>
      </c>
      <c r="K1838">
        <v>0.14787690901485265</v>
      </c>
      <c r="L1838" t="s">
        <v>162</v>
      </c>
      <c r="N1838" t="s">
        <v>325</v>
      </c>
      <c r="O1838" t="s">
        <v>531</v>
      </c>
      <c r="P1838">
        <v>3.3445356401733836E-2</v>
      </c>
      <c r="Q1838" t="s">
        <v>162</v>
      </c>
      <c r="S1838" t="s">
        <v>437</v>
      </c>
      <c r="T1838" t="s">
        <v>531</v>
      </c>
      <c r="U1838">
        <v>5.3830086685611539E-2</v>
      </c>
      <c r="V1838" t="s">
        <v>162</v>
      </c>
    </row>
    <row r="1839" spans="9:22" x14ac:dyDescent="0.45">
      <c r="I1839" t="s">
        <v>213</v>
      </c>
      <c r="J1839" t="s">
        <v>532</v>
      </c>
      <c r="K1839">
        <v>2.3133998089875669E-2</v>
      </c>
      <c r="L1839" t="s">
        <v>162</v>
      </c>
      <c r="N1839" t="s">
        <v>325</v>
      </c>
      <c r="O1839" t="s">
        <v>532</v>
      </c>
      <c r="P1839">
        <v>6.1663317776610906E-3</v>
      </c>
      <c r="Q1839" t="s">
        <v>162</v>
      </c>
      <c r="S1839" t="s">
        <v>437</v>
      </c>
      <c r="T1839" t="s">
        <v>532</v>
      </c>
      <c r="U1839">
        <v>1.0658674530160566E-2</v>
      </c>
      <c r="V1839" t="s">
        <v>162</v>
      </c>
    </row>
    <row r="1840" spans="9:22" x14ac:dyDescent="0.45">
      <c r="I1840" t="s">
        <v>213</v>
      </c>
      <c r="J1840" t="s">
        <v>533</v>
      </c>
      <c r="K1840">
        <v>3.7367619584174054E-2</v>
      </c>
      <c r="L1840" t="s">
        <v>162</v>
      </c>
      <c r="N1840" t="s">
        <v>325</v>
      </c>
      <c r="O1840" t="s">
        <v>533</v>
      </c>
      <c r="P1840">
        <v>3.6934957228437253E-2</v>
      </c>
      <c r="Q1840" t="s">
        <v>162</v>
      </c>
      <c r="S1840" t="s">
        <v>437</v>
      </c>
      <c r="T1840" t="s">
        <v>533</v>
      </c>
      <c r="U1840">
        <v>6.3966057203294985E-2</v>
      </c>
      <c r="V1840" t="s">
        <v>162</v>
      </c>
    </row>
    <row r="1841" spans="9:22" x14ac:dyDescent="0.45">
      <c r="I1841" t="s">
        <v>213</v>
      </c>
      <c r="J1841" t="s">
        <v>534</v>
      </c>
      <c r="K1841">
        <v>5.1671277348576058E-2</v>
      </c>
      <c r="L1841" t="s">
        <v>162</v>
      </c>
      <c r="N1841" t="s">
        <v>325</v>
      </c>
      <c r="O1841" t="s">
        <v>534</v>
      </c>
      <c r="P1841">
        <v>6.2920583650807355E-2</v>
      </c>
      <c r="Q1841" t="s">
        <v>162</v>
      </c>
      <c r="S1841" t="s">
        <v>437</v>
      </c>
      <c r="T1841" t="s">
        <v>534</v>
      </c>
      <c r="U1841">
        <v>0.10852593340332313</v>
      </c>
      <c r="V1841" t="s">
        <v>162</v>
      </c>
    </row>
    <row r="1842" spans="9:22" x14ac:dyDescent="0.45">
      <c r="I1842" t="s">
        <v>213</v>
      </c>
      <c r="J1842" t="s">
        <v>535</v>
      </c>
      <c r="K1842">
        <v>2.3783096371434102E-2</v>
      </c>
      <c r="L1842" t="s">
        <v>162</v>
      </c>
      <c r="N1842" t="s">
        <v>325</v>
      </c>
      <c r="O1842" t="s">
        <v>535</v>
      </c>
      <c r="P1842">
        <v>6.5721105310068929E-3</v>
      </c>
      <c r="Q1842" t="s">
        <v>162</v>
      </c>
      <c r="S1842" t="s">
        <v>437</v>
      </c>
      <c r="T1842" t="s">
        <v>535</v>
      </c>
      <c r="U1842">
        <v>1.0878443422429608E-2</v>
      </c>
      <c r="V1842" t="s">
        <v>162</v>
      </c>
    </row>
    <row r="1843" spans="9:22" x14ac:dyDescent="0.45">
      <c r="I1843" t="s">
        <v>213</v>
      </c>
      <c r="J1843" t="s">
        <v>536</v>
      </c>
      <c r="K1843">
        <v>4.7090537682714019E-2</v>
      </c>
      <c r="L1843" t="s">
        <v>162</v>
      </c>
      <c r="N1843" t="s">
        <v>325</v>
      </c>
      <c r="O1843" t="s">
        <v>536</v>
      </c>
      <c r="P1843">
        <v>1.5517920786903217E-2</v>
      </c>
      <c r="Q1843" t="s">
        <v>162</v>
      </c>
      <c r="S1843" t="s">
        <v>437</v>
      </c>
      <c r="T1843" t="s">
        <v>536</v>
      </c>
      <c r="U1843">
        <v>2.1019608290264363E-2</v>
      </c>
      <c r="V1843" t="s">
        <v>162</v>
      </c>
    </row>
    <row r="1844" spans="9:22" x14ac:dyDescent="0.45">
      <c r="I1844" t="s">
        <v>213</v>
      </c>
      <c r="J1844" t="s">
        <v>537</v>
      </c>
      <c r="K1844">
        <v>9.9679723726420394E-2</v>
      </c>
      <c r="L1844" t="s">
        <v>162</v>
      </c>
      <c r="N1844" t="s">
        <v>325</v>
      </c>
      <c r="O1844" t="s">
        <v>537</v>
      </c>
      <c r="P1844">
        <v>4.3471574835437607E-2</v>
      </c>
      <c r="Q1844" t="s">
        <v>162</v>
      </c>
      <c r="S1844" t="s">
        <v>437</v>
      </c>
      <c r="T1844" t="s">
        <v>537</v>
      </c>
      <c r="U1844">
        <v>5.404641605188109E-2</v>
      </c>
      <c r="V1844" t="s">
        <v>162</v>
      </c>
    </row>
    <row r="1845" spans="9:22" x14ac:dyDescent="0.45">
      <c r="I1845" t="s">
        <v>213</v>
      </c>
      <c r="J1845" t="s">
        <v>538</v>
      </c>
      <c r="K1845">
        <v>1.1493274288247993E-2</v>
      </c>
      <c r="L1845" t="s">
        <v>162</v>
      </c>
      <c r="N1845" t="s">
        <v>325</v>
      </c>
      <c r="O1845" t="s">
        <v>538</v>
      </c>
      <c r="P1845">
        <v>8.3850121578032902E-3</v>
      </c>
      <c r="Q1845" t="s">
        <v>162</v>
      </c>
      <c r="S1845" t="s">
        <v>437</v>
      </c>
      <c r="T1845" t="s">
        <v>538</v>
      </c>
      <c r="U1845">
        <v>1.125019738627937E-2</v>
      </c>
      <c r="V1845" t="s">
        <v>162</v>
      </c>
    </row>
    <row r="1846" spans="9:22" x14ac:dyDescent="0.45">
      <c r="I1846" t="s">
        <v>213</v>
      </c>
      <c r="J1846" t="s">
        <v>539</v>
      </c>
      <c r="K1846">
        <v>9.6870894520252691E-3</v>
      </c>
      <c r="L1846" t="s">
        <v>162</v>
      </c>
      <c r="N1846" t="s">
        <v>325</v>
      </c>
      <c r="O1846" t="s">
        <v>539</v>
      </c>
      <c r="P1846">
        <v>4.8697301830564449E-2</v>
      </c>
      <c r="Q1846" t="s">
        <v>162</v>
      </c>
      <c r="S1846" t="s">
        <v>437</v>
      </c>
      <c r="T1846" t="s">
        <v>539</v>
      </c>
      <c r="U1846">
        <v>7.3098678497831207E-2</v>
      </c>
      <c r="V1846" t="s">
        <v>162</v>
      </c>
    </row>
    <row r="1847" spans="9:22" x14ac:dyDescent="0.45">
      <c r="I1847" t="s">
        <v>213</v>
      </c>
      <c r="J1847" t="s">
        <v>540</v>
      </c>
      <c r="K1847">
        <v>8.8060139942115539E-4</v>
      </c>
      <c r="L1847" t="s">
        <v>162</v>
      </c>
      <c r="N1847" t="s">
        <v>325</v>
      </c>
      <c r="O1847" t="s">
        <v>540</v>
      </c>
      <c r="P1847">
        <v>4.6720963594586426E-2</v>
      </c>
      <c r="Q1847" t="s">
        <v>162</v>
      </c>
      <c r="S1847" t="s">
        <v>437</v>
      </c>
      <c r="T1847" t="s">
        <v>540</v>
      </c>
      <c r="U1847">
        <v>2.7659401485111274E-2</v>
      </c>
      <c r="V1847" t="s">
        <v>162</v>
      </c>
    </row>
    <row r="1848" spans="9:22" x14ac:dyDescent="0.45">
      <c r="I1848" t="s">
        <v>213</v>
      </c>
      <c r="J1848" t="s">
        <v>541</v>
      </c>
      <c r="K1848">
        <v>2.6039477821555067E-3</v>
      </c>
      <c r="L1848" t="s">
        <v>162</v>
      </c>
      <c r="N1848" t="s">
        <v>325</v>
      </c>
      <c r="O1848" t="s">
        <v>541</v>
      </c>
      <c r="P1848">
        <v>4.972616165709735E-3</v>
      </c>
      <c r="Q1848" t="s">
        <v>162</v>
      </c>
      <c r="S1848" t="s">
        <v>437</v>
      </c>
      <c r="T1848" t="s">
        <v>541</v>
      </c>
      <c r="U1848">
        <v>3.1211361880432655E-3</v>
      </c>
      <c r="V1848" t="s">
        <v>162</v>
      </c>
    </row>
    <row r="1849" spans="9:22" x14ac:dyDescent="0.45">
      <c r="I1849" t="s">
        <v>213</v>
      </c>
      <c r="J1849" t="s">
        <v>542</v>
      </c>
      <c r="K1849">
        <v>7.0145817052898428E-3</v>
      </c>
      <c r="L1849" t="s">
        <v>162</v>
      </c>
      <c r="N1849" t="s">
        <v>325</v>
      </c>
      <c r="O1849" t="s">
        <v>542</v>
      </c>
      <c r="P1849">
        <v>8.1845566288620396E-3</v>
      </c>
      <c r="Q1849" t="s">
        <v>162</v>
      </c>
      <c r="S1849" t="s">
        <v>437</v>
      </c>
      <c r="T1849" t="s">
        <v>542</v>
      </c>
      <c r="U1849">
        <v>6.6108014095737199E-3</v>
      </c>
      <c r="V1849" t="s">
        <v>162</v>
      </c>
    </row>
    <row r="1850" spans="9:22" x14ac:dyDescent="0.45">
      <c r="I1850" t="s">
        <v>213</v>
      </c>
      <c r="J1850" t="s">
        <v>543</v>
      </c>
      <c r="K1850">
        <v>1.0372018359346064E-2</v>
      </c>
      <c r="L1850" t="s">
        <v>162</v>
      </c>
      <c r="N1850" t="s">
        <v>325</v>
      </c>
      <c r="O1850" t="s">
        <v>543</v>
      </c>
      <c r="P1850">
        <v>1.96180859458688E-2</v>
      </c>
      <c r="Q1850" t="s">
        <v>162</v>
      </c>
      <c r="S1850" t="s">
        <v>437</v>
      </c>
      <c r="T1850" t="s">
        <v>543</v>
      </c>
      <c r="U1850">
        <v>1.8026132679289902E-2</v>
      </c>
      <c r="V1850" t="s">
        <v>162</v>
      </c>
    </row>
    <row r="1851" spans="9:22" x14ac:dyDescent="0.45">
      <c r="I1851" t="s">
        <v>213</v>
      </c>
      <c r="J1851" t="s">
        <v>544</v>
      </c>
      <c r="K1851">
        <v>0</v>
      </c>
      <c r="L1851" t="s">
        <v>162</v>
      </c>
      <c r="N1851" t="s">
        <v>325</v>
      </c>
      <c r="O1851" t="s">
        <v>544</v>
      </c>
      <c r="P1851">
        <v>4.9258075944387429E-3</v>
      </c>
      <c r="Q1851" t="s">
        <v>162</v>
      </c>
      <c r="S1851" t="s">
        <v>437</v>
      </c>
      <c r="T1851" t="s">
        <v>544</v>
      </c>
      <c r="U1851">
        <v>3.7908200852361717E-3</v>
      </c>
      <c r="V1851" t="s">
        <v>162</v>
      </c>
    </row>
    <row r="1852" spans="9:22" x14ac:dyDescent="0.45">
      <c r="I1852" t="s">
        <v>213</v>
      </c>
      <c r="J1852" t="s">
        <v>545</v>
      </c>
      <c r="K1852">
        <v>0</v>
      </c>
      <c r="L1852" t="s">
        <v>162</v>
      </c>
      <c r="N1852" t="s">
        <v>325</v>
      </c>
      <c r="O1852" t="s">
        <v>545</v>
      </c>
      <c r="P1852">
        <v>3.1145004582256535E-2</v>
      </c>
      <c r="Q1852" t="s">
        <v>162</v>
      </c>
      <c r="S1852" t="s">
        <v>437</v>
      </c>
      <c r="T1852" t="s">
        <v>545</v>
      </c>
      <c r="U1852">
        <v>2.2189783674869783E-2</v>
      </c>
      <c r="V1852" t="s">
        <v>162</v>
      </c>
    </row>
    <row r="1853" spans="9:22" x14ac:dyDescent="0.45">
      <c r="I1853" t="s">
        <v>213</v>
      </c>
      <c r="J1853" t="s">
        <v>546</v>
      </c>
      <c r="K1853">
        <v>0</v>
      </c>
      <c r="L1853" t="s">
        <v>162</v>
      </c>
      <c r="N1853" t="s">
        <v>325</v>
      </c>
      <c r="O1853" t="s">
        <v>546</v>
      </c>
      <c r="P1853">
        <v>6.5437429293072211E-2</v>
      </c>
      <c r="Q1853" t="s">
        <v>162</v>
      </c>
      <c r="S1853" t="s">
        <v>437</v>
      </c>
      <c r="T1853" t="s">
        <v>546</v>
      </c>
      <c r="U1853">
        <v>2.6708293581833284E-2</v>
      </c>
      <c r="V1853" t="s">
        <v>162</v>
      </c>
    </row>
    <row r="1854" spans="9:22" x14ac:dyDescent="0.45">
      <c r="I1854" t="s">
        <v>213</v>
      </c>
      <c r="J1854" t="s">
        <v>547</v>
      </c>
      <c r="K1854">
        <v>7.0494236517582758E-4</v>
      </c>
      <c r="L1854" t="s">
        <v>162</v>
      </c>
      <c r="N1854" t="s">
        <v>325</v>
      </c>
      <c r="O1854" t="s">
        <v>547</v>
      </c>
      <c r="P1854">
        <v>7.355352636735063E-3</v>
      </c>
      <c r="Q1854" t="s">
        <v>162</v>
      </c>
      <c r="S1854" t="s">
        <v>437</v>
      </c>
      <c r="T1854" t="s">
        <v>547</v>
      </c>
      <c r="U1854">
        <v>2.9693562614603298E-3</v>
      </c>
      <c r="V1854" t="s">
        <v>162</v>
      </c>
    </row>
    <row r="1855" spans="9:22" x14ac:dyDescent="0.45">
      <c r="I1855" t="s">
        <v>213</v>
      </c>
      <c r="J1855" t="s">
        <v>548</v>
      </c>
      <c r="K1855">
        <v>6.3748891044468816E-3</v>
      </c>
      <c r="L1855" t="s">
        <v>162</v>
      </c>
      <c r="N1855" t="s">
        <v>325</v>
      </c>
      <c r="O1855" t="s">
        <v>548</v>
      </c>
      <c r="P1855">
        <v>1.4024013186263519E-2</v>
      </c>
      <c r="Q1855" t="s">
        <v>162</v>
      </c>
      <c r="S1855" t="s">
        <v>437</v>
      </c>
      <c r="T1855" t="s">
        <v>548</v>
      </c>
      <c r="U1855">
        <v>5.9661035438100217E-3</v>
      </c>
      <c r="V1855" t="s">
        <v>162</v>
      </c>
    </row>
    <row r="1856" spans="9:22" x14ac:dyDescent="0.45">
      <c r="I1856" t="s">
        <v>213</v>
      </c>
      <c r="J1856" t="s">
        <v>549</v>
      </c>
      <c r="K1856">
        <v>7.7246343937690115E-3</v>
      </c>
      <c r="L1856" t="s">
        <v>162</v>
      </c>
      <c r="N1856" t="s">
        <v>325</v>
      </c>
      <c r="O1856" t="s">
        <v>549</v>
      </c>
      <c r="P1856">
        <v>2.9376203908282598E-2</v>
      </c>
      <c r="Q1856" t="s">
        <v>162</v>
      </c>
      <c r="S1856" t="s">
        <v>437</v>
      </c>
      <c r="T1856" t="s">
        <v>549</v>
      </c>
      <c r="U1856">
        <v>1.5251016343314609E-2</v>
      </c>
      <c r="V1856" t="s">
        <v>162</v>
      </c>
    </row>
    <row r="1857" spans="9:22" x14ac:dyDescent="0.45">
      <c r="I1857" t="s">
        <v>213</v>
      </c>
      <c r="J1857" t="s">
        <v>550</v>
      </c>
      <c r="K1857">
        <v>0</v>
      </c>
      <c r="L1857" t="s">
        <v>162</v>
      </c>
      <c r="N1857" t="s">
        <v>325</v>
      </c>
      <c r="O1857" t="s">
        <v>550</v>
      </c>
      <c r="P1857">
        <v>5.4786569770970926E-3</v>
      </c>
      <c r="Q1857" t="s">
        <v>162</v>
      </c>
      <c r="S1857" t="s">
        <v>437</v>
      </c>
      <c r="T1857" t="s">
        <v>550</v>
      </c>
      <c r="U1857">
        <v>3.0300429102171336E-3</v>
      </c>
      <c r="V1857" t="s">
        <v>162</v>
      </c>
    </row>
    <row r="1858" spans="9:22" x14ac:dyDescent="0.45">
      <c r="I1858" t="s">
        <v>213</v>
      </c>
      <c r="J1858" t="s">
        <v>551</v>
      </c>
      <c r="K1858">
        <v>0</v>
      </c>
      <c r="L1858" t="s">
        <v>162</v>
      </c>
      <c r="N1858" t="s">
        <v>325</v>
      </c>
      <c r="O1858" t="s">
        <v>551</v>
      </c>
      <c r="P1858">
        <v>3.913617293006337E-2</v>
      </c>
      <c r="Q1858" t="s">
        <v>162</v>
      </c>
      <c r="S1858" t="s">
        <v>437</v>
      </c>
      <c r="T1858" t="s">
        <v>551</v>
      </c>
      <c r="U1858">
        <v>1.7527503206675853E-2</v>
      </c>
      <c r="V1858" t="s">
        <v>162</v>
      </c>
    </row>
    <row r="1859" spans="9:22" x14ac:dyDescent="0.45">
      <c r="I1859" t="s">
        <v>214</v>
      </c>
      <c r="J1859" t="s">
        <v>161</v>
      </c>
      <c r="K1859">
        <v>7.2210450054191439E-5</v>
      </c>
      <c r="L1859" t="s">
        <v>162</v>
      </c>
      <c r="N1859" t="s">
        <v>326</v>
      </c>
      <c r="O1859" t="s">
        <v>161</v>
      </c>
      <c r="P1859">
        <v>4.9073175823642928E-2</v>
      </c>
      <c r="Q1859" t="s">
        <v>162</v>
      </c>
      <c r="S1859" t="s">
        <v>438</v>
      </c>
      <c r="T1859" t="s">
        <v>161</v>
      </c>
      <c r="U1859">
        <v>2.2433704562497176E-2</v>
      </c>
      <c r="V1859" t="s">
        <v>162</v>
      </c>
    </row>
    <row r="1860" spans="9:22" x14ac:dyDescent="0.45">
      <c r="I1860" t="s">
        <v>214</v>
      </c>
      <c r="J1860" t="s">
        <v>163</v>
      </c>
      <c r="K1860">
        <v>3.0726286064108395E-3</v>
      </c>
      <c r="L1860" t="s">
        <v>162</v>
      </c>
      <c r="N1860" t="s">
        <v>326</v>
      </c>
      <c r="O1860" t="s">
        <v>163</v>
      </c>
      <c r="P1860">
        <v>4.6547385622906189E-3</v>
      </c>
      <c r="Q1860" t="s">
        <v>162</v>
      </c>
      <c r="S1860" t="s">
        <v>438</v>
      </c>
      <c r="T1860" t="s">
        <v>163</v>
      </c>
      <c r="U1860">
        <v>2.4462171287153787E-3</v>
      </c>
      <c r="V1860" t="s">
        <v>162</v>
      </c>
    </row>
    <row r="1861" spans="9:22" x14ac:dyDescent="0.45">
      <c r="I1861" t="s">
        <v>214</v>
      </c>
      <c r="J1861" t="s">
        <v>164</v>
      </c>
      <c r="K1861">
        <v>9.8845567153951815E-3</v>
      </c>
      <c r="L1861" t="s">
        <v>162</v>
      </c>
      <c r="N1861" t="s">
        <v>326</v>
      </c>
      <c r="O1861" t="s">
        <v>164</v>
      </c>
      <c r="P1861">
        <v>8.4378555010530282E-3</v>
      </c>
      <c r="Q1861" t="s">
        <v>162</v>
      </c>
      <c r="S1861" t="s">
        <v>438</v>
      </c>
      <c r="T1861" t="s">
        <v>164</v>
      </c>
      <c r="U1861">
        <v>5.0326706909680826E-3</v>
      </c>
      <c r="V1861" t="s">
        <v>162</v>
      </c>
    </row>
    <row r="1862" spans="9:22" x14ac:dyDescent="0.45">
      <c r="I1862" t="s">
        <v>214</v>
      </c>
      <c r="J1862" t="s">
        <v>519</v>
      </c>
      <c r="K1862">
        <v>1.7135656333964997E-2</v>
      </c>
      <c r="L1862" t="s">
        <v>162</v>
      </c>
      <c r="N1862" t="s">
        <v>326</v>
      </c>
      <c r="O1862" t="s">
        <v>519</v>
      </c>
      <c r="P1862">
        <v>2.0132905542488283E-2</v>
      </c>
      <c r="Q1862" t="s">
        <v>162</v>
      </c>
      <c r="S1862" t="s">
        <v>438</v>
      </c>
      <c r="T1862" t="s">
        <v>519</v>
      </c>
      <c r="U1862">
        <v>1.2979318451865578E-2</v>
      </c>
      <c r="V1862" t="s">
        <v>162</v>
      </c>
    </row>
    <row r="1863" spans="9:22" x14ac:dyDescent="0.45">
      <c r="I1863" t="s">
        <v>214</v>
      </c>
      <c r="J1863" t="s">
        <v>520</v>
      </c>
      <c r="K1863">
        <v>0</v>
      </c>
      <c r="L1863" t="s">
        <v>162</v>
      </c>
      <c r="N1863" t="s">
        <v>326</v>
      </c>
      <c r="O1863" t="s">
        <v>520</v>
      </c>
      <c r="P1863">
        <v>4.5291794782388109E-3</v>
      </c>
      <c r="Q1863" t="s">
        <v>162</v>
      </c>
      <c r="S1863" t="s">
        <v>438</v>
      </c>
      <c r="T1863" t="s">
        <v>520</v>
      </c>
      <c r="U1863">
        <v>2.4951139892738397E-3</v>
      </c>
      <c r="V1863" t="s">
        <v>162</v>
      </c>
    </row>
    <row r="1864" spans="9:22" x14ac:dyDescent="0.45">
      <c r="I1864" t="s">
        <v>214</v>
      </c>
      <c r="J1864" t="s">
        <v>521</v>
      </c>
      <c r="K1864">
        <v>0</v>
      </c>
      <c r="L1864" t="s">
        <v>162</v>
      </c>
      <c r="N1864" t="s">
        <v>326</v>
      </c>
      <c r="O1864" t="s">
        <v>521</v>
      </c>
      <c r="P1864">
        <v>3.0418044784320513E-2</v>
      </c>
      <c r="Q1864" t="s">
        <v>162</v>
      </c>
      <c r="S1864" t="s">
        <v>438</v>
      </c>
      <c r="T1864" t="s">
        <v>521</v>
      </c>
      <c r="U1864">
        <v>1.5960451897917522E-2</v>
      </c>
      <c r="V1864" t="s">
        <v>162</v>
      </c>
    </row>
    <row r="1865" spans="9:22" x14ac:dyDescent="0.45">
      <c r="I1865" t="s">
        <v>214</v>
      </c>
      <c r="J1865" t="s">
        <v>165</v>
      </c>
      <c r="K1865">
        <v>1.949114435660675E-2</v>
      </c>
      <c r="L1865" t="s">
        <v>162</v>
      </c>
      <c r="N1865" t="s">
        <v>326</v>
      </c>
      <c r="O1865" t="s">
        <v>165</v>
      </c>
      <c r="P1865">
        <v>7.6279022625480697E-2</v>
      </c>
      <c r="Q1865" t="s">
        <v>162</v>
      </c>
      <c r="S1865" t="s">
        <v>438</v>
      </c>
      <c r="T1865" t="s">
        <v>165</v>
      </c>
      <c r="U1865">
        <v>5.7134455929018398E-2</v>
      </c>
      <c r="V1865" t="s">
        <v>162</v>
      </c>
    </row>
    <row r="1866" spans="9:22" x14ac:dyDescent="0.45">
      <c r="I1866" t="s">
        <v>214</v>
      </c>
      <c r="J1866" t="s">
        <v>166</v>
      </c>
      <c r="K1866">
        <v>1.5367773029614519E-2</v>
      </c>
      <c r="L1866" t="s">
        <v>162</v>
      </c>
      <c r="N1866" t="s">
        <v>326</v>
      </c>
      <c r="O1866" t="s">
        <v>166</v>
      </c>
      <c r="P1866">
        <v>6.6569061549840904E-3</v>
      </c>
      <c r="Q1866" t="s">
        <v>162</v>
      </c>
      <c r="S1866" t="s">
        <v>438</v>
      </c>
      <c r="T1866" t="s">
        <v>166</v>
      </c>
      <c r="U1866">
        <v>6.1709512521438328E-3</v>
      </c>
      <c r="V1866" t="s">
        <v>162</v>
      </c>
    </row>
    <row r="1867" spans="9:22" x14ac:dyDescent="0.45">
      <c r="I1867" t="s">
        <v>214</v>
      </c>
      <c r="J1867" t="s">
        <v>167</v>
      </c>
      <c r="K1867">
        <v>3.5264582715818123E-2</v>
      </c>
      <c r="L1867" t="s">
        <v>162</v>
      </c>
      <c r="N1867" t="s">
        <v>326</v>
      </c>
      <c r="O1867" t="s">
        <v>167</v>
      </c>
      <c r="P1867">
        <v>1.2774470696653526E-2</v>
      </c>
      <c r="Q1867" t="s">
        <v>162</v>
      </c>
      <c r="S1867" t="s">
        <v>438</v>
      </c>
      <c r="T1867" t="s">
        <v>167</v>
      </c>
      <c r="U1867">
        <v>1.220337179982588E-2</v>
      </c>
      <c r="V1867" t="s">
        <v>162</v>
      </c>
    </row>
    <row r="1868" spans="9:22" x14ac:dyDescent="0.45">
      <c r="I1868" t="s">
        <v>214</v>
      </c>
      <c r="J1868" t="s">
        <v>522</v>
      </c>
      <c r="K1868">
        <v>7.6651900062045863E-2</v>
      </c>
      <c r="L1868" t="s">
        <v>162</v>
      </c>
      <c r="N1868" t="s">
        <v>326</v>
      </c>
      <c r="O1868" t="s">
        <v>522</v>
      </c>
      <c r="P1868">
        <v>3.1448816735351805E-2</v>
      </c>
      <c r="Q1868" t="s">
        <v>162</v>
      </c>
      <c r="S1868" t="s">
        <v>438</v>
      </c>
      <c r="T1868" t="s">
        <v>522</v>
      </c>
      <c r="U1868">
        <v>3.0007301929633197E-2</v>
      </c>
      <c r="V1868" t="s">
        <v>162</v>
      </c>
    </row>
    <row r="1869" spans="9:22" x14ac:dyDescent="0.45">
      <c r="I1869" t="s">
        <v>214</v>
      </c>
      <c r="J1869" t="s">
        <v>523</v>
      </c>
      <c r="K1869">
        <v>5.7847841598420982E-3</v>
      </c>
      <c r="L1869" t="s">
        <v>162</v>
      </c>
      <c r="N1869" t="s">
        <v>326</v>
      </c>
      <c r="O1869" t="s">
        <v>523</v>
      </c>
      <c r="P1869">
        <v>7.0240768965382887E-3</v>
      </c>
      <c r="Q1869" t="s">
        <v>162</v>
      </c>
      <c r="S1869" t="s">
        <v>438</v>
      </c>
      <c r="T1869" t="s">
        <v>523</v>
      </c>
      <c r="U1869">
        <v>6.1428746122417621E-3</v>
      </c>
      <c r="V1869" t="s">
        <v>162</v>
      </c>
    </row>
    <row r="1870" spans="9:22" x14ac:dyDescent="0.45">
      <c r="I1870" t="s">
        <v>214</v>
      </c>
      <c r="J1870" t="s">
        <v>524</v>
      </c>
      <c r="K1870">
        <v>9.1450582176709147E-4</v>
      </c>
      <c r="L1870" t="s">
        <v>162</v>
      </c>
      <c r="N1870" t="s">
        <v>326</v>
      </c>
      <c r="O1870" t="s">
        <v>524</v>
      </c>
      <c r="P1870">
        <v>4.9223515365435899E-2</v>
      </c>
      <c r="Q1870" t="s">
        <v>162</v>
      </c>
      <c r="S1870" t="s">
        <v>438</v>
      </c>
      <c r="T1870" t="s">
        <v>524</v>
      </c>
      <c r="U1870">
        <v>3.7804480912202135E-2</v>
      </c>
      <c r="V1870" t="s">
        <v>162</v>
      </c>
    </row>
    <row r="1871" spans="9:22" x14ac:dyDescent="0.45">
      <c r="I1871" t="s">
        <v>214</v>
      </c>
      <c r="J1871" t="s">
        <v>168</v>
      </c>
      <c r="K1871">
        <v>2.2197075572463445E-2</v>
      </c>
      <c r="L1871" t="s">
        <v>162</v>
      </c>
      <c r="N1871" t="s">
        <v>326</v>
      </c>
      <c r="O1871" t="s">
        <v>168</v>
      </c>
      <c r="P1871">
        <v>3.2686668498988346E-2</v>
      </c>
      <c r="Q1871" t="s">
        <v>162</v>
      </c>
      <c r="S1871" t="s">
        <v>438</v>
      </c>
      <c r="T1871" t="s">
        <v>168</v>
      </c>
      <c r="U1871">
        <v>2.5071124430265424E-2</v>
      </c>
      <c r="V1871" t="s">
        <v>162</v>
      </c>
    </row>
    <row r="1872" spans="9:22" x14ac:dyDescent="0.45">
      <c r="I1872" t="s">
        <v>214</v>
      </c>
      <c r="J1872" t="s">
        <v>169</v>
      </c>
      <c r="K1872">
        <v>1.0411180353834379E-2</v>
      </c>
      <c r="L1872" t="s">
        <v>162</v>
      </c>
      <c r="N1872" t="s">
        <v>326</v>
      </c>
      <c r="O1872" t="s">
        <v>169</v>
      </c>
      <c r="P1872">
        <v>2.8866632044666986E-3</v>
      </c>
      <c r="Q1872" t="s">
        <v>162</v>
      </c>
      <c r="S1872" t="s">
        <v>438</v>
      </c>
      <c r="T1872" t="s">
        <v>169</v>
      </c>
      <c r="U1872">
        <v>2.4204576172920924E-3</v>
      </c>
      <c r="V1872" t="s">
        <v>162</v>
      </c>
    </row>
    <row r="1873" spans="9:22" x14ac:dyDescent="0.45">
      <c r="I1873" t="s">
        <v>214</v>
      </c>
      <c r="J1873" t="s">
        <v>170</v>
      </c>
      <c r="K1873">
        <v>2.1389736632253988E-2</v>
      </c>
      <c r="L1873" t="s">
        <v>162</v>
      </c>
      <c r="N1873" t="s">
        <v>326</v>
      </c>
      <c r="O1873" t="s">
        <v>170</v>
      </c>
      <c r="P1873">
        <v>6.1633068432840402E-3</v>
      </c>
      <c r="Q1873" t="s">
        <v>162</v>
      </c>
      <c r="S1873" t="s">
        <v>438</v>
      </c>
      <c r="T1873" t="s">
        <v>170</v>
      </c>
      <c r="U1873">
        <v>4.9357709041580808E-3</v>
      </c>
      <c r="V1873" t="s">
        <v>162</v>
      </c>
    </row>
    <row r="1874" spans="9:22" x14ac:dyDescent="0.45">
      <c r="I1874" t="s">
        <v>214</v>
      </c>
      <c r="J1874" t="s">
        <v>525</v>
      </c>
      <c r="K1874">
        <v>4.6593821590357222E-2</v>
      </c>
      <c r="L1874" t="s">
        <v>162</v>
      </c>
      <c r="N1874" t="s">
        <v>326</v>
      </c>
      <c r="O1874" t="s">
        <v>525</v>
      </c>
      <c r="P1874">
        <v>1.7028448767635377E-2</v>
      </c>
      <c r="Q1874" t="s">
        <v>162</v>
      </c>
      <c r="S1874" t="s">
        <v>438</v>
      </c>
      <c r="T1874" t="s">
        <v>525</v>
      </c>
      <c r="U1874">
        <v>1.4150754175723017E-2</v>
      </c>
      <c r="V1874" t="s">
        <v>162</v>
      </c>
    </row>
    <row r="1875" spans="9:22" x14ac:dyDescent="0.45">
      <c r="I1875" t="s">
        <v>214</v>
      </c>
      <c r="J1875" t="s">
        <v>526</v>
      </c>
      <c r="K1875">
        <v>6.3695698069045062E-3</v>
      </c>
      <c r="L1875" t="s">
        <v>162</v>
      </c>
      <c r="N1875" t="s">
        <v>326</v>
      </c>
      <c r="O1875" t="s">
        <v>526</v>
      </c>
      <c r="P1875">
        <v>3.7375125478210786E-3</v>
      </c>
      <c r="Q1875" t="s">
        <v>162</v>
      </c>
      <c r="S1875" t="s">
        <v>438</v>
      </c>
      <c r="T1875" t="s">
        <v>526</v>
      </c>
      <c r="U1875">
        <v>3.0393099995086434E-3</v>
      </c>
      <c r="V1875" t="s">
        <v>162</v>
      </c>
    </row>
    <row r="1876" spans="9:22" x14ac:dyDescent="0.45">
      <c r="I1876" t="s">
        <v>214</v>
      </c>
      <c r="J1876" t="s">
        <v>527</v>
      </c>
      <c r="K1876">
        <v>5.0249402109234995E-3</v>
      </c>
      <c r="L1876" t="s">
        <v>162</v>
      </c>
      <c r="N1876" t="s">
        <v>326</v>
      </c>
      <c r="O1876" t="s">
        <v>527</v>
      </c>
      <c r="P1876">
        <v>2.740579298431408E-2</v>
      </c>
      <c r="Q1876" t="s">
        <v>162</v>
      </c>
      <c r="S1876" t="s">
        <v>438</v>
      </c>
      <c r="T1876" t="s">
        <v>527</v>
      </c>
      <c r="U1876">
        <v>1.958316897711598E-2</v>
      </c>
      <c r="V1876" t="s">
        <v>162</v>
      </c>
    </row>
    <row r="1877" spans="9:22" x14ac:dyDescent="0.45">
      <c r="I1877" t="s">
        <v>214</v>
      </c>
      <c r="J1877" t="s">
        <v>528</v>
      </c>
      <c r="K1877">
        <v>9.9544613384921668E-2</v>
      </c>
      <c r="L1877" t="s">
        <v>162</v>
      </c>
      <c r="N1877" t="s">
        <v>326</v>
      </c>
      <c r="O1877" t="s">
        <v>528</v>
      </c>
      <c r="P1877">
        <v>7.3701971186408866E-2</v>
      </c>
      <c r="Q1877" t="s">
        <v>162</v>
      </c>
      <c r="S1877" t="s">
        <v>438</v>
      </c>
      <c r="T1877" t="s">
        <v>528</v>
      </c>
      <c r="U1877">
        <v>0.10332089146974389</v>
      </c>
      <c r="V1877" t="s">
        <v>162</v>
      </c>
    </row>
    <row r="1878" spans="9:22" x14ac:dyDescent="0.45">
      <c r="I1878" t="s">
        <v>214</v>
      </c>
      <c r="J1878" t="s">
        <v>529</v>
      </c>
      <c r="K1878">
        <v>3.2544500819347975E-2</v>
      </c>
      <c r="L1878" t="s">
        <v>162</v>
      </c>
      <c r="N1878" t="s">
        <v>326</v>
      </c>
      <c r="O1878" t="s">
        <v>529</v>
      </c>
      <c r="P1878">
        <v>5.5995526850641832E-3</v>
      </c>
      <c r="Q1878" t="s">
        <v>162</v>
      </c>
      <c r="S1878" t="s">
        <v>438</v>
      </c>
      <c r="T1878" t="s">
        <v>529</v>
      </c>
      <c r="U1878">
        <v>1.0292469083157485E-2</v>
      </c>
      <c r="V1878" t="s">
        <v>162</v>
      </c>
    </row>
    <row r="1879" spans="9:22" x14ac:dyDescent="0.45">
      <c r="I1879" t="s">
        <v>214</v>
      </c>
      <c r="J1879" t="s">
        <v>530</v>
      </c>
      <c r="K1879">
        <v>6.3680585082544441E-2</v>
      </c>
      <c r="L1879" t="s">
        <v>162</v>
      </c>
      <c r="N1879" t="s">
        <v>326</v>
      </c>
      <c r="O1879" t="s">
        <v>530</v>
      </c>
      <c r="P1879">
        <v>1.1279577316281576E-2</v>
      </c>
      <c r="Q1879" t="s">
        <v>162</v>
      </c>
      <c r="S1879" t="s">
        <v>438</v>
      </c>
      <c r="T1879" t="s">
        <v>530</v>
      </c>
      <c r="U1879">
        <v>2.094189771605803E-2</v>
      </c>
      <c r="V1879" t="s">
        <v>162</v>
      </c>
    </row>
    <row r="1880" spans="9:22" x14ac:dyDescent="0.45">
      <c r="I1880" t="s">
        <v>214</v>
      </c>
      <c r="J1880" t="s">
        <v>531</v>
      </c>
      <c r="K1880">
        <v>0.13744770815623403</v>
      </c>
      <c r="L1880" t="s">
        <v>162</v>
      </c>
      <c r="N1880" t="s">
        <v>326</v>
      </c>
      <c r="O1880" t="s">
        <v>531</v>
      </c>
      <c r="P1880">
        <v>2.9251776035907302E-2</v>
      </c>
      <c r="Q1880" t="s">
        <v>162</v>
      </c>
      <c r="S1880" t="s">
        <v>438</v>
      </c>
      <c r="T1880" t="s">
        <v>531</v>
      </c>
      <c r="U1880">
        <v>5.5564260801490517E-2</v>
      </c>
      <c r="V1880" t="s">
        <v>162</v>
      </c>
    </row>
    <row r="1881" spans="9:22" x14ac:dyDescent="0.45">
      <c r="I1881" t="s">
        <v>214</v>
      </c>
      <c r="J1881" t="s">
        <v>532</v>
      </c>
      <c r="K1881">
        <v>2.062929743907151E-2</v>
      </c>
      <c r="L1881" t="s">
        <v>162</v>
      </c>
      <c r="N1881" t="s">
        <v>326</v>
      </c>
      <c r="O1881" t="s">
        <v>532</v>
      </c>
      <c r="P1881">
        <v>5.9104373442635805E-3</v>
      </c>
      <c r="Q1881" t="s">
        <v>162</v>
      </c>
      <c r="S1881" t="s">
        <v>438</v>
      </c>
      <c r="T1881" t="s">
        <v>532</v>
      </c>
      <c r="U1881">
        <v>1.1181604743240633E-2</v>
      </c>
      <c r="V1881" t="s">
        <v>162</v>
      </c>
    </row>
    <row r="1882" spans="9:22" x14ac:dyDescent="0.45">
      <c r="I1882" t="s">
        <v>214</v>
      </c>
      <c r="J1882" t="s">
        <v>533</v>
      </c>
      <c r="K1882">
        <v>3.0572163785898013E-2</v>
      </c>
      <c r="L1882" t="s">
        <v>162</v>
      </c>
      <c r="N1882" t="s">
        <v>326</v>
      </c>
      <c r="O1882" t="s">
        <v>533</v>
      </c>
      <c r="P1882">
        <v>5.499965005557067E-2</v>
      </c>
      <c r="Q1882" t="s">
        <v>162</v>
      </c>
      <c r="S1882" t="s">
        <v>438</v>
      </c>
      <c r="T1882" t="s">
        <v>533</v>
      </c>
      <c r="U1882">
        <v>6.8444282168870565E-2</v>
      </c>
      <c r="V1882" t="s">
        <v>162</v>
      </c>
    </row>
    <row r="1883" spans="9:22" x14ac:dyDescent="0.45">
      <c r="I1883" t="s">
        <v>214</v>
      </c>
      <c r="J1883" t="s">
        <v>534</v>
      </c>
      <c r="K1883">
        <v>5.885932953187914E-2</v>
      </c>
      <c r="L1883" t="s">
        <v>162</v>
      </c>
      <c r="N1883" t="s">
        <v>326</v>
      </c>
      <c r="O1883" t="s">
        <v>534</v>
      </c>
      <c r="P1883">
        <v>8.7402952517381546E-2</v>
      </c>
      <c r="Q1883" t="s">
        <v>162</v>
      </c>
      <c r="S1883" t="s">
        <v>438</v>
      </c>
      <c r="T1883" t="s">
        <v>534</v>
      </c>
      <c r="U1883">
        <v>0.110768813503952</v>
      </c>
      <c r="V1883" t="s">
        <v>162</v>
      </c>
    </row>
    <row r="1884" spans="9:22" x14ac:dyDescent="0.45">
      <c r="I1884" t="s">
        <v>214</v>
      </c>
      <c r="J1884" t="s">
        <v>535</v>
      </c>
      <c r="K1884">
        <v>2.746957377034364E-2</v>
      </c>
      <c r="L1884" t="s">
        <v>162</v>
      </c>
      <c r="N1884" t="s">
        <v>326</v>
      </c>
      <c r="O1884" t="s">
        <v>535</v>
      </c>
      <c r="P1884">
        <v>6.7872993487139814E-3</v>
      </c>
      <c r="Q1884" t="s">
        <v>162</v>
      </c>
      <c r="S1884" t="s">
        <v>438</v>
      </c>
      <c r="T1884" t="s">
        <v>535</v>
      </c>
      <c r="U1884">
        <v>1.1510635906170463E-2</v>
      </c>
      <c r="V1884" t="s">
        <v>162</v>
      </c>
    </row>
    <row r="1885" spans="9:22" x14ac:dyDescent="0.45">
      <c r="I1885" t="s">
        <v>214</v>
      </c>
      <c r="J1885" t="s">
        <v>536</v>
      </c>
      <c r="K1885">
        <v>5.2851258284502142E-2</v>
      </c>
      <c r="L1885" t="s">
        <v>162</v>
      </c>
      <c r="N1885" t="s">
        <v>326</v>
      </c>
      <c r="O1885" t="s">
        <v>536</v>
      </c>
      <c r="P1885">
        <v>1.3780541451669287E-2</v>
      </c>
      <c r="Q1885" t="s">
        <v>162</v>
      </c>
      <c r="S1885" t="s">
        <v>438</v>
      </c>
      <c r="T1885" t="s">
        <v>536</v>
      </c>
      <c r="U1885">
        <v>2.3045117598999097E-2</v>
      </c>
      <c r="V1885" t="s">
        <v>162</v>
      </c>
    </row>
    <row r="1886" spans="9:22" x14ac:dyDescent="0.45">
      <c r="I1886" t="s">
        <v>214</v>
      </c>
      <c r="J1886" t="s">
        <v>537</v>
      </c>
      <c r="K1886">
        <v>0.11018652065414691</v>
      </c>
      <c r="L1886" t="s">
        <v>162</v>
      </c>
      <c r="N1886" t="s">
        <v>326</v>
      </c>
      <c r="O1886" t="s">
        <v>537</v>
      </c>
      <c r="P1886">
        <v>3.9703672408742452E-2</v>
      </c>
      <c r="Q1886" t="s">
        <v>162</v>
      </c>
      <c r="S1886" t="s">
        <v>438</v>
      </c>
      <c r="T1886" t="s">
        <v>537</v>
      </c>
      <c r="U1886">
        <v>6.0772263468804315E-2</v>
      </c>
      <c r="V1886" t="s">
        <v>162</v>
      </c>
    </row>
    <row r="1887" spans="9:22" x14ac:dyDescent="0.45">
      <c r="I1887" t="s">
        <v>214</v>
      </c>
      <c r="J1887" t="s">
        <v>538</v>
      </c>
      <c r="K1887">
        <v>1.1907150968789228E-2</v>
      </c>
      <c r="L1887" t="s">
        <v>162</v>
      </c>
      <c r="N1887" t="s">
        <v>326</v>
      </c>
      <c r="O1887" t="s">
        <v>538</v>
      </c>
      <c r="P1887">
        <v>9.0641447862188119E-3</v>
      </c>
      <c r="Q1887" t="s">
        <v>162</v>
      </c>
      <c r="S1887" t="s">
        <v>438</v>
      </c>
      <c r="T1887" t="s">
        <v>538</v>
      </c>
      <c r="U1887">
        <v>1.2704423387833081E-2</v>
      </c>
      <c r="V1887" t="s">
        <v>162</v>
      </c>
    </row>
    <row r="1888" spans="9:22" x14ac:dyDescent="0.45">
      <c r="I1888" t="s">
        <v>214</v>
      </c>
      <c r="J1888" t="s">
        <v>539</v>
      </c>
      <c r="K1888">
        <v>8.3484315878149529E-3</v>
      </c>
      <c r="L1888" t="s">
        <v>162</v>
      </c>
      <c r="N1888" t="s">
        <v>326</v>
      </c>
      <c r="O1888" t="s">
        <v>539</v>
      </c>
      <c r="P1888">
        <v>6.582487678037352E-2</v>
      </c>
      <c r="Q1888" t="s">
        <v>162</v>
      </c>
      <c r="S1888" t="s">
        <v>438</v>
      </c>
      <c r="T1888" t="s">
        <v>539</v>
      </c>
      <c r="U1888">
        <v>7.7901635322953688E-2</v>
      </c>
      <c r="V1888" t="s">
        <v>162</v>
      </c>
    </row>
    <row r="1889" spans="9:22" x14ac:dyDescent="0.45">
      <c r="I1889" t="s">
        <v>214</v>
      </c>
      <c r="J1889" t="s">
        <v>540</v>
      </c>
      <c r="K1889">
        <v>1.6710847517106479E-3</v>
      </c>
      <c r="L1889" t="s">
        <v>162</v>
      </c>
      <c r="N1889" t="s">
        <v>326</v>
      </c>
      <c r="O1889" t="s">
        <v>540</v>
      </c>
      <c r="P1889">
        <v>3.4788324614436955E-2</v>
      </c>
      <c r="Q1889" t="s">
        <v>162</v>
      </c>
      <c r="S1889" t="s">
        <v>438</v>
      </c>
      <c r="T1889" t="s">
        <v>540</v>
      </c>
      <c r="U1889">
        <v>2.7463206571313955E-2</v>
      </c>
      <c r="V1889" t="s">
        <v>162</v>
      </c>
    </row>
    <row r="1890" spans="9:22" x14ac:dyDescent="0.45">
      <c r="I1890" t="s">
        <v>214</v>
      </c>
      <c r="J1890" t="s">
        <v>541</v>
      </c>
      <c r="K1890">
        <v>3.768045503772095E-3</v>
      </c>
      <c r="L1890" t="s">
        <v>162</v>
      </c>
      <c r="N1890" t="s">
        <v>326</v>
      </c>
      <c r="O1890" t="s">
        <v>541</v>
      </c>
      <c r="P1890">
        <v>3.0680896112465325E-3</v>
      </c>
      <c r="Q1890" t="s">
        <v>162</v>
      </c>
      <c r="S1890" t="s">
        <v>438</v>
      </c>
      <c r="T1890" t="s">
        <v>541</v>
      </c>
      <c r="U1890">
        <v>3.0634166603049889E-3</v>
      </c>
      <c r="V1890" t="s">
        <v>162</v>
      </c>
    </row>
    <row r="1891" spans="9:22" x14ac:dyDescent="0.45">
      <c r="I1891" t="s">
        <v>214</v>
      </c>
      <c r="J1891" t="s">
        <v>542</v>
      </c>
      <c r="K1891">
        <v>9.3039110081791707E-3</v>
      </c>
      <c r="L1891" t="s">
        <v>162</v>
      </c>
      <c r="N1891" t="s">
        <v>326</v>
      </c>
      <c r="O1891" t="s">
        <v>542</v>
      </c>
      <c r="P1891">
        <v>5.8701809933512511E-3</v>
      </c>
      <c r="Q1891" t="s">
        <v>162</v>
      </c>
      <c r="S1891" t="s">
        <v>438</v>
      </c>
      <c r="T1891" t="s">
        <v>542</v>
      </c>
      <c r="U1891">
        <v>6.5337113665396018E-3</v>
      </c>
      <c r="V1891" t="s">
        <v>162</v>
      </c>
    </row>
    <row r="1892" spans="9:22" x14ac:dyDescent="0.45">
      <c r="I1892" t="s">
        <v>214</v>
      </c>
      <c r="J1892" t="s">
        <v>543</v>
      </c>
      <c r="K1892">
        <v>1.6442226042677699E-2</v>
      </c>
      <c r="L1892" t="s">
        <v>162</v>
      </c>
      <c r="N1892" t="s">
        <v>326</v>
      </c>
      <c r="O1892" t="s">
        <v>543</v>
      </c>
      <c r="P1892">
        <v>1.7727682543516213E-2</v>
      </c>
      <c r="Q1892" t="s">
        <v>162</v>
      </c>
      <c r="S1892" t="s">
        <v>438</v>
      </c>
      <c r="T1892" t="s">
        <v>543</v>
      </c>
      <c r="U1892">
        <v>1.8064371276557262E-2</v>
      </c>
      <c r="V1892" t="s">
        <v>162</v>
      </c>
    </row>
    <row r="1893" spans="9:22" x14ac:dyDescent="0.45">
      <c r="I1893" t="s">
        <v>214</v>
      </c>
      <c r="J1893" t="s">
        <v>544</v>
      </c>
      <c r="K1893">
        <v>0</v>
      </c>
      <c r="L1893" t="s">
        <v>162</v>
      </c>
      <c r="N1893" t="s">
        <v>326</v>
      </c>
      <c r="O1893" t="s">
        <v>544</v>
      </c>
      <c r="P1893">
        <v>4.3094929342331126E-3</v>
      </c>
      <c r="Q1893" t="s">
        <v>162</v>
      </c>
      <c r="S1893" t="s">
        <v>438</v>
      </c>
      <c r="T1893" t="s">
        <v>544</v>
      </c>
      <c r="U1893">
        <v>3.7044701246539027E-3</v>
      </c>
      <c r="V1893" t="s">
        <v>162</v>
      </c>
    </row>
    <row r="1894" spans="9:22" x14ac:dyDescent="0.45">
      <c r="I1894" t="s">
        <v>214</v>
      </c>
      <c r="J1894" t="s">
        <v>545</v>
      </c>
      <c r="K1894">
        <v>0</v>
      </c>
      <c r="L1894" t="s">
        <v>162</v>
      </c>
      <c r="N1894" t="s">
        <v>326</v>
      </c>
      <c r="O1894" t="s">
        <v>545</v>
      </c>
      <c r="P1894">
        <v>2.6837264188295351E-2</v>
      </c>
      <c r="Q1894" t="s">
        <v>162</v>
      </c>
      <c r="S1894" t="s">
        <v>438</v>
      </c>
      <c r="T1894" t="s">
        <v>545</v>
      </c>
      <c r="U1894">
        <v>2.2335212542405638E-2</v>
      </c>
      <c r="V1894" t="s">
        <v>162</v>
      </c>
    </row>
    <row r="1895" spans="9:22" x14ac:dyDescent="0.45">
      <c r="I1895" t="s">
        <v>214</v>
      </c>
      <c r="J1895" t="s">
        <v>546</v>
      </c>
      <c r="K1895">
        <v>0</v>
      </c>
      <c r="L1895" t="s">
        <v>162</v>
      </c>
      <c r="N1895" t="s">
        <v>326</v>
      </c>
      <c r="O1895" t="s">
        <v>546</v>
      </c>
      <c r="P1895">
        <v>4.3583163596427853E-2</v>
      </c>
      <c r="Q1895" t="s">
        <v>162</v>
      </c>
      <c r="S1895" t="s">
        <v>438</v>
      </c>
      <c r="T1895" t="s">
        <v>546</v>
      </c>
      <c r="U1895">
        <v>2.6113749805057974E-2</v>
      </c>
      <c r="V1895" t="s">
        <v>162</v>
      </c>
    </row>
    <row r="1896" spans="9:22" x14ac:dyDescent="0.45">
      <c r="I1896" t="s">
        <v>214</v>
      </c>
      <c r="J1896" t="s">
        <v>547</v>
      </c>
      <c r="K1896">
        <v>1.9645078402239923E-3</v>
      </c>
      <c r="L1896" t="s">
        <v>162</v>
      </c>
      <c r="N1896" t="s">
        <v>326</v>
      </c>
      <c r="O1896" t="s">
        <v>547</v>
      </c>
      <c r="P1896">
        <v>4.9747088158024148E-3</v>
      </c>
      <c r="Q1896" t="s">
        <v>162</v>
      </c>
      <c r="S1896" t="s">
        <v>438</v>
      </c>
      <c r="T1896" t="s">
        <v>547</v>
      </c>
      <c r="U1896">
        <v>3.0359991989014853E-3</v>
      </c>
      <c r="V1896" t="s">
        <v>162</v>
      </c>
    </row>
    <row r="1897" spans="9:22" x14ac:dyDescent="0.45">
      <c r="I1897" t="s">
        <v>214</v>
      </c>
      <c r="J1897" t="s">
        <v>548</v>
      </c>
      <c r="K1897">
        <v>7.1889532141984373E-3</v>
      </c>
      <c r="L1897" t="s">
        <v>162</v>
      </c>
      <c r="N1897" t="s">
        <v>326</v>
      </c>
      <c r="O1897" t="s">
        <v>548</v>
      </c>
      <c r="P1897">
        <v>9.3895521522390536E-3</v>
      </c>
      <c r="Q1897" t="s">
        <v>162</v>
      </c>
      <c r="S1897" t="s">
        <v>438</v>
      </c>
      <c r="T1897" t="s">
        <v>548</v>
      </c>
      <c r="U1897">
        <v>6.2184654879741345E-3</v>
      </c>
      <c r="V1897" t="s">
        <v>162</v>
      </c>
    </row>
    <row r="1898" spans="9:22" x14ac:dyDescent="0.45">
      <c r="I1898" t="s">
        <v>214</v>
      </c>
      <c r="J1898" t="s">
        <v>549</v>
      </c>
      <c r="K1898">
        <v>9.9940717554925819E-3</v>
      </c>
      <c r="L1898" t="s">
        <v>162</v>
      </c>
      <c r="N1898" t="s">
        <v>326</v>
      </c>
      <c r="O1898" t="s">
        <v>549</v>
      </c>
      <c r="P1898">
        <v>2.1874186041189903E-2</v>
      </c>
      <c r="Q1898" t="s">
        <v>162</v>
      </c>
      <c r="S1898" t="s">
        <v>438</v>
      </c>
      <c r="T1898" t="s">
        <v>549</v>
      </c>
      <c r="U1898">
        <v>1.5968721247188691E-2</v>
      </c>
      <c r="V1898" t="s">
        <v>162</v>
      </c>
    </row>
    <row r="1899" spans="9:22" x14ac:dyDescent="0.45">
      <c r="I1899" t="s">
        <v>214</v>
      </c>
      <c r="J1899" t="s">
        <v>550</v>
      </c>
      <c r="K1899">
        <v>0</v>
      </c>
      <c r="L1899" t="s">
        <v>162</v>
      </c>
      <c r="N1899" t="s">
        <v>326</v>
      </c>
      <c r="O1899" t="s">
        <v>550</v>
      </c>
      <c r="P1899">
        <v>4.9478694893871798E-3</v>
      </c>
      <c r="Q1899" t="s">
        <v>162</v>
      </c>
      <c r="S1899" t="s">
        <v>438</v>
      </c>
      <c r="T1899" t="s">
        <v>550</v>
      </c>
      <c r="U1899">
        <v>3.1691330928418386E-3</v>
      </c>
      <c r="V1899" t="s">
        <v>162</v>
      </c>
    </row>
    <row r="1900" spans="9:22" x14ac:dyDescent="0.45">
      <c r="I1900" t="s">
        <v>214</v>
      </c>
      <c r="J1900" t="s">
        <v>551</v>
      </c>
      <c r="K1900">
        <v>0</v>
      </c>
      <c r="L1900" t="s">
        <v>162</v>
      </c>
      <c r="N1900" t="s">
        <v>326</v>
      </c>
      <c r="O1900" t="s">
        <v>551</v>
      </c>
      <c r="P1900">
        <v>2.8761932090286966E-2</v>
      </c>
      <c r="Q1900" t="s">
        <v>162</v>
      </c>
      <c r="S1900" t="s">
        <v>438</v>
      </c>
      <c r="T1900" t="s">
        <v>551</v>
      </c>
      <c r="U1900">
        <v>1.7869748194624002E-2</v>
      </c>
      <c r="V1900" t="s">
        <v>162</v>
      </c>
    </row>
    <row r="1901" spans="9:22" x14ac:dyDescent="0.45">
      <c r="I1901" t="s">
        <v>215</v>
      </c>
      <c r="J1901" t="s">
        <v>161</v>
      </c>
      <c r="K1901">
        <v>3.6435658184033642E-4</v>
      </c>
      <c r="L1901" t="s">
        <v>162</v>
      </c>
      <c r="N1901" t="s">
        <v>327</v>
      </c>
      <c r="O1901" t="s">
        <v>161</v>
      </c>
      <c r="P1901">
        <v>4.9538051444294691E-2</v>
      </c>
      <c r="Q1901" t="s">
        <v>162</v>
      </c>
      <c r="S1901" t="s">
        <v>439</v>
      </c>
      <c r="T1901" t="s">
        <v>161</v>
      </c>
      <c r="U1901">
        <v>2.9985333468661102E-2</v>
      </c>
      <c r="V1901" t="s">
        <v>162</v>
      </c>
    </row>
    <row r="1902" spans="9:22" x14ac:dyDescent="0.45">
      <c r="I1902" t="s">
        <v>215</v>
      </c>
      <c r="J1902" t="s">
        <v>163</v>
      </c>
      <c r="K1902">
        <v>2.6606983371457618E-3</v>
      </c>
      <c r="L1902" t="s">
        <v>162</v>
      </c>
      <c r="N1902" t="s">
        <v>327</v>
      </c>
      <c r="O1902" t="s">
        <v>163</v>
      </c>
      <c r="P1902">
        <v>4.7400093294252144E-3</v>
      </c>
      <c r="Q1902" t="s">
        <v>162</v>
      </c>
      <c r="S1902" t="s">
        <v>439</v>
      </c>
      <c r="T1902" t="s">
        <v>163</v>
      </c>
      <c r="U1902">
        <v>3.26942155244042E-3</v>
      </c>
      <c r="V1902" t="s">
        <v>162</v>
      </c>
    </row>
    <row r="1903" spans="9:22" x14ac:dyDescent="0.45">
      <c r="I1903" t="s">
        <v>215</v>
      </c>
      <c r="J1903" t="s">
        <v>164</v>
      </c>
      <c r="K1903">
        <v>8.8421861742139767E-3</v>
      </c>
      <c r="L1903" t="s">
        <v>162</v>
      </c>
      <c r="N1903" t="s">
        <v>327</v>
      </c>
      <c r="O1903" t="s">
        <v>164</v>
      </c>
      <c r="P1903">
        <v>8.4245886122932823E-3</v>
      </c>
      <c r="Q1903" t="s">
        <v>162</v>
      </c>
      <c r="S1903" t="s">
        <v>439</v>
      </c>
      <c r="T1903" t="s">
        <v>164</v>
      </c>
      <c r="U1903">
        <v>6.6501394781375029E-3</v>
      </c>
      <c r="V1903" t="s">
        <v>162</v>
      </c>
    </row>
    <row r="1904" spans="9:22" x14ac:dyDescent="0.45">
      <c r="I1904" t="s">
        <v>215</v>
      </c>
      <c r="J1904" t="s">
        <v>519</v>
      </c>
      <c r="K1904">
        <v>1.6345215644345053E-2</v>
      </c>
      <c r="L1904" t="s">
        <v>162</v>
      </c>
      <c r="N1904" t="s">
        <v>327</v>
      </c>
      <c r="O1904" t="s">
        <v>519</v>
      </c>
      <c r="P1904">
        <v>2.2787638834718502E-2</v>
      </c>
      <c r="Q1904" t="s">
        <v>162</v>
      </c>
      <c r="S1904" t="s">
        <v>439</v>
      </c>
      <c r="T1904" t="s">
        <v>519</v>
      </c>
      <c r="U1904">
        <v>1.7168950132387867E-2</v>
      </c>
      <c r="V1904" t="s">
        <v>162</v>
      </c>
    </row>
    <row r="1905" spans="9:22" x14ac:dyDescent="0.45">
      <c r="I1905" t="s">
        <v>215</v>
      </c>
      <c r="J1905" t="s">
        <v>520</v>
      </c>
      <c r="K1905">
        <v>0</v>
      </c>
      <c r="L1905" t="s">
        <v>162</v>
      </c>
      <c r="N1905" t="s">
        <v>327</v>
      </c>
      <c r="O1905" t="s">
        <v>520</v>
      </c>
      <c r="P1905">
        <v>5.1535130587438546E-3</v>
      </c>
      <c r="Q1905" t="s">
        <v>162</v>
      </c>
      <c r="S1905" t="s">
        <v>439</v>
      </c>
      <c r="T1905" t="s">
        <v>520</v>
      </c>
      <c r="U1905">
        <v>3.431469060013861E-3</v>
      </c>
      <c r="V1905" t="s">
        <v>162</v>
      </c>
    </row>
    <row r="1906" spans="9:22" x14ac:dyDescent="0.45">
      <c r="I1906" t="s">
        <v>215</v>
      </c>
      <c r="J1906" t="s">
        <v>521</v>
      </c>
      <c r="K1906">
        <v>0</v>
      </c>
      <c r="L1906" t="s">
        <v>162</v>
      </c>
      <c r="N1906" t="s">
        <v>327</v>
      </c>
      <c r="O1906" t="s">
        <v>521</v>
      </c>
      <c r="P1906">
        <v>3.0306860794573523E-2</v>
      </c>
      <c r="Q1906" t="s">
        <v>162</v>
      </c>
      <c r="S1906" t="s">
        <v>439</v>
      </c>
      <c r="T1906" t="s">
        <v>521</v>
      </c>
      <c r="U1906">
        <v>2.0256248136982194E-2</v>
      </c>
      <c r="V1906" t="s">
        <v>162</v>
      </c>
    </row>
    <row r="1907" spans="9:22" x14ac:dyDescent="0.45">
      <c r="I1907" t="s">
        <v>215</v>
      </c>
      <c r="J1907" t="s">
        <v>165</v>
      </c>
      <c r="K1907">
        <v>2.0387726309086397E-2</v>
      </c>
      <c r="L1907" t="s">
        <v>162</v>
      </c>
      <c r="N1907" t="s">
        <v>327</v>
      </c>
      <c r="O1907" t="s">
        <v>165</v>
      </c>
      <c r="P1907">
        <v>6.9470863437258973E-2</v>
      </c>
      <c r="Q1907" t="s">
        <v>162</v>
      </c>
      <c r="S1907" t="s">
        <v>439</v>
      </c>
      <c r="T1907" t="s">
        <v>165</v>
      </c>
      <c r="U1907">
        <v>5.5178194276496555E-2</v>
      </c>
      <c r="V1907" t="s">
        <v>162</v>
      </c>
    </row>
    <row r="1908" spans="9:22" x14ac:dyDescent="0.45">
      <c r="I1908" t="s">
        <v>215</v>
      </c>
      <c r="J1908" t="s">
        <v>166</v>
      </c>
      <c r="K1908">
        <v>1.4939250998605437E-2</v>
      </c>
      <c r="L1908" t="s">
        <v>162</v>
      </c>
      <c r="N1908" t="s">
        <v>327</v>
      </c>
      <c r="O1908" t="s">
        <v>166</v>
      </c>
      <c r="P1908">
        <v>6.8357944220487354E-3</v>
      </c>
      <c r="Q1908" t="s">
        <v>162</v>
      </c>
      <c r="S1908" t="s">
        <v>439</v>
      </c>
      <c r="T1908" t="s">
        <v>166</v>
      </c>
      <c r="U1908">
        <v>6.0168026695555281E-3</v>
      </c>
      <c r="V1908" t="s">
        <v>162</v>
      </c>
    </row>
    <row r="1909" spans="9:22" x14ac:dyDescent="0.45">
      <c r="I1909" t="s">
        <v>215</v>
      </c>
      <c r="J1909" t="s">
        <v>167</v>
      </c>
      <c r="K1909">
        <v>3.3684953722779576E-2</v>
      </c>
      <c r="L1909" t="s">
        <v>162</v>
      </c>
      <c r="N1909" t="s">
        <v>327</v>
      </c>
      <c r="O1909" t="s">
        <v>167</v>
      </c>
      <c r="P1909">
        <v>1.5347005556651076E-2</v>
      </c>
      <c r="Q1909" t="s">
        <v>162</v>
      </c>
      <c r="S1909" t="s">
        <v>439</v>
      </c>
      <c r="T1909" t="s">
        <v>167</v>
      </c>
      <c r="U1909">
        <v>1.1800875286168499E-2</v>
      </c>
      <c r="V1909" t="s">
        <v>162</v>
      </c>
    </row>
    <row r="1910" spans="9:22" x14ac:dyDescent="0.45">
      <c r="I1910" t="s">
        <v>215</v>
      </c>
      <c r="J1910" t="s">
        <v>522</v>
      </c>
      <c r="K1910">
        <v>6.8902054288040235E-2</v>
      </c>
      <c r="L1910" t="s">
        <v>162</v>
      </c>
      <c r="N1910" t="s">
        <v>327</v>
      </c>
      <c r="O1910" t="s">
        <v>522</v>
      </c>
      <c r="P1910">
        <v>4.2657919096791175E-2</v>
      </c>
      <c r="Q1910" t="s">
        <v>162</v>
      </c>
      <c r="S1910" t="s">
        <v>439</v>
      </c>
      <c r="T1910" t="s">
        <v>522</v>
      </c>
      <c r="U1910">
        <v>3.0218506994771487E-2</v>
      </c>
      <c r="V1910" t="s">
        <v>162</v>
      </c>
    </row>
    <row r="1911" spans="9:22" x14ac:dyDescent="0.45">
      <c r="I1911" t="s">
        <v>215</v>
      </c>
      <c r="J1911" t="s">
        <v>523</v>
      </c>
      <c r="K1911">
        <v>6.387080296937131E-3</v>
      </c>
      <c r="L1911" t="s">
        <v>162</v>
      </c>
      <c r="N1911" t="s">
        <v>327</v>
      </c>
      <c r="O1911" t="s">
        <v>523</v>
      </c>
      <c r="P1911">
        <v>8.2698005535844967E-3</v>
      </c>
      <c r="Q1911" t="s">
        <v>162</v>
      </c>
      <c r="S1911" t="s">
        <v>439</v>
      </c>
      <c r="T1911" t="s">
        <v>523</v>
      </c>
      <c r="U1911">
        <v>6.2851553152513933E-3</v>
      </c>
      <c r="V1911" t="s">
        <v>162</v>
      </c>
    </row>
    <row r="1912" spans="9:22" x14ac:dyDescent="0.45">
      <c r="I1912" t="s">
        <v>215</v>
      </c>
      <c r="J1912" t="s">
        <v>524</v>
      </c>
      <c r="K1912">
        <v>1.4869639201075273E-3</v>
      </c>
      <c r="L1912" t="s">
        <v>162</v>
      </c>
      <c r="N1912" t="s">
        <v>327</v>
      </c>
      <c r="O1912" t="s">
        <v>524</v>
      </c>
      <c r="P1912">
        <v>4.8867337677517421E-2</v>
      </c>
      <c r="Q1912" t="s">
        <v>162</v>
      </c>
      <c r="S1912" t="s">
        <v>439</v>
      </c>
      <c r="T1912" t="s">
        <v>524</v>
      </c>
      <c r="U1912">
        <v>3.6878965742659899E-2</v>
      </c>
      <c r="V1912" t="s">
        <v>162</v>
      </c>
    </row>
    <row r="1913" spans="9:22" x14ac:dyDescent="0.45">
      <c r="I1913" t="s">
        <v>215</v>
      </c>
      <c r="J1913" t="s">
        <v>168</v>
      </c>
      <c r="K1913">
        <v>2.418470371928437E-2</v>
      </c>
      <c r="L1913" t="s">
        <v>162</v>
      </c>
      <c r="N1913" t="s">
        <v>327</v>
      </c>
      <c r="O1913" t="s">
        <v>168</v>
      </c>
      <c r="P1913">
        <v>3.1074102805649005E-2</v>
      </c>
      <c r="Q1913" t="s">
        <v>162</v>
      </c>
      <c r="S1913" t="s">
        <v>439</v>
      </c>
      <c r="T1913" t="s">
        <v>168</v>
      </c>
      <c r="U1913">
        <v>2.6759298408537718E-2</v>
      </c>
      <c r="V1913" t="s">
        <v>162</v>
      </c>
    </row>
    <row r="1914" spans="9:22" x14ac:dyDescent="0.45">
      <c r="I1914" t="s">
        <v>215</v>
      </c>
      <c r="J1914" t="s">
        <v>169</v>
      </c>
      <c r="K1914">
        <v>1.0301145621363066E-2</v>
      </c>
      <c r="L1914" t="s">
        <v>162</v>
      </c>
      <c r="N1914" t="s">
        <v>327</v>
      </c>
      <c r="O1914" t="s">
        <v>169</v>
      </c>
      <c r="P1914">
        <v>4.2596233093268503E-3</v>
      </c>
      <c r="Q1914" t="s">
        <v>162</v>
      </c>
      <c r="S1914" t="s">
        <v>439</v>
      </c>
      <c r="T1914" t="s">
        <v>169</v>
      </c>
      <c r="U1914">
        <v>2.9917172432820972E-3</v>
      </c>
      <c r="V1914" t="s">
        <v>162</v>
      </c>
    </row>
    <row r="1915" spans="9:22" x14ac:dyDescent="0.45">
      <c r="I1915" t="s">
        <v>215</v>
      </c>
      <c r="J1915" t="s">
        <v>170</v>
      </c>
      <c r="K1915">
        <v>2.1094793247169168E-2</v>
      </c>
      <c r="L1915" t="s">
        <v>162</v>
      </c>
      <c r="N1915" t="s">
        <v>327</v>
      </c>
      <c r="O1915" t="s">
        <v>170</v>
      </c>
      <c r="P1915">
        <v>9.9810113052929538E-3</v>
      </c>
      <c r="Q1915" t="s">
        <v>162</v>
      </c>
      <c r="S1915" t="s">
        <v>439</v>
      </c>
      <c r="T1915" t="s">
        <v>170</v>
      </c>
      <c r="U1915">
        <v>6.0646391121753707E-3</v>
      </c>
      <c r="V1915" t="s">
        <v>162</v>
      </c>
    </row>
    <row r="1916" spans="9:22" x14ac:dyDescent="0.45">
      <c r="I1916" t="s">
        <v>215</v>
      </c>
      <c r="J1916" t="s">
        <v>525</v>
      </c>
      <c r="K1916">
        <v>4.7033329544022597E-2</v>
      </c>
      <c r="L1916" t="s">
        <v>162</v>
      </c>
      <c r="N1916" t="s">
        <v>327</v>
      </c>
      <c r="O1916" t="s">
        <v>525</v>
      </c>
      <c r="P1916">
        <v>2.5965483264545473E-2</v>
      </c>
      <c r="Q1916" t="s">
        <v>162</v>
      </c>
      <c r="S1916" t="s">
        <v>439</v>
      </c>
      <c r="T1916" t="s">
        <v>525</v>
      </c>
      <c r="U1916">
        <v>1.6081676907922941E-2</v>
      </c>
      <c r="V1916" t="s">
        <v>162</v>
      </c>
    </row>
    <row r="1917" spans="9:22" x14ac:dyDescent="0.45">
      <c r="I1917" t="s">
        <v>215</v>
      </c>
      <c r="J1917" t="s">
        <v>526</v>
      </c>
      <c r="K1917">
        <v>6.2525425287780411E-3</v>
      </c>
      <c r="L1917" t="s">
        <v>162</v>
      </c>
      <c r="N1917" t="s">
        <v>327</v>
      </c>
      <c r="O1917" t="s">
        <v>526</v>
      </c>
      <c r="P1917">
        <v>4.4072147738138676E-3</v>
      </c>
      <c r="Q1917" t="s">
        <v>162</v>
      </c>
      <c r="S1917" t="s">
        <v>439</v>
      </c>
      <c r="T1917" t="s">
        <v>526</v>
      </c>
      <c r="U1917">
        <v>3.3188674379483049E-3</v>
      </c>
      <c r="V1917" t="s">
        <v>162</v>
      </c>
    </row>
    <row r="1918" spans="9:22" x14ac:dyDescent="0.45">
      <c r="I1918" t="s">
        <v>215</v>
      </c>
      <c r="J1918" t="s">
        <v>527</v>
      </c>
      <c r="K1918">
        <v>4.5984155189214724E-3</v>
      </c>
      <c r="L1918" t="s">
        <v>162</v>
      </c>
      <c r="N1918" t="s">
        <v>327</v>
      </c>
      <c r="O1918" t="s">
        <v>527</v>
      </c>
      <c r="P1918">
        <v>2.4936429724078498E-2</v>
      </c>
      <c r="Q1918" t="s">
        <v>162</v>
      </c>
      <c r="S1918" t="s">
        <v>439</v>
      </c>
      <c r="T1918" t="s">
        <v>527</v>
      </c>
      <c r="U1918">
        <v>1.9938259038648459E-2</v>
      </c>
      <c r="V1918" t="s">
        <v>162</v>
      </c>
    </row>
    <row r="1919" spans="9:22" x14ac:dyDescent="0.45">
      <c r="I1919" t="s">
        <v>215</v>
      </c>
      <c r="J1919" t="s">
        <v>528</v>
      </c>
      <c r="K1919">
        <v>9.6084851086224762E-2</v>
      </c>
      <c r="L1919" t="s">
        <v>162</v>
      </c>
      <c r="N1919" t="s">
        <v>327</v>
      </c>
      <c r="O1919" t="s">
        <v>528</v>
      </c>
      <c r="P1919">
        <v>4.7708559503613406E-2</v>
      </c>
      <c r="Q1919" t="s">
        <v>162</v>
      </c>
      <c r="S1919" t="s">
        <v>439</v>
      </c>
      <c r="T1919" t="s">
        <v>528</v>
      </c>
      <c r="U1919">
        <v>8.2202125285715605E-2</v>
      </c>
      <c r="V1919" t="s">
        <v>162</v>
      </c>
    </row>
    <row r="1920" spans="9:22" x14ac:dyDescent="0.45">
      <c r="I1920" t="s">
        <v>215</v>
      </c>
      <c r="J1920" t="s">
        <v>529</v>
      </c>
      <c r="K1920">
        <v>3.2469593987683384E-2</v>
      </c>
      <c r="L1920" t="s">
        <v>162</v>
      </c>
      <c r="N1920" t="s">
        <v>327</v>
      </c>
      <c r="O1920" t="s">
        <v>529</v>
      </c>
      <c r="P1920">
        <v>5.4499897641887398E-3</v>
      </c>
      <c r="Q1920" t="s">
        <v>162</v>
      </c>
      <c r="S1920" t="s">
        <v>439</v>
      </c>
      <c r="T1920" t="s">
        <v>529</v>
      </c>
      <c r="U1920">
        <v>9.5645255222967102E-3</v>
      </c>
      <c r="V1920" t="s">
        <v>162</v>
      </c>
    </row>
    <row r="1921" spans="9:22" x14ac:dyDescent="0.45">
      <c r="I1921" t="s">
        <v>215</v>
      </c>
      <c r="J1921" t="s">
        <v>530</v>
      </c>
      <c r="K1921">
        <v>6.5339595696006642E-2</v>
      </c>
      <c r="L1921" t="s">
        <v>162</v>
      </c>
      <c r="N1921" t="s">
        <v>327</v>
      </c>
      <c r="O1921" t="s">
        <v>530</v>
      </c>
      <c r="P1921">
        <v>1.2639098414820178E-2</v>
      </c>
      <c r="Q1921" t="s">
        <v>162</v>
      </c>
      <c r="S1921" t="s">
        <v>439</v>
      </c>
      <c r="T1921" t="s">
        <v>530</v>
      </c>
      <c r="U1921">
        <v>1.9028111342354395E-2</v>
      </c>
      <c r="V1921" t="s">
        <v>162</v>
      </c>
    </row>
    <row r="1922" spans="9:22" x14ac:dyDescent="0.45">
      <c r="I1922" t="s">
        <v>215</v>
      </c>
      <c r="J1922" t="s">
        <v>531</v>
      </c>
      <c r="K1922">
        <v>0.14634460409467087</v>
      </c>
      <c r="L1922" t="s">
        <v>162</v>
      </c>
      <c r="N1922" t="s">
        <v>327</v>
      </c>
      <c r="O1922" t="s">
        <v>531</v>
      </c>
      <c r="P1922">
        <v>3.9595647140671923E-2</v>
      </c>
      <c r="Q1922" t="s">
        <v>162</v>
      </c>
      <c r="S1922" t="s">
        <v>439</v>
      </c>
      <c r="T1922" t="s">
        <v>531</v>
      </c>
      <c r="U1922">
        <v>4.7262922491164698E-2</v>
      </c>
      <c r="V1922" t="s">
        <v>162</v>
      </c>
    </row>
    <row r="1923" spans="9:22" x14ac:dyDescent="0.45">
      <c r="I1923" t="s">
        <v>215</v>
      </c>
      <c r="J1923" t="s">
        <v>532</v>
      </c>
      <c r="K1923">
        <v>2.127974139120389E-2</v>
      </c>
      <c r="L1923" t="s">
        <v>162</v>
      </c>
      <c r="N1923" t="s">
        <v>327</v>
      </c>
      <c r="O1923" t="s">
        <v>532</v>
      </c>
      <c r="P1923">
        <v>7.652575790456014E-3</v>
      </c>
      <c r="Q1923" t="s">
        <v>162</v>
      </c>
      <c r="S1923" t="s">
        <v>439</v>
      </c>
      <c r="T1923" t="s">
        <v>532</v>
      </c>
      <c r="U1923">
        <v>9.4751619980922817E-3</v>
      </c>
      <c r="V1923" t="s">
        <v>162</v>
      </c>
    </row>
    <row r="1924" spans="9:22" x14ac:dyDescent="0.45">
      <c r="I1924" t="s">
        <v>215</v>
      </c>
      <c r="J1924" t="s">
        <v>533</v>
      </c>
      <c r="K1924">
        <v>3.0029339997329658E-2</v>
      </c>
      <c r="L1924" t="s">
        <v>162</v>
      </c>
      <c r="N1924" t="s">
        <v>327</v>
      </c>
      <c r="O1924" t="s">
        <v>533</v>
      </c>
      <c r="P1924">
        <v>4.1938679036848295E-2</v>
      </c>
      <c r="Q1924" t="s">
        <v>162</v>
      </c>
      <c r="S1924" t="s">
        <v>439</v>
      </c>
      <c r="T1924" t="s">
        <v>533</v>
      </c>
      <c r="U1924">
        <v>5.4899498187481327E-2</v>
      </c>
      <c r="V1924" t="s">
        <v>162</v>
      </c>
    </row>
    <row r="1925" spans="9:22" x14ac:dyDescent="0.45">
      <c r="I1925" t="s">
        <v>215</v>
      </c>
      <c r="J1925" t="s">
        <v>534</v>
      </c>
      <c r="K1925">
        <v>5.284291518617254E-2</v>
      </c>
      <c r="L1925" t="s">
        <v>162</v>
      </c>
      <c r="N1925" t="s">
        <v>327</v>
      </c>
      <c r="O1925" t="s">
        <v>534</v>
      </c>
      <c r="P1925">
        <v>6.8794039348845898E-2</v>
      </c>
      <c r="Q1925" t="s">
        <v>162</v>
      </c>
      <c r="S1925" t="s">
        <v>439</v>
      </c>
      <c r="T1925" t="s">
        <v>534</v>
      </c>
      <c r="U1925">
        <v>0.10220615073868078</v>
      </c>
      <c r="V1925" t="s">
        <v>162</v>
      </c>
    </row>
    <row r="1926" spans="9:22" x14ac:dyDescent="0.45">
      <c r="I1926" t="s">
        <v>215</v>
      </c>
      <c r="J1926" t="s">
        <v>535</v>
      </c>
      <c r="K1926">
        <v>2.6884442084779143E-2</v>
      </c>
      <c r="L1926" t="s">
        <v>162</v>
      </c>
      <c r="N1926" t="s">
        <v>327</v>
      </c>
      <c r="O1926" t="s">
        <v>535</v>
      </c>
      <c r="P1926">
        <v>7.5606902855988615E-3</v>
      </c>
      <c r="Q1926" t="s">
        <v>162</v>
      </c>
      <c r="S1926" t="s">
        <v>439</v>
      </c>
      <c r="T1926" t="s">
        <v>535</v>
      </c>
      <c r="U1926">
        <v>1.1528138106627284E-2</v>
      </c>
      <c r="V1926" t="s">
        <v>162</v>
      </c>
    </row>
    <row r="1927" spans="9:22" x14ac:dyDescent="0.45">
      <c r="I1927" t="s">
        <v>215</v>
      </c>
      <c r="J1927" t="s">
        <v>536</v>
      </c>
      <c r="K1927">
        <v>5.2778632211105479E-2</v>
      </c>
      <c r="L1927" t="s">
        <v>162</v>
      </c>
      <c r="N1927" t="s">
        <v>327</v>
      </c>
      <c r="O1927" t="s">
        <v>536</v>
      </c>
      <c r="P1927">
        <v>1.7540568447058799E-2</v>
      </c>
      <c r="Q1927" t="s">
        <v>162</v>
      </c>
      <c r="S1927" t="s">
        <v>439</v>
      </c>
      <c r="T1927" t="s">
        <v>536</v>
      </c>
      <c r="U1927">
        <v>2.283065029044028E-2</v>
      </c>
      <c r="V1927" t="s">
        <v>162</v>
      </c>
    </row>
    <row r="1928" spans="9:22" x14ac:dyDescent="0.45">
      <c r="I1928" t="s">
        <v>215</v>
      </c>
      <c r="J1928" t="s">
        <v>537</v>
      </c>
      <c r="K1928">
        <v>0.1143841042706695</v>
      </c>
      <c r="L1928" t="s">
        <v>162</v>
      </c>
      <c r="N1928" t="s">
        <v>327</v>
      </c>
      <c r="O1928" t="s">
        <v>537</v>
      </c>
      <c r="P1928">
        <v>4.9493240877083892E-2</v>
      </c>
      <c r="Q1928" t="s">
        <v>162</v>
      </c>
      <c r="S1928" t="s">
        <v>439</v>
      </c>
      <c r="T1928" t="s">
        <v>537</v>
      </c>
      <c r="U1928">
        <v>5.5084020894113461E-2</v>
      </c>
      <c r="V1928" t="s">
        <v>162</v>
      </c>
    </row>
    <row r="1929" spans="9:22" x14ac:dyDescent="0.45">
      <c r="I1929" t="s">
        <v>215</v>
      </c>
      <c r="J1929" t="s">
        <v>538</v>
      </c>
      <c r="K1929">
        <v>1.161741344516515E-2</v>
      </c>
      <c r="L1929" t="s">
        <v>162</v>
      </c>
      <c r="N1929" t="s">
        <v>327</v>
      </c>
      <c r="O1929" t="s">
        <v>538</v>
      </c>
      <c r="P1929">
        <v>9.1531229749817963E-3</v>
      </c>
      <c r="Q1929" t="s">
        <v>162</v>
      </c>
      <c r="S1929" t="s">
        <v>439</v>
      </c>
      <c r="T1929" t="s">
        <v>538</v>
      </c>
      <c r="U1929">
        <v>1.0586267801299433E-2</v>
      </c>
      <c r="V1929" t="s">
        <v>162</v>
      </c>
    </row>
    <row r="1930" spans="9:22" x14ac:dyDescent="0.45">
      <c r="I1930" t="s">
        <v>215</v>
      </c>
      <c r="J1930" t="s">
        <v>539</v>
      </c>
      <c r="K1930">
        <v>8.4400131317352543E-3</v>
      </c>
      <c r="L1930" t="s">
        <v>162</v>
      </c>
      <c r="N1930" t="s">
        <v>327</v>
      </c>
      <c r="O1930" t="s">
        <v>539</v>
      </c>
      <c r="P1930">
        <v>5.3477929068757674E-2</v>
      </c>
      <c r="Q1930" t="s">
        <v>162</v>
      </c>
      <c r="S1930" t="s">
        <v>439</v>
      </c>
      <c r="T1930" t="s">
        <v>539</v>
      </c>
      <c r="U1930">
        <v>6.2093889238629844E-2</v>
      </c>
      <c r="V1930" t="s">
        <v>162</v>
      </c>
    </row>
    <row r="1931" spans="9:22" x14ac:dyDescent="0.45">
      <c r="I1931" t="s">
        <v>215</v>
      </c>
      <c r="J1931" t="s">
        <v>540</v>
      </c>
      <c r="K1931">
        <v>2.3919548046244278E-3</v>
      </c>
      <c r="L1931" t="s">
        <v>162</v>
      </c>
      <c r="N1931" t="s">
        <v>327</v>
      </c>
      <c r="O1931" t="s">
        <v>540</v>
      </c>
      <c r="P1931">
        <v>3.4323084153256474E-2</v>
      </c>
      <c r="Q1931" t="s">
        <v>162</v>
      </c>
      <c r="S1931" t="s">
        <v>439</v>
      </c>
      <c r="T1931" t="s">
        <v>540</v>
      </c>
      <c r="U1931">
        <v>4.3492608955443719E-2</v>
      </c>
      <c r="V1931" t="s">
        <v>162</v>
      </c>
    </row>
    <row r="1932" spans="9:22" x14ac:dyDescent="0.45">
      <c r="I1932" t="s">
        <v>215</v>
      </c>
      <c r="J1932" t="s">
        <v>541</v>
      </c>
      <c r="K1932">
        <v>3.7851455678725417E-3</v>
      </c>
      <c r="L1932" t="s">
        <v>162</v>
      </c>
      <c r="N1932" t="s">
        <v>327</v>
      </c>
      <c r="O1932" t="s">
        <v>541</v>
      </c>
      <c r="P1932">
        <v>3.4693081463489355E-3</v>
      </c>
      <c r="Q1932" t="s">
        <v>162</v>
      </c>
      <c r="S1932" t="s">
        <v>439</v>
      </c>
      <c r="T1932" t="s">
        <v>541</v>
      </c>
      <c r="U1932">
        <v>4.5430051094518652E-3</v>
      </c>
      <c r="V1932" t="s">
        <v>162</v>
      </c>
    </row>
    <row r="1933" spans="9:22" x14ac:dyDescent="0.45">
      <c r="I1933" t="s">
        <v>215</v>
      </c>
      <c r="J1933" t="s">
        <v>542</v>
      </c>
      <c r="K1933">
        <v>8.9666558244216737E-3</v>
      </c>
      <c r="L1933" t="s">
        <v>162</v>
      </c>
      <c r="N1933" t="s">
        <v>327</v>
      </c>
      <c r="O1933" t="s">
        <v>542</v>
      </c>
      <c r="P1933">
        <v>7.5405142708538965E-3</v>
      </c>
      <c r="Q1933" t="s">
        <v>162</v>
      </c>
      <c r="S1933" t="s">
        <v>439</v>
      </c>
      <c r="T1933" t="s">
        <v>542</v>
      </c>
      <c r="U1933">
        <v>9.2410040906519796E-3</v>
      </c>
      <c r="V1933" t="s">
        <v>162</v>
      </c>
    </row>
    <row r="1934" spans="9:22" x14ac:dyDescent="0.45">
      <c r="I1934" t="s">
        <v>215</v>
      </c>
      <c r="J1934" t="s">
        <v>543</v>
      </c>
      <c r="K1934">
        <v>1.5174414074050627E-2</v>
      </c>
      <c r="L1934" t="s">
        <v>162</v>
      </c>
      <c r="N1934" t="s">
        <v>327</v>
      </c>
      <c r="O1934" t="s">
        <v>543</v>
      </c>
      <c r="P1934">
        <v>2.0712953459692443E-2</v>
      </c>
      <c r="Q1934" t="s">
        <v>162</v>
      </c>
      <c r="S1934" t="s">
        <v>439</v>
      </c>
      <c r="T1934" t="s">
        <v>543</v>
      </c>
      <c r="U1934">
        <v>2.4475672956210271E-2</v>
      </c>
      <c r="V1934" t="s">
        <v>162</v>
      </c>
    </row>
    <row r="1935" spans="9:22" x14ac:dyDescent="0.45">
      <c r="I1935" t="s">
        <v>215</v>
      </c>
      <c r="J1935" t="s">
        <v>544</v>
      </c>
      <c r="K1935">
        <v>0</v>
      </c>
      <c r="L1935" t="s">
        <v>162</v>
      </c>
      <c r="N1935" t="s">
        <v>327</v>
      </c>
      <c r="O1935" t="s">
        <v>544</v>
      </c>
      <c r="P1935">
        <v>4.1484136315970664E-3</v>
      </c>
      <c r="Q1935" t="s">
        <v>162</v>
      </c>
      <c r="S1935" t="s">
        <v>439</v>
      </c>
      <c r="T1935" t="s">
        <v>544</v>
      </c>
      <c r="U1935">
        <v>4.965593835662317E-3</v>
      </c>
      <c r="V1935" t="s">
        <v>162</v>
      </c>
    </row>
    <row r="1936" spans="9:22" x14ac:dyDescent="0.45">
      <c r="I1936" t="s">
        <v>215</v>
      </c>
      <c r="J1936" t="s">
        <v>545</v>
      </c>
      <c r="K1936">
        <v>0</v>
      </c>
      <c r="L1936" t="s">
        <v>162</v>
      </c>
      <c r="N1936" t="s">
        <v>327</v>
      </c>
      <c r="O1936" t="s">
        <v>545</v>
      </c>
      <c r="P1936">
        <v>2.4633056992595753E-2</v>
      </c>
      <c r="Q1936" t="s">
        <v>162</v>
      </c>
      <c r="S1936" t="s">
        <v>439</v>
      </c>
      <c r="T1936" t="s">
        <v>545</v>
      </c>
      <c r="U1936">
        <v>2.9198250743712739E-2</v>
      </c>
      <c r="V1936" t="s">
        <v>162</v>
      </c>
    </row>
    <row r="1937" spans="9:22" x14ac:dyDescent="0.45">
      <c r="I1937" t="s">
        <v>215</v>
      </c>
      <c r="J1937" t="s">
        <v>546</v>
      </c>
      <c r="K1937">
        <v>2.5402069020249155E-4</v>
      </c>
      <c r="L1937" t="s">
        <v>162</v>
      </c>
      <c r="N1937" t="s">
        <v>327</v>
      </c>
      <c r="O1937" t="s">
        <v>546</v>
      </c>
      <c r="P1937">
        <v>5.0807947297807625E-2</v>
      </c>
      <c r="Q1937" t="s">
        <v>162</v>
      </c>
      <c r="S1937" t="s">
        <v>439</v>
      </c>
      <c r="T1937" t="s">
        <v>546</v>
      </c>
      <c r="U1937">
        <v>3.635062848620154E-2</v>
      </c>
      <c r="V1937" t="s">
        <v>162</v>
      </c>
    </row>
    <row r="1938" spans="9:22" x14ac:dyDescent="0.45">
      <c r="I1938" t="s">
        <v>215</v>
      </c>
      <c r="J1938" t="s">
        <v>547</v>
      </c>
      <c r="K1938">
        <v>2.643042694267351E-3</v>
      </c>
      <c r="L1938" t="s">
        <v>162</v>
      </c>
      <c r="N1938" t="s">
        <v>327</v>
      </c>
      <c r="O1938" t="s">
        <v>547</v>
      </c>
      <c r="P1938">
        <v>5.603645147225454E-3</v>
      </c>
      <c r="Q1938" t="s">
        <v>162</v>
      </c>
      <c r="S1938" t="s">
        <v>439</v>
      </c>
      <c r="T1938" t="s">
        <v>547</v>
      </c>
      <c r="U1938">
        <v>3.815504577763773E-3</v>
      </c>
      <c r="V1938" t="s">
        <v>162</v>
      </c>
    </row>
    <row r="1939" spans="9:22" x14ac:dyDescent="0.45">
      <c r="I1939" t="s">
        <v>215</v>
      </c>
      <c r="J1939" t="s">
        <v>548</v>
      </c>
      <c r="K1939">
        <v>7.7728271403601024E-3</v>
      </c>
      <c r="L1939" t="s">
        <v>162</v>
      </c>
      <c r="N1939" t="s">
        <v>327</v>
      </c>
      <c r="O1939" t="s">
        <v>548</v>
      </c>
      <c r="P1939">
        <v>1.0779772860419558E-2</v>
      </c>
      <c r="Q1939" t="s">
        <v>162</v>
      </c>
      <c r="S1939" t="s">
        <v>439</v>
      </c>
      <c r="T1939" t="s">
        <v>548</v>
      </c>
      <c r="U1939">
        <v>7.7396573319747598E-3</v>
      </c>
      <c r="V1939" t="s">
        <v>162</v>
      </c>
    </row>
    <row r="1940" spans="9:22" x14ac:dyDescent="0.45">
      <c r="I1940" t="s">
        <v>215</v>
      </c>
      <c r="J1940" t="s">
        <v>549</v>
      </c>
      <c r="K1940">
        <v>1.3051276168811779E-2</v>
      </c>
      <c r="L1940" t="s">
        <v>162</v>
      </c>
      <c r="N1940" t="s">
        <v>327</v>
      </c>
      <c r="O1940" t="s">
        <v>549</v>
      </c>
      <c r="P1940">
        <v>2.6555618150756338E-2</v>
      </c>
      <c r="Q1940" t="s">
        <v>162</v>
      </c>
      <c r="S1940" t="s">
        <v>439</v>
      </c>
      <c r="T1940" t="s">
        <v>549</v>
      </c>
      <c r="U1940">
        <v>1.9698854382390985E-2</v>
      </c>
      <c r="V1940" t="s">
        <v>162</v>
      </c>
    </row>
    <row r="1941" spans="9:22" x14ac:dyDescent="0.45">
      <c r="I1941" t="s">
        <v>215</v>
      </c>
      <c r="J1941" t="s">
        <v>550</v>
      </c>
      <c r="K1941">
        <v>0</v>
      </c>
      <c r="L1941" t="s">
        <v>162</v>
      </c>
      <c r="N1941" t="s">
        <v>327</v>
      </c>
      <c r="O1941" t="s">
        <v>550</v>
      </c>
      <c r="P1941">
        <v>5.4303383667211394E-3</v>
      </c>
      <c r="Q1941" t="s">
        <v>162</v>
      </c>
      <c r="S1941" t="s">
        <v>439</v>
      </c>
      <c r="T1941" t="s">
        <v>550</v>
      </c>
      <c r="U1941">
        <v>3.9998279640486379E-3</v>
      </c>
      <c r="V1941" t="s">
        <v>162</v>
      </c>
    </row>
    <row r="1942" spans="9:22" x14ac:dyDescent="0.45">
      <c r="I1942" t="s">
        <v>215</v>
      </c>
      <c r="J1942" t="s">
        <v>551</v>
      </c>
      <c r="K1942">
        <v>0</v>
      </c>
      <c r="L1942" t="s">
        <v>162</v>
      </c>
      <c r="N1942" t="s">
        <v>327</v>
      </c>
      <c r="O1942" t="s">
        <v>551</v>
      </c>
      <c r="P1942">
        <v>3.1967958869194409E-2</v>
      </c>
      <c r="Q1942" t="s">
        <v>162</v>
      </c>
      <c r="S1942" t="s">
        <v>439</v>
      </c>
      <c r="T1942" t="s">
        <v>551</v>
      </c>
      <c r="U1942">
        <v>2.3423409407549743E-2</v>
      </c>
      <c r="V1942" t="s">
        <v>162</v>
      </c>
    </row>
    <row r="1943" spans="9:22" x14ac:dyDescent="0.45">
      <c r="I1943" t="s">
        <v>216</v>
      </c>
      <c r="J1943" t="s">
        <v>161</v>
      </c>
      <c r="K1943">
        <v>0</v>
      </c>
      <c r="L1943" t="s">
        <v>162</v>
      </c>
      <c r="N1943" t="s">
        <v>328</v>
      </c>
      <c r="O1943" t="s">
        <v>161</v>
      </c>
      <c r="P1943">
        <v>4.3226326884361378E-2</v>
      </c>
      <c r="Q1943" t="s">
        <v>162</v>
      </c>
      <c r="S1943" t="s">
        <v>440</v>
      </c>
      <c r="T1943" t="s">
        <v>161</v>
      </c>
      <c r="U1943">
        <v>2.7281224910061762E-2</v>
      </c>
      <c r="V1943" t="s">
        <v>162</v>
      </c>
    </row>
    <row r="1944" spans="9:22" x14ac:dyDescent="0.45">
      <c r="I1944" t="s">
        <v>216</v>
      </c>
      <c r="J1944" t="s">
        <v>163</v>
      </c>
      <c r="K1944">
        <v>1.1744011572811044E-3</v>
      </c>
      <c r="L1944" t="s">
        <v>162</v>
      </c>
      <c r="N1944" t="s">
        <v>328</v>
      </c>
      <c r="O1944" t="s">
        <v>163</v>
      </c>
      <c r="P1944">
        <v>4.6227829441024453E-3</v>
      </c>
      <c r="Q1944" t="s">
        <v>162</v>
      </c>
      <c r="S1944" t="s">
        <v>440</v>
      </c>
      <c r="T1944" t="s">
        <v>163</v>
      </c>
      <c r="U1944">
        <v>2.9988530250751109E-3</v>
      </c>
      <c r="V1944" t="s">
        <v>162</v>
      </c>
    </row>
    <row r="1945" spans="9:22" x14ac:dyDescent="0.45">
      <c r="I1945" t="s">
        <v>216</v>
      </c>
      <c r="J1945" t="s">
        <v>164</v>
      </c>
      <c r="K1945">
        <v>7.8788389557697645E-3</v>
      </c>
      <c r="L1945" t="s">
        <v>162</v>
      </c>
      <c r="N1945" t="s">
        <v>328</v>
      </c>
      <c r="O1945" t="s">
        <v>164</v>
      </c>
      <c r="P1945">
        <v>8.4129190465160632E-3</v>
      </c>
      <c r="Q1945" t="s">
        <v>162</v>
      </c>
      <c r="S1945" t="s">
        <v>440</v>
      </c>
      <c r="T1945" t="s">
        <v>164</v>
      </c>
      <c r="U1945">
        <v>6.1148487793504158E-3</v>
      </c>
      <c r="V1945" t="s">
        <v>162</v>
      </c>
    </row>
    <row r="1946" spans="9:22" x14ac:dyDescent="0.45">
      <c r="I1946" t="s">
        <v>216</v>
      </c>
      <c r="J1946" t="s">
        <v>519</v>
      </c>
      <c r="K1946">
        <v>2.0854531747380275E-2</v>
      </c>
      <c r="L1946" t="s">
        <v>162</v>
      </c>
      <c r="N1946" t="s">
        <v>328</v>
      </c>
      <c r="O1946" t="s">
        <v>519</v>
      </c>
      <c r="P1946">
        <v>1.8088557148979223E-2</v>
      </c>
      <c r="Q1946" t="s">
        <v>162</v>
      </c>
      <c r="S1946" t="s">
        <v>440</v>
      </c>
      <c r="T1946" t="s">
        <v>519</v>
      </c>
      <c r="U1946">
        <v>1.6018000583706081E-2</v>
      </c>
      <c r="V1946" t="s">
        <v>162</v>
      </c>
    </row>
    <row r="1947" spans="9:22" x14ac:dyDescent="0.45">
      <c r="I1947" t="s">
        <v>216</v>
      </c>
      <c r="J1947" t="s">
        <v>520</v>
      </c>
      <c r="K1947">
        <v>2.4629722972945077E-4</v>
      </c>
      <c r="L1947" t="s">
        <v>162</v>
      </c>
      <c r="N1947" t="s">
        <v>328</v>
      </c>
      <c r="O1947" t="s">
        <v>520</v>
      </c>
      <c r="P1947">
        <v>3.8728635733356912E-3</v>
      </c>
      <c r="Q1947" t="s">
        <v>162</v>
      </c>
      <c r="S1947" t="s">
        <v>440</v>
      </c>
      <c r="T1947" t="s">
        <v>520</v>
      </c>
      <c r="U1947">
        <v>3.0670119729202558E-3</v>
      </c>
      <c r="V1947" t="s">
        <v>162</v>
      </c>
    </row>
    <row r="1948" spans="9:22" x14ac:dyDescent="0.45">
      <c r="I1948" t="s">
        <v>216</v>
      </c>
      <c r="J1948" t="s">
        <v>521</v>
      </c>
      <c r="K1948">
        <v>0</v>
      </c>
      <c r="L1948" t="s">
        <v>162</v>
      </c>
      <c r="N1948" t="s">
        <v>328</v>
      </c>
      <c r="O1948" t="s">
        <v>521</v>
      </c>
      <c r="P1948">
        <v>2.8079081912208512E-2</v>
      </c>
      <c r="Q1948" t="s">
        <v>162</v>
      </c>
      <c r="S1948" t="s">
        <v>440</v>
      </c>
      <c r="T1948" t="s">
        <v>521</v>
      </c>
      <c r="U1948">
        <v>1.8486685908385571E-2</v>
      </c>
      <c r="V1948" t="s">
        <v>162</v>
      </c>
    </row>
    <row r="1949" spans="9:22" x14ac:dyDescent="0.45">
      <c r="I1949" t="s">
        <v>216</v>
      </c>
      <c r="J1949" t="s">
        <v>165</v>
      </c>
      <c r="K1949">
        <v>1.071058285336275E-2</v>
      </c>
      <c r="L1949" t="s">
        <v>162</v>
      </c>
      <c r="N1949" t="s">
        <v>328</v>
      </c>
      <c r="O1949" t="s">
        <v>165</v>
      </c>
      <c r="P1949">
        <v>7.2274145701290343E-2</v>
      </c>
      <c r="Q1949" t="s">
        <v>162</v>
      </c>
      <c r="S1949" t="s">
        <v>440</v>
      </c>
      <c r="T1949" t="s">
        <v>165</v>
      </c>
      <c r="U1949">
        <v>5.3122721862027496E-2</v>
      </c>
      <c r="V1949" t="s">
        <v>162</v>
      </c>
    </row>
    <row r="1950" spans="9:22" x14ac:dyDescent="0.45">
      <c r="I1950" t="s">
        <v>216</v>
      </c>
      <c r="J1950" t="s">
        <v>166</v>
      </c>
      <c r="K1950">
        <v>1.2640336699176939E-2</v>
      </c>
      <c r="L1950" t="s">
        <v>162</v>
      </c>
      <c r="N1950" t="s">
        <v>328</v>
      </c>
      <c r="O1950" t="s">
        <v>166</v>
      </c>
      <c r="P1950">
        <v>6.1206846697327913E-3</v>
      </c>
      <c r="Q1950" t="s">
        <v>162</v>
      </c>
      <c r="S1950" t="s">
        <v>440</v>
      </c>
      <c r="T1950" t="s">
        <v>166</v>
      </c>
      <c r="U1950">
        <v>5.2159139717707272E-3</v>
      </c>
      <c r="V1950" t="s">
        <v>162</v>
      </c>
    </row>
    <row r="1951" spans="9:22" x14ac:dyDescent="0.45">
      <c r="I1951" t="s">
        <v>216</v>
      </c>
      <c r="J1951" t="s">
        <v>167</v>
      </c>
      <c r="K1951">
        <v>3.2557825294412042E-2</v>
      </c>
      <c r="L1951" t="s">
        <v>162</v>
      </c>
      <c r="N1951" t="s">
        <v>328</v>
      </c>
      <c r="O1951" t="s">
        <v>167</v>
      </c>
      <c r="P1951">
        <v>1.0771120133603641E-2</v>
      </c>
      <c r="Q1951" t="s">
        <v>162</v>
      </c>
      <c r="S1951" t="s">
        <v>440</v>
      </c>
      <c r="T1951" t="s">
        <v>167</v>
      </c>
      <c r="U1951">
        <v>1.066628961841147E-2</v>
      </c>
      <c r="V1951" t="s">
        <v>162</v>
      </c>
    </row>
    <row r="1952" spans="9:22" x14ac:dyDescent="0.45">
      <c r="I1952" t="s">
        <v>216</v>
      </c>
      <c r="J1952" t="s">
        <v>522</v>
      </c>
      <c r="K1952">
        <v>7.4486672238094229E-2</v>
      </c>
      <c r="L1952" t="s">
        <v>162</v>
      </c>
      <c r="N1952" t="s">
        <v>328</v>
      </c>
      <c r="O1952" t="s">
        <v>522</v>
      </c>
      <c r="P1952">
        <v>2.6889854967496515E-2</v>
      </c>
      <c r="Q1952" t="s">
        <v>162</v>
      </c>
      <c r="S1952" t="s">
        <v>440</v>
      </c>
      <c r="T1952" t="s">
        <v>522</v>
      </c>
      <c r="U1952">
        <v>2.818758995971684E-2</v>
      </c>
      <c r="V1952" t="s">
        <v>162</v>
      </c>
    </row>
    <row r="1953" spans="9:22" x14ac:dyDescent="0.45">
      <c r="I1953" t="s">
        <v>216</v>
      </c>
      <c r="J1953" t="s">
        <v>523</v>
      </c>
      <c r="K1953">
        <v>9.9457526433203176E-3</v>
      </c>
      <c r="L1953" t="s">
        <v>162</v>
      </c>
      <c r="N1953" t="s">
        <v>328</v>
      </c>
      <c r="O1953" t="s">
        <v>523</v>
      </c>
      <c r="P1953">
        <v>6.208810420062323E-3</v>
      </c>
      <c r="Q1953" t="s">
        <v>162</v>
      </c>
      <c r="S1953" t="s">
        <v>440</v>
      </c>
      <c r="T1953" t="s">
        <v>523</v>
      </c>
      <c r="U1953">
        <v>5.9458334492716678E-3</v>
      </c>
      <c r="V1953" t="s">
        <v>162</v>
      </c>
    </row>
    <row r="1954" spans="9:22" x14ac:dyDescent="0.45">
      <c r="I1954" t="s">
        <v>216</v>
      </c>
      <c r="J1954" t="s">
        <v>524</v>
      </c>
      <c r="K1954">
        <v>5.5057779542771468E-3</v>
      </c>
      <c r="L1954" t="s">
        <v>162</v>
      </c>
      <c r="N1954" t="s">
        <v>328</v>
      </c>
      <c r="O1954" t="s">
        <v>524</v>
      </c>
      <c r="P1954">
        <v>4.8979518826081633E-2</v>
      </c>
      <c r="Q1954" t="s">
        <v>162</v>
      </c>
      <c r="S1954" t="s">
        <v>440</v>
      </c>
      <c r="T1954" t="s">
        <v>524</v>
      </c>
      <c r="U1954">
        <v>3.6945958376881451E-2</v>
      </c>
      <c r="V1954" t="s">
        <v>162</v>
      </c>
    </row>
    <row r="1955" spans="9:22" x14ac:dyDescent="0.45">
      <c r="I1955" t="s">
        <v>216</v>
      </c>
      <c r="J1955" t="s">
        <v>168</v>
      </c>
      <c r="K1955">
        <v>1.43676146187622E-2</v>
      </c>
      <c r="L1955" t="s">
        <v>162</v>
      </c>
      <c r="N1955" t="s">
        <v>328</v>
      </c>
      <c r="O1955" t="s">
        <v>168</v>
      </c>
      <c r="P1955">
        <v>3.5923622055538382E-2</v>
      </c>
      <c r="Q1955" t="s">
        <v>162</v>
      </c>
      <c r="S1955" t="s">
        <v>440</v>
      </c>
      <c r="T1955" t="s">
        <v>168</v>
      </c>
      <c r="U1955">
        <v>2.9250330884325958E-2</v>
      </c>
      <c r="V1955" t="s">
        <v>162</v>
      </c>
    </row>
    <row r="1956" spans="9:22" x14ac:dyDescent="0.45">
      <c r="I1956" t="s">
        <v>216</v>
      </c>
      <c r="J1956" t="s">
        <v>169</v>
      </c>
      <c r="K1956">
        <v>8.6717512438839635E-3</v>
      </c>
      <c r="L1956" t="s">
        <v>162</v>
      </c>
      <c r="N1956" t="s">
        <v>328</v>
      </c>
      <c r="O1956" t="s">
        <v>169</v>
      </c>
      <c r="P1956">
        <v>3.803284458792671E-3</v>
      </c>
      <c r="Q1956" t="s">
        <v>162</v>
      </c>
      <c r="S1956" t="s">
        <v>440</v>
      </c>
      <c r="T1956" t="s">
        <v>169</v>
      </c>
      <c r="U1956">
        <v>3.166010268787078E-3</v>
      </c>
      <c r="V1956" t="s">
        <v>162</v>
      </c>
    </row>
    <row r="1957" spans="9:22" x14ac:dyDescent="0.45">
      <c r="I1957" t="s">
        <v>216</v>
      </c>
      <c r="J1957" t="s">
        <v>170</v>
      </c>
      <c r="K1957">
        <v>1.9965685991390838E-2</v>
      </c>
      <c r="L1957" t="s">
        <v>162</v>
      </c>
      <c r="N1957" t="s">
        <v>328</v>
      </c>
      <c r="O1957" t="s">
        <v>170</v>
      </c>
      <c r="P1957">
        <v>8.7755038400926105E-3</v>
      </c>
      <c r="Q1957" t="s">
        <v>162</v>
      </c>
      <c r="S1957" t="s">
        <v>440</v>
      </c>
      <c r="T1957" t="s">
        <v>170</v>
      </c>
      <c r="U1957">
        <v>6.340981079324899E-3</v>
      </c>
      <c r="V1957" t="s">
        <v>162</v>
      </c>
    </row>
    <row r="1958" spans="9:22" x14ac:dyDescent="0.45">
      <c r="I1958" t="s">
        <v>216</v>
      </c>
      <c r="J1958" t="s">
        <v>525</v>
      </c>
      <c r="K1958">
        <v>4.5666703348806154E-2</v>
      </c>
      <c r="L1958" t="s">
        <v>162</v>
      </c>
      <c r="N1958" t="s">
        <v>328</v>
      </c>
      <c r="O1958" t="s">
        <v>525</v>
      </c>
      <c r="P1958">
        <v>2.2109691980914805E-2</v>
      </c>
      <c r="Q1958" t="s">
        <v>162</v>
      </c>
      <c r="S1958" t="s">
        <v>440</v>
      </c>
      <c r="T1958" t="s">
        <v>525</v>
      </c>
      <c r="U1958">
        <v>1.612286444333488E-2</v>
      </c>
      <c r="V1958" t="s">
        <v>162</v>
      </c>
    </row>
    <row r="1959" spans="9:22" x14ac:dyDescent="0.45">
      <c r="I1959" t="s">
        <v>216</v>
      </c>
      <c r="J1959" t="s">
        <v>526</v>
      </c>
      <c r="K1959">
        <v>6.9596142780504631E-3</v>
      </c>
      <c r="L1959" t="s">
        <v>162</v>
      </c>
      <c r="N1959" t="s">
        <v>328</v>
      </c>
      <c r="O1959" t="s">
        <v>526</v>
      </c>
      <c r="P1959">
        <v>4.1259051144808909E-3</v>
      </c>
      <c r="Q1959" t="s">
        <v>162</v>
      </c>
      <c r="S1959" t="s">
        <v>440</v>
      </c>
      <c r="T1959" t="s">
        <v>526</v>
      </c>
      <c r="U1959">
        <v>3.2406633939820965E-3</v>
      </c>
      <c r="V1959" t="s">
        <v>162</v>
      </c>
    </row>
    <row r="1960" spans="9:22" x14ac:dyDescent="0.45">
      <c r="I1960" t="s">
        <v>216</v>
      </c>
      <c r="J1960" t="s">
        <v>527</v>
      </c>
      <c r="K1960">
        <v>9.3538148154723288E-3</v>
      </c>
      <c r="L1960" t="s">
        <v>162</v>
      </c>
      <c r="N1960" t="s">
        <v>328</v>
      </c>
      <c r="O1960" t="s">
        <v>527</v>
      </c>
      <c r="P1960">
        <v>2.7865506644315238E-2</v>
      </c>
      <c r="Q1960" t="s">
        <v>162</v>
      </c>
      <c r="S1960" t="s">
        <v>440</v>
      </c>
      <c r="T1960" t="s">
        <v>527</v>
      </c>
      <c r="U1960">
        <v>1.9728052412449536E-2</v>
      </c>
      <c r="V1960" t="s">
        <v>162</v>
      </c>
    </row>
    <row r="1961" spans="9:22" x14ac:dyDescent="0.45">
      <c r="I1961" t="s">
        <v>216</v>
      </c>
      <c r="J1961" t="s">
        <v>528</v>
      </c>
      <c r="K1961">
        <v>7.1694955947952402E-2</v>
      </c>
      <c r="L1961" t="s">
        <v>162</v>
      </c>
      <c r="N1961" t="s">
        <v>328</v>
      </c>
      <c r="O1961" t="s">
        <v>528</v>
      </c>
      <c r="P1961">
        <v>8.9971802617337351E-2</v>
      </c>
      <c r="Q1961" t="s">
        <v>162</v>
      </c>
      <c r="S1961" t="s">
        <v>440</v>
      </c>
      <c r="T1961" t="s">
        <v>528</v>
      </c>
      <c r="U1961">
        <v>8.565877334170742E-2</v>
      </c>
      <c r="V1961" t="s">
        <v>162</v>
      </c>
    </row>
    <row r="1962" spans="9:22" x14ac:dyDescent="0.45">
      <c r="I1962" t="s">
        <v>216</v>
      </c>
      <c r="J1962" t="s">
        <v>529</v>
      </c>
      <c r="K1962">
        <v>3.1262029302019392E-2</v>
      </c>
      <c r="L1962" t="s">
        <v>162</v>
      </c>
      <c r="N1962" t="s">
        <v>328</v>
      </c>
      <c r="O1962" t="s">
        <v>529</v>
      </c>
      <c r="P1962">
        <v>7.3696148182193074E-3</v>
      </c>
      <c r="Q1962" t="s">
        <v>162</v>
      </c>
      <c r="S1962" t="s">
        <v>440</v>
      </c>
      <c r="T1962" t="s">
        <v>529</v>
      </c>
      <c r="U1962">
        <v>8.7077394488012522E-3</v>
      </c>
      <c r="V1962" t="s">
        <v>162</v>
      </c>
    </row>
    <row r="1963" spans="9:22" x14ac:dyDescent="0.45">
      <c r="I1963" t="s">
        <v>216</v>
      </c>
      <c r="J1963" t="s">
        <v>530</v>
      </c>
      <c r="K1963">
        <v>6.6112161364275598E-2</v>
      </c>
      <c r="L1963" t="s">
        <v>162</v>
      </c>
      <c r="N1963" t="s">
        <v>328</v>
      </c>
      <c r="O1963" t="s">
        <v>530</v>
      </c>
      <c r="P1963">
        <v>1.516824405418824E-2</v>
      </c>
      <c r="Q1963" t="s">
        <v>162</v>
      </c>
      <c r="S1963" t="s">
        <v>440</v>
      </c>
      <c r="T1963" t="s">
        <v>530</v>
      </c>
      <c r="U1963">
        <v>1.7833774873480819E-2</v>
      </c>
      <c r="V1963" t="s">
        <v>162</v>
      </c>
    </row>
    <row r="1964" spans="9:22" x14ac:dyDescent="0.45">
      <c r="I1964" t="s">
        <v>216</v>
      </c>
      <c r="J1964" t="s">
        <v>531</v>
      </c>
      <c r="K1964">
        <v>0.15356875683393195</v>
      </c>
      <c r="L1964" t="s">
        <v>162</v>
      </c>
      <c r="N1964" t="s">
        <v>328</v>
      </c>
      <c r="O1964" t="s">
        <v>531</v>
      </c>
      <c r="P1964">
        <v>3.7811966647376662E-2</v>
      </c>
      <c r="Q1964" t="s">
        <v>162</v>
      </c>
      <c r="S1964" t="s">
        <v>440</v>
      </c>
      <c r="T1964" t="s">
        <v>531</v>
      </c>
      <c r="U1964">
        <v>4.7555567069986822E-2</v>
      </c>
      <c r="V1964" t="s">
        <v>162</v>
      </c>
    </row>
    <row r="1965" spans="9:22" x14ac:dyDescent="0.45">
      <c r="I1965" t="s">
        <v>216</v>
      </c>
      <c r="J1965" t="s">
        <v>532</v>
      </c>
      <c r="K1965">
        <v>2.4662907851521112E-2</v>
      </c>
      <c r="L1965" t="s">
        <v>162</v>
      </c>
      <c r="N1965" t="s">
        <v>328</v>
      </c>
      <c r="O1965" t="s">
        <v>532</v>
      </c>
      <c r="P1965">
        <v>7.3461214194825786E-3</v>
      </c>
      <c r="Q1965" t="s">
        <v>162</v>
      </c>
      <c r="S1965" t="s">
        <v>440</v>
      </c>
      <c r="T1965" t="s">
        <v>532</v>
      </c>
      <c r="U1965">
        <v>9.8247667652601248E-3</v>
      </c>
      <c r="V1965" t="s">
        <v>162</v>
      </c>
    </row>
    <row r="1966" spans="9:22" x14ac:dyDescent="0.45">
      <c r="I1966" t="s">
        <v>216</v>
      </c>
      <c r="J1966" t="s">
        <v>533</v>
      </c>
      <c r="K1966">
        <v>4.5537412167255993E-2</v>
      </c>
      <c r="L1966" t="s">
        <v>162</v>
      </c>
      <c r="N1966" t="s">
        <v>328</v>
      </c>
      <c r="O1966" t="s">
        <v>533</v>
      </c>
      <c r="P1966">
        <v>6.2052826079180876E-2</v>
      </c>
      <c r="Q1966" t="s">
        <v>162</v>
      </c>
      <c r="S1966" t="s">
        <v>440</v>
      </c>
      <c r="T1966" t="s">
        <v>533</v>
      </c>
      <c r="U1966">
        <v>5.9957683473004744E-2</v>
      </c>
      <c r="V1966" t="s">
        <v>162</v>
      </c>
    </row>
    <row r="1967" spans="9:22" x14ac:dyDescent="0.45">
      <c r="I1967" t="s">
        <v>216</v>
      </c>
      <c r="J1967" t="s">
        <v>534</v>
      </c>
      <c r="K1967">
        <v>3.4413291878828293E-2</v>
      </c>
      <c r="L1967" t="s">
        <v>162</v>
      </c>
      <c r="N1967" t="s">
        <v>328</v>
      </c>
      <c r="O1967" t="s">
        <v>534</v>
      </c>
      <c r="P1967">
        <v>8.1376608555770225E-2</v>
      </c>
      <c r="Q1967" t="s">
        <v>162</v>
      </c>
      <c r="S1967" t="s">
        <v>440</v>
      </c>
      <c r="T1967" t="s">
        <v>534</v>
      </c>
      <c r="U1967">
        <v>0.10629141445505387</v>
      </c>
      <c r="V1967" t="s">
        <v>162</v>
      </c>
    </row>
    <row r="1968" spans="9:22" x14ac:dyDescent="0.45">
      <c r="I1968" t="s">
        <v>216</v>
      </c>
      <c r="J1968" t="s">
        <v>535</v>
      </c>
      <c r="K1968">
        <v>2.4877326890135526E-2</v>
      </c>
      <c r="L1968" t="s">
        <v>162</v>
      </c>
      <c r="N1968" t="s">
        <v>328</v>
      </c>
      <c r="O1968" t="s">
        <v>535</v>
      </c>
      <c r="P1968">
        <v>6.1903689077250591E-3</v>
      </c>
      <c r="Q1968" t="s">
        <v>162</v>
      </c>
      <c r="S1968" t="s">
        <v>440</v>
      </c>
      <c r="T1968" t="s">
        <v>535</v>
      </c>
      <c r="U1968">
        <v>1.1530133811478195E-2</v>
      </c>
      <c r="V1968" t="s">
        <v>162</v>
      </c>
    </row>
    <row r="1969" spans="9:22" x14ac:dyDescent="0.45">
      <c r="I1969" t="s">
        <v>216</v>
      </c>
      <c r="J1969" t="s">
        <v>536</v>
      </c>
      <c r="K1969">
        <v>5.642146713980245E-2</v>
      </c>
      <c r="L1969" t="s">
        <v>162</v>
      </c>
      <c r="N1969" t="s">
        <v>328</v>
      </c>
      <c r="O1969" t="s">
        <v>536</v>
      </c>
      <c r="P1969">
        <v>1.2661050551715328E-2</v>
      </c>
      <c r="Q1969" t="s">
        <v>162</v>
      </c>
      <c r="S1969" t="s">
        <v>440</v>
      </c>
      <c r="T1969" t="s">
        <v>536</v>
      </c>
      <c r="U1969">
        <v>2.3209842237159266E-2</v>
      </c>
      <c r="V1969" t="s">
        <v>162</v>
      </c>
    </row>
    <row r="1970" spans="9:22" x14ac:dyDescent="0.45">
      <c r="I1970" t="s">
        <v>216</v>
      </c>
      <c r="J1970" t="s">
        <v>537</v>
      </c>
      <c r="K1970">
        <v>0.12348625479346503</v>
      </c>
      <c r="L1970" t="s">
        <v>162</v>
      </c>
      <c r="N1970" t="s">
        <v>328</v>
      </c>
      <c r="O1970" t="s">
        <v>537</v>
      </c>
      <c r="P1970">
        <v>3.2244955142586559E-2</v>
      </c>
      <c r="Q1970" t="s">
        <v>162</v>
      </c>
      <c r="S1970" t="s">
        <v>440</v>
      </c>
      <c r="T1970" t="s">
        <v>537</v>
      </c>
      <c r="U1970">
        <v>5.8780966838353099E-2</v>
      </c>
      <c r="V1970" t="s">
        <v>162</v>
      </c>
    </row>
    <row r="1971" spans="9:22" x14ac:dyDescent="0.45">
      <c r="I1971" t="s">
        <v>216</v>
      </c>
      <c r="J1971" t="s">
        <v>538</v>
      </c>
      <c r="K1971">
        <v>1.7421835237046046E-2</v>
      </c>
      <c r="L1971" t="s">
        <v>162</v>
      </c>
      <c r="N1971" t="s">
        <v>328</v>
      </c>
      <c r="O1971" t="s">
        <v>538</v>
      </c>
      <c r="P1971">
        <v>7.0153580019494755E-3</v>
      </c>
      <c r="Q1971" t="s">
        <v>162</v>
      </c>
      <c r="S1971" t="s">
        <v>440</v>
      </c>
      <c r="T1971" t="s">
        <v>538</v>
      </c>
      <c r="U1971">
        <v>1.200500010194388E-2</v>
      </c>
      <c r="V1971" t="s">
        <v>162</v>
      </c>
    </row>
    <row r="1972" spans="9:22" x14ac:dyDescent="0.45">
      <c r="I1972" t="s">
        <v>216</v>
      </c>
      <c r="J1972" t="s">
        <v>539</v>
      </c>
      <c r="K1972">
        <v>1.6357294188613414E-2</v>
      </c>
      <c r="L1972" t="s">
        <v>162</v>
      </c>
      <c r="N1972" t="s">
        <v>328</v>
      </c>
      <c r="O1972" t="s">
        <v>539</v>
      </c>
      <c r="P1972">
        <v>6.1091702552999713E-2</v>
      </c>
      <c r="Q1972" t="s">
        <v>162</v>
      </c>
      <c r="S1972" t="s">
        <v>440</v>
      </c>
      <c r="T1972" t="s">
        <v>539</v>
      </c>
      <c r="U1972">
        <v>7.0340407941876237E-2</v>
      </c>
      <c r="V1972" t="s">
        <v>162</v>
      </c>
    </row>
    <row r="1973" spans="9:22" x14ac:dyDescent="0.45">
      <c r="I1973" t="s">
        <v>216</v>
      </c>
      <c r="J1973" t="s">
        <v>540</v>
      </c>
      <c r="K1973">
        <v>3.3419756664259618E-4</v>
      </c>
      <c r="L1973" t="s">
        <v>162</v>
      </c>
      <c r="N1973" t="s">
        <v>328</v>
      </c>
      <c r="O1973" t="s">
        <v>540</v>
      </c>
      <c r="P1973">
        <v>3.5290604024242972E-2</v>
      </c>
      <c r="Q1973" t="s">
        <v>162</v>
      </c>
      <c r="S1973" t="s">
        <v>440</v>
      </c>
      <c r="T1973" t="s">
        <v>540</v>
      </c>
      <c r="U1973">
        <v>4.0993879973654584E-2</v>
      </c>
      <c r="V1973" t="s">
        <v>162</v>
      </c>
    </row>
    <row r="1974" spans="9:22" x14ac:dyDescent="0.45">
      <c r="I1974" t="s">
        <v>216</v>
      </c>
      <c r="J1974" t="s">
        <v>541</v>
      </c>
      <c r="K1974">
        <v>2.44424815968553E-3</v>
      </c>
      <c r="L1974" t="s">
        <v>162</v>
      </c>
      <c r="N1974" t="s">
        <v>328</v>
      </c>
      <c r="O1974" t="s">
        <v>541</v>
      </c>
      <c r="P1974">
        <v>3.4837628301703475E-3</v>
      </c>
      <c r="Q1974" t="s">
        <v>162</v>
      </c>
      <c r="S1974" t="s">
        <v>440</v>
      </c>
      <c r="T1974" t="s">
        <v>541</v>
      </c>
      <c r="U1974">
        <v>4.7447247865491735E-3</v>
      </c>
      <c r="V1974" t="s">
        <v>162</v>
      </c>
    </row>
    <row r="1975" spans="9:22" x14ac:dyDescent="0.45">
      <c r="I1975" t="s">
        <v>216</v>
      </c>
      <c r="J1975" t="s">
        <v>542</v>
      </c>
      <c r="K1975">
        <v>8.2820125225376573E-3</v>
      </c>
      <c r="L1975" t="s">
        <v>162</v>
      </c>
      <c r="N1975" t="s">
        <v>328</v>
      </c>
      <c r="O1975" t="s">
        <v>542</v>
      </c>
      <c r="P1975">
        <v>5.9722182960969487E-3</v>
      </c>
      <c r="Q1975" t="s">
        <v>162</v>
      </c>
      <c r="S1975" t="s">
        <v>440</v>
      </c>
      <c r="T1975" t="s">
        <v>542</v>
      </c>
      <c r="U1975">
        <v>9.3694916406466648E-3</v>
      </c>
      <c r="V1975" t="s">
        <v>162</v>
      </c>
    </row>
    <row r="1976" spans="9:22" x14ac:dyDescent="0.45">
      <c r="I1976" t="s">
        <v>216</v>
      </c>
      <c r="J1976" t="s">
        <v>543</v>
      </c>
      <c r="K1976">
        <v>1.802403071116002E-2</v>
      </c>
      <c r="L1976" t="s">
        <v>162</v>
      </c>
      <c r="N1976" t="s">
        <v>328</v>
      </c>
      <c r="O1976" t="s">
        <v>543</v>
      </c>
      <c r="P1976">
        <v>1.3104276631133754E-2</v>
      </c>
      <c r="Q1976" t="s">
        <v>162</v>
      </c>
      <c r="S1976" t="s">
        <v>440</v>
      </c>
      <c r="T1976" t="s">
        <v>543</v>
      </c>
      <c r="U1976">
        <v>2.2163262238259845E-2</v>
      </c>
      <c r="V1976" t="s">
        <v>162</v>
      </c>
    </row>
    <row r="1977" spans="9:22" x14ac:dyDescent="0.45">
      <c r="I1977" t="s">
        <v>216</v>
      </c>
      <c r="J1977" t="s">
        <v>544</v>
      </c>
      <c r="K1977">
        <v>1.3195208652123499E-6</v>
      </c>
      <c r="L1977" t="s">
        <v>162</v>
      </c>
      <c r="N1977" t="s">
        <v>328</v>
      </c>
      <c r="O1977" t="s">
        <v>544</v>
      </c>
      <c r="P1977">
        <v>3.3243009960543415E-3</v>
      </c>
      <c r="Q1977" t="s">
        <v>162</v>
      </c>
      <c r="S1977" t="s">
        <v>440</v>
      </c>
      <c r="T1977" t="s">
        <v>544</v>
      </c>
      <c r="U1977">
        <v>4.2045365805033616E-3</v>
      </c>
      <c r="V1977" t="s">
        <v>162</v>
      </c>
    </row>
    <row r="1978" spans="9:22" x14ac:dyDescent="0.45">
      <c r="I1978" t="s">
        <v>216</v>
      </c>
      <c r="J1978" t="s">
        <v>545</v>
      </c>
      <c r="K1978">
        <v>0</v>
      </c>
      <c r="L1978" t="s">
        <v>162</v>
      </c>
      <c r="N1978" t="s">
        <v>328</v>
      </c>
      <c r="O1978" t="s">
        <v>545</v>
      </c>
      <c r="P1978">
        <v>2.2717000338363588E-2</v>
      </c>
      <c r="Q1978" t="s">
        <v>162</v>
      </c>
      <c r="S1978" t="s">
        <v>440</v>
      </c>
      <c r="T1978" t="s">
        <v>545</v>
      </c>
      <c r="U1978">
        <v>2.5582844236285394E-2</v>
      </c>
      <c r="V1978" t="s">
        <v>162</v>
      </c>
    </row>
    <row r="1979" spans="9:22" x14ac:dyDescent="0.45">
      <c r="I1979" t="s">
        <v>216</v>
      </c>
      <c r="J1979" t="s">
        <v>546</v>
      </c>
      <c r="K1979">
        <v>0</v>
      </c>
      <c r="L1979" t="s">
        <v>162</v>
      </c>
      <c r="N1979" t="s">
        <v>328</v>
      </c>
      <c r="O1979" t="s">
        <v>546</v>
      </c>
      <c r="P1979">
        <v>4.5675421697110509E-2</v>
      </c>
      <c r="Q1979" t="s">
        <v>162</v>
      </c>
      <c r="S1979" t="s">
        <v>440</v>
      </c>
      <c r="T1979" t="s">
        <v>546</v>
      </c>
      <c r="U1979">
        <v>3.2423601478454474E-2</v>
      </c>
      <c r="V1979" t="s">
        <v>162</v>
      </c>
    </row>
    <row r="1980" spans="9:22" x14ac:dyDescent="0.45">
      <c r="I1980" t="s">
        <v>216</v>
      </c>
      <c r="J1980" t="s">
        <v>547</v>
      </c>
      <c r="K1980">
        <v>1.102603016359962E-3</v>
      </c>
      <c r="L1980" t="s">
        <v>162</v>
      </c>
      <c r="N1980" t="s">
        <v>328</v>
      </c>
      <c r="O1980" t="s">
        <v>547</v>
      </c>
      <c r="P1980">
        <v>4.8137982840090144E-3</v>
      </c>
      <c r="Q1980" t="s">
        <v>162</v>
      </c>
      <c r="S1980" t="s">
        <v>440</v>
      </c>
      <c r="T1980" t="s">
        <v>547</v>
      </c>
      <c r="U1980">
        <v>3.6116241221767231E-3</v>
      </c>
      <c r="V1980" t="s">
        <v>162</v>
      </c>
    </row>
    <row r="1981" spans="9:22" x14ac:dyDescent="0.45">
      <c r="I1981" t="s">
        <v>216</v>
      </c>
      <c r="J1981" t="s">
        <v>548</v>
      </c>
      <c r="K1981">
        <v>6.8052333981683663E-3</v>
      </c>
      <c r="L1981" t="s">
        <v>162</v>
      </c>
      <c r="N1981" t="s">
        <v>328</v>
      </c>
      <c r="O1981" t="s">
        <v>548</v>
      </c>
      <c r="P1981">
        <v>8.9549059959200678E-3</v>
      </c>
      <c r="Q1981" t="s">
        <v>162</v>
      </c>
      <c r="S1981" t="s">
        <v>440</v>
      </c>
      <c r="T1981" t="s">
        <v>548</v>
      </c>
      <c r="U1981">
        <v>7.370025748405981E-3</v>
      </c>
      <c r="V1981" t="s">
        <v>162</v>
      </c>
    </row>
    <row r="1982" spans="9:22" x14ac:dyDescent="0.45">
      <c r="I1982" t="s">
        <v>216</v>
      </c>
      <c r="J1982" t="s">
        <v>549</v>
      </c>
      <c r="K1982">
        <v>1.6204460440562649E-2</v>
      </c>
      <c r="L1982" t="s">
        <v>162</v>
      </c>
      <c r="N1982" t="s">
        <v>328</v>
      </c>
      <c r="O1982" t="s">
        <v>549</v>
      </c>
      <c r="P1982">
        <v>2.1624875056020509E-2</v>
      </c>
      <c r="Q1982" t="s">
        <v>162</v>
      </c>
      <c r="S1982" t="s">
        <v>440</v>
      </c>
      <c r="T1982" t="s">
        <v>549</v>
      </c>
      <c r="U1982">
        <v>1.8953185228167857E-2</v>
      </c>
      <c r="V1982" t="s">
        <v>162</v>
      </c>
    </row>
    <row r="1983" spans="9:22" x14ac:dyDescent="0.45">
      <c r="I1983" t="s">
        <v>216</v>
      </c>
      <c r="J1983" t="s">
        <v>550</v>
      </c>
      <c r="K1983">
        <v>0</v>
      </c>
      <c r="L1983" t="s">
        <v>162</v>
      </c>
      <c r="N1983" t="s">
        <v>328</v>
      </c>
      <c r="O1983" t="s">
        <v>550</v>
      </c>
      <c r="P1983">
        <v>4.7226455205193708E-3</v>
      </c>
      <c r="Q1983" t="s">
        <v>162</v>
      </c>
      <c r="S1983" t="s">
        <v>440</v>
      </c>
      <c r="T1983" t="s">
        <v>550</v>
      </c>
      <c r="U1983">
        <v>3.8917666369837284E-3</v>
      </c>
      <c r="V1983" t="s">
        <v>162</v>
      </c>
    </row>
    <row r="1984" spans="9:22" x14ac:dyDescent="0.45">
      <c r="I1984" t="s">
        <v>216</v>
      </c>
      <c r="J1984" t="s">
        <v>551</v>
      </c>
      <c r="K1984">
        <v>0</v>
      </c>
      <c r="L1984" t="s">
        <v>162</v>
      </c>
      <c r="N1984" t="s">
        <v>328</v>
      </c>
      <c r="O1984" t="s">
        <v>551</v>
      </c>
      <c r="P1984">
        <v>2.9865390659924971E-2</v>
      </c>
      <c r="Q1984" t="s">
        <v>162</v>
      </c>
      <c r="S1984" t="s">
        <v>440</v>
      </c>
      <c r="T1984" t="s">
        <v>551</v>
      </c>
      <c r="U1984">
        <v>2.3095152072022052E-2</v>
      </c>
      <c r="V1984" t="s">
        <v>162</v>
      </c>
    </row>
    <row r="1985" spans="9:22" x14ac:dyDescent="0.45">
      <c r="I1985" t="s">
        <v>217</v>
      </c>
      <c r="J1985" t="s">
        <v>161</v>
      </c>
      <c r="K1985">
        <v>1.5692323674152049E-3</v>
      </c>
      <c r="L1985" t="s">
        <v>162</v>
      </c>
      <c r="N1985" t="s">
        <v>329</v>
      </c>
      <c r="O1985" t="s">
        <v>161</v>
      </c>
      <c r="P1985">
        <v>4.8425980529732099E-2</v>
      </c>
      <c r="Q1985" t="s">
        <v>162</v>
      </c>
      <c r="S1985" t="s">
        <v>441</v>
      </c>
      <c r="T1985" t="s">
        <v>161</v>
      </c>
      <c r="U1985">
        <v>2.4669276187011747E-2</v>
      </c>
      <c r="V1985" t="s">
        <v>162</v>
      </c>
    </row>
    <row r="1986" spans="9:22" x14ac:dyDescent="0.45">
      <c r="I1986" t="s">
        <v>217</v>
      </c>
      <c r="J1986" t="s">
        <v>163</v>
      </c>
      <c r="K1986">
        <v>3.5799638537687053E-3</v>
      </c>
      <c r="L1986" t="s">
        <v>162</v>
      </c>
      <c r="N1986" t="s">
        <v>329</v>
      </c>
      <c r="O1986" t="s">
        <v>163</v>
      </c>
      <c r="P1986">
        <v>5.3638361755297377E-3</v>
      </c>
      <c r="Q1986" t="s">
        <v>162</v>
      </c>
      <c r="S1986" t="s">
        <v>441</v>
      </c>
      <c r="T1986" t="s">
        <v>163</v>
      </c>
      <c r="U1986">
        <v>2.8664049546402682E-3</v>
      </c>
      <c r="V1986" t="s">
        <v>162</v>
      </c>
    </row>
    <row r="1987" spans="9:22" x14ac:dyDescent="0.45">
      <c r="I1987" t="s">
        <v>217</v>
      </c>
      <c r="J1987" t="s">
        <v>164</v>
      </c>
      <c r="K1987">
        <v>9.9427096360808452E-3</v>
      </c>
      <c r="L1987" t="s">
        <v>162</v>
      </c>
      <c r="N1987" t="s">
        <v>329</v>
      </c>
      <c r="O1987" t="s">
        <v>164</v>
      </c>
      <c r="P1987">
        <v>9.3137163443973957E-3</v>
      </c>
      <c r="Q1987" t="s">
        <v>162</v>
      </c>
      <c r="S1987" t="s">
        <v>441</v>
      </c>
      <c r="T1987" t="s">
        <v>164</v>
      </c>
      <c r="U1987">
        <v>5.9690895251662034E-3</v>
      </c>
      <c r="V1987" t="s">
        <v>162</v>
      </c>
    </row>
    <row r="1988" spans="9:22" x14ac:dyDescent="0.45">
      <c r="I1988" t="s">
        <v>217</v>
      </c>
      <c r="J1988" t="s">
        <v>519</v>
      </c>
      <c r="K1988">
        <v>1.9050048075470737E-2</v>
      </c>
      <c r="L1988" t="s">
        <v>162</v>
      </c>
      <c r="N1988" t="s">
        <v>329</v>
      </c>
      <c r="O1988" t="s">
        <v>519</v>
      </c>
      <c r="P1988">
        <v>1.9354707342937625E-2</v>
      </c>
      <c r="Q1988" t="s">
        <v>162</v>
      </c>
      <c r="S1988" t="s">
        <v>441</v>
      </c>
      <c r="T1988" t="s">
        <v>519</v>
      </c>
      <c r="U1988">
        <v>1.541521569062731E-2</v>
      </c>
      <c r="V1988" t="s">
        <v>162</v>
      </c>
    </row>
    <row r="1989" spans="9:22" x14ac:dyDescent="0.45">
      <c r="I1989" t="s">
        <v>217</v>
      </c>
      <c r="J1989" t="s">
        <v>520</v>
      </c>
      <c r="K1989">
        <v>0</v>
      </c>
      <c r="L1989" t="s">
        <v>162</v>
      </c>
      <c r="N1989" t="s">
        <v>329</v>
      </c>
      <c r="O1989" t="s">
        <v>520</v>
      </c>
      <c r="P1989">
        <v>4.6240953520175548E-3</v>
      </c>
      <c r="Q1989" t="s">
        <v>162</v>
      </c>
      <c r="S1989" t="s">
        <v>441</v>
      </c>
      <c r="T1989" t="s">
        <v>520</v>
      </c>
      <c r="U1989">
        <v>2.8417016511973754E-3</v>
      </c>
      <c r="V1989" t="s">
        <v>162</v>
      </c>
    </row>
    <row r="1990" spans="9:22" x14ac:dyDescent="0.45">
      <c r="I1990" t="s">
        <v>217</v>
      </c>
      <c r="J1990" t="s">
        <v>521</v>
      </c>
      <c r="K1990">
        <v>0</v>
      </c>
      <c r="L1990" t="s">
        <v>162</v>
      </c>
      <c r="N1990" t="s">
        <v>329</v>
      </c>
      <c r="O1990" t="s">
        <v>521</v>
      </c>
      <c r="P1990">
        <v>3.1160563143133632E-2</v>
      </c>
      <c r="Q1990" t="s">
        <v>162</v>
      </c>
      <c r="S1990" t="s">
        <v>441</v>
      </c>
      <c r="T1990" t="s">
        <v>521</v>
      </c>
      <c r="U1990">
        <v>1.7168426030946128E-2</v>
      </c>
      <c r="V1990" t="s">
        <v>162</v>
      </c>
    </row>
    <row r="1991" spans="9:22" x14ac:dyDescent="0.45">
      <c r="I1991" t="s">
        <v>217</v>
      </c>
      <c r="J1991" t="s">
        <v>165</v>
      </c>
      <c r="K1991">
        <v>1.5214991794956544E-2</v>
      </c>
      <c r="L1991" t="s">
        <v>162</v>
      </c>
      <c r="N1991" t="s">
        <v>329</v>
      </c>
      <c r="O1991" t="s">
        <v>165</v>
      </c>
      <c r="P1991">
        <v>6.6976407656941628E-2</v>
      </c>
      <c r="Q1991" t="s">
        <v>162</v>
      </c>
      <c r="S1991" t="s">
        <v>441</v>
      </c>
      <c r="T1991" t="s">
        <v>165</v>
      </c>
      <c r="U1991">
        <v>5.8143530479728221E-2</v>
      </c>
      <c r="V1991" t="s">
        <v>162</v>
      </c>
    </row>
    <row r="1992" spans="9:22" x14ac:dyDescent="0.45">
      <c r="I1992" t="s">
        <v>217</v>
      </c>
      <c r="J1992" t="s">
        <v>166</v>
      </c>
      <c r="K1992">
        <v>1.2279279789666584E-2</v>
      </c>
      <c r="L1992" t="s">
        <v>162</v>
      </c>
      <c r="N1992" t="s">
        <v>329</v>
      </c>
      <c r="O1992" t="s">
        <v>166</v>
      </c>
      <c r="P1992">
        <v>5.7947987142391352E-3</v>
      </c>
      <c r="Q1992" t="s">
        <v>162</v>
      </c>
      <c r="S1992" t="s">
        <v>441</v>
      </c>
      <c r="T1992" t="s">
        <v>166</v>
      </c>
      <c r="U1992">
        <v>5.7456204320499495E-3</v>
      </c>
      <c r="V1992" t="s">
        <v>162</v>
      </c>
    </row>
    <row r="1993" spans="9:22" x14ac:dyDescent="0.45">
      <c r="I1993" t="s">
        <v>217</v>
      </c>
      <c r="J1993" t="s">
        <v>167</v>
      </c>
      <c r="K1993">
        <v>2.8948265669393288E-2</v>
      </c>
      <c r="L1993" t="s">
        <v>162</v>
      </c>
      <c r="N1993" t="s">
        <v>329</v>
      </c>
      <c r="O1993" t="s">
        <v>167</v>
      </c>
      <c r="P1993">
        <v>1.0248685087846238E-2</v>
      </c>
      <c r="Q1993" t="s">
        <v>162</v>
      </c>
      <c r="S1993" t="s">
        <v>441</v>
      </c>
      <c r="T1993" t="s">
        <v>167</v>
      </c>
      <c r="U1993">
        <v>1.1236699093084179E-2</v>
      </c>
      <c r="V1993" t="s">
        <v>162</v>
      </c>
    </row>
    <row r="1994" spans="9:22" x14ac:dyDescent="0.45">
      <c r="I1994" t="s">
        <v>217</v>
      </c>
      <c r="J1994" t="s">
        <v>522</v>
      </c>
      <c r="K1994">
        <v>6.311730855010389E-2</v>
      </c>
      <c r="L1994" t="s">
        <v>162</v>
      </c>
      <c r="N1994" t="s">
        <v>329</v>
      </c>
      <c r="O1994" t="s">
        <v>522</v>
      </c>
      <c r="P1994">
        <v>2.5850458513027627E-2</v>
      </c>
      <c r="Q1994" t="s">
        <v>162</v>
      </c>
      <c r="S1994" t="s">
        <v>441</v>
      </c>
      <c r="T1994" t="s">
        <v>522</v>
      </c>
      <c r="U1994">
        <v>2.9191683839845477E-2</v>
      </c>
      <c r="V1994" t="s">
        <v>162</v>
      </c>
    </row>
    <row r="1995" spans="9:22" x14ac:dyDescent="0.45">
      <c r="I1995" t="s">
        <v>217</v>
      </c>
      <c r="J1995" t="s">
        <v>523</v>
      </c>
      <c r="K1995">
        <v>5.7531168135396852E-3</v>
      </c>
      <c r="L1995" t="s">
        <v>162</v>
      </c>
      <c r="N1995" t="s">
        <v>329</v>
      </c>
      <c r="O1995" t="s">
        <v>523</v>
      </c>
      <c r="P1995">
        <v>5.6459180258157564E-3</v>
      </c>
      <c r="Q1995" t="s">
        <v>162</v>
      </c>
      <c r="S1995" t="s">
        <v>441</v>
      </c>
      <c r="T1995" t="s">
        <v>523</v>
      </c>
      <c r="U1995">
        <v>6.1370308403289955E-3</v>
      </c>
      <c r="V1995" t="s">
        <v>162</v>
      </c>
    </row>
    <row r="1996" spans="9:22" x14ac:dyDescent="0.45">
      <c r="I1996" t="s">
        <v>217</v>
      </c>
      <c r="J1996" t="s">
        <v>524</v>
      </c>
      <c r="K1996">
        <v>1.3789084810998714E-3</v>
      </c>
      <c r="L1996" t="s">
        <v>162</v>
      </c>
      <c r="N1996" t="s">
        <v>329</v>
      </c>
      <c r="O1996" t="s">
        <v>524</v>
      </c>
      <c r="P1996">
        <v>4.6800161769511385E-2</v>
      </c>
      <c r="Q1996" t="s">
        <v>162</v>
      </c>
      <c r="S1996" t="s">
        <v>441</v>
      </c>
      <c r="T1996" t="s">
        <v>524</v>
      </c>
      <c r="U1996">
        <v>3.9228726000710576E-2</v>
      </c>
      <c r="V1996" t="s">
        <v>162</v>
      </c>
    </row>
    <row r="1997" spans="9:22" x14ac:dyDescent="0.45">
      <c r="I1997" t="s">
        <v>217</v>
      </c>
      <c r="J1997" t="s">
        <v>168</v>
      </c>
      <c r="K1997">
        <v>2.0459989629783491E-2</v>
      </c>
      <c r="L1997" t="s">
        <v>162</v>
      </c>
      <c r="N1997" t="s">
        <v>329</v>
      </c>
      <c r="O1997" t="s">
        <v>168</v>
      </c>
      <c r="P1997">
        <v>3.3564490031806254E-2</v>
      </c>
      <c r="Q1997" t="s">
        <v>162</v>
      </c>
      <c r="S1997" t="s">
        <v>441</v>
      </c>
      <c r="T1997" t="s">
        <v>168</v>
      </c>
      <c r="U1997">
        <v>2.628814873690177E-2</v>
      </c>
      <c r="V1997" t="s">
        <v>162</v>
      </c>
    </row>
    <row r="1998" spans="9:22" x14ac:dyDescent="0.45">
      <c r="I1998" t="s">
        <v>217</v>
      </c>
      <c r="J1998" t="s">
        <v>169</v>
      </c>
      <c r="K1998">
        <v>9.9841522160283892E-3</v>
      </c>
      <c r="L1998" t="s">
        <v>162</v>
      </c>
      <c r="N1998" t="s">
        <v>329</v>
      </c>
      <c r="O1998" t="s">
        <v>169</v>
      </c>
      <c r="P1998">
        <v>4.3399498683598684E-3</v>
      </c>
      <c r="Q1998" t="s">
        <v>162</v>
      </c>
      <c r="S1998" t="s">
        <v>441</v>
      </c>
      <c r="T1998" t="s">
        <v>169</v>
      </c>
      <c r="U1998">
        <v>2.9912468408702982E-3</v>
      </c>
      <c r="V1998" t="s">
        <v>162</v>
      </c>
    </row>
    <row r="1999" spans="9:22" x14ac:dyDescent="0.45">
      <c r="I1999" t="s">
        <v>217</v>
      </c>
      <c r="J1999" t="s">
        <v>170</v>
      </c>
      <c r="K1999">
        <v>2.1513747348676789E-2</v>
      </c>
      <c r="L1999" t="s">
        <v>162</v>
      </c>
      <c r="N1999" t="s">
        <v>329</v>
      </c>
      <c r="O1999" t="s">
        <v>170</v>
      </c>
      <c r="P1999">
        <v>1.0697321230160097E-2</v>
      </c>
      <c r="Q1999" t="s">
        <v>162</v>
      </c>
      <c r="S1999" t="s">
        <v>441</v>
      </c>
      <c r="T1999" t="s">
        <v>170</v>
      </c>
      <c r="U1999">
        <v>5.9770397831998895E-3</v>
      </c>
      <c r="V1999" t="s">
        <v>162</v>
      </c>
    </row>
    <row r="2000" spans="9:22" x14ac:dyDescent="0.45">
      <c r="I2000" t="s">
        <v>217</v>
      </c>
      <c r="J2000" t="s">
        <v>525</v>
      </c>
      <c r="K2000">
        <v>4.8378663509263432E-2</v>
      </c>
      <c r="L2000" t="s">
        <v>162</v>
      </c>
      <c r="N2000" t="s">
        <v>329</v>
      </c>
      <c r="O2000" t="s">
        <v>525</v>
      </c>
      <c r="P2000">
        <v>2.8535453951012143E-2</v>
      </c>
      <c r="Q2000" t="s">
        <v>162</v>
      </c>
      <c r="S2000" t="s">
        <v>441</v>
      </c>
      <c r="T2000" t="s">
        <v>525</v>
      </c>
      <c r="U2000">
        <v>1.5250733545515692E-2</v>
      </c>
      <c r="V2000" t="s">
        <v>162</v>
      </c>
    </row>
    <row r="2001" spans="9:22" x14ac:dyDescent="0.45">
      <c r="I2001" t="s">
        <v>217</v>
      </c>
      <c r="J2001" t="s">
        <v>526</v>
      </c>
      <c r="K2001">
        <v>6.4671541222383506E-3</v>
      </c>
      <c r="L2001" t="s">
        <v>162</v>
      </c>
      <c r="N2001" t="s">
        <v>329</v>
      </c>
      <c r="O2001" t="s">
        <v>526</v>
      </c>
      <c r="P2001">
        <v>4.5612255134737318E-3</v>
      </c>
      <c r="Q2001" t="s">
        <v>162</v>
      </c>
      <c r="S2001" t="s">
        <v>441</v>
      </c>
      <c r="T2001" t="s">
        <v>526</v>
      </c>
      <c r="U2001">
        <v>3.0091990927755248E-3</v>
      </c>
      <c r="V2001" t="s">
        <v>162</v>
      </c>
    </row>
    <row r="2002" spans="9:22" x14ac:dyDescent="0.45">
      <c r="I2002" t="s">
        <v>217</v>
      </c>
      <c r="J2002" t="s">
        <v>527</v>
      </c>
      <c r="K2002">
        <v>4.3036157373065259E-3</v>
      </c>
      <c r="L2002" t="s">
        <v>162</v>
      </c>
      <c r="N2002" t="s">
        <v>329</v>
      </c>
      <c r="O2002" t="s">
        <v>527</v>
      </c>
      <c r="P2002">
        <v>2.5587523158252381E-2</v>
      </c>
      <c r="Q2002" t="s">
        <v>162</v>
      </c>
      <c r="S2002" t="s">
        <v>441</v>
      </c>
      <c r="T2002" t="s">
        <v>527</v>
      </c>
      <c r="U2002">
        <v>1.7468612905865603E-2</v>
      </c>
      <c r="V2002" t="s">
        <v>162</v>
      </c>
    </row>
    <row r="2003" spans="9:22" x14ac:dyDescent="0.45">
      <c r="I2003" t="s">
        <v>217</v>
      </c>
      <c r="J2003" t="s">
        <v>528</v>
      </c>
      <c r="K2003">
        <v>8.5938256494995979E-2</v>
      </c>
      <c r="L2003" t="s">
        <v>162</v>
      </c>
      <c r="N2003" t="s">
        <v>329</v>
      </c>
      <c r="O2003" t="s">
        <v>528</v>
      </c>
      <c r="P2003">
        <v>8.1614920489563619E-2</v>
      </c>
      <c r="Q2003" t="s">
        <v>162</v>
      </c>
      <c r="S2003" t="s">
        <v>441</v>
      </c>
      <c r="T2003" t="s">
        <v>528</v>
      </c>
      <c r="U2003">
        <v>8.3683734680699715E-2</v>
      </c>
      <c r="V2003" t="s">
        <v>162</v>
      </c>
    </row>
    <row r="2004" spans="9:22" x14ac:dyDescent="0.45">
      <c r="I2004" t="s">
        <v>217</v>
      </c>
      <c r="J2004" t="s">
        <v>529</v>
      </c>
      <c r="K2004">
        <v>3.3179422478732921E-2</v>
      </c>
      <c r="L2004" t="s">
        <v>162</v>
      </c>
      <c r="N2004" t="s">
        <v>329</v>
      </c>
      <c r="O2004" t="s">
        <v>529</v>
      </c>
      <c r="P2004">
        <v>7.7932132259369786E-3</v>
      </c>
      <c r="Q2004" t="s">
        <v>162</v>
      </c>
      <c r="S2004" t="s">
        <v>441</v>
      </c>
      <c r="T2004" t="s">
        <v>529</v>
      </c>
      <c r="U2004">
        <v>8.7962411575315466E-3</v>
      </c>
      <c r="V2004" t="s">
        <v>162</v>
      </c>
    </row>
    <row r="2005" spans="9:22" x14ac:dyDescent="0.45">
      <c r="I2005" t="s">
        <v>217</v>
      </c>
      <c r="J2005" t="s">
        <v>530</v>
      </c>
      <c r="K2005">
        <v>6.7726225256325392E-2</v>
      </c>
      <c r="L2005" t="s">
        <v>162</v>
      </c>
      <c r="N2005" t="s">
        <v>329</v>
      </c>
      <c r="O2005" t="s">
        <v>530</v>
      </c>
      <c r="P2005">
        <v>1.6311866955232877E-2</v>
      </c>
      <c r="Q2005" t="s">
        <v>162</v>
      </c>
      <c r="S2005" t="s">
        <v>441</v>
      </c>
      <c r="T2005" t="s">
        <v>530</v>
      </c>
      <c r="U2005">
        <v>1.8289917342679582E-2</v>
      </c>
      <c r="V2005" t="s">
        <v>162</v>
      </c>
    </row>
    <row r="2006" spans="9:22" x14ac:dyDescent="0.45">
      <c r="I2006" t="s">
        <v>217</v>
      </c>
      <c r="J2006" t="s">
        <v>531</v>
      </c>
      <c r="K2006">
        <v>0.15597173982165891</v>
      </c>
      <c r="L2006" t="s">
        <v>162</v>
      </c>
      <c r="N2006" t="s">
        <v>329</v>
      </c>
      <c r="O2006" t="s">
        <v>531</v>
      </c>
      <c r="P2006">
        <v>4.2545561392844267E-2</v>
      </c>
      <c r="Q2006" t="s">
        <v>162</v>
      </c>
      <c r="S2006" t="s">
        <v>441</v>
      </c>
      <c r="T2006" t="s">
        <v>531</v>
      </c>
      <c r="U2006">
        <v>4.9886083329314414E-2</v>
      </c>
      <c r="V2006" t="s">
        <v>162</v>
      </c>
    </row>
    <row r="2007" spans="9:22" x14ac:dyDescent="0.45">
      <c r="I2007" t="s">
        <v>217</v>
      </c>
      <c r="J2007" t="s">
        <v>532</v>
      </c>
      <c r="K2007">
        <v>2.3001584014733966E-2</v>
      </c>
      <c r="L2007" t="s">
        <v>162</v>
      </c>
      <c r="N2007" t="s">
        <v>329</v>
      </c>
      <c r="O2007" t="s">
        <v>532</v>
      </c>
      <c r="P2007">
        <v>8.2318829543810527E-3</v>
      </c>
      <c r="Q2007" t="s">
        <v>162</v>
      </c>
      <c r="S2007" t="s">
        <v>441</v>
      </c>
      <c r="T2007" t="s">
        <v>532</v>
      </c>
      <c r="U2007">
        <v>9.8987174290654893E-3</v>
      </c>
      <c r="V2007" t="s">
        <v>162</v>
      </c>
    </row>
    <row r="2008" spans="9:22" x14ac:dyDescent="0.45">
      <c r="I2008" t="s">
        <v>217</v>
      </c>
      <c r="J2008" t="s">
        <v>533</v>
      </c>
      <c r="K2008">
        <v>2.7913222991413252E-2</v>
      </c>
      <c r="L2008" t="s">
        <v>162</v>
      </c>
      <c r="N2008" t="s">
        <v>329</v>
      </c>
      <c r="O2008" t="s">
        <v>533</v>
      </c>
      <c r="P2008">
        <v>5.6442204148109534E-2</v>
      </c>
      <c r="Q2008" t="s">
        <v>162</v>
      </c>
      <c r="S2008" t="s">
        <v>441</v>
      </c>
      <c r="T2008" t="s">
        <v>533</v>
      </c>
      <c r="U2008">
        <v>5.9550809116249354E-2</v>
      </c>
      <c r="V2008" t="s">
        <v>162</v>
      </c>
    </row>
    <row r="2009" spans="9:22" x14ac:dyDescent="0.45">
      <c r="I2009" t="s">
        <v>217</v>
      </c>
      <c r="J2009" t="s">
        <v>534</v>
      </c>
      <c r="K2009">
        <v>4.7068140850299874E-2</v>
      </c>
      <c r="L2009" t="s">
        <v>162</v>
      </c>
      <c r="N2009" t="s">
        <v>329</v>
      </c>
      <c r="O2009" t="s">
        <v>534</v>
      </c>
      <c r="P2009">
        <v>7.8578040336228491E-2</v>
      </c>
      <c r="Q2009" t="s">
        <v>162</v>
      </c>
      <c r="S2009" t="s">
        <v>441</v>
      </c>
      <c r="T2009" t="s">
        <v>534</v>
      </c>
      <c r="U2009">
        <v>0.10861614088905137</v>
      </c>
      <c r="V2009" t="s">
        <v>162</v>
      </c>
    </row>
    <row r="2010" spans="9:22" x14ac:dyDescent="0.45">
      <c r="I2010" t="s">
        <v>217</v>
      </c>
      <c r="J2010" t="s">
        <v>535</v>
      </c>
      <c r="K2010">
        <v>2.7331576813453714E-2</v>
      </c>
      <c r="L2010" t="s">
        <v>162</v>
      </c>
      <c r="N2010" t="s">
        <v>329</v>
      </c>
      <c r="O2010" t="s">
        <v>535</v>
      </c>
      <c r="P2010">
        <v>5.888599066687982E-3</v>
      </c>
      <c r="Q2010" t="s">
        <v>162</v>
      </c>
      <c r="S2010" t="s">
        <v>441</v>
      </c>
      <c r="T2010" t="s">
        <v>535</v>
      </c>
      <c r="U2010">
        <v>1.1179942516255911E-2</v>
      </c>
      <c r="V2010" t="s">
        <v>162</v>
      </c>
    </row>
    <row r="2011" spans="9:22" x14ac:dyDescent="0.45">
      <c r="I2011" t="s">
        <v>217</v>
      </c>
      <c r="J2011" t="s">
        <v>536</v>
      </c>
      <c r="K2011">
        <v>5.6443518857199018E-2</v>
      </c>
      <c r="L2011" t="s">
        <v>162</v>
      </c>
      <c r="N2011" t="s">
        <v>329</v>
      </c>
      <c r="O2011" t="s">
        <v>536</v>
      </c>
      <c r="P2011">
        <v>1.262915598931828E-2</v>
      </c>
      <c r="Q2011" t="s">
        <v>162</v>
      </c>
      <c r="S2011" t="s">
        <v>441</v>
      </c>
      <c r="T2011" t="s">
        <v>536</v>
      </c>
      <c r="U2011">
        <v>2.2074107861448925E-2</v>
      </c>
      <c r="V2011" t="s">
        <v>162</v>
      </c>
    </row>
    <row r="2012" spans="9:22" x14ac:dyDescent="0.45">
      <c r="I2012" t="s">
        <v>217</v>
      </c>
      <c r="J2012" t="s">
        <v>537</v>
      </c>
      <c r="K2012">
        <v>0.12746709924751709</v>
      </c>
      <c r="L2012" t="s">
        <v>162</v>
      </c>
      <c r="N2012" t="s">
        <v>329</v>
      </c>
      <c r="O2012" t="s">
        <v>537</v>
      </c>
      <c r="P2012">
        <v>3.472111567749455E-2</v>
      </c>
      <c r="Q2012" t="s">
        <v>162</v>
      </c>
      <c r="S2012" t="s">
        <v>441</v>
      </c>
      <c r="T2012" t="s">
        <v>537</v>
      </c>
      <c r="U2012">
        <v>5.7294158599566242E-2</v>
      </c>
      <c r="V2012" t="s">
        <v>162</v>
      </c>
    </row>
    <row r="2013" spans="9:22" x14ac:dyDescent="0.45">
      <c r="I2013" t="s">
        <v>217</v>
      </c>
      <c r="J2013" t="s">
        <v>538</v>
      </c>
      <c r="K2013">
        <v>1.2521274384631109E-2</v>
      </c>
      <c r="L2013" t="s">
        <v>162</v>
      </c>
      <c r="N2013" t="s">
        <v>329</v>
      </c>
      <c r="O2013" t="s">
        <v>538</v>
      </c>
      <c r="P2013">
        <v>7.1070862513359472E-3</v>
      </c>
      <c r="Q2013" t="s">
        <v>162</v>
      </c>
      <c r="S2013" t="s">
        <v>441</v>
      </c>
      <c r="T2013" t="s">
        <v>538</v>
      </c>
      <c r="U2013">
        <v>1.1762940655365147E-2</v>
      </c>
      <c r="V2013" t="s">
        <v>162</v>
      </c>
    </row>
    <row r="2014" spans="9:22" x14ac:dyDescent="0.45">
      <c r="I2014" t="s">
        <v>217</v>
      </c>
      <c r="J2014" t="s">
        <v>539</v>
      </c>
      <c r="K2014">
        <v>8.2565886797702197E-3</v>
      </c>
      <c r="L2014" t="s">
        <v>162</v>
      </c>
      <c r="N2014" t="s">
        <v>329</v>
      </c>
      <c r="O2014" t="s">
        <v>539</v>
      </c>
      <c r="P2014">
        <v>5.515986596493886E-2</v>
      </c>
      <c r="Q2014" t="s">
        <v>162</v>
      </c>
      <c r="S2014" t="s">
        <v>441</v>
      </c>
      <c r="T2014" t="s">
        <v>539</v>
      </c>
      <c r="U2014">
        <v>7.1711117856684214E-2</v>
      </c>
      <c r="V2014" t="s">
        <v>162</v>
      </c>
    </row>
    <row r="2015" spans="9:22" x14ac:dyDescent="0.45">
      <c r="I2015" t="s">
        <v>217</v>
      </c>
      <c r="J2015" t="s">
        <v>540</v>
      </c>
      <c r="K2015">
        <v>1.9669761251274072E-3</v>
      </c>
      <c r="L2015" t="s">
        <v>162</v>
      </c>
      <c r="N2015" t="s">
        <v>329</v>
      </c>
      <c r="O2015" t="s">
        <v>540</v>
      </c>
      <c r="P2015">
        <v>3.23668155370797E-2</v>
      </c>
      <c r="Q2015" t="s">
        <v>162</v>
      </c>
      <c r="S2015" t="s">
        <v>441</v>
      </c>
      <c r="T2015" t="s">
        <v>540</v>
      </c>
      <c r="U2015">
        <v>4.5126565047106555E-2</v>
      </c>
      <c r="V2015" t="s">
        <v>162</v>
      </c>
    </row>
    <row r="2016" spans="9:22" x14ac:dyDescent="0.45">
      <c r="I2016" t="s">
        <v>217</v>
      </c>
      <c r="J2016" t="s">
        <v>541</v>
      </c>
      <c r="K2016">
        <v>3.1148964226763703E-3</v>
      </c>
      <c r="L2016" t="s">
        <v>162</v>
      </c>
      <c r="N2016" t="s">
        <v>329</v>
      </c>
      <c r="O2016" t="s">
        <v>541</v>
      </c>
      <c r="P2016">
        <v>2.957072754074733E-3</v>
      </c>
      <c r="Q2016" t="s">
        <v>162</v>
      </c>
      <c r="S2016" t="s">
        <v>441</v>
      </c>
      <c r="T2016" t="s">
        <v>541</v>
      </c>
      <c r="U2016">
        <v>5.2251569906532373E-3</v>
      </c>
      <c r="V2016" t="s">
        <v>162</v>
      </c>
    </row>
    <row r="2017" spans="9:22" x14ac:dyDescent="0.45">
      <c r="I2017" t="s">
        <v>217</v>
      </c>
      <c r="J2017" t="s">
        <v>542</v>
      </c>
      <c r="K2017">
        <v>8.720121711722666E-3</v>
      </c>
      <c r="L2017" t="s">
        <v>162</v>
      </c>
      <c r="N2017" t="s">
        <v>329</v>
      </c>
      <c r="O2017" t="s">
        <v>542</v>
      </c>
      <c r="P2017">
        <v>4.8139898296201142E-3</v>
      </c>
      <c r="Q2017" t="s">
        <v>162</v>
      </c>
      <c r="S2017" t="s">
        <v>441</v>
      </c>
      <c r="T2017" t="s">
        <v>542</v>
      </c>
      <c r="U2017">
        <v>1.0720038504403727E-2</v>
      </c>
      <c r="V2017" t="s">
        <v>162</v>
      </c>
    </row>
    <row r="2018" spans="9:22" x14ac:dyDescent="0.45">
      <c r="I2018" t="s">
        <v>217</v>
      </c>
      <c r="J2018" t="s">
        <v>543</v>
      </c>
      <c r="K2018">
        <v>1.6319683427933145E-2</v>
      </c>
      <c r="L2018" t="s">
        <v>162</v>
      </c>
      <c r="N2018" t="s">
        <v>329</v>
      </c>
      <c r="O2018" t="s">
        <v>543</v>
      </c>
      <c r="P2018">
        <v>1.2384374637408496E-2</v>
      </c>
      <c r="Q2018" t="s">
        <v>162</v>
      </c>
      <c r="S2018" t="s">
        <v>441</v>
      </c>
      <c r="T2018" t="s">
        <v>543</v>
      </c>
      <c r="U2018">
        <v>2.6804759940568502E-2</v>
      </c>
      <c r="V2018" t="s">
        <v>162</v>
      </c>
    </row>
    <row r="2019" spans="9:22" x14ac:dyDescent="0.45">
      <c r="I2019" t="s">
        <v>217</v>
      </c>
      <c r="J2019" t="s">
        <v>544</v>
      </c>
      <c r="K2019">
        <v>0</v>
      </c>
      <c r="L2019" t="s">
        <v>162</v>
      </c>
      <c r="N2019" t="s">
        <v>329</v>
      </c>
      <c r="O2019" t="s">
        <v>544</v>
      </c>
      <c r="P2019">
        <v>3.6138007809418744E-3</v>
      </c>
      <c r="Q2019" t="s">
        <v>162</v>
      </c>
      <c r="S2019" t="s">
        <v>441</v>
      </c>
      <c r="T2019" t="s">
        <v>544</v>
      </c>
      <c r="U2019">
        <v>5.2582960125444958E-3</v>
      </c>
      <c r="V2019" t="s">
        <v>162</v>
      </c>
    </row>
    <row r="2020" spans="9:22" x14ac:dyDescent="0.45">
      <c r="I2020" t="s">
        <v>217</v>
      </c>
      <c r="J2020" t="s">
        <v>545</v>
      </c>
      <c r="K2020">
        <v>0</v>
      </c>
      <c r="L2020" t="s">
        <v>162</v>
      </c>
      <c r="N2020" t="s">
        <v>329</v>
      </c>
      <c r="O2020" t="s">
        <v>545</v>
      </c>
      <c r="P2020">
        <v>2.4641279572861986E-2</v>
      </c>
      <c r="Q2020" t="s">
        <v>162</v>
      </c>
      <c r="S2020" t="s">
        <v>441</v>
      </c>
      <c r="T2020" t="s">
        <v>545</v>
      </c>
      <c r="U2020">
        <v>2.9629229686459077E-2</v>
      </c>
      <c r="V2020" t="s">
        <v>162</v>
      </c>
    </row>
    <row r="2021" spans="9:22" x14ac:dyDescent="0.45">
      <c r="I2021" t="s">
        <v>217</v>
      </c>
      <c r="J2021" t="s">
        <v>546</v>
      </c>
      <c r="K2021">
        <v>1.3328398854408538E-3</v>
      </c>
      <c r="L2021" t="s">
        <v>162</v>
      </c>
      <c r="N2021" t="s">
        <v>329</v>
      </c>
      <c r="O2021" t="s">
        <v>546</v>
      </c>
      <c r="P2021">
        <v>4.6068238760105788E-2</v>
      </c>
      <c r="Q2021" t="s">
        <v>162</v>
      </c>
      <c r="S2021" t="s">
        <v>441</v>
      </c>
      <c r="T2021" t="s">
        <v>546</v>
      </c>
      <c r="U2021">
        <v>2.8403316918087451E-2</v>
      </c>
      <c r="V2021" t="s">
        <v>162</v>
      </c>
    </row>
    <row r="2022" spans="9:22" x14ac:dyDescent="0.45">
      <c r="I2022" t="s">
        <v>217</v>
      </c>
      <c r="J2022" t="s">
        <v>547</v>
      </c>
      <c r="K2022">
        <v>2.7366843657334649E-3</v>
      </c>
      <c r="L2022" t="s">
        <v>162</v>
      </c>
      <c r="N2022" t="s">
        <v>329</v>
      </c>
      <c r="O2022" t="s">
        <v>547</v>
      </c>
      <c r="P2022">
        <v>5.5563318716819222E-3</v>
      </c>
      <c r="Q2022" t="s">
        <v>162</v>
      </c>
      <c r="S2022" t="s">
        <v>441</v>
      </c>
      <c r="T2022" t="s">
        <v>547</v>
      </c>
      <c r="U2022">
        <v>3.1092000348371431E-3</v>
      </c>
      <c r="V2022" t="s">
        <v>162</v>
      </c>
    </row>
    <row r="2023" spans="9:22" x14ac:dyDescent="0.45">
      <c r="I2023" t="s">
        <v>217</v>
      </c>
      <c r="J2023" t="s">
        <v>548</v>
      </c>
      <c r="K2023">
        <v>7.4683930730601918E-3</v>
      </c>
      <c r="L2023" t="s">
        <v>162</v>
      </c>
      <c r="N2023" t="s">
        <v>329</v>
      </c>
      <c r="O2023" t="s">
        <v>548</v>
      </c>
      <c r="P2023">
        <v>1.0424822575453706E-2</v>
      </c>
      <c r="Q2023" t="s">
        <v>162</v>
      </c>
      <c r="S2023" t="s">
        <v>441</v>
      </c>
      <c r="T2023" t="s">
        <v>548</v>
      </c>
      <c r="U2023">
        <v>6.2744558385935912E-3</v>
      </c>
      <c r="V2023" t="s">
        <v>162</v>
      </c>
    </row>
    <row r="2024" spans="9:22" x14ac:dyDescent="0.45">
      <c r="I2024" t="s">
        <v>217</v>
      </c>
      <c r="J2024" t="s">
        <v>549</v>
      </c>
      <c r="K2024">
        <v>1.3580607502781374E-2</v>
      </c>
      <c r="L2024" t="s">
        <v>162</v>
      </c>
      <c r="N2024" t="s">
        <v>329</v>
      </c>
      <c r="O2024" t="s">
        <v>549</v>
      </c>
      <c r="P2024">
        <v>2.5021062742201557E-2</v>
      </c>
      <c r="Q2024" t="s">
        <v>162</v>
      </c>
      <c r="S2024" t="s">
        <v>441</v>
      </c>
      <c r="T2024" t="s">
        <v>549</v>
      </c>
      <c r="U2024">
        <v>1.5462142937394192E-2</v>
      </c>
      <c r="V2024" t="s">
        <v>162</v>
      </c>
    </row>
    <row r="2025" spans="9:22" x14ac:dyDescent="0.45">
      <c r="I2025" t="s">
        <v>217</v>
      </c>
      <c r="J2025" t="s">
        <v>550</v>
      </c>
      <c r="K2025">
        <v>0</v>
      </c>
      <c r="L2025" t="s">
        <v>162</v>
      </c>
      <c r="N2025" t="s">
        <v>329</v>
      </c>
      <c r="O2025" t="s">
        <v>550</v>
      </c>
      <c r="P2025">
        <v>5.2491635362157821E-3</v>
      </c>
      <c r="Q2025" t="s">
        <v>162</v>
      </c>
      <c r="S2025" t="s">
        <v>441</v>
      </c>
      <c r="T2025" t="s">
        <v>550</v>
      </c>
      <c r="U2025">
        <v>3.0751539258401578E-3</v>
      </c>
      <c r="V2025" t="s">
        <v>162</v>
      </c>
    </row>
    <row r="2026" spans="9:22" x14ac:dyDescent="0.45">
      <c r="I2026" t="s">
        <v>217</v>
      </c>
      <c r="J2026" t="s">
        <v>551</v>
      </c>
      <c r="K2026">
        <v>0</v>
      </c>
      <c r="L2026" t="s">
        <v>162</v>
      </c>
      <c r="N2026" t="s">
        <v>329</v>
      </c>
      <c r="O2026" t="s">
        <v>551</v>
      </c>
      <c r="P2026">
        <v>3.3034242542087054E-2</v>
      </c>
      <c r="Q2026" t="s">
        <v>162</v>
      </c>
      <c r="S2026" t="s">
        <v>441</v>
      </c>
      <c r="T2026" t="s">
        <v>551</v>
      </c>
      <c r="U2026">
        <v>1.8569387099131321E-2</v>
      </c>
      <c r="V2026" t="s">
        <v>162</v>
      </c>
    </row>
    <row r="2027" spans="9:22" x14ac:dyDescent="0.45">
      <c r="I2027" t="s">
        <v>218</v>
      </c>
      <c r="J2027" t="s">
        <v>161</v>
      </c>
      <c r="K2027">
        <v>7.669140353219549E-7</v>
      </c>
      <c r="L2027" t="s">
        <v>162</v>
      </c>
      <c r="N2027" t="s">
        <v>330</v>
      </c>
      <c r="O2027" t="s">
        <v>161</v>
      </c>
      <c r="P2027">
        <v>4.616253149289045E-2</v>
      </c>
      <c r="Q2027" t="s">
        <v>162</v>
      </c>
      <c r="S2027" t="s">
        <v>442</v>
      </c>
      <c r="T2027" t="s">
        <v>161</v>
      </c>
      <c r="U2027">
        <v>2.7372871007228419E-2</v>
      </c>
      <c r="V2027" t="s">
        <v>162</v>
      </c>
    </row>
    <row r="2028" spans="9:22" x14ac:dyDescent="0.45">
      <c r="I2028" t="s">
        <v>218</v>
      </c>
      <c r="J2028" t="s">
        <v>163</v>
      </c>
      <c r="K2028">
        <v>2.7010667687544896E-3</v>
      </c>
      <c r="L2028" t="s">
        <v>162</v>
      </c>
      <c r="N2028" t="s">
        <v>330</v>
      </c>
      <c r="O2028" t="s">
        <v>163</v>
      </c>
      <c r="P2028">
        <v>4.952058091029647E-3</v>
      </c>
      <c r="Q2028" t="s">
        <v>162</v>
      </c>
      <c r="S2028" t="s">
        <v>442</v>
      </c>
      <c r="T2028" t="s">
        <v>163</v>
      </c>
      <c r="U2028">
        <v>3.0515286330080869E-3</v>
      </c>
      <c r="V2028" t="s">
        <v>162</v>
      </c>
    </row>
    <row r="2029" spans="9:22" x14ac:dyDescent="0.45">
      <c r="I2029" t="s">
        <v>218</v>
      </c>
      <c r="J2029" t="s">
        <v>164</v>
      </c>
      <c r="K2029">
        <v>9.5388361096182869E-3</v>
      </c>
      <c r="L2029" t="s">
        <v>162</v>
      </c>
      <c r="N2029" t="s">
        <v>330</v>
      </c>
      <c r="O2029" t="s">
        <v>164</v>
      </c>
      <c r="P2029">
        <v>9.168847199454818E-3</v>
      </c>
      <c r="Q2029" t="s">
        <v>162</v>
      </c>
      <c r="S2029" t="s">
        <v>442</v>
      </c>
      <c r="T2029" t="s">
        <v>164</v>
      </c>
      <c r="U2029">
        <v>6.2906934585805485E-3</v>
      </c>
      <c r="V2029" t="s">
        <v>162</v>
      </c>
    </row>
    <row r="2030" spans="9:22" x14ac:dyDescent="0.45">
      <c r="I2030" t="s">
        <v>218</v>
      </c>
      <c r="J2030" t="s">
        <v>519</v>
      </c>
      <c r="K2030">
        <v>2.4360739625922719E-2</v>
      </c>
      <c r="L2030" t="s">
        <v>162</v>
      </c>
      <c r="N2030" t="s">
        <v>330</v>
      </c>
      <c r="O2030" t="s">
        <v>519</v>
      </c>
      <c r="P2030">
        <v>2.0240375091760188E-2</v>
      </c>
      <c r="Q2030" t="s">
        <v>162</v>
      </c>
      <c r="S2030" t="s">
        <v>442</v>
      </c>
      <c r="T2030" t="s">
        <v>519</v>
      </c>
      <c r="U2030">
        <v>1.6608190642174957E-2</v>
      </c>
      <c r="V2030" t="s">
        <v>162</v>
      </c>
    </row>
    <row r="2031" spans="9:22" x14ac:dyDescent="0.45">
      <c r="I2031" t="s">
        <v>218</v>
      </c>
      <c r="J2031" t="s">
        <v>520</v>
      </c>
      <c r="K2031">
        <v>4.7746207335410133E-4</v>
      </c>
      <c r="L2031" t="s">
        <v>162</v>
      </c>
      <c r="N2031" t="s">
        <v>330</v>
      </c>
      <c r="O2031" t="s">
        <v>520</v>
      </c>
      <c r="P2031">
        <v>4.2437536043850388E-3</v>
      </c>
      <c r="Q2031" t="s">
        <v>162</v>
      </c>
      <c r="S2031" t="s">
        <v>442</v>
      </c>
      <c r="T2031" t="s">
        <v>520</v>
      </c>
      <c r="U2031">
        <v>3.2504822892939632E-3</v>
      </c>
      <c r="V2031" t="s">
        <v>162</v>
      </c>
    </row>
    <row r="2032" spans="9:22" x14ac:dyDescent="0.45">
      <c r="I2032" t="s">
        <v>218</v>
      </c>
      <c r="J2032" t="s">
        <v>521</v>
      </c>
      <c r="K2032">
        <v>0</v>
      </c>
      <c r="L2032" t="s">
        <v>162</v>
      </c>
      <c r="N2032" t="s">
        <v>330</v>
      </c>
      <c r="O2032" t="s">
        <v>521</v>
      </c>
      <c r="P2032">
        <v>2.9632921649714254E-2</v>
      </c>
      <c r="Q2032" t="s">
        <v>162</v>
      </c>
      <c r="S2032" t="s">
        <v>442</v>
      </c>
      <c r="T2032" t="s">
        <v>521</v>
      </c>
      <c r="U2032">
        <v>1.9448032506690464E-2</v>
      </c>
      <c r="V2032" t="s">
        <v>162</v>
      </c>
    </row>
    <row r="2033" spans="9:22" x14ac:dyDescent="0.45">
      <c r="I2033" t="s">
        <v>218</v>
      </c>
      <c r="J2033" t="s">
        <v>165</v>
      </c>
      <c r="K2033">
        <v>1.1180291633923532E-2</v>
      </c>
      <c r="L2033" t="s">
        <v>162</v>
      </c>
      <c r="N2033" t="s">
        <v>330</v>
      </c>
      <c r="O2033" t="s">
        <v>165</v>
      </c>
      <c r="P2033">
        <v>7.2910222762207988E-2</v>
      </c>
      <c r="Q2033" t="s">
        <v>162</v>
      </c>
      <c r="S2033" t="s">
        <v>442</v>
      </c>
      <c r="T2033" t="s">
        <v>165</v>
      </c>
      <c r="U2033">
        <v>6.1382013641472867E-2</v>
      </c>
      <c r="V2033" t="s">
        <v>162</v>
      </c>
    </row>
    <row r="2034" spans="9:22" x14ac:dyDescent="0.45">
      <c r="I2034" t="s">
        <v>218</v>
      </c>
      <c r="J2034" t="s">
        <v>166</v>
      </c>
      <c r="K2034">
        <v>1.2278664723284014E-2</v>
      </c>
      <c r="L2034" t="s">
        <v>162</v>
      </c>
      <c r="N2034" t="s">
        <v>330</v>
      </c>
      <c r="O2034" t="s">
        <v>166</v>
      </c>
      <c r="P2034">
        <v>6.3973320889944285E-3</v>
      </c>
      <c r="Q2034" t="s">
        <v>162</v>
      </c>
      <c r="S2034" t="s">
        <v>442</v>
      </c>
      <c r="T2034" t="s">
        <v>166</v>
      </c>
      <c r="U2034">
        <v>6.069480117301098E-3</v>
      </c>
      <c r="V2034" t="s">
        <v>162</v>
      </c>
    </row>
    <row r="2035" spans="9:22" x14ac:dyDescent="0.45">
      <c r="I2035" t="s">
        <v>218</v>
      </c>
      <c r="J2035" t="s">
        <v>167</v>
      </c>
      <c r="K2035">
        <v>3.1768506282878001E-2</v>
      </c>
      <c r="L2035" t="s">
        <v>162</v>
      </c>
      <c r="N2035" t="s">
        <v>330</v>
      </c>
      <c r="O2035" t="s">
        <v>167</v>
      </c>
      <c r="P2035">
        <v>1.1299370481032052E-2</v>
      </c>
      <c r="Q2035" t="s">
        <v>162</v>
      </c>
      <c r="S2035" t="s">
        <v>442</v>
      </c>
      <c r="T2035" t="s">
        <v>167</v>
      </c>
      <c r="U2035">
        <v>1.2054112531822741E-2</v>
      </c>
      <c r="V2035" t="s">
        <v>162</v>
      </c>
    </row>
    <row r="2036" spans="9:22" x14ac:dyDescent="0.45">
      <c r="I2036" t="s">
        <v>218</v>
      </c>
      <c r="J2036" t="s">
        <v>522</v>
      </c>
      <c r="K2036">
        <v>7.1695977496283925E-2</v>
      </c>
      <c r="L2036" t="s">
        <v>162</v>
      </c>
      <c r="N2036" t="s">
        <v>330</v>
      </c>
      <c r="O2036" t="s">
        <v>522</v>
      </c>
      <c r="P2036">
        <v>2.7601082405891039E-2</v>
      </c>
      <c r="Q2036" t="s">
        <v>162</v>
      </c>
      <c r="S2036" t="s">
        <v>442</v>
      </c>
      <c r="T2036" t="s">
        <v>522</v>
      </c>
      <c r="U2036">
        <v>3.118346183015239E-2</v>
      </c>
      <c r="V2036" t="s">
        <v>162</v>
      </c>
    </row>
    <row r="2037" spans="9:22" x14ac:dyDescent="0.45">
      <c r="I2037" t="s">
        <v>218</v>
      </c>
      <c r="J2037" t="s">
        <v>523</v>
      </c>
      <c r="K2037">
        <v>9.5974728183177132E-3</v>
      </c>
      <c r="L2037" t="s">
        <v>162</v>
      </c>
      <c r="N2037" t="s">
        <v>330</v>
      </c>
      <c r="O2037" t="s">
        <v>523</v>
      </c>
      <c r="P2037">
        <v>6.4260957175794027E-3</v>
      </c>
      <c r="Q2037" t="s">
        <v>162</v>
      </c>
      <c r="S2037" t="s">
        <v>442</v>
      </c>
      <c r="T2037" t="s">
        <v>523</v>
      </c>
      <c r="U2037">
        <v>6.4148786385408276E-3</v>
      </c>
      <c r="V2037" t="s">
        <v>162</v>
      </c>
    </row>
    <row r="2038" spans="9:22" x14ac:dyDescent="0.45">
      <c r="I2038" t="s">
        <v>218</v>
      </c>
      <c r="J2038" t="s">
        <v>524</v>
      </c>
      <c r="K2038">
        <v>4.7801924299337769E-3</v>
      </c>
      <c r="L2038" t="s">
        <v>162</v>
      </c>
      <c r="N2038" t="s">
        <v>330</v>
      </c>
      <c r="O2038" t="s">
        <v>524</v>
      </c>
      <c r="P2038">
        <v>4.6632108342039506E-2</v>
      </c>
      <c r="Q2038" t="s">
        <v>162</v>
      </c>
      <c r="S2038" t="s">
        <v>442</v>
      </c>
      <c r="T2038" t="s">
        <v>524</v>
      </c>
      <c r="U2038">
        <v>4.1079360106033212E-2</v>
      </c>
      <c r="V2038" t="s">
        <v>162</v>
      </c>
    </row>
    <row r="2039" spans="9:22" x14ac:dyDescent="0.45">
      <c r="I2039" t="s">
        <v>218</v>
      </c>
      <c r="J2039" t="s">
        <v>168</v>
      </c>
      <c r="K2039">
        <v>1.3399870155938423E-2</v>
      </c>
      <c r="L2039" t="s">
        <v>162</v>
      </c>
      <c r="N2039" t="s">
        <v>330</v>
      </c>
      <c r="O2039" t="s">
        <v>168</v>
      </c>
      <c r="P2039">
        <v>3.2022415462816679E-2</v>
      </c>
      <c r="Q2039" t="s">
        <v>162</v>
      </c>
      <c r="S2039" t="s">
        <v>442</v>
      </c>
      <c r="T2039" t="s">
        <v>168</v>
      </c>
      <c r="U2039">
        <v>2.5762253647422465E-2</v>
      </c>
      <c r="V2039" t="s">
        <v>162</v>
      </c>
    </row>
    <row r="2040" spans="9:22" x14ac:dyDescent="0.45">
      <c r="I2040" t="s">
        <v>218</v>
      </c>
      <c r="J2040" t="s">
        <v>169</v>
      </c>
      <c r="K2040">
        <v>8.267365140341789E-3</v>
      </c>
      <c r="L2040" t="s">
        <v>162</v>
      </c>
      <c r="N2040" t="s">
        <v>330</v>
      </c>
      <c r="O2040" t="s">
        <v>169</v>
      </c>
      <c r="P2040">
        <v>2.7663341297933684E-3</v>
      </c>
      <c r="Q2040" t="s">
        <v>162</v>
      </c>
      <c r="S2040" t="s">
        <v>442</v>
      </c>
      <c r="T2040" t="s">
        <v>169</v>
      </c>
      <c r="U2040">
        <v>3.0888609816879875E-3</v>
      </c>
      <c r="V2040" t="s">
        <v>162</v>
      </c>
    </row>
    <row r="2041" spans="9:22" x14ac:dyDescent="0.45">
      <c r="I2041" t="s">
        <v>218</v>
      </c>
      <c r="J2041" t="s">
        <v>170</v>
      </c>
      <c r="K2041">
        <v>1.8809866613080119E-2</v>
      </c>
      <c r="L2041" t="s">
        <v>162</v>
      </c>
      <c r="N2041" t="s">
        <v>330</v>
      </c>
      <c r="O2041" t="s">
        <v>170</v>
      </c>
      <c r="P2041">
        <v>6.5349095384539457E-3</v>
      </c>
      <c r="Q2041" t="s">
        <v>162</v>
      </c>
      <c r="S2041" t="s">
        <v>442</v>
      </c>
      <c r="T2041" t="s">
        <v>170</v>
      </c>
      <c r="U2041">
        <v>6.1209594547904428E-3</v>
      </c>
      <c r="V2041" t="s">
        <v>162</v>
      </c>
    </row>
    <row r="2042" spans="9:22" x14ac:dyDescent="0.45">
      <c r="I2042" t="s">
        <v>218</v>
      </c>
      <c r="J2042" t="s">
        <v>525</v>
      </c>
      <c r="K2042">
        <v>4.296500561108519E-2</v>
      </c>
      <c r="L2042" t="s">
        <v>162</v>
      </c>
      <c r="N2042" t="s">
        <v>330</v>
      </c>
      <c r="O2042" t="s">
        <v>525</v>
      </c>
      <c r="P2042">
        <v>2.0300830882432154E-2</v>
      </c>
      <c r="Q2042" t="s">
        <v>162</v>
      </c>
      <c r="S2042" t="s">
        <v>442</v>
      </c>
      <c r="T2042" t="s">
        <v>525</v>
      </c>
      <c r="U2042">
        <v>1.4529006280160158E-2</v>
      </c>
      <c r="V2042" t="s">
        <v>162</v>
      </c>
    </row>
    <row r="2043" spans="9:22" x14ac:dyDescent="0.45">
      <c r="I2043" t="s">
        <v>218</v>
      </c>
      <c r="J2043" t="s">
        <v>526</v>
      </c>
      <c r="K2043">
        <v>6.2440707211447594E-3</v>
      </c>
      <c r="L2043" t="s">
        <v>162</v>
      </c>
      <c r="N2043" t="s">
        <v>330</v>
      </c>
      <c r="O2043" t="s">
        <v>526</v>
      </c>
      <c r="P2043">
        <v>4.038413587533274E-3</v>
      </c>
      <c r="Q2043" t="s">
        <v>162</v>
      </c>
      <c r="S2043" t="s">
        <v>442</v>
      </c>
      <c r="T2043" t="s">
        <v>526</v>
      </c>
      <c r="U2043">
        <v>2.8037843428008859E-3</v>
      </c>
      <c r="V2043" t="s">
        <v>162</v>
      </c>
    </row>
    <row r="2044" spans="9:22" x14ac:dyDescent="0.45">
      <c r="I2044" t="s">
        <v>218</v>
      </c>
      <c r="J2044" t="s">
        <v>527</v>
      </c>
      <c r="K2044">
        <v>8.0538433440298408E-3</v>
      </c>
      <c r="L2044" t="s">
        <v>162</v>
      </c>
      <c r="N2044" t="s">
        <v>330</v>
      </c>
      <c r="O2044" t="s">
        <v>527</v>
      </c>
      <c r="P2044">
        <v>2.906725268325603E-2</v>
      </c>
      <c r="Q2044" t="s">
        <v>162</v>
      </c>
      <c r="S2044" t="s">
        <v>442</v>
      </c>
      <c r="T2044" t="s">
        <v>527</v>
      </c>
      <c r="U2044">
        <v>1.6583011195260788E-2</v>
      </c>
      <c r="V2044" t="s">
        <v>162</v>
      </c>
    </row>
    <row r="2045" spans="9:22" x14ac:dyDescent="0.45">
      <c r="I2045" t="s">
        <v>218</v>
      </c>
      <c r="J2045" t="s">
        <v>528</v>
      </c>
      <c r="K2045">
        <v>7.1229744672816633E-2</v>
      </c>
      <c r="L2045" t="s">
        <v>162</v>
      </c>
      <c r="N2045" t="s">
        <v>330</v>
      </c>
      <c r="O2045" t="s">
        <v>528</v>
      </c>
      <c r="P2045">
        <v>8.0155833701887488E-2</v>
      </c>
      <c r="Q2045" t="s">
        <v>162</v>
      </c>
      <c r="S2045" t="s">
        <v>442</v>
      </c>
      <c r="T2045" t="s">
        <v>528</v>
      </c>
      <c r="U2045">
        <v>8.4448141798538795E-2</v>
      </c>
      <c r="V2045" t="s">
        <v>162</v>
      </c>
    </row>
    <row r="2046" spans="9:22" x14ac:dyDescent="0.45">
      <c r="I2046" t="s">
        <v>218</v>
      </c>
      <c r="J2046" t="s">
        <v>529</v>
      </c>
      <c r="K2046">
        <v>3.1420893177756835E-2</v>
      </c>
      <c r="L2046" t="s">
        <v>162</v>
      </c>
      <c r="N2046" t="s">
        <v>330</v>
      </c>
      <c r="O2046" t="s">
        <v>529</v>
      </c>
      <c r="P2046">
        <v>6.1083795912733555E-3</v>
      </c>
      <c r="Q2046" t="s">
        <v>162</v>
      </c>
      <c r="S2046" t="s">
        <v>442</v>
      </c>
      <c r="T2046" t="s">
        <v>529</v>
      </c>
      <c r="U2046">
        <v>8.2674578883457309E-3</v>
      </c>
      <c r="V2046" t="s">
        <v>162</v>
      </c>
    </row>
    <row r="2047" spans="9:22" x14ac:dyDescent="0.45">
      <c r="I2047" t="s">
        <v>218</v>
      </c>
      <c r="J2047" t="s">
        <v>530</v>
      </c>
      <c r="K2047">
        <v>6.5568835606296089E-2</v>
      </c>
      <c r="L2047" t="s">
        <v>162</v>
      </c>
      <c r="N2047" t="s">
        <v>330</v>
      </c>
      <c r="O2047" t="s">
        <v>530</v>
      </c>
      <c r="P2047">
        <v>1.3084939872008502E-2</v>
      </c>
      <c r="Q2047" t="s">
        <v>162</v>
      </c>
      <c r="S2047" t="s">
        <v>442</v>
      </c>
      <c r="T2047" t="s">
        <v>530</v>
      </c>
      <c r="U2047">
        <v>1.6881038997040503E-2</v>
      </c>
      <c r="V2047" t="s">
        <v>162</v>
      </c>
    </row>
    <row r="2048" spans="9:22" x14ac:dyDescent="0.45">
      <c r="I2048" t="s">
        <v>218</v>
      </c>
      <c r="J2048" t="s">
        <v>531</v>
      </c>
      <c r="K2048">
        <v>0.15326315899062626</v>
      </c>
      <c r="L2048" t="s">
        <v>162</v>
      </c>
      <c r="N2048" t="s">
        <v>330</v>
      </c>
      <c r="O2048" t="s">
        <v>531</v>
      </c>
      <c r="P2048">
        <v>3.4634815554067902E-2</v>
      </c>
      <c r="Q2048" t="s">
        <v>162</v>
      </c>
      <c r="S2048" t="s">
        <v>442</v>
      </c>
      <c r="T2048" t="s">
        <v>531</v>
      </c>
      <c r="U2048">
        <v>4.6594502582400721E-2</v>
      </c>
      <c r="V2048" t="s">
        <v>162</v>
      </c>
    </row>
    <row r="2049" spans="9:22" x14ac:dyDescent="0.45">
      <c r="I2049" t="s">
        <v>218</v>
      </c>
      <c r="J2049" t="s">
        <v>532</v>
      </c>
      <c r="K2049">
        <v>2.4290472404666127E-2</v>
      </c>
      <c r="L2049" t="s">
        <v>162</v>
      </c>
      <c r="N2049" t="s">
        <v>330</v>
      </c>
      <c r="O2049" t="s">
        <v>532</v>
      </c>
      <c r="P2049">
        <v>6.7519111375466973E-3</v>
      </c>
      <c r="Q2049" t="s">
        <v>162</v>
      </c>
      <c r="S2049" t="s">
        <v>442</v>
      </c>
      <c r="T2049" t="s">
        <v>532</v>
      </c>
      <c r="U2049">
        <v>9.6824496219576426E-3</v>
      </c>
      <c r="V2049" t="s">
        <v>162</v>
      </c>
    </row>
    <row r="2050" spans="9:22" x14ac:dyDescent="0.45">
      <c r="I2050" t="s">
        <v>218</v>
      </c>
      <c r="J2050" t="s">
        <v>533</v>
      </c>
      <c r="K2050">
        <v>4.2377723260244179E-2</v>
      </c>
      <c r="L2050" t="s">
        <v>162</v>
      </c>
      <c r="N2050" t="s">
        <v>330</v>
      </c>
      <c r="O2050" t="s">
        <v>533</v>
      </c>
      <c r="P2050">
        <v>6.0404394540658435E-2</v>
      </c>
      <c r="Q2050" t="s">
        <v>162</v>
      </c>
      <c r="S2050" t="s">
        <v>442</v>
      </c>
      <c r="T2050" t="s">
        <v>533</v>
      </c>
      <c r="U2050">
        <v>5.856929364692208E-2</v>
      </c>
      <c r="V2050" t="s">
        <v>162</v>
      </c>
    </row>
    <row r="2051" spans="9:22" x14ac:dyDescent="0.45">
      <c r="I2051" t="s">
        <v>218</v>
      </c>
      <c r="J2051" t="s">
        <v>534</v>
      </c>
      <c r="K2051">
        <v>3.3969363347259883E-2</v>
      </c>
      <c r="L2051" t="s">
        <v>162</v>
      </c>
      <c r="N2051" t="s">
        <v>330</v>
      </c>
      <c r="O2051" t="s">
        <v>534</v>
      </c>
      <c r="P2051">
        <v>8.5070538332543008E-2</v>
      </c>
      <c r="Q2051" t="s">
        <v>162</v>
      </c>
      <c r="S2051" t="s">
        <v>442</v>
      </c>
      <c r="T2051" t="s">
        <v>534</v>
      </c>
      <c r="U2051">
        <v>0.10610123778630216</v>
      </c>
      <c r="V2051" t="s">
        <v>162</v>
      </c>
    </row>
    <row r="2052" spans="9:22" x14ac:dyDescent="0.45">
      <c r="I2052" t="s">
        <v>218</v>
      </c>
      <c r="J2052" t="s">
        <v>535</v>
      </c>
      <c r="K2052">
        <v>2.48700816129468E-2</v>
      </c>
      <c r="L2052" t="s">
        <v>162</v>
      </c>
      <c r="N2052" t="s">
        <v>330</v>
      </c>
      <c r="O2052" t="s">
        <v>535</v>
      </c>
      <c r="P2052">
        <v>6.4100863058344408E-3</v>
      </c>
      <c r="Q2052" t="s">
        <v>162</v>
      </c>
      <c r="S2052" t="s">
        <v>442</v>
      </c>
      <c r="T2052" t="s">
        <v>535</v>
      </c>
      <c r="U2052">
        <v>1.1361778541703836E-2</v>
      </c>
      <c r="V2052" t="s">
        <v>162</v>
      </c>
    </row>
    <row r="2053" spans="9:22" x14ac:dyDescent="0.45">
      <c r="I2053" t="s">
        <v>218</v>
      </c>
      <c r="J2053" t="s">
        <v>536</v>
      </c>
      <c r="K2053">
        <v>5.6412618236666018E-2</v>
      </c>
      <c r="L2053" t="s">
        <v>162</v>
      </c>
      <c r="N2053" t="s">
        <v>330</v>
      </c>
      <c r="O2053" t="s">
        <v>536</v>
      </c>
      <c r="P2053">
        <v>1.3694920830124219E-2</v>
      </c>
      <c r="Q2053" t="s">
        <v>162</v>
      </c>
      <c r="S2053" t="s">
        <v>442</v>
      </c>
      <c r="T2053" t="s">
        <v>536</v>
      </c>
      <c r="U2053">
        <v>2.2723258848390809E-2</v>
      </c>
      <c r="V2053" t="s">
        <v>162</v>
      </c>
    </row>
    <row r="2054" spans="9:22" x14ac:dyDescent="0.45">
      <c r="I2054" t="s">
        <v>218</v>
      </c>
      <c r="J2054" t="s">
        <v>537</v>
      </c>
      <c r="K2054">
        <v>0.12832638503002111</v>
      </c>
      <c r="L2054" t="s">
        <v>162</v>
      </c>
      <c r="N2054" t="s">
        <v>330</v>
      </c>
      <c r="O2054" t="s">
        <v>537</v>
      </c>
      <c r="P2054">
        <v>4.0442396219954685E-2</v>
      </c>
      <c r="Q2054" t="s">
        <v>162</v>
      </c>
      <c r="S2054" t="s">
        <v>442</v>
      </c>
      <c r="T2054" t="s">
        <v>537</v>
      </c>
      <c r="U2054">
        <v>5.9726118594229514E-2</v>
      </c>
      <c r="V2054" t="s">
        <v>162</v>
      </c>
    </row>
    <row r="2055" spans="9:22" x14ac:dyDescent="0.45">
      <c r="I2055" t="s">
        <v>218</v>
      </c>
      <c r="J2055" t="s">
        <v>538</v>
      </c>
      <c r="K2055">
        <v>1.8146911949124298E-2</v>
      </c>
      <c r="L2055" t="s">
        <v>162</v>
      </c>
      <c r="N2055" t="s">
        <v>330</v>
      </c>
      <c r="O2055" t="s">
        <v>538</v>
      </c>
      <c r="P2055">
        <v>8.8593773351259755E-3</v>
      </c>
      <c r="Q2055" t="s">
        <v>162</v>
      </c>
      <c r="S2055" t="s">
        <v>442</v>
      </c>
      <c r="T2055" t="s">
        <v>538</v>
      </c>
      <c r="U2055">
        <v>1.2373417774242034E-2</v>
      </c>
      <c r="V2055" t="s">
        <v>162</v>
      </c>
    </row>
    <row r="2056" spans="9:22" x14ac:dyDescent="0.45">
      <c r="I2056" t="s">
        <v>218</v>
      </c>
      <c r="J2056" t="s">
        <v>539</v>
      </c>
      <c r="K2056">
        <v>1.4739703373082282E-2</v>
      </c>
      <c r="L2056" t="s">
        <v>162</v>
      </c>
      <c r="N2056" t="s">
        <v>330</v>
      </c>
      <c r="O2056" t="s">
        <v>539</v>
      </c>
      <c r="P2056">
        <v>7.2049868461399547E-2</v>
      </c>
      <c r="Q2056" t="s">
        <v>162</v>
      </c>
      <c r="S2056" t="s">
        <v>442</v>
      </c>
      <c r="T2056" t="s">
        <v>539</v>
      </c>
      <c r="U2056">
        <v>7.2358496800169217E-2</v>
      </c>
      <c r="V2056" t="s">
        <v>162</v>
      </c>
    </row>
    <row r="2057" spans="9:22" x14ac:dyDescent="0.45">
      <c r="I2057" t="s">
        <v>218</v>
      </c>
      <c r="J2057" t="s">
        <v>540</v>
      </c>
      <c r="K2057">
        <v>8.2285532624480466E-4</v>
      </c>
      <c r="L2057" t="s">
        <v>162</v>
      </c>
      <c r="N2057" t="s">
        <v>330</v>
      </c>
      <c r="O2057" t="s">
        <v>540</v>
      </c>
      <c r="P2057">
        <v>2.8838052343071786E-2</v>
      </c>
      <c r="Q2057" t="s">
        <v>162</v>
      </c>
      <c r="S2057" t="s">
        <v>442</v>
      </c>
      <c r="T2057" t="s">
        <v>540</v>
      </c>
      <c r="U2057">
        <v>4.0715898855071632E-2</v>
      </c>
      <c r="V2057" t="s">
        <v>162</v>
      </c>
    </row>
    <row r="2058" spans="9:22" x14ac:dyDescent="0.45">
      <c r="I2058" t="s">
        <v>218</v>
      </c>
      <c r="J2058" t="s">
        <v>541</v>
      </c>
      <c r="K2058">
        <v>2.7410616658785172E-3</v>
      </c>
      <c r="L2058" t="s">
        <v>162</v>
      </c>
      <c r="N2058" t="s">
        <v>330</v>
      </c>
      <c r="O2058" t="s">
        <v>541</v>
      </c>
      <c r="P2058">
        <v>3.0611890041030584E-3</v>
      </c>
      <c r="Q2058" t="s">
        <v>162</v>
      </c>
      <c r="S2058" t="s">
        <v>442</v>
      </c>
      <c r="T2058" t="s">
        <v>541</v>
      </c>
      <c r="U2058">
        <v>4.8048358164502376E-3</v>
      </c>
      <c r="V2058" t="s">
        <v>162</v>
      </c>
    </row>
    <row r="2059" spans="9:22" x14ac:dyDescent="0.45">
      <c r="I2059" t="s">
        <v>218</v>
      </c>
      <c r="J2059" t="s">
        <v>542</v>
      </c>
      <c r="K2059">
        <v>8.7158904991483689E-3</v>
      </c>
      <c r="L2059" t="s">
        <v>162</v>
      </c>
      <c r="N2059" t="s">
        <v>330</v>
      </c>
      <c r="O2059" t="s">
        <v>542</v>
      </c>
      <c r="P2059">
        <v>5.5135984587217574E-3</v>
      </c>
      <c r="Q2059" t="s">
        <v>162</v>
      </c>
      <c r="S2059" t="s">
        <v>442</v>
      </c>
      <c r="T2059" t="s">
        <v>542</v>
      </c>
      <c r="U2059">
        <v>9.645319048440501E-3</v>
      </c>
      <c r="V2059" t="s">
        <v>162</v>
      </c>
    </row>
    <row r="2060" spans="9:22" x14ac:dyDescent="0.45">
      <c r="I2060" t="s">
        <v>218</v>
      </c>
      <c r="J2060" t="s">
        <v>543</v>
      </c>
      <c r="K2060">
        <v>1.9480393555714282E-2</v>
      </c>
      <c r="L2060" t="s">
        <v>162</v>
      </c>
      <c r="N2060" t="s">
        <v>330</v>
      </c>
      <c r="O2060" t="s">
        <v>543</v>
      </c>
      <c r="P2060">
        <v>1.440522114034672E-2</v>
      </c>
      <c r="Q2060" t="s">
        <v>162</v>
      </c>
      <c r="S2060" t="s">
        <v>442</v>
      </c>
      <c r="T2060" t="s">
        <v>543</v>
      </c>
      <c r="U2060">
        <v>2.3447071815394731E-2</v>
      </c>
      <c r="V2060" t="s">
        <v>162</v>
      </c>
    </row>
    <row r="2061" spans="9:22" x14ac:dyDescent="0.45">
      <c r="I2061" t="s">
        <v>218</v>
      </c>
      <c r="J2061" t="s">
        <v>544</v>
      </c>
      <c r="K2061">
        <v>6.672665019272217E-5</v>
      </c>
      <c r="L2061" t="s">
        <v>162</v>
      </c>
      <c r="N2061" t="s">
        <v>330</v>
      </c>
      <c r="O2061" t="s">
        <v>544</v>
      </c>
      <c r="P2061">
        <v>3.509542003525469E-3</v>
      </c>
      <c r="Q2061" t="s">
        <v>162</v>
      </c>
      <c r="S2061" t="s">
        <v>442</v>
      </c>
      <c r="T2061" t="s">
        <v>544</v>
      </c>
      <c r="U2061">
        <v>4.6461170864560931E-3</v>
      </c>
      <c r="V2061" t="s">
        <v>162</v>
      </c>
    </row>
    <row r="2062" spans="9:22" x14ac:dyDescent="0.45">
      <c r="I2062" t="s">
        <v>218</v>
      </c>
      <c r="J2062" t="s">
        <v>545</v>
      </c>
      <c r="K2062">
        <v>0</v>
      </c>
      <c r="L2062" t="s">
        <v>162</v>
      </c>
      <c r="N2062" t="s">
        <v>330</v>
      </c>
      <c r="O2062" t="s">
        <v>545</v>
      </c>
      <c r="P2062">
        <v>2.3106860755620934E-2</v>
      </c>
      <c r="Q2062" t="s">
        <v>162</v>
      </c>
      <c r="S2062" t="s">
        <v>442</v>
      </c>
      <c r="T2062" t="s">
        <v>545</v>
      </c>
      <c r="U2062">
        <v>2.6800704385690363E-2</v>
      </c>
      <c r="V2062" t="s">
        <v>162</v>
      </c>
    </row>
    <row r="2063" spans="9:22" x14ac:dyDescent="0.45">
      <c r="I2063" t="s">
        <v>218</v>
      </c>
      <c r="J2063" t="s">
        <v>546</v>
      </c>
      <c r="K2063">
        <v>0</v>
      </c>
      <c r="L2063" t="s">
        <v>162</v>
      </c>
      <c r="N2063" t="s">
        <v>330</v>
      </c>
      <c r="O2063" t="s">
        <v>546</v>
      </c>
      <c r="P2063">
        <v>4.5365088923768331E-2</v>
      </c>
      <c r="Q2063" t="s">
        <v>162</v>
      </c>
      <c r="S2063" t="s">
        <v>442</v>
      </c>
      <c r="T2063" t="s">
        <v>546</v>
      </c>
      <c r="U2063">
        <v>3.0181063797353462E-2</v>
      </c>
      <c r="V2063" t="s">
        <v>162</v>
      </c>
    </row>
    <row r="2064" spans="9:22" x14ac:dyDescent="0.45">
      <c r="I2064" t="s">
        <v>218</v>
      </c>
      <c r="J2064" t="s">
        <v>547</v>
      </c>
      <c r="K2064">
        <v>2.0364198814460297E-3</v>
      </c>
      <c r="L2064" t="s">
        <v>162</v>
      </c>
      <c r="N2064" t="s">
        <v>330</v>
      </c>
      <c r="O2064" t="s">
        <v>547</v>
      </c>
      <c r="P2064">
        <v>4.7734501414230133E-3</v>
      </c>
      <c r="Q2064" t="s">
        <v>162</v>
      </c>
      <c r="S2064" t="s">
        <v>442</v>
      </c>
      <c r="T2064" t="s">
        <v>547</v>
      </c>
      <c r="U2064">
        <v>3.2347740350642203E-3</v>
      </c>
      <c r="V2064" t="s">
        <v>162</v>
      </c>
    </row>
    <row r="2065" spans="9:22" x14ac:dyDescent="0.45">
      <c r="I2065" t="s">
        <v>218</v>
      </c>
      <c r="J2065" t="s">
        <v>548</v>
      </c>
      <c r="K2065">
        <v>7.4530967622801463E-3</v>
      </c>
      <c r="L2065" t="s">
        <v>162</v>
      </c>
      <c r="N2065" t="s">
        <v>330</v>
      </c>
      <c r="O2065" t="s">
        <v>548</v>
      </c>
      <c r="P2065">
        <v>8.6637899742741872E-3</v>
      </c>
      <c r="Q2065" t="s">
        <v>162</v>
      </c>
      <c r="S2065" t="s">
        <v>442</v>
      </c>
      <c r="T2065" t="s">
        <v>548</v>
      </c>
      <c r="U2065">
        <v>6.4637245074514894E-3</v>
      </c>
      <c r="V2065" t="s">
        <v>162</v>
      </c>
    </row>
    <row r="2066" spans="9:22" x14ac:dyDescent="0.45">
      <c r="I2066" t="s">
        <v>218</v>
      </c>
      <c r="J2066" t="s">
        <v>549</v>
      </c>
      <c r="K2066">
        <v>1.7947665535662415E-2</v>
      </c>
      <c r="L2066" t="s">
        <v>162</v>
      </c>
      <c r="N2066" t="s">
        <v>330</v>
      </c>
      <c r="O2066" t="s">
        <v>549</v>
      </c>
      <c r="P2066">
        <v>2.0619887927604972E-2</v>
      </c>
      <c r="Q2066" t="s">
        <v>162</v>
      </c>
      <c r="S2066" t="s">
        <v>442</v>
      </c>
      <c r="T2066" t="s">
        <v>549</v>
      </c>
      <c r="U2066">
        <v>1.5848259003282576E-2</v>
      </c>
      <c r="V2066" t="s">
        <v>162</v>
      </c>
    </row>
    <row r="2067" spans="9:22" x14ac:dyDescent="0.45">
      <c r="I2067" t="s">
        <v>218</v>
      </c>
      <c r="J2067" t="s">
        <v>550</v>
      </c>
      <c r="K2067">
        <v>0</v>
      </c>
      <c r="L2067" t="s">
        <v>162</v>
      </c>
      <c r="N2067" t="s">
        <v>330</v>
      </c>
      <c r="O2067" t="s">
        <v>550</v>
      </c>
      <c r="P2067">
        <v>4.5971993501711887E-3</v>
      </c>
      <c r="Q2067" t="s">
        <v>162</v>
      </c>
      <c r="S2067" t="s">
        <v>442</v>
      </c>
      <c r="T2067" t="s">
        <v>550</v>
      </c>
      <c r="U2067">
        <v>3.1549508409063677E-3</v>
      </c>
      <c r="V2067" t="s">
        <v>162</v>
      </c>
    </row>
    <row r="2068" spans="9:22" x14ac:dyDescent="0.45">
      <c r="I2068" t="s">
        <v>218</v>
      </c>
      <c r="J2068" t="s">
        <v>551</v>
      </c>
      <c r="K2068">
        <v>0</v>
      </c>
      <c r="L2068" t="s">
        <v>162</v>
      </c>
      <c r="N2068" t="s">
        <v>330</v>
      </c>
      <c r="O2068" t="s">
        <v>551</v>
      </c>
      <c r="P2068">
        <v>2.9481802883678722E-2</v>
      </c>
      <c r="Q2068" t="s">
        <v>162</v>
      </c>
      <c r="S2068" t="s">
        <v>442</v>
      </c>
      <c r="T2068" t="s">
        <v>551</v>
      </c>
      <c r="U2068">
        <v>1.887710662377599E-2</v>
      </c>
      <c r="V2068" t="s">
        <v>162</v>
      </c>
    </row>
    <row r="2069" spans="9:22" x14ac:dyDescent="0.45">
      <c r="I2069" t="s">
        <v>219</v>
      </c>
      <c r="J2069" t="s">
        <v>161</v>
      </c>
      <c r="K2069">
        <v>1.6396238724968452E-3</v>
      </c>
      <c r="L2069" t="s">
        <v>162</v>
      </c>
      <c r="N2069" t="s">
        <v>331</v>
      </c>
      <c r="O2069" t="s">
        <v>161</v>
      </c>
      <c r="P2069">
        <v>4.0876405471066204E-2</v>
      </c>
      <c r="Q2069" t="s">
        <v>162</v>
      </c>
      <c r="S2069" t="s">
        <v>443</v>
      </c>
      <c r="T2069" t="s">
        <v>161</v>
      </c>
      <c r="U2069">
        <v>2.6144120236166163E-2</v>
      </c>
      <c r="V2069" t="s">
        <v>162</v>
      </c>
    </row>
    <row r="2070" spans="9:22" x14ac:dyDescent="0.45">
      <c r="I2070" t="s">
        <v>219</v>
      </c>
      <c r="J2070" t="s">
        <v>163</v>
      </c>
      <c r="K2070">
        <v>4.2786467257227446E-3</v>
      </c>
      <c r="L2070" t="s">
        <v>162</v>
      </c>
      <c r="N2070" t="s">
        <v>331</v>
      </c>
      <c r="O2070" t="s">
        <v>163</v>
      </c>
      <c r="P2070">
        <v>4.3436379696668798E-3</v>
      </c>
      <c r="Q2070" t="s">
        <v>162</v>
      </c>
      <c r="S2070" t="s">
        <v>443</v>
      </c>
      <c r="T2070" t="s">
        <v>163</v>
      </c>
      <c r="U2070">
        <v>2.7827875247486474E-3</v>
      </c>
      <c r="V2070" t="s">
        <v>162</v>
      </c>
    </row>
    <row r="2071" spans="9:22" x14ac:dyDescent="0.45">
      <c r="I2071" t="s">
        <v>219</v>
      </c>
      <c r="J2071" t="s">
        <v>164</v>
      </c>
      <c r="K2071">
        <v>1.1859748522306875E-2</v>
      </c>
      <c r="L2071" t="s">
        <v>162</v>
      </c>
      <c r="N2071" t="s">
        <v>331</v>
      </c>
      <c r="O2071" t="s">
        <v>164</v>
      </c>
      <c r="P2071">
        <v>8.5537324877769071E-3</v>
      </c>
      <c r="Q2071" t="s">
        <v>162</v>
      </c>
      <c r="S2071" t="s">
        <v>443</v>
      </c>
      <c r="T2071" t="s">
        <v>164</v>
      </c>
      <c r="U2071">
        <v>5.6584254341340325E-3</v>
      </c>
      <c r="V2071" t="s">
        <v>162</v>
      </c>
    </row>
    <row r="2072" spans="9:22" x14ac:dyDescent="0.45">
      <c r="I2072" t="s">
        <v>219</v>
      </c>
      <c r="J2072" t="s">
        <v>519</v>
      </c>
      <c r="K2072">
        <v>2.4242840341438428E-2</v>
      </c>
      <c r="L2072" t="s">
        <v>162</v>
      </c>
      <c r="N2072" t="s">
        <v>331</v>
      </c>
      <c r="O2072" t="s">
        <v>519</v>
      </c>
      <c r="P2072">
        <v>1.9707735298339961E-2</v>
      </c>
      <c r="Q2072" t="s">
        <v>162</v>
      </c>
      <c r="S2072" t="s">
        <v>443</v>
      </c>
      <c r="T2072" t="s">
        <v>519</v>
      </c>
      <c r="U2072">
        <v>1.468975840435428E-2</v>
      </c>
      <c r="V2072" t="s">
        <v>162</v>
      </c>
    </row>
    <row r="2073" spans="9:22" x14ac:dyDescent="0.45">
      <c r="I2073" t="s">
        <v>219</v>
      </c>
      <c r="J2073" t="s">
        <v>520</v>
      </c>
      <c r="K2073">
        <v>0</v>
      </c>
      <c r="L2073" t="s">
        <v>162</v>
      </c>
      <c r="N2073" t="s">
        <v>331</v>
      </c>
      <c r="O2073" t="s">
        <v>520</v>
      </c>
      <c r="P2073">
        <v>3.8146692508711673E-3</v>
      </c>
      <c r="Q2073" t="s">
        <v>162</v>
      </c>
      <c r="S2073" t="s">
        <v>443</v>
      </c>
      <c r="T2073" t="s">
        <v>520</v>
      </c>
      <c r="U2073">
        <v>2.8809596125954195E-3</v>
      </c>
      <c r="V2073" t="s">
        <v>162</v>
      </c>
    </row>
    <row r="2074" spans="9:22" x14ac:dyDescent="0.45">
      <c r="I2074" t="s">
        <v>219</v>
      </c>
      <c r="J2074" t="s">
        <v>521</v>
      </c>
      <c r="K2074">
        <v>0</v>
      </c>
      <c r="L2074" t="s">
        <v>162</v>
      </c>
      <c r="N2074" t="s">
        <v>331</v>
      </c>
      <c r="O2074" t="s">
        <v>521</v>
      </c>
      <c r="P2074">
        <v>2.4282001437503836E-2</v>
      </c>
      <c r="Q2074" t="s">
        <v>162</v>
      </c>
      <c r="S2074" t="s">
        <v>443</v>
      </c>
      <c r="T2074" t="s">
        <v>521</v>
      </c>
      <c r="U2074">
        <v>1.786416994498875E-2</v>
      </c>
      <c r="V2074" t="s">
        <v>162</v>
      </c>
    </row>
    <row r="2075" spans="9:22" x14ac:dyDescent="0.45">
      <c r="I2075" t="s">
        <v>219</v>
      </c>
      <c r="J2075" t="s">
        <v>165</v>
      </c>
      <c r="K2075">
        <v>1.9670632080935897E-2</v>
      </c>
      <c r="L2075" t="s">
        <v>162</v>
      </c>
      <c r="N2075" t="s">
        <v>331</v>
      </c>
      <c r="O2075" t="s">
        <v>165</v>
      </c>
      <c r="P2075">
        <v>7.5324044734357817E-2</v>
      </c>
      <c r="Q2075" t="s">
        <v>162</v>
      </c>
      <c r="S2075" t="s">
        <v>443</v>
      </c>
      <c r="T2075" t="s">
        <v>165</v>
      </c>
      <c r="U2075">
        <v>5.7343383096700618E-2</v>
      </c>
      <c r="V2075" t="s">
        <v>162</v>
      </c>
    </row>
    <row r="2076" spans="9:22" x14ac:dyDescent="0.45">
      <c r="I2076" t="s">
        <v>219</v>
      </c>
      <c r="J2076" t="s">
        <v>166</v>
      </c>
      <c r="K2076">
        <v>1.5644005494739217E-2</v>
      </c>
      <c r="L2076" t="s">
        <v>162</v>
      </c>
      <c r="N2076" t="s">
        <v>331</v>
      </c>
      <c r="O2076" t="s">
        <v>166</v>
      </c>
      <c r="P2076">
        <v>7.3026009753551424E-3</v>
      </c>
      <c r="Q2076" t="s">
        <v>162</v>
      </c>
      <c r="S2076" t="s">
        <v>443</v>
      </c>
      <c r="T2076" t="s">
        <v>166</v>
      </c>
      <c r="U2076">
        <v>5.8197938108149943E-3</v>
      </c>
      <c r="V2076" t="s">
        <v>162</v>
      </c>
    </row>
    <row r="2077" spans="9:22" x14ac:dyDescent="0.45">
      <c r="I2077" t="s">
        <v>219</v>
      </c>
      <c r="J2077" t="s">
        <v>167</v>
      </c>
      <c r="K2077">
        <v>3.3878800616178144E-2</v>
      </c>
      <c r="L2077" t="s">
        <v>162</v>
      </c>
      <c r="N2077" t="s">
        <v>331</v>
      </c>
      <c r="O2077" t="s">
        <v>167</v>
      </c>
      <c r="P2077">
        <v>1.3294580050587654E-2</v>
      </c>
      <c r="Q2077" t="s">
        <v>162</v>
      </c>
      <c r="S2077" t="s">
        <v>443</v>
      </c>
      <c r="T2077" t="s">
        <v>167</v>
      </c>
      <c r="U2077">
        <v>1.1504272250820948E-2</v>
      </c>
      <c r="V2077" t="s">
        <v>162</v>
      </c>
    </row>
    <row r="2078" spans="9:22" x14ac:dyDescent="0.45">
      <c r="I2078" t="s">
        <v>219</v>
      </c>
      <c r="J2078" t="s">
        <v>522</v>
      </c>
      <c r="K2078">
        <v>7.6728568452249596E-2</v>
      </c>
      <c r="L2078" t="s">
        <v>162</v>
      </c>
      <c r="N2078" t="s">
        <v>331</v>
      </c>
      <c r="O2078" t="s">
        <v>522</v>
      </c>
      <c r="P2078">
        <v>3.1980716638978592E-2</v>
      </c>
      <c r="Q2078" t="s">
        <v>162</v>
      </c>
      <c r="S2078" t="s">
        <v>443</v>
      </c>
      <c r="T2078" t="s">
        <v>522</v>
      </c>
      <c r="U2078">
        <v>2.8437022115687417E-2</v>
      </c>
      <c r="V2078" t="s">
        <v>162</v>
      </c>
    </row>
    <row r="2079" spans="9:22" x14ac:dyDescent="0.45">
      <c r="I2079" t="s">
        <v>219</v>
      </c>
      <c r="J2079" t="s">
        <v>523</v>
      </c>
      <c r="K2079">
        <v>6.8446746799972688E-3</v>
      </c>
      <c r="L2079" t="s">
        <v>162</v>
      </c>
      <c r="N2079" t="s">
        <v>331</v>
      </c>
      <c r="O2079" t="s">
        <v>523</v>
      </c>
      <c r="P2079">
        <v>7.0752123093494939E-3</v>
      </c>
      <c r="Q2079" t="s">
        <v>162</v>
      </c>
      <c r="S2079" t="s">
        <v>443</v>
      </c>
      <c r="T2079" t="s">
        <v>523</v>
      </c>
      <c r="U2079">
        <v>5.7444816344868485E-3</v>
      </c>
      <c r="V2079" t="s">
        <v>162</v>
      </c>
    </row>
    <row r="2080" spans="9:22" x14ac:dyDescent="0.45">
      <c r="I2080" t="s">
        <v>219</v>
      </c>
      <c r="J2080" t="s">
        <v>524</v>
      </c>
      <c r="K2080">
        <v>1.311401528672792E-3</v>
      </c>
      <c r="L2080" t="s">
        <v>162</v>
      </c>
      <c r="N2080" t="s">
        <v>331</v>
      </c>
      <c r="O2080" t="s">
        <v>524</v>
      </c>
      <c r="P2080">
        <v>4.8476693472384688E-2</v>
      </c>
      <c r="Q2080" t="s">
        <v>162</v>
      </c>
      <c r="S2080" t="s">
        <v>443</v>
      </c>
      <c r="T2080" t="s">
        <v>524</v>
      </c>
      <c r="U2080">
        <v>3.62956450917023E-2</v>
      </c>
      <c r="V2080" t="s">
        <v>162</v>
      </c>
    </row>
    <row r="2081" spans="9:22" x14ac:dyDescent="0.45">
      <c r="I2081" t="s">
        <v>219</v>
      </c>
      <c r="J2081" t="s">
        <v>168</v>
      </c>
      <c r="K2081">
        <v>2.1498350413887663E-2</v>
      </c>
      <c r="L2081" t="s">
        <v>162</v>
      </c>
      <c r="N2081" t="s">
        <v>331</v>
      </c>
      <c r="O2081" t="s">
        <v>168</v>
      </c>
      <c r="P2081">
        <v>3.8355454678976553E-2</v>
      </c>
      <c r="Q2081" t="s">
        <v>162</v>
      </c>
      <c r="S2081" t="s">
        <v>443</v>
      </c>
      <c r="T2081" t="s">
        <v>168</v>
      </c>
      <c r="U2081">
        <v>3.1417259986739512E-2</v>
      </c>
      <c r="V2081" t="s">
        <v>162</v>
      </c>
    </row>
    <row r="2082" spans="9:22" x14ac:dyDescent="0.45">
      <c r="I2082" t="s">
        <v>219</v>
      </c>
      <c r="J2082" t="s">
        <v>169</v>
      </c>
      <c r="K2082">
        <v>9.481080966492134E-3</v>
      </c>
      <c r="L2082" t="s">
        <v>162</v>
      </c>
      <c r="N2082" t="s">
        <v>331</v>
      </c>
      <c r="O2082" t="s">
        <v>169</v>
      </c>
      <c r="P2082">
        <v>3.6654291757701653E-3</v>
      </c>
      <c r="Q2082" t="s">
        <v>162</v>
      </c>
      <c r="S2082" t="s">
        <v>443</v>
      </c>
      <c r="T2082" t="s">
        <v>169</v>
      </c>
      <c r="U2082">
        <v>3.0847110090628936E-3</v>
      </c>
      <c r="V2082" t="s">
        <v>162</v>
      </c>
    </row>
    <row r="2083" spans="9:22" x14ac:dyDescent="0.45">
      <c r="I2083" t="s">
        <v>219</v>
      </c>
      <c r="J2083" t="s">
        <v>170</v>
      </c>
      <c r="K2083">
        <v>2.0116309695971692E-2</v>
      </c>
      <c r="L2083" t="s">
        <v>162</v>
      </c>
      <c r="N2083" t="s">
        <v>331</v>
      </c>
      <c r="O2083" t="s">
        <v>170</v>
      </c>
      <c r="P2083">
        <v>7.8811429538721972E-3</v>
      </c>
      <c r="Q2083" t="s">
        <v>162</v>
      </c>
      <c r="S2083" t="s">
        <v>443</v>
      </c>
      <c r="T2083" t="s">
        <v>170</v>
      </c>
      <c r="U2083">
        <v>5.9868609365163793E-3</v>
      </c>
      <c r="V2083" t="s">
        <v>162</v>
      </c>
    </row>
    <row r="2084" spans="9:22" x14ac:dyDescent="0.45">
      <c r="I2084" t="s">
        <v>219</v>
      </c>
      <c r="J2084" t="s">
        <v>525</v>
      </c>
      <c r="K2084">
        <v>4.4242981386926512E-2</v>
      </c>
      <c r="L2084" t="s">
        <v>162</v>
      </c>
      <c r="N2084" t="s">
        <v>331</v>
      </c>
      <c r="O2084" t="s">
        <v>525</v>
      </c>
      <c r="P2084">
        <v>2.034586679253601E-2</v>
      </c>
      <c r="Q2084" t="s">
        <v>162</v>
      </c>
      <c r="S2084" t="s">
        <v>443</v>
      </c>
      <c r="T2084" t="s">
        <v>525</v>
      </c>
      <c r="U2084">
        <v>1.429149123431939E-2</v>
      </c>
      <c r="V2084" t="s">
        <v>162</v>
      </c>
    </row>
    <row r="2085" spans="9:22" x14ac:dyDescent="0.45">
      <c r="I2085" t="s">
        <v>219</v>
      </c>
      <c r="J2085" t="s">
        <v>526</v>
      </c>
      <c r="K2085">
        <v>5.3086719293893745E-3</v>
      </c>
      <c r="L2085" t="s">
        <v>162</v>
      </c>
      <c r="N2085" t="s">
        <v>331</v>
      </c>
      <c r="O2085" t="s">
        <v>526</v>
      </c>
      <c r="P2085">
        <v>3.7126030107446938E-3</v>
      </c>
      <c r="Q2085" t="s">
        <v>162</v>
      </c>
      <c r="S2085" t="s">
        <v>443</v>
      </c>
      <c r="T2085" t="s">
        <v>526</v>
      </c>
      <c r="U2085">
        <v>2.7421300047908033E-3</v>
      </c>
      <c r="V2085" t="s">
        <v>162</v>
      </c>
    </row>
    <row r="2086" spans="9:22" x14ac:dyDescent="0.45">
      <c r="I2086" t="s">
        <v>219</v>
      </c>
      <c r="J2086" t="s">
        <v>527</v>
      </c>
      <c r="K2086">
        <v>3.4190767093806342E-3</v>
      </c>
      <c r="L2086" t="s">
        <v>162</v>
      </c>
      <c r="N2086" t="s">
        <v>331</v>
      </c>
      <c r="O2086" t="s">
        <v>527</v>
      </c>
      <c r="P2086">
        <v>2.6262155802463806E-2</v>
      </c>
      <c r="Q2086" t="s">
        <v>162</v>
      </c>
      <c r="S2086" t="s">
        <v>443</v>
      </c>
      <c r="T2086" t="s">
        <v>527</v>
      </c>
      <c r="U2086">
        <v>1.9025175494354108E-2</v>
      </c>
      <c r="V2086" t="s">
        <v>162</v>
      </c>
    </row>
    <row r="2087" spans="9:22" x14ac:dyDescent="0.45">
      <c r="I2087" t="s">
        <v>219</v>
      </c>
      <c r="J2087" t="s">
        <v>528</v>
      </c>
      <c r="K2087">
        <v>8.3401082156575768E-2</v>
      </c>
      <c r="L2087" t="s">
        <v>162</v>
      </c>
      <c r="N2087" t="s">
        <v>331</v>
      </c>
      <c r="O2087" t="s">
        <v>528</v>
      </c>
      <c r="P2087">
        <v>7.796913530754801E-2</v>
      </c>
      <c r="Q2087" t="s">
        <v>162</v>
      </c>
      <c r="S2087" t="s">
        <v>443</v>
      </c>
      <c r="T2087" t="s">
        <v>528</v>
      </c>
      <c r="U2087">
        <v>9.4417567329243987E-2</v>
      </c>
      <c r="V2087" t="s">
        <v>162</v>
      </c>
    </row>
    <row r="2088" spans="9:22" x14ac:dyDescent="0.45">
      <c r="I2088" t="s">
        <v>219</v>
      </c>
      <c r="J2088" t="s">
        <v>529</v>
      </c>
      <c r="K2088">
        <v>2.9770185007143419E-2</v>
      </c>
      <c r="L2088" t="s">
        <v>162</v>
      </c>
      <c r="N2088" t="s">
        <v>331</v>
      </c>
      <c r="O2088" t="s">
        <v>529</v>
      </c>
      <c r="P2088">
        <v>7.0973832120116639E-3</v>
      </c>
      <c r="Q2088" t="s">
        <v>162</v>
      </c>
      <c r="S2088" t="s">
        <v>443</v>
      </c>
      <c r="T2088" t="s">
        <v>529</v>
      </c>
      <c r="U2088">
        <v>9.3857022257176313E-3</v>
      </c>
      <c r="V2088" t="s">
        <v>162</v>
      </c>
    </row>
    <row r="2089" spans="9:22" x14ac:dyDescent="0.45">
      <c r="I2089" t="s">
        <v>219</v>
      </c>
      <c r="J2089" t="s">
        <v>530</v>
      </c>
      <c r="K2089">
        <v>5.997174842523148E-2</v>
      </c>
      <c r="L2089" t="s">
        <v>162</v>
      </c>
      <c r="N2089" t="s">
        <v>331</v>
      </c>
      <c r="O2089" t="s">
        <v>530</v>
      </c>
      <c r="P2089">
        <v>1.5824547424686666E-2</v>
      </c>
      <c r="Q2089" t="s">
        <v>162</v>
      </c>
      <c r="S2089" t="s">
        <v>443</v>
      </c>
      <c r="T2089" t="s">
        <v>530</v>
      </c>
      <c r="U2089">
        <v>1.9056108632295544E-2</v>
      </c>
      <c r="V2089" t="s">
        <v>162</v>
      </c>
    </row>
    <row r="2090" spans="9:22" x14ac:dyDescent="0.45">
      <c r="I2090" t="s">
        <v>219</v>
      </c>
      <c r="J2090" t="s">
        <v>531</v>
      </c>
      <c r="K2090">
        <v>0.13507601314963305</v>
      </c>
      <c r="L2090" t="s">
        <v>162</v>
      </c>
      <c r="N2090" t="s">
        <v>331</v>
      </c>
      <c r="O2090" t="s">
        <v>531</v>
      </c>
      <c r="P2090">
        <v>4.2125311737764543E-2</v>
      </c>
      <c r="Q2090" t="s">
        <v>162</v>
      </c>
      <c r="S2090" t="s">
        <v>443</v>
      </c>
      <c r="T2090" t="s">
        <v>531</v>
      </c>
      <c r="U2090">
        <v>5.2102724942317546E-2</v>
      </c>
      <c r="V2090" t="s">
        <v>162</v>
      </c>
    </row>
    <row r="2091" spans="9:22" x14ac:dyDescent="0.45">
      <c r="I2091" t="s">
        <v>219</v>
      </c>
      <c r="J2091" t="s">
        <v>532</v>
      </c>
      <c r="K2091">
        <v>1.9646930915805084E-2</v>
      </c>
      <c r="L2091" t="s">
        <v>162</v>
      </c>
      <c r="N2091" t="s">
        <v>331</v>
      </c>
      <c r="O2091" t="s">
        <v>532</v>
      </c>
      <c r="P2091">
        <v>7.5786500699726441E-3</v>
      </c>
      <c r="Q2091" t="s">
        <v>162</v>
      </c>
      <c r="S2091" t="s">
        <v>443</v>
      </c>
      <c r="T2091" t="s">
        <v>532</v>
      </c>
      <c r="U2091">
        <v>1.0989511304150944E-2</v>
      </c>
      <c r="V2091" t="s">
        <v>162</v>
      </c>
    </row>
    <row r="2092" spans="9:22" x14ac:dyDescent="0.45">
      <c r="I2092" t="s">
        <v>219</v>
      </c>
      <c r="J2092" t="s">
        <v>533</v>
      </c>
      <c r="K2092">
        <v>2.3344764465007033E-2</v>
      </c>
      <c r="L2092" t="s">
        <v>162</v>
      </c>
      <c r="N2092" t="s">
        <v>331</v>
      </c>
      <c r="O2092" t="s">
        <v>533</v>
      </c>
      <c r="P2092">
        <v>5.6135234423373925E-2</v>
      </c>
      <c r="Q2092" t="s">
        <v>162</v>
      </c>
      <c r="S2092" t="s">
        <v>443</v>
      </c>
      <c r="T2092" t="s">
        <v>533</v>
      </c>
      <c r="U2092">
        <v>6.5704033447509858E-2</v>
      </c>
      <c r="V2092" t="s">
        <v>162</v>
      </c>
    </row>
    <row r="2093" spans="9:22" x14ac:dyDescent="0.45">
      <c r="I2093" t="s">
        <v>219</v>
      </c>
      <c r="J2093" t="s">
        <v>534</v>
      </c>
      <c r="K2093">
        <v>5.3646660217645803E-2</v>
      </c>
      <c r="L2093" t="s">
        <v>162</v>
      </c>
      <c r="N2093" t="s">
        <v>331</v>
      </c>
      <c r="O2093" t="s">
        <v>534</v>
      </c>
      <c r="P2093">
        <v>8.2330974044317592E-2</v>
      </c>
      <c r="Q2093" t="s">
        <v>162</v>
      </c>
      <c r="S2093" t="s">
        <v>443</v>
      </c>
      <c r="T2093" t="s">
        <v>534</v>
      </c>
      <c r="U2093">
        <v>0.10622864244316865</v>
      </c>
      <c r="V2093" t="s">
        <v>162</v>
      </c>
    </row>
    <row r="2094" spans="9:22" x14ac:dyDescent="0.45">
      <c r="I2094" t="s">
        <v>219</v>
      </c>
      <c r="J2094" t="s">
        <v>535</v>
      </c>
      <c r="K2094">
        <v>2.6543868631180609E-2</v>
      </c>
      <c r="L2094" t="s">
        <v>162</v>
      </c>
      <c r="N2094" t="s">
        <v>331</v>
      </c>
      <c r="O2094" t="s">
        <v>535</v>
      </c>
      <c r="P2094">
        <v>6.5049103035067501E-3</v>
      </c>
      <c r="Q2094" t="s">
        <v>162</v>
      </c>
      <c r="S2094" t="s">
        <v>443</v>
      </c>
      <c r="T2094" t="s">
        <v>535</v>
      </c>
      <c r="U2094">
        <v>1.122705730793273E-2</v>
      </c>
      <c r="V2094" t="s">
        <v>162</v>
      </c>
    </row>
    <row r="2095" spans="9:22" x14ac:dyDescent="0.45">
      <c r="I2095" t="s">
        <v>219</v>
      </c>
      <c r="J2095" t="s">
        <v>536</v>
      </c>
      <c r="K2095">
        <v>5.2988942977941052E-2</v>
      </c>
      <c r="L2095" t="s">
        <v>162</v>
      </c>
      <c r="N2095" t="s">
        <v>331</v>
      </c>
      <c r="O2095" t="s">
        <v>536</v>
      </c>
      <c r="P2095">
        <v>1.4245136704442931E-2</v>
      </c>
      <c r="Q2095" t="s">
        <v>162</v>
      </c>
      <c r="S2095" t="s">
        <v>443</v>
      </c>
      <c r="T2095" t="s">
        <v>536</v>
      </c>
      <c r="U2095">
        <v>2.2013910637995557E-2</v>
      </c>
      <c r="V2095" t="s">
        <v>162</v>
      </c>
    </row>
    <row r="2096" spans="9:22" x14ac:dyDescent="0.45">
      <c r="I2096" t="s">
        <v>219</v>
      </c>
      <c r="J2096" t="s">
        <v>537</v>
      </c>
      <c r="K2096">
        <v>0.1203252890999759</v>
      </c>
      <c r="L2096" t="s">
        <v>162</v>
      </c>
      <c r="N2096" t="s">
        <v>331</v>
      </c>
      <c r="O2096" t="s">
        <v>537</v>
      </c>
      <c r="P2096">
        <v>3.8188079209638827E-2</v>
      </c>
      <c r="Q2096" t="s">
        <v>162</v>
      </c>
      <c r="S2096" t="s">
        <v>443</v>
      </c>
      <c r="T2096" t="s">
        <v>537</v>
      </c>
      <c r="U2096">
        <v>5.6734259994840781E-2</v>
      </c>
      <c r="V2096" t="s">
        <v>162</v>
      </c>
    </row>
    <row r="2097" spans="9:22" x14ac:dyDescent="0.45">
      <c r="I2097" t="s">
        <v>219</v>
      </c>
      <c r="J2097" t="s">
        <v>538</v>
      </c>
      <c r="K2097">
        <v>1.2238568292788521E-2</v>
      </c>
      <c r="L2097" t="s">
        <v>162</v>
      </c>
      <c r="N2097" t="s">
        <v>331</v>
      </c>
      <c r="O2097" t="s">
        <v>538</v>
      </c>
      <c r="P2097">
        <v>7.7959398536268315E-3</v>
      </c>
      <c r="Q2097" t="s">
        <v>162</v>
      </c>
      <c r="S2097" t="s">
        <v>443</v>
      </c>
      <c r="T2097" t="s">
        <v>538</v>
      </c>
      <c r="U2097">
        <v>1.190215424856547E-2</v>
      </c>
      <c r="V2097" t="s">
        <v>162</v>
      </c>
    </row>
    <row r="2098" spans="9:22" x14ac:dyDescent="0.45">
      <c r="I2098" t="s">
        <v>219</v>
      </c>
      <c r="J2098" t="s">
        <v>539</v>
      </c>
      <c r="K2098">
        <v>6.2651999588430578E-3</v>
      </c>
      <c r="L2098" t="s">
        <v>162</v>
      </c>
      <c r="N2098" t="s">
        <v>331</v>
      </c>
      <c r="O2098" t="s">
        <v>539</v>
      </c>
      <c r="P2098">
        <v>6.367273810598767E-2</v>
      </c>
      <c r="Q2098" t="s">
        <v>162</v>
      </c>
      <c r="S2098" t="s">
        <v>443</v>
      </c>
      <c r="T2098" t="s">
        <v>539</v>
      </c>
      <c r="U2098">
        <v>7.0407212698196095E-2</v>
      </c>
      <c r="V2098" t="s">
        <v>162</v>
      </c>
    </row>
    <row r="2099" spans="9:22" x14ac:dyDescent="0.45">
      <c r="I2099" t="s">
        <v>219</v>
      </c>
      <c r="J2099" t="s">
        <v>540</v>
      </c>
      <c r="K2099">
        <v>4.3650396452023918E-3</v>
      </c>
      <c r="L2099" t="s">
        <v>162</v>
      </c>
      <c r="N2099" t="s">
        <v>331</v>
      </c>
      <c r="O2099" t="s">
        <v>540</v>
      </c>
      <c r="P2099">
        <v>3.598533623809181E-2</v>
      </c>
      <c r="Q2099" t="s">
        <v>162</v>
      </c>
      <c r="S2099" t="s">
        <v>443</v>
      </c>
      <c r="T2099" t="s">
        <v>540</v>
      </c>
      <c r="U2099">
        <v>3.9780302993744514E-2</v>
      </c>
      <c r="V2099" t="s">
        <v>162</v>
      </c>
    </row>
    <row r="2100" spans="9:22" x14ac:dyDescent="0.45">
      <c r="I2100" t="s">
        <v>219</v>
      </c>
      <c r="J2100" t="s">
        <v>541</v>
      </c>
      <c r="K2100">
        <v>5.7840182992703118E-3</v>
      </c>
      <c r="L2100" t="s">
        <v>162</v>
      </c>
      <c r="N2100" t="s">
        <v>331</v>
      </c>
      <c r="O2100" t="s">
        <v>541</v>
      </c>
      <c r="P2100">
        <v>3.6910847961338306E-3</v>
      </c>
      <c r="Q2100" t="s">
        <v>162</v>
      </c>
      <c r="S2100" t="s">
        <v>443</v>
      </c>
      <c r="T2100" t="s">
        <v>541</v>
      </c>
      <c r="U2100">
        <v>4.6735779267564189E-3</v>
      </c>
      <c r="V2100" t="s">
        <v>162</v>
      </c>
    </row>
    <row r="2101" spans="9:22" x14ac:dyDescent="0.45">
      <c r="I2101" t="s">
        <v>219</v>
      </c>
      <c r="J2101" t="s">
        <v>542</v>
      </c>
      <c r="K2101">
        <v>1.2112866095940606E-2</v>
      </c>
      <c r="L2101" t="s">
        <v>162</v>
      </c>
      <c r="N2101" t="s">
        <v>331</v>
      </c>
      <c r="O2101" t="s">
        <v>542</v>
      </c>
      <c r="P2101">
        <v>6.6314534330398382E-3</v>
      </c>
      <c r="Q2101" t="s">
        <v>162</v>
      </c>
      <c r="S2101" t="s">
        <v>443</v>
      </c>
      <c r="T2101" t="s">
        <v>542</v>
      </c>
      <c r="U2101">
        <v>9.1463840267983661E-3</v>
      </c>
      <c r="V2101" t="s">
        <v>162</v>
      </c>
    </row>
    <row r="2102" spans="9:22" x14ac:dyDescent="0.45">
      <c r="I2102" t="s">
        <v>219</v>
      </c>
      <c r="J2102" t="s">
        <v>543</v>
      </c>
      <c r="K2102">
        <v>2.127421536045964E-2</v>
      </c>
      <c r="L2102" t="s">
        <v>162</v>
      </c>
      <c r="N2102" t="s">
        <v>331</v>
      </c>
      <c r="O2102" t="s">
        <v>543</v>
      </c>
      <c r="P2102">
        <v>1.6745639055096559E-2</v>
      </c>
      <c r="Q2102" t="s">
        <v>162</v>
      </c>
      <c r="S2102" t="s">
        <v>443</v>
      </c>
      <c r="T2102" t="s">
        <v>543</v>
      </c>
      <c r="U2102">
        <v>2.1790730928119329E-2</v>
      </c>
      <c r="V2102" t="s">
        <v>162</v>
      </c>
    </row>
    <row r="2103" spans="9:22" x14ac:dyDescent="0.45">
      <c r="I2103" t="s">
        <v>219</v>
      </c>
      <c r="J2103" t="s">
        <v>544</v>
      </c>
      <c r="K2103">
        <v>0</v>
      </c>
      <c r="L2103" t="s">
        <v>162</v>
      </c>
      <c r="N2103" t="s">
        <v>331</v>
      </c>
      <c r="O2103" t="s">
        <v>544</v>
      </c>
      <c r="P2103">
        <v>4.0143591945571563E-3</v>
      </c>
      <c r="Q2103" t="s">
        <v>162</v>
      </c>
      <c r="S2103" t="s">
        <v>443</v>
      </c>
      <c r="T2103" t="s">
        <v>544</v>
      </c>
      <c r="U2103">
        <v>4.2696866904519473E-3</v>
      </c>
      <c r="V2103" t="s">
        <v>162</v>
      </c>
    </row>
    <row r="2104" spans="9:22" x14ac:dyDescent="0.45">
      <c r="I2104" t="s">
        <v>219</v>
      </c>
      <c r="J2104" t="s">
        <v>545</v>
      </c>
      <c r="K2104">
        <v>0</v>
      </c>
      <c r="L2104" t="s">
        <v>162</v>
      </c>
      <c r="N2104" t="s">
        <v>331</v>
      </c>
      <c r="O2104" t="s">
        <v>545</v>
      </c>
      <c r="P2104">
        <v>2.4379056419605204E-2</v>
      </c>
      <c r="Q2104" t="s">
        <v>162</v>
      </c>
      <c r="S2104" t="s">
        <v>443</v>
      </c>
      <c r="T2104" t="s">
        <v>545</v>
      </c>
      <c r="U2104">
        <v>2.6316392445042056E-2</v>
      </c>
      <c r="V2104" t="s">
        <v>162</v>
      </c>
    </row>
    <row r="2105" spans="9:22" x14ac:dyDescent="0.45">
      <c r="I2105" t="s">
        <v>219</v>
      </c>
      <c r="J2105" t="s">
        <v>546</v>
      </c>
      <c r="K2105">
        <v>1.1503920370171217E-3</v>
      </c>
      <c r="L2105" t="s">
        <v>162</v>
      </c>
      <c r="N2105" t="s">
        <v>331</v>
      </c>
      <c r="O2105" t="s">
        <v>546</v>
      </c>
      <c r="P2105">
        <v>3.9020845447938227E-2</v>
      </c>
      <c r="Q2105" t="s">
        <v>162</v>
      </c>
      <c r="S2105" t="s">
        <v>443</v>
      </c>
      <c r="T2105" t="s">
        <v>546</v>
      </c>
      <c r="U2105">
        <v>2.8531371105378914E-2</v>
      </c>
      <c r="V2105" t="s">
        <v>162</v>
      </c>
    </row>
    <row r="2106" spans="9:22" x14ac:dyDescent="0.45">
      <c r="I2106" t="s">
        <v>219</v>
      </c>
      <c r="J2106" t="s">
        <v>547</v>
      </c>
      <c r="K2106">
        <v>3.4893947871520938E-3</v>
      </c>
      <c r="L2106" t="s">
        <v>162</v>
      </c>
      <c r="N2106" t="s">
        <v>331</v>
      </c>
      <c r="O2106" t="s">
        <v>547</v>
      </c>
      <c r="P2106">
        <v>4.418218101314474E-3</v>
      </c>
      <c r="Q2106" t="s">
        <v>162</v>
      </c>
      <c r="S2106" t="s">
        <v>443</v>
      </c>
      <c r="T2106" t="s">
        <v>547</v>
      </c>
      <c r="U2106">
        <v>3.1699023919931086E-3</v>
      </c>
      <c r="V2106" t="s">
        <v>162</v>
      </c>
    </row>
    <row r="2107" spans="9:22" x14ac:dyDescent="0.45">
      <c r="I2107" t="s">
        <v>219</v>
      </c>
      <c r="J2107" t="s">
        <v>548</v>
      </c>
      <c r="K2107">
        <v>1.0283686154654879E-2</v>
      </c>
      <c r="L2107" t="s">
        <v>162</v>
      </c>
      <c r="N2107" t="s">
        <v>331</v>
      </c>
      <c r="O2107" t="s">
        <v>548</v>
      </c>
      <c r="P2107">
        <v>8.0851706050035603E-3</v>
      </c>
      <c r="Q2107" t="s">
        <v>162</v>
      </c>
      <c r="S2107" t="s">
        <v>443</v>
      </c>
      <c r="T2107" t="s">
        <v>548</v>
      </c>
      <c r="U2107">
        <v>6.2092603442719559E-3</v>
      </c>
      <c r="V2107" t="s">
        <v>162</v>
      </c>
    </row>
    <row r="2108" spans="9:22" x14ac:dyDescent="0.45">
      <c r="I2108" t="s">
        <v>219</v>
      </c>
      <c r="J2108" t="s">
        <v>549</v>
      </c>
      <c r="K2108">
        <v>1.815572090574839E-2</v>
      </c>
      <c r="L2108" t="s">
        <v>162</v>
      </c>
      <c r="N2108" t="s">
        <v>331</v>
      </c>
      <c r="O2108" t="s">
        <v>549</v>
      </c>
      <c r="P2108">
        <v>1.9679726737022174E-2</v>
      </c>
      <c r="Q2108" t="s">
        <v>162</v>
      </c>
      <c r="S2108" t="s">
        <v>443</v>
      </c>
      <c r="T2108" t="s">
        <v>549</v>
      </c>
      <c r="U2108">
        <v>1.4140863353206483E-2</v>
      </c>
      <c r="V2108" t="s">
        <v>162</v>
      </c>
    </row>
    <row r="2109" spans="9:22" x14ac:dyDescent="0.45">
      <c r="I2109" t="s">
        <v>219</v>
      </c>
      <c r="J2109" t="s">
        <v>550</v>
      </c>
      <c r="K2109">
        <v>0</v>
      </c>
      <c r="L2109" t="s">
        <v>162</v>
      </c>
      <c r="N2109" t="s">
        <v>331</v>
      </c>
      <c r="O2109" t="s">
        <v>550</v>
      </c>
      <c r="P2109">
        <v>4.4924806363126121E-3</v>
      </c>
      <c r="Q2109" t="s">
        <v>162</v>
      </c>
      <c r="S2109" t="s">
        <v>443</v>
      </c>
      <c r="T2109" t="s">
        <v>550</v>
      </c>
      <c r="U2109">
        <v>2.7665596591392697E-3</v>
      </c>
      <c r="V2109" t="s">
        <v>162</v>
      </c>
    </row>
    <row r="2110" spans="9:22" x14ac:dyDescent="0.45">
      <c r="I2110" t="s">
        <v>219</v>
      </c>
      <c r="J2110" t="s">
        <v>551</v>
      </c>
      <c r="K2110">
        <v>0</v>
      </c>
      <c r="L2110" t="s">
        <v>162</v>
      </c>
      <c r="N2110" t="s">
        <v>331</v>
      </c>
      <c r="O2110" t="s">
        <v>551</v>
      </c>
      <c r="P2110">
        <v>2.8133906428405707E-2</v>
      </c>
      <c r="Q2110" t="s">
        <v>162</v>
      </c>
      <c r="S2110" t="s">
        <v>443</v>
      </c>
      <c r="T2110" t="s">
        <v>551</v>
      </c>
      <c r="U2110">
        <v>1.732363510018016E-2</v>
      </c>
      <c r="V2110" t="s">
        <v>162</v>
      </c>
    </row>
    <row r="2111" spans="9:22" x14ac:dyDescent="0.45">
      <c r="I2111" t="s">
        <v>220</v>
      </c>
      <c r="J2111" t="s">
        <v>161</v>
      </c>
      <c r="K2111">
        <v>5.3474503299514816E-4</v>
      </c>
      <c r="L2111" t="s">
        <v>162</v>
      </c>
      <c r="N2111" t="s">
        <v>332</v>
      </c>
      <c r="O2111" t="s">
        <v>161</v>
      </c>
      <c r="P2111">
        <v>3.8680461417251143E-2</v>
      </c>
      <c r="Q2111" t="s">
        <v>162</v>
      </c>
      <c r="S2111" t="s">
        <v>444</v>
      </c>
      <c r="T2111" t="s">
        <v>161</v>
      </c>
      <c r="U2111">
        <v>3.0690899853941217E-2</v>
      </c>
      <c r="V2111" t="s">
        <v>162</v>
      </c>
    </row>
    <row r="2112" spans="9:22" x14ac:dyDescent="0.45">
      <c r="I2112" t="s">
        <v>220</v>
      </c>
      <c r="J2112" t="s">
        <v>163</v>
      </c>
      <c r="K2112">
        <v>4.0595473276062687E-3</v>
      </c>
      <c r="L2112" t="s">
        <v>162</v>
      </c>
      <c r="N2112" t="s">
        <v>332</v>
      </c>
      <c r="O2112" t="s">
        <v>163</v>
      </c>
      <c r="P2112">
        <v>4.6073396939741058E-3</v>
      </c>
      <c r="Q2112" t="s">
        <v>162</v>
      </c>
      <c r="S2112" t="s">
        <v>444</v>
      </c>
      <c r="T2112" t="s">
        <v>163</v>
      </c>
      <c r="U2112">
        <v>3.2319492391088248E-3</v>
      </c>
      <c r="V2112" t="s">
        <v>162</v>
      </c>
    </row>
    <row r="2113" spans="9:22" x14ac:dyDescent="0.45">
      <c r="I2113" t="s">
        <v>220</v>
      </c>
      <c r="J2113" t="s">
        <v>164</v>
      </c>
      <c r="K2113">
        <v>1.2200877006949652E-2</v>
      </c>
      <c r="L2113" t="s">
        <v>162</v>
      </c>
      <c r="N2113" t="s">
        <v>332</v>
      </c>
      <c r="O2113" t="s">
        <v>164</v>
      </c>
      <c r="P2113">
        <v>9.2422968484783229E-3</v>
      </c>
      <c r="Q2113" t="s">
        <v>162</v>
      </c>
      <c r="S2113" t="s">
        <v>444</v>
      </c>
      <c r="T2113" t="s">
        <v>164</v>
      </c>
      <c r="U2113">
        <v>6.4620945280967962E-3</v>
      </c>
      <c r="V2113" t="s">
        <v>162</v>
      </c>
    </row>
    <row r="2114" spans="9:22" x14ac:dyDescent="0.45">
      <c r="I2114" t="s">
        <v>220</v>
      </c>
      <c r="J2114" t="s">
        <v>519</v>
      </c>
      <c r="K2114">
        <v>2.5612697194446438E-2</v>
      </c>
      <c r="L2114" t="s">
        <v>162</v>
      </c>
      <c r="N2114" t="s">
        <v>332</v>
      </c>
      <c r="O2114" t="s">
        <v>519</v>
      </c>
      <c r="P2114">
        <v>2.359746894709485E-2</v>
      </c>
      <c r="Q2114" t="s">
        <v>162</v>
      </c>
      <c r="S2114" t="s">
        <v>444</v>
      </c>
      <c r="T2114" t="s">
        <v>519</v>
      </c>
      <c r="U2114">
        <v>1.6870392872838581E-2</v>
      </c>
      <c r="V2114" t="s">
        <v>162</v>
      </c>
    </row>
    <row r="2115" spans="9:22" x14ac:dyDescent="0.45">
      <c r="I2115" t="s">
        <v>220</v>
      </c>
      <c r="J2115" t="s">
        <v>520</v>
      </c>
      <c r="K2115">
        <v>0</v>
      </c>
      <c r="L2115" t="s">
        <v>162</v>
      </c>
      <c r="N2115" t="s">
        <v>332</v>
      </c>
      <c r="O2115" t="s">
        <v>520</v>
      </c>
      <c r="P2115">
        <v>4.6091443804605102E-3</v>
      </c>
      <c r="Q2115" t="s">
        <v>162</v>
      </c>
      <c r="S2115" t="s">
        <v>444</v>
      </c>
      <c r="T2115" t="s">
        <v>520</v>
      </c>
      <c r="U2115">
        <v>3.2571154732099197E-3</v>
      </c>
      <c r="V2115" t="s">
        <v>162</v>
      </c>
    </row>
    <row r="2116" spans="9:22" x14ac:dyDescent="0.45">
      <c r="I2116" t="s">
        <v>220</v>
      </c>
      <c r="J2116" t="s">
        <v>521</v>
      </c>
      <c r="K2116">
        <v>0</v>
      </c>
      <c r="L2116" t="s">
        <v>162</v>
      </c>
      <c r="N2116" t="s">
        <v>332</v>
      </c>
      <c r="O2116" t="s">
        <v>521</v>
      </c>
      <c r="P2116">
        <v>2.7986746287252805E-2</v>
      </c>
      <c r="Q2116" t="s">
        <v>162</v>
      </c>
      <c r="S2116" t="s">
        <v>444</v>
      </c>
      <c r="T2116" t="s">
        <v>521</v>
      </c>
      <c r="U2116">
        <v>2.0282529708073541E-2</v>
      </c>
      <c r="V2116" t="s">
        <v>162</v>
      </c>
    </row>
    <row r="2117" spans="9:22" x14ac:dyDescent="0.45">
      <c r="I2117" t="s">
        <v>220</v>
      </c>
      <c r="J2117" t="s">
        <v>165</v>
      </c>
      <c r="K2117">
        <v>1.7761924178698246E-2</v>
      </c>
      <c r="L2117" t="s">
        <v>162</v>
      </c>
      <c r="N2117" t="s">
        <v>332</v>
      </c>
      <c r="O2117" t="s">
        <v>165</v>
      </c>
      <c r="P2117">
        <v>6.79572943414887E-2</v>
      </c>
      <c r="Q2117" t="s">
        <v>162</v>
      </c>
      <c r="S2117" t="s">
        <v>444</v>
      </c>
      <c r="T2117" t="s">
        <v>165</v>
      </c>
      <c r="U2117">
        <v>6.1645952993052866E-2</v>
      </c>
      <c r="V2117" t="s">
        <v>162</v>
      </c>
    </row>
    <row r="2118" spans="9:22" x14ac:dyDescent="0.45">
      <c r="I2118" t="s">
        <v>220</v>
      </c>
      <c r="J2118" t="s">
        <v>166</v>
      </c>
      <c r="K2118">
        <v>1.5342929084125555E-2</v>
      </c>
      <c r="L2118" t="s">
        <v>162</v>
      </c>
      <c r="N2118" t="s">
        <v>332</v>
      </c>
      <c r="O2118" t="s">
        <v>166</v>
      </c>
      <c r="P2118">
        <v>7.6106385096253778E-3</v>
      </c>
      <c r="Q2118" t="s">
        <v>162</v>
      </c>
      <c r="S2118" t="s">
        <v>444</v>
      </c>
      <c r="T2118" t="s">
        <v>166</v>
      </c>
      <c r="U2118">
        <v>6.1549788080730574E-3</v>
      </c>
      <c r="V2118" t="s">
        <v>162</v>
      </c>
    </row>
    <row r="2119" spans="9:22" x14ac:dyDescent="0.45">
      <c r="I2119" t="s">
        <v>220</v>
      </c>
      <c r="J2119" t="s">
        <v>167</v>
      </c>
      <c r="K2119">
        <v>3.4541961293454167E-2</v>
      </c>
      <c r="L2119" t="s">
        <v>162</v>
      </c>
      <c r="N2119" t="s">
        <v>332</v>
      </c>
      <c r="O2119" t="s">
        <v>167</v>
      </c>
      <c r="P2119">
        <v>1.518755584675292E-2</v>
      </c>
      <c r="Q2119" t="s">
        <v>162</v>
      </c>
      <c r="S2119" t="s">
        <v>444</v>
      </c>
      <c r="T2119" t="s">
        <v>167</v>
      </c>
      <c r="U2119">
        <v>1.2133991370115348E-2</v>
      </c>
      <c r="V2119" t="s">
        <v>162</v>
      </c>
    </row>
    <row r="2120" spans="9:22" x14ac:dyDescent="0.45">
      <c r="I2120" t="s">
        <v>220</v>
      </c>
      <c r="J2120" t="s">
        <v>522</v>
      </c>
      <c r="K2120">
        <v>7.8492259666823133E-2</v>
      </c>
      <c r="L2120" t="s">
        <v>162</v>
      </c>
      <c r="N2120" t="s">
        <v>332</v>
      </c>
      <c r="O2120" t="s">
        <v>522</v>
      </c>
      <c r="P2120">
        <v>3.7736268074870301E-2</v>
      </c>
      <c r="Q2120" t="s">
        <v>162</v>
      </c>
      <c r="S2120" t="s">
        <v>444</v>
      </c>
      <c r="T2120" t="s">
        <v>522</v>
      </c>
      <c r="U2120">
        <v>3.1002592076173504E-2</v>
      </c>
      <c r="V2120" t="s">
        <v>162</v>
      </c>
    </row>
    <row r="2121" spans="9:22" x14ac:dyDescent="0.45">
      <c r="I2121" t="s">
        <v>220</v>
      </c>
      <c r="J2121" t="s">
        <v>523</v>
      </c>
      <c r="K2121">
        <v>8.5864322568387601E-3</v>
      </c>
      <c r="L2121" t="s">
        <v>162</v>
      </c>
      <c r="N2121" t="s">
        <v>332</v>
      </c>
      <c r="O2121" t="s">
        <v>523</v>
      </c>
      <c r="P2121">
        <v>7.2450329024841033E-3</v>
      </c>
      <c r="Q2121" t="s">
        <v>162</v>
      </c>
      <c r="S2121" t="s">
        <v>444</v>
      </c>
      <c r="T2121" t="s">
        <v>523</v>
      </c>
      <c r="U2121">
        <v>6.614594366318562E-3</v>
      </c>
      <c r="V2121" t="s">
        <v>162</v>
      </c>
    </row>
    <row r="2122" spans="9:22" x14ac:dyDescent="0.45">
      <c r="I2122" t="s">
        <v>220</v>
      </c>
      <c r="J2122" t="s">
        <v>524</v>
      </c>
      <c r="K2122">
        <v>2.5681052493278095E-3</v>
      </c>
      <c r="L2122" t="s">
        <v>162</v>
      </c>
      <c r="N2122" t="s">
        <v>332</v>
      </c>
      <c r="O2122" t="s">
        <v>524</v>
      </c>
      <c r="P2122">
        <v>4.5953085980752054E-2</v>
      </c>
      <c r="Q2122" t="s">
        <v>162</v>
      </c>
      <c r="S2122" t="s">
        <v>444</v>
      </c>
      <c r="T2122" t="s">
        <v>524</v>
      </c>
      <c r="U2122">
        <v>4.2274263402177437E-2</v>
      </c>
      <c r="V2122" t="s">
        <v>162</v>
      </c>
    </row>
    <row r="2123" spans="9:22" x14ac:dyDescent="0.45">
      <c r="I2123" t="s">
        <v>220</v>
      </c>
      <c r="J2123" t="s">
        <v>168</v>
      </c>
      <c r="K2123">
        <v>1.8306359905163241E-2</v>
      </c>
      <c r="L2123" t="s">
        <v>162</v>
      </c>
      <c r="N2123" t="s">
        <v>332</v>
      </c>
      <c r="O2123" t="s">
        <v>168</v>
      </c>
      <c r="P2123">
        <v>3.2691579389439382E-2</v>
      </c>
      <c r="Q2123" t="s">
        <v>162</v>
      </c>
      <c r="S2123" t="s">
        <v>444</v>
      </c>
      <c r="T2123" t="s">
        <v>168</v>
      </c>
      <c r="U2123">
        <v>2.1267036350145631E-2</v>
      </c>
      <c r="V2123" t="s">
        <v>162</v>
      </c>
    </row>
    <row r="2124" spans="9:22" x14ac:dyDescent="0.45">
      <c r="I2124" t="s">
        <v>220</v>
      </c>
      <c r="J2124" t="s">
        <v>169</v>
      </c>
      <c r="K2124">
        <v>8.9788551628131978E-3</v>
      </c>
      <c r="L2124" t="s">
        <v>162</v>
      </c>
      <c r="N2124" t="s">
        <v>332</v>
      </c>
      <c r="O2124" t="s">
        <v>169</v>
      </c>
      <c r="P2124">
        <v>3.4443004023737875E-3</v>
      </c>
      <c r="Q2124" t="s">
        <v>162</v>
      </c>
      <c r="S2124" t="s">
        <v>444</v>
      </c>
      <c r="T2124" t="s">
        <v>169</v>
      </c>
      <c r="U2124">
        <v>2.160128586048408E-3</v>
      </c>
      <c r="V2124" t="s">
        <v>162</v>
      </c>
    </row>
    <row r="2125" spans="9:22" x14ac:dyDescent="0.45">
      <c r="I2125" t="s">
        <v>220</v>
      </c>
      <c r="J2125" t="s">
        <v>170</v>
      </c>
      <c r="K2125">
        <v>1.9195851619743663E-2</v>
      </c>
      <c r="L2125" t="s">
        <v>162</v>
      </c>
      <c r="N2125" t="s">
        <v>332</v>
      </c>
      <c r="O2125" t="s">
        <v>170</v>
      </c>
      <c r="P2125">
        <v>6.94296046332006E-3</v>
      </c>
      <c r="Q2125" t="s">
        <v>162</v>
      </c>
      <c r="S2125" t="s">
        <v>444</v>
      </c>
      <c r="T2125" t="s">
        <v>170</v>
      </c>
      <c r="U2125">
        <v>4.2930601072510314E-3</v>
      </c>
      <c r="V2125" t="s">
        <v>162</v>
      </c>
    </row>
    <row r="2126" spans="9:22" x14ac:dyDescent="0.45">
      <c r="I2126" t="s">
        <v>220</v>
      </c>
      <c r="J2126" t="s">
        <v>525</v>
      </c>
      <c r="K2126">
        <v>4.2886106677158614E-2</v>
      </c>
      <c r="L2126" t="s">
        <v>162</v>
      </c>
      <c r="N2126" t="s">
        <v>332</v>
      </c>
      <c r="O2126" t="s">
        <v>525</v>
      </c>
      <c r="P2126">
        <v>1.8001807149850443E-2</v>
      </c>
      <c r="Q2126" t="s">
        <v>162</v>
      </c>
      <c r="S2126" t="s">
        <v>444</v>
      </c>
      <c r="T2126" t="s">
        <v>525</v>
      </c>
      <c r="U2126">
        <v>1.1740340964540259E-2</v>
      </c>
      <c r="V2126" t="s">
        <v>162</v>
      </c>
    </row>
    <row r="2127" spans="9:22" x14ac:dyDescent="0.45">
      <c r="I2127" t="s">
        <v>220</v>
      </c>
      <c r="J2127" t="s">
        <v>526</v>
      </c>
      <c r="K2127">
        <v>5.6641302258558773E-3</v>
      </c>
      <c r="L2127" t="s">
        <v>162</v>
      </c>
      <c r="N2127" t="s">
        <v>332</v>
      </c>
      <c r="O2127" t="s">
        <v>526</v>
      </c>
      <c r="P2127">
        <v>3.3762988612426274E-3</v>
      </c>
      <c r="Q2127" t="s">
        <v>162</v>
      </c>
      <c r="S2127" t="s">
        <v>444</v>
      </c>
      <c r="T2127" t="s">
        <v>526</v>
      </c>
      <c r="U2127">
        <v>2.5182787169056075E-3</v>
      </c>
      <c r="V2127" t="s">
        <v>162</v>
      </c>
    </row>
    <row r="2128" spans="9:22" x14ac:dyDescent="0.45">
      <c r="I2128" t="s">
        <v>220</v>
      </c>
      <c r="J2128" t="s">
        <v>527</v>
      </c>
      <c r="K2128">
        <v>4.5811464644809688E-3</v>
      </c>
      <c r="L2128" t="s">
        <v>162</v>
      </c>
      <c r="N2128" t="s">
        <v>332</v>
      </c>
      <c r="O2128" t="s">
        <v>527</v>
      </c>
      <c r="P2128">
        <v>2.0142794219753114E-2</v>
      </c>
      <c r="Q2128" t="s">
        <v>162</v>
      </c>
      <c r="S2128" t="s">
        <v>444</v>
      </c>
      <c r="T2128" t="s">
        <v>527</v>
      </c>
      <c r="U2128">
        <v>1.6115069842632827E-2</v>
      </c>
      <c r="V2128" t="s">
        <v>162</v>
      </c>
    </row>
    <row r="2129" spans="9:22" x14ac:dyDescent="0.45">
      <c r="I2129" t="s">
        <v>220</v>
      </c>
      <c r="J2129" t="s">
        <v>528</v>
      </c>
      <c r="K2129">
        <v>7.8471771315700059E-2</v>
      </c>
      <c r="L2129" t="s">
        <v>162</v>
      </c>
      <c r="N2129" t="s">
        <v>332</v>
      </c>
      <c r="O2129" t="s">
        <v>528</v>
      </c>
      <c r="P2129">
        <v>7.8479046433504701E-2</v>
      </c>
      <c r="Q2129" t="s">
        <v>162</v>
      </c>
      <c r="S2129" t="s">
        <v>444</v>
      </c>
      <c r="T2129" t="s">
        <v>528</v>
      </c>
      <c r="U2129">
        <v>9.8516154815887685E-2</v>
      </c>
      <c r="V2129" t="s">
        <v>162</v>
      </c>
    </row>
    <row r="2130" spans="9:22" x14ac:dyDescent="0.45">
      <c r="I2130" t="s">
        <v>220</v>
      </c>
      <c r="J2130" t="s">
        <v>529</v>
      </c>
      <c r="K2130">
        <v>2.8944047004770806E-2</v>
      </c>
      <c r="L2130" t="s">
        <v>162</v>
      </c>
      <c r="N2130" t="s">
        <v>332</v>
      </c>
      <c r="O2130" t="s">
        <v>529</v>
      </c>
      <c r="P2130">
        <v>7.4967318502742871E-3</v>
      </c>
      <c r="Q2130" t="s">
        <v>162</v>
      </c>
      <c r="S2130" t="s">
        <v>444</v>
      </c>
      <c r="T2130" t="s">
        <v>529</v>
      </c>
      <c r="U2130">
        <v>9.7429517955143555E-3</v>
      </c>
      <c r="V2130" t="s">
        <v>162</v>
      </c>
    </row>
    <row r="2131" spans="9:22" x14ac:dyDescent="0.45">
      <c r="I2131" t="s">
        <v>220</v>
      </c>
      <c r="J2131" t="s">
        <v>530</v>
      </c>
      <c r="K2131">
        <v>5.9297592755520559E-2</v>
      </c>
      <c r="L2131" t="s">
        <v>162</v>
      </c>
      <c r="N2131" t="s">
        <v>332</v>
      </c>
      <c r="O2131" t="s">
        <v>530</v>
      </c>
      <c r="P2131">
        <v>1.5667044833453096E-2</v>
      </c>
      <c r="Q2131" t="s">
        <v>162</v>
      </c>
      <c r="S2131" t="s">
        <v>444</v>
      </c>
      <c r="T2131" t="s">
        <v>530</v>
      </c>
      <c r="U2131">
        <v>1.9314893182874569E-2</v>
      </c>
      <c r="V2131" t="s">
        <v>162</v>
      </c>
    </row>
    <row r="2132" spans="9:22" x14ac:dyDescent="0.45">
      <c r="I2132" t="s">
        <v>220</v>
      </c>
      <c r="J2132" t="s">
        <v>531</v>
      </c>
      <c r="K2132">
        <v>0.13843021383777346</v>
      </c>
      <c r="L2132" t="s">
        <v>162</v>
      </c>
      <c r="N2132" t="s">
        <v>332</v>
      </c>
      <c r="O2132" t="s">
        <v>531</v>
      </c>
      <c r="P2132">
        <v>4.4408479968160969E-2</v>
      </c>
      <c r="Q2132" t="s">
        <v>162</v>
      </c>
      <c r="S2132" t="s">
        <v>444</v>
      </c>
      <c r="T2132" t="s">
        <v>531</v>
      </c>
      <c r="U2132">
        <v>4.9062531860095036E-2</v>
      </c>
      <c r="V2132" t="s">
        <v>162</v>
      </c>
    </row>
    <row r="2133" spans="9:22" x14ac:dyDescent="0.45">
      <c r="I2133" t="s">
        <v>220</v>
      </c>
      <c r="J2133" t="s">
        <v>532</v>
      </c>
      <c r="K2133">
        <v>2.0943046588175231E-2</v>
      </c>
      <c r="L2133" t="s">
        <v>162</v>
      </c>
      <c r="N2133" t="s">
        <v>332</v>
      </c>
      <c r="O2133" t="s">
        <v>532</v>
      </c>
      <c r="P2133">
        <v>8.6972288579775861E-3</v>
      </c>
      <c r="Q2133" t="s">
        <v>162</v>
      </c>
      <c r="S2133" t="s">
        <v>444</v>
      </c>
      <c r="T2133" t="s">
        <v>532</v>
      </c>
      <c r="U2133">
        <v>1.0090165318961534E-2</v>
      </c>
      <c r="V2133" t="s">
        <v>162</v>
      </c>
    </row>
    <row r="2134" spans="9:22" x14ac:dyDescent="0.45">
      <c r="I2134" t="s">
        <v>220</v>
      </c>
      <c r="J2134" t="s">
        <v>533</v>
      </c>
      <c r="K2134">
        <v>2.8986647849202372E-2</v>
      </c>
      <c r="L2134" t="s">
        <v>162</v>
      </c>
      <c r="N2134" t="s">
        <v>332</v>
      </c>
      <c r="O2134" t="s">
        <v>533</v>
      </c>
      <c r="P2134">
        <v>5.7930109077702054E-2</v>
      </c>
      <c r="Q2134" t="s">
        <v>162</v>
      </c>
      <c r="S2134" t="s">
        <v>444</v>
      </c>
      <c r="T2134" t="s">
        <v>533</v>
      </c>
      <c r="U2134">
        <v>6.4140213172150393E-2</v>
      </c>
      <c r="V2134" t="s">
        <v>162</v>
      </c>
    </row>
    <row r="2135" spans="9:22" x14ac:dyDescent="0.45">
      <c r="I2135" t="s">
        <v>220</v>
      </c>
      <c r="J2135" t="s">
        <v>534</v>
      </c>
      <c r="K2135">
        <v>4.8833417876518695E-2</v>
      </c>
      <c r="L2135" t="s">
        <v>162</v>
      </c>
      <c r="N2135" t="s">
        <v>332</v>
      </c>
      <c r="O2135" t="s">
        <v>534</v>
      </c>
      <c r="P2135">
        <v>8.0614522884685069E-2</v>
      </c>
      <c r="Q2135" t="s">
        <v>162</v>
      </c>
      <c r="S2135" t="s">
        <v>444</v>
      </c>
      <c r="T2135" t="s">
        <v>534</v>
      </c>
      <c r="U2135">
        <v>0.10068093392914675</v>
      </c>
      <c r="V2135" t="s">
        <v>162</v>
      </c>
    </row>
    <row r="2136" spans="9:22" x14ac:dyDescent="0.45">
      <c r="I2136" t="s">
        <v>220</v>
      </c>
      <c r="J2136" t="s">
        <v>535</v>
      </c>
      <c r="K2136">
        <v>2.6795573882996138E-2</v>
      </c>
      <c r="L2136" t="s">
        <v>162</v>
      </c>
      <c r="N2136" t="s">
        <v>332</v>
      </c>
      <c r="O2136" t="s">
        <v>535</v>
      </c>
      <c r="P2136">
        <v>7.8211651388198477E-3</v>
      </c>
      <c r="Q2136" t="s">
        <v>162</v>
      </c>
      <c r="S2136" t="s">
        <v>444</v>
      </c>
      <c r="T2136" t="s">
        <v>535</v>
      </c>
      <c r="U2136">
        <v>1.0526622447087484E-2</v>
      </c>
      <c r="V2136" t="s">
        <v>162</v>
      </c>
    </row>
    <row r="2137" spans="9:22" x14ac:dyDescent="0.45">
      <c r="I2137" t="s">
        <v>220</v>
      </c>
      <c r="J2137" t="s">
        <v>536</v>
      </c>
      <c r="K2137">
        <v>5.4506993027430957E-2</v>
      </c>
      <c r="L2137" t="s">
        <v>162</v>
      </c>
      <c r="N2137" t="s">
        <v>332</v>
      </c>
      <c r="O2137" t="s">
        <v>536</v>
      </c>
      <c r="P2137">
        <v>1.5894459714971085E-2</v>
      </c>
      <c r="Q2137" t="s">
        <v>162</v>
      </c>
      <c r="S2137" t="s">
        <v>444</v>
      </c>
      <c r="T2137" t="s">
        <v>536</v>
      </c>
      <c r="U2137">
        <v>2.0678925955136984E-2</v>
      </c>
      <c r="V2137" t="s">
        <v>162</v>
      </c>
    </row>
    <row r="2138" spans="9:22" x14ac:dyDescent="0.45">
      <c r="I2138" t="s">
        <v>220</v>
      </c>
      <c r="J2138" t="s">
        <v>537</v>
      </c>
      <c r="K2138">
        <v>0.1198533859163039</v>
      </c>
      <c r="L2138" t="s">
        <v>162</v>
      </c>
      <c r="N2138" t="s">
        <v>332</v>
      </c>
      <c r="O2138" t="s">
        <v>537</v>
      </c>
      <c r="P2138">
        <v>4.4075182321852376E-2</v>
      </c>
      <c r="Q2138" t="s">
        <v>162</v>
      </c>
      <c r="S2138" t="s">
        <v>444</v>
      </c>
      <c r="T2138" t="s">
        <v>537</v>
      </c>
      <c r="U2138">
        <v>5.3835831558208425E-2</v>
      </c>
      <c r="V2138" t="s">
        <v>162</v>
      </c>
    </row>
    <row r="2139" spans="9:22" x14ac:dyDescent="0.45">
      <c r="I2139" t="s">
        <v>220</v>
      </c>
      <c r="J2139" t="s">
        <v>538</v>
      </c>
      <c r="K2139">
        <v>1.3723560302914464E-2</v>
      </c>
      <c r="L2139" t="s">
        <v>162</v>
      </c>
      <c r="N2139" t="s">
        <v>332</v>
      </c>
      <c r="O2139" t="s">
        <v>538</v>
      </c>
      <c r="P2139">
        <v>8.898014918522856E-3</v>
      </c>
      <c r="Q2139" t="s">
        <v>162</v>
      </c>
      <c r="S2139" t="s">
        <v>444</v>
      </c>
      <c r="T2139" t="s">
        <v>538</v>
      </c>
      <c r="U2139">
        <v>1.1188392933589759E-2</v>
      </c>
      <c r="V2139" t="s">
        <v>162</v>
      </c>
    </row>
    <row r="2140" spans="9:22" x14ac:dyDescent="0.45">
      <c r="I2140" t="s">
        <v>220</v>
      </c>
      <c r="J2140" t="s">
        <v>539</v>
      </c>
      <c r="K2140">
        <v>8.6146208501087437E-3</v>
      </c>
      <c r="L2140" t="s">
        <v>162</v>
      </c>
      <c r="N2140" t="s">
        <v>332</v>
      </c>
      <c r="O2140" t="s">
        <v>539</v>
      </c>
      <c r="P2140">
        <v>5.9452458163117283E-2</v>
      </c>
      <c r="Q2140" t="s">
        <v>162</v>
      </c>
      <c r="S2140" t="s">
        <v>444</v>
      </c>
      <c r="T2140" t="s">
        <v>539</v>
      </c>
      <c r="U2140">
        <v>6.6380645327037718E-2</v>
      </c>
      <c r="V2140" t="s">
        <v>162</v>
      </c>
    </row>
    <row r="2141" spans="9:22" x14ac:dyDescent="0.45">
      <c r="I2141" t="s">
        <v>220</v>
      </c>
      <c r="J2141" t="s">
        <v>540</v>
      </c>
      <c r="K2141">
        <v>3.1833627598573905E-3</v>
      </c>
      <c r="L2141" t="s">
        <v>162</v>
      </c>
      <c r="N2141" t="s">
        <v>332</v>
      </c>
      <c r="O2141" t="s">
        <v>540</v>
      </c>
      <c r="P2141">
        <v>3.7433294032456418E-2</v>
      </c>
      <c r="Q2141" t="s">
        <v>162</v>
      </c>
      <c r="S2141" t="s">
        <v>444</v>
      </c>
      <c r="T2141" t="s">
        <v>540</v>
      </c>
      <c r="U2141">
        <v>3.5984720007832649E-2</v>
      </c>
      <c r="V2141" t="s">
        <v>162</v>
      </c>
    </row>
    <row r="2142" spans="9:22" x14ac:dyDescent="0.45">
      <c r="I2142" t="s">
        <v>220</v>
      </c>
      <c r="J2142" t="s">
        <v>541</v>
      </c>
      <c r="K2142">
        <v>4.9465523712762596E-3</v>
      </c>
      <c r="L2142" t="s">
        <v>162</v>
      </c>
      <c r="N2142" t="s">
        <v>332</v>
      </c>
      <c r="O2142" t="s">
        <v>541</v>
      </c>
      <c r="P2142">
        <v>4.2874372695305609E-3</v>
      </c>
      <c r="Q2142" t="s">
        <v>162</v>
      </c>
      <c r="S2142" t="s">
        <v>444</v>
      </c>
      <c r="T2142" t="s">
        <v>541</v>
      </c>
      <c r="U2142">
        <v>3.9807379228396292E-3</v>
      </c>
      <c r="V2142" t="s">
        <v>162</v>
      </c>
    </row>
    <row r="2143" spans="9:22" x14ac:dyDescent="0.45">
      <c r="I2143" t="s">
        <v>220</v>
      </c>
      <c r="J2143" t="s">
        <v>542</v>
      </c>
      <c r="K2143">
        <v>1.1603608558682019E-2</v>
      </c>
      <c r="L2143" t="s">
        <v>162</v>
      </c>
      <c r="N2143" t="s">
        <v>332</v>
      </c>
      <c r="O2143" t="s">
        <v>542</v>
      </c>
      <c r="P2143">
        <v>8.5872173643187118E-3</v>
      </c>
      <c r="Q2143" t="s">
        <v>162</v>
      </c>
      <c r="S2143" t="s">
        <v>444</v>
      </c>
      <c r="T2143" t="s">
        <v>542</v>
      </c>
      <c r="U2143">
        <v>7.9593890572282836E-3</v>
      </c>
      <c r="V2143" t="s">
        <v>162</v>
      </c>
    </row>
    <row r="2144" spans="9:22" x14ac:dyDescent="0.45">
      <c r="I2144" t="s">
        <v>220</v>
      </c>
      <c r="J2144" t="s">
        <v>543</v>
      </c>
      <c r="K2144">
        <v>2.290087244070901E-2</v>
      </c>
      <c r="L2144" t="s">
        <v>162</v>
      </c>
      <c r="N2144" t="s">
        <v>332</v>
      </c>
      <c r="O2144" t="s">
        <v>543</v>
      </c>
      <c r="P2144">
        <v>2.1267905140947969E-2</v>
      </c>
      <c r="Q2144" t="s">
        <v>162</v>
      </c>
      <c r="S2144" t="s">
        <v>444</v>
      </c>
      <c r="T2144" t="s">
        <v>543</v>
      </c>
      <c r="U2144">
        <v>1.9605102115826428E-2</v>
      </c>
      <c r="V2144" t="s">
        <v>162</v>
      </c>
    </row>
    <row r="2145" spans="9:22" x14ac:dyDescent="0.45">
      <c r="I2145" t="s">
        <v>220</v>
      </c>
      <c r="J2145" t="s">
        <v>544</v>
      </c>
      <c r="K2145">
        <v>0</v>
      </c>
      <c r="L2145" t="s">
        <v>162</v>
      </c>
      <c r="N2145" t="s">
        <v>332</v>
      </c>
      <c r="O2145" t="s">
        <v>544</v>
      </c>
      <c r="P2145">
        <v>4.1214431464675991E-3</v>
      </c>
      <c r="Q2145" t="s">
        <v>162</v>
      </c>
      <c r="S2145" t="s">
        <v>444</v>
      </c>
      <c r="T2145" t="s">
        <v>544</v>
      </c>
      <c r="U2145">
        <v>3.9404636010916981E-3</v>
      </c>
      <c r="V2145" t="s">
        <v>162</v>
      </c>
    </row>
    <row r="2146" spans="9:22" x14ac:dyDescent="0.45">
      <c r="I2146" t="s">
        <v>220</v>
      </c>
      <c r="J2146" t="s">
        <v>545</v>
      </c>
      <c r="K2146">
        <v>0</v>
      </c>
      <c r="L2146" t="s">
        <v>162</v>
      </c>
      <c r="N2146" t="s">
        <v>332</v>
      </c>
      <c r="O2146" t="s">
        <v>545</v>
      </c>
      <c r="P2146">
        <v>2.4208497063140648E-2</v>
      </c>
      <c r="Q2146" t="s">
        <v>162</v>
      </c>
      <c r="S2146" t="s">
        <v>444</v>
      </c>
      <c r="T2146" t="s">
        <v>545</v>
      </c>
      <c r="U2146">
        <v>2.496137797166513E-2</v>
      </c>
      <c r="V2146" t="s">
        <v>162</v>
      </c>
    </row>
    <row r="2147" spans="9:22" x14ac:dyDescent="0.45">
      <c r="I2147" t="s">
        <v>220</v>
      </c>
      <c r="J2147" t="s">
        <v>546</v>
      </c>
      <c r="K2147">
        <v>2.1711686763601317E-4</v>
      </c>
      <c r="L2147" t="s">
        <v>162</v>
      </c>
      <c r="N2147" t="s">
        <v>332</v>
      </c>
      <c r="O2147" t="s">
        <v>546</v>
      </c>
      <c r="P2147">
        <v>3.4437008786452568E-2</v>
      </c>
      <c r="Q2147" t="s">
        <v>162</v>
      </c>
      <c r="S2147" t="s">
        <v>444</v>
      </c>
      <c r="T2147" t="s">
        <v>546</v>
      </c>
      <c r="U2147">
        <v>3.421944553106792E-2</v>
      </c>
      <c r="V2147" t="s">
        <v>162</v>
      </c>
    </row>
    <row r="2148" spans="9:22" x14ac:dyDescent="0.45">
      <c r="I2148" t="s">
        <v>220</v>
      </c>
      <c r="J2148" t="s">
        <v>547</v>
      </c>
      <c r="K2148">
        <v>2.9812898604434724E-3</v>
      </c>
      <c r="L2148" t="s">
        <v>162</v>
      </c>
      <c r="N2148" t="s">
        <v>332</v>
      </c>
      <c r="O2148" t="s">
        <v>547</v>
      </c>
      <c r="P2148">
        <v>3.7338224055562634E-3</v>
      </c>
      <c r="Q2148" t="s">
        <v>162</v>
      </c>
      <c r="S2148" t="s">
        <v>444</v>
      </c>
      <c r="T2148" t="s">
        <v>547</v>
      </c>
      <c r="U2148">
        <v>3.9362890119354057E-3</v>
      </c>
      <c r="V2148" t="s">
        <v>162</v>
      </c>
    </row>
    <row r="2149" spans="9:22" x14ac:dyDescent="0.45">
      <c r="I2149" t="s">
        <v>220</v>
      </c>
      <c r="J2149" t="s">
        <v>548</v>
      </c>
      <c r="K2149">
        <v>9.7048197067867437E-3</v>
      </c>
      <c r="L2149" t="s">
        <v>162</v>
      </c>
      <c r="N2149" t="s">
        <v>332</v>
      </c>
      <c r="O2149" t="s">
        <v>548</v>
      </c>
      <c r="P2149">
        <v>7.4510288020311639E-3</v>
      </c>
      <c r="Q2149" t="s">
        <v>162</v>
      </c>
      <c r="S2149" t="s">
        <v>444</v>
      </c>
      <c r="T2149" t="s">
        <v>548</v>
      </c>
      <c r="U2149">
        <v>7.8683953567076116E-3</v>
      </c>
      <c r="V2149" t="s">
        <v>162</v>
      </c>
    </row>
    <row r="2150" spans="9:22" x14ac:dyDescent="0.45">
      <c r="I2150" t="s">
        <v>220</v>
      </c>
      <c r="J2150" t="s">
        <v>549</v>
      </c>
      <c r="K2150">
        <v>1.7747577880714332E-2</v>
      </c>
      <c r="L2150" t="s">
        <v>162</v>
      </c>
      <c r="N2150" t="s">
        <v>332</v>
      </c>
      <c r="O2150" t="s">
        <v>549</v>
      </c>
      <c r="P2150">
        <v>1.9376042077208996E-2</v>
      </c>
      <c r="Q2150" t="s">
        <v>162</v>
      </c>
      <c r="S2150" t="s">
        <v>444</v>
      </c>
      <c r="T2150" t="s">
        <v>549</v>
      </c>
      <c r="U2150">
        <v>1.918327775990987E-2</v>
      </c>
      <c r="V2150" t="s">
        <v>162</v>
      </c>
    </row>
    <row r="2151" spans="9:22" x14ac:dyDescent="0.45">
      <c r="I2151" t="s">
        <v>220</v>
      </c>
      <c r="J2151" t="s">
        <v>550</v>
      </c>
      <c r="K2151">
        <v>0</v>
      </c>
      <c r="L2151" t="s">
        <v>162</v>
      </c>
      <c r="N2151" t="s">
        <v>332</v>
      </c>
      <c r="O2151" t="s">
        <v>550</v>
      </c>
      <c r="P2151">
        <v>4.0635859487579027E-3</v>
      </c>
      <c r="Q2151" t="s">
        <v>162</v>
      </c>
      <c r="S2151" t="s">
        <v>444</v>
      </c>
      <c r="T2151" t="s">
        <v>550</v>
      </c>
      <c r="U2151">
        <v>3.8210062869820384E-3</v>
      </c>
      <c r="V2151" t="s">
        <v>162</v>
      </c>
    </row>
    <row r="2152" spans="9:22" x14ac:dyDescent="0.45">
      <c r="I2152" t="s">
        <v>220</v>
      </c>
      <c r="J2152" t="s">
        <v>551</v>
      </c>
      <c r="K2152">
        <v>0</v>
      </c>
      <c r="L2152" t="s">
        <v>162</v>
      </c>
      <c r="N2152" t="s">
        <v>332</v>
      </c>
      <c r="O2152" t="s">
        <v>551</v>
      </c>
      <c r="P2152">
        <v>2.6585200083628208E-2</v>
      </c>
      <c r="Q2152" t="s">
        <v>162</v>
      </c>
      <c r="S2152" t="s">
        <v>444</v>
      </c>
      <c r="T2152" t="s">
        <v>551</v>
      </c>
      <c r="U2152">
        <v>2.1666263822520154E-2</v>
      </c>
      <c r="V2152" t="s">
        <v>162</v>
      </c>
    </row>
    <row r="2153" spans="9:22" x14ac:dyDescent="0.45">
      <c r="I2153" t="s">
        <v>221</v>
      </c>
      <c r="J2153" t="s">
        <v>161</v>
      </c>
      <c r="K2153">
        <v>0</v>
      </c>
      <c r="L2153" t="s">
        <v>162</v>
      </c>
      <c r="N2153" t="s">
        <v>333</v>
      </c>
      <c r="O2153" t="s">
        <v>161</v>
      </c>
      <c r="P2153">
        <v>4.4398330585972597E-2</v>
      </c>
      <c r="Q2153" t="s">
        <v>162</v>
      </c>
      <c r="S2153" t="s">
        <v>445</v>
      </c>
      <c r="T2153" t="s">
        <v>161</v>
      </c>
      <c r="U2153">
        <v>3.8438694340463236E-2</v>
      </c>
      <c r="V2153" t="s">
        <v>162</v>
      </c>
    </row>
    <row r="2154" spans="9:22" x14ac:dyDescent="0.45">
      <c r="I2154" t="s">
        <v>221</v>
      </c>
      <c r="J2154" t="s">
        <v>163</v>
      </c>
      <c r="K2154">
        <v>2.7372342595044378E-3</v>
      </c>
      <c r="L2154" t="s">
        <v>162</v>
      </c>
      <c r="N2154" t="s">
        <v>333</v>
      </c>
      <c r="O2154" t="s">
        <v>163</v>
      </c>
      <c r="P2154">
        <v>4.9185796904667838E-3</v>
      </c>
      <c r="Q2154" t="s">
        <v>162</v>
      </c>
      <c r="S2154" t="s">
        <v>445</v>
      </c>
      <c r="T2154" t="s">
        <v>163</v>
      </c>
      <c r="U2154">
        <v>4.3409055595627702E-3</v>
      </c>
      <c r="V2154" t="s">
        <v>162</v>
      </c>
    </row>
    <row r="2155" spans="9:22" x14ac:dyDescent="0.45">
      <c r="I2155" t="s">
        <v>221</v>
      </c>
      <c r="J2155" t="s">
        <v>164</v>
      </c>
      <c r="K2155">
        <v>9.5909647285017559E-3</v>
      </c>
      <c r="L2155" t="s">
        <v>162</v>
      </c>
      <c r="N2155" t="s">
        <v>333</v>
      </c>
      <c r="O2155" t="s">
        <v>164</v>
      </c>
      <c r="P2155">
        <v>9.5016730537652565E-3</v>
      </c>
      <c r="Q2155" t="s">
        <v>162</v>
      </c>
      <c r="S2155" t="s">
        <v>445</v>
      </c>
      <c r="T2155" t="s">
        <v>164</v>
      </c>
      <c r="U2155">
        <v>8.8910950452952137E-3</v>
      </c>
      <c r="V2155" t="s">
        <v>162</v>
      </c>
    </row>
    <row r="2156" spans="9:22" x14ac:dyDescent="0.45">
      <c r="I2156" t="s">
        <v>221</v>
      </c>
      <c r="J2156" t="s">
        <v>519</v>
      </c>
      <c r="K2156">
        <v>1.908313194069429E-2</v>
      </c>
      <c r="L2156" t="s">
        <v>162</v>
      </c>
      <c r="N2156" t="s">
        <v>333</v>
      </c>
      <c r="O2156" t="s">
        <v>519</v>
      </c>
      <c r="P2156">
        <v>2.4377325756090161E-2</v>
      </c>
      <c r="Q2156" t="s">
        <v>162</v>
      </c>
      <c r="S2156" t="s">
        <v>445</v>
      </c>
      <c r="T2156" t="s">
        <v>519</v>
      </c>
      <c r="U2156">
        <v>2.2628139212650052E-2</v>
      </c>
      <c r="V2156" t="s">
        <v>162</v>
      </c>
    </row>
    <row r="2157" spans="9:22" x14ac:dyDescent="0.45">
      <c r="I2157" t="s">
        <v>221</v>
      </c>
      <c r="J2157" t="s">
        <v>520</v>
      </c>
      <c r="K2157">
        <v>0</v>
      </c>
      <c r="L2157" t="s">
        <v>162</v>
      </c>
      <c r="N2157" t="s">
        <v>333</v>
      </c>
      <c r="O2157" t="s">
        <v>520</v>
      </c>
      <c r="P2157">
        <v>5.1577012371449345E-3</v>
      </c>
      <c r="Q2157" t="s">
        <v>162</v>
      </c>
      <c r="S2157" t="s">
        <v>445</v>
      </c>
      <c r="T2157" t="s">
        <v>520</v>
      </c>
      <c r="U2157">
        <v>4.4302034802292329E-3</v>
      </c>
      <c r="V2157" t="s">
        <v>162</v>
      </c>
    </row>
    <row r="2158" spans="9:22" x14ac:dyDescent="0.45">
      <c r="I2158" t="s">
        <v>221</v>
      </c>
      <c r="J2158" t="s">
        <v>521</v>
      </c>
      <c r="K2158">
        <v>0</v>
      </c>
      <c r="L2158" t="s">
        <v>162</v>
      </c>
      <c r="N2158" t="s">
        <v>333</v>
      </c>
      <c r="O2158" t="s">
        <v>521</v>
      </c>
      <c r="P2158">
        <v>3.1824403988860092E-2</v>
      </c>
      <c r="Q2158" t="s">
        <v>162</v>
      </c>
      <c r="S2158" t="s">
        <v>445</v>
      </c>
      <c r="T2158" t="s">
        <v>521</v>
      </c>
      <c r="U2158">
        <v>2.5646401665134148E-2</v>
      </c>
      <c r="V2158" t="s">
        <v>162</v>
      </c>
    </row>
    <row r="2159" spans="9:22" x14ac:dyDescent="0.45">
      <c r="I2159" t="s">
        <v>221</v>
      </c>
      <c r="J2159" t="s">
        <v>165</v>
      </c>
      <c r="K2159">
        <v>1.6323306391666743E-2</v>
      </c>
      <c r="L2159" t="s">
        <v>162</v>
      </c>
      <c r="N2159" t="s">
        <v>333</v>
      </c>
      <c r="O2159" t="s">
        <v>165</v>
      </c>
      <c r="P2159">
        <v>7.1145300195406269E-2</v>
      </c>
      <c r="Q2159" t="s">
        <v>162</v>
      </c>
      <c r="S2159" t="s">
        <v>445</v>
      </c>
      <c r="T2159" t="s">
        <v>165</v>
      </c>
      <c r="U2159">
        <v>6.0633877076080735E-2</v>
      </c>
      <c r="V2159" t="s">
        <v>162</v>
      </c>
    </row>
    <row r="2160" spans="9:22" x14ac:dyDescent="0.45">
      <c r="I2160" t="s">
        <v>221</v>
      </c>
      <c r="J2160" t="s">
        <v>166</v>
      </c>
      <c r="K2160">
        <v>1.466297292345687E-2</v>
      </c>
      <c r="L2160" t="s">
        <v>162</v>
      </c>
      <c r="N2160" t="s">
        <v>333</v>
      </c>
      <c r="O2160" t="s">
        <v>166</v>
      </c>
      <c r="P2160">
        <v>7.6384254568857262E-3</v>
      </c>
      <c r="Q2160" t="s">
        <v>162</v>
      </c>
      <c r="S2160" t="s">
        <v>445</v>
      </c>
      <c r="T2160" t="s">
        <v>166</v>
      </c>
      <c r="U2160">
        <v>6.4744462965856094E-3</v>
      </c>
      <c r="V2160" t="s">
        <v>162</v>
      </c>
    </row>
    <row r="2161" spans="9:22" x14ac:dyDescent="0.45">
      <c r="I2161" t="s">
        <v>221</v>
      </c>
      <c r="J2161" t="s">
        <v>167</v>
      </c>
      <c r="K2161">
        <v>3.4555928525692704E-2</v>
      </c>
      <c r="L2161" t="s">
        <v>162</v>
      </c>
      <c r="N2161" t="s">
        <v>333</v>
      </c>
      <c r="O2161" t="s">
        <v>167</v>
      </c>
      <c r="P2161">
        <v>1.5942251728243421E-2</v>
      </c>
      <c r="Q2161" t="s">
        <v>162</v>
      </c>
      <c r="S2161" t="s">
        <v>445</v>
      </c>
      <c r="T2161" t="s">
        <v>167</v>
      </c>
      <c r="U2161">
        <v>1.2813083751020053E-2</v>
      </c>
      <c r="V2161" t="s">
        <v>162</v>
      </c>
    </row>
    <row r="2162" spans="9:22" x14ac:dyDescent="0.45">
      <c r="I2162" t="s">
        <v>221</v>
      </c>
      <c r="J2162" t="s">
        <v>522</v>
      </c>
      <c r="K2162">
        <v>7.8035968888108792E-2</v>
      </c>
      <c r="L2162" t="s">
        <v>162</v>
      </c>
      <c r="N2162" t="s">
        <v>333</v>
      </c>
      <c r="O2162" t="s">
        <v>522</v>
      </c>
      <c r="P2162">
        <v>4.0974351913290602E-2</v>
      </c>
      <c r="Q2162" t="s">
        <v>162</v>
      </c>
      <c r="S2162" t="s">
        <v>445</v>
      </c>
      <c r="T2162" t="s">
        <v>522</v>
      </c>
      <c r="U2162">
        <v>3.1723992443218441E-2</v>
      </c>
      <c r="V2162" t="s">
        <v>162</v>
      </c>
    </row>
    <row r="2163" spans="9:22" x14ac:dyDescent="0.45">
      <c r="I2163" t="s">
        <v>221</v>
      </c>
      <c r="J2163" t="s">
        <v>523</v>
      </c>
      <c r="K2163">
        <v>7.5458900090826517E-3</v>
      </c>
      <c r="L2163" t="s">
        <v>162</v>
      </c>
      <c r="N2163" t="s">
        <v>333</v>
      </c>
      <c r="O2163" t="s">
        <v>523</v>
      </c>
      <c r="P2163">
        <v>7.6194992694650137E-3</v>
      </c>
      <c r="Q2163" t="s">
        <v>162</v>
      </c>
      <c r="S2163" t="s">
        <v>445</v>
      </c>
      <c r="T2163" t="s">
        <v>523</v>
      </c>
      <c r="U2163">
        <v>6.7408554223509177E-3</v>
      </c>
      <c r="V2163" t="s">
        <v>162</v>
      </c>
    </row>
    <row r="2164" spans="9:22" x14ac:dyDescent="0.45">
      <c r="I2164" t="s">
        <v>221</v>
      </c>
      <c r="J2164" t="s">
        <v>524</v>
      </c>
      <c r="K2164">
        <v>2.3129749844891588E-3</v>
      </c>
      <c r="L2164" t="s">
        <v>162</v>
      </c>
      <c r="N2164" t="s">
        <v>333</v>
      </c>
      <c r="O2164" t="s">
        <v>524</v>
      </c>
      <c r="P2164">
        <v>5.0775259745808619E-2</v>
      </c>
      <c r="Q2164" t="s">
        <v>162</v>
      </c>
      <c r="S2164" t="s">
        <v>445</v>
      </c>
      <c r="T2164" t="s">
        <v>524</v>
      </c>
      <c r="U2164">
        <v>4.0731508734637288E-2</v>
      </c>
      <c r="V2164" t="s">
        <v>162</v>
      </c>
    </row>
    <row r="2165" spans="9:22" x14ac:dyDescent="0.45">
      <c r="I2165" t="s">
        <v>221</v>
      </c>
      <c r="J2165" t="s">
        <v>168</v>
      </c>
      <c r="K2165">
        <v>1.9618995432722882E-2</v>
      </c>
      <c r="L2165" t="s">
        <v>162</v>
      </c>
      <c r="N2165" t="s">
        <v>333</v>
      </c>
      <c r="O2165" t="s">
        <v>168</v>
      </c>
      <c r="P2165">
        <v>3.341102134641253E-2</v>
      </c>
      <c r="Q2165" t="s">
        <v>162</v>
      </c>
      <c r="S2165" t="s">
        <v>445</v>
      </c>
      <c r="T2165" t="s">
        <v>168</v>
      </c>
      <c r="U2165">
        <v>3.3013406364792358E-2</v>
      </c>
      <c r="V2165" t="s">
        <v>162</v>
      </c>
    </row>
    <row r="2166" spans="9:22" x14ac:dyDescent="0.45">
      <c r="I2166" t="s">
        <v>221</v>
      </c>
      <c r="J2166" t="s">
        <v>169</v>
      </c>
      <c r="K2166">
        <v>9.831560133981768E-3</v>
      </c>
      <c r="L2166" t="s">
        <v>162</v>
      </c>
      <c r="N2166" t="s">
        <v>333</v>
      </c>
      <c r="O2166" t="s">
        <v>169</v>
      </c>
      <c r="P2166">
        <v>3.2851020349408855E-3</v>
      </c>
      <c r="Q2166" t="s">
        <v>162</v>
      </c>
      <c r="S2166" t="s">
        <v>445</v>
      </c>
      <c r="T2166" t="s">
        <v>169</v>
      </c>
      <c r="U2166">
        <v>3.4737189172773485E-3</v>
      </c>
      <c r="V2166" t="s">
        <v>162</v>
      </c>
    </row>
    <row r="2167" spans="9:22" x14ac:dyDescent="0.45">
      <c r="I2167" t="s">
        <v>221</v>
      </c>
      <c r="J2167" t="s">
        <v>170</v>
      </c>
      <c r="K2167">
        <v>2.09770943833546E-2</v>
      </c>
      <c r="L2167" t="s">
        <v>162</v>
      </c>
      <c r="N2167" t="s">
        <v>333</v>
      </c>
      <c r="O2167" t="s">
        <v>170</v>
      </c>
      <c r="P2167">
        <v>6.8183868444116214E-3</v>
      </c>
      <c r="Q2167" t="s">
        <v>162</v>
      </c>
      <c r="S2167" t="s">
        <v>445</v>
      </c>
      <c r="T2167" t="s">
        <v>170</v>
      </c>
      <c r="U2167">
        <v>6.7943561347639982E-3</v>
      </c>
      <c r="V2167" t="s">
        <v>162</v>
      </c>
    </row>
    <row r="2168" spans="9:22" x14ac:dyDescent="0.45">
      <c r="I2168" t="s">
        <v>221</v>
      </c>
      <c r="J2168" t="s">
        <v>525</v>
      </c>
      <c r="K2168">
        <v>4.5368493716562923E-2</v>
      </c>
      <c r="L2168" t="s">
        <v>162</v>
      </c>
      <c r="N2168" t="s">
        <v>333</v>
      </c>
      <c r="O2168" t="s">
        <v>525</v>
      </c>
      <c r="P2168">
        <v>1.9626787220323908E-2</v>
      </c>
      <c r="Q2168" t="s">
        <v>162</v>
      </c>
      <c r="S2168" t="s">
        <v>445</v>
      </c>
      <c r="T2168" t="s">
        <v>525</v>
      </c>
      <c r="U2168">
        <v>1.7403089981175283E-2</v>
      </c>
      <c r="V2168" t="s">
        <v>162</v>
      </c>
    </row>
    <row r="2169" spans="9:22" x14ac:dyDescent="0.45">
      <c r="I2169" t="s">
        <v>221</v>
      </c>
      <c r="J2169" t="s">
        <v>526</v>
      </c>
      <c r="K2169">
        <v>6.0899530342195859E-3</v>
      </c>
      <c r="L2169" t="s">
        <v>162</v>
      </c>
      <c r="N2169" t="s">
        <v>333</v>
      </c>
      <c r="O2169" t="s">
        <v>526</v>
      </c>
      <c r="P2169">
        <v>3.3387161147075783E-3</v>
      </c>
      <c r="Q2169" t="s">
        <v>162</v>
      </c>
      <c r="S2169" t="s">
        <v>445</v>
      </c>
      <c r="T2169" t="s">
        <v>526</v>
      </c>
      <c r="U2169">
        <v>3.6047712786864863E-3</v>
      </c>
      <c r="V2169" t="s">
        <v>162</v>
      </c>
    </row>
    <row r="2170" spans="9:22" x14ac:dyDescent="0.45">
      <c r="I2170" t="s">
        <v>221</v>
      </c>
      <c r="J2170" t="s">
        <v>527</v>
      </c>
      <c r="K2170">
        <v>5.7231689890160139E-3</v>
      </c>
      <c r="L2170" t="s">
        <v>162</v>
      </c>
      <c r="N2170" t="s">
        <v>333</v>
      </c>
      <c r="O2170" t="s">
        <v>527</v>
      </c>
      <c r="P2170">
        <v>2.4088245194980394E-2</v>
      </c>
      <c r="Q2170" t="s">
        <v>162</v>
      </c>
      <c r="S2170" t="s">
        <v>445</v>
      </c>
      <c r="T2170" t="s">
        <v>527</v>
      </c>
      <c r="U2170">
        <v>2.1831348127600448E-2</v>
      </c>
      <c r="V2170" t="s">
        <v>162</v>
      </c>
    </row>
    <row r="2171" spans="9:22" x14ac:dyDescent="0.45">
      <c r="I2171" t="s">
        <v>221</v>
      </c>
      <c r="J2171" t="s">
        <v>528</v>
      </c>
      <c r="K2171">
        <v>8.9673194387028879E-2</v>
      </c>
      <c r="L2171" t="s">
        <v>162</v>
      </c>
      <c r="N2171" t="s">
        <v>333</v>
      </c>
      <c r="O2171" t="s">
        <v>528</v>
      </c>
      <c r="P2171">
        <v>6.5802328614335867E-2</v>
      </c>
      <c r="Q2171" t="s">
        <v>162</v>
      </c>
      <c r="S2171" t="s">
        <v>445</v>
      </c>
      <c r="T2171" t="s">
        <v>528</v>
      </c>
      <c r="U2171">
        <v>7.0061714846650552E-2</v>
      </c>
      <c r="V2171" t="s">
        <v>162</v>
      </c>
    </row>
    <row r="2172" spans="9:22" x14ac:dyDescent="0.45">
      <c r="I2172" t="s">
        <v>221</v>
      </c>
      <c r="J2172" t="s">
        <v>529</v>
      </c>
      <c r="K2172">
        <v>3.1878891457905796E-2</v>
      </c>
      <c r="L2172" t="s">
        <v>162</v>
      </c>
      <c r="N2172" t="s">
        <v>333</v>
      </c>
      <c r="O2172" t="s">
        <v>529</v>
      </c>
      <c r="P2172">
        <v>6.2020738122968511E-3</v>
      </c>
      <c r="Q2172" t="s">
        <v>162</v>
      </c>
      <c r="S2172" t="s">
        <v>445</v>
      </c>
      <c r="T2172" t="s">
        <v>529</v>
      </c>
      <c r="U2172">
        <v>7.4224656546800017E-3</v>
      </c>
      <c r="V2172" t="s">
        <v>162</v>
      </c>
    </row>
    <row r="2173" spans="9:22" x14ac:dyDescent="0.45">
      <c r="I2173" t="s">
        <v>221</v>
      </c>
      <c r="J2173" t="s">
        <v>530</v>
      </c>
      <c r="K2173">
        <v>6.3681188698125182E-2</v>
      </c>
      <c r="L2173" t="s">
        <v>162</v>
      </c>
      <c r="N2173" t="s">
        <v>333</v>
      </c>
      <c r="O2173" t="s">
        <v>530</v>
      </c>
      <c r="P2173">
        <v>1.3690721781552888E-2</v>
      </c>
      <c r="Q2173" t="s">
        <v>162</v>
      </c>
      <c r="S2173" t="s">
        <v>445</v>
      </c>
      <c r="T2173" t="s">
        <v>530</v>
      </c>
      <c r="U2173">
        <v>1.4616787713005751E-2</v>
      </c>
      <c r="V2173" t="s">
        <v>162</v>
      </c>
    </row>
    <row r="2174" spans="9:22" x14ac:dyDescent="0.45">
      <c r="I2174" t="s">
        <v>221</v>
      </c>
      <c r="J2174" t="s">
        <v>531</v>
      </c>
      <c r="K2174">
        <v>0.14012644216177472</v>
      </c>
      <c r="L2174" t="s">
        <v>162</v>
      </c>
      <c r="N2174" t="s">
        <v>333</v>
      </c>
      <c r="O2174" t="s">
        <v>531</v>
      </c>
      <c r="P2174">
        <v>4.2078078805566112E-2</v>
      </c>
      <c r="Q2174" t="s">
        <v>162</v>
      </c>
      <c r="S2174" t="s">
        <v>445</v>
      </c>
      <c r="T2174" t="s">
        <v>531</v>
      </c>
      <c r="U2174">
        <v>3.7134649096008499E-2</v>
      </c>
      <c r="V2174" t="s">
        <v>162</v>
      </c>
    </row>
    <row r="2175" spans="9:22" x14ac:dyDescent="0.45">
      <c r="I2175" t="s">
        <v>221</v>
      </c>
      <c r="J2175" t="s">
        <v>532</v>
      </c>
      <c r="K2175">
        <v>2.1862887861326848E-2</v>
      </c>
      <c r="L2175" t="s">
        <v>162</v>
      </c>
      <c r="N2175" t="s">
        <v>333</v>
      </c>
      <c r="O2175" t="s">
        <v>532</v>
      </c>
      <c r="P2175">
        <v>7.4597030844627231E-3</v>
      </c>
      <c r="Q2175" t="s">
        <v>162</v>
      </c>
      <c r="S2175" t="s">
        <v>445</v>
      </c>
      <c r="T2175" t="s">
        <v>532</v>
      </c>
      <c r="U2175">
        <v>7.5138488977782615E-3</v>
      </c>
      <c r="V2175" t="s">
        <v>162</v>
      </c>
    </row>
    <row r="2176" spans="9:22" x14ac:dyDescent="0.45">
      <c r="I2176" t="s">
        <v>221</v>
      </c>
      <c r="J2176" t="s">
        <v>533</v>
      </c>
      <c r="K2176">
        <v>3.3727771436976937E-2</v>
      </c>
      <c r="L2176" t="s">
        <v>162</v>
      </c>
      <c r="N2176" t="s">
        <v>333</v>
      </c>
      <c r="O2176" t="s">
        <v>533</v>
      </c>
      <c r="P2176">
        <v>5.5661052802694483E-2</v>
      </c>
      <c r="Q2176" t="s">
        <v>162</v>
      </c>
      <c r="S2176" t="s">
        <v>445</v>
      </c>
      <c r="T2176" t="s">
        <v>533</v>
      </c>
      <c r="U2176">
        <v>4.6212858272542463E-2</v>
      </c>
      <c r="V2176" t="s">
        <v>162</v>
      </c>
    </row>
    <row r="2177" spans="9:22" x14ac:dyDescent="0.45">
      <c r="I2177" t="s">
        <v>221</v>
      </c>
      <c r="J2177" t="s">
        <v>534</v>
      </c>
      <c r="K2177">
        <v>5.038252191974768E-2</v>
      </c>
      <c r="L2177" t="s">
        <v>162</v>
      </c>
      <c r="N2177" t="s">
        <v>333</v>
      </c>
      <c r="O2177" t="s">
        <v>534</v>
      </c>
      <c r="P2177">
        <v>6.9869399678445576E-2</v>
      </c>
      <c r="Q2177" t="s">
        <v>162</v>
      </c>
      <c r="S2177" t="s">
        <v>445</v>
      </c>
      <c r="T2177" t="s">
        <v>534</v>
      </c>
      <c r="U2177">
        <v>8.8638806999085343E-2</v>
      </c>
      <c r="V2177" t="s">
        <v>162</v>
      </c>
    </row>
    <row r="2178" spans="9:22" x14ac:dyDescent="0.45">
      <c r="I2178" t="s">
        <v>221</v>
      </c>
      <c r="J2178" t="s">
        <v>535</v>
      </c>
      <c r="K2178">
        <v>2.6957022750471522E-2</v>
      </c>
      <c r="L2178" t="s">
        <v>162</v>
      </c>
      <c r="N2178" t="s">
        <v>333</v>
      </c>
      <c r="O2178" t="s">
        <v>535</v>
      </c>
      <c r="P2178">
        <v>6.577709191442585E-3</v>
      </c>
      <c r="Q2178" t="s">
        <v>162</v>
      </c>
      <c r="S2178" t="s">
        <v>445</v>
      </c>
      <c r="T2178" t="s">
        <v>535</v>
      </c>
      <c r="U2178">
        <v>1.0547358509889656E-2</v>
      </c>
      <c r="V2178" t="s">
        <v>162</v>
      </c>
    </row>
    <row r="2179" spans="9:22" x14ac:dyDescent="0.45">
      <c r="I2179" t="s">
        <v>221</v>
      </c>
      <c r="J2179" t="s">
        <v>536</v>
      </c>
      <c r="K2179">
        <v>5.498115439255493E-2</v>
      </c>
      <c r="L2179" t="s">
        <v>162</v>
      </c>
      <c r="N2179" t="s">
        <v>333</v>
      </c>
      <c r="O2179" t="s">
        <v>536</v>
      </c>
      <c r="P2179">
        <v>1.5165086668849741E-2</v>
      </c>
      <c r="Q2179" t="s">
        <v>162</v>
      </c>
      <c r="S2179" t="s">
        <v>445</v>
      </c>
      <c r="T2179" t="s">
        <v>536</v>
      </c>
      <c r="U2179">
        <v>2.1235217872184461E-2</v>
      </c>
      <c r="V2179" t="s">
        <v>162</v>
      </c>
    </row>
    <row r="2180" spans="9:22" x14ac:dyDescent="0.45">
      <c r="I2180" t="s">
        <v>221</v>
      </c>
      <c r="J2180" t="s">
        <v>537</v>
      </c>
      <c r="K2180">
        <v>0.11557726926581657</v>
      </c>
      <c r="L2180" t="s">
        <v>162</v>
      </c>
      <c r="N2180" t="s">
        <v>333</v>
      </c>
      <c r="O2180" t="s">
        <v>537</v>
      </c>
      <c r="P2180">
        <v>4.4680255679375114E-2</v>
      </c>
      <c r="Q2180" t="s">
        <v>162</v>
      </c>
      <c r="S2180" t="s">
        <v>445</v>
      </c>
      <c r="T2180" t="s">
        <v>537</v>
      </c>
      <c r="U2180">
        <v>5.3699355883267061E-2</v>
      </c>
      <c r="V2180" t="s">
        <v>162</v>
      </c>
    </row>
    <row r="2181" spans="9:22" x14ac:dyDescent="0.45">
      <c r="I2181" t="s">
        <v>221</v>
      </c>
      <c r="J2181" t="s">
        <v>538</v>
      </c>
      <c r="K2181">
        <v>1.3155249071901687E-2</v>
      </c>
      <c r="L2181" t="s">
        <v>162</v>
      </c>
      <c r="N2181" t="s">
        <v>333</v>
      </c>
      <c r="O2181" t="s">
        <v>538</v>
      </c>
      <c r="P2181">
        <v>8.4365048640929752E-3</v>
      </c>
      <c r="Q2181" t="s">
        <v>162</v>
      </c>
      <c r="S2181" t="s">
        <v>445</v>
      </c>
      <c r="T2181" t="s">
        <v>538</v>
      </c>
      <c r="U2181">
        <v>1.0194698366127283E-2</v>
      </c>
      <c r="V2181" t="s">
        <v>162</v>
      </c>
    </row>
    <row r="2182" spans="9:22" x14ac:dyDescent="0.45">
      <c r="I2182" t="s">
        <v>221</v>
      </c>
      <c r="J2182" t="s">
        <v>539</v>
      </c>
      <c r="K2182">
        <v>1.0659338700723551E-2</v>
      </c>
      <c r="L2182" t="s">
        <v>162</v>
      </c>
      <c r="N2182" t="s">
        <v>333</v>
      </c>
      <c r="O2182" t="s">
        <v>539</v>
      </c>
      <c r="P2182">
        <v>6.0185879393609872E-2</v>
      </c>
      <c r="Q2182" t="s">
        <v>162</v>
      </c>
      <c r="S2182" t="s">
        <v>445</v>
      </c>
      <c r="T2182" t="s">
        <v>539</v>
      </c>
      <c r="U2182">
        <v>5.8473396066177588E-2</v>
      </c>
      <c r="V2182" t="s">
        <v>162</v>
      </c>
    </row>
    <row r="2183" spans="9:22" x14ac:dyDescent="0.45">
      <c r="I2183" t="s">
        <v>221</v>
      </c>
      <c r="J2183" t="s">
        <v>540</v>
      </c>
      <c r="K2183">
        <v>1.6816862133124464E-3</v>
      </c>
      <c r="L2183" t="s">
        <v>162</v>
      </c>
      <c r="N2183" t="s">
        <v>333</v>
      </c>
      <c r="O2183" t="s">
        <v>540</v>
      </c>
      <c r="P2183">
        <v>4.0638856282189502E-2</v>
      </c>
      <c r="Q2183" t="s">
        <v>162</v>
      </c>
      <c r="S2183" t="s">
        <v>445</v>
      </c>
      <c r="T2183" t="s">
        <v>540</v>
      </c>
      <c r="U2183">
        <v>4.2917991283694758E-2</v>
      </c>
      <c r="V2183" t="s">
        <v>162</v>
      </c>
    </row>
    <row r="2184" spans="9:22" x14ac:dyDescent="0.45">
      <c r="I2184" t="s">
        <v>221</v>
      </c>
      <c r="J2184" t="s">
        <v>541</v>
      </c>
      <c r="K2184">
        <v>4.1286329202968198E-3</v>
      </c>
      <c r="L2184" t="s">
        <v>162</v>
      </c>
      <c r="N2184" t="s">
        <v>333</v>
      </c>
      <c r="O2184" t="s">
        <v>541</v>
      </c>
      <c r="P2184">
        <v>4.823181982901598E-3</v>
      </c>
      <c r="Q2184" t="s">
        <v>162</v>
      </c>
      <c r="S2184" t="s">
        <v>445</v>
      </c>
      <c r="T2184" t="s">
        <v>541</v>
      </c>
      <c r="U2184">
        <v>4.7060681438950095E-3</v>
      </c>
      <c r="V2184" t="s">
        <v>162</v>
      </c>
    </row>
    <row r="2185" spans="9:22" x14ac:dyDescent="0.45">
      <c r="I2185" t="s">
        <v>221</v>
      </c>
      <c r="J2185" t="s">
        <v>542</v>
      </c>
      <c r="K2185">
        <v>1.0815254921277035E-2</v>
      </c>
      <c r="L2185" t="s">
        <v>162</v>
      </c>
      <c r="N2185" t="s">
        <v>333</v>
      </c>
      <c r="O2185" t="s">
        <v>542</v>
      </c>
      <c r="P2185">
        <v>9.7114145829237161E-3</v>
      </c>
      <c r="Q2185" t="s">
        <v>162</v>
      </c>
      <c r="S2185" t="s">
        <v>445</v>
      </c>
      <c r="T2185" t="s">
        <v>542</v>
      </c>
      <c r="U2185">
        <v>9.383978043455362E-3</v>
      </c>
      <c r="V2185" t="s">
        <v>162</v>
      </c>
    </row>
    <row r="2186" spans="9:22" x14ac:dyDescent="0.45">
      <c r="I2186" t="s">
        <v>221</v>
      </c>
      <c r="J2186" t="s">
        <v>543</v>
      </c>
      <c r="K2186">
        <v>1.8426145619545472E-2</v>
      </c>
      <c r="L2186" t="s">
        <v>162</v>
      </c>
      <c r="N2186" t="s">
        <v>333</v>
      </c>
      <c r="O2186" t="s">
        <v>543</v>
      </c>
      <c r="P2186">
        <v>2.3627065229884565E-2</v>
      </c>
      <c r="Q2186" t="s">
        <v>162</v>
      </c>
      <c r="S2186" t="s">
        <v>445</v>
      </c>
      <c r="T2186" t="s">
        <v>543</v>
      </c>
      <c r="U2186">
        <v>2.3748621339586315E-2</v>
      </c>
      <c r="V2186" t="s">
        <v>162</v>
      </c>
    </row>
    <row r="2187" spans="9:22" x14ac:dyDescent="0.45">
      <c r="I2187" t="s">
        <v>221</v>
      </c>
      <c r="J2187" t="s">
        <v>544</v>
      </c>
      <c r="K2187">
        <v>0</v>
      </c>
      <c r="L2187" t="s">
        <v>162</v>
      </c>
      <c r="N2187" t="s">
        <v>333</v>
      </c>
      <c r="O2187" t="s">
        <v>544</v>
      </c>
      <c r="P2187">
        <v>4.6471060437679118E-3</v>
      </c>
      <c r="Q2187" t="s">
        <v>162</v>
      </c>
      <c r="S2187" t="s">
        <v>445</v>
      </c>
      <c r="T2187" t="s">
        <v>544</v>
      </c>
      <c r="U2187">
        <v>4.6424925675747925E-3</v>
      </c>
      <c r="V2187" t="s">
        <v>162</v>
      </c>
    </row>
    <row r="2188" spans="9:22" x14ac:dyDescent="0.45">
      <c r="I2188" t="s">
        <v>221</v>
      </c>
      <c r="J2188" t="s">
        <v>545</v>
      </c>
      <c r="K2188">
        <v>0</v>
      </c>
      <c r="L2188" t="s">
        <v>162</v>
      </c>
      <c r="N2188" t="s">
        <v>333</v>
      </c>
      <c r="O2188" t="s">
        <v>545</v>
      </c>
      <c r="P2188">
        <v>2.6994495459373206E-2</v>
      </c>
      <c r="Q2188" t="s">
        <v>162</v>
      </c>
      <c r="S2188" t="s">
        <v>445</v>
      </c>
      <c r="T2188" t="s">
        <v>545</v>
      </c>
      <c r="U2188">
        <v>2.8414243384799878E-2</v>
      </c>
      <c r="V2188" t="s">
        <v>162</v>
      </c>
    </row>
    <row r="2189" spans="9:22" x14ac:dyDescent="0.45">
      <c r="I2189" t="s">
        <v>221</v>
      </c>
      <c r="J2189" t="s">
        <v>546</v>
      </c>
      <c r="K2189">
        <v>0</v>
      </c>
      <c r="L2189" t="s">
        <v>162</v>
      </c>
      <c r="N2189" t="s">
        <v>333</v>
      </c>
      <c r="O2189" t="s">
        <v>546</v>
      </c>
      <c r="P2189">
        <v>3.0415365794064213E-2</v>
      </c>
      <c r="Q2189" t="s">
        <v>162</v>
      </c>
      <c r="S2189" t="s">
        <v>445</v>
      </c>
      <c r="T2189" t="s">
        <v>546</v>
      </c>
      <c r="U2189">
        <v>4.1360050760000863E-2</v>
      </c>
      <c r="V2189" t="s">
        <v>162</v>
      </c>
    </row>
    <row r="2190" spans="9:22" x14ac:dyDescent="0.45">
      <c r="I2190" t="s">
        <v>221</v>
      </c>
      <c r="J2190" t="s">
        <v>547</v>
      </c>
      <c r="K2190">
        <v>1.7168333248627602E-3</v>
      </c>
      <c r="L2190" t="s">
        <v>162</v>
      </c>
      <c r="N2190" t="s">
        <v>333</v>
      </c>
      <c r="O2190" t="s">
        <v>547</v>
      </c>
      <c r="P2190">
        <v>3.2841183243996932E-3</v>
      </c>
      <c r="Q2190" t="s">
        <v>162</v>
      </c>
      <c r="S2190" t="s">
        <v>445</v>
      </c>
      <c r="T2190" t="s">
        <v>547</v>
      </c>
      <c r="U2190">
        <v>5.0015619732795922E-3</v>
      </c>
      <c r="V2190" t="s">
        <v>162</v>
      </c>
    </row>
    <row r="2191" spans="9:22" x14ac:dyDescent="0.45">
      <c r="I2191" t="s">
        <v>221</v>
      </c>
      <c r="J2191" t="s">
        <v>548</v>
      </c>
      <c r="K2191">
        <v>6.7947817683744315E-3</v>
      </c>
      <c r="L2191" t="s">
        <v>162</v>
      </c>
      <c r="N2191" t="s">
        <v>333</v>
      </c>
      <c r="O2191" t="s">
        <v>548</v>
      </c>
      <c r="P2191">
        <v>6.4910789995147296E-3</v>
      </c>
      <c r="Q2191" t="s">
        <v>162</v>
      </c>
      <c r="S2191" t="s">
        <v>445</v>
      </c>
      <c r="T2191" t="s">
        <v>548</v>
      </c>
      <c r="U2191">
        <v>1.0026576933743789E-2</v>
      </c>
      <c r="V2191" t="s">
        <v>162</v>
      </c>
    </row>
    <row r="2192" spans="9:22" x14ac:dyDescent="0.45">
      <c r="I2192" t="s">
        <v>221</v>
      </c>
      <c r="J2192" t="s">
        <v>549</v>
      </c>
      <c r="K2192">
        <v>1.1316094786919072E-2</v>
      </c>
      <c r="L2192" t="s">
        <v>162</v>
      </c>
      <c r="N2192" t="s">
        <v>333</v>
      </c>
      <c r="O2192" t="s">
        <v>549</v>
      </c>
      <c r="P2192">
        <v>1.8713503585239988E-2</v>
      </c>
      <c r="Q2192" t="s">
        <v>162</v>
      </c>
      <c r="S2192" t="s">
        <v>445</v>
      </c>
      <c r="T2192" t="s">
        <v>549</v>
      </c>
      <c r="U2192">
        <v>2.4099913577569743E-2</v>
      </c>
      <c r="V2192" t="s">
        <v>162</v>
      </c>
    </row>
    <row r="2193" spans="9:22" x14ac:dyDescent="0.45">
      <c r="I2193" t="s">
        <v>221</v>
      </c>
      <c r="J2193" t="s">
        <v>550</v>
      </c>
      <c r="K2193">
        <v>0</v>
      </c>
      <c r="L2193" t="s">
        <v>162</v>
      </c>
      <c r="N2193" t="s">
        <v>333</v>
      </c>
      <c r="O2193" t="s">
        <v>550</v>
      </c>
      <c r="P2193">
        <v>4.1624053988980874E-3</v>
      </c>
      <c r="Q2193" t="s">
        <v>162</v>
      </c>
      <c r="S2193" t="s">
        <v>445</v>
      </c>
      <c r="T2193" t="s">
        <v>550</v>
      </c>
      <c r="U2193">
        <v>4.5353391941722904E-3</v>
      </c>
      <c r="V2193" t="s">
        <v>162</v>
      </c>
    </row>
    <row r="2194" spans="9:22" x14ac:dyDescent="0.45">
      <c r="I2194" t="s">
        <v>221</v>
      </c>
      <c r="J2194" t="s">
        <v>551</v>
      </c>
      <c r="K2194">
        <v>0</v>
      </c>
      <c r="L2194" t="s">
        <v>162</v>
      </c>
      <c r="N2194" t="s">
        <v>333</v>
      </c>
      <c r="O2194" t="s">
        <v>551</v>
      </c>
      <c r="P2194">
        <v>2.5841252562938882E-2</v>
      </c>
      <c r="Q2194" t="s">
        <v>162</v>
      </c>
      <c r="S2194" t="s">
        <v>445</v>
      </c>
      <c r="T2194" t="s">
        <v>551</v>
      </c>
      <c r="U2194">
        <v>2.5798110789307233E-2</v>
      </c>
      <c r="V2194" t="s">
        <v>162</v>
      </c>
    </row>
    <row r="2195" spans="9:22" x14ac:dyDescent="0.45">
      <c r="I2195" t="s">
        <v>222</v>
      </c>
      <c r="J2195" t="s">
        <v>161</v>
      </c>
      <c r="K2195">
        <v>2.7781791682279008E-4</v>
      </c>
      <c r="L2195" t="s">
        <v>162</v>
      </c>
      <c r="N2195" t="s">
        <v>334</v>
      </c>
      <c r="O2195" t="s">
        <v>161</v>
      </c>
      <c r="P2195">
        <v>4.5959203213828702E-2</v>
      </c>
      <c r="Q2195" t="s">
        <v>162</v>
      </c>
      <c r="S2195" t="s">
        <v>446</v>
      </c>
      <c r="T2195" t="s">
        <v>161</v>
      </c>
      <c r="U2195">
        <v>2.9272383985761239E-2</v>
      </c>
      <c r="V2195" t="s">
        <v>162</v>
      </c>
    </row>
    <row r="2196" spans="9:22" x14ac:dyDescent="0.45">
      <c r="I2196" t="s">
        <v>222</v>
      </c>
      <c r="J2196" t="s">
        <v>163</v>
      </c>
      <c r="K2196">
        <v>3.226815328406735E-3</v>
      </c>
      <c r="L2196" t="s">
        <v>162</v>
      </c>
      <c r="N2196" t="s">
        <v>334</v>
      </c>
      <c r="O2196" t="s">
        <v>163</v>
      </c>
      <c r="P2196">
        <v>5.2994776292289349E-3</v>
      </c>
      <c r="Q2196" t="s">
        <v>162</v>
      </c>
      <c r="S2196" t="s">
        <v>446</v>
      </c>
      <c r="T2196" t="s">
        <v>163</v>
      </c>
      <c r="U2196">
        <v>3.2226188830552192E-3</v>
      </c>
      <c r="V2196" t="s">
        <v>162</v>
      </c>
    </row>
    <row r="2197" spans="9:22" x14ac:dyDescent="0.45">
      <c r="I2197" t="s">
        <v>222</v>
      </c>
      <c r="J2197" t="s">
        <v>164</v>
      </c>
      <c r="K2197">
        <v>9.8596903710071546E-3</v>
      </c>
      <c r="L2197" t="s">
        <v>162</v>
      </c>
      <c r="N2197" t="s">
        <v>334</v>
      </c>
      <c r="O2197" t="s">
        <v>164</v>
      </c>
      <c r="P2197">
        <v>1.0166117031394205E-2</v>
      </c>
      <c r="Q2197" t="s">
        <v>162</v>
      </c>
      <c r="S2197" t="s">
        <v>446</v>
      </c>
      <c r="T2197" t="s">
        <v>164</v>
      </c>
      <c r="U2197">
        <v>6.4852464239915641E-3</v>
      </c>
      <c r="V2197" t="s">
        <v>162</v>
      </c>
    </row>
    <row r="2198" spans="9:22" x14ac:dyDescent="0.45">
      <c r="I2198" t="s">
        <v>222</v>
      </c>
      <c r="J2198" t="s">
        <v>519</v>
      </c>
      <c r="K2198">
        <v>1.9237266723485469E-2</v>
      </c>
      <c r="L2198" t="s">
        <v>162</v>
      </c>
      <c r="N2198" t="s">
        <v>334</v>
      </c>
      <c r="O2198" t="s">
        <v>519</v>
      </c>
      <c r="P2198">
        <v>2.4576622205185101E-2</v>
      </c>
      <c r="Q2198" t="s">
        <v>162</v>
      </c>
      <c r="S2198" t="s">
        <v>446</v>
      </c>
      <c r="T2198" t="s">
        <v>519</v>
      </c>
      <c r="U2198">
        <v>1.7224385857028641E-2</v>
      </c>
      <c r="V2198" t="s">
        <v>162</v>
      </c>
    </row>
    <row r="2199" spans="9:22" x14ac:dyDescent="0.45">
      <c r="I2199" t="s">
        <v>222</v>
      </c>
      <c r="J2199" t="s">
        <v>520</v>
      </c>
      <c r="K2199">
        <v>0</v>
      </c>
      <c r="L2199" t="s">
        <v>162</v>
      </c>
      <c r="N2199" t="s">
        <v>334</v>
      </c>
      <c r="O2199" t="s">
        <v>520</v>
      </c>
      <c r="P2199">
        <v>4.9804552177635623E-3</v>
      </c>
      <c r="Q2199" t="s">
        <v>162</v>
      </c>
      <c r="S2199" t="s">
        <v>446</v>
      </c>
      <c r="T2199" t="s">
        <v>520</v>
      </c>
      <c r="U2199">
        <v>3.4622000450393931E-3</v>
      </c>
      <c r="V2199" t="s">
        <v>162</v>
      </c>
    </row>
    <row r="2200" spans="9:22" x14ac:dyDescent="0.45">
      <c r="I2200" t="s">
        <v>222</v>
      </c>
      <c r="J2200" t="s">
        <v>521</v>
      </c>
      <c r="K2200">
        <v>0</v>
      </c>
      <c r="L2200" t="s">
        <v>162</v>
      </c>
      <c r="N2200" t="s">
        <v>334</v>
      </c>
      <c r="O2200" t="s">
        <v>521</v>
      </c>
      <c r="P2200">
        <v>3.1629153319610158E-2</v>
      </c>
      <c r="Q2200" t="s">
        <v>162</v>
      </c>
      <c r="S2200" t="s">
        <v>446</v>
      </c>
      <c r="T2200" t="s">
        <v>521</v>
      </c>
      <c r="U2200">
        <v>1.961731105926022E-2</v>
      </c>
      <c r="V2200" t="s">
        <v>162</v>
      </c>
    </row>
    <row r="2201" spans="9:22" x14ac:dyDescent="0.45">
      <c r="I2201" t="s">
        <v>222</v>
      </c>
      <c r="J2201" t="s">
        <v>165</v>
      </c>
      <c r="K2201">
        <v>1.4624748455511E-2</v>
      </c>
      <c r="L2201" t="s">
        <v>162</v>
      </c>
      <c r="N2201" t="s">
        <v>334</v>
      </c>
      <c r="O2201" t="s">
        <v>165</v>
      </c>
      <c r="P2201">
        <v>5.8361297067863603E-2</v>
      </c>
      <c r="Q2201" t="s">
        <v>162</v>
      </c>
      <c r="S2201" t="s">
        <v>446</v>
      </c>
      <c r="T2201" t="s">
        <v>165</v>
      </c>
      <c r="U2201">
        <v>5.6976324901107663E-2</v>
      </c>
      <c r="V2201" t="s">
        <v>162</v>
      </c>
    </row>
    <row r="2202" spans="9:22" x14ac:dyDescent="0.45">
      <c r="I2202" t="s">
        <v>222</v>
      </c>
      <c r="J2202" t="s">
        <v>166</v>
      </c>
      <c r="K2202">
        <v>1.3459434455872435E-2</v>
      </c>
      <c r="L2202" t="s">
        <v>162</v>
      </c>
      <c r="N2202" t="s">
        <v>334</v>
      </c>
      <c r="O2202" t="s">
        <v>166</v>
      </c>
      <c r="P2202">
        <v>6.0427546232152823E-3</v>
      </c>
      <c r="Q2202" t="s">
        <v>162</v>
      </c>
      <c r="S2202" t="s">
        <v>446</v>
      </c>
      <c r="T2202" t="s">
        <v>166</v>
      </c>
      <c r="U2202">
        <v>6.0767759676640439E-3</v>
      </c>
      <c r="V2202" t="s">
        <v>162</v>
      </c>
    </row>
    <row r="2203" spans="9:22" x14ac:dyDescent="0.45">
      <c r="I2203" t="s">
        <v>222</v>
      </c>
      <c r="J2203" t="s">
        <v>167</v>
      </c>
      <c r="K2203">
        <v>3.3166804770071834E-2</v>
      </c>
      <c r="L2203" t="s">
        <v>162</v>
      </c>
      <c r="N2203" t="s">
        <v>334</v>
      </c>
      <c r="O2203" t="s">
        <v>167</v>
      </c>
      <c r="P2203">
        <v>1.1514943330995241E-2</v>
      </c>
      <c r="Q2203" t="s">
        <v>162</v>
      </c>
      <c r="S2203" t="s">
        <v>446</v>
      </c>
      <c r="T2203" t="s">
        <v>167</v>
      </c>
      <c r="U2203">
        <v>1.1656404854186547E-2</v>
      </c>
      <c r="V2203" t="s">
        <v>162</v>
      </c>
    </row>
    <row r="2204" spans="9:22" x14ac:dyDescent="0.45">
      <c r="I2204" t="s">
        <v>222</v>
      </c>
      <c r="J2204" t="s">
        <v>522</v>
      </c>
      <c r="K2204">
        <v>7.3621929046392767E-2</v>
      </c>
      <c r="L2204" t="s">
        <v>162</v>
      </c>
      <c r="N2204" t="s">
        <v>334</v>
      </c>
      <c r="O2204" t="s">
        <v>522</v>
      </c>
      <c r="P2204">
        <v>2.9770345230626445E-2</v>
      </c>
      <c r="Q2204" t="s">
        <v>162</v>
      </c>
      <c r="S2204" t="s">
        <v>446</v>
      </c>
      <c r="T2204" t="s">
        <v>522</v>
      </c>
      <c r="U2204">
        <v>2.958754443365855E-2</v>
      </c>
      <c r="V2204" t="s">
        <v>162</v>
      </c>
    </row>
    <row r="2205" spans="9:22" x14ac:dyDescent="0.45">
      <c r="I2205" t="s">
        <v>222</v>
      </c>
      <c r="J2205" t="s">
        <v>523</v>
      </c>
      <c r="K2205">
        <v>5.7040201616660085E-3</v>
      </c>
      <c r="L2205" t="s">
        <v>162</v>
      </c>
      <c r="N2205" t="s">
        <v>334</v>
      </c>
      <c r="O2205" t="s">
        <v>523</v>
      </c>
      <c r="P2205">
        <v>6.3514650621970935E-3</v>
      </c>
      <c r="Q2205" t="s">
        <v>162</v>
      </c>
      <c r="S2205" t="s">
        <v>446</v>
      </c>
      <c r="T2205" t="s">
        <v>523</v>
      </c>
      <c r="U2205">
        <v>6.5078656727693435E-3</v>
      </c>
      <c r="V2205" t="s">
        <v>162</v>
      </c>
    </row>
    <row r="2206" spans="9:22" x14ac:dyDescent="0.45">
      <c r="I2206" t="s">
        <v>222</v>
      </c>
      <c r="J2206" t="s">
        <v>524</v>
      </c>
      <c r="K2206">
        <v>1.1845478451469953E-3</v>
      </c>
      <c r="L2206" t="s">
        <v>162</v>
      </c>
      <c r="N2206" t="s">
        <v>334</v>
      </c>
      <c r="O2206" t="s">
        <v>524</v>
      </c>
      <c r="P2206">
        <v>4.3772251376718731E-2</v>
      </c>
      <c r="Q2206" t="s">
        <v>162</v>
      </c>
      <c r="S2206" t="s">
        <v>446</v>
      </c>
      <c r="T2206" t="s">
        <v>524</v>
      </c>
      <c r="U2206">
        <v>3.9933335642743061E-2</v>
      </c>
      <c r="V2206" t="s">
        <v>162</v>
      </c>
    </row>
    <row r="2207" spans="9:22" x14ac:dyDescent="0.45">
      <c r="I2207" t="s">
        <v>222</v>
      </c>
      <c r="J2207" t="s">
        <v>168</v>
      </c>
      <c r="K2207">
        <v>2.1026863159579818E-2</v>
      </c>
      <c r="L2207" t="s">
        <v>162</v>
      </c>
      <c r="N2207" t="s">
        <v>334</v>
      </c>
      <c r="O2207" t="s">
        <v>168</v>
      </c>
      <c r="P2207">
        <v>3.5735467735515003E-2</v>
      </c>
      <c r="Q2207" t="s">
        <v>162</v>
      </c>
      <c r="S2207" t="s">
        <v>446</v>
      </c>
      <c r="T2207" t="s">
        <v>168</v>
      </c>
      <c r="U2207">
        <v>3.4123222181074254E-2</v>
      </c>
      <c r="V2207" t="s">
        <v>162</v>
      </c>
    </row>
    <row r="2208" spans="9:22" x14ac:dyDescent="0.45">
      <c r="I2208" t="s">
        <v>222</v>
      </c>
      <c r="J2208" t="s">
        <v>169</v>
      </c>
      <c r="K2208">
        <v>1.0308021057620551E-2</v>
      </c>
      <c r="L2208" t="s">
        <v>162</v>
      </c>
      <c r="N2208" t="s">
        <v>334</v>
      </c>
      <c r="O2208" t="s">
        <v>169</v>
      </c>
      <c r="P2208">
        <v>3.8155215676855753E-3</v>
      </c>
      <c r="Q2208" t="s">
        <v>162</v>
      </c>
      <c r="S2208" t="s">
        <v>446</v>
      </c>
      <c r="T2208" t="s">
        <v>169</v>
      </c>
      <c r="U2208">
        <v>3.801327711574003E-3</v>
      </c>
      <c r="V2208" t="s">
        <v>162</v>
      </c>
    </row>
    <row r="2209" spans="9:22" x14ac:dyDescent="0.45">
      <c r="I2209" t="s">
        <v>222</v>
      </c>
      <c r="J2209" t="s">
        <v>170</v>
      </c>
      <c r="K2209">
        <v>2.1235452789913543E-2</v>
      </c>
      <c r="L2209" t="s">
        <v>162</v>
      </c>
      <c r="N2209" t="s">
        <v>334</v>
      </c>
      <c r="O2209" t="s">
        <v>170</v>
      </c>
      <c r="P2209">
        <v>8.1093703229851259E-3</v>
      </c>
      <c r="Q2209" t="s">
        <v>162</v>
      </c>
      <c r="S2209" t="s">
        <v>446</v>
      </c>
      <c r="T2209" t="s">
        <v>170</v>
      </c>
      <c r="U2209">
        <v>7.4682600169095016E-3</v>
      </c>
      <c r="V2209" t="s">
        <v>162</v>
      </c>
    </row>
    <row r="2210" spans="9:22" x14ac:dyDescent="0.45">
      <c r="I2210" t="s">
        <v>222</v>
      </c>
      <c r="J2210" t="s">
        <v>525</v>
      </c>
      <c r="K2210">
        <v>4.4900019597109722E-2</v>
      </c>
      <c r="L2210" t="s">
        <v>162</v>
      </c>
      <c r="N2210" t="s">
        <v>334</v>
      </c>
      <c r="O2210" t="s">
        <v>525</v>
      </c>
      <c r="P2210">
        <v>2.3750361135062448E-2</v>
      </c>
      <c r="Q2210" t="s">
        <v>162</v>
      </c>
      <c r="S2210" t="s">
        <v>446</v>
      </c>
      <c r="T2210" t="s">
        <v>525</v>
      </c>
      <c r="U2210">
        <v>1.9157018763100178E-2</v>
      </c>
      <c r="V2210" t="s">
        <v>162</v>
      </c>
    </row>
    <row r="2211" spans="9:22" x14ac:dyDescent="0.45">
      <c r="I2211" t="s">
        <v>222</v>
      </c>
      <c r="J2211" t="s">
        <v>526</v>
      </c>
      <c r="K2211">
        <v>5.6618000311248473E-3</v>
      </c>
      <c r="L2211" t="s">
        <v>162</v>
      </c>
      <c r="N2211" t="s">
        <v>334</v>
      </c>
      <c r="O2211" t="s">
        <v>526</v>
      </c>
      <c r="P2211">
        <v>4.5238502953932423E-3</v>
      </c>
      <c r="Q2211" t="s">
        <v>162</v>
      </c>
      <c r="S2211" t="s">
        <v>446</v>
      </c>
      <c r="T2211" t="s">
        <v>526</v>
      </c>
      <c r="U2211">
        <v>3.8976416344556988E-3</v>
      </c>
      <c r="V2211" t="s">
        <v>162</v>
      </c>
    </row>
    <row r="2212" spans="9:22" x14ac:dyDescent="0.45">
      <c r="I2212" t="s">
        <v>222</v>
      </c>
      <c r="J2212" t="s">
        <v>527</v>
      </c>
      <c r="K2212">
        <v>4.3360058297710283E-3</v>
      </c>
      <c r="L2212" t="s">
        <v>162</v>
      </c>
      <c r="N2212" t="s">
        <v>334</v>
      </c>
      <c r="O2212" t="s">
        <v>527</v>
      </c>
      <c r="P2212">
        <v>2.6732753611157307E-2</v>
      </c>
      <c r="Q2212" t="s">
        <v>162</v>
      </c>
      <c r="S2212" t="s">
        <v>446</v>
      </c>
      <c r="T2212" t="s">
        <v>527</v>
      </c>
      <c r="U2212">
        <v>2.3491859511342385E-2</v>
      </c>
      <c r="V2212" t="s">
        <v>162</v>
      </c>
    </row>
    <row r="2213" spans="9:22" x14ac:dyDescent="0.45">
      <c r="I2213" t="s">
        <v>222</v>
      </c>
      <c r="J2213" t="s">
        <v>528</v>
      </c>
      <c r="K2213">
        <v>9.5937695002188267E-2</v>
      </c>
      <c r="L2213" t="s">
        <v>162</v>
      </c>
      <c r="N2213" t="s">
        <v>334</v>
      </c>
      <c r="O2213" t="s">
        <v>528</v>
      </c>
      <c r="P2213">
        <v>6.4283364422719536E-2</v>
      </c>
      <c r="Q2213" t="s">
        <v>162</v>
      </c>
      <c r="S2213" t="s">
        <v>446</v>
      </c>
      <c r="T2213" t="s">
        <v>528</v>
      </c>
      <c r="U2213">
        <v>7.7679590437580937E-2</v>
      </c>
      <c r="V2213" t="s">
        <v>162</v>
      </c>
    </row>
    <row r="2214" spans="9:22" x14ac:dyDescent="0.45">
      <c r="I2214" t="s">
        <v>222</v>
      </c>
      <c r="J2214" t="s">
        <v>529</v>
      </c>
      <c r="K2214">
        <v>3.1836234775603517E-2</v>
      </c>
      <c r="L2214" t="s">
        <v>162</v>
      </c>
      <c r="N2214" t="s">
        <v>334</v>
      </c>
      <c r="O2214" t="s">
        <v>529</v>
      </c>
      <c r="P2214">
        <v>6.9492773595394132E-3</v>
      </c>
      <c r="Q2214" t="s">
        <v>162</v>
      </c>
      <c r="S2214" t="s">
        <v>446</v>
      </c>
      <c r="T2214" t="s">
        <v>529</v>
      </c>
      <c r="U2214">
        <v>8.9063434326620994E-3</v>
      </c>
      <c r="V2214" t="s">
        <v>162</v>
      </c>
    </row>
    <row r="2215" spans="9:22" x14ac:dyDescent="0.45">
      <c r="I2215" t="s">
        <v>222</v>
      </c>
      <c r="J2215" t="s">
        <v>530</v>
      </c>
      <c r="K2215">
        <v>6.2924034031067833E-2</v>
      </c>
      <c r="L2215" t="s">
        <v>162</v>
      </c>
      <c r="N2215" t="s">
        <v>334</v>
      </c>
      <c r="O2215" t="s">
        <v>530</v>
      </c>
      <c r="P2215">
        <v>1.6271711095144425E-2</v>
      </c>
      <c r="Q2215" t="s">
        <v>162</v>
      </c>
      <c r="S2215" t="s">
        <v>446</v>
      </c>
      <c r="T2215" t="s">
        <v>530</v>
      </c>
      <c r="U2215">
        <v>1.7999758129668541E-2</v>
      </c>
      <c r="V2215" t="s">
        <v>162</v>
      </c>
    </row>
    <row r="2216" spans="9:22" x14ac:dyDescent="0.45">
      <c r="I2216" t="s">
        <v>222</v>
      </c>
      <c r="J2216" t="s">
        <v>531</v>
      </c>
      <c r="K2216">
        <v>0.13937374418223678</v>
      </c>
      <c r="L2216" t="s">
        <v>162</v>
      </c>
      <c r="N2216" t="s">
        <v>334</v>
      </c>
      <c r="O2216" t="s">
        <v>531</v>
      </c>
      <c r="P2216">
        <v>4.8062405488179027E-2</v>
      </c>
      <c r="Q2216" t="s">
        <v>162</v>
      </c>
      <c r="S2216" t="s">
        <v>446</v>
      </c>
      <c r="T2216" t="s">
        <v>531</v>
      </c>
      <c r="U2216">
        <v>4.3646998571396936E-2</v>
      </c>
      <c r="V2216" t="s">
        <v>162</v>
      </c>
    </row>
    <row r="2217" spans="9:22" x14ac:dyDescent="0.45">
      <c r="I2217" t="s">
        <v>222</v>
      </c>
      <c r="J2217" t="s">
        <v>532</v>
      </c>
      <c r="K2217">
        <v>2.0602988448297218E-2</v>
      </c>
      <c r="L2217" t="s">
        <v>162</v>
      </c>
      <c r="N2217" t="s">
        <v>334</v>
      </c>
      <c r="O2217" t="s">
        <v>532</v>
      </c>
      <c r="P2217">
        <v>7.9415514196843427E-3</v>
      </c>
      <c r="Q2217" t="s">
        <v>162</v>
      </c>
      <c r="S2217" t="s">
        <v>446</v>
      </c>
      <c r="T2217" t="s">
        <v>532</v>
      </c>
      <c r="U2217">
        <v>8.814511327769595E-3</v>
      </c>
      <c r="V2217" t="s">
        <v>162</v>
      </c>
    </row>
    <row r="2218" spans="9:22" x14ac:dyDescent="0.45">
      <c r="I2218" t="s">
        <v>222</v>
      </c>
      <c r="J2218" t="s">
        <v>533</v>
      </c>
      <c r="K2218">
        <v>2.8728545325652027E-2</v>
      </c>
      <c r="L2218" t="s">
        <v>162</v>
      </c>
      <c r="N2218" t="s">
        <v>334</v>
      </c>
      <c r="O2218" t="s">
        <v>533</v>
      </c>
      <c r="P2218">
        <v>4.9316828361704548E-2</v>
      </c>
      <c r="Q2218" t="s">
        <v>162</v>
      </c>
      <c r="S2218" t="s">
        <v>446</v>
      </c>
      <c r="T2218" t="s">
        <v>533</v>
      </c>
      <c r="U2218">
        <v>5.2441105285465403E-2</v>
      </c>
      <c r="V2218" t="s">
        <v>162</v>
      </c>
    </row>
    <row r="2219" spans="9:22" x14ac:dyDescent="0.45">
      <c r="I2219" t="s">
        <v>222</v>
      </c>
      <c r="J2219" t="s">
        <v>534</v>
      </c>
      <c r="K2219">
        <v>6.0742122853483071E-2</v>
      </c>
      <c r="L2219" t="s">
        <v>162</v>
      </c>
      <c r="N2219" t="s">
        <v>334</v>
      </c>
      <c r="O2219" t="s">
        <v>534</v>
      </c>
      <c r="P2219">
        <v>8.6353641760997038E-2</v>
      </c>
      <c r="Q2219" t="s">
        <v>162</v>
      </c>
      <c r="S2219" t="s">
        <v>446</v>
      </c>
      <c r="T2219" t="s">
        <v>534</v>
      </c>
      <c r="U2219">
        <v>9.7514473698127477E-2</v>
      </c>
      <c r="V2219" t="s">
        <v>162</v>
      </c>
    </row>
    <row r="2220" spans="9:22" x14ac:dyDescent="0.45">
      <c r="I2220" t="s">
        <v>222</v>
      </c>
      <c r="J2220" t="s">
        <v>535</v>
      </c>
      <c r="K2220">
        <v>2.8153704732786881E-2</v>
      </c>
      <c r="L2220" t="s">
        <v>162</v>
      </c>
      <c r="N2220" t="s">
        <v>334</v>
      </c>
      <c r="O2220" t="s">
        <v>535</v>
      </c>
      <c r="P2220">
        <v>9.9441954801373078E-3</v>
      </c>
      <c r="Q2220" t="s">
        <v>162</v>
      </c>
      <c r="S2220" t="s">
        <v>446</v>
      </c>
      <c r="T2220" t="s">
        <v>535</v>
      </c>
      <c r="U2220">
        <v>1.1257789572349209E-2</v>
      </c>
      <c r="V2220" t="s">
        <v>162</v>
      </c>
    </row>
    <row r="2221" spans="9:22" x14ac:dyDescent="0.45">
      <c r="I2221" t="s">
        <v>222</v>
      </c>
      <c r="J2221" t="s">
        <v>536</v>
      </c>
      <c r="K2221">
        <v>5.4772638249666467E-2</v>
      </c>
      <c r="L2221" t="s">
        <v>162</v>
      </c>
      <c r="N2221" t="s">
        <v>334</v>
      </c>
      <c r="O2221" t="s">
        <v>536</v>
      </c>
      <c r="P2221">
        <v>2.0596118445672652E-2</v>
      </c>
      <c r="Q2221" t="s">
        <v>162</v>
      </c>
      <c r="S2221" t="s">
        <v>446</v>
      </c>
      <c r="T2221" t="s">
        <v>536</v>
      </c>
      <c r="U2221">
        <v>2.3062411440014269E-2</v>
      </c>
      <c r="V2221" t="s">
        <v>162</v>
      </c>
    </row>
    <row r="2222" spans="9:22" x14ac:dyDescent="0.45">
      <c r="I2222" t="s">
        <v>222</v>
      </c>
      <c r="J2222" t="s">
        <v>537</v>
      </c>
      <c r="K2222">
        <v>0.11600068756738469</v>
      </c>
      <c r="L2222" t="s">
        <v>162</v>
      </c>
      <c r="N2222" t="s">
        <v>334</v>
      </c>
      <c r="O2222" t="s">
        <v>537</v>
      </c>
      <c r="P2222">
        <v>5.411171009891521E-2</v>
      </c>
      <c r="Q2222" t="s">
        <v>162</v>
      </c>
      <c r="S2222" t="s">
        <v>446</v>
      </c>
      <c r="T2222" t="s">
        <v>537</v>
      </c>
      <c r="U2222">
        <v>5.9231960370934839E-2</v>
      </c>
      <c r="V2222" t="s">
        <v>162</v>
      </c>
    </row>
    <row r="2223" spans="9:22" x14ac:dyDescent="0.45">
      <c r="I2223" t="s">
        <v>222</v>
      </c>
      <c r="J2223" t="s">
        <v>538</v>
      </c>
      <c r="K2223">
        <v>1.2366640338573331E-2</v>
      </c>
      <c r="L2223" t="s">
        <v>162</v>
      </c>
      <c r="N2223" t="s">
        <v>334</v>
      </c>
      <c r="O2223" t="s">
        <v>538</v>
      </c>
      <c r="P2223">
        <v>9.7603058099838928E-3</v>
      </c>
      <c r="Q2223" t="s">
        <v>162</v>
      </c>
      <c r="S2223" t="s">
        <v>446</v>
      </c>
      <c r="T2223" t="s">
        <v>538</v>
      </c>
      <c r="U2223">
        <v>1.1825808761641351E-2</v>
      </c>
      <c r="V2223" t="s">
        <v>162</v>
      </c>
    </row>
    <row r="2224" spans="9:22" x14ac:dyDescent="0.45">
      <c r="I2224" t="s">
        <v>222</v>
      </c>
      <c r="J2224" t="s">
        <v>539</v>
      </c>
      <c r="K2224">
        <v>8.0379100051109556E-3</v>
      </c>
      <c r="L2224" t="s">
        <v>162</v>
      </c>
      <c r="N2224" t="s">
        <v>334</v>
      </c>
      <c r="O2224" t="s">
        <v>539</v>
      </c>
      <c r="P2224">
        <v>5.9717819424641737E-2</v>
      </c>
      <c r="Q2224" t="s">
        <v>162</v>
      </c>
      <c r="S2224" t="s">
        <v>446</v>
      </c>
      <c r="T2224" t="s">
        <v>539</v>
      </c>
      <c r="U2224">
        <v>6.9308608370219446E-2</v>
      </c>
      <c r="V2224" t="s">
        <v>162</v>
      </c>
    </row>
    <row r="2225" spans="9:22" x14ac:dyDescent="0.45">
      <c r="I2225" t="s">
        <v>222</v>
      </c>
      <c r="J2225" t="s">
        <v>540</v>
      </c>
      <c r="K2225">
        <v>2.4920357697781077E-3</v>
      </c>
      <c r="L2225" t="s">
        <v>162</v>
      </c>
      <c r="N2225" t="s">
        <v>334</v>
      </c>
      <c r="O2225" t="s">
        <v>540</v>
      </c>
      <c r="P2225">
        <v>4.2769295418200265E-2</v>
      </c>
      <c r="Q2225" t="s">
        <v>162</v>
      </c>
      <c r="S2225" t="s">
        <v>446</v>
      </c>
      <c r="T2225" t="s">
        <v>540</v>
      </c>
      <c r="U2225">
        <v>4.027155196944656E-2</v>
      </c>
      <c r="V2225" t="s">
        <v>162</v>
      </c>
    </row>
    <row r="2226" spans="9:22" x14ac:dyDescent="0.45">
      <c r="I2226" t="s">
        <v>222</v>
      </c>
      <c r="J2226" t="s">
        <v>541</v>
      </c>
      <c r="K2226">
        <v>4.1982572916947252E-3</v>
      </c>
      <c r="L2226" t="s">
        <v>162</v>
      </c>
      <c r="N2226" t="s">
        <v>334</v>
      </c>
      <c r="O2226" t="s">
        <v>541</v>
      </c>
      <c r="P2226">
        <v>4.5693686163637507E-3</v>
      </c>
      <c r="Q2226" t="s">
        <v>162</v>
      </c>
      <c r="S2226" t="s">
        <v>446</v>
      </c>
      <c r="T2226" t="s">
        <v>541</v>
      </c>
      <c r="U2226">
        <v>4.3788338488590503E-3</v>
      </c>
      <c r="V2226" t="s">
        <v>162</v>
      </c>
    </row>
    <row r="2227" spans="9:22" x14ac:dyDescent="0.45">
      <c r="I2227" t="s">
        <v>222</v>
      </c>
      <c r="J2227" t="s">
        <v>542</v>
      </c>
      <c r="K2227">
        <v>1.056565235045516E-2</v>
      </c>
      <c r="L2227" t="s">
        <v>162</v>
      </c>
      <c r="N2227" t="s">
        <v>334</v>
      </c>
      <c r="O2227" t="s">
        <v>542</v>
      </c>
      <c r="P2227">
        <v>8.8925577294877035E-3</v>
      </c>
      <c r="Q2227" t="s">
        <v>162</v>
      </c>
      <c r="S2227" t="s">
        <v>446</v>
      </c>
      <c r="T2227" t="s">
        <v>542</v>
      </c>
      <c r="U2227">
        <v>8.6277494115269415E-3</v>
      </c>
      <c r="V2227" t="s">
        <v>162</v>
      </c>
    </row>
    <row r="2228" spans="9:22" x14ac:dyDescent="0.45">
      <c r="I2228" t="s">
        <v>222</v>
      </c>
      <c r="J2228" t="s">
        <v>543</v>
      </c>
      <c r="K2228">
        <v>1.862009654908631E-2</v>
      </c>
      <c r="L2228" t="s">
        <v>162</v>
      </c>
      <c r="N2228" t="s">
        <v>334</v>
      </c>
      <c r="O2228" t="s">
        <v>543</v>
      </c>
      <c r="P2228">
        <v>2.3382353417114539E-2</v>
      </c>
      <c r="Q2228" t="s">
        <v>162</v>
      </c>
      <c r="S2228" t="s">
        <v>446</v>
      </c>
      <c r="T2228" t="s">
        <v>543</v>
      </c>
      <c r="U2228">
        <v>2.2032486728058066E-2</v>
      </c>
      <c r="V2228" t="s">
        <v>162</v>
      </c>
    </row>
    <row r="2229" spans="9:22" x14ac:dyDescent="0.45">
      <c r="I2229" t="s">
        <v>222</v>
      </c>
      <c r="J2229" t="s">
        <v>544</v>
      </c>
      <c r="K2229">
        <v>0</v>
      </c>
      <c r="L2229" t="s">
        <v>162</v>
      </c>
      <c r="N2229" t="s">
        <v>334</v>
      </c>
      <c r="O2229" t="s">
        <v>544</v>
      </c>
      <c r="P2229">
        <v>4.5802362573018575E-3</v>
      </c>
      <c r="Q2229" t="s">
        <v>162</v>
      </c>
      <c r="S2229" t="s">
        <v>446</v>
      </c>
      <c r="T2229" t="s">
        <v>544</v>
      </c>
      <c r="U2229">
        <v>4.3831880722171087E-3</v>
      </c>
      <c r="V2229" t="s">
        <v>162</v>
      </c>
    </row>
    <row r="2230" spans="9:22" x14ac:dyDescent="0.45">
      <c r="I2230" t="s">
        <v>222</v>
      </c>
      <c r="J2230" t="s">
        <v>545</v>
      </c>
      <c r="K2230">
        <v>0</v>
      </c>
      <c r="L2230" t="s">
        <v>162</v>
      </c>
      <c r="N2230" t="s">
        <v>334</v>
      </c>
      <c r="O2230" t="s">
        <v>545</v>
      </c>
      <c r="P2230">
        <v>2.8613784036254593E-2</v>
      </c>
      <c r="Q2230" t="s">
        <v>162</v>
      </c>
      <c r="S2230" t="s">
        <v>446</v>
      </c>
      <c r="T2230" t="s">
        <v>545</v>
      </c>
      <c r="U2230">
        <v>2.5723167486123161E-2</v>
      </c>
      <c r="V2230" t="s">
        <v>162</v>
      </c>
    </row>
    <row r="2231" spans="9:22" x14ac:dyDescent="0.45">
      <c r="I2231" t="s">
        <v>222</v>
      </c>
      <c r="J2231" t="s">
        <v>546</v>
      </c>
      <c r="K2231">
        <v>2.2540176839337905E-6</v>
      </c>
      <c r="L2231" t="s">
        <v>162</v>
      </c>
      <c r="N2231" t="s">
        <v>334</v>
      </c>
      <c r="O2231" t="s">
        <v>546</v>
      </c>
      <c r="P2231">
        <v>2.5677349033159866E-2</v>
      </c>
      <c r="Q2231" t="s">
        <v>162</v>
      </c>
      <c r="S2231" t="s">
        <v>446</v>
      </c>
      <c r="T2231" t="s">
        <v>546</v>
      </c>
      <c r="U2231">
        <v>3.2710442846101209E-2</v>
      </c>
      <c r="V2231" t="s">
        <v>162</v>
      </c>
    </row>
    <row r="2232" spans="9:22" x14ac:dyDescent="0.45">
      <c r="I2232" t="s">
        <v>222</v>
      </c>
      <c r="J2232" t="s">
        <v>547</v>
      </c>
      <c r="K2232">
        <v>2.24694351546383E-3</v>
      </c>
      <c r="L2232" t="s">
        <v>162</v>
      </c>
      <c r="N2232" t="s">
        <v>334</v>
      </c>
      <c r="O2232" t="s">
        <v>547</v>
      </c>
      <c r="P2232">
        <v>2.7022448655349418E-3</v>
      </c>
      <c r="Q2232" t="s">
        <v>162</v>
      </c>
      <c r="S2232" t="s">
        <v>446</v>
      </c>
      <c r="T2232" t="s">
        <v>547</v>
      </c>
      <c r="U2232">
        <v>3.944628309481263E-3</v>
      </c>
      <c r="V2232" t="s">
        <v>162</v>
      </c>
    </row>
    <row r="2233" spans="9:22" x14ac:dyDescent="0.45">
      <c r="I2233" t="s">
        <v>222</v>
      </c>
      <c r="J2233" t="s">
        <v>548</v>
      </c>
      <c r="K2233">
        <v>8.0161732195339255E-3</v>
      </c>
      <c r="L2233" t="s">
        <v>162</v>
      </c>
      <c r="N2233" t="s">
        <v>334</v>
      </c>
      <c r="O2233" t="s">
        <v>548</v>
      </c>
      <c r="P2233">
        <v>5.1391373961994398E-3</v>
      </c>
      <c r="Q2233" t="s">
        <v>162</v>
      </c>
      <c r="S2233" t="s">
        <v>446</v>
      </c>
      <c r="T2233" t="s">
        <v>548</v>
      </c>
      <c r="U2233">
        <v>8.1305680615749217E-3</v>
      </c>
      <c r="V2233" t="s">
        <v>162</v>
      </c>
    </row>
    <row r="2234" spans="9:22" x14ac:dyDescent="0.45">
      <c r="I2234" t="s">
        <v>222</v>
      </c>
      <c r="J2234" t="s">
        <v>549</v>
      </c>
      <c r="K2234">
        <v>1.2550404234749268E-2</v>
      </c>
      <c r="L2234" t="s">
        <v>162</v>
      </c>
      <c r="N2234" t="s">
        <v>334</v>
      </c>
      <c r="O2234" t="s">
        <v>549</v>
      </c>
      <c r="P2234">
        <v>1.4821816193118783E-2</v>
      </c>
      <c r="Q2234" t="s">
        <v>162</v>
      </c>
      <c r="S2234" t="s">
        <v>446</v>
      </c>
      <c r="T2234" t="s">
        <v>549</v>
      </c>
      <c r="U2234">
        <v>1.9978272323388408E-2</v>
      </c>
      <c r="V2234" t="s">
        <v>162</v>
      </c>
    </row>
    <row r="2235" spans="9:22" x14ac:dyDescent="0.45">
      <c r="I2235" t="s">
        <v>222</v>
      </c>
      <c r="J2235" t="s">
        <v>550</v>
      </c>
      <c r="K2235">
        <v>0</v>
      </c>
      <c r="L2235" t="s">
        <v>162</v>
      </c>
      <c r="N2235" t="s">
        <v>334</v>
      </c>
      <c r="O2235" t="s">
        <v>550</v>
      </c>
      <c r="P2235">
        <v>3.5294228609999753E-3</v>
      </c>
      <c r="Q2235" t="s">
        <v>162</v>
      </c>
      <c r="S2235" t="s">
        <v>446</v>
      </c>
      <c r="T2235" t="s">
        <v>550</v>
      </c>
      <c r="U2235">
        <v>3.9390101943001061E-3</v>
      </c>
      <c r="V2235" t="s">
        <v>162</v>
      </c>
    </row>
    <row r="2236" spans="9:22" x14ac:dyDescent="0.45">
      <c r="I2236" t="s">
        <v>222</v>
      </c>
      <c r="J2236" t="s">
        <v>551</v>
      </c>
      <c r="K2236">
        <v>0</v>
      </c>
      <c r="L2236" t="s">
        <v>162</v>
      </c>
      <c r="N2236" t="s">
        <v>334</v>
      </c>
      <c r="O2236" t="s">
        <v>551</v>
      </c>
      <c r="P2236">
        <v>2.0922095032519003E-2</v>
      </c>
      <c r="Q2236" t="s">
        <v>162</v>
      </c>
      <c r="S2236" t="s">
        <v>446</v>
      </c>
      <c r="T2236" t="s">
        <v>551</v>
      </c>
      <c r="U2236">
        <v>2.2229013806368988E-2</v>
      </c>
      <c r="V2236" t="s">
        <v>162</v>
      </c>
    </row>
    <row r="2237" spans="9:22" x14ac:dyDescent="0.45">
      <c r="I2237" t="s">
        <v>223</v>
      </c>
      <c r="J2237" t="s">
        <v>161</v>
      </c>
      <c r="K2237">
        <v>4.1197980165702552E-4</v>
      </c>
      <c r="L2237" t="s">
        <v>162</v>
      </c>
      <c r="N2237" t="s">
        <v>335</v>
      </c>
      <c r="O2237" t="s">
        <v>161</v>
      </c>
      <c r="P2237">
        <v>4.5535195146471676E-2</v>
      </c>
      <c r="Q2237" t="s">
        <v>162</v>
      </c>
      <c r="S2237" t="s">
        <v>447</v>
      </c>
      <c r="T2237" t="s">
        <v>161</v>
      </c>
      <c r="U2237">
        <v>2.4335372138744212E-2</v>
      </c>
      <c r="V2237" t="s">
        <v>162</v>
      </c>
    </row>
    <row r="2238" spans="9:22" x14ac:dyDescent="0.45">
      <c r="I2238" t="s">
        <v>223</v>
      </c>
      <c r="J2238" t="s">
        <v>163</v>
      </c>
      <c r="K2238">
        <v>3.6166595290569111E-3</v>
      </c>
      <c r="L2238" t="s">
        <v>162</v>
      </c>
      <c r="N2238" t="s">
        <v>335</v>
      </c>
      <c r="O2238" t="s">
        <v>163</v>
      </c>
      <c r="P2238">
        <v>5.2650909957289264E-3</v>
      </c>
      <c r="Q2238" t="s">
        <v>162</v>
      </c>
      <c r="S2238" t="s">
        <v>447</v>
      </c>
      <c r="T2238" t="s">
        <v>163</v>
      </c>
      <c r="U2238">
        <v>2.6153538055340335E-3</v>
      </c>
      <c r="V2238" t="s">
        <v>162</v>
      </c>
    </row>
    <row r="2239" spans="9:22" x14ac:dyDescent="0.45">
      <c r="I2239" t="s">
        <v>223</v>
      </c>
      <c r="J2239" t="s">
        <v>164</v>
      </c>
      <c r="K2239">
        <v>1.112249719250792E-2</v>
      </c>
      <c r="L2239" t="s">
        <v>162</v>
      </c>
      <c r="N2239" t="s">
        <v>335</v>
      </c>
      <c r="O2239" t="s">
        <v>164</v>
      </c>
      <c r="P2239">
        <v>1.0371577897178052E-2</v>
      </c>
      <c r="Q2239" t="s">
        <v>162</v>
      </c>
      <c r="S2239" t="s">
        <v>447</v>
      </c>
      <c r="T2239" t="s">
        <v>164</v>
      </c>
      <c r="U2239">
        <v>5.4337352153742136E-3</v>
      </c>
      <c r="V2239" t="s">
        <v>162</v>
      </c>
    </row>
    <row r="2240" spans="9:22" x14ac:dyDescent="0.45">
      <c r="I2240" t="s">
        <v>223</v>
      </c>
      <c r="J2240" t="s">
        <v>519</v>
      </c>
      <c r="K2240">
        <v>2.1021488746272309E-2</v>
      </c>
      <c r="L2240" t="s">
        <v>162</v>
      </c>
      <c r="N2240" t="s">
        <v>335</v>
      </c>
      <c r="O2240" t="s">
        <v>519</v>
      </c>
      <c r="P2240">
        <v>2.691874066125511E-2</v>
      </c>
      <c r="Q2240" t="s">
        <v>162</v>
      </c>
      <c r="S2240" t="s">
        <v>447</v>
      </c>
      <c r="T2240" t="s">
        <v>519</v>
      </c>
      <c r="U2240">
        <v>1.511967269611212E-2</v>
      </c>
      <c r="V2240" t="s">
        <v>162</v>
      </c>
    </row>
    <row r="2241" spans="9:22" x14ac:dyDescent="0.45">
      <c r="I2241" t="s">
        <v>223</v>
      </c>
      <c r="J2241" t="s">
        <v>520</v>
      </c>
      <c r="K2241">
        <v>0</v>
      </c>
      <c r="L2241" t="s">
        <v>162</v>
      </c>
      <c r="N2241" t="s">
        <v>335</v>
      </c>
      <c r="O2241" t="s">
        <v>520</v>
      </c>
      <c r="P2241">
        <v>5.6015176170008561E-3</v>
      </c>
      <c r="Q2241" t="s">
        <v>162</v>
      </c>
      <c r="S2241" t="s">
        <v>447</v>
      </c>
      <c r="T2241" t="s">
        <v>520</v>
      </c>
      <c r="U2241">
        <v>3.0378669202706498E-3</v>
      </c>
      <c r="V2241" t="s">
        <v>162</v>
      </c>
    </row>
    <row r="2242" spans="9:22" x14ac:dyDescent="0.45">
      <c r="I2242" t="s">
        <v>223</v>
      </c>
      <c r="J2242" t="s">
        <v>521</v>
      </c>
      <c r="K2242">
        <v>0</v>
      </c>
      <c r="L2242" t="s">
        <v>162</v>
      </c>
      <c r="N2242" t="s">
        <v>335</v>
      </c>
      <c r="O2242" t="s">
        <v>521</v>
      </c>
      <c r="P2242">
        <v>3.33638991243356E-2</v>
      </c>
      <c r="Q2242" t="s">
        <v>162</v>
      </c>
      <c r="S2242" t="s">
        <v>447</v>
      </c>
      <c r="T2242" t="s">
        <v>521</v>
      </c>
      <c r="U2242">
        <v>1.7179237753569738E-2</v>
      </c>
      <c r="V2242" t="s">
        <v>162</v>
      </c>
    </row>
    <row r="2243" spans="9:22" x14ac:dyDescent="0.45">
      <c r="I2243" t="s">
        <v>223</v>
      </c>
      <c r="J2243" t="s">
        <v>165</v>
      </c>
      <c r="K2243">
        <v>1.6358323050142086E-2</v>
      </c>
      <c r="L2243" t="s">
        <v>162</v>
      </c>
      <c r="N2243" t="s">
        <v>335</v>
      </c>
      <c r="O2243" t="s">
        <v>165</v>
      </c>
      <c r="P2243">
        <v>6.665198246207453E-2</v>
      </c>
      <c r="Q2243" t="s">
        <v>162</v>
      </c>
      <c r="S2243" t="s">
        <v>447</v>
      </c>
      <c r="T2243" t="s">
        <v>165</v>
      </c>
      <c r="U2243">
        <v>5.6812648626460689E-2</v>
      </c>
      <c r="V2243" t="s">
        <v>162</v>
      </c>
    </row>
    <row r="2244" spans="9:22" x14ac:dyDescent="0.45">
      <c r="I2244" t="s">
        <v>223</v>
      </c>
      <c r="J2244" t="s">
        <v>166</v>
      </c>
      <c r="K2244">
        <v>1.4237559671944431E-2</v>
      </c>
      <c r="L2244" t="s">
        <v>162</v>
      </c>
      <c r="N2244" t="s">
        <v>335</v>
      </c>
      <c r="O2244" t="s">
        <v>166</v>
      </c>
      <c r="P2244">
        <v>7.2456163135229306E-3</v>
      </c>
      <c r="Q2244" t="s">
        <v>162</v>
      </c>
      <c r="S2244" t="s">
        <v>447</v>
      </c>
      <c r="T2244" t="s">
        <v>166</v>
      </c>
      <c r="U2244">
        <v>6.3013251486632362E-3</v>
      </c>
      <c r="V2244" t="s">
        <v>162</v>
      </c>
    </row>
    <row r="2245" spans="9:22" x14ac:dyDescent="0.45">
      <c r="I2245" t="s">
        <v>223</v>
      </c>
      <c r="J2245" t="s">
        <v>167</v>
      </c>
      <c r="K2245">
        <v>3.3510433782598187E-2</v>
      </c>
      <c r="L2245" t="s">
        <v>162</v>
      </c>
      <c r="N2245" t="s">
        <v>335</v>
      </c>
      <c r="O2245" t="s">
        <v>167</v>
      </c>
      <c r="P2245">
        <v>1.4024887228089125E-2</v>
      </c>
      <c r="Q2245" t="s">
        <v>162</v>
      </c>
      <c r="S2245" t="s">
        <v>447</v>
      </c>
      <c r="T2245" t="s">
        <v>167</v>
      </c>
      <c r="U2245">
        <v>1.2394581766697148E-2</v>
      </c>
      <c r="V2245" t="s">
        <v>162</v>
      </c>
    </row>
    <row r="2246" spans="9:22" x14ac:dyDescent="0.45">
      <c r="I2246" t="s">
        <v>223</v>
      </c>
      <c r="J2246" t="s">
        <v>522</v>
      </c>
      <c r="K2246">
        <v>7.3738048303941664E-2</v>
      </c>
      <c r="L2246" t="s">
        <v>162</v>
      </c>
      <c r="N2246" t="s">
        <v>335</v>
      </c>
      <c r="O2246" t="s">
        <v>522</v>
      </c>
      <c r="P2246">
        <v>3.4646161580251356E-2</v>
      </c>
      <c r="Q2246" t="s">
        <v>162</v>
      </c>
      <c r="S2246" t="s">
        <v>447</v>
      </c>
      <c r="T2246" t="s">
        <v>522</v>
      </c>
      <c r="U2246">
        <v>3.113003040414487E-2</v>
      </c>
      <c r="V2246" t="s">
        <v>162</v>
      </c>
    </row>
    <row r="2247" spans="9:22" x14ac:dyDescent="0.45">
      <c r="I2247" t="s">
        <v>223</v>
      </c>
      <c r="J2247" t="s">
        <v>523</v>
      </c>
      <c r="K2247">
        <v>5.8932995566951989E-3</v>
      </c>
      <c r="L2247" t="s">
        <v>162</v>
      </c>
      <c r="N2247" t="s">
        <v>335</v>
      </c>
      <c r="O2247" t="s">
        <v>523</v>
      </c>
      <c r="P2247">
        <v>6.8716049551179898E-3</v>
      </c>
      <c r="Q2247" t="s">
        <v>162</v>
      </c>
      <c r="S2247" t="s">
        <v>447</v>
      </c>
      <c r="T2247" t="s">
        <v>523</v>
      </c>
      <c r="U2247">
        <v>6.6045484937796483E-3</v>
      </c>
      <c r="V2247" t="s">
        <v>162</v>
      </c>
    </row>
    <row r="2248" spans="9:22" x14ac:dyDescent="0.45">
      <c r="I2248" t="s">
        <v>223</v>
      </c>
      <c r="J2248" t="s">
        <v>524</v>
      </c>
      <c r="K2248">
        <v>1.4253407061804795E-3</v>
      </c>
      <c r="L2248" t="s">
        <v>162</v>
      </c>
      <c r="N2248" t="s">
        <v>335</v>
      </c>
      <c r="O2248" t="s">
        <v>524</v>
      </c>
      <c r="P2248">
        <v>4.437460052543464E-2</v>
      </c>
      <c r="Q2248" t="s">
        <v>162</v>
      </c>
      <c r="S2248" t="s">
        <v>447</v>
      </c>
      <c r="T2248" t="s">
        <v>524</v>
      </c>
      <c r="U2248">
        <v>4.0297174913911653E-2</v>
      </c>
      <c r="V2248" t="s">
        <v>162</v>
      </c>
    </row>
    <row r="2249" spans="9:22" x14ac:dyDescent="0.45">
      <c r="I2249" t="s">
        <v>223</v>
      </c>
      <c r="J2249" t="s">
        <v>168</v>
      </c>
      <c r="K2249">
        <v>2.2203627467108033E-2</v>
      </c>
      <c r="L2249" t="s">
        <v>162</v>
      </c>
      <c r="N2249" t="s">
        <v>335</v>
      </c>
      <c r="O2249" t="s">
        <v>168</v>
      </c>
      <c r="P2249">
        <v>3.0647718409075875E-2</v>
      </c>
      <c r="Q2249" t="s">
        <v>162</v>
      </c>
      <c r="S2249" t="s">
        <v>447</v>
      </c>
      <c r="T2249" t="s">
        <v>168</v>
      </c>
      <c r="U2249">
        <v>3.3883953213178358E-2</v>
      </c>
      <c r="V2249" t="s">
        <v>162</v>
      </c>
    </row>
    <row r="2250" spans="9:22" x14ac:dyDescent="0.45">
      <c r="I2250" t="s">
        <v>223</v>
      </c>
      <c r="J2250" t="s">
        <v>169</v>
      </c>
      <c r="K2250">
        <v>1.0314555792869478E-2</v>
      </c>
      <c r="L2250" t="s">
        <v>162</v>
      </c>
      <c r="N2250" t="s">
        <v>335</v>
      </c>
      <c r="O2250" t="s">
        <v>169</v>
      </c>
      <c r="P2250">
        <v>3.1497995667324414E-3</v>
      </c>
      <c r="Q2250" t="s">
        <v>162</v>
      </c>
      <c r="S2250" t="s">
        <v>447</v>
      </c>
      <c r="T2250" t="s">
        <v>169</v>
      </c>
      <c r="U2250">
        <v>3.6036375783915272E-3</v>
      </c>
      <c r="V2250" t="s">
        <v>162</v>
      </c>
    </row>
    <row r="2251" spans="9:22" x14ac:dyDescent="0.45">
      <c r="I2251" t="s">
        <v>223</v>
      </c>
      <c r="J2251" t="s">
        <v>170</v>
      </c>
      <c r="K2251">
        <v>2.1667187563872242E-2</v>
      </c>
      <c r="L2251" t="s">
        <v>162</v>
      </c>
      <c r="N2251" t="s">
        <v>335</v>
      </c>
      <c r="O2251" t="s">
        <v>170</v>
      </c>
      <c r="P2251">
        <v>6.5704617340423708E-3</v>
      </c>
      <c r="Q2251" t="s">
        <v>162</v>
      </c>
      <c r="S2251" t="s">
        <v>447</v>
      </c>
      <c r="T2251" t="s">
        <v>170</v>
      </c>
      <c r="U2251">
        <v>7.282637566428809E-3</v>
      </c>
      <c r="V2251" t="s">
        <v>162</v>
      </c>
    </row>
    <row r="2252" spans="9:22" x14ac:dyDescent="0.45">
      <c r="I2252" t="s">
        <v>223</v>
      </c>
      <c r="J2252" t="s">
        <v>525</v>
      </c>
      <c r="K2252">
        <v>4.8836862022338966E-2</v>
      </c>
      <c r="L2252" t="s">
        <v>162</v>
      </c>
      <c r="N2252" t="s">
        <v>335</v>
      </c>
      <c r="O2252" t="s">
        <v>525</v>
      </c>
      <c r="P2252">
        <v>1.9067064745187136E-2</v>
      </c>
      <c r="Q2252" t="s">
        <v>162</v>
      </c>
      <c r="S2252" t="s">
        <v>447</v>
      </c>
      <c r="T2252" t="s">
        <v>525</v>
      </c>
      <c r="U2252">
        <v>1.9566668491347968E-2</v>
      </c>
      <c r="V2252" t="s">
        <v>162</v>
      </c>
    </row>
    <row r="2253" spans="9:22" x14ac:dyDescent="0.45">
      <c r="I2253" t="s">
        <v>223</v>
      </c>
      <c r="J2253" t="s">
        <v>526</v>
      </c>
      <c r="K2253">
        <v>6.0116240301808675E-3</v>
      </c>
      <c r="L2253" t="s">
        <v>162</v>
      </c>
      <c r="N2253" t="s">
        <v>335</v>
      </c>
      <c r="O2253" t="s">
        <v>526</v>
      </c>
      <c r="P2253">
        <v>3.6910408425065511E-3</v>
      </c>
      <c r="Q2253" t="s">
        <v>162</v>
      </c>
      <c r="S2253" t="s">
        <v>447</v>
      </c>
      <c r="T2253" t="s">
        <v>526</v>
      </c>
      <c r="U2253">
        <v>4.0067748593353332E-3</v>
      </c>
      <c r="V2253" t="s">
        <v>162</v>
      </c>
    </row>
    <row r="2254" spans="9:22" x14ac:dyDescent="0.45">
      <c r="I2254" t="s">
        <v>223</v>
      </c>
      <c r="J2254" t="s">
        <v>527</v>
      </c>
      <c r="K2254">
        <v>4.0116446191967728E-3</v>
      </c>
      <c r="L2254" t="s">
        <v>162</v>
      </c>
      <c r="N2254" t="s">
        <v>335</v>
      </c>
      <c r="O2254" t="s">
        <v>527</v>
      </c>
      <c r="P2254">
        <v>2.2636049481479039E-2</v>
      </c>
      <c r="Q2254" t="s">
        <v>162</v>
      </c>
      <c r="S2254" t="s">
        <v>447</v>
      </c>
      <c r="T2254" t="s">
        <v>527</v>
      </c>
      <c r="U2254">
        <v>2.3692982030566283E-2</v>
      </c>
      <c r="V2254" t="s">
        <v>162</v>
      </c>
    </row>
    <row r="2255" spans="9:22" x14ac:dyDescent="0.45">
      <c r="I2255" t="s">
        <v>223</v>
      </c>
      <c r="J2255" t="s">
        <v>528</v>
      </c>
      <c r="K2255">
        <v>8.7201006130983416E-2</v>
      </c>
      <c r="L2255" t="s">
        <v>162</v>
      </c>
      <c r="N2255" t="s">
        <v>335</v>
      </c>
      <c r="O2255" t="s">
        <v>528</v>
      </c>
      <c r="P2255">
        <v>6.596156386745046E-2</v>
      </c>
      <c r="Q2255" t="s">
        <v>162</v>
      </c>
      <c r="S2255" t="s">
        <v>447</v>
      </c>
      <c r="T2255" t="s">
        <v>528</v>
      </c>
      <c r="U2255">
        <v>7.8005771105112337E-2</v>
      </c>
      <c r="V2255" t="s">
        <v>162</v>
      </c>
    </row>
    <row r="2256" spans="9:22" x14ac:dyDescent="0.45">
      <c r="I2256" t="s">
        <v>223</v>
      </c>
      <c r="J2256" t="s">
        <v>529</v>
      </c>
      <c r="K2256">
        <v>3.0352724065699433E-2</v>
      </c>
      <c r="L2256" t="s">
        <v>162</v>
      </c>
      <c r="N2256" t="s">
        <v>335</v>
      </c>
      <c r="O2256" t="s">
        <v>529</v>
      </c>
      <c r="P2256">
        <v>6.6036619008042934E-3</v>
      </c>
      <c r="Q2256" t="s">
        <v>162</v>
      </c>
      <c r="S2256" t="s">
        <v>447</v>
      </c>
      <c r="T2256" t="s">
        <v>529</v>
      </c>
      <c r="U2256">
        <v>8.9976739011703877E-3</v>
      </c>
      <c r="V2256" t="s">
        <v>162</v>
      </c>
    </row>
    <row r="2257" spans="9:22" x14ac:dyDescent="0.45">
      <c r="I2257" t="s">
        <v>223</v>
      </c>
      <c r="J2257" t="s">
        <v>530</v>
      </c>
      <c r="K2257">
        <v>6.0728603078607356E-2</v>
      </c>
      <c r="L2257" t="s">
        <v>162</v>
      </c>
      <c r="N2257" t="s">
        <v>335</v>
      </c>
      <c r="O2257" t="s">
        <v>530</v>
      </c>
      <c r="P2257">
        <v>1.4880620549572615E-2</v>
      </c>
      <c r="Q2257" t="s">
        <v>162</v>
      </c>
      <c r="S2257" t="s">
        <v>447</v>
      </c>
      <c r="T2257" t="s">
        <v>530</v>
      </c>
      <c r="U2257">
        <v>1.8165329537591025E-2</v>
      </c>
      <c r="V2257" t="s">
        <v>162</v>
      </c>
    </row>
    <row r="2258" spans="9:22" x14ac:dyDescent="0.45">
      <c r="I2258" t="s">
        <v>223</v>
      </c>
      <c r="J2258" t="s">
        <v>531</v>
      </c>
      <c r="K2258">
        <v>0.13709030483019782</v>
      </c>
      <c r="L2258" t="s">
        <v>162</v>
      </c>
      <c r="N2258" t="s">
        <v>335</v>
      </c>
      <c r="O2258" t="s">
        <v>531</v>
      </c>
      <c r="P2258">
        <v>4.314066296614056E-2</v>
      </c>
      <c r="Q2258" t="s">
        <v>162</v>
      </c>
      <c r="S2258" t="s">
        <v>447</v>
      </c>
      <c r="T2258" t="s">
        <v>531</v>
      </c>
      <c r="U2258">
        <v>4.5820840654466018E-2</v>
      </c>
      <c r="V2258" t="s">
        <v>162</v>
      </c>
    </row>
    <row r="2259" spans="9:22" x14ac:dyDescent="0.45">
      <c r="I2259" t="s">
        <v>223</v>
      </c>
      <c r="J2259" t="s">
        <v>532</v>
      </c>
      <c r="K2259">
        <v>2.0669994975042377E-2</v>
      </c>
      <c r="L2259" t="s">
        <v>162</v>
      </c>
      <c r="N2259" t="s">
        <v>335</v>
      </c>
      <c r="O2259" t="s">
        <v>532</v>
      </c>
      <c r="P2259">
        <v>7.5529876050046043E-3</v>
      </c>
      <c r="Q2259" t="s">
        <v>162</v>
      </c>
      <c r="S2259" t="s">
        <v>447</v>
      </c>
      <c r="T2259" t="s">
        <v>532</v>
      </c>
      <c r="U2259">
        <v>9.2496154126383932E-3</v>
      </c>
      <c r="V2259" t="s">
        <v>162</v>
      </c>
    </row>
    <row r="2260" spans="9:22" x14ac:dyDescent="0.45">
      <c r="I2260" t="s">
        <v>223</v>
      </c>
      <c r="J2260" t="s">
        <v>533</v>
      </c>
      <c r="K2260">
        <v>2.681146308159579E-2</v>
      </c>
      <c r="L2260" t="s">
        <v>162</v>
      </c>
      <c r="N2260" t="s">
        <v>335</v>
      </c>
      <c r="O2260" t="s">
        <v>533</v>
      </c>
      <c r="P2260">
        <v>4.8683644654212668E-2</v>
      </c>
      <c r="Q2260" t="s">
        <v>162</v>
      </c>
      <c r="S2260" t="s">
        <v>447</v>
      </c>
      <c r="T2260" t="s">
        <v>533</v>
      </c>
      <c r="U2260">
        <v>5.4499169878776073E-2</v>
      </c>
      <c r="V2260" t="s">
        <v>162</v>
      </c>
    </row>
    <row r="2261" spans="9:22" x14ac:dyDescent="0.45">
      <c r="I2261" t="s">
        <v>223</v>
      </c>
      <c r="J2261" t="s">
        <v>534</v>
      </c>
      <c r="K2261">
        <v>5.5615527477951746E-2</v>
      </c>
      <c r="L2261" t="s">
        <v>162</v>
      </c>
      <c r="N2261" t="s">
        <v>335</v>
      </c>
      <c r="O2261" t="s">
        <v>534</v>
      </c>
      <c r="P2261">
        <v>8.260758094965627E-2</v>
      </c>
      <c r="Q2261" t="s">
        <v>162</v>
      </c>
      <c r="S2261" t="s">
        <v>447</v>
      </c>
      <c r="T2261" t="s">
        <v>534</v>
      </c>
      <c r="U2261">
        <v>0.10346069302731188</v>
      </c>
      <c r="V2261" t="s">
        <v>162</v>
      </c>
    </row>
    <row r="2262" spans="9:22" x14ac:dyDescent="0.45">
      <c r="I2262" t="s">
        <v>223</v>
      </c>
      <c r="J2262" t="s">
        <v>535</v>
      </c>
      <c r="K2262">
        <v>2.7230902643265515E-2</v>
      </c>
      <c r="L2262" t="s">
        <v>162</v>
      </c>
      <c r="N2262" t="s">
        <v>335</v>
      </c>
      <c r="O2262" t="s">
        <v>535</v>
      </c>
      <c r="P2262">
        <v>8.8502176688278911E-3</v>
      </c>
      <c r="Q2262" t="s">
        <v>162</v>
      </c>
      <c r="S2262" t="s">
        <v>447</v>
      </c>
      <c r="T2262" t="s">
        <v>535</v>
      </c>
      <c r="U2262">
        <v>1.1558601411331812E-2</v>
      </c>
      <c r="V2262" t="s">
        <v>162</v>
      </c>
    </row>
    <row r="2263" spans="9:22" x14ac:dyDescent="0.45">
      <c r="I2263" t="s">
        <v>223</v>
      </c>
      <c r="J2263" t="s">
        <v>536</v>
      </c>
      <c r="K2263">
        <v>5.3816204403420734E-2</v>
      </c>
      <c r="L2263" t="s">
        <v>162</v>
      </c>
      <c r="N2263" t="s">
        <v>335</v>
      </c>
      <c r="O2263" t="s">
        <v>536</v>
      </c>
      <c r="P2263">
        <v>1.87003194893175E-2</v>
      </c>
      <c r="Q2263" t="s">
        <v>162</v>
      </c>
      <c r="S2263" t="s">
        <v>447</v>
      </c>
      <c r="T2263" t="s">
        <v>536</v>
      </c>
      <c r="U2263">
        <v>2.3414449764683012E-2</v>
      </c>
      <c r="V2263" t="s">
        <v>162</v>
      </c>
    </row>
    <row r="2264" spans="9:22" x14ac:dyDescent="0.45">
      <c r="I2264" t="s">
        <v>223</v>
      </c>
      <c r="J2264" t="s">
        <v>537</v>
      </c>
      <c r="K2264">
        <v>0.12018840968315353</v>
      </c>
      <c r="L2264" t="s">
        <v>162</v>
      </c>
      <c r="N2264" t="s">
        <v>335</v>
      </c>
      <c r="O2264" t="s">
        <v>537</v>
      </c>
      <c r="P2264">
        <v>5.0293475864681865E-2</v>
      </c>
      <c r="Q2264" t="s">
        <v>162</v>
      </c>
      <c r="S2264" t="s">
        <v>447</v>
      </c>
      <c r="T2264" t="s">
        <v>537</v>
      </c>
      <c r="U2264">
        <v>6.077934725558095E-2</v>
      </c>
      <c r="V2264" t="s">
        <v>162</v>
      </c>
    </row>
    <row r="2265" spans="9:22" x14ac:dyDescent="0.45">
      <c r="I2265" t="s">
        <v>223</v>
      </c>
      <c r="J2265" t="s">
        <v>538</v>
      </c>
      <c r="K2265">
        <v>1.3204519375793113E-2</v>
      </c>
      <c r="L2265" t="s">
        <v>162</v>
      </c>
      <c r="N2265" t="s">
        <v>335</v>
      </c>
      <c r="O2265" t="s">
        <v>538</v>
      </c>
      <c r="P2265">
        <v>9.1858591284182129E-3</v>
      </c>
      <c r="Q2265" t="s">
        <v>162</v>
      </c>
      <c r="S2265" t="s">
        <v>447</v>
      </c>
      <c r="T2265" t="s">
        <v>538</v>
      </c>
      <c r="U2265">
        <v>1.2350068923868137E-2</v>
      </c>
      <c r="V2265" t="s">
        <v>162</v>
      </c>
    </row>
    <row r="2266" spans="9:22" x14ac:dyDescent="0.45">
      <c r="I2266" t="s">
        <v>223</v>
      </c>
      <c r="J2266" t="s">
        <v>539</v>
      </c>
      <c r="K2266">
        <v>7.9806992112428244E-3</v>
      </c>
      <c r="L2266" t="s">
        <v>162</v>
      </c>
      <c r="N2266" t="s">
        <v>335</v>
      </c>
      <c r="O2266" t="s">
        <v>539</v>
      </c>
      <c r="P2266">
        <v>5.816955058773525E-2</v>
      </c>
      <c r="Q2266" t="s">
        <v>162</v>
      </c>
      <c r="S2266" t="s">
        <v>447</v>
      </c>
      <c r="T2266" t="s">
        <v>539</v>
      </c>
      <c r="U2266">
        <v>7.3748336911022172E-2</v>
      </c>
      <c r="V2266" t="s">
        <v>162</v>
      </c>
    </row>
    <row r="2267" spans="9:22" x14ac:dyDescent="0.45">
      <c r="I2267" t="s">
        <v>223</v>
      </c>
      <c r="J2267" t="s">
        <v>540</v>
      </c>
      <c r="K2267">
        <v>3.2077907485373973E-3</v>
      </c>
      <c r="L2267" t="s">
        <v>162</v>
      </c>
      <c r="N2267" t="s">
        <v>335</v>
      </c>
      <c r="O2267" t="s">
        <v>540</v>
      </c>
      <c r="P2267">
        <v>3.9284176996559804E-2</v>
      </c>
      <c r="Q2267" t="s">
        <v>162</v>
      </c>
      <c r="S2267" t="s">
        <v>447</v>
      </c>
      <c r="T2267" t="s">
        <v>540</v>
      </c>
      <c r="U2267">
        <v>4.0063294124197131E-2</v>
      </c>
      <c r="V2267" t="s">
        <v>162</v>
      </c>
    </row>
    <row r="2268" spans="9:22" x14ac:dyDescent="0.45">
      <c r="I2268" t="s">
        <v>223</v>
      </c>
      <c r="J2268" t="s">
        <v>541</v>
      </c>
      <c r="K2268">
        <v>4.9417923348358947E-3</v>
      </c>
      <c r="L2268" t="s">
        <v>162</v>
      </c>
      <c r="N2268" t="s">
        <v>335</v>
      </c>
      <c r="O2268" t="s">
        <v>541</v>
      </c>
      <c r="P2268">
        <v>4.5368642703690005E-3</v>
      </c>
      <c r="Q2268" t="s">
        <v>162</v>
      </c>
      <c r="S2268" t="s">
        <v>447</v>
      </c>
      <c r="T2268" t="s">
        <v>541</v>
      </c>
      <c r="U2268">
        <v>4.211117867217516E-3</v>
      </c>
      <c r="V2268" t="s">
        <v>162</v>
      </c>
    </row>
    <row r="2269" spans="9:22" x14ac:dyDescent="0.45">
      <c r="I2269" t="s">
        <v>223</v>
      </c>
      <c r="J2269" t="s">
        <v>542</v>
      </c>
      <c r="K2269">
        <v>1.114560856803723E-2</v>
      </c>
      <c r="L2269" t="s">
        <v>162</v>
      </c>
      <c r="N2269" t="s">
        <v>335</v>
      </c>
      <c r="O2269" t="s">
        <v>542</v>
      </c>
      <c r="P2269">
        <v>9.009217967479187E-3</v>
      </c>
      <c r="Q2269" t="s">
        <v>162</v>
      </c>
      <c r="S2269" t="s">
        <v>447</v>
      </c>
      <c r="T2269" t="s">
        <v>542</v>
      </c>
      <c r="U2269">
        <v>8.448293648958119E-3</v>
      </c>
      <c r="V2269" t="s">
        <v>162</v>
      </c>
    </row>
    <row r="2270" spans="9:22" x14ac:dyDescent="0.45">
      <c r="I2270" t="s">
        <v>223</v>
      </c>
      <c r="J2270" t="s">
        <v>543</v>
      </c>
      <c r="K2270">
        <v>1.8904070352244996E-2</v>
      </c>
      <c r="L2270" t="s">
        <v>162</v>
      </c>
      <c r="N2270" t="s">
        <v>335</v>
      </c>
      <c r="O2270" t="s">
        <v>543</v>
      </c>
      <c r="P2270">
        <v>2.2637816909568759E-2</v>
      </c>
      <c r="Q2270" t="s">
        <v>162</v>
      </c>
      <c r="S2270" t="s">
        <v>447</v>
      </c>
      <c r="T2270" t="s">
        <v>543</v>
      </c>
      <c r="U2270">
        <v>2.134357954519623E-2</v>
      </c>
      <c r="V2270" t="s">
        <v>162</v>
      </c>
    </row>
    <row r="2271" spans="9:22" x14ac:dyDescent="0.45">
      <c r="I2271" t="s">
        <v>223</v>
      </c>
      <c r="J2271" t="s">
        <v>544</v>
      </c>
      <c r="K2271">
        <v>0</v>
      </c>
      <c r="L2271" t="s">
        <v>162</v>
      </c>
      <c r="N2271" t="s">
        <v>335</v>
      </c>
      <c r="O2271" t="s">
        <v>544</v>
      </c>
      <c r="P2271">
        <v>4.5191345473054E-3</v>
      </c>
      <c r="Q2271" t="s">
        <v>162</v>
      </c>
      <c r="S2271" t="s">
        <v>447</v>
      </c>
      <c r="T2271" t="s">
        <v>544</v>
      </c>
      <c r="U2271">
        <v>4.1974718606736863E-3</v>
      </c>
      <c r="V2271" t="s">
        <v>162</v>
      </c>
    </row>
    <row r="2272" spans="9:22" x14ac:dyDescent="0.45">
      <c r="I2272" t="s">
        <v>223</v>
      </c>
      <c r="J2272" t="s">
        <v>545</v>
      </c>
      <c r="K2272">
        <v>0</v>
      </c>
      <c r="L2272" t="s">
        <v>162</v>
      </c>
      <c r="N2272" t="s">
        <v>335</v>
      </c>
      <c r="O2272" t="s">
        <v>545</v>
      </c>
      <c r="P2272">
        <v>2.5937674856454606E-2</v>
      </c>
      <c r="Q2272" t="s">
        <v>162</v>
      </c>
      <c r="S2272" t="s">
        <v>447</v>
      </c>
      <c r="T2272" t="s">
        <v>545</v>
      </c>
      <c r="U2272">
        <v>2.4624367090340306E-2</v>
      </c>
      <c r="V2272" t="s">
        <v>162</v>
      </c>
    </row>
    <row r="2273" spans="9:22" x14ac:dyDescent="0.45">
      <c r="I2273" t="s">
        <v>223</v>
      </c>
      <c r="J2273" t="s">
        <v>546</v>
      </c>
      <c r="K2273">
        <v>1.1869066693474711E-4</v>
      </c>
      <c r="L2273" t="s">
        <v>162</v>
      </c>
      <c r="N2273" t="s">
        <v>335</v>
      </c>
      <c r="O2273" t="s">
        <v>546</v>
      </c>
      <c r="P2273">
        <v>3.3429696404513765E-2</v>
      </c>
      <c r="Q2273" t="s">
        <v>162</v>
      </c>
      <c r="S2273" t="s">
        <v>447</v>
      </c>
      <c r="T2273" t="s">
        <v>546</v>
      </c>
      <c r="U2273">
        <v>3.004553230745435E-2</v>
      </c>
      <c r="V2273" t="s">
        <v>162</v>
      </c>
    </row>
    <row r="2274" spans="9:22" x14ac:dyDescent="0.45">
      <c r="I2274" t="s">
        <v>223</v>
      </c>
      <c r="J2274" t="s">
        <v>547</v>
      </c>
      <c r="K2274">
        <v>2.670567823985844E-3</v>
      </c>
      <c r="L2274" t="s">
        <v>162</v>
      </c>
      <c r="N2274" t="s">
        <v>335</v>
      </c>
      <c r="O2274" t="s">
        <v>547</v>
      </c>
      <c r="P2274">
        <v>3.1754113645653071E-3</v>
      </c>
      <c r="Q2274" t="s">
        <v>162</v>
      </c>
      <c r="S2274" t="s">
        <v>447</v>
      </c>
      <c r="T2274" t="s">
        <v>547</v>
      </c>
      <c r="U2274">
        <v>3.6100234459723137E-3</v>
      </c>
      <c r="V2274" t="s">
        <v>162</v>
      </c>
    </row>
    <row r="2275" spans="9:22" x14ac:dyDescent="0.45">
      <c r="I2275" t="s">
        <v>223</v>
      </c>
      <c r="J2275" t="s">
        <v>548</v>
      </c>
      <c r="K2275">
        <v>8.9887677800801861E-3</v>
      </c>
      <c r="L2275" t="s">
        <v>162</v>
      </c>
      <c r="N2275" t="s">
        <v>335</v>
      </c>
      <c r="O2275" t="s">
        <v>548</v>
      </c>
      <c r="P2275">
        <v>6.1284983046061108E-3</v>
      </c>
      <c r="Q2275" t="s">
        <v>162</v>
      </c>
      <c r="S2275" t="s">
        <v>447</v>
      </c>
      <c r="T2275" t="s">
        <v>548</v>
      </c>
      <c r="U2275">
        <v>7.2892658797367883E-3</v>
      </c>
      <c r="V2275" t="s">
        <v>162</v>
      </c>
    </row>
    <row r="2276" spans="9:22" x14ac:dyDescent="0.45">
      <c r="I2276" t="s">
        <v>223</v>
      </c>
      <c r="J2276" t="s">
        <v>549</v>
      </c>
      <c r="K2276">
        <v>1.4751220931829484E-2</v>
      </c>
      <c r="L2276" t="s">
        <v>162</v>
      </c>
      <c r="N2276" t="s">
        <v>335</v>
      </c>
      <c r="O2276" t="s">
        <v>549</v>
      </c>
      <c r="P2276">
        <v>1.8260576204517875E-2</v>
      </c>
      <c r="Q2276" t="s">
        <v>162</v>
      </c>
      <c r="S2276" t="s">
        <v>447</v>
      </c>
      <c r="T2276" t="s">
        <v>549</v>
      </c>
      <c r="U2276">
        <v>1.845565574294164E-2</v>
      </c>
      <c r="V2276" t="s">
        <v>162</v>
      </c>
    </row>
    <row r="2277" spans="9:22" x14ac:dyDescent="0.45">
      <c r="I2277" t="s">
        <v>223</v>
      </c>
      <c r="J2277" t="s">
        <v>550</v>
      </c>
      <c r="K2277">
        <v>0</v>
      </c>
      <c r="L2277" t="s">
        <v>162</v>
      </c>
      <c r="N2277" t="s">
        <v>335</v>
      </c>
      <c r="O2277" t="s">
        <v>550</v>
      </c>
      <c r="P2277">
        <v>4.3671924852599188E-3</v>
      </c>
      <c r="Q2277" t="s">
        <v>162</v>
      </c>
      <c r="S2277" t="s">
        <v>447</v>
      </c>
      <c r="T2277" t="s">
        <v>550</v>
      </c>
      <c r="U2277">
        <v>3.7088737946844412E-3</v>
      </c>
      <c r="V2277" t="s">
        <v>162</v>
      </c>
    </row>
    <row r="2278" spans="9:22" x14ac:dyDescent="0.45">
      <c r="I2278" t="s">
        <v>223</v>
      </c>
      <c r="J2278" t="s">
        <v>551</v>
      </c>
      <c r="K2278">
        <v>0</v>
      </c>
      <c r="L2278" t="s">
        <v>162</v>
      </c>
      <c r="N2278" t="s">
        <v>335</v>
      </c>
      <c r="O2278" t="s">
        <v>551</v>
      </c>
      <c r="P2278">
        <v>2.7450585171493663E-2</v>
      </c>
      <c r="Q2278" t="s">
        <v>162</v>
      </c>
      <c r="S2278" t="s">
        <v>447</v>
      </c>
      <c r="T2278" t="s">
        <v>551</v>
      </c>
      <c r="U2278">
        <v>2.0654425286562108E-2</v>
      </c>
      <c r="V2278" t="s">
        <v>162</v>
      </c>
    </row>
    <row r="2279" spans="9:22" x14ac:dyDescent="0.45">
      <c r="I2279" t="s">
        <v>224</v>
      </c>
      <c r="J2279" t="s">
        <v>161</v>
      </c>
      <c r="K2279">
        <v>7.0972803188892666E-7</v>
      </c>
      <c r="L2279" t="s">
        <v>162</v>
      </c>
      <c r="N2279" t="s">
        <v>336</v>
      </c>
      <c r="O2279" t="s">
        <v>161</v>
      </c>
      <c r="P2279">
        <v>4.5933306914210305E-2</v>
      </c>
      <c r="Q2279" t="s">
        <v>162</v>
      </c>
      <c r="S2279" t="s">
        <v>448</v>
      </c>
      <c r="T2279" t="s">
        <v>161</v>
      </c>
      <c r="U2279">
        <v>3.1178140658823468E-2</v>
      </c>
      <c r="V2279" t="s">
        <v>162</v>
      </c>
    </row>
    <row r="2280" spans="9:22" x14ac:dyDescent="0.45">
      <c r="I2280" t="s">
        <v>224</v>
      </c>
      <c r="J2280" t="s">
        <v>163</v>
      </c>
      <c r="K2280">
        <v>2.9529038583506377E-3</v>
      </c>
      <c r="L2280" t="s">
        <v>162</v>
      </c>
      <c r="N2280" t="s">
        <v>336</v>
      </c>
      <c r="O2280" t="s">
        <v>163</v>
      </c>
      <c r="P2280">
        <v>5.2927259949653331E-3</v>
      </c>
      <c r="Q2280" t="s">
        <v>162</v>
      </c>
      <c r="S2280" t="s">
        <v>448</v>
      </c>
      <c r="T2280" t="s">
        <v>163</v>
      </c>
      <c r="U2280">
        <v>3.5665865873141592E-3</v>
      </c>
      <c r="V2280" t="s">
        <v>162</v>
      </c>
    </row>
    <row r="2281" spans="9:22" x14ac:dyDescent="0.45">
      <c r="I2281" t="s">
        <v>224</v>
      </c>
      <c r="J2281" t="s">
        <v>164</v>
      </c>
      <c r="K2281">
        <v>9.9520395366779202E-3</v>
      </c>
      <c r="L2281" t="s">
        <v>162</v>
      </c>
      <c r="N2281" t="s">
        <v>336</v>
      </c>
      <c r="O2281" t="s">
        <v>164</v>
      </c>
      <c r="P2281">
        <v>1.0018220233909948E-2</v>
      </c>
      <c r="Q2281" t="s">
        <v>162</v>
      </c>
      <c r="S2281" t="s">
        <v>448</v>
      </c>
      <c r="T2281" t="s">
        <v>164</v>
      </c>
      <c r="U2281">
        <v>7.2457902344739778E-3</v>
      </c>
      <c r="V2281" t="s">
        <v>162</v>
      </c>
    </row>
    <row r="2282" spans="9:22" x14ac:dyDescent="0.45">
      <c r="I2282" t="s">
        <v>224</v>
      </c>
      <c r="J2282" t="s">
        <v>519</v>
      </c>
      <c r="K2282">
        <v>2.0213672864765948E-2</v>
      </c>
      <c r="L2282" t="s">
        <v>162</v>
      </c>
      <c r="N2282" t="s">
        <v>336</v>
      </c>
      <c r="O2282" t="s">
        <v>519</v>
      </c>
      <c r="P2282">
        <v>2.5526996216302663E-2</v>
      </c>
      <c r="Q2282" t="s">
        <v>162</v>
      </c>
      <c r="S2282" t="s">
        <v>448</v>
      </c>
      <c r="T2282" t="s">
        <v>519</v>
      </c>
      <c r="U2282">
        <v>1.8032540575850704E-2</v>
      </c>
      <c r="V2282" t="s">
        <v>162</v>
      </c>
    </row>
    <row r="2283" spans="9:22" x14ac:dyDescent="0.45">
      <c r="I2283" t="s">
        <v>224</v>
      </c>
      <c r="J2283" t="s">
        <v>520</v>
      </c>
      <c r="K2283">
        <v>0</v>
      </c>
      <c r="L2283" t="s">
        <v>162</v>
      </c>
      <c r="N2283" t="s">
        <v>336</v>
      </c>
      <c r="O2283" t="s">
        <v>520</v>
      </c>
      <c r="P2283">
        <v>5.2867135392965087E-3</v>
      </c>
      <c r="Q2283" t="s">
        <v>162</v>
      </c>
      <c r="S2283" t="s">
        <v>448</v>
      </c>
      <c r="T2283" t="s">
        <v>520</v>
      </c>
      <c r="U2283">
        <v>3.486325117942436E-3</v>
      </c>
      <c r="V2283" t="s">
        <v>162</v>
      </c>
    </row>
    <row r="2284" spans="9:22" x14ac:dyDescent="0.45">
      <c r="I2284" t="s">
        <v>224</v>
      </c>
      <c r="J2284" t="s">
        <v>521</v>
      </c>
      <c r="K2284">
        <v>0</v>
      </c>
      <c r="L2284" t="s">
        <v>162</v>
      </c>
      <c r="N2284" t="s">
        <v>336</v>
      </c>
      <c r="O2284" t="s">
        <v>521</v>
      </c>
      <c r="P2284">
        <v>3.3052060592224944E-2</v>
      </c>
      <c r="Q2284" t="s">
        <v>162</v>
      </c>
      <c r="S2284" t="s">
        <v>448</v>
      </c>
      <c r="T2284" t="s">
        <v>521</v>
      </c>
      <c r="U2284">
        <v>2.0553983854489616E-2</v>
      </c>
      <c r="V2284" t="s">
        <v>162</v>
      </c>
    </row>
    <row r="2285" spans="9:22" x14ac:dyDescent="0.45">
      <c r="I2285" t="s">
        <v>224</v>
      </c>
      <c r="J2285" t="s">
        <v>165</v>
      </c>
      <c r="K2285">
        <v>1.446897485872785E-2</v>
      </c>
      <c r="L2285" t="s">
        <v>162</v>
      </c>
      <c r="N2285" t="s">
        <v>336</v>
      </c>
      <c r="O2285" t="s">
        <v>165</v>
      </c>
      <c r="P2285">
        <v>6.3127048896183591E-2</v>
      </c>
      <c r="Q2285" t="s">
        <v>162</v>
      </c>
      <c r="S2285" t="s">
        <v>448</v>
      </c>
      <c r="T2285" t="s">
        <v>165</v>
      </c>
      <c r="U2285">
        <v>5.2932290758099569E-2</v>
      </c>
      <c r="V2285" t="s">
        <v>162</v>
      </c>
    </row>
    <row r="2286" spans="9:22" x14ac:dyDescent="0.45">
      <c r="I2286" t="s">
        <v>224</v>
      </c>
      <c r="J2286" t="s">
        <v>166</v>
      </c>
      <c r="K2286">
        <v>1.4608673156702529E-2</v>
      </c>
      <c r="L2286" t="s">
        <v>162</v>
      </c>
      <c r="N2286" t="s">
        <v>336</v>
      </c>
      <c r="O2286" t="s">
        <v>166</v>
      </c>
      <c r="P2286">
        <v>6.6459833969464985E-3</v>
      </c>
      <c r="Q2286" t="s">
        <v>162</v>
      </c>
      <c r="S2286" t="s">
        <v>448</v>
      </c>
      <c r="T2286" t="s">
        <v>166</v>
      </c>
      <c r="U2286">
        <v>5.6233225101182671E-3</v>
      </c>
      <c r="V2286" t="s">
        <v>162</v>
      </c>
    </row>
    <row r="2287" spans="9:22" x14ac:dyDescent="0.45">
      <c r="I2287" t="s">
        <v>224</v>
      </c>
      <c r="J2287" t="s">
        <v>167</v>
      </c>
      <c r="K2287">
        <v>3.5610325474808788E-2</v>
      </c>
      <c r="L2287" t="s">
        <v>162</v>
      </c>
      <c r="N2287" t="s">
        <v>336</v>
      </c>
      <c r="O2287" t="s">
        <v>167</v>
      </c>
      <c r="P2287">
        <v>1.2915338739793057E-2</v>
      </c>
      <c r="Q2287" t="s">
        <v>162</v>
      </c>
      <c r="S2287" t="s">
        <v>448</v>
      </c>
      <c r="T2287" t="s">
        <v>167</v>
      </c>
      <c r="U2287">
        <v>1.099041663318902E-2</v>
      </c>
      <c r="V2287" t="s">
        <v>162</v>
      </c>
    </row>
    <row r="2288" spans="9:22" x14ac:dyDescent="0.45">
      <c r="I2288" t="s">
        <v>224</v>
      </c>
      <c r="J2288" t="s">
        <v>522</v>
      </c>
      <c r="K2288">
        <v>8.0580392768608025E-2</v>
      </c>
      <c r="L2288" t="s">
        <v>162</v>
      </c>
      <c r="N2288" t="s">
        <v>336</v>
      </c>
      <c r="O2288" t="s">
        <v>522</v>
      </c>
      <c r="P2288">
        <v>3.3702029939468248E-2</v>
      </c>
      <c r="Q2288" t="s">
        <v>162</v>
      </c>
      <c r="S2288" t="s">
        <v>448</v>
      </c>
      <c r="T2288" t="s">
        <v>522</v>
      </c>
      <c r="U2288">
        <v>2.7692564015058766E-2</v>
      </c>
      <c r="V2288" t="s">
        <v>162</v>
      </c>
    </row>
    <row r="2289" spans="9:22" x14ac:dyDescent="0.45">
      <c r="I2289" t="s">
        <v>224</v>
      </c>
      <c r="J2289" t="s">
        <v>523</v>
      </c>
      <c r="K2289">
        <v>9.4828236032701192E-3</v>
      </c>
      <c r="L2289" t="s">
        <v>162</v>
      </c>
      <c r="N2289" t="s">
        <v>336</v>
      </c>
      <c r="O2289" t="s">
        <v>523</v>
      </c>
      <c r="P2289">
        <v>6.5885913079522952E-3</v>
      </c>
      <c r="Q2289" t="s">
        <v>162</v>
      </c>
      <c r="S2289" t="s">
        <v>448</v>
      </c>
      <c r="T2289" t="s">
        <v>523</v>
      </c>
      <c r="U2289">
        <v>5.709265936614783E-3</v>
      </c>
      <c r="V2289" t="s">
        <v>162</v>
      </c>
    </row>
    <row r="2290" spans="9:22" x14ac:dyDescent="0.45">
      <c r="I2290" t="s">
        <v>224</v>
      </c>
      <c r="J2290" t="s">
        <v>524</v>
      </c>
      <c r="K2290">
        <v>3.3055181898333334E-3</v>
      </c>
      <c r="L2290" t="s">
        <v>162</v>
      </c>
      <c r="N2290" t="s">
        <v>336</v>
      </c>
      <c r="O2290" t="s">
        <v>524</v>
      </c>
      <c r="P2290">
        <v>4.4818524134833469E-2</v>
      </c>
      <c r="Q2290" t="s">
        <v>162</v>
      </c>
      <c r="S2290" t="s">
        <v>448</v>
      </c>
      <c r="T2290" t="s">
        <v>524</v>
      </c>
      <c r="U2290">
        <v>3.5312822969167164E-2</v>
      </c>
      <c r="V2290" t="s">
        <v>162</v>
      </c>
    </row>
    <row r="2291" spans="9:22" x14ac:dyDescent="0.45">
      <c r="I2291" t="s">
        <v>224</v>
      </c>
      <c r="J2291" t="s">
        <v>168</v>
      </c>
      <c r="K2291">
        <v>1.7910070391145994E-2</v>
      </c>
      <c r="L2291" t="s">
        <v>162</v>
      </c>
      <c r="N2291" t="s">
        <v>336</v>
      </c>
      <c r="O2291" t="s">
        <v>168</v>
      </c>
      <c r="P2291">
        <v>3.5082484450485583E-2</v>
      </c>
      <c r="Q2291" t="s">
        <v>162</v>
      </c>
      <c r="S2291" t="s">
        <v>448</v>
      </c>
      <c r="T2291" t="s">
        <v>168</v>
      </c>
      <c r="U2291">
        <v>3.0799979007402903E-2</v>
      </c>
      <c r="V2291" t="s">
        <v>162</v>
      </c>
    </row>
    <row r="2292" spans="9:22" x14ac:dyDescent="0.45">
      <c r="I2292" t="s">
        <v>224</v>
      </c>
      <c r="J2292" t="s">
        <v>169</v>
      </c>
      <c r="K2292">
        <v>9.2271995048851165E-3</v>
      </c>
      <c r="L2292" t="s">
        <v>162</v>
      </c>
      <c r="N2292" t="s">
        <v>336</v>
      </c>
      <c r="O2292" t="s">
        <v>169</v>
      </c>
      <c r="P2292">
        <v>3.4595244688779489E-3</v>
      </c>
      <c r="Q2292" t="s">
        <v>162</v>
      </c>
      <c r="S2292" t="s">
        <v>448</v>
      </c>
      <c r="T2292" t="s">
        <v>169</v>
      </c>
      <c r="U2292">
        <v>3.4588609702733276E-3</v>
      </c>
      <c r="V2292" t="s">
        <v>162</v>
      </c>
    </row>
    <row r="2293" spans="9:22" x14ac:dyDescent="0.45">
      <c r="I2293" t="s">
        <v>224</v>
      </c>
      <c r="J2293" t="s">
        <v>170</v>
      </c>
      <c r="K2293">
        <v>2.0227566972865037E-2</v>
      </c>
      <c r="L2293" t="s">
        <v>162</v>
      </c>
      <c r="N2293" t="s">
        <v>336</v>
      </c>
      <c r="O2293" t="s">
        <v>170</v>
      </c>
      <c r="P2293">
        <v>7.1631751013633707E-3</v>
      </c>
      <c r="Q2293" t="s">
        <v>162</v>
      </c>
      <c r="S2293" t="s">
        <v>448</v>
      </c>
      <c r="T2293" t="s">
        <v>170</v>
      </c>
      <c r="U2293">
        <v>6.9531564426405087E-3</v>
      </c>
      <c r="V2293" t="s">
        <v>162</v>
      </c>
    </row>
    <row r="2294" spans="9:22" x14ac:dyDescent="0.45">
      <c r="I2294" t="s">
        <v>224</v>
      </c>
      <c r="J2294" t="s">
        <v>525</v>
      </c>
      <c r="K2294">
        <v>4.5006424447627348E-2</v>
      </c>
      <c r="L2294" t="s">
        <v>162</v>
      </c>
      <c r="N2294" t="s">
        <v>336</v>
      </c>
      <c r="O2294" t="s">
        <v>525</v>
      </c>
      <c r="P2294">
        <v>1.9682655025100734E-2</v>
      </c>
      <c r="Q2294" t="s">
        <v>162</v>
      </c>
      <c r="S2294" t="s">
        <v>448</v>
      </c>
      <c r="T2294" t="s">
        <v>525</v>
      </c>
      <c r="U2294">
        <v>1.9619467918089842E-2</v>
      </c>
      <c r="V2294" t="s">
        <v>162</v>
      </c>
    </row>
    <row r="2295" spans="9:22" x14ac:dyDescent="0.45">
      <c r="I2295" t="s">
        <v>224</v>
      </c>
      <c r="J2295" t="s">
        <v>526</v>
      </c>
      <c r="K2295">
        <v>6.1097627693343821E-3</v>
      </c>
      <c r="L2295" t="s">
        <v>162</v>
      </c>
      <c r="N2295" t="s">
        <v>336</v>
      </c>
      <c r="O2295" t="s">
        <v>526</v>
      </c>
      <c r="P2295">
        <v>3.6448145484902963E-3</v>
      </c>
      <c r="Q2295" t="s">
        <v>162</v>
      </c>
      <c r="S2295" t="s">
        <v>448</v>
      </c>
      <c r="T2295" t="s">
        <v>526</v>
      </c>
      <c r="U2295">
        <v>4.1924621412012903E-3</v>
      </c>
      <c r="V2295" t="s">
        <v>162</v>
      </c>
    </row>
    <row r="2296" spans="9:22" x14ac:dyDescent="0.45">
      <c r="I2296" t="s">
        <v>224</v>
      </c>
      <c r="J2296" t="s">
        <v>527</v>
      </c>
      <c r="K2296">
        <v>6.0221355274719859E-3</v>
      </c>
      <c r="L2296" t="s">
        <v>162</v>
      </c>
      <c r="N2296" t="s">
        <v>336</v>
      </c>
      <c r="O2296" t="s">
        <v>527</v>
      </c>
      <c r="P2296">
        <v>2.5500192224335645E-2</v>
      </c>
      <c r="Q2296" t="s">
        <v>162</v>
      </c>
      <c r="S2296" t="s">
        <v>448</v>
      </c>
      <c r="T2296" t="s">
        <v>527</v>
      </c>
      <c r="U2296">
        <v>2.3293614289122428E-2</v>
      </c>
      <c r="V2296" t="s">
        <v>162</v>
      </c>
    </row>
    <row r="2297" spans="9:22" x14ac:dyDescent="0.45">
      <c r="I2297" t="s">
        <v>224</v>
      </c>
      <c r="J2297" t="s">
        <v>528</v>
      </c>
      <c r="K2297">
        <v>8.0004471689976792E-2</v>
      </c>
      <c r="L2297" t="s">
        <v>162</v>
      </c>
      <c r="N2297" t="s">
        <v>336</v>
      </c>
      <c r="O2297" t="s">
        <v>528</v>
      </c>
      <c r="P2297">
        <v>6.547240304606175E-2</v>
      </c>
      <c r="Q2297" t="s">
        <v>162</v>
      </c>
      <c r="S2297" t="s">
        <v>448</v>
      </c>
      <c r="T2297" t="s">
        <v>528</v>
      </c>
      <c r="U2297">
        <v>7.930825884306382E-2</v>
      </c>
      <c r="V2297" t="s">
        <v>162</v>
      </c>
    </row>
    <row r="2298" spans="9:22" x14ac:dyDescent="0.45">
      <c r="I2298" t="s">
        <v>224</v>
      </c>
      <c r="J2298" t="s">
        <v>529</v>
      </c>
      <c r="K2298">
        <v>3.0060724996089361E-2</v>
      </c>
      <c r="L2298" t="s">
        <v>162</v>
      </c>
      <c r="N2298" t="s">
        <v>336</v>
      </c>
      <c r="O2298" t="s">
        <v>529</v>
      </c>
      <c r="P2298">
        <v>6.1044605746143586E-3</v>
      </c>
      <c r="Q2298" t="s">
        <v>162</v>
      </c>
      <c r="S2298" t="s">
        <v>448</v>
      </c>
      <c r="T2298" t="s">
        <v>529</v>
      </c>
      <c r="U2298">
        <v>8.9151884298570069E-3</v>
      </c>
      <c r="V2298" t="s">
        <v>162</v>
      </c>
    </row>
    <row r="2299" spans="9:22" x14ac:dyDescent="0.45">
      <c r="I2299" t="s">
        <v>224</v>
      </c>
      <c r="J2299" t="s">
        <v>530</v>
      </c>
      <c r="K2299">
        <v>6.1709221588139143E-2</v>
      </c>
      <c r="L2299" t="s">
        <v>162</v>
      </c>
      <c r="N2299" t="s">
        <v>336</v>
      </c>
      <c r="O2299" t="s">
        <v>530</v>
      </c>
      <c r="P2299">
        <v>1.3596859048152752E-2</v>
      </c>
      <c r="Q2299" t="s">
        <v>162</v>
      </c>
      <c r="S2299" t="s">
        <v>448</v>
      </c>
      <c r="T2299" t="s">
        <v>530</v>
      </c>
      <c r="U2299">
        <v>1.7940137891088902E-2</v>
      </c>
      <c r="V2299" t="s">
        <v>162</v>
      </c>
    </row>
    <row r="2300" spans="9:22" x14ac:dyDescent="0.45">
      <c r="I2300" t="s">
        <v>224</v>
      </c>
      <c r="J2300" t="s">
        <v>531</v>
      </c>
      <c r="K2300">
        <v>0.14234925115843355</v>
      </c>
      <c r="L2300" t="s">
        <v>162</v>
      </c>
      <c r="N2300" t="s">
        <v>336</v>
      </c>
      <c r="O2300" t="s">
        <v>531</v>
      </c>
      <c r="P2300">
        <v>4.0096731969942574E-2</v>
      </c>
      <c r="Q2300" t="s">
        <v>162</v>
      </c>
      <c r="S2300" t="s">
        <v>448</v>
      </c>
      <c r="T2300" t="s">
        <v>531</v>
      </c>
      <c r="U2300">
        <v>4.5155568751045941E-2</v>
      </c>
      <c r="V2300" t="s">
        <v>162</v>
      </c>
    </row>
    <row r="2301" spans="9:22" x14ac:dyDescent="0.45">
      <c r="I2301" t="s">
        <v>224</v>
      </c>
      <c r="J2301" t="s">
        <v>532</v>
      </c>
      <c r="K2301">
        <v>2.138011436049864E-2</v>
      </c>
      <c r="L2301" t="s">
        <v>162</v>
      </c>
      <c r="N2301" t="s">
        <v>336</v>
      </c>
      <c r="O2301" t="s">
        <v>532</v>
      </c>
      <c r="P2301">
        <v>6.8764797163472016E-3</v>
      </c>
      <c r="Q2301" t="s">
        <v>162</v>
      </c>
      <c r="S2301" t="s">
        <v>448</v>
      </c>
      <c r="T2301" t="s">
        <v>532</v>
      </c>
      <c r="U2301">
        <v>8.8918934965453254E-3</v>
      </c>
      <c r="V2301" t="s">
        <v>162</v>
      </c>
    </row>
    <row r="2302" spans="9:22" x14ac:dyDescent="0.45">
      <c r="I2302" t="s">
        <v>224</v>
      </c>
      <c r="J2302" t="s">
        <v>533</v>
      </c>
      <c r="K2302">
        <v>3.3123785049400389E-2</v>
      </c>
      <c r="L2302" t="s">
        <v>162</v>
      </c>
      <c r="N2302" t="s">
        <v>336</v>
      </c>
      <c r="O2302" t="s">
        <v>533</v>
      </c>
      <c r="P2302">
        <v>4.8317160251787325E-2</v>
      </c>
      <c r="Q2302" t="s">
        <v>162</v>
      </c>
      <c r="S2302" t="s">
        <v>448</v>
      </c>
      <c r="T2302" t="s">
        <v>533</v>
      </c>
      <c r="U2302">
        <v>5.2429858758905358E-2</v>
      </c>
      <c r="V2302" t="s">
        <v>162</v>
      </c>
    </row>
    <row r="2303" spans="9:22" x14ac:dyDescent="0.45">
      <c r="I2303" t="s">
        <v>224</v>
      </c>
      <c r="J2303" t="s">
        <v>534</v>
      </c>
      <c r="K2303">
        <v>4.5975990118368462E-2</v>
      </c>
      <c r="L2303" t="s">
        <v>162</v>
      </c>
      <c r="N2303" t="s">
        <v>336</v>
      </c>
      <c r="O2303" t="s">
        <v>534</v>
      </c>
      <c r="P2303">
        <v>8.2000773290804185E-2</v>
      </c>
      <c r="Q2303" t="s">
        <v>162</v>
      </c>
      <c r="S2303" t="s">
        <v>448</v>
      </c>
      <c r="T2303" t="s">
        <v>534</v>
      </c>
      <c r="U2303">
        <v>0.10218117361518897</v>
      </c>
      <c r="V2303" t="s">
        <v>162</v>
      </c>
    </row>
    <row r="2304" spans="9:22" x14ac:dyDescent="0.45">
      <c r="I2304" t="s">
        <v>224</v>
      </c>
      <c r="J2304" t="s">
        <v>535</v>
      </c>
      <c r="K2304">
        <v>2.6947971448366696E-2</v>
      </c>
      <c r="L2304" t="s">
        <v>162</v>
      </c>
      <c r="N2304" t="s">
        <v>336</v>
      </c>
      <c r="O2304" t="s">
        <v>535</v>
      </c>
      <c r="P2304">
        <v>8.8045618628439341E-3</v>
      </c>
      <c r="Q2304" t="s">
        <v>162</v>
      </c>
      <c r="S2304" t="s">
        <v>448</v>
      </c>
      <c r="T2304" t="s">
        <v>535</v>
      </c>
      <c r="U2304">
        <v>1.1105785883697317E-2</v>
      </c>
      <c r="V2304" t="s">
        <v>162</v>
      </c>
    </row>
    <row r="2305" spans="9:22" x14ac:dyDescent="0.45">
      <c r="I2305" t="s">
        <v>224</v>
      </c>
      <c r="J2305" t="s">
        <v>536</v>
      </c>
      <c r="K2305">
        <v>5.6699376434296699E-2</v>
      </c>
      <c r="L2305" t="s">
        <v>162</v>
      </c>
      <c r="N2305" t="s">
        <v>336</v>
      </c>
      <c r="O2305" t="s">
        <v>536</v>
      </c>
      <c r="P2305">
        <v>1.8923192645019286E-2</v>
      </c>
      <c r="Q2305" t="s">
        <v>162</v>
      </c>
      <c r="S2305" t="s">
        <v>448</v>
      </c>
      <c r="T2305" t="s">
        <v>536</v>
      </c>
      <c r="U2305">
        <v>2.1834680813995696E-2</v>
      </c>
      <c r="V2305" t="s">
        <v>162</v>
      </c>
    </row>
    <row r="2306" spans="9:22" x14ac:dyDescent="0.45">
      <c r="I2306" t="s">
        <v>224</v>
      </c>
      <c r="J2306" t="s">
        <v>537</v>
      </c>
      <c r="K2306">
        <v>0.12300996291315817</v>
      </c>
      <c r="L2306" t="s">
        <v>162</v>
      </c>
      <c r="N2306" t="s">
        <v>336</v>
      </c>
      <c r="O2306" t="s">
        <v>537</v>
      </c>
      <c r="P2306">
        <v>5.1504361533922322E-2</v>
      </c>
      <c r="Q2306" t="s">
        <v>162</v>
      </c>
      <c r="S2306" t="s">
        <v>448</v>
      </c>
      <c r="T2306" t="s">
        <v>537</v>
      </c>
      <c r="U2306">
        <v>5.6144829432958197E-2</v>
      </c>
      <c r="V2306" t="s">
        <v>162</v>
      </c>
    </row>
    <row r="2307" spans="9:22" x14ac:dyDescent="0.45">
      <c r="I2307" t="s">
        <v>224</v>
      </c>
      <c r="J2307" t="s">
        <v>538</v>
      </c>
      <c r="K2307">
        <v>1.5163574357438618E-2</v>
      </c>
      <c r="L2307" t="s">
        <v>162</v>
      </c>
      <c r="N2307" t="s">
        <v>336</v>
      </c>
      <c r="O2307" t="s">
        <v>538</v>
      </c>
      <c r="P2307">
        <v>9.5997955212203528E-3</v>
      </c>
      <c r="Q2307" t="s">
        <v>162</v>
      </c>
      <c r="S2307" t="s">
        <v>448</v>
      </c>
      <c r="T2307" t="s">
        <v>538</v>
      </c>
      <c r="U2307">
        <v>1.1529834722593854E-2</v>
      </c>
      <c r="V2307" t="s">
        <v>162</v>
      </c>
    </row>
    <row r="2308" spans="9:22" x14ac:dyDescent="0.45">
      <c r="I2308" t="s">
        <v>224</v>
      </c>
      <c r="J2308" t="s">
        <v>539</v>
      </c>
      <c r="K2308">
        <v>1.1626079186872399E-2</v>
      </c>
      <c r="L2308" t="s">
        <v>162</v>
      </c>
      <c r="N2308" t="s">
        <v>336</v>
      </c>
      <c r="O2308" t="s">
        <v>539</v>
      </c>
      <c r="P2308">
        <v>6.1133175069929831E-2</v>
      </c>
      <c r="Q2308" t="s">
        <v>162</v>
      </c>
      <c r="S2308" t="s">
        <v>448</v>
      </c>
      <c r="T2308" t="s">
        <v>539</v>
      </c>
      <c r="U2308">
        <v>6.9743296389790446E-2</v>
      </c>
      <c r="V2308" t="s">
        <v>162</v>
      </c>
    </row>
    <row r="2309" spans="9:22" x14ac:dyDescent="0.45">
      <c r="I2309" t="s">
        <v>224</v>
      </c>
      <c r="J2309" t="s">
        <v>540</v>
      </c>
      <c r="K2309">
        <v>1.3343354792415899E-3</v>
      </c>
      <c r="L2309" t="s">
        <v>162</v>
      </c>
      <c r="N2309" t="s">
        <v>336</v>
      </c>
      <c r="O2309" t="s">
        <v>540</v>
      </c>
      <c r="P2309">
        <v>4.650525974222379E-2</v>
      </c>
      <c r="Q2309" t="s">
        <v>162</v>
      </c>
      <c r="S2309" t="s">
        <v>448</v>
      </c>
      <c r="T2309" t="s">
        <v>540</v>
      </c>
      <c r="U2309">
        <v>3.5667123173495581E-2</v>
      </c>
      <c r="V2309" t="s">
        <v>162</v>
      </c>
    </row>
    <row r="2310" spans="9:22" x14ac:dyDescent="0.45">
      <c r="I2310" t="s">
        <v>224</v>
      </c>
      <c r="J2310" t="s">
        <v>541</v>
      </c>
      <c r="K2310">
        <v>3.2060633095764503E-3</v>
      </c>
      <c r="L2310" t="s">
        <v>162</v>
      </c>
      <c r="N2310" t="s">
        <v>336</v>
      </c>
      <c r="O2310" t="s">
        <v>541</v>
      </c>
      <c r="P2310">
        <v>5.1988447297716374E-3</v>
      </c>
      <c r="Q2310" t="s">
        <v>162</v>
      </c>
      <c r="S2310" t="s">
        <v>448</v>
      </c>
      <c r="T2310" t="s">
        <v>541</v>
      </c>
      <c r="U2310">
        <v>3.8704289495684581E-3</v>
      </c>
      <c r="V2310" t="s">
        <v>162</v>
      </c>
    </row>
    <row r="2311" spans="9:22" x14ac:dyDescent="0.45">
      <c r="I2311" t="s">
        <v>224</v>
      </c>
      <c r="J2311" t="s">
        <v>542</v>
      </c>
      <c r="K2311">
        <v>9.4428802301148671E-3</v>
      </c>
      <c r="L2311" t="s">
        <v>162</v>
      </c>
      <c r="N2311" t="s">
        <v>336</v>
      </c>
      <c r="O2311" t="s">
        <v>542</v>
      </c>
      <c r="P2311">
        <v>9.8033952566390723E-3</v>
      </c>
      <c r="Q2311" t="s">
        <v>162</v>
      </c>
      <c r="S2311" t="s">
        <v>448</v>
      </c>
      <c r="T2311" t="s">
        <v>542</v>
      </c>
      <c r="U2311">
        <v>7.7338630893207961E-3</v>
      </c>
      <c r="V2311" t="s">
        <v>162</v>
      </c>
    </row>
    <row r="2312" spans="9:22" x14ac:dyDescent="0.45">
      <c r="I2312" t="s">
        <v>224</v>
      </c>
      <c r="J2312" t="s">
        <v>543</v>
      </c>
      <c r="K2312">
        <v>1.9148074180054948E-2</v>
      </c>
      <c r="L2312" t="s">
        <v>162</v>
      </c>
      <c r="N2312" t="s">
        <v>336</v>
      </c>
      <c r="O2312" t="s">
        <v>543</v>
      </c>
      <c r="P2312">
        <v>2.3211963115290151E-2</v>
      </c>
      <c r="Q2312" t="s">
        <v>162</v>
      </c>
      <c r="S2312" t="s">
        <v>448</v>
      </c>
      <c r="T2312" t="s">
        <v>543</v>
      </c>
      <c r="U2312">
        <v>1.963460110694035E-2</v>
      </c>
      <c r="V2312" t="s">
        <v>162</v>
      </c>
    </row>
    <row r="2313" spans="9:22" x14ac:dyDescent="0.45">
      <c r="I2313" t="s">
        <v>224</v>
      </c>
      <c r="J2313" t="s">
        <v>544</v>
      </c>
      <c r="K2313">
        <v>0</v>
      </c>
      <c r="L2313" t="s">
        <v>162</v>
      </c>
      <c r="N2313" t="s">
        <v>336</v>
      </c>
      <c r="O2313" t="s">
        <v>544</v>
      </c>
      <c r="P2313">
        <v>4.6522975829209143E-3</v>
      </c>
      <c r="Q2313" t="s">
        <v>162</v>
      </c>
      <c r="S2313" t="s">
        <v>448</v>
      </c>
      <c r="T2313" t="s">
        <v>544</v>
      </c>
      <c r="U2313">
        <v>3.884261127170518E-3</v>
      </c>
      <c r="V2313" t="s">
        <v>162</v>
      </c>
    </row>
    <row r="2314" spans="9:22" x14ac:dyDescent="0.45">
      <c r="I2314" t="s">
        <v>224</v>
      </c>
      <c r="J2314" t="s">
        <v>545</v>
      </c>
      <c r="K2314">
        <v>0</v>
      </c>
      <c r="L2314" t="s">
        <v>162</v>
      </c>
      <c r="N2314" t="s">
        <v>336</v>
      </c>
      <c r="O2314" t="s">
        <v>545</v>
      </c>
      <c r="P2314">
        <v>2.9043944360647663E-2</v>
      </c>
      <c r="Q2314" t="s">
        <v>162</v>
      </c>
      <c r="S2314" t="s">
        <v>448</v>
      </c>
      <c r="T2314" t="s">
        <v>545</v>
      </c>
      <c r="U2314">
        <v>2.4491762776807879E-2</v>
      </c>
      <c r="V2314" t="s">
        <v>162</v>
      </c>
    </row>
    <row r="2315" spans="9:22" x14ac:dyDescent="0.45">
      <c r="I2315" t="s">
        <v>224</v>
      </c>
      <c r="J2315" t="s">
        <v>546</v>
      </c>
      <c r="K2315">
        <v>0</v>
      </c>
      <c r="L2315" t="s">
        <v>162</v>
      </c>
      <c r="N2315" t="s">
        <v>336</v>
      </c>
      <c r="O2315" t="s">
        <v>546</v>
      </c>
      <c r="P2315">
        <v>2.8805752678295549E-2</v>
      </c>
      <c r="Q2315" t="s">
        <v>162</v>
      </c>
      <c r="S2315" t="s">
        <v>448</v>
      </c>
      <c r="T2315" t="s">
        <v>546</v>
      </c>
      <c r="U2315">
        <v>4.1518737461107479E-2</v>
      </c>
      <c r="V2315" t="s">
        <v>162</v>
      </c>
    </row>
    <row r="2316" spans="9:22" x14ac:dyDescent="0.45">
      <c r="I2316" t="s">
        <v>224</v>
      </c>
      <c r="J2316" t="s">
        <v>547</v>
      </c>
      <c r="K2316">
        <v>2.1162506077098591E-3</v>
      </c>
      <c r="L2316" t="s">
        <v>162</v>
      </c>
      <c r="N2316" t="s">
        <v>336</v>
      </c>
      <c r="O2316" t="s">
        <v>547</v>
      </c>
      <c r="P2316">
        <v>3.3030433035385895E-3</v>
      </c>
      <c r="Q2316" t="s">
        <v>162</v>
      </c>
      <c r="S2316" t="s">
        <v>448</v>
      </c>
      <c r="T2316" t="s">
        <v>547</v>
      </c>
      <c r="U2316">
        <v>4.5559215984584999E-3</v>
      </c>
      <c r="V2316" t="s">
        <v>162</v>
      </c>
    </row>
    <row r="2317" spans="9:22" x14ac:dyDescent="0.45">
      <c r="I2317" t="s">
        <v>224</v>
      </c>
      <c r="J2317" t="s">
        <v>548</v>
      </c>
      <c r="K2317">
        <v>7.8773008369315643E-3</v>
      </c>
      <c r="L2317" t="s">
        <v>162</v>
      </c>
      <c r="N2317" t="s">
        <v>336</v>
      </c>
      <c r="O2317" t="s">
        <v>548</v>
      </c>
      <c r="P2317">
        <v>6.5880435564617552E-3</v>
      </c>
      <c r="Q2317" t="s">
        <v>162</v>
      </c>
      <c r="S2317" t="s">
        <v>448</v>
      </c>
      <c r="T2317" t="s">
        <v>548</v>
      </c>
      <c r="U2317">
        <v>8.9941569536895107E-3</v>
      </c>
      <c r="V2317" t="s">
        <v>162</v>
      </c>
    </row>
    <row r="2318" spans="9:22" x14ac:dyDescent="0.45">
      <c r="I2318" t="s">
        <v>224</v>
      </c>
      <c r="J2318" t="s">
        <v>549</v>
      </c>
      <c r="K2318">
        <v>1.3145378402226463E-2</v>
      </c>
      <c r="L2318" t="s">
        <v>162</v>
      </c>
      <c r="N2318" t="s">
        <v>336</v>
      </c>
      <c r="O2318" t="s">
        <v>549</v>
      </c>
      <c r="P2318">
        <v>1.7473383749111115E-2</v>
      </c>
      <c r="Q2318" t="s">
        <v>162</v>
      </c>
      <c r="S2318" t="s">
        <v>448</v>
      </c>
      <c r="T2318" t="s">
        <v>549</v>
      </c>
      <c r="U2318">
        <v>2.2199231356218929E-2</v>
      </c>
      <c r="V2318" t="s">
        <v>162</v>
      </c>
    </row>
    <row r="2319" spans="9:22" x14ac:dyDescent="0.45">
      <c r="I2319" t="s">
        <v>224</v>
      </c>
      <c r="J2319" t="s">
        <v>550</v>
      </c>
      <c r="K2319">
        <v>0</v>
      </c>
      <c r="L2319" t="s">
        <v>162</v>
      </c>
      <c r="N2319" t="s">
        <v>336</v>
      </c>
      <c r="O2319" t="s">
        <v>550</v>
      </c>
      <c r="P2319">
        <v>3.7177230412603667E-3</v>
      </c>
      <c r="Q2319" t="s">
        <v>162</v>
      </c>
      <c r="S2319" t="s">
        <v>448</v>
      </c>
      <c r="T2319" t="s">
        <v>550</v>
      </c>
      <c r="U2319">
        <v>4.5160984312771256E-3</v>
      </c>
      <c r="V2319" t="s">
        <v>162</v>
      </c>
    </row>
    <row r="2320" spans="9:22" x14ac:dyDescent="0.45">
      <c r="I2320" t="s">
        <v>224</v>
      </c>
      <c r="J2320" t="s">
        <v>551</v>
      </c>
      <c r="K2320">
        <v>0</v>
      </c>
      <c r="L2320" t="s">
        <v>162</v>
      </c>
      <c r="N2320" t="s">
        <v>336</v>
      </c>
      <c r="O2320" t="s">
        <v>551</v>
      </c>
      <c r="P2320">
        <v>2.1826008628454074E-2</v>
      </c>
      <c r="Q2320" t="s">
        <v>162</v>
      </c>
      <c r="S2320" t="s">
        <v>448</v>
      </c>
      <c r="T2320" t="s">
        <v>551</v>
      </c>
      <c r="U2320">
        <v>2.7111716327338786E-2</v>
      </c>
      <c r="V2320" t="s">
        <v>162</v>
      </c>
    </row>
    <row r="2321" spans="9:22" x14ac:dyDescent="0.45">
      <c r="I2321" t="s">
        <v>225</v>
      </c>
      <c r="J2321" t="s">
        <v>161</v>
      </c>
      <c r="K2321">
        <v>0</v>
      </c>
      <c r="L2321" t="s">
        <v>162</v>
      </c>
      <c r="N2321" t="s">
        <v>337</v>
      </c>
      <c r="O2321" t="s">
        <v>161</v>
      </c>
      <c r="P2321">
        <v>3.9930070320631735E-2</v>
      </c>
      <c r="Q2321" t="s">
        <v>162</v>
      </c>
      <c r="S2321" t="s">
        <v>449</v>
      </c>
      <c r="T2321" t="s">
        <v>161</v>
      </c>
      <c r="U2321">
        <v>2.5845518515737787E-2</v>
      </c>
      <c r="V2321" t="s">
        <v>162</v>
      </c>
    </row>
    <row r="2322" spans="9:22" x14ac:dyDescent="0.45">
      <c r="I2322" t="s">
        <v>225</v>
      </c>
      <c r="J2322" t="s">
        <v>163</v>
      </c>
      <c r="K2322">
        <v>1.2646841354182394E-3</v>
      </c>
      <c r="L2322" t="s">
        <v>162</v>
      </c>
      <c r="N2322" t="s">
        <v>337</v>
      </c>
      <c r="O2322" t="s">
        <v>163</v>
      </c>
      <c r="P2322">
        <v>4.0545167496757132E-3</v>
      </c>
      <c r="Q2322" t="s">
        <v>162</v>
      </c>
      <c r="S2322" t="s">
        <v>449</v>
      </c>
      <c r="T2322" t="s">
        <v>163</v>
      </c>
      <c r="U2322">
        <v>2.9704577460783021E-3</v>
      </c>
      <c r="V2322" t="s">
        <v>162</v>
      </c>
    </row>
    <row r="2323" spans="9:22" x14ac:dyDescent="0.45">
      <c r="I2323" t="s">
        <v>225</v>
      </c>
      <c r="J2323" t="s">
        <v>164</v>
      </c>
      <c r="K2323">
        <v>7.9473653305695453E-3</v>
      </c>
      <c r="L2323" t="s">
        <v>162</v>
      </c>
      <c r="N2323" t="s">
        <v>337</v>
      </c>
      <c r="O2323" t="s">
        <v>164</v>
      </c>
      <c r="P2323">
        <v>8.1185471558405647E-3</v>
      </c>
      <c r="Q2323" t="s">
        <v>162</v>
      </c>
      <c r="S2323" t="s">
        <v>449</v>
      </c>
      <c r="T2323" t="s">
        <v>164</v>
      </c>
      <c r="U2323">
        <v>6.0687496656045307E-3</v>
      </c>
      <c r="V2323" t="s">
        <v>162</v>
      </c>
    </row>
    <row r="2324" spans="9:22" x14ac:dyDescent="0.45">
      <c r="I2324" t="s">
        <v>225</v>
      </c>
      <c r="J2324" t="s">
        <v>519</v>
      </c>
      <c r="K2324">
        <v>1.671736997310249E-2</v>
      </c>
      <c r="L2324" t="s">
        <v>162</v>
      </c>
      <c r="N2324" t="s">
        <v>337</v>
      </c>
      <c r="O2324" t="s">
        <v>519</v>
      </c>
      <c r="P2324">
        <v>2.1352104888670884E-2</v>
      </c>
      <c r="Q2324" t="s">
        <v>162</v>
      </c>
      <c r="S2324" t="s">
        <v>449</v>
      </c>
      <c r="T2324" t="s">
        <v>519</v>
      </c>
      <c r="U2324">
        <v>1.6140053275652051E-2</v>
      </c>
      <c r="V2324" t="s">
        <v>162</v>
      </c>
    </row>
    <row r="2325" spans="9:22" x14ac:dyDescent="0.45">
      <c r="I2325" t="s">
        <v>225</v>
      </c>
      <c r="J2325" t="s">
        <v>520</v>
      </c>
      <c r="K2325">
        <v>0</v>
      </c>
      <c r="L2325" t="s">
        <v>162</v>
      </c>
      <c r="N2325" t="s">
        <v>337</v>
      </c>
      <c r="O2325" t="s">
        <v>520</v>
      </c>
      <c r="P2325">
        <v>4.4701248780877932E-3</v>
      </c>
      <c r="Q2325" t="s">
        <v>162</v>
      </c>
      <c r="S2325" t="s">
        <v>449</v>
      </c>
      <c r="T2325" t="s">
        <v>520</v>
      </c>
      <c r="U2325">
        <v>3.1551930611975329E-3</v>
      </c>
      <c r="V2325" t="s">
        <v>162</v>
      </c>
    </row>
    <row r="2326" spans="9:22" x14ac:dyDescent="0.45">
      <c r="I2326" t="s">
        <v>225</v>
      </c>
      <c r="J2326" t="s">
        <v>521</v>
      </c>
      <c r="K2326">
        <v>0</v>
      </c>
      <c r="L2326" t="s">
        <v>162</v>
      </c>
      <c r="N2326" t="s">
        <v>337</v>
      </c>
      <c r="O2326" t="s">
        <v>521</v>
      </c>
      <c r="P2326">
        <v>2.8059287609216766E-2</v>
      </c>
      <c r="Q2326" t="s">
        <v>162</v>
      </c>
      <c r="S2326" t="s">
        <v>449</v>
      </c>
      <c r="T2326" t="s">
        <v>521</v>
      </c>
      <c r="U2326">
        <v>1.7849478559235993E-2</v>
      </c>
      <c r="V2326" t="s">
        <v>162</v>
      </c>
    </row>
    <row r="2327" spans="9:22" x14ac:dyDescent="0.45">
      <c r="I2327" t="s">
        <v>225</v>
      </c>
      <c r="J2327" t="s">
        <v>165</v>
      </c>
      <c r="K2327">
        <v>1.3653090621162203E-2</v>
      </c>
      <c r="L2327" t="s">
        <v>162</v>
      </c>
      <c r="N2327" t="s">
        <v>337</v>
      </c>
      <c r="O2327" t="s">
        <v>165</v>
      </c>
      <c r="P2327">
        <v>7.0762917967462577E-2</v>
      </c>
      <c r="Q2327" t="s">
        <v>162</v>
      </c>
      <c r="S2327" t="s">
        <v>449</v>
      </c>
      <c r="T2327" t="s">
        <v>165</v>
      </c>
      <c r="U2327">
        <v>5.7953887192743955E-2</v>
      </c>
      <c r="V2327" t="s">
        <v>162</v>
      </c>
    </row>
    <row r="2328" spans="9:22" x14ac:dyDescent="0.45">
      <c r="I2328" t="s">
        <v>225</v>
      </c>
      <c r="J2328" t="s">
        <v>166</v>
      </c>
      <c r="K2328">
        <v>1.4499366781472558E-2</v>
      </c>
      <c r="L2328" t="s">
        <v>162</v>
      </c>
      <c r="N2328" t="s">
        <v>337</v>
      </c>
      <c r="O2328" t="s">
        <v>166</v>
      </c>
      <c r="P2328">
        <v>7.6094253133859044E-3</v>
      </c>
      <c r="Q2328" t="s">
        <v>162</v>
      </c>
      <c r="S2328" t="s">
        <v>449</v>
      </c>
      <c r="T2328" t="s">
        <v>166</v>
      </c>
      <c r="U2328">
        <v>6.2989004453489978E-3</v>
      </c>
      <c r="V2328" t="s">
        <v>162</v>
      </c>
    </row>
    <row r="2329" spans="9:22" x14ac:dyDescent="0.45">
      <c r="I2329" t="s">
        <v>225</v>
      </c>
      <c r="J2329" t="s">
        <v>167</v>
      </c>
      <c r="K2329">
        <v>3.5450097176028136E-2</v>
      </c>
      <c r="L2329" t="s">
        <v>162</v>
      </c>
      <c r="N2329" t="s">
        <v>337</v>
      </c>
      <c r="O2329" t="s">
        <v>167</v>
      </c>
      <c r="P2329">
        <v>1.5112979584885521E-2</v>
      </c>
      <c r="Q2329" t="s">
        <v>162</v>
      </c>
      <c r="S2329" t="s">
        <v>449</v>
      </c>
      <c r="T2329" t="s">
        <v>167</v>
      </c>
      <c r="U2329">
        <v>1.2163988786957538E-2</v>
      </c>
      <c r="V2329" t="s">
        <v>162</v>
      </c>
    </row>
    <row r="2330" spans="9:22" x14ac:dyDescent="0.45">
      <c r="I2330" t="s">
        <v>225</v>
      </c>
      <c r="J2330" t="s">
        <v>522</v>
      </c>
      <c r="K2330">
        <v>8.3632979712192634E-2</v>
      </c>
      <c r="L2330" t="s">
        <v>162</v>
      </c>
      <c r="N2330" t="s">
        <v>337</v>
      </c>
      <c r="O2330" t="s">
        <v>522</v>
      </c>
      <c r="P2330">
        <v>3.9185580045657503E-2</v>
      </c>
      <c r="Q2330" t="s">
        <v>162</v>
      </c>
      <c r="S2330" t="s">
        <v>449</v>
      </c>
      <c r="T2330" t="s">
        <v>522</v>
      </c>
      <c r="U2330">
        <v>3.0659750898128845E-2</v>
      </c>
      <c r="V2330" t="s">
        <v>162</v>
      </c>
    </row>
    <row r="2331" spans="9:22" x14ac:dyDescent="0.45">
      <c r="I2331" t="s">
        <v>225</v>
      </c>
      <c r="J2331" t="s">
        <v>523</v>
      </c>
      <c r="K2331">
        <v>9.6660614678516672E-3</v>
      </c>
      <c r="L2331" t="s">
        <v>162</v>
      </c>
      <c r="N2331" t="s">
        <v>337</v>
      </c>
      <c r="O2331" t="s">
        <v>523</v>
      </c>
      <c r="P2331">
        <v>8.100795009128945E-3</v>
      </c>
      <c r="Q2331" t="s">
        <v>162</v>
      </c>
      <c r="S2331" t="s">
        <v>449</v>
      </c>
      <c r="T2331" t="s">
        <v>523</v>
      </c>
      <c r="U2331">
        <v>6.50984375632669E-3</v>
      </c>
      <c r="V2331" t="s">
        <v>162</v>
      </c>
    </row>
    <row r="2332" spans="9:22" x14ac:dyDescent="0.45">
      <c r="I2332" t="s">
        <v>225</v>
      </c>
      <c r="J2332" t="s">
        <v>524</v>
      </c>
      <c r="K2332">
        <v>3.3432773356412266E-3</v>
      </c>
      <c r="L2332" t="s">
        <v>162</v>
      </c>
      <c r="N2332" t="s">
        <v>337</v>
      </c>
      <c r="O2332" t="s">
        <v>524</v>
      </c>
      <c r="P2332">
        <v>4.9636438663498525E-2</v>
      </c>
      <c r="Q2332" t="s">
        <v>162</v>
      </c>
      <c r="S2332" t="s">
        <v>449</v>
      </c>
      <c r="T2332" t="s">
        <v>524</v>
      </c>
      <c r="U2332">
        <v>3.8825628011845192E-2</v>
      </c>
      <c r="V2332" t="s">
        <v>162</v>
      </c>
    </row>
    <row r="2333" spans="9:22" x14ac:dyDescent="0.45">
      <c r="I2333" t="s">
        <v>225</v>
      </c>
      <c r="J2333" t="s">
        <v>168</v>
      </c>
      <c r="K2333">
        <v>1.6257146582757794E-2</v>
      </c>
      <c r="L2333" t="s">
        <v>162</v>
      </c>
      <c r="N2333" t="s">
        <v>337</v>
      </c>
      <c r="O2333" t="s">
        <v>168</v>
      </c>
      <c r="P2333">
        <v>2.7466736189164325E-2</v>
      </c>
      <c r="Q2333" t="s">
        <v>162</v>
      </c>
      <c r="S2333" t="s">
        <v>449</v>
      </c>
      <c r="T2333" t="s">
        <v>168</v>
      </c>
      <c r="U2333">
        <v>3.4077109128015516E-2</v>
      </c>
      <c r="V2333" t="s">
        <v>162</v>
      </c>
    </row>
    <row r="2334" spans="9:22" x14ac:dyDescent="0.45">
      <c r="I2334" t="s">
        <v>225</v>
      </c>
      <c r="J2334" t="s">
        <v>169</v>
      </c>
      <c r="K2334">
        <v>9.2141676007156375E-3</v>
      </c>
      <c r="L2334" t="s">
        <v>162</v>
      </c>
      <c r="N2334" t="s">
        <v>337</v>
      </c>
      <c r="O2334" t="s">
        <v>169</v>
      </c>
      <c r="P2334">
        <v>2.9621911680722422E-3</v>
      </c>
      <c r="Q2334" t="s">
        <v>162</v>
      </c>
      <c r="S2334" t="s">
        <v>449</v>
      </c>
      <c r="T2334" t="s">
        <v>169</v>
      </c>
      <c r="U2334">
        <v>3.6948020340322181E-3</v>
      </c>
      <c r="V2334" t="s">
        <v>162</v>
      </c>
    </row>
    <row r="2335" spans="9:22" x14ac:dyDescent="0.45">
      <c r="I2335" t="s">
        <v>225</v>
      </c>
      <c r="J2335" t="s">
        <v>170</v>
      </c>
      <c r="K2335">
        <v>2.0747867109029608E-2</v>
      </c>
      <c r="L2335" t="s">
        <v>162</v>
      </c>
      <c r="N2335" t="s">
        <v>337</v>
      </c>
      <c r="O2335" t="s">
        <v>170</v>
      </c>
      <c r="P2335">
        <v>6.1683122542866824E-3</v>
      </c>
      <c r="Q2335" t="s">
        <v>162</v>
      </c>
      <c r="S2335" t="s">
        <v>449</v>
      </c>
      <c r="T2335" t="s">
        <v>170</v>
      </c>
      <c r="U2335">
        <v>7.1791875933882969E-3</v>
      </c>
      <c r="V2335" t="s">
        <v>162</v>
      </c>
    </row>
    <row r="2336" spans="9:22" x14ac:dyDescent="0.45">
      <c r="I2336" t="s">
        <v>225</v>
      </c>
      <c r="J2336" t="s">
        <v>525</v>
      </c>
      <c r="K2336">
        <v>4.730484917916148E-2</v>
      </c>
      <c r="L2336" t="s">
        <v>162</v>
      </c>
      <c r="N2336" t="s">
        <v>337</v>
      </c>
      <c r="O2336" t="s">
        <v>525</v>
      </c>
      <c r="P2336">
        <v>1.6159216228093094E-2</v>
      </c>
      <c r="Q2336" t="s">
        <v>162</v>
      </c>
      <c r="S2336" t="s">
        <v>449</v>
      </c>
      <c r="T2336" t="s">
        <v>525</v>
      </c>
      <c r="U2336">
        <v>1.8651327610297381E-2</v>
      </c>
      <c r="V2336" t="s">
        <v>162</v>
      </c>
    </row>
    <row r="2337" spans="9:22" x14ac:dyDescent="0.45">
      <c r="I2337" t="s">
        <v>225</v>
      </c>
      <c r="J2337" t="s">
        <v>526</v>
      </c>
      <c r="K2337">
        <v>6.7373831333484794E-3</v>
      </c>
      <c r="L2337" t="s">
        <v>162</v>
      </c>
      <c r="N2337" t="s">
        <v>337</v>
      </c>
      <c r="O2337" t="s">
        <v>526</v>
      </c>
      <c r="P2337">
        <v>3.1566235199294549E-3</v>
      </c>
      <c r="Q2337" t="s">
        <v>162</v>
      </c>
      <c r="S2337" t="s">
        <v>449</v>
      </c>
      <c r="T2337" t="s">
        <v>526</v>
      </c>
      <c r="U2337">
        <v>3.9530852605035756E-3</v>
      </c>
      <c r="V2337" t="s">
        <v>162</v>
      </c>
    </row>
    <row r="2338" spans="9:22" x14ac:dyDescent="0.45">
      <c r="I2338" t="s">
        <v>225</v>
      </c>
      <c r="J2338" t="s">
        <v>527</v>
      </c>
      <c r="K2338">
        <v>8.0511674746832525E-3</v>
      </c>
      <c r="L2338" t="s">
        <v>162</v>
      </c>
      <c r="N2338" t="s">
        <v>337</v>
      </c>
      <c r="O2338" t="s">
        <v>527</v>
      </c>
      <c r="P2338">
        <v>1.9213461658526266E-2</v>
      </c>
      <c r="Q2338" t="s">
        <v>162</v>
      </c>
      <c r="S2338" t="s">
        <v>449</v>
      </c>
      <c r="T2338" t="s">
        <v>527</v>
      </c>
      <c r="U2338">
        <v>2.3553407155748062E-2</v>
      </c>
      <c r="V2338" t="s">
        <v>162</v>
      </c>
    </row>
    <row r="2339" spans="9:22" x14ac:dyDescent="0.45">
      <c r="I2339" t="s">
        <v>225</v>
      </c>
      <c r="J2339" t="s">
        <v>528</v>
      </c>
      <c r="K2339">
        <v>8.2610229694176709E-2</v>
      </c>
      <c r="L2339" t="s">
        <v>162</v>
      </c>
      <c r="N2339" t="s">
        <v>337</v>
      </c>
      <c r="O2339" t="s">
        <v>528</v>
      </c>
      <c r="P2339">
        <v>7.6679991292601737E-2</v>
      </c>
      <c r="Q2339" t="s">
        <v>162</v>
      </c>
      <c r="S2339" t="s">
        <v>449</v>
      </c>
      <c r="T2339" t="s">
        <v>528</v>
      </c>
      <c r="U2339">
        <v>7.7193774355190911E-2</v>
      </c>
      <c r="V2339" t="s">
        <v>162</v>
      </c>
    </row>
    <row r="2340" spans="9:22" x14ac:dyDescent="0.45">
      <c r="I2340" t="s">
        <v>225</v>
      </c>
      <c r="J2340" t="s">
        <v>529</v>
      </c>
      <c r="K2340">
        <v>3.0683208770912327E-2</v>
      </c>
      <c r="L2340" t="s">
        <v>162</v>
      </c>
      <c r="N2340" t="s">
        <v>337</v>
      </c>
      <c r="O2340" t="s">
        <v>529</v>
      </c>
      <c r="P2340">
        <v>7.8381632057293142E-3</v>
      </c>
      <c r="Q2340" t="s">
        <v>162</v>
      </c>
      <c r="S2340" t="s">
        <v>449</v>
      </c>
      <c r="T2340" t="s">
        <v>529</v>
      </c>
      <c r="U2340">
        <v>8.299316103224293E-3</v>
      </c>
      <c r="V2340" t="s">
        <v>162</v>
      </c>
    </row>
    <row r="2341" spans="9:22" x14ac:dyDescent="0.45">
      <c r="I2341" t="s">
        <v>225</v>
      </c>
      <c r="J2341" t="s">
        <v>530</v>
      </c>
      <c r="K2341">
        <v>6.322065727030915E-2</v>
      </c>
      <c r="L2341" t="s">
        <v>162</v>
      </c>
      <c r="N2341" t="s">
        <v>337</v>
      </c>
      <c r="O2341" t="s">
        <v>530</v>
      </c>
      <c r="P2341">
        <v>1.654026831186782E-2</v>
      </c>
      <c r="Q2341" t="s">
        <v>162</v>
      </c>
      <c r="S2341" t="s">
        <v>449</v>
      </c>
      <c r="T2341" t="s">
        <v>530</v>
      </c>
      <c r="U2341">
        <v>1.608710053192363E-2</v>
      </c>
      <c r="V2341" t="s">
        <v>162</v>
      </c>
    </row>
    <row r="2342" spans="9:22" x14ac:dyDescent="0.45">
      <c r="I2342" t="s">
        <v>225</v>
      </c>
      <c r="J2342" t="s">
        <v>531</v>
      </c>
      <c r="K2342">
        <v>0.14261321755676101</v>
      </c>
      <c r="L2342" t="s">
        <v>162</v>
      </c>
      <c r="N2342" t="s">
        <v>337</v>
      </c>
      <c r="O2342" t="s">
        <v>531</v>
      </c>
      <c r="P2342">
        <v>4.589163160217858E-2</v>
      </c>
      <c r="Q2342" t="s">
        <v>162</v>
      </c>
      <c r="S2342" t="s">
        <v>449</v>
      </c>
      <c r="T2342" t="s">
        <v>531</v>
      </c>
      <c r="U2342">
        <v>3.8804558675118804E-2</v>
      </c>
      <c r="V2342" t="s">
        <v>162</v>
      </c>
    </row>
    <row r="2343" spans="9:22" x14ac:dyDescent="0.45">
      <c r="I2343" t="s">
        <v>225</v>
      </c>
      <c r="J2343" t="s">
        <v>532</v>
      </c>
      <c r="K2343">
        <v>2.2402066131942504E-2</v>
      </c>
      <c r="L2343" t="s">
        <v>162</v>
      </c>
      <c r="N2343" t="s">
        <v>337</v>
      </c>
      <c r="O2343" t="s">
        <v>532</v>
      </c>
      <c r="P2343">
        <v>9.3046425599278716E-3</v>
      </c>
      <c r="Q2343" t="s">
        <v>162</v>
      </c>
      <c r="S2343" t="s">
        <v>449</v>
      </c>
      <c r="T2343" t="s">
        <v>532</v>
      </c>
      <c r="U2343">
        <v>7.7719500949921605E-3</v>
      </c>
      <c r="V2343" t="s">
        <v>162</v>
      </c>
    </row>
    <row r="2344" spans="9:22" x14ac:dyDescent="0.45">
      <c r="I2344" t="s">
        <v>225</v>
      </c>
      <c r="J2344" t="s">
        <v>533</v>
      </c>
      <c r="K2344">
        <v>3.8807413446339097E-2</v>
      </c>
      <c r="L2344" t="s">
        <v>162</v>
      </c>
      <c r="N2344" t="s">
        <v>337</v>
      </c>
      <c r="O2344" t="s">
        <v>533</v>
      </c>
      <c r="P2344">
        <v>5.5257498816106927E-2</v>
      </c>
      <c r="Q2344" t="s">
        <v>162</v>
      </c>
      <c r="S2344" t="s">
        <v>449</v>
      </c>
      <c r="T2344" t="s">
        <v>533</v>
      </c>
      <c r="U2344">
        <v>4.8920750097032291E-2</v>
      </c>
      <c r="V2344" t="s">
        <v>162</v>
      </c>
    </row>
    <row r="2345" spans="9:22" x14ac:dyDescent="0.45">
      <c r="I2345" t="s">
        <v>225</v>
      </c>
      <c r="J2345" t="s">
        <v>534</v>
      </c>
      <c r="K2345">
        <v>4.2369767046801919E-2</v>
      </c>
      <c r="L2345" t="s">
        <v>162</v>
      </c>
      <c r="N2345" t="s">
        <v>337</v>
      </c>
      <c r="O2345" t="s">
        <v>534</v>
      </c>
      <c r="P2345">
        <v>8.3038779518539871E-2</v>
      </c>
      <c r="Q2345" t="s">
        <v>162</v>
      </c>
      <c r="S2345" t="s">
        <v>449</v>
      </c>
      <c r="T2345" t="s">
        <v>534</v>
      </c>
      <c r="U2345">
        <v>0.11017956244898613</v>
      </c>
      <c r="V2345" t="s">
        <v>162</v>
      </c>
    </row>
    <row r="2346" spans="9:22" x14ac:dyDescent="0.45">
      <c r="I2346" t="s">
        <v>225</v>
      </c>
      <c r="J2346" t="s">
        <v>535</v>
      </c>
      <c r="K2346">
        <v>2.5833581314902619E-2</v>
      </c>
      <c r="L2346" t="s">
        <v>162</v>
      </c>
      <c r="N2346" t="s">
        <v>337</v>
      </c>
      <c r="O2346" t="s">
        <v>535</v>
      </c>
      <c r="P2346">
        <v>9.3712731417289544E-3</v>
      </c>
      <c r="Q2346" t="s">
        <v>162</v>
      </c>
      <c r="S2346" t="s">
        <v>449</v>
      </c>
      <c r="T2346" t="s">
        <v>535</v>
      </c>
      <c r="U2346">
        <v>1.2109118427110523E-2</v>
      </c>
      <c r="V2346" t="s">
        <v>162</v>
      </c>
    </row>
    <row r="2347" spans="9:22" x14ac:dyDescent="0.45">
      <c r="I2347" t="s">
        <v>225</v>
      </c>
      <c r="J2347" t="s">
        <v>536</v>
      </c>
      <c r="K2347">
        <v>5.5603996145589717E-2</v>
      </c>
      <c r="L2347" t="s">
        <v>162</v>
      </c>
      <c r="N2347" t="s">
        <v>337</v>
      </c>
      <c r="O2347" t="s">
        <v>536</v>
      </c>
      <c r="P2347">
        <v>1.9715976534798462E-2</v>
      </c>
      <c r="Q2347" t="s">
        <v>162</v>
      </c>
      <c r="S2347" t="s">
        <v>449</v>
      </c>
      <c r="T2347" t="s">
        <v>536</v>
      </c>
      <c r="U2347">
        <v>2.3510097742459483E-2</v>
      </c>
      <c r="V2347" t="s">
        <v>162</v>
      </c>
    </row>
    <row r="2348" spans="9:22" x14ac:dyDescent="0.45">
      <c r="I2348" t="s">
        <v>225</v>
      </c>
      <c r="J2348" t="s">
        <v>537</v>
      </c>
      <c r="K2348">
        <v>0.11973497806083885</v>
      </c>
      <c r="L2348" t="s">
        <v>162</v>
      </c>
      <c r="N2348" t="s">
        <v>337</v>
      </c>
      <c r="O2348" t="s">
        <v>537</v>
      </c>
      <c r="P2348">
        <v>5.1613001781579043E-2</v>
      </c>
      <c r="Q2348" t="s">
        <v>162</v>
      </c>
      <c r="S2348" t="s">
        <v>449</v>
      </c>
      <c r="T2348" t="s">
        <v>537</v>
      </c>
      <c r="U2348">
        <v>6.0557715623174038E-2</v>
      </c>
      <c r="V2348" t="s">
        <v>162</v>
      </c>
    </row>
    <row r="2349" spans="9:22" x14ac:dyDescent="0.45">
      <c r="I2349" t="s">
        <v>225</v>
      </c>
      <c r="J2349" t="s">
        <v>538</v>
      </c>
      <c r="K2349">
        <v>1.5804454643415504E-2</v>
      </c>
      <c r="L2349" t="s">
        <v>162</v>
      </c>
      <c r="N2349" t="s">
        <v>337</v>
      </c>
      <c r="O2349" t="s">
        <v>538</v>
      </c>
      <c r="P2349">
        <v>1.0042420960196672E-2</v>
      </c>
      <c r="Q2349" t="s">
        <v>162</v>
      </c>
      <c r="S2349" t="s">
        <v>449</v>
      </c>
      <c r="T2349" t="s">
        <v>538</v>
      </c>
      <c r="U2349">
        <v>1.2371099359964052E-2</v>
      </c>
      <c r="V2349" t="s">
        <v>162</v>
      </c>
    </row>
    <row r="2350" spans="9:22" x14ac:dyDescent="0.45">
      <c r="I2350" t="s">
        <v>225</v>
      </c>
      <c r="J2350" t="s">
        <v>539</v>
      </c>
      <c r="K2350">
        <v>1.4748276428490517E-2</v>
      </c>
      <c r="L2350" t="s">
        <v>162</v>
      </c>
      <c r="N2350" t="s">
        <v>337</v>
      </c>
      <c r="O2350" t="s">
        <v>539</v>
      </c>
      <c r="P2350">
        <v>6.0121193081456907E-2</v>
      </c>
      <c r="Q2350" t="s">
        <v>162</v>
      </c>
      <c r="S2350" t="s">
        <v>449</v>
      </c>
      <c r="T2350" t="s">
        <v>539</v>
      </c>
      <c r="U2350">
        <v>7.3509466241606397E-2</v>
      </c>
      <c r="V2350" t="s">
        <v>162</v>
      </c>
    </row>
    <row r="2351" spans="9:22" x14ac:dyDescent="0.45">
      <c r="I2351" t="s">
        <v>225</v>
      </c>
      <c r="J2351" t="s">
        <v>540</v>
      </c>
      <c r="K2351">
        <v>8.7174602251133694E-4</v>
      </c>
      <c r="L2351" t="s">
        <v>162</v>
      </c>
      <c r="N2351" t="s">
        <v>337</v>
      </c>
      <c r="O2351" t="s">
        <v>540</v>
      </c>
      <c r="P2351">
        <v>3.1889710963343726E-2</v>
      </c>
      <c r="Q2351" t="s">
        <v>162</v>
      </c>
      <c r="S2351" t="s">
        <v>449</v>
      </c>
      <c r="T2351" t="s">
        <v>540</v>
      </c>
      <c r="U2351">
        <v>3.8498701940388527E-2</v>
      </c>
      <c r="V2351" t="s">
        <v>162</v>
      </c>
    </row>
    <row r="2352" spans="9:22" x14ac:dyDescent="0.45">
      <c r="I2352" t="s">
        <v>225</v>
      </c>
      <c r="J2352" t="s">
        <v>541</v>
      </c>
      <c r="K2352">
        <v>3.5084360553515642E-3</v>
      </c>
      <c r="L2352" t="s">
        <v>162</v>
      </c>
      <c r="N2352" t="s">
        <v>337</v>
      </c>
      <c r="O2352" t="s">
        <v>541</v>
      </c>
      <c r="P2352">
        <v>3.5982567919496953E-3</v>
      </c>
      <c r="Q2352" t="s">
        <v>162</v>
      </c>
      <c r="S2352" t="s">
        <v>449</v>
      </c>
      <c r="T2352" t="s">
        <v>541</v>
      </c>
      <c r="U2352">
        <v>3.9195698324942978E-3</v>
      </c>
      <c r="V2352" t="s">
        <v>162</v>
      </c>
    </row>
    <row r="2353" spans="9:22" x14ac:dyDescent="0.45">
      <c r="I2353" t="s">
        <v>225</v>
      </c>
      <c r="J2353" t="s">
        <v>542</v>
      </c>
      <c r="K2353">
        <v>1.0092756247641957E-2</v>
      </c>
      <c r="L2353" t="s">
        <v>162</v>
      </c>
      <c r="N2353" t="s">
        <v>337</v>
      </c>
      <c r="O2353" t="s">
        <v>542</v>
      </c>
      <c r="P2353">
        <v>7.5060654407823882E-3</v>
      </c>
      <c r="Q2353" t="s">
        <v>162</v>
      </c>
      <c r="S2353" t="s">
        <v>449</v>
      </c>
      <c r="T2353" t="s">
        <v>542</v>
      </c>
      <c r="U2353">
        <v>7.5034423816796826E-3</v>
      </c>
      <c r="V2353" t="s">
        <v>162</v>
      </c>
    </row>
    <row r="2354" spans="9:22" x14ac:dyDescent="0.45">
      <c r="I2354" t="s">
        <v>225</v>
      </c>
      <c r="J2354" t="s">
        <v>543</v>
      </c>
      <c r="K2354">
        <v>1.8599298034888488E-2</v>
      </c>
      <c r="L2354" t="s">
        <v>162</v>
      </c>
      <c r="N2354" t="s">
        <v>337</v>
      </c>
      <c r="O2354" t="s">
        <v>543</v>
      </c>
      <c r="P2354">
        <v>1.9294250202193865E-2</v>
      </c>
      <c r="Q2354" t="s">
        <v>162</v>
      </c>
      <c r="S2354" t="s">
        <v>449</v>
      </c>
      <c r="T2354" t="s">
        <v>543</v>
      </c>
      <c r="U2354">
        <v>1.8430085961223957E-2</v>
      </c>
      <c r="V2354" t="s">
        <v>162</v>
      </c>
    </row>
    <row r="2355" spans="9:22" x14ac:dyDescent="0.45">
      <c r="I2355" t="s">
        <v>225</v>
      </c>
      <c r="J2355" t="s">
        <v>544</v>
      </c>
      <c r="K2355">
        <v>0</v>
      </c>
      <c r="L2355" t="s">
        <v>162</v>
      </c>
      <c r="N2355" t="s">
        <v>337</v>
      </c>
      <c r="O2355" t="s">
        <v>544</v>
      </c>
      <c r="P2355">
        <v>3.7428771190943684E-3</v>
      </c>
      <c r="Q2355" t="s">
        <v>162</v>
      </c>
      <c r="S2355" t="s">
        <v>449</v>
      </c>
      <c r="T2355" t="s">
        <v>544</v>
      </c>
      <c r="U2355">
        <v>3.7560025498335745E-3</v>
      </c>
      <c r="V2355" t="s">
        <v>162</v>
      </c>
    </row>
    <row r="2356" spans="9:22" x14ac:dyDescent="0.45">
      <c r="I2356" t="s">
        <v>225</v>
      </c>
      <c r="J2356" t="s">
        <v>545</v>
      </c>
      <c r="K2356">
        <v>0</v>
      </c>
      <c r="L2356" t="s">
        <v>162</v>
      </c>
      <c r="N2356" t="s">
        <v>337</v>
      </c>
      <c r="O2356" t="s">
        <v>545</v>
      </c>
      <c r="P2356">
        <v>2.2106840788505527E-2</v>
      </c>
      <c r="Q2356" t="s">
        <v>162</v>
      </c>
      <c r="S2356" t="s">
        <v>449</v>
      </c>
      <c r="T2356" t="s">
        <v>545</v>
      </c>
      <c r="U2356">
        <v>2.4089672718233646E-2</v>
      </c>
      <c r="V2356" t="s">
        <v>162</v>
      </c>
    </row>
    <row r="2357" spans="9:22" x14ac:dyDescent="0.45">
      <c r="I2357" t="s">
        <v>225</v>
      </c>
      <c r="J2357" t="s">
        <v>546</v>
      </c>
      <c r="K2357">
        <v>0</v>
      </c>
      <c r="L2357" t="s">
        <v>162</v>
      </c>
      <c r="N2357" t="s">
        <v>337</v>
      </c>
      <c r="O2357" t="s">
        <v>546</v>
      </c>
      <c r="P2357">
        <v>3.5003944840601875E-2</v>
      </c>
      <c r="Q2357" t="s">
        <v>162</v>
      </c>
      <c r="S2357" t="s">
        <v>449</v>
      </c>
      <c r="T2357" t="s">
        <v>546</v>
      </c>
      <c r="U2357">
        <v>3.6462977270820221E-2</v>
      </c>
      <c r="V2357" t="s">
        <v>162</v>
      </c>
    </row>
    <row r="2358" spans="9:22" x14ac:dyDescent="0.45">
      <c r="I2358" t="s">
        <v>225</v>
      </c>
      <c r="J2358" t="s">
        <v>547</v>
      </c>
      <c r="K2358">
        <v>4.2812902204336504E-4</v>
      </c>
      <c r="L2358" t="s">
        <v>162</v>
      </c>
      <c r="N2358" t="s">
        <v>337</v>
      </c>
      <c r="O2358" t="s">
        <v>547</v>
      </c>
      <c r="P2358">
        <v>4.0350281847996178E-3</v>
      </c>
      <c r="Q2358" t="s">
        <v>162</v>
      </c>
      <c r="S2358" t="s">
        <v>449</v>
      </c>
      <c r="T2358" t="s">
        <v>547</v>
      </c>
      <c r="U2358">
        <v>4.1727513928396459E-3</v>
      </c>
      <c r="V2358" t="s">
        <v>162</v>
      </c>
    </row>
    <row r="2359" spans="9:22" x14ac:dyDescent="0.45">
      <c r="I2359" t="s">
        <v>225</v>
      </c>
      <c r="J2359" t="s">
        <v>548</v>
      </c>
      <c r="K2359">
        <v>6.2243694951155766E-3</v>
      </c>
      <c r="L2359" t="s">
        <v>162</v>
      </c>
      <c r="N2359" t="s">
        <v>337</v>
      </c>
      <c r="O2359" t="s">
        <v>548</v>
      </c>
      <c r="P2359">
        <v>8.3018429544889603E-3</v>
      </c>
      <c r="Q2359" t="s">
        <v>162</v>
      </c>
      <c r="S2359" t="s">
        <v>449</v>
      </c>
      <c r="T2359" t="s">
        <v>548</v>
      </c>
      <c r="U2359">
        <v>8.320437218243288E-3</v>
      </c>
      <c r="V2359" t="s">
        <v>162</v>
      </c>
    </row>
    <row r="2360" spans="9:22" x14ac:dyDescent="0.45">
      <c r="I2360" t="s">
        <v>225</v>
      </c>
      <c r="J2360" t="s">
        <v>549</v>
      </c>
      <c r="K2360">
        <v>1.1356544998833243E-2</v>
      </c>
      <c r="L2360" t="s">
        <v>162</v>
      </c>
      <c r="N2360" t="s">
        <v>337</v>
      </c>
      <c r="O2360" t="s">
        <v>549</v>
      </c>
      <c r="P2360">
        <v>1.9861066031109972E-2</v>
      </c>
      <c r="Q2360" t="s">
        <v>162</v>
      </c>
      <c r="S2360" t="s">
        <v>449</v>
      </c>
      <c r="T2360" t="s">
        <v>549</v>
      </c>
      <c r="U2360">
        <v>2.1054127955106975E-2</v>
      </c>
      <c r="V2360" t="s">
        <v>162</v>
      </c>
    </row>
    <row r="2361" spans="9:22" x14ac:dyDescent="0.45">
      <c r="I2361" t="s">
        <v>225</v>
      </c>
      <c r="J2361" t="s">
        <v>550</v>
      </c>
      <c r="K2361">
        <v>0</v>
      </c>
      <c r="L2361" t="s">
        <v>162</v>
      </c>
      <c r="N2361" t="s">
        <v>337</v>
      </c>
      <c r="O2361" t="s">
        <v>550</v>
      </c>
      <c r="P2361">
        <v>3.8005697381499294E-3</v>
      </c>
      <c r="Q2361" t="s">
        <v>162</v>
      </c>
      <c r="S2361" t="s">
        <v>449</v>
      </c>
      <c r="T2361" t="s">
        <v>550</v>
      </c>
      <c r="U2361">
        <v>4.2934331763301485E-3</v>
      </c>
      <c r="V2361" t="s">
        <v>162</v>
      </c>
    </row>
    <row r="2362" spans="9:22" x14ac:dyDescent="0.45">
      <c r="I2362" t="s">
        <v>225</v>
      </c>
      <c r="J2362" t="s">
        <v>551</v>
      </c>
      <c r="K2362">
        <v>0</v>
      </c>
      <c r="L2362" t="s">
        <v>162</v>
      </c>
      <c r="N2362" t="s">
        <v>337</v>
      </c>
      <c r="O2362" t="s">
        <v>551</v>
      </c>
      <c r="P2362">
        <v>2.3925376934050738E-2</v>
      </c>
      <c r="Q2362" t="s">
        <v>162</v>
      </c>
      <c r="S2362" t="s">
        <v>449</v>
      </c>
      <c r="T2362" t="s">
        <v>551</v>
      </c>
      <c r="U2362">
        <v>2.4633919205179895E-2</v>
      </c>
      <c r="V2362" t="s">
        <v>162</v>
      </c>
    </row>
    <row r="2363" spans="9:22" x14ac:dyDescent="0.45">
      <c r="I2363" t="s">
        <v>226</v>
      </c>
      <c r="J2363" t="s">
        <v>161</v>
      </c>
      <c r="K2363">
        <v>0</v>
      </c>
      <c r="L2363" t="s">
        <v>162</v>
      </c>
      <c r="N2363" t="s">
        <v>338</v>
      </c>
      <c r="O2363" t="s">
        <v>161</v>
      </c>
      <c r="P2363">
        <v>4.2060855311506148E-2</v>
      </c>
      <c r="Q2363" t="s">
        <v>162</v>
      </c>
      <c r="S2363" t="s">
        <v>450</v>
      </c>
      <c r="T2363" t="s">
        <v>161</v>
      </c>
      <c r="U2363">
        <v>2.3025219580536938E-2</v>
      </c>
      <c r="V2363" t="s">
        <v>162</v>
      </c>
    </row>
    <row r="2364" spans="9:22" x14ac:dyDescent="0.45">
      <c r="I2364" t="s">
        <v>226</v>
      </c>
      <c r="J2364" t="s">
        <v>163</v>
      </c>
      <c r="K2364">
        <v>6.5989191201917114E-4</v>
      </c>
      <c r="L2364" t="s">
        <v>162</v>
      </c>
      <c r="N2364" t="s">
        <v>338</v>
      </c>
      <c r="O2364" t="s">
        <v>163</v>
      </c>
      <c r="P2364">
        <v>4.6070985871537991E-3</v>
      </c>
      <c r="Q2364" t="s">
        <v>162</v>
      </c>
      <c r="S2364" t="s">
        <v>450</v>
      </c>
      <c r="T2364" t="s">
        <v>163</v>
      </c>
      <c r="U2364">
        <v>2.4681721668271942E-3</v>
      </c>
      <c r="V2364" t="s">
        <v>162</v>
      </c>
    </row>
    <row r="2365" spans="9:22" x14ac:dyDescent="0.45">
      <c r="I2365" t="s">
        <v>226</v>
      </c>
      <c r="J2365" t="s">
        <v>164</v>
      </c>
      <c r="K2365">
        <v>6.6897529064029963E-3</v>
      </c>
      <c r="L2365" t="s">
        <v>162</v>
      </c>
      <c r="N2365" t="s">
        <v>338</v>
      </c>
      <c r="O2365" t="s">
        <v>164</v>
      </c>
      <c r="P2365">
        <v>9.3611329576482501E-3</v>
      </c>
      <c r="Q2365" t="s">
        <v>162</v>
      </c>
      <c r="S2365" t="s">
        <v>450</v>
      </c>
      <c r="T2365" t="s">
        <v>164</v>
      </c>
      <c r="U2365">
        <v>4.921035244121511E-3</v>
      </c>
      <c r="V2365" t="s">
        <v>162</v>
      </c>
    </row>
    <row r="2366" spans="9:22" x14ac:dyDescent="0.45">
      <c r="I2366" t="s">
        <v>226</v>
      </c>
      <c r="J2366" t="s">
        <v>519</v>
      </c>
      <c r="K2366">
        <v>1.725624855723628E-2</v>
      </c>
      <c r="L2366" t="s">
        <v>162</v>
      </c>
      <c r="N2366" t="s">
        <v>338</v>
      </c>
      <c r="O2366" t="s">
        <v>519</v>
      </c>
      <c r="P2366">
        <v>2.4158973589058892E-2</v>
      </c>
      <c r="Q2366" t="s">
        <v>162</v>
      </c>
      <c r="S2366" t="s">
        <v>450</v>
      </c>
      <c r="T2366" t="s">
        <v>519</v>
      </c>
      <c r="U2366">
        <v>1.3779154608507919E-2</v>
      </c>
      <c r="V2366" t="s">
        <v>162</v>
      </c>
    </row>
    <row r="2367" spans="9:22" x14ac:dyDescent="0.45">
      <c r="I2367" t="s">
        <v>226</v>
      </c>
      <c r="J2367" t="s">
        <v>520</v>
      </c>
      <c r="K2367">
        <v>1.761556427351485E-8</v>
      </c>
      <c r="L2367" t="s">
        <v>162</v>
      </c>
      <c r="N2367" t="s">
        <v>338</v>
      </c>
      <c r="O2367" t="s">
        <v>520</v>
      </c>
      <c r="P2367">
        <v>4.862633077263841E-3</v>
      </c>
      <c r="Q2367" t="s">
        <v>162</v>
      </c>
      <c r="S2367" t="s">
        <v>450</v>
      </c>
      <c r="T2367" t="s">
        <v>520</v>
      </c>
      <c r="U2367">
        <v>2.78742631728718E-3</v>
      </c>
      <c r="V2367" t="s">
        <v>162</v>
      </c>
    </row>
    <row r="2368" spans="9:22" x14ac:dyDescent="0.45">
      <c r="I2368" t="s">
        <v>226</v>
      </c>
      <c r="J2368" t="s">
        <v>521</v>
      </c>
      <c r="K2368">
        <v>0</v>
      </c>
      <c r="L2368" t="s">
        <v>162</v>
      </c>
      <c r="N2368" t="s">
        <v>338</v>
      </c>
      <c r="O2368" t="s">
        <v>521</v>
      </c>
      <c r="P2368">
        <v>2.9359839592062075E-2</v>
      </c>
      <c r="Q2368" t="s">
        <v>162</v>
      </c>
      <c r="S2368" t="s">
        <v>450</v>
      </c>
      <c r="T2368" t="s">
        <v>521</v>
      </c>
      <c r="U2368">
        <v>1.5877685721201327E-2</v>
      </c>
      <c r="V2368" t="s">
        <v>162</v>
      </c>
    </row>
    <row r="2369" spans="9:22" x14ac:dyDescent="0.45">
      <c r="I2369" t="s">
        <v>226</v>
      </c>
      <c r="J2369" t="s">
        <v>165</v>
      </c>
      <c r="K2369">
        <v>1.1461889045759791E-2</v>
      </c>
      <c r="L2369" t="s">
        <v>162</v>
      </c>
      <c r="N2369" t="s">
        <v>338</v>
      </c>
      <c r="O2369" t="s">
        <v>165</v>
      </c>
      <c r="P2369">
        <v>6.7038352411693064E-2</v>
      </c>
      <c r="Q2369" t="s">
        <v>162</v>
      </c>
      <c r="S2369" t="s">
        <v>450</v>
      </c>
      <c r="T2369" t="s">
        <v>165</v>
      </c>
      <c r="U2369">
        <v>5.7136753391460918E-2</v>
      </c>
      <c r="V2369" t="s">
        <v>162</v>
      </c>
    </row>
    <row r="2370" spans="9:22" x14ac:dyDescent="0.45">
      <c r="I2370" t="s">
        <v>226</v>
      </c>
      <c r="J2370" t="s">
        <v>166</v>
      </c>
      <c r="K2370">
        <v>1.3459186652227475E-2</v>
      </c>
      <c r="L2370" t="s">
        <v>162</v>
      </c>
      <c r="N2370" t="s">
        <v>338</v>
      </c>
      <c r="O2370" t="s">
        <v>166</v>
      </c>
      <c r="P2370">
        <v>7.3131732052473643E-3</v>
      </c>
      <c r="Q2370" t="s">
        <v>162</v>
      </c>
      <c r="S2370" t="s">
        <v>450</v>
      </c>
      <c r="T2370" t="s">
        <v>166</v>
      </c>
      <c r="U2370">
        <v>6.2513388301416468E-3</v>
      </c>
      <c r="V2370" t="s">
        <v>162</v>
      </c>
    </row>
    <row r="2371" spans="9:22" x14ac:dyDescent="0.45">
      <c r="I2371" t="s">
        <v>226</v>
      </c>
      <c r="J2371" t="s">
        <v>167</v>
      </c>
      <c r="K2371">
        <v>3.5020516067698224E-2</v>
      </c>
      <c r="L2371" t="s">
        <v>162</v>
      </c>
      <c r="N2371" t="s">
        <v>338</v>
      </c>
      <c r="O2371" t="s">
        <v>167</v>
      </c>
      <c r="P2371">
        <v>1.4382398004366199E-2</v>
      </c>
      <c r="Q2371" t="s">
        <v>162</v>
      </c>
      <c r="S2371" t="s">
        <v>450</v>
      </c>
      <c r="T2371" t="s">
        <v>167</v>
      </c>
      <c r="U2371">
        <v>1.2001795011424744E-2</v>
      </c>
      <c r="V2371" t="s">
        <v>162</v>
      </c>
    </row>
    <row r="2372" spans="9:22" x14ac:dyDescent="0.45">
      <c r="I2372" t="s">
        <v>226</v>
      </c>
      <c r="J2372" t="s">
        <v>522</v>
      </c>
      <c r="K2372">
        <v>8.1528741680649358E-2</v>
      </c>
      <c r="L2372" t="s">
        <v>162</v>
      </c>
      <c r="N2372" t="s">
        <v>338</v>
      </c>
      <c r="O2372" t="s">
        <v>522</v>
      </c>
      <c r="P2372">
        <v>3.5594125789574882E-2</v>
      </c>
      <c r="Q2372" t="s">
        <v>162</v>
      </c>
      <c r="S2372" t="s">
        <v>450</v>
      </c>
      <c r="T2372" t="s">
        <v>522</v>
      </c>
      <c r="U2372">
        <v>3.0119141921088815E-2</v>
      </c>
      <c r="V2372" t="s">
        <v>162</v>
      </c>
    </row>
    <row r="2373" spans="9:22" x14ac:dyDescent="0.45">
      <c r="I2373" t="s">
        <v>226</v>
      </c>
      <c r="J2373" t="s">
        <v>523</v>
      </c>
      <c r="K2373">
        <v>1.0539127868848669E-2</v>
      </c>
      <c r="L2373" t="s">
        <v>162</v>
      </c>
      <c r="N2373" t="s">
        <v>338</v>
      </c>
      <c r="O2373" t="s">
        <v>523</v>
      </c>
      <c r="P2373">
        <v>7.251498813280753E-3</v>
      </c>
      <c r="Q2373" t="s">
        <v>162</v>
      </c>
      <c r="S2373" t="s">
        <v>450</v>
      </c>
      <c r="T2373" t="s">
        <v>523</v>
      </c>
      <c r="U2373">
        <v>6.4531089989366443E-3</v>
      </c>
      <c r="V2373" t="s">
        <v>162</v>
      </c>
    </row>
    <row r="2374" spans="9:22" x14ac:dyDescent="0.45">
      <c r="I2374" t="s">
        <v>226</v>
      </c>
      <c r="J2374" t="s">
        <v>524</v>
      </c>
      <c r="K2374">
        <v>5.1159691821452682E-3</v>
      </c>
      <c r="L2374" t="s">
        <v>162</v>
      </c>
      <c r="N2374" t="s">
        <v>338</v>
      </c>
      <c r="O2374" t="s">
        <v>524</v>
      </c>
      <c r="P2374">
        <v>4.426858925756106E-2</v>
      </c>
      <c r="Q2374" t="s">
        <v>162</v>
      </c>
      <c r="S2374" t="s">
        <v>450</v>
      </c>
      <c r="T2374" t="s">
        <v>524</v>
      </c>
      <c r="U2374">
        <v>3.9607341466894222E-2</v>
      </c>
      <c r="V2374" t="s">
        <v>162</v>
      </c>
    </row>
    <row r="2375" spans="9:22" x14ac:dyDescent="0.45">
      <c r="I2375" t="s">
        <v>226</v>
      </c>
      <c r="J2375" t="s">
        <v>168</v>
      </c>
      <c r="K2375">
        <v>1.4914172532849709E-2</v>
      </c>
      <c r="L2375" t="s">
        <v>162</v>
      </c>
      <c r="N2375" t="s">
        <v>338</v>
      </c>
      <c r="O2375" t="s">
        <v>168</v>
      </c>
      <c r="P2375">
        <v>2.9853886974452251E-2</v>
      </c>
      <c r="Q2375" t="s">
        <v>162</v>
      </c>
      <c r="S2375" t="s">
        <v>450</v>
      </c>
      <c r="T2375" t="s">
        <v>168</v>
      </c>
      <c r="U2375">
        <v>3.5458883687775333E-2</v>
      </c>
      <c r="V2375" t="s">
        <v>162</v>
      </c>
    </row>
    <row r="2376" spans="9:22" x14ac:dyDescent="0.45">
      <c r="I2376" t="s">
        <v>226</v>
      </c>
      <c r="J2376" t="s">
        <v>169</v>
      </c>
      <c r="K2376">
        <v>8.9139628061713962E-3</v>
      </c>
      <c r="L2376" t="s">
        <v>162</v>
      </c>
      <c r="N2376" t="s">
        <v>338</v>
      </c>
      <c r="O2376" t="s">
        <v>169</v>
      </c>
      <c r="P2376">
        <v>3.271445447123311E-3</v>
      </c>
      <c r="Q2376" t="s">
        <v>162</v>
      </c>
      <c r="S2376" t="s">
        <v>450</v>
      </c>
      <c r="T2376" t="s">
        <v>169</v>
      </c>
      <c r="U2376">
        <v>3.6635396964643271E-3</v>
      </c>
      <c r="V2376" t="s">
        <v>162</v>
      </c>
    </row>
    <row r="2377" spans="9:22" x14ac:dyDescent="0.45">
      <c r="I2377" t="s">
        <v>226</v>
      </c>
      <c r="J2377" t="s">
        <v>170</v>
      </c>
      <c r="K2377">
        <v>2.0386240834528072E-2</v>
      </c>
      <c r="L2377" t="s">
        <v>162</v>
      </c>
      <c r="N2377" t="s">
        <v>338</v>
      </c>
      <c r="O2377" t="s">
        <v>170</v>
      </c>
      <c r="P2377">
        <v>6.4514022909028983E-3</v>
      </c>
      <c r="Q2377" t="s">
        <v>162</v>
      </c>
      <c r="S2377" t="s">
        <v>450</v>
      </c>
      <c r="T2377" t="s">
        <v>170</v>
      </c>
      <c r="U2377">
        <v>7.1196359700411143E-3</v>
      </c>
      <c r="V2377" t="s">
        <v>162</v>
      </c>
    </row>
    <row r="2378" spans="9:22" x14ac:dyDescent="0.45">
      <c r="I2378" t="s">
        <v>226</v>
      </c>
      <c r="J2378" t="s">
        <v>525</v>
      </c>
      <c r="K2378">
        <v>4.7537536435034E-2</v>
      </c>
      <c r="L2378" t="s">
        <v>162</v>
      </c>
      <c r="N2378" t="s">
        <v>338</v>
      </c>
      <c r="O2378" t="s">
        <v>525</v>
      </c>
      <c r="P2378">
        <v>1.6370649932936694E-2</v>
      </c>
      <c r="Q2378" t="s">
        <v>162</v>
      </c>
      <c r="S2378" t="s">
        <v>450</v>
      </c>
      <c r="T2378" t="s">
        <v>525</v>
      </c>
      <c r="U2378">
        <v>1.8284882166021841E-2</v>
      </c>
      <c r="V2378" t="s">
        <v>162</v>
      </c>
    </row>
    <row r="2379" spans="9:22" x14ac:dyDescent="0.45">
      <c r="I2379" t="s">
        <v>226</v>
      </c>
      <c r="J2379" t="s">
        <v>526</v>
      </c>
      <c r="K2379">
        <v>6.908735300240056E-3</v>
      </c>
      <c r="L2379" t="s">
        <v>162</v>
      </c>
      <c r="N2379" t="s">
        <v>338</v>
      </c>
      <c r="O2379" t="s">
        <v>526</v>
      </c>
      <c r="P2379">
        <v>3.3321925410199123E-3</v>
      </c>
      <c r="Q2379" t="s">
        <v>162</v>
      </c>
      <c r="S2379" t="s">
        <v>450</v>
      </c>
      <c r="T2379" t="s">
        <v>526</v>
      </c>
      <c r="U2379">
        <v>3.8386911071127015E-3</v>
      </c>
      <c r="V2379" t="s">
        <v>162</v>
      </c>
    </row>
    <row r="2380" spans="9:22" x14ac:dyDescent="0.45">
      <c r="I2380" t="s">
        <v>226</v>
      </c>
      <c r="J2380" t="s">
        <v>527</v>
      </c>
      <c r="K2380">
        <v>8.5192006782571269E-3</v>
      </c>
      <c r="L2380" t="s">
        <v>162</v>
      </c>
      <c r="N2380" t="s">
        <v>338</v>
      </c>
      <c r="O2380" t="s">
        <v>527</v>
      </c>
      <c r="P2380">
        <v>1.9819965468125356E-2</v>
      </c>
      <c r="Q2380" t="s">
        <v>162</v>
      </c>
      <c r="S2380" t="s">
        <v>450</v>
      </c>
      <c r="T2380" t="s">
        <v>527</v>
      </c>
      <c r="U2380">
        <v>2.3737652324845357E-2</v>
      </c>
      <c r="V2380" t="s">
        <v>162</v>
      </c>
    </row>
    <row r="2381" spans="9:22" x14ac:dyDescent="0.45">
      <c r="I2381" t="s">
        <v>226</v>
      </c>
      <c r="J2381" t="s">
        <v>528</v>
      </c>
      <c r="K2381">
        <v>7.5678081706285066E-2</v>
      </c>
      <c r="L2381" t="s">
        <v>162</v>
      </c>
      <c r="N2381" t="s">
        <v>338</v>
      </c>
      <c r="O2381" t="s">
        <v>528</v>
      </c>
      <c r="P2381">
        <v>7.8338105419808471E-2</v>
      </c>
      <c r="Q2381" t="s">
        <v>162</v>
      </c>
      <c r="S2381" t="s">
        <v>450</v>
      </c>
      <c r="T2381" t="s">
        <v>528</v>
      </c>
      <c r="U2381">
        <v>7.698025511099825E-2</v>
      </c>
      <c r="V2381" t="s">
        <v>162</v>
      </c>
    </row>
    <row r="2382" spans="9:22" x14ac:dyDescent="0.45">
      <c r="I2382" t="s">
        <v>226</v>
      </c>
      <c r="J2382" t="s">
        <v>529</v>
      </c>
      <c r="K2382">
        <v>3.1079316696598011E-2</v>
      </c>
      <c r="L2382" t="s">
        <v>162</v>
      </c>
      <c r="N2382" t="s">
        <v>338</v>
      </c>
      <c r="O2382" t="s">
        <v>529</v>
      </c>
      <c r="P2382">
        <v>7.8385768427735106E-3</v>
      </c>
      <c r="Q2382" t="s">
        <v>162</v>
      </c>
      <c r="S2382" t="s">
        <v>450</v>
      </c>
      <c r="T2382" t="s">
        <v>529</v>
      </c>
      <c r="U2382">
        <v>8.447028826483757E-3</v>
      </c>
      <c r="V2382" t="s">
        <v>162</v>
      </c>
    </row>
    <row r="2383" spans="9:22" x14ac:dyDescent="0.45">
      <c r="I2383" t="s">
        <v>226</v>
      </c>
      <c r="J2383" t="s">
        <v>530</v>
      </c>
      <c r="K2383">
        <v>6.4809189205980708E-2</v>
      </c>
      <c r="L2383" t="s">
        <v>162</v>
      </c>
      <c r="N2383" t="s">
        <v>338</v>
      </c>
      <c r="O2383" t="s">
        <v>530</v>
      </c>
      <c r="P2383">
        <v>1.6453021343494724E-2</v>
      </c>
      <c r="Q2383" t="s">
        <v>162</v>
      </c>
      <c r="S2383" t="s">
        <v>450</v>
      </c>
      <c r="T2383" t="s">
        <v>530</v>
      </c>
      <c r="U2383">
        <v>1.7016908272752703E-2</v>
      </c>
      <c r="V2383" t="s">
        <v>162</v>
      </c>
    </row>
    <row r="2384" spans="9:22" x14ac:dyDescent="0.45">
      <c r="I2384" t="s">
        <v>226</v>
      </c>
      <c r="J2384" t="s">
        <v>531</v>
      </c>
      <c r="K2384">
        <v>0.14776259500262401</v>
      </c>
      <c r="L2384" t="s">
        <v>162</v>
      </c>
      <c r="N2384" t="s">
        <v>338</v>
      </c>
      <c r="O2384" t="s">
        <v>531</v>
      </c>
      <c r="P2384">
        <v>4.6119256753805307E-2</v>
      </c>
      <c r="Q2384" t="s">
        <v>162</v>
      </c>
      <c r="S2384" t="s">
        <v>450</v>
      </c>
      <c r="T2384" t="s">
        <v>531</v>
      </c>
      <c r="U2384">
        <v>4.2966016638049491E-2</v>
      </c>
      <c r="V2384" t="s">
        <v>162</v>
      </c>
    </row>
    <row r="2385" spans="9:22" x14ac:dyDescent="0.45">
      <c r="I2385" t="s">
        <v>226</v>
      </c>
      <c r="J2385" t="s">
        <v>532</v>
      </c>
      <c r="K2385">
        <v>2.3548795641810207E-2</v>
      </c>
      <c r="L2385" t="s">
        <v>162</v>
      </c>
      <c r="N2385" t="s">
        <v>338</v>
      </c>
      <c r="O2385" t="s">
        <v>532</v>
      </c>
      <c r="P2385">
        <v>9.2088459977315608E-3</v>
      </c>
      <c r="Q2385" t="s">
        <v>162</v>
      </c>
      <c r="S2385" t="s">
        <v>450</v>
      </c>
      <c r="T2385" t="s">
        <v>532</v>
      </c>
      <c r="U2385">
        <v>8.8529574481136467E-3</v>
      </c>
      <c r="V2385" t="s">
        <v>162</v>
      </c>
    </row>
    <row r="2386" spans="9:22" x14ac:dyDescent="0.45">
      <c r="I2386" t="s">
        <v>226</v>
      </c>
      <c r="J2386" t="s">
        <v>533</v>
      </c>
      <c r="K2386">
        <v>4.4608986690515315E-2</v>
      </c>
      <c r="L2386" t="s">
        <v>162</v>
      </c>
      <c r="N2386" t="s">
        <v>338</v>
      </c>
      <c r="O2386" t="s">
        <v>533</v>
      </c>
      <c r="P2386">
        <v>5.3996107543335503E-2</v>
      </c>
      <c r="Q2386" t="s">
        <v>162</v>
      </c>
      <c r="S2386" t="s">
        <v>450</v>
      </c>
      <c r="T2386" t="s">
        <v>533</v>
      </c>
      <c r="U2386">
        <v>5.2599518534166799E-2</v>
      </c>
      <c r="V2386" t="s">
        <v>162</v>
      </c>
    </row>
    <row r="2387" spans="9:22" x14ac:dyDescent="0.45">
      <c r="I2387" t="s">
        <v>226</v>
      </c>
      <c r="J2387" t="s">
        <v>534</v>
      </c>
      <c r="K2387">
        <v>3.6338831118776692E-2</v>
      </c>
      <c r="L2387" t="s">
        <v>162</v>
      </c>
      <c r="N2387" t="s">
        <v>338</v>
      </c>
      <c r="O2387" t="s">
        <v>534</v>
      </c>
      <c r="P2387">
        <v>8.3413076589328936E-2</v>
      </c>
      <c r="Q2387" t="s">
        <v>162</v>
      </c>
      <c r="S2387" t="s">
        <v>450</v>
      </c>
      <c r="T2387" t="s">
        <v>534</v>
      </c>
      <c r="U2387">
        <v>0.10974447396940502</v>
      </c>
      <c r="V2387" t="s">
        <v>162</v>
      </c>
    </row>
    <row r="2388" spans="9:22" x14ac:dyDescent="0.45">
      <c r="I2388" t="s">
        <v>226</v>
      </c>
      <c r="J2388" t="s">
        <v>535</v>
      </c>
      <c r="K2388">
        <v>2.5141314930738744E-2</v>
      </c>
      <c r="L2388" t="s">
        <v>162</v>
      </c>
      <c r="N2388" t="s">
        <v>338</v>
      </c>
      <c r="O2388" t="s">
        <v>535</v>
      </c>
      <c r="P2388">
        <v>9.1593480603806721E-3</v>
      </c>
      <c r="Q2388" t="s">
        <v>162</v>
      </c>
      <c r="S2388" t="s">
        <v>450</v>
      </c>
      <c r="T2388" t="s">
        <v>535</v>
      </c>
      <c r="U2388">
        <v>1.2233364792525434E-2</v>
      </c>
      <c r="V2388" t="s">
        <v>162</v>
      </c>
    </row>
    <row r="2389" spans="9:22" x14ac:dyDescent="0.45">
      <c r="I2389" t="s">
        <v>226</v>
      </c>
      <c r="J2389" t="s">
        <v>536</v>
      </c>
      <c r="K2389">
        <v>5.5895906300742093E-2</v>
      </c>
      <c r="L2389" t="s">
        <v>162</v>
      </c>
      <c r="N2389" t="s">
        <v>338</v>
      </c>
      <c r="O2389" t="s">
        <v>536</v>
      </c>
      <c r="P2389">
        <v>1.8718558015504962E-2</v>
      </c>
      <c r="Q2389" t="s">
        <v>162</v>
      </c>
      <c r="S2389" t="s">
        <v>450</v>
      </c>
      <c r="T2389" t="s">
        <v>536</v>
      </c>
      <c r="U2389">
        <v>2.4362897739630112E-2</v>
      </c>
      <c r="V2389" t="s">
        <v>162</v>
      </c>
    </row>
    <row r="2390" spans="9:22" x14ac:dyDescent="0.45">
      <c r="I2390" t="s">
        <v>226</v>
      </c>
      <c r="J2390" t="s">
        <v>537</v>
      </c>
      <c r="K2390">
        <v>0.12227911718092208</v>
      </c>
      <c r="L2390" t="s">
        <v>162</v>
      </c>
      <c r="N2390" t="s">
        <v>338</v>
      </c>
      <c r="O2390" t="s">
        <v>537</v>
      </c>
      <c r="P2390">
        <v>4.9304080381606726E-2</v>
      </c>
      <c r="Q2390" t="s">
        <v>162</v>
      </c>
      <c r="S2390" t="s">
        <v>450</v>
      </c>
      <c r="T2390" t="s">
        <v>537</v>
      </c>
      <c r="U2390">
        <v>6.2637327249219332E-2</v>
      </c>
      <c r="V2390" t="s">
        <v>162</v>
      </c>
    </row>
    <row r="2391" spans="9:22" x14ac:dyDescent="0.45">
      <c r="I2391" t="s">
        <v>226</v>
      </c>
      <c r="J2391" t="s">
        <v>538</v>
      </c>
      <c r="K2391">
        <v>1.6904650986541817E-2</v>
      </c>
      <c r="L2391" t="s">
        <v>162</v>
      </c>
      <c r="N2391" t="s">
        <v>338</v>
      </c>
      <c r="O2391" t="s">
        <v>538</v>
      </c>
      <c r="P2391">
        <v>9.7042195451588643E-3</v>
      </c>
      <c r="Q2391" t="s">
        <v>162</v>
      </c>
      <c r="S2391" t="s">
        <v>450</v>
      </c>
      <c r="T2391" t="s">
        <v>538</v>
      </c>
      <c r="U2391">
        <v>1.2645882238093332E-2</v>
      </c>
      <c r="V2391" t="s">
        <v>162</v>
      </c>
    </row>
    <row r="2392" spans="9:22" x14ac:dyDescent="0.45">
      <c r="I2392" t="s">
        <v>226</v>
      </c>
      <c r="J2392" t="s">
        <v>539</v>
      </c>
      <c r="K2392">
        <v>1.7103380409646509E-2</v>
      </c>
      <c r="L2392" t="s">
        <v>162</v>
      </c>
      <c r="N2392" t="s">
        <v>338</v>
      </c>
      <c r="O2392" t="s">
        <v>539</v>
      </c>
      <c r="P2392">
        <v>5.7104909909482048E-2</v>
      </c>
      <c r="Q2392" t="s">
        <v>162</v>
      </c>
      <c r="S2392" t="s">
        <v>450</v>
      </c>
      <c r="T2392" t="s">
        <v>539</v>
      </c>
      <c r="U2392">
        <v>7.4533992472650537E-2</v>
      </c>
      <c r="V2392" t="s">
        <v>162</v>
      </c>
    </row>
    <row r="2393" spans="9:22" x14ac:dyDescent="0.45">
      <c r="I2393" t="s">
        <v>226</v>
      </c>
      <c r="J2393" t="s">
        <v>540</v>
      </c>
      <c r="K2393">
        <v>3.8921065686383407E-4</v>
      </c>
      <c r="L2393" t="s">
        <v>162</v>
      </c>
      <c r="N2393" t="s">
        <v>338</v>
      </c>
      <c r="O2393" t="s">
        <v>540</v>
      </c>
      <c r="P2393">
        <v>3.2955391765495945E-2</v>
      </c>
      <c r="Q2393" t="s">
        <v>162</v>
      </c>
      <c r="S2393" t="s">
        <v>450</v>
      </c>
      <c r="T2393" t="s">
        <v>540</v>
      </c>
      <c r="U2393">
        <v>3.9390069992392827E-2</v>
      </c>
      <c r="V2393" t="s">
        <v>162</v>
      </c>
    </row>
    <row r="2394" spans="9:22" x14ac:dyDescent="0.45">
      <c r="I2394" t="s">
        <v>226</v>
      </c>
      <c r="J2394" t="s">
        <v>541</v>
      </c>
      <c r="K2394">
        <v>2.8105068458096332E-3</v>
      </c>
      <c r="L2394" t="s">
        <v>162</v>
      </c>
      <c r="N2394" t="s">
        <v>338</v>
      </c>
      <c r="O2394" t="s">
        <v>541</v>
      </c>
      <c r="P2394">
        <v>3.8353963945686824E-3</v>
      </c>
      <c r="Q2394" t="s">
        <v>162</v>
      </c>
      <c r="S2394" t="s">
        <v>450</v>
      </c>
      <c r="T2394" t="s">
        <v>541</v>
      </c>
      <c r="U2394">
        <v>4.1372996814983236E-3</v>
      </c>
      <c r="V2394" t="s">
        <v>162</v>
      </c>
    </row>
    <row r="2395" spans="9:22" x14ac:dyDescent="0.45">
      <c r="I2395" t="s">
        <v>226</v>
      </c>
      <c r="J2395" t="s">
        <v>542</v>
      </c>
      <c r="K2395">
        <v>9.4321008418837456E-3</v>
      </c>
      <c r="L2395" t="s">
        <v>162</v>
      </c>
      <c r="N2395" t="s">
        <v>338</v>
      </c>
      <c r="O2395" t="s">
        <v>542</v>
      </c>
      <c r="P2395">
        <v>7.8234147840052955E-3</v>
      </c>
      <c r="Q2395" t="s">
        <v>162</v>
      </c>
      <c r="S2395" t="s">
        <v>450</v>
      </c>
      <c r="T2395" t="s">
        <v>542</v>
      </c>
      <c r="U2395">
        <v>8.0600886203162653E-3</v>
      </c>
      <c r="V2395" t="s">
        <v>162</v>
      </c>
    </row>
    <row r="2396" spans="9:22" x14ac:dyDescent="0.45">
      <c r="I2396" t="s">
        <v>226</v>
      </c>
      <c r="J2396" t="s">
        <v>543</v>
      </c>
      <c r="K2396">
        <v>1.8987708569319799E-2</v>
      </c>
      <c r="L2396" t="s">
        <v>162</v>
      </c>
      <c r="N2396" t="s">
        <v>338</v>
      </c>
      <c r="O2396" t="s">
        <v>543</v>
      </c>
      <c r="P2396">
        <v>1.9626068186614821E-2</v>
      </c>
      <c r="Q2396" t="s">
        <v>162</v>
      </c>
      <c r="S2396" t="s">
        <v>450</v>
      </c>
      <c r="T2396" t="s">
        <v>543</v>
      </c>
      <c r="U2396">
        <v>2.0350358378277641E-2</v>
      </c>
      <c r="V2396" t="s">
        <v>162</v>
      </c>
    </row>
    <row r="2397" spans="9:22" x14ac:dyDescent="0.45">
      <c r="I2397" t="s">
        <v>226</v>
      </c>
      <c r="J2397" t="s">
        <v>544</v>
      </c>
      <c r="K2397">
        <v>0</v>
      </c>
      <c r="L2397" t="s">
        <v>162</v>
      </c>
      <c r="N2397" t="s">
        <v>338</v>
      </c>
      <c r="O2397" t="s">
        <v>544</v>
      </c>
      <c r="P2397">
        <v>3.8651827453276008E-3</v>
      </c>
      <c r="Q2397" t="s">
        <v>162</v>
      </c>
      <c r="S2397" t="s">
        <v>450</v>
      </c>
      <c r="T2397" t="s">
        <v>544</v>
      </c>
      <c r="U2397">
        <v>4.0006475224572844E-3</v>
      </c>
      <c r="V2397" t="s">
        <v>162</v>
      </c>
    </row>
    <row r="2398" spans="9:22" x14ac:dyDescent="0.45">
      <c r="I2398" t="s">
        <v>226</v>
      </c>
      <c r="J2398" t="s">
        <v>545</v>
      </c>
      <c r="K2398">
        <v>0</v>
      </c>
      <c r="L2398" t="s">
        <v>162</v>
      </c>
      <c r="N2398" t="s">
        <v>338</v>
      </c>
      <c r="O2398" t="s">
        <v>545</v>
      </c>
      <c r="P2398">
        <v>2.2725047170581311E-2</v>
      </c>
      <c r="Q2398" t="s">
        <v>162</v>
      </c>
      <c r="S2398" t="s">
        <v>450</v>
      </c>
      <c r="T2398" t="s">
        <v>545</v>
      </c>
      <c r="U2398">
        <v>2.4131474931946201E-2</v>
      </c>
      <c r="V2398" t="s">
        <v>162</v>
      </c>
    </row>
    <row r="2399" spans="9:22" x14ac:dyDescent="0.45">
      <c r="I2399" t="s">
        <v>226</v>
      </c>
      <c r="J2399" t="s">
        <v>546</v>
      </c>
      <c r="K2399">
        <v>0</v>
      </c>
      <c r="L2399" t="s">
        <v>162</v>
      </c>
      <c r="N2399" t="s">
        <v>338</v>
      </c>
      <c r="O2399" t="s">
        <v>546</v>
      </c>
      <c r="P2399">
        <v>3.9048318951730498E-2</v>
      </c>
      <c r="Q2399" t="s">
        <v>162</v>
      </c>
      <c r="S2399" t="s">
        <v>450</v>
      </c>
      <c r="T2399" t="s">
        <v>546</v>
      </c>
      <c r="U2399">
        <v>3.3107941240864233E-2</v>
      </c>
      <c r="V2399" t="s">
        <v>162</v>
      </c>
    </row>
    <row r="2400" spans="9:22" x14ac:dyDescent="0.45">
      <c r="I2400" t="s">
        <v>226</v>
      </c>
      <c r="J2400" t="s">
        <v>547</v>
      </c>
      <c r="K2400">
        <v>2.4286369110922709E-4</v>
      </c>
      <c r="L2400" t="s">
        <v>162</v>
      </c>
      <c r="N2400" t="s">
        <v>338</v>
      </c>
      <c r="O2400" t="s">
        <v>547</v>
      </c>
      <c r="P2400">
        <v>4.0914989196448185E-3</v>
      </c>
      <c r="Q2400" t="s">
        <v>162</v>
      </c>
      <c r="S2400" t="s">
        <v>450</v>
      </c>
      <c r="T2400" t="s">
        <v>547</v>
      </c>
      <c r="U2400">
        <v>3.8778414001565172E-3</v>
      </c>
      <c r="V2400" t="s">
        <v>162</v>
      </c>
    </row>
    <row r="2401" spans="9:22" x14ac:dyDescent="0.45">
      <c r="I2401" t="s">
        <v>226</v>
      </c>
      <c r="J2401" t="s">
        <v>548</v>
      </c>
      <c r="K2401">
        <v>5.8890382738739965E-3</v>
      </c>
      <c r="L2401" t="s">
        <v>162</v>
      </c>
      <c r="N2401" t="s">
        <v>338</v>
      </c>
      <c r="O2401" t="s">
        <v>548</v>
      </c>
      <c r="P2401">
        <v>8.0048987754463563E-3</v>
      </c>
      <c r="Q2401" t="s">
        <v>162</v>
      </c>
      <c r="S2401" t="s">
        <v>450</v>
      </c>
      <c r="T2401" t="s">
        <v>548</v>
      </c>
      <c r="U2401">
        <v>7.6254468042841706E-3</v>
      </c>
      <c r="V2401" t="s">
        <v>162</v>
      </c>
    </row>
    <row r="2402" spans="9:22" x14ac:dyDescent="0.45">
      <c r="I2402" t="s">
        <v>226</v>
      </c>
      <c r="J2402" t="s">
        <v>549</v>
      </c>
      <c r="K2402">
        <v>1.2187215174322408E-2</v>
      </c>
      <c r="L2402" t="s">
        <v>162</v>
      </c>
      <c r="N2402" t="s">
        <v>338</v>
      </c>
      <c r="O2402" t="s">
        <v>549</v>
      </c>
      <c r="P2402">
        <v>1.9418144144638272E-2</v>
      </c>
      <c r="Q2402" t="s">
        <v>162</v>
      </c>
      <c r="S2402" t="s">
        <v>450</v>
      </c>
      <c r="T2402" t="s">
        <v>549</v>
      </c>
      <c r="U2402">
        <v>1.9228516993066335E-2</v>
      </c>
      <c r="V2402" t="s">
        <v>162</v>
      </c>
    </row>
    <row r="2403" spans="9:22" x14ac:dyDescent="0.45">
      <c r="I2403" t="s">
        <v>226</v>
      </c>
      <c r="J2403" t="s">
        <v>550</v>
      </c>
      <c r="K2403">
        <v>0</v>
      </c>
      <c r="L2403" t="s">
        <v>162</v>
      </c>
      <c r="N2403" t="s">
        <v>338</v>
      </c>
      <c r="O2403" t="s">
        <v>550</v>
      </c>
      <c r="P2403">
        <v>3.9351139588124353E-3</v>
      </c>
      <c r="Q2403" t="s">
        <v>162</v>
      </c>
      <c r="S2403" t="s">
        <v>450</v>
      </c>
      <c r="T2403" t="s">
        <v>550</v>
      </c>
      <c r="U2403">
        <v>3.9510204326837928E-3</v>
      </c>
      <c r="V2403" t="s">
        <v>162</v>
      </c>
    </row>
    <row r="2404" spans="9:22" x14ac:dyDescent="0.45">
      <c r="I2404" t="s">
        <v>226</v>
      </c>
      <c r="J2404" t="s">
        <v>551</v>
      </c>
      <c r="K2404">
        <v>0</v>
      </c>
      <c r="L2404" t="s">
        <v>162</v>
      </c>
      <c r="N2404" t="s">
        <v>338</v>
      </c>
      <c r="O2404" t="s">
        <v>551</v>
      </c>
      <c r="P2404">
        <v>2.5955204549744579E-2</v>
      </c>
      <c r="Q2404" t="s">
        <v>162</v>
      </c>
      <c r="S2404" t="s">
        <v>450</v>
      </c>
      <c r="T2404" t="s">
        <v>551</v>
      </c>
      <c r="U2404">
        <v>2.2587212499278392E-2</v>
      </c>
      <c r="V2404" t="s">
        <v>162</v>
      </c>
    </row>
    <row r="2405" spans="9:22" x14ac:dyDescent="0.45">
      <c r="I2405" t="s">
        <v>227</v>
      </c>
      <c r="J2405" t="s">
        <v>161</v>
      </c>
      <c r="K2405">
        <v>0</v>
      </c>
      <c r="L2405" t="s">
        <v>162</v>
      </c>
      <c r="N2405" t="s">
        <v>339</v>
      </c>
      <c r="O2405" t="s">
        <v>161</v>
      </c>
      <c r="P2405">
        <v>3.8127794347743854E-2</v>
      </c>
      <c r="Q2405" t="s">
        <v>162</v>
      </c>
      <c r="S2405" t="s">
        <v>451</v>
      </c>
      <c r="T2405" t="s">
        <v>161</v>
      </c>
      <c r="U2405">
        <v>1.9510259075309972E-2</v>
      </c>
      <c r="V2405" t="s">
        <v>162</v>
      </c>
    </row>
    <row r="2406" spans="9:22" x14ac:dyDescent="0.45">
      <c r="I2406" t="s">
        <v>227</v>
      </c>
      <c r="J2406" t="s">
        <v>163</v>
      </c>
      <c r="K2406">
        <v>2.8457805352552841E-3</v>
      </c>
      <c r="L2406" t="s">
        <v>162</v>
      </c>
      <c r="N2406" t="s">
        <v>339</v>
      </c>
      <c r="O2406" t="s">
        <v>163</v>
      </c>
      <c r="P2406">
        <v>4.029399312843086E-3</v>
      </c>
      <c r="Q2406" t="s">
        <v>162</v>
      </c>
      <c r="S2406" t="s">
        <v>451</v>
      </c>
      <c r="T2406" t="s">
        <v>163</v>
      </c>
      <c r="U2406">
        <v>2.0616056817558685E-3</v>
      </c>
      <c r="V2406" t="s">
        <v>162</v>
      </c>
    </row>
    <row r="2407" spans="9:22" x14ac:dyDescent="0.45">
      <c r="I2407" t="s">
        <v>227</v>
      </c>
      <c r="J2407" t="s">
        <v>164</v>
      </c>
      <c r="K2407">
        <v>1.0487028800523079E-2</v>
      </c>
      <c r="L2407" t="s">
        <v>162</v>
      </c>
      <c r="N2407" t="s">
        <v>339</v>
      </c>
      <c r="O2407" t="s">
        <v>164</v>
      </c>
      <c r="P2407">
        <v>7.9322058967677637E-3</v>
      </c>
      <c r="Q2407" t="s">
        <v>162</v>
      </c>
      <c r="S2407" t="s">
        <v>451</v>
      </c>
      <c r="T2407" t="s">
        <v>164</v>
      </c>
      <c r="U2407">
        <v>4.1242760465603143E-3</v>
      </c>
      <c r="V2407" t="s">
        <v>162</v>
      </c>
    </row>
    <row r="2408" spans="9:22" x14ac:dyDescent="0.45">
      <c r="I2408" t="s">
        <v>227</v>
      </c>
      <c r="J2408" t="s">
        <v>519</v>
      </c>
      <c r="K2408">
        <v>2.1904672721239922E-2</v>
      </c>
      <c r="L2408" t="s">
        <v>162</v>
      </c>
      <c r="N2408" t="s">
        <v>339</v>
      </c>
      <c r="O2408" t="s">
        <v>519</v>
      </c>
      <c r="P2408">
        <v>2.0446309988929556E-2</v>
      </c>
      <c r="Q2408" t="s">
        <v>162</v>
      </c>
      <c r="S2408" t="s">
        <v>451</v>
      </c>
      <c r="T2408" t="s">
        <v>519</v>
      </c>
      <c r="U2408">
        <v>1.0643420856269663E-2</v>
      </c>
      <c r="V2408" t="s">
        <v>162</v>
      </c>
    </row>
    <row r="2409" spans="9:22" x14ac:dyDescent="0.45">
      <c r="I2409" t="s">
        <v>227</v>
      </c>
      <c r="J2409" t="s">
        <v>520</v>
      </c>
      <c r="K2409">
        <v>0</v>
      </c>
      <c r="L2409" t="s">
        <v>162</v>
      </c>
      <c r="N2409" t="s">
        <v>339</v>
      </c>
      <c r="O2409" t="s">
        <v>520</v>
      </c>
      <c r="P2409">
        <v>4.4656045601052441E-3</v>
      </c>
      <c r="Q2409" t="s">
        <v>162</v>
      </c>
      <c r="S2409" t="s">
        <v>451</v>
      </c>
      <c r="T2409" t="s">
        <v>520</v>
      </c>
      <c r="U2409">
        <v>2.1597250864059292E-3</v>
      </c>
      <c r="V2409" t="s">
        <v>162</v>
      </c>
    </row>
    <row r="2410" spans="9:22" x14ac:dyDescent="0.45">
      <c r="I2410" t="s">
        <v>227</v>
      </c>
      <c r="J2410" t="s">
        <v>521</v>
      </c>
      <c r="K2410">
        <v>0</v>
      </c>
      <c r="L2410" t="s">
        <v>162</v>
      </c>
      <c r="N2410" t="s">
        <v>339</v>
      </c>
      <c r="O2410" t="s">
        <v>521</v>
      </c>
      <c r="P2410">
        <v>2.6745150887297221E-2</v>
      </c>
      <c r="Q2410" t="s">
        <v>162</v>
      </c>
      <c r="S2410" t="s">
        <v>451</v>
      </c>
      <c r="T2410" t="s">
        <v>521</v>
      </c>
      <c r="U2410">
        <v>1.3069147949263686E-2</v>
      </c>
      <c r="V2410" t="s">
        <v>162</v>
      </c>
    </row>
    <row r="2411" spans="9:22" x14ac:dyDescent="0.45">
      <c r="I2411" t="s">
        <v>227</v>
      </c>
      <c r="J2411" t="s">
        <v>165</v>
      </c>
      <c r="K2411">
        <v>1.4840142392644397E-2</v>
      </c>
      <c r="L2411" t="s">
        <v>162</v>
      </c>
      <c r="N2411" t="s">
        <v>339</v>
      </c>
      <c r="O2411" t="s">
        <v>165</v>
      </c>
      <c r="P2411">
        <v>7.1347138471509211E-2</v>
      </c>
      <c r="Q2411" t="s">
        <v>162</v>
      </c>
      <c r="S2411" t="s">
        <v>451</v>
      </c>
      <c r="T2411" t="s">
        <v>165</v>
      </c>
      <c r="U2411">
        <v>5.0484052251224425E-2</v>
      </c>
      <c r="V2411" t="s">
        <v>162</v>
      </c>
    </row>
    <row r="2412" spans="9:22" x14ac:dyDescent="0.45">
      <c r="I2412" t="s">
        <v>227</v>
      </c>
      <c r="J2412" t="s">
        <v>166</v>
      </c>
      <c r="K2412">
        <v>1.5953253738246499E-2</v>
      </c>
      <c r="L2412" t="s">
        <v>162</v>
      </c>
      <c r="N2412" t="s">
        <v>339</v>
      </c>
      <c r="O2412" t="s">
        <v>166</v>
      </c>
      <c r="P2412">
        <v>7.7449781092699087E-3</v>
      </c>
      <c r="Q2412" t="s">
        <v>162</v>
      </c>
      <c r="S2412" t="s">
        <v>451</v>
      </c>
      <c r="T2412" t="s">
        <v>166</v>
      </c>
      <c r="U2412">
        <v>5.3929982140858588E-3</v>
      </c>
      <c r="V2412" t="s">
        <v>162</v>
      </c>
    </row>
    <row r="2413" spans="9:22" x14ac:dyDescent="0.45">
      <c r="I2413" t="s">
        <v>227</v>
      </c>
      <c r="J2413" t="s">
        <v>167</v>
      </c>
      <c r="K2413">
        <v>3.9150384579015728E-2</v>
      </c>
      <c r="L2413" t="s">
        <v>162</v>
      </c>
      <c r="N2413" t="s">
        <v>339</v>
      </c>
      <c r="O2413" t="s">
        <v>167</v>
      </c>
      <c r="P2413">
        <v>1.5130835534979474E-2</v>
      </c>
      <c r="Q2413" t="s">
        <v>162</v>
      </c>
      <c r="S2413" t="s">
        <v>451</v>
      </c>
      <c r="T2413" t="s">
        <v>167</v>
      </c>
      <c r="U2413">
        <v>1.0306740547594994E-2</v>
      </c>
      <c r="V2413" t="s">
        <v>162</v>
      </c>
    </row>
    <row r="2414" spans="9:22" x14ac:dyDescent="0.45">
      <c r="I2414" t="s">
        <v>227</v>
      </c>
      <c r="J2414" t="s">
        <v>522</v>
      </c>
      <c r="K2414">
        <v>8.7161633383634321E-2</v>
      </c>
      <c r="L2414" t="s">
        <v>162</v>
      </c>
      <c r="N2414" t="s">
        <v>339</v>
      </c>
      <c r="O2414" t="s">
        <v>522</v>
      </c>
      <c r="P2414">
        <v>3.7722241023113286E-2</v>
      </c>
      <c r="Q2414" t="s">
        <v>162</v>
      </c>
      <c r="S2414" t="s">
        <v>451</v>
      </c>
      <c r="T2414" t="s">
        <v>522</v>
      </c>
      <c r="U2414">
        <v>2.5628890597345601E-2</v>
      </c>
      <c r="V2414" t="s">
        <v>162</v>
      </c>
    </row>
    <row r="2415" spans="9:22" x14ac:dyDescent="0.45">
      <c r="I2415" t="s">
        <v>227</v>
      </c>
      <c r="J2415" t="s">
        <v>523</v>
      </c>
      <c r="K2415">
        <v>8.0457468126625426E-3</v>
      </c>
      <c r="L2415" t="s">
        <v>162</v>
      </c>
      <c r="N2415" t="s">
        <v>339</v>
      </c>
      <c r="O2415" t="s">
        <v>523</v>
      </c>
      <c r="P2415">
        <v>7.9519284236224848E-3</v>
      </c>
      <c r="Q2415" t="s">
        <v>162</v>
      </c>
      <c r="S2415" t="s">
        <v>451</v>
      </c>
      <c r="T2415" t="s">
        <v>523</v>
      </c>
      <c r="U2415">
        <v>5.5723026010892881E-3</v>
      </c>
      <c r="V2415" t="s">
        <v>162</v>
      </c>
    </row>
    <row r="2416" spans="9:22" x14ac:dyDescent="0.45">
      <c r="I2416" t="s">
        <v>227</v>
      </c>
      <c r="J2416" t="s">
        <v>524</v>
      </c>
      <c r="K2416">
        <v>2.6553378493449761E-3</v>
      </c>
      <c r="L2416" t="s">
        <v>162</v>
      </c>
      <c r="N2416" t="s">
        <v>339</v>
      </c>
      <c r="O2416" t="s">
        <v>524</v>
      </c>
      <c r="P2416">
        <v>4.8608667003005812E-2</v>
      </c>
      <c r="Q2416" t="s">
        <v>162</v>
      </c>
      <c r="S2416" t="s">
        <v>451</v>
      </c>
      <c r="T2416" t="s">
        <v>524</v>
      </c>
      <c r="U2416">
        <v>3.3702175588208275E-2</v>
      </c>
      <c r="V2416" t="s">
        <v>162</v>
      </c>
    </row>
    <row r="2417" spans="9:22" x14ac:dyDescent="0.45">
      <c r="I2417" t="s">
        <v>227</v>
      </c>
      <c r="J2417" t="s">
        <v>168</v>
      </c>
      <c r="K2417">
        <v>1.8525494235625568E-2</v>
      </c>
      <c r="L2417" t="s">
        <v>162</v>
      </c>
      <c r="N2417" t="s">
        <v>339</v>
      </c>
      <c r="O2417" t="s">
        <v>168</v>
      </c>
      <c r="P2417">
        <v>2.9472665004936872E-2</v>
      </c>
      <c r="Q2417" t="s">
        <v>162</v>
      </c>
      <c r="S2417" t="s">
        <v>451</v>
      </c>
      <c r="T2417" t="s">
        <v>168</v>
      </c>
      <c r="U2417">
        <v>3.458909687914917E-2</v>
      </c>
      <c r="V2417" t="s">
        <v>162</v>
      </c>
    </row>
    <row r="2418" spans="9:22" x14ac:dyDescent="0.45">
      <c r="I2418" t="s">
        <v>227</v>
      </c>
      <c r="J2418" t="s">
        <v>169</v>
      </c>
      <c r="K2418">
        <v>1.0512102237906717E-2</v>
      </c>
      <c r="L2418" t="s">
        <v>162</v>
      </c>
      <c r="N2418" t="s">
        <v>339</v>
      </c>
      <c r="O2418" t="s">
        <v>169</v>
      </c>
      <c r="P2418">
        <v>3.1667008013263067E-3</v>
      </c>
      <c r="Q2418" t="s">
        <v>162</v>
      </c>
      <c r="S2418" t="s">
        <v>451</v>
      </c>
      <c r="T2418" t="s">
        <v>169</v>
      </c>
      <c r="U2418">
        <v>3.6814494596228552E-3</v>
      </c>
      <c r="V2418" t="s">
        <v>162</v>
      </c>
    </row>
    <row r="2419" spans="9:22" x14ac:dyDescent="0.45">
      <c r="I2419" t="s">
        <v>227</v>
      </c>
      <c r="J2419" t="s">
        <v>170</v>
      </c>
      <c r="K2419">
        <v>2.3930147680756932E-2</v>
      </c>
      <c r="L2419" t="s">
        <v>162</v>
      </c>
      <c r="N2419" t="s">
        <v>339</v>
      </c>
      <c r="O2419" t="s">
        <v>170</v>
      </c>
      <c r="P2419">
        <v>6.4201636508242586E-3</v>
      </c>
      <c r="Q2419" t="s">
        <v>162</v>
      </c>
      <c r="S2419" t="s">
        <v>451</v>
      </c>
      <c r="T2419" t="s">
        <v>170</v>
      </c>
      <c r="U2419">
        <v>7.3716855117645988E-3</v>
      </c>
      <c r="V2419" t="s">
        <v>162</v>
      </c>
    </row>
    <row r="2420" spans="9:22" x14ac:dyDescent="0.45">
      <c r="I2420" t="s">
        <v>227</v>
      </c>
      <c r="J2420" t="s">
        <v>525</v>
      </c>
      <c r="K2420">
        <v>5.6878763947616089E-2</v>
      </c>
      <c r="L2420" t="s">
        <v>162</v>
      </c>
      <c r="N2420" t="s">
        <v>339</v>
      </c>
      <c r="O2420" t="s">
        <v>525</v>
      </c>
      <c r="P2420">
        <v>1.6308979854617725E-2</v>
      </c>
      <c r="Q2420" t="s">
        <v>162</v>
      </c>
      <c r="S2420" t="s">
        <v>451</v>
      </c>
      <c r="T2420" t="s">
        <v>525</v>
      </c>
      <c r="U2420">
        <v>1.8164919250634737E-2</v>
      </c>
      <c r="V2420" t="s">
        <v>162</v>
      </c>
    </row>
    <row r="2421" spans="9:22" x14ac:dyDescent="0.45">
      <c r="I2421" t="s">
        <v>227</v>
      </c>
      <c r="J2421" t="s">
        <v>526</v>
      </c>
      <c r="K2421">
        <v>7.8997356810896185E-3</v>
      </c>
      <c r="L2421" t="s">
        <v>162</v>
      </c>
      <c r="N2421" t="s">
        <v>339</v>
      </c>
      <c r="O2421" t="s">
        <v>526</v>
      </c>
      <c r="P2421">
        <v>3.2850977387463495E-3</v>
      </c>
      <c r="Q2421" t="s">
        <v>162</v>
      </c>
      <c r="S2421" t="s">
        <v>451</v>
      </c>
      <c r="T2421" t="s">
        <v>526</v>
      </c>
      <c r="U2421">
        <v>3.7340508237539301E-3</v>
      </c>
      <c r="V2421" t="s">
        <v>162</v>
      </c>
    </row>
    <row r="2422" spans="9:22" x14ac:dyDescent="0.45">
      <c r="I2422" t="s">
        <v>227</v>
      </c>
      <c r="J2422" t="s">
        <v>527</v>
      </c>
      <c r="K2422">
        <v>6.5305119282499588E-3</v>
      </c>
      <c r="L2422" t="s">
        <v>162</v>
      </c>
      <c r="N2422" t="s">
        <v>339</v>
      </c>
      <c r="O2422" t="s">
        <v>527</v>
      </c>
      <c r="P2422">
        <v>2.0317772911566011E-2</v>
      </c>
      <c r="Q2422" t="s">
        <v>162</v>
      </c>
      <c r="S2422" t="s">
        <v>451</v>
      </c>
      <c r="T2422" t="s">
        <v>527</v>
      </c>
      <c r="U2422">
        <v>2.3969558093806818E-2</v>
      </c>
      <c r="V2422" t="s">
        <v>162</v>
      </c>
    </row>
    <row r="2423" spans="9:22" x14ac:dyDescent="0.45">
      <c r="I2423" t="s">
        <v>227</v>
      </c>
      <c r="J2423" t="s">
        <v>528</v>
      </c>
      <c r="K2423">
        <v>9.4995556924266714E-2</v>
      </c>
      <c r="L2423" t="s">
        <v>162</v>
      </c>
      <c r="N2423" t="s">
        <v>339</v>
      </c>
      <c r="O2423" t="s">
        <v>528</v>
      </c>
      <c r="P2423">
        <v>8.1772549764290367E-2</v>
      </c>
      <c r="Q2423" t="s">
        <v>162</v>
      </c>
      <c r="S2423" t="s">
        <v>451</v>
      </c>
      <c r="T2423" t="s">
        <v>528</v>
      </c>
      <c r="U2423">
        <v>7.8945338441520949E-2</v>
      </c>
      <c r="V2423" t="s">
        <v>162</v>
      </c>
    </row>
    <row r="2424" spans="9:22" x14ac:dyDescent="0.45">
      <c r="I2424" t="s">
        <v>227</v>
      </c>
      <c r="J2424" t="s">
        <v>529</v>
      </c>
      <c r="K2424">
        <v>3.3960497794456063E-2</v>
      </c>
      <c r="L2424" t="s">
        <v>162</v>
      </c>
      <c r="N2424" t="s">
        <v>339</v>
      </c>
      <c r="O2424" t="s">
        <v>529</v>
      </c>
      <c r="P2424">
        <v>8.203941418176347E-3</v>
      </c>
      <c r="Q2424" t="s">
        <v>162</v>
      </c>
      <c r="S2424" t="s">
        <v>451</v>
      </c>
      <c r="T2424" t="s">
        <v>529</v>
      </c>
      <c r="U2424">
        <v>8.145911615134737E-3</v>
      </c>
      <c r="V2424" t="s">
        <v>162</v>
      </c>
    </row>
    <row r="2425" spans="9:22" x14ac:dyDescent="0.45">
      <c r="I2425" t="s">
        <v>227</v>
      </c>
      <c r="J2425" t="s">
        <v>530</v>
      </c>
      <c r="K2425">
        <v>6.9598435322593896E-2</v>
      </c>
      <c r="L2425" t="s">
        <v>162</v>
      </c>
      <c r="N2425" t="s">
        <v>339</v>
      </c>
      <c r="O2425" t="s">
        <v>530</v>
      </c>
      <c r="P2425">
        <v>1.6732841433224954E-2</v>
      </c>
      <c r="Q2425" t="s">
        <v>162</v>
      </c>
      <c r="S2425" t="s">
        <v>451</v>
      </c>
      <c r="T2425" t="s">
        <v>530</v>
      </c>
      <c r="U2425">
        <v>1.665772018926507E-2</v>
      </c>
      <c r="V2425" t="s">
        <v>162</v>
      </c>
    </row>
    <row r="2426" spans="9:22" x14ac:dyDescent="0.45">
      <c r="I2426" t="s">
        <v>227</v>
      </c>
      <c r="J2426" t="s">
        <v>531</v>
      </c>
      <c r="K2426">
        <v>0.1526877592020521</v>
      </c>
      <c r="L2426" t="s">
        <v>162</v>
      </c>
      <c r="N2426" t="s">
        <v>339</v>
      </c>
      <c r="O2426" t="s">
        <v>531</v>
      </c>
      <c r="P2426">
        <v>4.5747618615593122E-2</v>
      </c>
      <c r="Q2426" t="s">
        <v>162</v>
      </c>
      <c r="S2426" t="s">
        <v>451</v>
      </c>
      <c r="T2426" t="s">
        <v>531</v>
      </c>
      <c r="U2426">
        <v>4.3163670707061563E-2</v>
      </c>
      <c r="V2426" t="s">
        <v>162</v>
      </c>
    </row>
    <row r="2427" spans="9:22" x14ac:dyDescent="0.45">
      <c r="I2427" t="s">
        <v>227</v>
      </c>
      <c r="J2427" t="s">
        <v>532</v>
      </c>
      <c r="K2427">
        <v>2.3325197368164501E-2</v>
      </c>
      <c r="L2427" t="s">
        <v>162</v>
      </c>
      <c r="N2427" t="s">
        <v>339</v>
      </c>
      <c r="O2427" t="s">
        <v>532</v>
      </c>
      <c r="P2427">
        <v>9.3919872031392893E-3</v>
      </c>
      <c r="Q2427" t="s">
        <v>162</v>
      </c>
      <c r="S2427" t="s">
        <v>451</v>
      </c>
      <c r="T2427" t="s">
        <v>532</v>
      </c>
      <c r="U2427">
        <v>8.7945111197871434E-3</v>
      </c>
      <c r="V2427" t="s">
        <v>162</v>
      </c>
    </row>
    <row r="2428" spans="9:22" x14ac:dyDescent="0.45">
      <c r="I2428" t="s">
        <v>227</v>
      </c>
      <c r="J2428" t="s">
        <v>533</v>
      </c>
      <c r="K2428">
        <v>3.8341930878504057E-2</v>
      </c>
      <c r="L2428" t="s">
        <v>162</v>
      </c>
      <c r="N2428" t="s">
        <v>339</v>
      </c>
      <c r="O2428" t="s">
        <v>533</v>
      </c>
      <c r="P2428">
        <v>5.6294457783566856E-2</v>
      </c>
      <c r="Q2428" t="s">
        <v>162</v>
      </c>
      <c r="S2428" t="s">
        <v>451</v>
      </c>
      <c r="T2428" t="s">
        <v>533</v>
      </c>
      <c r="U2428">
        <v>5.4774262097752421E-2</v>
      </c>
      <c r="V2428" t="s">
        <v>162</v>
      </c>
    </row>
    <row r="2429" spans="9:22" x14ac:dyDescent="0.45">
      <c r="I2429" t="s">
        <v>227</v>
      </c>
      <c r="J2429" t="s">
        <v>534</v>
      </c>
      <c r="K2429">
        <v>3.8248817728986591E-2</v>
      </c>
      <c r="L2429" t="s">
        <v>162</v>
      </c>
      <c r="N2429" t="s">
        <v>339</v>
      </c>
      <c r="O2429" t="s">
        <v>534</v>
      </c>
      <c r="P2429">
        <v>8.4833217884879533E-2</v>
      </c>
      <c r="Q2429" t="s">
        <v>162</v>
      </c>
      <c r="S2429" t="s">
        <v>451</v>
      </c>
      <c r="T2429" t="s">
        <v>534</v>
      </c>
      <c r="U2429">
        <v>0.11945650150734156</v>
      </c>
      <c r="V2429" t="s">
        <v>162</v>
      </c>
    </row>
    <row r="2430" spans="9:22" x14ac:dyDescent="0.45">
      <c r="I2430" t="s">
        <v>227</v>
      </c>
      <c r="J2430" t="s">
        <v>535</v>
      </c>
      <c r="K2430">
        <v>2.0090218266579737E-2</v>
      </c>
      <c r="L2430" t="s">
        <v>162</v>
      </c>
      <c r="N2430" t="s">
        <v>339</v>
      </c>
      <c r="O2430" t="s">
        <v>535</v>
      </c>
      <c r="P2430">
        <v>8.499549920660366E-3</v>
      </c>
      <c r="Q2430" t="s">
        <v>162</v>
      </c>
      <c r="S2430" t="s">
        <v>451</v>
      </c>
      <c r="T2430" t="s">
        <v>535</v>
      </c>
      <c r="U2430">
        <v>1.3368969490167694E-2</v>
      </c>
      <c r="V2430" t="s">
        <v>162</v>
      </c>
    </row>
    <row r="2431" spans="9:22" x14ac:dyDescent="0.45">
      <c r="I2431" t="s">
        <v>227</v>
      </c>
      <c r="J2431" t="s">
        <v>536</v>
      </c>
      <c r="K2431">
        <v>4.1671724787490955E-2</v>
      </c>
      <c r="L2431" t="s">
        <v>162</v>
      </c>
      <c r="N2431" t="s">
        <v>339</v>
      </c>
      <c r="O2431" t="s">
        <v>536</v>
      </c>
      <c r="P2431">
        <v>1.710596473157739E-2</v>
      </c>
      <c r="Q2431" t="s">
        <v>162</v>
      </c>
      <c r="S2431" t="s">
        <v>451</v>
      </c>
      <c r="T2431" t="s">
        <v>536</v>
      </c>
      <c r="U2431">
        <v>2.6639656209439908E-2</v>
      </c>
      <c r="V2431" t="s">
        <v>162</v>
      </c>
    </row>
    <row r="2432" spans="9:22" x14ac:dyDescent="0.45">
      <c r="I2432" t="s">
        <v>227</v>
      </c>
      <c r="J2432" t="s">
        <v>537</v>
      </c>
      <c r="K2432">
        <v>8.7762630461695301E-2</v>
      </c>
      <c r="L2432" t="s">
        <v>162</v>
      </c>
      <c r="N2432" t="s">
        <v>339</v>
      </c>
      <c r="O2432" t="s">
        <v>537</v>
      </c>
      <c r="P2432">
        <v>4.6728507682706324E-2</v>
      </c>
      <c r="Q2432" t="s">
        <v>162</v>
      </c>
      <c r="S2432" t="s">
        <v>451</v>
      </c>
      <c r="T2432" t="s">
        <v>537</v>
      </c>
      <c r="U2432">
        <v>6.6867913607997709E-2</v>
      </c>
      <c r="V2432" t="s">
        <v>162</v>
      </c>
    </row>
    <row r="2433" spans="9:22" x14ac:dyDescent="0.45">
      <c r="I2433" t="s">
        <v>227</v>
      </c>
      <c r="J2433" t="s">
        <v>538</v>
      </c>
      <c r="K2433">
        <v>1.0910082016304513E-2</v>
      </c>
      <c r="L2433" t="s">
        <v>162</v>
      </c>
      <c r="N2433" t="s">
        <v>339</v>
      </c>
      <c r="O2433" t="s">
        <v>538</v>
      </c>
      <c r="P2433">
        <v>9.8013767596231167E-3</v>
      </c>
      <c r="Q2433" t="s">
        <v>162</v>
      </c>
      <c r="S2433" t="s">
        <v>451</v>
      </c>
      <c r="T2433" t="s">
        <v>538</v>
      </c>
      <c r="U2433">
        <v>1.368392705419103E-2</v>
      </c>
      <c r="V2433" t="s">
        <v>162</v>
      </c>
    </row>
    <row r="2434" spans="9:22" x14ac:dyDescent="0.45">
      <c r="I2434" t="s">
        <v>227</v>
      </c>
      <c r="J2434" t="s">
        <v>539</v>
      </c>
      <c r="K2434">
        <v>1.0546061014086899E-2</v>
      </c>
      <c r="L2434" t="s">
        <v>162</v>
      </c>
      <c r="N2434" t="s">
        <v>339</v>
      </c>
      <c r="O2434" t="s">
        <v>539</v>
      </c>
      <c r="P2434">
        <v>5.9774867961060921E-2</v>
      </c>
      <c r="Q2434" t="s">
        <v>162</v>
      </c>
      <c r="S2434" t="s">
        <v>451</v>
      </c>
      <c r="T2434" t="s">
        <v>539</v>
      </c>
      <c r="U2434">
        <v>8.335533711257935E-2</v>
      </c>
      <c r="V2434" t="s">
        <v>162</v>
      </c>
    </row>
    <row r="2435" spans="9:22" x14ac:dyDescent="0.45">
      <c r="I2435" t="s">
        <v>227</v>
      </c>
      <c r="J2435" t="s">
        <v>540</v>
      </c>
      <c r="K2435">
        <v>3.7262193558831083E-4</v>
      </c>
      <c r="L2435" t="s">
        <v>162</v>
      </c>
      <c r="N2435" t="s">
        <v>339</v>
      </c>
      <c r="O2435" t="s">
        <v>540</v>
      </c>
      <c r="P2435">
        <v>3.2095889657042201E-2</v>
      </c>
      <c r="Q2435" t="s">
        <v>162</v>
      </c>
      <c r="S2435" t="s">
        <v>451</v>
      </c>
      <c r="T2435" t="s">
        <v>540</v>
      </c>
      <c r="U2435">
        <v>4.0529327108686695E-2</v>
      </c>
      <c r="V2435" t="s">
        <v>162</v>
      </c>
    </row>
    <row r="2436" spans="9:22" x14ac:dyDescent="0.45">
      <c r="I2436" t="s">
        <v>227</v>
      </c>
      <c r="J2436" t="s">
        <v>541</v>
      </c>
      <c r="K2436">
        <v>2.0707325423533754E-3</v>
      </c>
      <c r="L2436" t="s">
        <v>162</v>
      </c>
      <c r="N2436" t="s">
        <v>339</v>
      </c>
      <c r="O2436" t="s">
        <v>541</v>
      </c>
      <c r="P2436">
        <v>3.7012740703678869E-3</v>
      </c>
      <c r="Q2436" t="s">
        <v>162</v>
      </c>
      <c r="S2436" t="s">
        <v>451</v>
      </c>
      <c r="T2436" t="s">
        <v>541</v>
      </c>
      <c r="U2436">
        <v>4.6177733797132846E-3</v>
      </c>
      <c r="V2436" t="s">
        <v>162</v>
      </c>
    </row>
    <row r="2437" spans="9:22" x14ac:dyDescent="0.45">
      <c r="I2437" t="s">
        <v>227</v>
      </c>
      <c r="J2437" t="s">
        <v>542</v>
      </c>
      <c r="K2437">
        <v>6.9260240131271914E-3</v>
      </c>
      <c r="L2437" t="s">
        <v>162</v>
      </c>
      <c r="N2437" t="s">
        <v>339</v>
      </c>
      <c r="O2437" t="s">
        <v>542</v>
      </c>
      <c r="P2437">
        <v>7.4896214008827898E-3</v>
      </c>
      <c r="Q2437" t="s">
        <v>162</v>
      </c>
      <c r="S2437" t="s">
        <v>451</v>
      </c>
      <c r="T2437" t="s">
        <v>542</v>
      </c>
      <c r="U2437">
        <v>9.0800447818080252E-3</v>
      </c>
      <c r="V2437" t="s">
        <v>162</v>
      </c>
    </row>
    <row r="2438" spans="9:22" x14ac:dyDescent="0.45">
      <c r="I2438" t="s">
        <v>227</v>
      </c>
      <c r="J2438" t="s">
        <v>543</v>
      </c>
      <c r="K2438">
        <v>1.1478864965041441E-2</v>
      </c>
      <c r="L2438" t="s">
        <v>162</v>
      </c>
      <c r="N2438" t="s">
        <v>339</v>
      </c>
      <c r="O2438" t="s">
        <v>543</v>
      </c>
      <c r="P2438">
        <v>1.9610864080992357E-2</v>
      </c>
      <c r="Q2438" t="s">
        <v>162</v>
      </c>
      <c r="S2438" t="s">
        <v>451</v>
      </c>
      <c r="T2438" t="s">
        <v>543</v>
      </c>
      <c r="U2438">
        <v>2.2033740882581053E-2</v>
      </c>
      <c r="V2438" t="s">
        <v>162</v>
      </c>
    </row>
    <row r="2439" spans="9:22" x14ac:dyDescent="0.45">
      <c r="I2439" t="s">
        <v>227</v>
      </c>
      <c r="J2439" t="s">
        <v>544</v>
      </c>
      <c r="K2439">
        <v>0</v>
      </c>
      <c r="L2439" t="s">
        <v>162</v>
      </c>
      <c r="N2439" t="s">
        <v>339</v>
      </c>
      <c r="O2439" t="s">
        <v>544</v>
      </c>
      <c r="P2439">
        <v>4.0057811900883721E-3</v>
      </c>
      <c r="Q2439" t="s">
        <v>162</v>
      </c>
      <c r="S2439" t="s">
        <v>451</v>
      </c>
      <c r="T2439" t="s">
        <v>544</v>
      </c>
      <c r="U2439">
        <v>4.2462496044091162E-3</v>
      </c>
      <c r="V2439" t="s">
        <v>162</v>
      </c>
    </row>
    <row r="2440" spans="9:22" x14ac:dyDescent="0.45">
      <c r="I2440" t="s">
        <v>227</v>
      </c>
      <c r="J2440" t="s">
        <v>545</v>
      </c>
      <c r="K2440">
        <v>0</v>
      </c>
      <c r="L2440" t="s">
        <v>162</v>
      </c>
      <c r="N2440" t="s">
        <v>339</v>
      </c>
      <c r="O2440" t="s">
        <v>545</v>
      </c>
      <c r="P2440">
        <v>2.3396880550623729E-2</v>
      </c>
      <c r="Q2440" t="s">
        <v>162</v>
      </c>
      <c r="S2440" t="s">
        <v>451</v>
      </c>
      <c r="T2440" t="s">
        <v>545</v>
      </c>
      <c r="U2440">
        <v>2.4834019754410113E-2</v>
      </c>
      <c r="V2440" t="s">
        <v>162</v>
      </c>
    </row>
    <row r="2441" spans="9:22" x14ac:dyDescent="0.45">
      <c r="I2441" t="s">
        <v>227</v>
      </c>
      <c r="J2441" t="s">
        <v>546</v>
      </c>
      <c r="K2441">
        <v>0</v>
      </c>
      <c r="L2441" t="s">
        <v>162</v>
      </c>
      <c r="N2441" t="s">
        <v>339</v>
      </c>
      <c r="O2441" t="s">
        <v>546</v>
      </c>
      <c r="P2441">
        <v>3.6608179899673028E-2</v>
      </c>
      <c r="Q2441" t="s">
        <v>162</v>
      </c>
      <c r="S2441" t="s">
        <v>451</v>
      </c>
      <c r="T2441" t="s">
        <v>546</v>
      </c>
      <c r="U2441">
        <v>3.1246638649110915E-2</v>
      </c>
      <c r="V2441" t="s">
        <v>162</v>
      </c>
    </row>
    <row r="2442" spans="9:22" x14ac:dyDescent="0.45">
      <c r="I2442" t="s">
        <v>227</v>
      </c>
      <c r="J2442" t="s">
        <v>547</v>
      </c>
      <c r="K2442">
        <v>2.0273341054811286E-3</v>
      </c>
      <c r="L2442" t="s">
        <v>162</v>
      </c>
      <c r="N2442" t="s">
        <v>339</v>
      </c>
      <c r="O2442" t="s">
        <v>547</v>
      </c>
      <c r="P2442">
        <v>4.0645132950512019E-3</v>
      </c>
      <c r="Q2442" t="s">
        <v>162</v>
      </c>
      <c r="S2442" t="s">
        <v>451</v>
      </c>
      <c r="T2442" t="s">
        <v>547</v>
      </c>
      <c r="U2442">
        <v>3.4151147699375056E-3</v>
      </c>
      <c r="V2442" t="s">
        <v>162</v>
      </c>
    </row>
    <row r="2443" spans="9:22" x14ac:dyDescent="0.45">
      <c r="I2443" t="s">
        <v>227</v>
      </c>
      <c r="J2443" t="s">
        <v>548</v>
      </c>
      <c r="K2443">
        <v>1.0650391374540095E-2</v>
      </c>
      <c r="L2443" t="s">
        <v>162</v>
      </c>
      <c r="N2443" t="s">
        <v>339</v>
      </c>
      <c r="O2443" t="s">
        <v>548</v>
      </c>
      <c r="P2443">
        <v>7.9103275051346875E-3</v>
      </c>
      <c r="Q2443" t="s">
        <v>162</v>
      </c>
      <c r="S2443" t="s">
        <v>451</v>
      </c>
      <c r="T2443" t="s">
        <v>548</v>
      </c>
      <c r="U2443">
        <v>6.9447204258580369E-3</v>
      </c>
      <c r="V2443" t="s">
        <v>162</v>
      </c>
    </row>
    <row r="2444" spans="9:22" x14ac:dyDescent="0.45">
      <c r="I2444" t="s">
        <v>227</v>
      </c>
      <c r="J2444" t="s">
        <v>549</v>
      </c>
      <c r="K2444">
        <v>1.7014382774873282E-2</v>
      </c>
      <c r="L2444" t="s">
        <v>162</v>
      </c>
      <c r="N2444" t="s">
        <v>339</v>
      </c>
      <c r="O2444" t="s">
        <v>549</v>
      </c>
      <c r="P2444">
        <v>1.9009418713095624E-2</v>
      </c>
      <c r="Q2444" t="s">
        <v>162</v>
      </c>
      <c r="S2444" t="s">
        <v>451</v>
      </c>
      <c r="T2444" t="s">
        <v>549</v>
      </c>
      <c r="U2444">
        <v>1.7907893568109789E-2</v>
      </c>
      <c r="V2444" t="s">
        <v>162</v>
      </c>
    </row>
    <row r="2445" spans="9:22" x14ac:dyDescent="0.45">
      <c r="I2445" t="s">
        <v>227</v>
      </c>
      <c r="J2445" t="s">
        <v>550</v>
      </c>
      <c r="K2445">
        <v>0</v>
      </c>
      <c r="L2445" t="s">
        <v>162</v>
      </c>
      <c r="N2445" t="s">
        <v>339</v>
      </c>
      <c r="O2445" t="s">
        <v>550</v>
      </c>
      <c r="P2445">
        <v>3.9376025896215947E-3</v>
      </c>
      <c r="Q2445" t="s">
        <v>162</v>
      </c>
      <c r="S2445" t="s">
        <v>451</v>
      </c>
      <c r="T2445" t="s">
        <v>550</v>
      </c>
      <c r="U2445">
        <v>3.8226287229665258E-3</v>
      </c>
      <c r="V2445" t="s">
        <v>162</v>
      </c>
    </row>
    <row r="2446" spans="9:22" x14ac:dyDescent="0.45">
      <c r="I2446" t="s">
        <v>227</v>
      </c>
      <c r="J2446" t="s">
        <v>551</v>
      </c>
      <c r="K2446">
        <v>0</v>
      </c>
      <c r="L2446" t="s">
        <v>162</v>
      </c>
      <c r="N2446" t="s">
        <v>339</v>
      </c>
      <c r="O2446" t="s">
        <v>551</v>
      </c>
      <c r="P2446">
        <v>2.4059132367723498E-2</v>
      </c>
      <c r="Q2446" t="s">
        <v>162</v>
      </c>
      <c r="S2446" t="s">
        <v>451</v>
      </c>
      <c r="T2446" t="s">
        <v>551</v>
      </c>
      <c r="U2446">
        <v>2.3301774686324404E-2</v>
      </c>
      <c r="V2446" t="s">
        <v>162</v>
      </c>
    </row>
    <row r="2447" spans="9:22" x14ac:dyDescent="0.45">
      <c r="I2447" t="s">
        <v>228</v>
      </c>
      <c r="J2447" t="s">
        <v>161</v>
      </c>
      <c r="K2447">
        <v>4.7836975857851646E-5</v>
      </c>
      <c r="L2447" t="s">
        <v>162</v>
      </c>
      <c r="N2447" t="s">
        <v>340</v>
      </c>
      <c r="O2447" t="s">
        <v>161</v>
      </c>
      <c r="P2447">
        <v>4.4813834675901387E-2</v>
      </c>
      <c r="Q2447" t="s">
        <v>162</v>
      </c>
      <c r="S2447" t="s">
        <v>452</v>
      </c>
      <c r="T2447" t="s">
        <v>161</v>
      </c>
      <c r="U2447">
        <v>2.3918512894776707E-2</v>
      </c>
      <c r="V2447" t="s">
        <v>162</v>
      </c>
    </row>
    <row r="2448" spans="9:22" x14ac:dyDescent="0.45">
      <c r="I2448" t="s">
        <v>228</v>
      </c>
      <c r="J2448" t="s">
        <v>163</v>
      </c>
      <c r="K2448">
        <v>4.0536422481512605E-3</v>
      </c>
      <c r="L2448" t="s">
        <v>162</v>
      </c>
      <c r="N2448" t="s">
        <v>340</v>
      </c>
      <c r="O2448" t="s">
        <v>163</v>
      </c>
      <c r="P2448">
        <v>4.5713963915853823E-3</v>
      </c>
      <c r="Q2448" t="s">
        <v>162</v>
      </c>
      <c r="S2448" t="s">
        <v>452</v>
      </c>
      <c r="T2448" t="s">
        <v>163</v>
      </c>
      <c r="U2448">
        <v>2.595050436295094E-3</v>
      </c>
      <c r="V2448" t="s">
        <v>162</v>
      </c>
    </row>
    <row r="2449" spans="9:22" x14ac:dyDescent="0.45">
      <c r="I2449" t="s">
        <v>228</v>
      </c>
      <c r="J2449" t="s">
        <v>164</v>
      </c>
      <c r="K2449">
        <v>1.2510968788241027E-2</v>
      </c>
      <c r="L2449" t="s">
        <v>162</v>
      </c>
      <c r="N2449" t="s">
        <v>340</v>
      </c>
      <c r="O2449" t="s">
        <v>164</v>
      </c>
      <c r="P2449">
        <v>8.7837001359982441E-3</v>
      </c>
      <c r="Q2449" t="s">
        <v>162</v>
      </c>
      <c r="S2449" t="s">
        <v>452</v>
      </c>
      <c r="T2449" t="s">
        <v>164</v>
      </c>
      <c r="U2449">
        <v>5.3471660837657161E-3</v>
      </c>
      <c r="V2449" t="s">
        <v>162</v>
      </c>
    </row>
    <row r="2450" spans="9:22" x14ac:dyDescent="0.45">
      <c r="I2450" t="s">
        <v>228</v>
      </c>
      <c r="J2450" t="s">
        <v>519</v>
      </c>
      <c r="K2450">
        <v>2.2631142258741667E-2</v>
      </c>
      <c r="L2450" t="s">
        <v>162</v>
      </c>
      <c r="N2450" t="s">
        <v>340</v>
      </c>
      <c r="O2450" t="s">
        <v>519</v>
      </c>
      <c r="P2450">
        <v>2.2934607595332241E-2</v>
      </c>
      <c r="Q2450" t="s">
        <v>162</v>
      </c>
      <c r="S2450" t="s">
        <v>452</v>
      </c>
      <c r="T2450" t="s">
        <v>519</v>
      </c>
      <c r="U2450">
        <v>1.374453815353802E-2</v>
      </c>
      <c r="V2450" t="s">
        <v>162</v>
      </c>
    </row>
    <row r="2451" spans="9:22" x14ac:dyDescent="0.45">
      <c r="I2451" t="s">
        <v>228</v>
      </c>
      <c r="J2451" t="s">
        <v>520</v>
      </c>
      <c r="K2451">
        <v>0</v>
      </c>
      <c r="L2451" t="s">
        <v>162</v>
      </c>
      <c r="N2451" t="s">
        <v>340</v>
      </c>
      <c r="O2451" t="s">
        <v>520</v>
      </c>
      <c r="P2451">
        <v>5.3335115385635011E-3</v>
      </c>
      <c r="Q2451" t="s">
        <v>162</v>
      </c>
      <c r="S2451" t="s">
        <v>452</v>
      </c>
      <c r="T2451" t="s">
        <v>520</v>
      </c>
      <c r="U2451">
        <v>2.7535579383720986E-3</v>
      </c>
      <c r="V2451" t="s">
        <v>162</v>
      </c>
    </row>
    <row r="2452" spans="9:22" x14ac:dyDescent="0.45">
      <c r="I2452" t="s">
        <v>228</v>
      </c>
      <c r="J2452" t="s">
        <v>521</v>
      </c>
      <c r="K2452">
        <v>0</v>
      </c>
      <c r="L2452" t="s">
        <v>162</v>
      </c>
      <c r="N2452" t="s">
        <v>340</v>
      </c>
      <c r="O2452" t="s">
        <v>521</v>
      </c>
      <c r="P2452">
        <v>3.1976075269875164E-2</v>
      </c>
      <c r="Q2452" t="s">
        <v>162</v>
      </c>
      <c r="S2452" t="s">
        <v>452</v>
      </c>
      <c r="T2452" t="s">
        <v>521</v>
      </c>
      <c r="U2452">
        <v>1.7043526173575817E-2</v>
      </c>
      <c r="V2452" t="s">
        <v>162</v>
      </c>
    </row>
    <row r="2453" spans="9:22" x14ac:dyDescent="0.45">
      <c r="I2453" t="s">
        <v>228</v>
      </c>
      <c r="J2453" t="s">
        <v>165</v>
      </c>
      <c r="K2453">
        <v>1.5647832066139369E-2</v>
      </c>
      <c r="L2453" t="s">
        <v>162</v>
      </c>
      <c r="N2453" t="s">
        <v>340</v>
      </c>
      <c r="O2453" t="s">
        <v>165</v>
      </c>
      <c r="P2453">
        <v>7.4866742377570128E-2</v>
      </c>
      <c r="Q2453" t="s">
        <v>162</v>
      </c>
      <c r="S2453" t="s">
        <v>452</v>
      </c>
      <c r="T2453" t="s">
        <v>165</v>
      </c>
      <c r="U2453">
        <v>5.4673313460276693E-2</v>
      </c>
      <c r="V2453" t="s">
        <v>162</v>
      </c>
    </row>
    <row r="2454" spans="9:22" x14ac:dyDescent="0.45">
      <c r="I2454" t="s">
        <v>228</v>
      </c>
      <c r="J2454" t="s">
        <v>166</v>
      </c>
      <c r="K2454">
        <v>1.5657273876632277E-2</v>
      </c>
      <c r="L2454" t="s">
        <v>162</v>
      </c>
      <c r="N2454" t="s">
        <v>340</v>
      </c>
      <c r="O2454" t="s">
        <v>166</v>
      </c>
      <c r="P2454">
        <v>8.036721479018679E-3</v>
      </c>
      <c r="Q2454" t="s">
        <v>162</v>
      </c>
      <c r="S2454" t="s">
        <v>452</v>
      </c>
      <c r="T2454" t="s">
        <v>166</v>
      </c>
      <c r="U2454">
        <v>6.0517800059198016E-3</v>
      </c>
      <c r="V2454" t="s">
        <v>162</v>
      </c>
    </row>
    <row r="2455" spans="9:22" x14ac:dyDescent="0.45">
      <c r="I2455" t="s">
        <v>228</v>
      </c>
      <c r="J2455" t="s">
        <v>167</v>
      </c>
      <c r="K2455">
        <v>3.792715336760575E-2</v>
      </c>
      <c r="L2455" t="s">
        <v>162</v>
      </c>
      <c r="N2455" t="s">
        <v>340</v>
      </c>
      <c r="O2455" t="s">
        <v>167</v>
      </c>
      <c r="P2455">
        <v>1.5481288232752438E-2</v>
      </c>
      <c r="Q2455" t="s">
        <v>162</v>
      </c>
      <c r="S2455" t="s">
        <v>452</v>
      </c>
      <c r="T2455" t="s">
        <v>167</v>
      </c>
      <c r="U2455">
        <v>1.1866256634087578E-2</v>
      </c>
      <c r="V2455" t="s">
        <v>162</v>
      </c>
    </row>
    <row r="2456" spans="9:22" x14ac:dyDescent="0.45">
      <c r="I2456" t="s">
        <v>228</v>
      </c>
      <c r="J2456" t="s">
        <v>522</v>
      </c>
      <c r="K2456">
        <v>8.6520672420893494E-2</v>
      </c>
      <c r="L2456" t="s">
        <v>162</v>
      </c>
      <c r="N2456" t="s">
        <v>340</v>
      </c>
      <c r="O2456" t="s">
        <v>522</v>
      </c>
      <c r="P2456">
        <v>3.8379374073714168E-2</v>
      </c>
      <c r="Q2456" t="s">
        <v>162</v>
      </c>
      <c r="S2456" t="s">
        <v>452</v>
      </c>
      <c r="T2456" t="s">
        <v>522</v>
      </c>
      <c r="U2456">
        <v>2.9438694191180875E-2</v>
      </c>
      <c r="V2456" t="s">
        <v>162</v>
      </c>
    </row>
    <row r="2457" spans="9:22" x14ac:dyDescent="0.45">
      <c r="I2457" t="s">
        <v>228</v>
      </c>
      <c r="J2457" t="s">
        <v>523</v>
      </c>
      <c r="K2457">
        <v>6.6532753314748712E-3</v>
      </c>
      <c r="L2457" t="s">
        <v>162</v>
      </c>
      <c r="N2457" t="s">
        <v>340</v>
      </c>
      <c r="O2457" t="s">
        <v>523</v>
      </c>
      <c r="P2457">
        <v>8.1562167641319998E-3</v>
      </c>
      <c r="Q2457" t="s">
        <v>162</v>
      </c>
      <c r="S2457" t="s">
        <v>452</v>
      </c>
      <c r="T2457" t="s">
        <v>523</v>
      </c>
      <c r="U2457">
        <v>6.2308598362425856E-3</v>
      </c>
      <c r="V2457" t="s">
        <v>162</v>
      </c>
    </row>
    <row r="2458" spans="9:22" x14ac:dyDescent="0.45">
      <c r="I2458" t="s">
        <v>228</v>
      </c>
      <c r="J2458" t="s">
        <v>524</v>
      </c>
      <c r="K2458">
        <v>1.0529798434102092E-3</v>
      </c>
      <c r="L2458" t="s">
        <v>162</v>
      </c>
      <c r="N2458" t="s">
        <v>340</v>
      </c>
      <c r="O2458" t="s">
        <v>524</v>
      </c>
      <c r="P2458">
        <v>4.903778744365523E-2</v>
      </c>
      <c r="Q2458" t="s">
        <v>162</v>
      </c>
      <c r="S2458" t="s">
        <v>452</v>
      </c>
      <c r="T2458" t="s">
        <v>524</v>
      </c>
      <c r="U2458">
        <v>3.7645510062555856E-2</v>
      </c>
      <c r="V2458" t="s">
        <v>162</v>
      </c>
    </row>
    <row r="2459" spans="9:22" x14ac:dyDescent="0.45">
      <c r="I2459" t="s">
        <v>228</v>
      </c>
      <c r="J2459" t="s">
        <v>168</v>
      </c>
      <c r="K2459">
        <v>2.2700393854418518E-2</v>
      </c>
      <c r="L2459" t="s">
        <v>162</v>
      </c>
      <c r="N2459" t="s">
        <v>340</v>
      </c>
      <c r="O2459" t="s">
        <v>168</v>
      </c>
      <c r="P2459">
        <v>3.1653950235982796E-2</v>
      </c>
      <c r="Q2459" t="s">
        <v>162</v>
      </c>
      <c r="S2459" t="s">
        <v>452</v>
      </c>
      <c r="T2459" t="s">
        <v>168</v>
      </c>
      <c r="U2459">
        <v>3.6767765551856658E-2</v>
      </c>
      <c r="V2459" t="s">
        <v>162</v>
      </c>
    </row>
    <row r="2460" spans="9:22" x14ac:dyDescent="0.45">
      <c r="I2460" t="s">
        <v>228</v>
      </c>
      <c r="J2460" t="s">
        <v>169</v>
      </c>
      <c r="K2460">
        <v>1.1275391615772932E-2</v>
      </c>
      <c r="L2460" t="s">
        <v>162</v>
      </c>
      <c r="N2460" t="s">
        <v>340</v>
      </c>
      <c r="O2460" t="s">
        <v>169</v>
      </c>
      <c r="P2460">
        <v>3.3065395166351833E-3</v>
      </c>
      <c r="Q2460" t="s">
        <v>162</v>
      </c>
      <c r="S2460" t="s">
        <v>452</v>
      </c>
      <c r="T2460" t="s">
        <v>169</v>
      </c>
      <c r="U2460">
        <v>4.014836621494048E-3</v>
      </c>
      <c r="V2460" t="s">
        <v>162</v>
      </c>
    </row>
    <row r="2461" spans="9:22" x14ac:dyDescent="0.45">
      <c r="I2461" t="s">
        <v>228</v>
      </c>
      <c r="J2461" t="s">
        <v>170</v>
      </c>
      <c r="K2461">
        <v>2.4536667552957785E-2</v>
      </c>
      <c r="L2461" t="s">
        <v>162</v>
      </c>
      <c r="N2461" t="s">
        <v>340</v>
      </c>
      <c r="O2461" t="s">
        <v>170</v>
      </c>
      <c r="P2461">
        <v>6.9978247576466361E-3</v>
      </c>
      <c r="Q2461" t="s">
        <v>162</v>
      </c>
      <c r="S2461" t="s">
        <v>452</v>
      </c>
      <c r="T2461" t="s">
        <v>170</v>
      </c>
      <c r="U2461">
        <v>7.9337739350450118E-3</v>
      </c>
      <c r="V2461" t="s">
        <v>162</v>
      </c>
    </row>
    <row r="2462" spans="9:22" x14ac:dyDescent="0.45">
      <c r="I2462" t="s">
        <v>228</v>
      </c>
      <c r="J2462" t="s">
        <v>525</v>
      </c>
      <c r="K2462">
        <v>5.7813012548674957E-2</v>
      </c>
      <c r="L2462" t="s">
        <v>162</v>
      </c>
      <c r="N2462" t="s">
        <v>340</v>
      </c>
      <c r="O2462" t="s">
        <v>525</v>
      </c>
      <c r="P2462">
        <v>1.793398379793416E-2</v>
      </c>
      <c r="Q2462" t="s">
        <v>162</v>
      </c>
      <c r="S2462" t="s">
        <v>452</v>
      </c>
      <c r="T2462" t="s">
        <v>525</v>
      </c>
      <c r="U2462">
        <v>2.0114184925090782E-2</v>
      </c>
      <c r="V2462" t="s">
        <v>162</v>
      </c>
    </row>
    <row r="2463" spans="9:22" x14ac:dyDescent="0.45">
      <c r="I2463" t="s">
        <v>228</v>
      </c>
      <c r="J2463" t="s">
        <v>526</v>
      </c>
      <c r="K2463">
        <v>8.0777549271727148E-3</v>
      </c>
      <c r="L2463" t="s">
        <v>162</v>
      </c>
      <c r="N2463" t="s">
        <v>340</v>
      </c>
      <c r="O2463" t="s">
        <v>526</v>
      </c>
      <c r="P2463">
        <v>3.3456264914186605E-3</v>
      </c>
      <c r="Q2463" t="s">
        <v>162</v>
      </c>
      <c r="S2463" t="s">
        <v>452</v>
      </c>
      <c r="T2463" t="s">
        <v>526</v>
      </c>
      <c r="U2463">
        <v>4.1743897924120341E-3</v>
      </c>
      <c r="V2463" t="s">
        <v>162</v>
      </c>
    </row>
    <row r="2464" spans="9:22" x14ac:dyDescent="0.45">
      <c r="I2464" t="s">
        <v>228</v>
      </c>
      <c r="J2464" t="s">
        <v>527</v>
      </c>
      <c r="K2464">
        <v>5.5462344322230331E-3</v>
      </c>
      <c r="L2464" t="s">
        <v>162</v>
      </c>
      <c r="N2464" t="s">
        <v>340</v>
      </c>
      <c r="O2464" t="s">
        <v>527</v>
      </c>
      <c r="P2464">
        <v>2.098249331057294E-2</v>
      </c>
      <c r="Q2464" t="s">
        <v>162</v>
      </c>
      <c r="S2464" t="s">
        <v>452</v>
      </c>
      <c r="T2464" t="s">
        <v>527</v>
      </c>
      <c r="U2464">
        <v>2.5283906323583523E-2</v>
      </c>
      <c r="V2464" t="s">
        <v>162</v>
      </c>
    </row>
    <row r="2465" spans="9:22" x14ac:dyDescent="0.45">
      <c r="I2465" t="s">
        <v>228</v>
      </c>
      <c r="J2465" t="s">
        <v>528</v>
      </c>
      <c r="K2465">
        <v>9.4305737871095002E-2</v>
      </c>
      <c r="L2465" t="s">
        <v>162</v>
      </c>
      <c r="N2465" t="s">
        <v>340</v>
      </c>
      <c r="O2465" t="s">
        <v>528</v>
      </c>
      <c r="P2465">
        <v>7.0312464990488432E-2</v>
      </c>
      <c r="Q2465" t="s">
        <v>162</v>
      </c>
      <c r="S2465" t="s">
        <v>452</v>
      </c>
      <c r="T2465" t="s">
        <v>528</v>
      </c>
      <c r="U2465">
        <v>7.6150692958115093E-2</v>
      </c>
      <c r="V2465" t="s">
        <v>162</v>
      </c>
    </row>
    <row r="2466" spans="9:22" x14ac:dyDescent="0.45">
      <c r="I2466" t="s">
        <v>228</v>
      </c>
      <c r="J2466" t="s">
        <v>529</v>
      </c>
      <c r="K2466">
        <v>3.289534281227139E-2</v>
      </c>
      <c r="L2466" t="s">
        <v>162</v>
      </c>
      <c r="N2466" t="s">
        <v>340</v>
      </c>
      <c r="O2466" t="s">
        <v>529</v>
      </c>
      <c r="P2466">
        <v>6.6463806534827951E-3</v>
      </c>
      <c r="Q2466" t="s">
        <v>162</v>
      </c>
      <c r="S2466" t="s">
        <v>452</v>
      </c>
      <c r="T2466" t="s">
        <v>529</v>
      </c>
      <c r="U2466">
        <v>7.8180443584372847E-3</v>
      </c>
      <c r="V2466" t="s">
        <v>162</v>
      </c>
    </row>
    <row r="2467" spans="9:22" x14ac:dyDescent="0.45">
      <c r="I2467" t="s">
        <v>228</v>
      </c>
      <c r="J2467" t="s">
        <v>530</v>
      </c>
      <c r="K2467">
        <v>6.7366368554765285E-2</v>
      </c>
      <c r="L2467" t="s">
        <v>162</v>
      </c>
      <c r="N2467" t="s">
        <v>340</v>
      </c>
      <c r="O2467" t="s">
        <v>530</v>
      </c>
      <c r="P2467">
        <v>1.415858741590151E-2</v>
      </c>
      <c r="Q2467" t="s">
        <v>162</v>
      </c>
      <c r="S2467" t="s">
        <v>452</v>
      </c>
      <c r="T2467" t="s">
        <v>530</v>
      </c>
      <c r="U2467">
        <v>1.5727978871182342E-2</v>
      </c>
      <c r="V2467" t="s">
        <v>162</v>
      </c>
    </row>
    <row r="2468" spans="9:22" x14ac:dyDescent="0.45">
      <c r="I2468" t="s">
        <v>228</v>
      </c>
      <c r="J2468" t="s">
        <v>531</v>
      </c>
      <c r="K2468">
        <v>0.15352312216844655</v>
      </c>
      <c r="L2468" t="s">
        <v>162</v>
      </c>
      <c r="N2468" t="s">
        <v>340</v>
      </c>
      <c r="O2468" t="s">
        <v>531</v>
      </c>
      <c r="P2468">
        <v>4.0822304928829864E-2</v>
      </c>
      <c r="Q2468" t="s">
        <v>162</v>
      </c>
      <c r="S2468" t="s">
        <v>452</v>
      </c>
      <c r="T2468" t="s">
        <v>531</v>
      </c>
      <c r="U2468">
        <v>4.3036794139778532E-2</v>
      </c>
      <c r="V2468" t="s">
        <v>162</v>
      </c>
    </row>
    <row r="2469" spans="9:22" x14ac:dyDescent="0.45">
      <c r="I2469" t="s">
        <v>228</v>
      </c>
      <c r="J2469" t="s">
        <v>532</v>
      </c>
      <c r="K2469">
        <v>2.2847617745498681E-2</v>
      </c>
      <c r="L2469" t="s">
        <v>162</v>
      </c>
      <c r="N2469" t="s">
        <v>340</v>
      </c>
      <c r="O2469" t="s">
        <v>532</v>
      </c>
      <c r="P2469">
        <v>8.0737937664474933E-3</v>
      </c>
      <c r="Q2469" t="s">
        <v>162</v>
      </c>
      <c r="S2469" t="s">
        <v>452</v>
      </c>
      <c r="T2469" t="s">
        <v>532</v>
      </c>
      <c r="U2469">
        <v>8.9453434241469811E-3</v>
      </c>
      <c r="V2469" t="s">
        <v>162</v>
      </c>
    </row>
    <row r="2470" spans="9:22" x14ac:dyDescent="0.45">
      <c r="I2470" t="s">
        <v>228</v>
      </c>
      <c r="J2470" t="s">
        <v>533</v>
      </c>
      <c r="K2470">
        <v>3.3238767326957373E-2</v>
      </c>
      <c r="L2470" t="s">
        <v>162</v>
      </c>
      <c r="N2470" t="s">
        <v>340</v>
      </c>
      <c r="O2470" t="s">
        <v>533</v>
      </c>
      <c r="P2470">
        <v>4.7783000447974386E-2</v>
      </c>
      <c r="Q2470" t="s">
        <v>162</v>
      </c>
      <c r="S2470" t="s">
        <v>452</v>
      </c>
      <c r="T2470" t="s">
        <v>533</v>
      </c>
      <c r="U2470">
        <v>5.549094796946958E-2</v>
      </c>
      <c r="V2470" t="s">
        <v>162</v>
      </c>
    </row>
    <row r="2471" spans="9:22" x14ac:dyDescent="0.45">
      <c r="I2471" t="s">
        <v>228</v>
      </c>
      <c r="J2471" t="s">
        <v>534</v>
      </c>
      <c r="K2471">
        <v>4.0088323642318055E-2</v>
      </c>
      <c r="L2471" t="s">
        <v>162</v>
      </c>
      <c r="N2471" t="s">
        <v>340</v>
      </c>
      <c r="O2471" t="s">
        <v>534</v>
      </c>
      <c r="P2471">
        <v>7.6145650050700675E-2</v>
      </c>
      <c r="Q2471" t="s">
        <v>162</v>
      </c>
      <c r="S2471" t="s">
        <v>452</v>
      </c>
      <c r="T2471" t="s">
        <v>534</v>
      </c>
      <c r="U2471">
        <v>0.10647639911393959</v>
      </c>
      <c r="V2471" t="s">
        <v>162</v>
      </c>
    </row>
    <row r="2472" spans="9:22" x14ac:dyDescent="0.45">
      <c r="I2472" t="s">
        <v>228</v>
      </c>
      <c r="J2472" t="s">
        <v>535</v>
      </c>
      <c r="K2472">
        <v>2.0308875610268871E-2</v>
      </c>
      <c r="L2472" t="s">
        <v>162</v>
      </c>
      <c r="N2472" t="s">
        <v>340</v>
      </c>
      <c r="O2472" t="s">
        <v>535</v>
      </c>
      <c r="P2472">
        <v>7.7549541965685398E-3</v>
      </c>
      <c r="Q2472" t="s">
        <v>162</v>
      </c>
      <c r="S2472" t="s">
        <v>452</v>
      </c>
      <c r="T2472" t="s">
        <v>535</v>
      </c>
      <c r="U2472">
        <v>1.2152306423262182E-2</v>
      </c>
      <c r="V2472" t="s">
        <v>162</v>
      </c>
    </row>
    <row r="2473" spans="9:22" x14ac:dyDescent="0.45">
      <c r="I2473" t="s">
        <v>228</v>
      </c>
      <c r="J2473" t="s">
        <v>536</v>
      </c>
      <c r="K2473">
        <v>4.1546891932286535E-2</v>
      </c>
      <c r="L2473" t="s">
        <v>162</v>
      </c>
      <c r="N2473" t="s">
        <v>340</v>
      </c>
      <c r="O2473" t="s">
        <v>536</v>
      </c>
      <c r="P2473">
        <v>1.6090677942788071E-2</v>
      </c>
      <c r="Q2473" t="s">
        <v>162</v>
      </c>
      <c r="S2473" t="s">
        <v>452</v>
      </c>
      <c r="T2473" t="s">
        <v>536</v>
      </c>
      <c r="U2473">
        <v>2.4676839911412677E-2</v>
      </c>
      <c r="V2473" t="s">
        <v>162</v>
      </c>
    </row>
    <row r="2474" spans="9:22" x14ac:dyDescent="0.45">
      <c r="I2474" t="s">
        <v>228</v>
      </c>
      <c r="J2474" t="s">
        <v>537</v>
      </c>
      <c r="K2474">
        <v>8.6240984465856735E-2</v>
      </c>
      <c r="L2474" t="s">
        <v>162</v>
      </c>
      <c r="N2474" t="s">
        <v>340</v>
      </c>
      <c r="O2474" t="s">
        <v>537</v>
      </c>
      <c r="P2474">
        <v>4.388630273852339E-2</v>
      </c>
      <c r="Q2474" t="s">
        <v>162</v>
      </c>
      <c r="S2474" t="s">
        <v>452</v>
      </c>
      <c r="T2474" t="s">
        <v>537</v>
      </c>
      <c r="U2474">
        <v>6.314580078540187E-2</v>
      </c>
      <c r="V2474" t="s">
        <v>162</v>
      </c>
    </row>
    <row r="2475" spans="9:22" x14ac:dyDescent="0.45">
      <c r="I2475" t="s">
        <v>228</v>
      </c>
      <c r="J2475" t="s">
        <v>538</v>
      </c>
      <c r="K2475">
        <v>9.939389700923236E-3</v>
      </c>
      <c r="L2475" t="s">
        <v>162</v>
      </c>
      <c r="N2475" t="s">
        <v>340</v>
      </c>
      <c r="O2475" t="s">
        <v>538</v>
      </c>
      <c r="P2475">
        <v>8.2590220950130369E-3</v>
      </c>
      <c r="Q2475" t="s">
        <v>162</v>
      </c>
      <c r="S2475" t="s">
        <v>452</v>
      </c>
      <c r="T2475" t="s">
        <v>538</v>
      </c>
      <c r="U2475">
        <v>1.2796894058709681E-2</v>
      </c>
      <c r="V2475" t="s">
        <v>162</v>
      </c>
    </row>
    <row r="2476" spans="9:22" x14ac:dyDescent="0.45">
      <c r="I2476" t="s">
        <v>228</v>
      </c>
      <c r="J2476" t="s">
        <v>539</v>
      </c>
      <c r="K2476">
        <v>7.7165588779400732E-3</v>
      </c>
      <c r="L2476" t="s">
        <v>162</v>
      </c>
      <c r="N2476" t="s">
        <v>340</v>
      </c>
      <c r="O2476" t="s">
        <v>539</v>
      </c>
      <c r="P2476">
        <v>5.2112141477281701E-2</v>
      </c>
      <c r="Q2476" t="s">
        <v>162</v>
      </c>
      <c r="S2476" t="s">
        <v>452</v>
      </c>
      <c r="T2476" t="s">
        <v>539</v>
      </c>
      <c r="U2476">
        <v>7.7545607415735379E-2</v>
      </c>
      <c r="V2476" t="s">
        <v>162</v>
      </c>
    </row>
    <row r="2477" spans="9:22" x14ac:dyDescent="0.45">
      <c r="I2477" t="s">
        <v>228</v>
      </c>
      <c r="J2477" t="s">
        <v>540</v>
      </c>
      <c r="K2477">
        <v>1.0499123560414225E-3</v>
      </c>
      <c r="L2477" t="s">
        <v>162</v>
      </c>
      <c r="N2477" t="s">
        <v>340</v>
      </c>
      <c r="O2477" t="s">
        <v>540</v>
      </c>
      <c r="P2477">
        <v>3.5617474641938957E-2</v>
      </c>
      <c r="Q2477" t="s">
        <v>162</v>
      </c>
      <c r="S2477" t="s">
        <v>452</v>
      </c>
      <c r="T2477" t="s">
        <v>540</v>
      </c>
      <c r="U2477">
        <v>3.3650881312198629E-2</v>
      </c>
      <c r="V2477" t="s">
        <v>162</v>
      </c>
    </row>
    <row r="2478" spans="9:22" x14ac:dyDescent="0.45">
      <c r="I2478" t="s">
        <v>228</v>
      </c>
      <c r="J2478" t="s">
        <v>541</v>
      </c>
      <c r="K2478">
        <v>2.693329305332916E-3</v>
      </c>
      <c r="L2478" t="s">
        <v>162</v>
      </c>
      <c r="N2478" t="s">
        <v>340</v>
      </c>
      <c r="O2478" t="s">
        <v>541</v>
      </c>
      <c r="P2478">
        <v>4.0962446826907075E-3</v>
      </c>
      <c r="Q2478" t="s">
        <v>162</v>
      </c>
      <c r="S2478" t="s">
        <v>452</v>
      </c>
      <c r="T2478" t="s">
        <v>541</v>
      </c>
      <c r="U2478">
        <v>3.9089440721452248E-3</v>
      </c>
      <c r="V2478" t="s">
        <v>162</v>
      </c>
    </row>
    <row r="2479" spans="9:22" x14ac:dyDescent="0.45">
      <c r="I2479" t="s">
        <v>228</v>
      </c>
      <c r="J2479" t="s">
        <v>542</v>
      </c>
      <c r="K2479">
        <v>7.6371368412696617E-3</v>
      </c>
      <c r="L2479" t="s">
        <v>162</v>
      </c>
      <c r="N2479" t="s">
        <v>340</v>
      </c>
      <c r="O2479" t="s">
        <v>542</v>
      </c>
      <c r="P2479">
        <v>8.1387445116424557E-3</v>
      </c>
      <c r="Q2479" t="s">
        <v>162</v>
      </c>
      <c r="S2479" t="s">
        <v>452</v>
      </c>
      <c r="T2479" t="s">
        <v>542</v>
      </c>
      <c r="U2479">
        <v>7.9153531087342247E-3</v>
      </c>
      <c r="V2479" t="s">
        <v>162</v>
      </c>
    </row>
    <row r="2480" spans="9:22" x14ac:dyDescent="0.45">
      <c r="I2480" t="s">
        <v>228</v>
      </c>
      <c r="J2480" t="s">
        <v>543</v>
      </c>
      <c r="K2480">
        <v>1.2926291208905757E-2</v>
      </c>
      <c r="L2480" t="s">
        <v>162</v>
      </c>
      <c r="N2480" t="s">
        <v>340</v>
      </c>
      <c r="O2480" t="s">
        <v>543</v>
      </c>
      <c r="P2480">
        <v>2.0663253051007642E-2</v>
      </c>
      <c r="Q2480" t="s">
        <v>162</v>
      </c>
      <c r="S2480" t="s">
        <v>452</v>
      </c>
      <c r="T2480" t="s">
        <v>543</v>
      </c>
      <c r="U2480">
        <v>1.9814407384791795E-2</v>
      </c>
      <c r="V2480" t="s">
        <v>162</v>
      </c>
    </row>
    <row r="2481" spans="9:22" x14ac:dyDescent="0.45">
      <c r="I2481" t="s">
        <v>228</v>
      </c>
      <c r="J2481" t="s">
        <v>544</v>
      </c>
      <c r="K2481">
        <v>0</v>
      </c>
      <c r="L2481" t="s">
        <v>162</v>
      </c>
      <c r="N2481" t="s">
        <v>340</v>
      </c>
      <c r="O2481" t="s">
        <v>544</v>
      </c>
      <c r="P2481">
        <v>4.2915665229294056E-3</v>
      </c>
      <c r="Q2481" t="s">
        <v>162</v>
      </c>
      <c r="S2481" t="s">
        <v>452</v>
      </c>
      <c r="T2481" t="s">
        <v>544</v>
      </c>
      <c r="U2481">
        <v>3.872278166483938E-3</v>
      </c>
      <c r="V2481" t="s">
        <v>162</v>
      </c>
    </row>
    <row r="2482" spans="9:22" x14ac:dyDescent="0.45">
      <c r="I2482" t="s">
        <v>228</v>
      </c>
      <c r="J2482" t="s">
        <v>545</v>
      </c>
      <c r="K2482">
        <v>0</v>
      </c>
      <c r="L2482" t="s">
        <v>162</v>
      </c>
      <c r="N2482" t="s">
        <v>340</v>
      </c>
      <c r="O2482" t="s">
        <v>545</v>
      </c>
      <c r="P2482">
        <v>2.5726531266592533E-2</v>
      </c>
      <c r="Q2482" t="s">
        <v>162</v>
      </c>
      <c r="S2482" t="s">
        <v>452</v>
      </c>
      <c r="T2482" t="s">
        <v>545</v>
      </c>
      <c r="U2482">
        <v>2.2658881288819026E-2</v>
      </c>
      <c r="V2482" t="s">
        <v>162</v>
      </c>
    </row>
    <row r="2483" spans="9:22" x14ac:dyDescent="0.45">
      <c r="I2483" t="s">
        <v>228</v>
      </c>
      <c r="J2483" t="s">
        <v>546</v>
      </c>
      <c r="K2483">
        <v>0</v>
      </c>
      <c r="L2483" t="s">
        <v>162</v>
      </c>
      <c r="N2483" t="s">
        <v>340</v>
      </c>
      <c r="O2483" t="s">
        <v>546</v>
      </c>
      <c r="P2483">
        <v>4.395935087763047E-2</v>
      </c>
      <c r="Q2483" t="s">
        <v>162</v>
      </c>
      <c r="S2483" t="s">
        <v>452</v>
      </c>
      <c r="T2483" t="s">
        <v>546</v>
      </c>
      <c r="U2483">
        <v>3.3390773133399325E-2</v>
      </c>
      <c r="V2483" t="s">
        <v>162</v>
      </c>
    </row>
    <row r="2484" spans="9:22" x14ac:dyDescent="0.45">
      <c r="I2484" t="s">
        <v>228</v>
      </c>
      <c r="J2484" t="s">
        <v>547</v>
      </c>
      <c r="K2484">
        <v>3.4606794130895126E-3</v>
      </c>
      <c r="L2484" t="s">
        <v>162</v>
      </c>
      <c r="N2484" t="s">
        <v>340</v>
      </c>
      <c r="O2484" t="s">
        <v>547</v>
      </c>
      <c r="P2484">
        <v>4.9800146003976626E-3</v>
      </c>
      <c r="Q2484" t="s">
        <v>162</v>
      </c>
      <c r="S2484" t="s">
        <v>452</v>
      </c>
      <c r="T2484" t="s">
        <v>547</v>
      </c>
      <c r="U2484">
        <v>3.7523607688338717E-3</v>
      </c>
      <c r="V2484" t="s">
        <v>162</v>
      </c>
    </row>
    <row r="2485" spans="9:22" x14ac:dyDescent="0.45">
      <c r="I2485" t="s">
        <v>228</v>
      </c>
      <c r="J2485" t="s">
        <v>548</v>
      </c>
      <c r="K2485">
        <v>1.1603511727963057E-2</v>
      </c>
      <c r="L2485" t="s">
        <v>162</v>
      </c>
      <c r="N2485" t="s">
        <v>340</v>
      </c>
      <c r="O2485" t="s">
        <v>548</v>
      </c>
      <c r="P2485">
        <v>9.4241665238616358E-3</v>
      </c>
      <c r="Q2485" t="s">
        <v>162</v>
      </c>
      <c r="S2485" t="s">
        <v>452</v>
      </c>
      <c r="T2485" t="s">
        <v>548</v>
      </c>
      <c r="U2485">
        <v>7.6598713536837528E-3</v>
      </c>
      <c r="V2485" t="s">
        <v>162</v>
      </c>
    </row>
    <row r="2486" spans="9:22" x14ac:dyDescent="0.45">
      <c r="I2486" t="s">
        <v>228</v>
      </c>
      <c r="J2486" t="s">
        <v>549</v>
      </c>
      <c r="K2486">
        <v>1.7958926330404149E-2</v>
      </c>
      <c r="L2486" t="s">
        <v>162</v>
      </c>
      <c r="N2486" t="s">
        <v>340</v>
      </c>
      <c r="O2486" t="s">
        <v>549</v>
      </c>
      <c r="P2486">
        <v>2.2073257576084457E-2</v>
      </c>
      <c r="Q2486" t="s">
        <v>162</v>
      </c>
      <c r="S2486" t="s">
        <v>452</v>
      </c>
      <c r="T2486" t="s">
        <v>549</v>
      </c>
      <c r="U2486">
        <v>2.0552286378513102E-2</v>
      </c>
      <c r="V2486" t="s">
        <v>162</v>
      </c>
    </row>
    <row r="2487" spans="9:22" x14ac:dyDescent="0.45">
      <c r="I2487" t="s">
        <v>228</v>
      </c>
      <c r="J2487" t="s">
        <v>550</v>
      </c>
      <c r="K2487">
        <v>0</v>
      </c>
      <c r="L2487" t="s">
        <v>162</v>
      </c>
      <c r="N2487" t="s">
        <v>340</v>
      </c>
      <c r="O2487" t="s">
        <v>550</v>
      </c>
      <c r="P2487">
        <v>4.5957675109668666E-3</v>
      </c>
      <c r="Q2487" t="s">
        <v>162</v>
      </c>
      <c r="S2487" t="s">
        <v>452</v>
      </c>
      <c r="T2487" t="s">
        <v>550</v>
      </c>
      <c r="U2487">
        <v>4.2569966526211861E-3</v>
      </c>
      <c r="V2487" t="s">
        <v>162</v>
      </c>
    </row>
    <row r="2488" spans="9:22" x14ac:dyDescent="0.45">
      <c r="I2488" t="s">
        <v>228</v>
      </c>
      <c r="J2488" t="s">
        <v>551</v>
      </c>
      <c r="K2488">
        <v>0</v>
      </c>
      <c r="L2488" t="s">
        <v>162</v>
      </c>
      <c r="N2488" t="s">
        <v>340</v>
      </c>
      <c r="O2488" t="s">
        <v>551</v>
      </c>
      <c r="P2488">
        <v>2.7796673441967734E-2</v>
      </c>
      <c r="Q2488" t="s">
        <v>162</v>
      </c>
      <c r="S2488" t="s">
        <v>452</v>
      </c>
      <c r="T2488" t="s">
        <v>551</v>
      </c>
      <c r="U2488">
        <v>2.5005693930118377E-2</v>
      </c>
      <c r="V2488" t="s">
        <v>162</v>
      </c>
    </row>
    <row r="2489" spans="9:22" x14ac:dyDescent="0.45">
      <c r="I2489" t="s">
        <v>229</v>
      </c>
      <c r="J2489" t="s">
        <v>161</v>
      </c>
      <c r="K2489">
        <v>0</v>
      </c>
      <c r="L2489" t="s">
        <v>162</v>
      </c>
      <c r="N2489" t="s">
        <v>341</v>
      </c>
      <c r="O2489" t="s">
        <v>161</v>
      </c>
      <c r="P2489">
        <v>4.6504375239301961E-2</v>
      </c>
      <c r="Q2489" t="s">
        <v>162</v>
      </c>
      <c r="S2489" t="s">
        <v>453</v>
      </c>
      <c r="T2489" t="s">
        <v>161</v>
      </c>
      <c r="U2489">
        <v>1.9912651529488994E-2</v>
      </c>
      <c r="V2489" t="s">
        <v>162</v>
      </c>
    </row>
    <row r="2490" spans="9:22" x14ac:dyDescent="0.45">
      <c r="I2490" t="s">
        <v>229</v>
      </c>
      <c r="J2490" t="s">
        <v>163</v>
      </c>
      <c r="K2490">
        <v>2.6400484318201164E-3</v>
      </c>
      <c r="L2490" t="s">
        <v>162</v>
      </c>
      <c r="N2490" t="s">
        <v>341</v>
      </c>
      <c r="O2490" t="s">
        <v>163</v>
      </c>
      <c r="P2490">
        <v>5.0479038376612991E-3</v>
      </c>
      <c r="Q2490" t="s">
        <v>162</v>
      </c>
      <c r="S2490" t="s">
        <v>453</v>
      </c>
      <c r="T2490" t="s">
        <v>163</v>
      </c>
      <c r="U2490">
        <v>2.1128247474133583E-3</v>
      </c>
      <c r="V2490" t="s">
        <v>162</v>
      </c>
    </row>
    <row r="2491" spans="9:22" x14ac:dyDescent="0.45">
      <c r="I2491" t="s">
        <v>229</v>
      </c>
      <c r="J2491" t="s">
        <v>164</v>
      </c>
      <c r="K2491">
        <v>1.1931774172519449E-2</v>
      </c>
      <c r="L2491" t="s">
        <v>162</v>
      </c>
      <c r="N2491" t="s">
        <v>341</v>
      </c>
      <c r="O2491" t="s">
        <v>164</v>
      </c>
      <c r="P2491">
        <v>9.7383525869845153E-3</v>
      </c>
      <c r="Q2491" t="s">
        <v>162</v>
      </c>
      <c r="S2491" t="s">
        <v>453</v>
      </c>
      <c r="T2491" t="s">
        <v>164</v>
      </c>
      <c r="U2491">
        <v>4.2815703482578897E-3</v>
      </c>
      <c r="V2491" t="s">
        <v>162</v>
      </c>
    </row>
    <row r="2492" spans="9:22" x14ac:dyDescent="0.45">
      <c r="I2492" t="s">
        <v>229</v>
      </c>
      <c r="J2492" t="s">
        <v>519</v>
      </c>
      <c r="K2492">
        <v>1.8710140545258911E-2</v>
      </c>
      <c r="L2492" t="s">
        <v>162</v>
      </c>
      <c r="N2492" t="s">
        <v>341</v>
      </c>
      <c r="O2492" t="s">
        <v>519</v>
      </c>
      <c r="P2492">
        <v>2.7413236097532954E-2</v>
      </c>
      <c r="Q2492" t="s">
        <v>162</v>
      </c>
      <c r="S2492" t="s">
        <v>453</v>
      </c>
      <c r="T2492" t="s">
        <v>519</v>
      </c>
      <c r="U2492">
        <v>1.0696220609529922E-2</v>
      </c>
      <c r="V2492" t="s">
        <v>162</v>
      </c>
    </row>
    <row r="2493" spans="9:22" x14ac:dyDescent="0.45">
      <c r="I2493" t="s">
        <v>229</v>
      </c>
      <c r="J2493" t="s">
        <v>520</v>
      </c>
      <c r="K2493">
        <v>0</v>
      </c>
      <c r="L2493" t="s">
        <v>162</v>
      </c>
      <c r="N2493" t="s">
        <v>341</v>
      </c>
      <c r="O2493" t="s">
        <v>520</v>
      </c>
      <c r="P2493">
        <v>5.8925579211217254E-3</v>
      </c>
      <c r="Q2493" t="s">
        <v>162</v>
      </c>
      <c r="S2493" t="s">
        <v>453</v>
      </c>
      <c r="T2493" t="s">
        <v>520</v>
      </c>
      <c r="U2493">
        <v>2.4470930256549586E-3</v>
      </c>
      <c r="V2493" t="s">
        <v>162</v>
      </c>
    </row>
    <row r="2494" spans="9:22" x14ac:dyDescent="0.45">
      <c r="I2494" t="s">
        <v>229</v>
      </c>
      <c r="J2494" t="s">
        <v>521</v>
      </c>
      <c r="K2494">
        <v>0</v>
      </c>
      <c r="L2494" t="s">
        <v>162</v>
      </c>
      <c r="N2494" t="s">
        <v>341</v>
      </c>
      <c r="O2494" t="s">
        <v>521</v>
      </c>
      <c r="P2494">
        <v>3.3997497376454369E-2</v>
      </c>
      <c r="Q2494" t="s">
        <v>162</v>
      </c>
      <c r="S2494" t="s">
        <v>453</v>
      </c>
      <c r="T2494" t="s">
        <v>521</v>
      </c>
      <c r="U2494">
        <v>1.5567059160237456E-2</v>
      </c>
      <c r="V2494" t="s">
        <v>162</v>
      </c>
    </row>
    <row r="2495" spans="9:22" x14ac:dyDescent="0.45">
      <c r="I2495" t="s">
        <v>229</v>
      </c>
      <c r="J2495" t="s">
        <v>165</v>
      </c>
      <c r="K2495">
        <v>1.5777288028103222E-2</v>
      </c>
      <c r="L2495" t="s">
        <v>162</v>
      </c>
      <c r="N2495" t="s">
        <v>341</v>
      </c>
      <c r="O2495" t="s">
        <v>165</v>
      </c>
      <c r="P2495">
        <v>7.5527615477786303E-2</v>
      </c>
      <c r="Q2495" t="s">
        <v>162</v>
      </c>
      <c r="S2495" t="s">
        <v>453</v>
      </c>
      <c r="T2495" t="s">
        <v>165</v>
      </c>
      <c r="U2495">
        <v>4.2844278193507515E-2</v>
      </c>
      <c r="V2495" t="s">
        <v>162</v>
      </c>
    </row>
    <row r="2496" spans="9:22" x14ac:dyDescent="0.45">
      <c r="I2496" t="s">
        <v>229</v>
      </c>
      <c r="J2496" t="s">
        <v>166</v>
      </c>
      <c r="K2496">
        <v>1.7266389386054199E-2</v>
      </c>
      <c r="L2496" t="s">
        <v>162</v>
      </c>
      <c r="N2496" t="s">
        <v>341</v>
      </c>
      <c r="O2496" t="s">
        <v>166</v>
      </c>
      <c r="P2496">
        <v>7.8036962526996986E-3</v>
      </c>
      <c r="Q2496" t="s">
        <v>162</v>
      </c>
      <c r="S2496" t="s">
        <v>453</v>
      </c>
      <c r="T2496" t="s">
        <v>166</v>
      </c>
      <c r="U2496">
        <v>4.5680942287149931E-3</v>
      </c>
      <c r="V2496" t="s">
        <v>162</v>
      </c>
    </row>
    <row r="2497" spans="9:22" x14ac:dyDescent="0.45">
      <c r="I2497" t="s">
        <v>229</v>
      </c>
      <c r="J2497" t="s">
        <v>167</v>
      </c>
      <c r="K2497">
        <v>4.0777744800097999E-2</v>
      </c>
      <c r="L2497" t="s">
        <v>162</v>
      </c>
      <c r="N2497" t="s">
        <v>341</v>
      </c>
      <c r="O2497" t="s">
        <v>167</v>
      </c>
      <c r="P2497">
        <v>1.5015962988649149E-2</v>
      </c>
      <c r="Q2497" t="s">
        <v>162</v>
      </c>
      <c r="S2497" t="s">
        <v>453</v>
      </c>
      <c r="T2497" t="s">
        <v>167</v>
      </c>
      <c r="U2497">
        <v>8.1599377875428113E-3</v>
      </c>
      <c r="V2497" t="s">
        <v>162</v>
      </c>
    </row>
    <row r="2498" spans="9:22" x14ac:dyDescent="0.45">
      <c r="I2498" t="s">
        <v>229</v>
      </c>
      <c r="J2498" t="s">
        <v>522</v>
      </c>
      <c r="K2498">
        <v>8.5391897817677337E-2</v>
      </c>
      <c r="L2498" t="s">
        <v>162</v>
      </c>
      <c r="N2498" t="s">
        <v>341</v>
      </c>
      <c r="O2498" t="s">
        <v>522</v>
      </c>
      <c r="P2498">
        <v>3.6975822888099169E-2</v>
      </c>
      <c r="Q2498" t="s">
        <v>162</v>
      </c>
      <c r="S2498" t="s">
        <v>453</v>
      </c>
      <c r="T2498" t="s">
        <v>522</v>
      </c>
      <c r="U2498">
        <v>1.8450431232398871E-2</v>
      </c>
      <c r="V2498" t="s">
        <v>162</v>
      </c>
    </row>
    <row r="2499" spans="9:22" x14ac:dyDescent="0.45">
      <c r="I2499" t="s">
        <v>229</v>
      </c>
      <c r="J2499" t="s">
        <v>523</v>
      </c>
      <c r="K2499">
        <v>5.5483725264691783E-3</v>
      </c>
      <c r="L2499" t="s">
        <v>162</v>
      </c>
      <c r="N2499" t="s">
        <v>341</v>
      </c>
      <c r="O2499" t="s">
        <v>523</v>
      </c>
      <c r="P2499">
        <v>7.9295067154528508E-3</v>
      </c>
      <c r="Q2499" t="s">
        <v>162</v>
      </c>
      <c r="S2499" t="s">
        <v>453</v>
      </c>
      <c r="T2499" t="s">
        <v>523</v>
      </c>
      <c r="U2499">
        <v>4.2114258844874377E-3</v>
      </c>
      <c r="V2499" t="s">
        <v>162</v>
      </c>
    </row>
    <row r="2500" spans="9:22" x14ac:dyDescent="0.45">
      <c r="I2500" t="s">
        <v>229</v>
      </c>
      <c r="J2500" t="s">
        <v>524</v>
      </c>
      <c r="K2500">
        <v>4.2762089047388021E-4</v>
      </c>
      <c r="L2500" t="s">
        <v>162</v>
      </c>
      <c r="N2500" t="s">
        <v>341</v>
      </c>
      <c r="O2500" t="s">
        <v>524</v>
      </c>
      <c r="P2500">
        <v>5.1279366463232709E-2</v>
      </c>
      <c r="Q2500" t="s">
        <v>162</v>
      </c>
      <c r="S2500" t="s">
        <v>453</v>
      </c>
      <c r="T2500" t="s">
        <v>524</v>
      </c>
      <c r="U2500">
        <v>2.7678626979467918E-2</v>
      </c>
      <c r="V2500" t="s">
        <v>162</v>
      </c>
    </row>
    <row r="2501" spans="9:22" x14ac:dyDescent="0.45">
      <c r="I2501" t="s">
        <v>229</v>
      </c>
      <c r="J2501" t="s">
        <v>168</v>
      </c>
      <c r="K2501">
        <v>2.7414036577615635E-2</v>
      </c>
      <c r="L2501" t="s">
        <v>162</v>
      </c>
      <c r="N2501" t="s">
        <v>341</v>
      </c>
      <c r="O2501" t="s">
        <v>168</v>
      </c>
      <c r="P2501">
        <v>3.1968168831390725E-2</v>
      </c>
      <c r="Q2501" t="s">
        <v>162</v>
      </c>
      <c r="S2501" t="s">
        <v>453</v>
      </c>
      <c r="T2501" t="s">
        <v>168</v>
      </c>
      <c r="U2501">
        <v>4.7442316277347935E-2</v>
      </c>
      <c r="V2501" t="s">
        <v>162</v>
      </c>
    </row>
    <row r="2502" spans="9:22" x14ac:dyDescent="0.45">
      <c r="I2502" t="s">
        <v>229</v>
      </c>
      <c r="J2502" t="s">
        <v>169</v>
      </c>
      <c r="K2502">
        <v>1.2828260970837727E-2</v>
      </c>
      <c r="L2502" t="s">
        <v>162</v>
      </c>
      <c r="N2502" t="s">
        <v>341</v>
      </c>
      <c r="O2502" t="s">
        <v>169</v>
      </c>
      <c r="P2502">
        <v>2.9423351964713105E-3</v>
      </c>
      <c r="Q2502" t="s">
        <v>162</v>
      </c>
      <c r="S2502" t="s">
        <v>453</v>
      </c>
      <c r="T2502" t="s">
        <v>169</v>
      </c>
      <c r="U2502">
        <v>5.0383536797560819E-3</v>
      </c>
      <c r="V2502" t="s">
        <v>162</v>
      </c>
    </row>
    <row r="2503" spans="9:22" x14ac:dyDescent="0.45">
      <c r="I2503" t="s">
        <v>229</v>
      </c>
      <c r="J2503" t="s">
        <v>170</v>
      </c>
      <c r="K2503">
        <v>2.607068441710059E-2</v>
      </c>
      <c r="L2503" t="s">
        <v>162</v>
      </c>
      <c r="N2503" t="s">
        <v>341</v>
      </c>
      <c r="O2503" t="s">
        <v>170</v>
      </c>
      <c r="P2503">
        <v>6.1551310723209924E-3</v>
      </c>
      <c r="Q2503" t="s">
        <v>162</v>
      </c>
      <c r="S2503" t="s">
        <v>453</v>
      </c>
      <c r="T2503" t="s">
        <v>170</v>
      </c>
      <c r="U2503">
        <v>1.0080112375984265E-2</v>
      </c>
      <c r="V2503" t="s">
        <v>162</v>
      </c>
    </row>
    <row r="2504" spans="9:22" x14ac:dyDescent="0.45">
      <c r="I2504" t="s">
        <v>229</v>
      </c>
      <c r="J2504" t="s">
        <v>525</v>
      </c>
      <c r="K2504">
        <v>5.8047036508128043E-2</v>
      </c>
      <c r="L2504" t="s">
        <v>162</v>
      </c>
      <c r="N2504" t="s">
        <v>341</v>
      </c>
      <c r="O2504" t="s">
        <v>525</v>
      </c>
      <c r="P2504">
        <v>1.7376150740388226E-2</v>
      </c>
      <c r="Q2504" t="s">
        <v>162</v>
      </c>
      <c r="S2504" t="s">
        <v>453</v>
      </c>
      <c r="T2504" t="s">
        <v>525</v>
      </c>
      <c r="U2504">
        <v>2.598743191991917E-2</v>
      </c>
      <c r="V2504" t="s">
        <v>162</v>
      </c>
    </row>
    <row r="2505" spans="9:22" x14ac:dyDescent="0.45">
      <c r="I2505" t="s">
        <v>229</v>
      </c>
      <c r="J2505" t="s">
        <v>526</v>
      </c>
      <c r="K2505">
        <v>6.8509433047877237E-3</v>
      </c>
      <c r="L2505" t="s">
        <v>162</v>
      </c>
      <c r="N2505" t="s">
        <v>341</v>
      </c>
      <c r="O2505" t="s">
        <v>526</v>
      </c>
      <c r="P2505">
        <v>3.5035004545644365E-3</v>
      </c>
      <c r="Q2505" t="s">
        <v>162</v>
      </c>
      <c r="S2505" t="s">
        <v>453</v>
      </c>
      <c r="T2505" t="s">
        <v>526</v>
      </c>
      <c r="U2505">
        <v>5.1837374019573848E-3</v>
      </c>
      <c r="V2505" t="s">
        <v>162</v>
      </c>
    </row>
    <row r="2506" spans="9:22" x14ac:dyDescent="0.45">
      <c r="I2506" t="s">
        <v>229</v>
      </c>
      <c r="J2506" t="s">
        <v>527</v>
      </c>
      <c r="K2506">
        <v>4.665604893743157E-3</v>
      </c>
      <c r="L2506" t="s">
        <v>162</v>
      </c>
      <c r="N2506" t="s">
        <v>341</v>
      </c>
      <c r="O2506" t="s">
        <v>527</v>
      </c>
      <c r="P2506">
        <v>2.3504821829069808E-2</v>
      </c>
      <c r="Q2506" t="s">
        <v>162</v>
      </c>
      <c r="S2506" t="s">
        <v>453</v>
      </c>
      <c r="T2506" t="s">
        <v>527</v>
      </c>
      <c r="U2506">
        <v>3.2132522907809463E-2</v>
      </c>
      <c r="V2506" t="s">
        <v>162</v>
      </c>
    </row>
    <row r="2507" spans="9:22" x14ac:dyDescent="0.45">
      <c r="I2507" t="s">
        <v>229</v>
      </c>
      <c r="J2507" t="s">
        <v>528</v>
      </c>
      <c r="K2507">
        <v>0.10963049024355656</v>
      </c>
      <c r="L2507" t="s">
        <v>162</v>
      </c>
      <c r="N2507" t="s">
        <v>341</v>
      </c>
      <c r="O2507" t="s">
        <v>528</v>
      </c>
      <c r="P2507">
        <v>6.327982099966728E-2</v>
      </c>
      <c r="Q2507" t="s">
        <v>162</v>
      </c>
      <c r="S2507" t="s">
        <v>453</v>
      </c>
      <c r="T2507" t="s">
        <v>528</v>
      </c>
      <c r="U2507">
        <v>6.5020198680394214E-2</v>
      </c>
      <c r="V2507" t="s">
        <v>162</v>
      </c>
    </row>
    <row r="2508" spans="9:22" x14ac:dyDescent="0.45">
      <c r="I2508" t="s">
        <v>229</v>
      </c>
      <c r="J2508" t="s">
        <v>529</v>
      </c>
      <c r="K2508">
        <v>3.5201347443200789E-2</v>
      </c>
      <c r="L2508" t="s">
        <v>162</v>
      </c>
      <c r="N2508" t="s">
        <v>341</v>
      </c>
      <c r="O2508" t="s">
        <v>529</v>
      </c>
      <c r="P2508">
        <v>7.3589575827807865E-3</v>
      </c>
      <c r="Q2508" t="s">
        <v>162</v>
      </c>
      <c r="S2508" t="s">
        <v>453</v>
      </c>
      <c r="T2508" t="s">
        <v>529</v>
      </c>
      <c r="U2508">
        <v>6.156648894597821E-3</v>
      </c>
      <c r="V2508" t="s">
        <v>162</v>
      </c>
    </row>
    <row r="2509" spans="9:22" x14ac:dyDescent="0.45">
      <c r="I2509" t="s">
        <v>229</v>
      </c>
      <c r="J2509" t="s">
        <v>530</v>
      </c>
      <c r="K2509">
        <v>7.0840348066721737E-2</v>
      </c>
      <c r="L2509" t="s">
        <v>162</v>
      </c>
      <c r="N2509" t="s">
        <v>341</v>
      </c>
      <c r="O2509" t="s">
        <v>530</v>
      </c>
      <c r="P2509">
        <v>1.6568805634082723E-2</v>
      </c>
      <c r="Q2509" t="s">
        <v>162</v>
      </c>
      <c r="S2509" t="s">
        <v>453</v>
      </c>
      <c r="T2509" t="s">
        <v>530</v>
      </c>
      <c r="U2509">
        <v>1.2389651442444853E-2</v>
      </c>
      <c r="V2509" t="s">
        <v>162</v>
      </c>
    </row>
    <row r="2510" spans="9:22" x14ac:dyDescent="0.45">
      <c r="I2510" t="s">
        <v>229</v>
      </c>
      <c r="J2510" t="s">
        <v>531</v>
      </c>
      <c r="K2510">
        <v>0.16278829494234714</v>
      </c>
      <c r="L2510" t="s">
        <v>162</v>
      </c>
      <c r="N2510" t="s">
        <v>341</v>
      </c>
      <c r="O2510" t="s">
        <v>531</v>
      </c>
      <c r="P2510">
        <v>4.7950231451728734E-2</v>
      </c>
      <c r="Q2510" t="s">
        <v>162</v>
      </c>
      <c r="S2510" t="s">
        <v>453</v>
      </c>
      <c r="T2510" t="s">
        <v>531</v>
      </c>
      <c r="U2510">
        <v>3.4199423593074173E-2</v>
      </c>
      <c r="V2510" t="s">
        <v>162</v>
      </c>
    </row>
    <row r="2511" spans="9:22" x14ac:dyDescent="0.45">
      <c r="I2511" t="s">
        <v>229</v>
      </c>
      <c r="J2511" t="s">
        <v>532</v>
      </c>
      <c r="K2511">
        <v>2.4130336155960632E-2</v>
      </c>
      <c r="L2511" t="s">
        <v>162</v>
      </c>
      <c r="N2511" t="s">
        <v>341</v>
      </c>
      <c r="O2511" t="s">
        <v>532</v>
      </c>
      <c r="P2511">
        <v>8.2377940172049663E-3</v>
      </c>
      <c r="Q2511" t="s">
        <v>162</v>
      </c>
      <c r="S2511" t="s">
        <v>453</v>
      </c>
      <c r="T2511" t="s">
        <v>532</v>
      </c>
      <c r="U2511">
        <v>7.4184333540884672E-3</v>
      </c>
      <c r="V2511" t="s">
        <v>162</v>
      </c>
    </row>
    <row r="2512" spans="9:22" x14ac:dyDescent="0.45">
      <c r="I2512" t="s">
        <v>229</v>
      </c>
      <c r="J2512" t="s">
        <v>533</v>
      </c>
      <c r="K2512">
        <v>3.6883880664789953E-2</v>
      </c>
      <c r="L2512" t="s">
        <v>162</v>
      </c>
      <c r="N2512" t="s">
        <v>341</v>
      </c>
      <c r="O2512" t="s">
        <v>533</v>
      </c>
      <c r="P2512">
        <v>5.021951533518438E-2</v>
      </c>
      <c r="Q2512" t="s">
        <v>162</v>
      </c>
      <c r="S2512" t="s">
        <v>453</v>
      </c>
      <c r="T2512" t="s">
        <v>533</v>
      </c>
      <c r="U2512">
        <v>4.8085804146896484E-2</v>
      </c>
      <c r="V2512" t="s">
        <v>162</v>
      </c>
    </row>
    <row r="2513" spans="9:22" x14ac:dyDescent="0.45">
      <c r="I2513" t="s">
        <v>229</v>
      </c>
      <c r="J2513" t="s">
        <v>534</v>
      </c>
      <c r="K2513">
        <v>3.4546374481559394E-2</v>
      </c>
      <c r="L2513" t="s">
        <v>162</v>
      </c>
      <c r="N2513" t="s">
        <v>341</v>
      </c>
      <c r="O2513" t="s">
        <v>534</v>
      </c>
      <c r="P2513">
        <v>7.2568032004702188E-2</v>
      </c>
      <c r="Q2513" t="s">
        <v>162</v>
      </c>
      <c r="S2513" t="s">
        <v>453</v>
      </c>
      <c r="T2513" t="s">
        <v>534</v>
      </c>
      <c r="U2513">
        <v>0.11237650009956102</v>
      </c>
      <c r="V2513" t="s">
        <v>162</v>
      </c>
    </row>
    <row r="2514" spans="9:22" x14ac:dyDescent="0.45">
      <c r="I2514" t="s">
        <v>229</v>
      </c>
      <c r="J2514" t="s">
        <v>535</v>
      </c>
      <c r="K2514">
        <v>1.7286480743031591E-2</v>
      </c>
      <c r="L2514" t="s">
        <v>162</v>
      </c>
      <c r="N2514" t="s">
        <v>341</v>
      </c>
      <c r="O2514" t="s">
        <v>535</v>
      </c>
      <c r="P2514">
        <v>8.7734509545691047E-3</v>
      </c>
      <c r="Q2514" t="s">
        <v>162</v>
      </c>
      <c r="S2514" t="s">
        <v>453</v>
      </c>
      <c r="T2514" t="s">
        <v>535</v>
      </c>
      <c r="U2514">
        <v>1.1643353231623113E-2</v>
      </c>
      <c r="V2514" t="s">
        <v>162</v>
      </c>
    </row>
    <row r="2515" spans="9:22" x14ac:dyDescent="0.45">
      <c r="I2515" t="s">
        <v>229</v>
      </c>
      <c r="J2515" t="s">
        <v>536</v>
      </c>
      <c r="K2515">
        <v>3.6248106557575849E-2</v>
      </c>
      <c r="L2515" t="s">
        <v>162</v>
      </c>
      <c r="N2515" t="s">
        <v>341</v>
      </c>
      <c r="O2515" t="s">
        <v>536</v>
      </c>
      <c r="P2515">
        <v>1.9068191052158571E-2</v>
      </c>
      <c r="Q2515" t="s">
        <v>162</v>
      </c>
      <c r="S2515" t="s">
        <v>453</v>
      </c>
      <c r="T2515" t="s">
        <v>536</v>
      </c>
      <c r="U2515">
        <v>2.222733772067181E-2</v>
      </c>
      <c r="V2515" t="s">
        <v>162</v>
      </c>
    </row>
    <row r="2516" spans="9:22" x14ac:dyDescent="0.45">
      <c r="I2516" t="s">
        <v>229</v>
      </c>
      <c r="J2516" t="s">
        <v>537</v>
      </c>
      <c r="K2516">
        <v>7.5732170173227198E-2</v>
      </c>
      <c r="L2516" t="s">
        <v>162</v>
      </c>
      <c r="N2516" t="s">
        <v>341</v>
      </c>
      <c r="O2516" t="s">
        <v>537</v>
      </c>
      <c r="P2516">
        <v>5.0212633081254322E-2</v>
      </c>
      <c r="Q2516" t="s">
        <v>162</v>
      </c>
      <c r="S2516" t="s">
        <v>453</v>
      </c>
      <c r="T2516" t="s">
        <v>537</v>
      </c>
      <c r="U2516">
        <v>5.4195955330147282E-2</v>
      </c>
      <c r="V2516" t="s">
        <v>162</v>
      </c>
    </row>
    <row r="2517" spans="9:22" x14ac:dyDescent="0.45">
      <c r="I2517" t="s">
        <v>229</v>
      </c>
      <c r="J2517" t="s">
        <v>538</v>
      </c>
      <c r="K2517">
        <v>7.720121609445749E-3</v>
      </c>
      <c r="L2517" t="s">
        <v>162</v>
      </c>
      <c r="N2517" t="s">
        <v>341</v>
      </c>
      <c r="O2517" t="s">
        <v>538</v>
      </c>
      <c r="P2517">
        <v>8.9121102304527498E-3</v>
      </c>
      <c r="Q2517" t="s">
        <v>162</v>
      </c>
      <c r="S2517" t="s">
        <v>453</v>
      </c>
      <c r="T2517" t="s">
        <v>538</v>
      </c>
      <c r="U2517">
        <v>1.1510325787697815E-2</v>
      </c>
      <c r="V2517" t="s">
        <v>162</v>
      </c>
    </row>
    <row r="2518" spans="9:22" x14ac:dyDescent="0.45">
      <c r="I2518" t="s">
        <v>229</v>
      </c>
      <c r="J2518" t="s">
        <v>539</v>
      </c>
      <c r="K2518">
        <v>6.9875306222307518E-3</v>
      </c>
      <c r="L2518" t="s">
        <v>162</v>
      </c>
      <c r="N2518" t="s">
        <v>341</v>
      </c>
      <c r="O2518" t="s">
        <v>539</v>
      </c>
      <c r="P2518">
        <v>5.3420430126583561E-2</v>
      </c>
      <c r="Q2518" t="s">
        <v>162</v>
      </c>
      <c r="S2518" t="s">
        <v>453</v>
      </c>
      <c r="T2518" t="s">
        <v>539</v>
      </c>
      <c r="U2518">
        <v>7.5568483659640598E-2</v>
      </c>
      <c r="V2518" t="s">
        <v>162</v>
      </c>
    </row>
    <row r="2519" spans="9:22" x14ac:dyDescent="0.45">
      <c r="I2519" t="s">
        <v>229</v>
      </c>
      <c r="J2519" t="s">
        <v>540</v>
      </c>
      <c r="K2519">
        <v>6.8976555070123457E-4</v>
      </c>
      <c r="L2519" t="s">
        <v>162</v>
      </c>
      <c r="N2519" t="s">
        <v>341</v>
      </c>
      <c r="O2519" t="s">
        <v>540</v>
      </c>
      <c r="P2519">
        <v>3.5686047589663497E-2</v>
      </c>
      <c r="Q2519" t="s">
        <v>162</v>
      </c>
      <c r="S2519" t="s">
        <v>453</v>
      </c>
      <c r="T2519" t="s">
        <v>540</v>
      </c>
      <c r="U2519">
        <v>4.5831470480050027E-2</v>
      </c>
      <c r="V2519" t="s">
        <v>162</v>
      </c>
    </row>
    <row r="2520" spans="9:22" x14ac:dyDescent="0.45">
      <c r="I2520" t="s">
        <v>229</v>
      </c>
      <c r="J2520" t="s">
        <v>541</v>
      </c>
      <c r="K2520">
        <v>3.2168285695933991E-3</v>
      </c>
      <c r="L2520" t="s">
        <v>162</v>
      </c>
      <c r="N2520" t="s">
        <v>341</v>
      </c>
      <c r="O2520" t="s">
        <v>541</v>
      </c>
      <c r="P2520">
        <v>4.0204777210258577E-3</v>
      </c>
      <c r="Q2520" t="s">
        <v>162</v>
      </c>
      <c r="S2520" t="s">
        <v>453</v>
      </c>
      <c r="T2520" t="s">
        <v>541</v>
      </c>
      <c r="U2520">
        <v>5.8879633491956823E-3</v>
      </c>
      <c r="V2520" t="s">
        <v>162</v>
      </c>
    </row>
    <row r="2521" spans="9:22" x14ac:dyDescent="0.45">
      <c r="I2521" t="s">
        <v>229</v>
      </c>
      <c r="J2521" t="s">
        <v>542</v>
      </c>
      <c r="K2521">
        <v>9.2295472254344414E-3</v>
      </c>
      <c r="L2521" t="s">
        <v>162</v>
      </c>
      <c r="N2521" t="s">
        <v>341</v>
      </c>
      <c r="O2521" t="s">
        <v>542</v>
      </c>
      <c r="P2521">
        <v>7.8879904297729595E-3</v>
      </c>
      <c r="Q2521" t="s">
        <v>162</v>
      </c>
      <c r="S2521" t="s">
        <v>453</v>
      </c>
      <c r="T2521" t="s">
        <v>542</v>
      </c>
      <c r="U2521">
        <v>1.220160458059358E-2</v>
      </c>
      <c r="V2521" t="s">
        <v>162</v>
      </c>
    </row>
    <row r="2522" spans="9:22" x14ac:dyDescent="0.45">
      <c r="I2522" t="s">
        <v>229</v>
      </c>
      <c r="J2522" t="s">
        <v>543</v>
      </c>
      <c r="K2522">
        <v>1.4045918966598351E-2</v>
      </c>
      <c r="L2522" t="s">
        <v>162</v>
      </c>
      <c r="N2522" t="s">
        <v>341</v>
      </c>
      <c r="O2522" t="s">
        <v>543</v>
      </c>
      <c r="P2522">
        <v>1.9532086506670161E-2</v>
      </c>
      <c r="Q2522" t="s">
        <v>162</v>
      </c>
      <c r="S2522" t="s">
        <v>453</v>
      </c>
      <c r="T2522" t="s">
        <v>543</v>
      </c>
      <c r="U2522">
        <v>2.7930349473946889E-2</v>
      </c>
      <c r="V2522" t="s">
        <v>162</v>
      </c>
    </row>
    <row r="2523" spans="9:22" x14ac:dyDescent="0.45">
      <c r="I2523" t="s">
        <v>229</v>
      </c>
      <c r="J2523" t="s">
        <v>544</v>
      </c>
      <c r="K2523">
        <v>0</v>
      </c>
      <c r="L2523" t="s">
        <v>162</v>
      </c>
      <c r="N2523" t="s">
        <v>341</v>
      </c>
      <c r="O2523" t="s">
        <v>544</v>
      </c>
      <c r="P2523">
        <v>3.8170880909440146E-3</v>
      </c>
      <c r="Q2523" t="s">
        <v>162</v>
      </c>
      <c r="S2523" t="s">
        <v>453</v>
      </c>
      <c r="T2523" t="s">
        <v>544</v>
      </c>
      <c r="U2523">
        <v>4.9383535197815411E-3</v>
      </c>
      <c r="V2523" t="s">
        <v>162</v>
      </c>
    </row>
    <row r="2524" spans="9:22" x14ac:dyDescent="0.45">
      <c r="I2524" t="s">
        <v>229</v>
      </c>
      <c r="J2524" t="s">
        <v>545</v>
      </c>
      <c r="K2524">
        <v>0</v>
      </c>
      <c r="L2524" t="s">
        <v>162</v>
      </c>
      <c r="N2524" t="s">
        <v>341</v>
      </c>
      <c r="O2524" t="s">
        <v>545</v>
      </c>
      <c r="P2524">
        <v>2.3434899421582129E-2</v>
      </c>
      <c r="Q2524" t="s">
        <v>162</v>
      </c>
      <c r="S2524" t="s">
        <v>453</v>
      </c>
      <c r="T2524" t="s">
        <v>545</v>
      </c>
      <c r="U2524">
        <v>2.9100832857254101E-2</v>
      </c>
      <c r="V2524" t="s">
        <v>162</v>
      </c>
    </row>
    <row r="2525" spans="9:22" x14ac:dyDescent="0.45">
      <c r="I2525" t="s">
        <v>229</v>
      </c>
      <c r="J2525" t="s">
        <v>546</v>
      </c>
      <c r="K2525">
        <v>0</v>
      </c>
      <c r="L2525" t="s">
        <v>162</v>
      </c>
      <c r="N2525" t="s">
        <v>341</v>
      </c>
      <c r="O2525" t="s">
        <v>546</v>
      </c>
      <c r="P2525">
        <v>3.8490834309566457E-2</v>
      </c>
      <c r="Q2525" t="s">
        <v>162</v>
      </c>
      <c r="S2525" t="s">
        <v>453</v>
      </c>
      <c r="T2525" t="s">
        <v>546</v>
      </c>
      <c r="U2525">
        <v>4.5977700172853075E-2</v>
      </c>
      <c r="V2525" t="s">
        <v>162</v>
      </c>
    </row>
    <row r="2526" spans="9:22" x14ac:dyDescent="0.45">
      <c r="I2526" t="s">
        <v>229</v>
      </c>
      <c r="J2526" t="s">
        <v>547</v>
      </c>
      <c r="K2526">
        <v>9.3497725068825729E-4</v>
      </c>
      <c r="L2526" t="s">
        <v>162</v>
      </c>
      <c r="N2526" t="s">
        <v>341</v>
      </c>
      <c r="O2526" t="s">
        <v>547</v>
      </c>
      <c r="P2526">
        <v>3.367771505953254E-3</v>
      </c>
      <c r="Q2526" t="s">
        <v>162</v>
      </c>
      <c r="S2526" t="s">
        <v>453</v>
      </c>
      <c r="T2526" t="s">
        <v>547</v>
      </c>
      <c r="U2526">
        <v>4.9168232124874945E-3</v>
      </c>
      <c r="V2526" t="s">
        <v>162</v>
      </c>
    </row>
    <row r="2527" spans="9:22" x14ac:dyDescent="0.45">
      <c r="I2527" t="s">
        <v>229</v>
      </c>
      <c r="J2527" t="s">
        <v>548</v>
      </c>
      <c r="K2527">
        <v>8.6462947228936968E-3</v>
      </c>
      <c r="L2527" t="s">
        <v>162</v>
      </c>
      <c r="N2527" t="s">
        <v>341</v>
      </c>
      <c r="O2527" t="s">
        <v>548</v>
      </c>
      <c r="P2527">
        <v>5.1682855217792395E-3</v>
      </c>
      <c r="Q2527" t="s">
        <v>162</v>
      </c>
      <c r="S2527" t="s">
        <v>453</v>
      </c>
      <c r="T2527" t="s">
        <v>548</v>
      </c>
      <c r="U2527">
        <v>9.8446901795614886E-3</v>
      </c>
      <c r="V2527" t="s">
        <v>162</v>
      </c>
    </row>
    <row r="2528" spans="9:22" x14ac:dyDescent="0.45">
      <c r="I2528" t="s">
        <v>229</v>
      </c>
      <c r="J2528" t="s">
        <v>549</v>
      </c>
      <c r="K2528">
        <v>1.0893342739757577E-2</v>
      </c>
      <c r="L2528" t="s">
        <v>162</v>
      </c>
      <c r="N2528" t="s">
        <v>341</v>
      </c>
      <c r="O2528" t="s">
        <v>549</v>
      </c>
      <c r="P2528">
        <v>1.4340183767743124E-2</v>
      </c>
      <c r="Q2528" t="s">
        <v>162</v>
      </c>
      <c r="S2528" t="s">
        <v>453</v>
      </c>
      <c r="T2528" t="s">
        <v>549</v>
      </c>
      <c r="U2528">
        <v>2.6111923897056383E-2</v>
      </c>
      <c r="V2528" t="s">
        <v>162</v>
      </c>
    </row>
    <row r="2529" spans="9:22" x14ac:dyDescent="0.45">
      <c r="I2529" t="s">
        <v>229</v>
      </c>
      <c r="J2529" t="s">
        <v>550</v>
      </c>
      <c r="K2529">
        <v>0</v>
      </c>
      <c r="L2529" t="s">
        <v>162</v>
      </c>
      <c r="N2529" t="s">
        <v>341</v>
      </c>
      <c r="O2529" t="s">
        <v>550</v>
      </c>
      <c r="P2529">
        <v>3.664510139015616E-3</v>
      </c>
      <c r="Q2529" t="s">
        <v>162</v>
      </c>
      <c r="S2529" t="s">
        <v>453</v>
      </c>
      <c r="T2529" t="s">
        <v>550</v>
      </c>
      <c r="U2529">
        <v>5.4669280492733322E-3</v>
      </c>
      <c r="V2529" t="s">
        <v>162</v>
      </c>
    </row>
    <row r="2530" spans="9:22" x14ac:dyDescent="0.45">
      <c r="I2530" t="s">
        <v>229</v>
      </c>
      <c r="J2530" t="s">
        <v>551</v>
      </c>
      <c r="K2530">
        <v>0</v>
      </c>
      <c r="L2530" t="s">
        <v>162</v>
      </c>
      <c r="N2530" t="s">
        <v>341</v>
      </c>
      <c r="O2530" t="s">
        <v>551</v>
      </c>
      <c r="P2530">
        <v>2.5443850556736661E-2</v>
      </c>
      <c r="Q2530" t="s">
        <v>162</v>
      </c>
      <c r="S2530" t="s">
        <v>453</v>
      </c>
      <c r="T2530" t="s">
        <v>551</v>
      </c>
      <c r="U2530">
        <v>3.4204555997631829E-2</v>
      </c>
      <c r="V2530" t="s">
        <v>162</v>
      </c>
    </row>
    <row r="2531" spans="9:22" x14ac:dyDescent="0.45">
      <c r="I2531" t="s">
        <v>230</v>
      </c>
      <c r="J2531" t="s">
        <v>161</v>
      </c>
      <c r="K2531">
        <v>1.7920510561030319E-6</v>
      </c>
      <c r="L2531" t="s">
        <v>162</v>
      </c>
      <c r="N2531" t="s">
        <v>342</v>
      </c>
      <c r="O2531" t="s">
        <v>161</v>
      </c>
      <c r="P2531">
        <v>4.3378138969791841E-2</v>
      </c>
      <c r="Q2531" t="s">
        <v>162</v>
      </c>
      <c r="S2531" t="s">
        <v>454</v>
      </c>
      <c r="T2531" t="s">
        <v>161</v>
      </c>
      <c r="U2531">
        <v>2.0581442113832775E-2</v>
      </c>
      <c r="V2531" t="s">
        <v>162</v>
      </c>
    </row>
    <row r="2532" spans="9:22" x14ac:dyDescent="0.45">
      <c r="I2532" t="s">
        <v>230</v>
      </c>
      <c r="J2532" t="s">
        <v>163</v>
      </c>
      <c r="K2532">
        <v>4.0119774562982751E-3</v>
      </c>
      <c r="L2532" t="s">
        <v>162</v>
      </c>
      <c r="N2532" t="s">
        <v>342</v>
      </c>
      <c r="O2532" t="s">
        <v>163</v>
      </c>
      <c r="P2532">
        <v>4.502455666426328E-3</v>
      </c>
      <c r="Q2532" t="s">
        <v>162</v>
      </c>
      <c r="S2532" t="s">
        <v>454</v>
      </c>
      <c r="T2532" t="s">
        <v>163</v>
      </c>
      <c r="U2532">
        <v>2.1324467712853963E-3</v>
      </c>
      <c r="V2532" t="s">
        <v>162</v>
      </c>
    </row>
    <row r="2533" spans="9:22" x14ac:dyDescent="0.45">
      <c r="I2533" t="s">
        <v>230</v>
      </c>
      <c r="J2533" t="s">
        <v>164</v>
      </c>
      <c r="K2533">
        <v>1.2638388927051044E-2</v>
      </c>
      <c r="L2533" t="s">
        <v>162</v>
      </c>
      <c r="N2533" t="s">
        <v>342</v>
      </c>
      <c r="O2533" t="s">
        <v>164</v>
      </c>
      <c r="P2533">
        <v>8.1530707308025314E-3</v>
      </c>
      <c r="Q2533" t="s">
        <v>162</v>
      </c>
      <c r="S2533" t="s">
        <v>454</v>
      </c>
      <c r="T2533" t="s">
        <v>164</v>
      </c>
      <c r="U2533">
        <v>4.3245969023907819E-3</v>
      </c>
      <c r="V2533" t="s">
        <v>162</v>
      </c>
    </row>
    <row r="2534" spans="9:22" x14ac:dyDescent="0.45">
      <c r="I2534" t="s">
        <v>230</v>
      </c>
      <c r="J2534" t="s">
        <v>519</v>
      </c>
      <c r="K2534">
        <v>2.087689068219899E-2</v>
      </c>
      <c r="L2534" t="s">
        <v>162</v>
      </c>
      <c r="N2534" t="s">
        <v>342</v>
      </c>
      <c r="O2534" t="s">
        <v>519</v>
      </c>
      <c r="P2534">
        <v>2.1297180653124758E-2</v>
      </c>
      <c r="Q2534" t="s">
        <v>162</v>
      </c>
      <c r="S2534" t="s">
        <v>454</v>
      </c>
      <c r="T2534" t="s">
        <v>519</v>
      </c>
      <c r="U2534">
        <v>1.1211921127918625E-2</v>
      </c>
      <c r="V2534" t="s">
        <v>162</v>
      </c>
    </row>
    <row r="2535" spans="9:22" x14ac:dyDescent="0.45">
      <c r="I2535" t="s">
        <v>230</v>
      </c>
      <c r="J2535" t="s">
        <v>520</v>
      </c>
      <c r="K2535">
        <v>0</v>
      </c>
      <c r="L2535" t="s">
        <v>162</v>
      </c>
      <c r="N2535" t="s">
        <v>342</v>
      </c>
      <c r="O2535" t="s">
        <v>520</v>
      </c>
      <c r="P2535">
        <v>5.4622366752612147E-3</v>
      </c>
      <c r="Q2535" t="s">
        <v>162</v>
      </c>
      <c r="S2535" t="s">
        <v>454</v>
      </c>
      <c r="T2535" t="s">
        <v>520</v>
      </c>
      <c r="U2535">
        <v>2.4597581225027851E-3</v>
      </c>
      <c r="V2535" t="s">
        <v>162</v>
      </c>
    </row>
    <row r="2536" spans="9:22" x14ac:dyDescent="0.45">
      <c r="I2536" t="s">
        <v>230</v>
      </c>
      <c r="J2536" t="s">
        <v>521</v>
      </c>
      <c r="K2536">
        <v>0</v>
      </c>
      <c r="L2536" t="s">
        <v>162</v>
      </c>
      <c r="N2536" t="s">
        <v>342</v>
      </c>
      <c r="O2536" t="s">
        <v>521</v>
      </c>
      <c r="P2536">
        <v>3.3161422157974893E-2</v>
      </c>
      <c r="Q2536" t="s">
        <v>162</v>
      </c>
      <c r="S2536" t="s">
        <v>454</v>
      </c>
      <c r="T2536" t="s">
        <v>521</v>
      </c>
      <c r="U2536">
        <v>1.5421466992510206E-2</v>
      </c>
      <c r="V2536" t="s">
        <v>162</v>
      </c>
    </row>
    <row r="2537" spans="9:22" x14ac:dyDescent="0.45">
      <c r="I2537" t="s">
        <v>230</v>
      </c>
      <c r="J2537" t="s">
        <v>165</v>
      </c>
      <c r="K2537">
        <v>1.6110531068075754E-2</v>
      </c>
      <c r="L2537" t="s">
        <v>162</v>
      </c>
      <c r="N2537" t="s">
        <v>342</v>
      </c>
      <c r="O2537" t="s">
        <v>165</v>
      </c>
      <c r="P2537">
        <v>8.1240351386601795E-2</v>
      </c>
      <c r="Q2537" t="s">
        <v>162</v>
      </c>
      <c r="S2537" t="s">
        <v>454</v>
      </c>
      <c r="T2537" t="s">
        <v>165</v>
      </c>
      <c r="U2537">
        <v>5.9697380980719104E-2</v>
      </c>
      <c r="V2537" t="s">
        <v>162</v>
      </c>
    </row>
    <row r="2538" spans="9:22" x14ac:dyDescent="0.45">
      <c r="I2538" t="s">
        <v>230</v>
      </c>
      <c r="J2538" t="s">
        <v>166</v>
      </c>
      <c r="K2538">
        <v>1.6935791058712402E-2</v>
      </c>
      <c r="L2538" t="s">
        <v>162</v>
      </c>
      <c r="N2538" t="s">
        <v>342</v>
      </c>
      <c r="O2538" t="s">
        <v>166</v>
      </c>
      <c r="P2538">
        <v>8.3199571273076308E-3</v>
      </c>
      <c r="Q2538" t="s">
        <v>162</v>
      </c>
      <c r="S2538" t="s">
        <v>454</v>
      </c>
      <c r="T2538" t="s">
        <v>166</v>
      </c>
      <c r="U2538">
        <v>6.50372941625751E-3</v>
      </c>
      <c r="V2538" t="s">
        <v>162</v>
      </c>
    </row>
    <row r="2539" spans="9:22" x14ac:dyDescent="0.45">
      <c r="I2539" t="s">
        <v>230</v>
      </c>
      <c r="J2539" t="s">
        <v>167</v>
      </c>
      <c r="K2539">
        <v>4.1116447429091138E-2</v>
      </c>
      <c r="L2539" t="s">
        <v>162</v>
      </c>
      <c r="N2539" t="s">
        <v>342</v>
      </c>
      <c r="O2539" t="s">
        <v>167</v>
      </c>
      <c r="P2539">
        <v>1.551800292991324E-2</v>
      </c>
      <c r="Q2539" t="s">
        <v>162</v>
      </c>
      <c r="S2539" t="s">
        <v>454</v>
      </c>
      <c r="T2539" t="s">
        <v>167</v>
      </c>
      <c r="U2539">
        <v>1.2566712991473647E-2</v>
      </c>
      <c r="V2539" t="s">
        <v>162</v>
      </c>
    </row>
    <row r="2540" spans="9:22" x14ac:dyDescent="0.45">
      <c r="I2540" t="s">
        <v>230</v>
      </c>
      <c r="J2540" t="s">
        <v>522</v>
      </c>
      <c r="K2540">
        <v>8.9062233687606199E-2</v>
      </c>
      <c r="L2540" t="s">
        <v>162</v>
      </c>
      <c r="N2540" t="s">
        <v>342</v>
      </c>
      <c r="O2540" t="s">
        <v>522</v>
      </c>
      <c r="P2540">
        <v>3.861883691860938E-2</v>
      </c>
      <c r="Q2540" t="s">
        <v>162</v>
      </c>
      <c r="S2540" t="s">
        <v>454</v>
      </c>
      <c r="T2540" t="s">
        <v>522</v>
      </c>
      <c r="U2540">
        <v>3.135423695860319E-2</v>
      </c>
      <c r="V2540" t="s">
        <v>162</v>
      </c>
    </row>
    <row r="2541" spans="9:22" x14ac:dyDescent="0.45">
      <c r="I2541" t="s">
        <v>230</v>
      </c>
      <c r="J2541" t="s">
        <v>523</v>
      </c>
      <c r="K2541">
        <v>5.6262762860092913E-3</v>
      </c>
      <c r="L2541" t="s">
        <v>162</v>
      </c>
      <c r="N2541" t="s">
        <v>342</v>
      </c>
      <c r="O2541" t="s">
        <v>523</v>
      </c>
      <c r="P2541">
        <v>8.4256307997302229E-3</v>
      </c>
      <c r="Q2541" t="s">
        <v>162</v>
      </c>
      <c r="S2541" t="s">
        <v>454</v>
      </c>
      <c r="T2541" t="s">
        <v>523</v>
      </c>
      <c r="U2541">
        <v>6.7697952320898954E-3</v>
      </c>
      <c r="V2541" t="s">
        <v>162</v>
      </c>
    </row>
    <row r="2542" spans="9:22" x14ac:dyDescent="0.45">
      <c r="I2542" t="s">
        <v>230</v>
      </c>
      <c r="J2542" t="s">
        <v>524</v>
      </c>
      <c r="K2542">
        <v>4.649455634556712E-4</v>
      </c>
      <c r="L2542" t="s">
        <v>162</v>
      </c>
      <c r="N2542" t="s">
        <v>342</v>
      </c>
      <c r="O2542" t="s">
        <v>524</v>
      </c>
      <c r="P2542">
        <v>5.4494581903176222E-2</v>
      </c>
      <c r="Q2542" t="s">
        <v>162</v>
      </c>
      <c r="S2542" t="s">
        <v>454</v>
      </c>
      <c r="T2542" t="s">
        <v>524</v>
      </c>
      <c r="U2542">
        <v>4.0684294347037651E-2</v>
      </c>
      <c r="V2542" t="s">
        <v>162</v>
      </c>
    </row>
    <row r="2543" spans="9:22" x14ac:dyDescent="0.45">
      <c r="I2543" t="s">
        <v>230</v>
      </c>
      <c r="J2543" t="s">
        <v>168</v>
      </c>
      <c r="K2543">
        <v>2.5020437093803461E-2</v>
      </c>
      <c r="L2543" t="s">
        <v>162</v>
      </c>
      <c r="N2543" t="s">
        <v>342</v>
      </c>
      <c r="O2543" t="s">
        <v>168</v>
      </c>
      <c r="P2543">
        <v>3.1487267760671546E-2</v>
      </c>
      <c r="Q2543" t="s">
        <v>162</v>
      </c>
      <c r="S2543" t="s">
        <v>454</v>
      </c>
      <c r="T2543" t="s">
        <v>168</v>
      </c>
      <c r="U2543">
        <v>3.5331646481546054E-2</v>
      </c>
      <c r="V2543" t="s">
        <v>162</v>
      </c>
    </row>
    <row r="2544" spans="9:22" x14ac:dyDescent="0.45">
      <c r="I2544" t="s">
        <v>230</v>
      </c>
      <c r="J2544" t="s">
        <v>169</v>
      </c>
      <c r="K2544">
        <v>1.1831275567221113E-2</v>
      </c>
      <c r="L2544" t="s">
        <v>162</v>
      </c>
      <c r="N2544" t="s">
        <v>342</v>
      </c>
      <c r="O2544" t="s">
        <v>169</v>
      </c>
      <c r="P2544">
        <v>3.0711076874287754E-3</v>
      </c>
      <c r="Q2544" t="s">
        <v>162</v>
      </c>
      <c r="S2544" t="s">
        <v>454</v>
      </c>
      <c r="T2544" t="s">
        <v>169</v>
      </c>
      <c r="U2544">
        <v>3.5894686192819597E-3</v>
      </c>
      <c r="V2544" t="s">
        <v>162</v>
      </c>
    </row>
    <row r="2545" spans="9:22" x14ac:dyDescent="0.45">
      <c r="I2545" t="s">
        <v>230</v>
      </c>
      <c r="J2545" t="s">
        <v>170</v>
      </c>
      <c r="K2545">
        <v>2.492961935439348E-2</v>
      </c>
      <c r="L2545" t="s">
        <v>162</v>
      </c>
      <c r="N2545" t="s">
        <v>342</v>
      </c>
      <c r="O2545" t="s">
        <v>170</v>
      </c>
      <c r="P2545">
        <v>6.2922683623996747E-3</v>
      </c>
      <c r="Q2545" t="s">
        <v>162</v>
      </c>
      <c r="S2545" t="s">
        <v>454</v>
      </c>
      <c r="T2545" t="s">
        <v>170</v>
      </c>
      <c r="U2545">
        <v>7.147215622431766E-3</v>
      </c>
      <c r="V2545" t="s">
        <v>162</v>
      </c>
    </row>
    <row r="2546" spans="9:22" x14ac:dyDescent="0.45">
      <c r="I2546" t="s">
        <v>230</v>
      </c>
      <c r="J2546" t="s">
        <v>525</v>
      </c>
      <c r="K2546">
        <v>5.7681930891531535E-2</v>
      </c>
      <c r="L2546" t="s">
        <v>162</v>
      </c>
      <c r="N2546" t="s">
        <v>342</v>
      </c>
      <c r="O2546" t="s">
        <v>525</v>
      </c>
      <c r="P2546">
        <v>1.6904159755280677E-2</v>
      </c>
      <c r="Q2546" t="s">
        <v>162</v>
      </c>
      <c r="S2546" t="s">
        <v>454</v>
      </c>
      <c r="T2546" t="s">
        <v>525</v>
      </c>
      <c r="U2546">
        <v>1.9692639268763055E-2</v>
      </c>
      <c r="V2546" t="s">
        <v>162</v>
      </c>
    </row>
    <row r="2547" spans="9:22" x14ac:dyDescent="0.45">
      <c r="I2547" t="s">
        <v>230</v>
      </c>
      <c r="J2547" t="s">
        <v>526</v>
      </c>
      <c r="K2547">
        <v>6.664123295474284E-3</v>
      </c>
      <c r="L2547" t="s">
        <v>162</v>
      </c>
      <c r="N2547" t="s">
        <v>342</v>
      </c>
      <c r="O2547" t="s">
        <v>526</v>
      </c>
      <c r="P2547">
        <v>3.3505475709098235E-3</v>
      </c>
      <c r="Q2547" t="s">
        <v>162</v>
      </c>
      <c r="S2547" t="s">
        <v>454</v>
      </c>
      <c r="T2547" t="s">
        <v>526</v>
      </c>
      <c r="U2547">
        <v>4.228880483416084E-3</v>
      </c>
      <c r="V2547" t="s">
        <v>162</v>
      </c>
    </row>
    <row r="2548" spans="9:22" x14ac:dyDescent="0.45">
      <c r="I2548" t="s">
        <v>230</v>
      </c>
      <c r="J2548" t="s">
        <v>527</v>
      </c>
      <c r="K2548">
        <v>4.2176371787180271E-3</v>
      </c>
      <c r="L2548" t="s">
        <v>162</v>
      </c>
      <c r="N2548" t="s">
        <v>342</v>
      </c>
      <c r="O2548" t="s">
        <v>527</v>
      </c>
      <c r="P2548">
        <v>2.2328800262670295E-2</v>
      </c>
      <c r="Q2548" t="s">
        <v>162</v>
      </c>
      <c r="S2548" t="s">
        <v>454</v>
      </c>
      <c r="T2548" t="s">
        <v>527</v>
      </c>
      <c r="U2548">
        <v>2.5436863827882204E-2</v>
      </c>
      <c r="V2548" t="s">
        <v>162</v>
      </c>
    </row>
    <row r="2549" spans="9:22" x14ac:dyDescent="0.45">
      <c r="I2549" t="s">
        <v>230</v>
      </c>
      <c r="J2549" t="s">
        <v>528</v>
      </c>
      <c r="K2549">
        <v>0.10276039619199612</v>
      </c>
      <c r="L2549" t="s">
        <v>162</v>
      </c>
      <c r="N2549" t="s">
        <v>342</v>
      </c>
      <c r="O2549" t="s">
        <v>528</v>
      </c>
      <c r="P2549">
        <v>6.804319234678699E-2</v>
      </c>
      <c r="Q2549" t="s">
        <v>162</v>
      </c>
      <c r="S2549" t="s">
        <v>454</v>
      </c>
      <c r="T2549" t="s">
        <v>528</v>
      </c>
      <c r="U2549">
        <v>7.6783664447426736E-2</v>
      </c>
      <c r="V2549" t="s">
        <v>162</v>
      </c>
    </row>
    <row r="2550" spans="9:22" x14ac:dyDescent="0.45">
      <c r="I2550" t="s">
        <v>230</v>
      </c>
      <c r="J2550" t="s">
        <v>529</v>
      </c>
      <c r="K2550">
        <v>3.4842437673722158E-2</v>
      </c>
      <c r="L2550" t="s">
        <v>162</v>
      </c>
      <c r="N2550" t="s">
        <v>342</v>
      </c>
      <c r="O2550" t="s">
        <v>529</v>
      </c>
      <c r="P2550">
        <v>6.0839033690239788E-3</v>
      </c>
      <c r="Q2550" t="s">
        <v>162</v>
      </c>
      <c r="S2550" t="s">
        <v>454</v>
      </c>
      <c r="T2550" t="s">
        <v>529</v>
      </c>
      <c r="U2550">
        <v>7.8213817175056197E-3</v>
      </c>
      <c r="V2550" t="s">
        <v>162</v>
      </c>
    </row>
    <row r="2551" spans="9:22" x14ac:dyDescent="0.45">
      <c r="I2551" t="s">
        <v>230</v>
      </c>
      <c r="J2551" t="s">
        <v>530</v>
      </c>
      <c r="K2551">
        <v>7.0874612336207704E-2</v>
      </c>
      <c r="L2551" t="s">
        <v>162</v>
      </c>
      <c r="N2551" t="s">
        <v>342</v>
      </c>
      <c r="O2551" t="s">
        <v>530</v>
      </c>
      <c r="P2551">
        <v>1.3926053908535883E-2</v>
      </c>
      <c r="Q2551" t="s">
        <v>162</v>
      </c>
      <c r="S2551" t="s">
        <v>454</v>
      </c>
      <c r="T2551" t="s">
        <v>530</v>
      </c>
      <c r="U2551">
        <v>1.6058554949835588E-2</v>
      </c>
      <c r="V2551" t="s">
        <v>162</v>
      </c>
    </row>
    <row r="2552" spans="9:22" x14ac:dyDescent="0.45">
      <c r="I2552" t="s">
        <v>230</v>
      </c>
      <c r="J2552" t="s">
        <v>531</v>
      </c>
      <c r="K2552">
        <v>0.15790422068545854</v>
      </c>
      <c r="L2552" t="s">
        <v>162</v>
      </c>
      <c r="N2552" t="s">
        <v>342</v>
      </c>
      <c r="O2552" t="s">
        <v>531</v>
      </c>
      <c r="P2552">
        <v>4.3435649242756232E-2</v>
      </c>
      <c r="Q2552" t="s">
        <v>162</v>
      </c>
      <c r="S2552" t="s">
        <v>454</v>
      </c>
      <c r="T2552" t="s">
        <v>531</v>
      </c>
      <c r="U2552">
        <v>4.4226721051577739E-2</v>
      </c>
      <c r="V2552" t="s">
        <v>162</v>
      </c>
    </row>
    <row r="2553" spans="9:22" x14ac:dyDescent="0.45">
      <c r="I2553" t="s">
        <v>230</v>
      </c>
      <c r="J2553" t="s">
        <v>532</v>
      </c>
      <c r="K2553">
        <v>2.3081618242560518E-2</v>
      </c>
      <c r="L2553" t="s">
        <v>162</v>
      </c>
      <c r="N2553" t="s">
        <v>342</v>
      </c>
      <c r="O2553" t="s">
        <v>532</v>
      </c>
      <c r="P2553">
        <v>8.6987692306792989E-3</v>
      </c>
      <c r="Q2553" t="s">
        <v>162</v>
      </c>
      <c r="S2553" t="s">
        <v>454</v>
      </c>
      <c r="T2553" t="s">
        <v>532</v>
      </c>
      <c r="U2553">
        <v>9.5798057720761168E-3</v>
      </c>
      <c r="V2553" t="s">
        <v>162</v>
      </c>
    </row>
    <row r="2554" spans="9:22" x14ac:dyDescent="0.45">
      <c r="I2554" t="s">
        <v>230</v>
      </c>
      <c r="J2554" t="s">
        <v>533</v>
      </c>
      <c r="K2554">
        <v>3.459922965081947E-2</v>
      </c>
      <c r="L2554" t="s">
        <v>162</v>
      </c>
      <c r="N2554" t="s">
        <v>342</v>
      </c>
      <c r="O2554" t="s">
        <v>533</v>
      </c>
      <c r="P2554">
        <v>5.221031259648469E-2</v>
      </c>
      <c r="Q2554" t="s">
        <v>162</v>
      </c>
      <c r="S2554" t="s">
        <v>454</v>
      </c>
      <c r="T2554" t="s">
        <v>533</v>
      </c>
      <c r="U2554">
        <v>5.837120079104987E-2</v>
      </c>
      <c r="V2554" t="s">
        <v>162</v>
      </c>
    </row>
    <row r="2555" spans="9:22" x14ac:dyDescent="0.45">
      <c r="I2555" t="s">
        <v>230</v>
      </c>
      <c r="J2555" t="s">
        <v>534</v>
      </c>
      <c r="K2555">
        <v>3.486121079617964E-2</v>
      </c>
      <c r="L2555" t="s">
        <v>162</v>
      </c>
      <c r="N2555" t="s">
        <v>342</v>
      </c>
      <c r="O2555" t="s">
        <v>534</v>
      </c>
      <c r="P2555">
        <v>7.2589450006723621E-2</v>
      </c>
      <c r="Q2555" t="s">
        <v>162</v>
      </c>
      <c r="S2555" t="s">
        <v>454</v>
      </c>
      <c r="T2555" t="s">
        <v>534</v>
      </c>
      <c r="U2555">
        <v>0.10761590339343029</v>
      </c>
      <c r="V2555" t="s">
        <v>162</v>
      </c>
    </row>
    <row r="2556" spans="9:22" x14ac:dyDescent="0.45">
      <c r="I2556" t="s">
        <v>230</v>
      </c>
      <c r="J2556" t="s">
        <v>535</v>
      </c>
      <c r="K2556">
        <v>1.8095053990135862E-2</v>
      </c>
      <c r="L2556" t="s">
        <v>162</v>
      </c>
      <c r="N2556" t="s">
        <v>342</v>
      </c>
      <c r="O2556" t="s">
        <v>535</v>
      </c>
      <c r="P2556">
        <v>7.5929677652743707E-3</v>
      </c>
      <c r="Q2556" t="s">
        <v>162</v>
      </c>
      <c r="S2556" t="s">
        <v>454</v>
      </c>
      <c r="T2556" t="s">
        <v>535</v>
      </c>
      <c r="U2556">
        <v>1.1648712166960675E-2</v>
      </c>
      <c r="V2556" t="s">
        <v>162</v>
      </c>
    </row>
    <row r="2557" spans="9:22" x14ac:dyDescent="0.45">
      <c r="I2557" t="s">
        <v>230</v>
      </c>
      <c r="J2557" t="s">
        <v>536</v>
      </c>
      <c r="K2557">
        <v>3.7259353189020822E-2</v>
      </c>
      <c r="L2557" t="s">
        <v>162</v>
      </c>
      <c r="N2557" t="s">
        <v>342</v>
      </c>
      <c r="O2557" t="s">
        <v>536</v>
      </c>
      <c r="P2557">
        <v>1.6206725384661749E-2</v>
      </c>
      <c r="Q2557" t="s">
        <v>162</v>
      </c>
      <c r="S2557" t="s">
        <v>454</v>
      </c>
      <c r="T2557" t="s">
        <v>536</v>
      </c>
      <c r="U2557">
        <v>2.2897109013019626E-2</v>
      </c>
      <c r="V2557" t="s">
        <v>162</v>
      </c>
    </row>
    <row r="2558" spans="9:22" x14ac:dyDescent="0.45">
      <c r="I2558" t="s">
        <v>230</v>
      </c>
      <c r="J2558" t="s">
        <v>537</v>
      </c>
      <c r="K2558">
        <v>7.6537190611006681E-2</v>
      </c>
      <c r="L2558" t="s">
        <v>162</v>
      </c>
      <c r="N2558" t="s">
        <v>342</v>
      </c>
      <c r="O2558" t="s">
        <v>537</v>
      </c>
      <c r="P2558">
        <v>4.6663438102108802E-2</v>
      </c>
      <c r="Q2558" t="s">
        <v>162</v>
      </c>
      <c r="S2558" t="s">
        <v>454</v>
      </c>
      <c r="T2558" t="s">
        <v>537</v>
      </c>
      <c r="U2558">
        <v>5.7978183763078339E-2</v>
      </c>
      <c r="V2558" t="s">
        <v>162</v>
      </c>
    </row>
    <row r="2559" spans="9:22" x14ac:dyDescent="0.45">
      <c r="I2559" t="s">
        <v>230</v>
      </c>
      <c r="J2559" t="s">
        <v>538</v>
      </c>
      <c r="K2559">
        <v>8.0142129518326038E-3</v>
      </c>
      <c r="L2559" t="s">
        <v>162</v>
      </c>
      <c r="N2559" t="s">
        <v>342</v>
      </c>
      <c r="O2559" t="s">
        <v>538</v>
      </c>
      <c r="P2559">
        <v>9.2347918748764985E-3</v>
      </c>
      <c r="Q2559" t="s">
        <v>162</v>
      </c>
      <c r="S2559" t="s">
        <v>454</v>
      </c>
      <c r="T2559" t="s">
        <v>538</v>
      </c>
      <c r="U2559">
        <v>1.1928690197069901E-2</v>
      </c>
      <c r="V2559" t="s">
        <v>162</v>
      </c>
    </row>
    <row r="2560" spans="9:22" x14ac:dyDescent="0.45">
      <c r="I2560" t="s">
        <v>230</v>
      </c>
      <c r="J2560" t="s">
        <v>539</v>
      </c>
      <c r="K2560">
        <v>6.7709246251013286E-3</v>
      </c>
      <c r="L2560" t="s">
        <v>162</v>
      </c>
      <c r="N2560" t="s">
        <v>342</v>
      </c>
      <c r="O2560" t="s">
        <v>539</v>
      </c>
      <c r="P2560">
        <v>5.7771310543738276E-2</v>
      </c>
      <c r="Q2560" t="s">
        <v>162</v>
      </c>
      <c r="S2560" t="s">
        <v>454</v>
      </c>
      <c r="T2560" t="s">
        <v>539</v>
      </c>
      <c r="U2560">
        <v>7.3488133223724758E-2</v>
      </c>
      <c r="V2560" t="s">
        <v>162</v>
      </c>
    </row>
    <row r="2561" spans="9:22" x14ac:dyDescent="0.45">
      <c r="I2561" t="s">
        <v>230</v>
      </c>
      <c r="J2561" t="s">
        <v>540</v>
      </c>
      <c r="K2561">
        <v>8.6730233517191954E-4</v>
      </c>
      <c r="L2561" t="s">
        <v>162</v>
      </c>
      <c r="N2561" t="s">
        <v>342</v>
      </c>
      <c r="O2561" t="s">
        <v>540</v>
      </c>
      <c r="P2561">
        <v>3.2495739720762792E-2</v>
      </c>
      <c r="Q2561" t="s">
        <v>162</v>
      </c>
      <c r="S2561" t="s">
        <v>454</v>
      </c>
      <c r="T2561" t="s">
        <v>540</v>
      </c>
      <c r="U2561">
        <v>3.9343661562920539E-2</v>
      </c>
      <c r="V2561" t="s">
        <v>162</v>
      </c>
    </row>
    <row r="2562" spans="9:22" x14ac:dyDescent="0.45">
      <c r="I2562" t="s">
        <v>230</v>
      </c>
      <c r="J2562" t="s">
        <v>541</v>
      </c>
      <c r="K2562">
        <v>3.2889683049900902E-3</v>
      </c>
      <c r="L2562" t="s">
        <v>162</v>
      </c>
      <c r="N2562" t="s">
        <v>342</v>
      </c>
      <c r="O2562" t="s">
        <v>541</v>
      </c>
      <c r="P2562">
        <v>3.7491244194531358E-3</v>
      </c>
      <c r="Q2562" t="s">
        <v>162</v>
      </c>
      <c r="S2562" t="s">
        <v>454</v>
      </c>
      <c r="T2562" t="s">
        <v>541</v>
      </c>
      <c r="U2562">
        <v>4.3922265227339871E-3</v>
      </c>
      <c r="V2562" t="s">
        <v>162</v>
      </c>
    </row>
    <row r="2563" spans="9:22" x14ac:dyDescent="0.45">
      <c r="I2563" t="s">
        <v>230</v>
      </c>
      <c r="J2563" t="s">
        <v>542</v>
      </c>
      <c r="K2563">
        <v>8.9769648651337394E-3</v>
      </c>
      <c r="L2563" t="s">
        <v>162</v>
      </c>
      <c r="N2563" t="s">
        <v>342</v>
      </c>
      <c r="O2563" t="s">
        <v>542</v>
      </c>
      <c r="P2563">
        <v>7.4283165678229414E-3</v>
      </c>
      <c r="Q2563" t="s">
        <v>162</v>
      </c>
      <c r="S2563" t="s">
        <v>454</v>
      </c>
      <c r="T2563" t="s">
        <v>542</v>
      </c>
      <c r="U2563">
        <v>8.6069290277404099E-3</v>
      </c>
      <c r="V2563" t="s">
        <v>162</v>
      </c>
    </row>
    <row r="2564" spans="9:22" x14ac:dyDescent="0.45">
      <c r="I2564" t="s">
        <v>230</v>
      </c>
      <c r="J2564" t="s">
        <v>543</v>
      </c>
      <c r="K2564">
        <v>1.4997358233361385E-2</v>
      </c>
      <c r="L2564" t="s">
        <v>162</v>
      </c>
      <c r="N2564" t="s">
        <v>342</v>
      </c>
      <c r="O2564" t="s">
        <v>543</v>
      </c>
      <c r="P2564">
        <v>1.8245172226090893E-2</v>
      </c>
      <c r="Q2564" t="s">
        <v>162</v>
      </c>
      <c r="S2564" t="s">
        <v>454</v>
      </c>
      <c r="T2564" t="s">
        <v>543</v>
      </c>
      <c r="U2564">
        <v>2.0998658612489871E-2</v>
      </c>
      <c r="V2564" t="s">
        <v>162</v>
      </c>
    </row>
    <row r="2565" spans="9:22" x14ac:dyDescent="0.45">
      <c r="I2565" t="s">
        <v>230</v>
      </c>
      <c r="J2565" t="s">
        <v>544</v>
      </c>
      <c r="K2565">
        <v>0</v>
      </c>
      <c r="L2565" t="s">
        <v>162</v>
      </c>
      <c r="N2565" t="s">
        <v>342</v>
      </c>
      <c r="O2565" t="s">
        <v>544</v>
      </c>
      <c r="P2565">
        <v>3.7788482613934577E-3</v>
      </c>
      <c r="Q2565" t="s">
        <v>162</v>
      </c>
      <c r="S2565" t="s">
        <v>454</v>
      </c>
      <c r="T2565" t="s">
        <v>544</v>
      </c>
      <c r="U2565">
        <v>4.0388921786574652E-3</v>
      </c>
      <c r="V2565" t="s">
        <v>162</v>
      </c>
    </row>
    <row r="2566" spans="9:22" x14ac:dyDescent="0.45">
      <c r="I2566" t="s">
        <v>230</v>
      </c>
      <c r="J2566" t="s">
        <v>545</v>
      </c>
      <c r="K2566">
        <v>0</v>
      </c>
      <c r="L2566" t="s">
        <v>162</v>
      </c>
      <c r="N2566" t="s">
        <v>342</v>
      </c>
      <c r="O2566" t="s">
        <v>545</v>
      </c>
      <c r="P2566">
        <v>2.2088270976860187E-2</v>
      </c>
      <c r="Q2566" t="s">
        <v>162</v>
      </c>
      <c r="S2566" t="s">
        <v>454</v>
      </c>
      <c r="T2566" t="s">
        <v>545</v>
      </c>
      <c r="U2566">
        <v>2.412198974026734E-2</v>
      </c>
      <c r="V2566" t="s">
        <v>162</v>
      </c>
    </row>
    <row r="2567" spans="9:22" x14ac:dyDescent="0.45">
      <c r="I2567" t="s">
        <v>230</v>
      </c>
      <c r="J2567" t="s">
        <v>546</v>
      </c>
      <c r="K2567">
        <v>0</v>
      </c>
      <c r="L2567" t="s">
        <v>162</v>
      </c>
      <c r="N2567" t="s">
        <v>342</v>
      </c>
      <c r="O2567" t="s">
        <v>546</v>
      </c>
      <c r="P2567">
        <v>4.4139776779901052E-2</v>
      </c>
      <c r="Q2567" t="s">
        <v>162</v>
      </c>
      <c r="S2567" t="s">
        <v>454</v>
      </c>
      <c r="T2567" t="s">
        <v>546</v>
      </c>
      <c r="U2567">
        <v>3.3261478165185931E-2</v>
      </c>
      <c r="V2567" t="s">
        <v>162</v>
      </c>
    </row>
    <row r="2568" spans="9:22" x14ac:dyDescent="0.45">
      <c r="I2568" t="s">
        <v>230</v>
      </c>
      <c r="J2568" t="s">
        <v>547</v>
      </c>
      <c r="K2568">
        <v>3.129008550805825E-3</v>
      </c>
      <c r="L2568" t="s">
        <v>162</v>
      </c>
      <c r="N2568" t="s">
        <v>342</v>
      </c>
      <c r="O2568" t="s">
        <v>547</v>
      </c>
      <c r="P2568">
        <v>4.617374003854563E-3</v>
      </c>
      <c r="Q2568" t="s">
        <v>162</v>
      </c>
      <c r="S2568" t="s">
        <v>454</v>
      </c>
      <c r="T2568" t="s">
        <v>547</v>
      </c>
      <c r="U2568">
        <v>3.6232782159520355E-3</v>
      </c>
      <c r="V2568" t="s">
        <v>162</v>
      </c>
    </row>
    <row r="2569" spans="9:22" x14ac:dyDescent="0.45">
      <c r="I2569" t="s">
        <v>230</v>
      </c>
      <c r="J2569" t="s">
        <v>548</v>
      </c>
      <c r="K2569">
        <v>1.1409046719833092E-2</v>
      </c>
      <c r="L2569" t="s">
        <v>162</v>
      </c>
      <c r="N2569" t="s">
        <v>342</v>
      </c>
      <c r="O2569" t="s">
        <v>548</v>
      </c>
      <c r="P2569">
        <v>7.792473138724363E-3</v>
      </c>
      <c r="Q2569" t="s">
        <v>162</v>
      </c>
      <c r="S2569" t="s">
        <v>454</v>
      </c>
      <c r="T2569" t="s">
        <v>548</v>
      </c>
      <c r="U2569">
        <v>7.3116273985122434E-3</v>
      </c>
      <c r="V2569" t="s">
        <v>162</v>
      </c>
    </row>
    <row r="2570" spans="9:22" x14ac:dyDescent="0.45">
      <c r="I2570" t="s">
        <v>230</v>
      </c>
      <c r="J2570" t="s">
        <v>549</v>
      </c>
      <c r="K2570">
        <v>1.4540592455965295E-2</v>
      </c>
      <c r="L2570" t="s">
        <v>162</v>
      </c>
      <c r="N2570" t="s">
        <v>342</v>
      </c>
      <c r="O2570" t="s">
        <v>549</v>
      </c>
      <c r="P2570">
        <v>1.6297681835851778E-2</v>
      </c>
      <c r="Q2570" t="s">
        <v>162</v>
      </c>
      <c r="S2570" t="s">
        <v>454</v>
      </c>
      <c r="T2570" t="s">
        <v>549</v>
      </c>
      <c r="U2570">
        <v>1.8623941045211031E-2</v>
      </c>
      <c r="V2570" t="s">
        <v>162</v>
      </c>
    </row>
    <row r="2571" spans="9:22" x14ac:dyDescent="0.45">
      <c r="I2571" t="s">
        <v>230</v>
      </c>
      <c r="J2571" t="s">
        <v>550</v>
      </c>
      <c r="K2571">
        <v>0</v>
      </c>
      <c r="L2571" t="s">
        <v>162</v>
      </c>
      <c r="N2571" t="s">
        <v>342</v>
      </c>
      <c r="O2571" t="s">
        <v>550</v>
      </c>
      <c r="P2571">
        <v>3.9064123441785777E-3</v>
      </c>
      <c r="Q2571" t="s">
        <v>162</v>
      </c>
      <c r="S2571" t="s">
        <v>454</v>
      </c>
      <c r="T2571" t="s">
        <v>550</v>
      </c>
      <c r="U2571">
        <v>3.9084379753209966E-3</v>
      </c>
      <c r="V2571" t="s">
        <v>162</v>
      </c>
    </row>
    <row r="2572" spans="9:22" x14ac:dyDescent="0.45">
      <c r="I2572" t="s">
        <v>230</v>
      </c>
      <c r="J2572" t="s">
        <v>551</v>
      </c>
      <c r="K2572">
        <v>0</v>
      </c>
      <c r="L2572" t="s">
        <v>162</v>
      </c>
      <c r="N2572" t="s">
        <v>342</v>
      </c>
      <c r="O2572" t="s">
        <v>551</v>
      </c>
      <c r="P2572">
        <v>2.6998228035374976E-2</v>
      </c>
      <c r="Q2572" t="s">
        <v>162</v>
      </c>
      <c r="S2572" t="s">
        <v>454</v>
      </c>
      <c r="T2572" t="s">
        <v>551</v>
      </c>
      <c r="U2572">
        <v>2.4236322808307897E-2</v>
      </c>
      <c r="V2572" t="s">
        <v>162</v>
      </c>
    </row>
    <row r="2573" spans="9:22" x14ac:dyDescent="0.45">
      <c r="I2573" t="s">
        <v>231</v>
      </c>
      <c r="J2573" t="s">
        <v>161</v>
      </c>
      <c r="K2573">
        <v>0</v>
      </c>
      <c r="L2573" t="s">
        <v>162</v>
      </c>
      <c r="N2573" t="s">
        <v>343</v>
      </c>
      <c r="O2573" t="s">
        <v>161</v>
      </c>
      <c r="P2573">
        <v>4.0235798888159029E-2</v>
      </c>
      <c r="Q2573" t="s">
        <v>162</v>
      </c>
      <c r="S2573" t="s">
        <v>455</v>
      </c>
      <c r="T2573" t="s">
        <v>161</v>
      </c>
      <c r="U2573">
        <v>3.7685004048153115E-2</v>
      </c>
      <c r="V2573" t="s">
        <v>162</v>
      </c>
    </row>
    <row r="2574" spans="9:22" x14ac:dyDescent="0.45">
      <c r="I2574" t="s">
        <v>231</v>
      </c>
      <c r="J2574" t="s">
        <v>163</v>
      </c>
      <c r="K2574">
        <v>5.0429438590551834E-4</v>
      </c>
      <c r="L2574" t="s">
        <v>162</v>
      </c>
      <c r="N2574" t="s">
        <v>343</v>
      </c>
      <c r="O2574" t="s">
        <v>163</v>
      </c>
      <c r="P2574">
        <v>4.5437123132694721E-3</v>
      </c>
      <c r="Q2574" t="s">
        <v>162</v>
      </c>
      <c r="S2574" t="s">
        <v>455</v>
      </c>
      <c r="T2574" t="s">
        <v>163</v>
      </c>
      <c r="U2574">
        <v>4.1962168612848646E-3</v>
      </c>
      <c r="V2574" t="s">
        <v>162</v>
      </c>
    </row>
    <row r="2575" spans="9:22" x14ac:dyDescent="0.45">
      <c r="I2575" t="s">
        <v>231</v>
      </c>
      <c r="J2575" t="s">
        <v>164</v>
      </c>
      <c r="K2575">
        <v>8.5895102685655065E-3</v>
      </c>
      <c r="L2575" t="s">
        <v>162</v>
      </c>
      <c r="N2575" t="s">
        <v>343</v>
      </c>
      <c r="O2575" t="s">
        <v>164</v>
      </c>
      <c r="P2575">
        <v>9.1199916067792632E-3</v>
      </c>
      <c r="Q2575" t="s">
        <v>162</v>
      </c>
      <c r="S2575" t="s">
        <v>455</v>
      </c>
      <c r="T2575" t="s">
        <v>164</v>
      </c>
      <c r="U2575">
        <v>8.4069540741716544E-3</v>
      </c>
      <c r="V2575" t="s">
        <v>162</v>
      </c>
    </row>
    <row r="2576" spans="9:22" x14ac:dyDescent="0.45">
      <c r="I2576" t="s">
        <v>231</v>
      </c>
      <c r="J2576" t="s">
        <v>519</v>
      </c>
      <c r="K2576">
        <v>1.9482194805260759E-2</v>
      </c>
      <c r="L2576" t="s">
        <v>162</v>
      </c>
      <c r="N2576" t="s">
        <v>343</v>
      </c>
      <c r="O2576" t="s">
        <v>519</v>
      </c>
      <c r="P2576">
        <v>2.2464059443536237E-2</v>
      </c>
      <c r="Q2576" t="s">
        <v>162</v>
      </c>
      <c r="S2576" t="s">
        <v>455</v>
      </c>
      <c r="T2576" t="s">
        <v>519</v>
      </c>
      <c r="U2576">
        <v>2.0824467014632624E-2</v>
      </c>
      <c r="V2576" t="s">
        <v>162</v>
      </c>
    </row>
    <row r="2577" spans="9:22" x14ac:dyDescent="0.45">
      <c r="I2577" t="s">
        <v>231</v>
      </c>
      <c r="J2577" t="s">
        <v>520</v>
      </c>
      <c r="K2577">
        <v>0</v>
      </c>
      <c r="L2577" t="s">
        <v>162</v>
      </c>
      <c r="N2577" t="s">
        <v>343</v>
      </c>
      <c r="O2577" t="s">
        <v>520</v>
      </c>
      <c r="P2577">
        <v>4.318983833289154E-3</v>
      </c>
      <c r="Q2577" t="s">
        <v>162</v>
      </c>
      <c r="S2577" t="s">
        <v>455</v>
      </c>
      <c r="T2577" t="s">
        <v>520</v>
      </c>
      <c r="U2577">
        <v>4.1138590826324513E-3</v>
      </c>
      <c r="V2577" t="s">
        <v>162</v>
      </c>
    </row>
    <row r="2578" spans="9:22" x14ac:dyDescent="0.45">
      <c r="I2578" t="s">
        <v>231</v>
      </c>
      <c r="J2578" t="s">
        <v>521</v>
      </c>
      <c r="K2578">
        <v>0</v>
      </c>
      <c r="L2578" t="s">
        <v>162</v>
      </c>
      <c r="N2578" t="s">
        <v>343</v>
      </c>
      <c r="O2578" t="s">
        <v>521</v>
      </c>
      <c r="P2578">
        <v>2.69427590229314E-2</v>
      </c>
      <c r="Q2578" t="s">
        <v>162</v>
      </c>
      <c r="S2578" t="s">
        <v>455</v>
      </c>
      <c r="T2578" t="s">
        <v>521</v>
      </c>
      <c r="U2578">
        <v>2.5491819053587095E-2</v>
      </c>
      <c r="V2578" t="s">
        <v>162</v>
      </c>
    </row>
    <row r="2579" spans="9:22" x14ac:dyDescent="0.45">
      <c r="I2579" t="s">
        <v>231</v>
      </c>
      <c r="J2579" t="s">
        <v>165</v>
      </c>
      <c r="K2579">
        <v>1.1877575493349481E-2</v>
      </c>
      <c r="L2579" t="s">
        <v>162</v>
      </c>
      <c r="N2579" t="s">
        <v>343</v>
      </c>
      <c r="O2579" t="s">
        <v>165</v>
      </c>
      <c r="P2579">
        <v>6.4768175341264597E-2</v>
      </c>
      <c r="Q2579" t="s">
        <v>162</v>
      </c>
      <c r="S2579" t="s">
        <v>455</v>
      </c>
      <c r="T2579" t="s">
        <v>165</v>
      </c>
      <c r="U2579">
        <v>5.6121296410054609E-2</v>
      </c>
      <c r="V2579" t="s">
        <v>162</v>
      </c>
    </row>
    <row r="2580" spans="9:22" x14ac:dyDescent="0.45">
      <c r="I2580" t="s">
        <v>231</v>
      </c>
      <c r="J2580" t="s">
        <v>166</v>
      </c>
      <c r="K2580">
        <v>1.3987063883978815E-2</v>
      </c>
      <c r="L2580" t="s">
        <v>162</v>
      </c>
      <c r="N2580" t="s">
        <v>343</v>
      </c>
      <c r="O2580" t="s">
        <v>166</v>
      </c>
      <c r="P2580">
        <v>6.9471482806126809E-3</v>
      </c>
      <c r="Q2580" t="s">
        <v>162</v>
      </c>
      <c r="S2580" t="s">
        <v>455</v>
      </c>
      <c r="T2580" t="s">
        <v>166</v>
      </c>
      <c r="U2580">
        <v>6.3462992785298282E-3</v>
      </c>
      <c r="V2580" t="s">
        <v>162</v>
      </c>
    </row>
    <row r="2581" spans="9:22" x14ac:dyDescent="0.45">
      <c r="I2581" t="s">
        <v>231</v>
      </c>
      <c r="J2581" t="s">
        <v>167</v>
      </c>
      <c r="K2581">
        <v>3.6268494300076622E-2</v>
      </c>
      <c r="L2581" t="s">
        <v>162</v>
      </c>
      <c r="N2581" t="s">
        <v>343</v>
      </c>
      <c r="O2581" t="s">
        <v>167</v>
      </c>
      <c r="P2581">
        <v>1.3570388466913471E-2</v>
      </c>
      <c r="Q2581" t="s">
        <v>162</v>
      </c>
      <c r="S2581" t="s">
        <v>455</v>
      </c>
      <c r="T2581" t="s">
        <v>167</v>
      </c>
      <c r="U2581">
        <v>1.2214884469406443E-2</v>
      </c>
      <c r="V2581" t="s">
        <v>162</v>
      </c>
    </row>
    <row r="2582" spans="9:22" x14ac:dyDescent="0.45">
      <c r="I2582" t="s">
        <v>231</v>
      </c>
      <c r="J2582" t="s">
        <v>522</v>
      </c>
      <c r="K2582">
        <v>8.6180523505661147E-2</v>
      </c>
      <c r="L2582" t="s">
        <v>162</v>
      </c>
      <c r="N2582" t="s">
        <v>343</v>
      </c>
      <c r="O2582" t="s">
        <v>522</v>
      </c>
      <c r="P2582">
        <v>3.41964721212119E-2</v>
      </c>
      <c r="Q2582" t="s">
        <v>162</v>
      </c>
      <c r="S2582" t="s">
        <v>455</v>
      </c>
      <c r="T2582" t="s">
        <v>522</v>
      </c>
      <c r="U2582">
        <v>2.9352585431510664E-2</v>
      </c>
      <c r="V2582" t="s">
        <v>162</v>
      </c>
    </row>
    <row r="2583" spans="9:22" x14ac:dyDescent="0.45">
      <c r="I2583" t="s">
        <v>231</v>
      </c>
      <c r="J2583" t="s">
        <v>523</v>
      </c>
      <c r="K2583">
        <v>9.0113276624493241E-3</v>
      </c>
      <c r="L2583" t="s">
        <v>162</v>
      </c>
      <c r="N2583" t="s">
        <v>343</v>
      </c>
      <c r="O2583" t="s">
        <v>523</v>
      </c>
      <c r="P2583">
        <v>7.1033285887826831E-3</v>
      </c>
      <c r="Q2583" t="s">
        <v>162</v>
      </c>
      <c r="S2583" t="s">
        <v>455</v>
      </c>
      <c r="T2583" t="s">
        <v>523</v>
      </c>
      <c r="U2583">
        <v>5.9036622551053705E-3</v>
      </c>
      <c r="V2583" t="s">
        <v>162</v>
      </c>
    </row>
    <row r="2584" spans="9:22" x14ac:dyDescent="0.45">
      <c r="I2584" t="s">
        <v>231</v>
      </c>
      <c r="J2584" t="s">
        <v>524</v>
      </c>
      <c r="K2584">
        <v>4.0253511173003829E-3</v>
      </c>
      <c r="L2584" t="s">
        <v>162</v>
      </c>
      <c r="N2584" t="s">
        <v>343</v>
      </c>
      <c r="O2584" t="s">
        <v>524</v>
      </c>
      <c r="P2584">
        <v>4.4348667252691931E-2</v>
      </c>
      <c r="Q2584" t="s">
        <v>162</v>
      </c>
      <c r="S2584" t="s">
        <v>455</v>
      </c>
      <c r="T2584" t="s">
        <v>524</v>
      </c>
      <c r="U2584">
        <v>3.6051896838499055E-2</v>
      </c>
      <c r="V2584" t="s">
        <v>162</v>
      </c>
    </row>
    <row r="2585" spans="9:22" x14ac:dyDescent="0.45">
      <c r="I2585" t="s">
        <v>231</v>
      </c>
      <c r="J2585" t="s">
        <v>168</v>
      </c>
      <c r="K2585">
        <v>1.8024990854620396E-2</v>
      </c>
      <c r="L2585" t="s">
        <v>162</v>
      </c>
      <c r="N2585" t="s">
        <v>343</v>
      </c>
      <c r="O2585" t="s">
        <v>168</v>
      </c>
      <c r="P2585">
        <v>3.1119308729370108E-2</v>
      </c>
      <c r="Q2585" t="s">
        <v>162</v>
      </c>
      <c r="S2585" t="s">
        <v>455</v>
      </c>
      <c r="T2585" t="s">
        <v>168</v>
      </c>
      <c r="U2585">
        <v>4.0421513880590336E-2</v>
      </c>
      <c r="V2585" t="s">
        <v>162</v>
      </c>
    </row>
    <row r="2586" spans="9:22" x14ac:dyDescent="0.45">
      <c r="I2586" t="s">
        <v>231</v>
      </c>
      <c r="J2586" t="s">
        <v>169</v>
      </c>
      <c r="K2586">
        <v>1.0081230715050696E-2</v>
      </c>
      <c r="L2586" t="s">
        <v>162</v>
      </c>
      <c r="N2586" t="s">
        <v>343</v>
      </c>
      <c r="O2586" t="s">
        <v>169</v>
      </c>
      <c r="P2586">
        <v>3.3754753967477746E-3</v>
      </c>
      <c r="Q2586" t="s">
        <v>162</v>
      </c>
      <c r="S2586" t="s">
        <v>455</v>
      </c>
      <c r="T2586" t="s">
        <v>169</v>
      </c>
      <c r="U2586">
        <v>4.5214965173150509E-3</v>
      </c>
      <c r="V2586" t="s">
        <v>162</v>
      </c>
    </row>
    <row r="2587" spans="9:22" x14ac:dyDescent="0.45">
      <c r="I2587" t="s">
        <v>231</v>
      </c>
      <c r="J2587" t="s">
        <v>170</v>
      </c>
      <c r="K2587">
        <v>2.3430124129126789E-2</v>
      </c>
      <c r="L2587" t="s">
        <v>162</v>
      </c>
      <c r="N2587" t="s">
        <v>343</v>
      </c>
      <c r="O2587" t="s">
        <v>170</v>
      </c>
      <c r="P2587">
        <v>6.9445966160522265E-3</v>
      </c>
      <c r="Q2587" t="s">
        <v>162</v>
      </c>
      <c r="S2587" t="s">
        <v>455</v>
      </c>
      <c r="T2587" t="s">
        <v>170</v>
      </c>
      <c r="U2587">
        <v>9.1541963736319586E-3</v>
      </c>
      <c r="V2587" t="s">
        <v>162</v>
      </c>
    </row>
    <row r="2588" spans="9:22" x14ac:dyDescent="0.45">
      <c r="I2588" t="s">
        <v>231</v>
      </c>
      <c r="J2588" t="s">
        <v>525</v>
      </c>
      <c r="K2588">
        <v>5.8488178393438658E-2</v>
      </c>
      <c r="L2588" t="s">
        <v>162</v>
      </c>
      <c r="N2588" t="s">
        <v>343</v>
      </c>
      <c r="O2588" t="s">
        <v>525</v>
      </c>
      <c r="P2588">
        <v>1.790696053117817E-2</v>
      </c>
      <c r="Q2588" t="s">
        <v>162</v>
      </c>
      <c r="S2588" t="s">
        <v>455</v>
      </c>
      <c r="T2588" t="s">
        <v>525</v>
      </c>
      <c r="U2588">
        <v>2.3466919410115923E-2</v>
      </c>
      <c r="V2588" t="s">
        <v>162</v>
      </c>
    </row>
    <row r="2589" spans="9:22" x14ac:dyDescent="0.45">
      <c r="I2589" t="s">
        <v>231</v>
      </c>
      <c r="J2589" t="s">
        <v>526</v>
      </c>
      <c r="K2589">
        <v>9.209236913418687E-3</v>
      </c>
      <c r="L2589" t="s">
        <v>162</v>
      </c>
      <c r="N2589" t="s">
        <v>343</v>
      </c>
      <c r="O2589" t="s">
        <v>526</v>
      </c>
      <c r="P2589">
        <v>3.5122796839323523E-3</v>
      </c>
      <c r="Q2589" t="s">
        <v>162</v>
      </c>
      <c r="S2589" t="s">
        <v>455</v>
      </c>
      <c r="T2589" t="s">
        <v>526</v>
      </c>
      <c r="U2589">
        <v>4.588350363055215E-3</v>
      </c>
      <c r="V2589" t="s">
        <v>162</v>
      </c>
    </row>
    <row r="2590" spans="9:22" x14ac:dyDescent="0.45">
      <c r="I2590" t="s">
        <v>231</v>
      </c>
      <c r="J2590" t="s">
        <v>527</v>
      </c>
      <c r="K2590">
        <v>1.0251810735923E-2</v>
      </c>
      <c r="L2590" t="s">
        <v>162</v>
      </c>
      <c r="N2590" t="s">
        <v>343</v>
      </c>
      <c r="O2590" t="s">
        <v>527</v>
      </c>
      <c r="P2590">
        <v>2.0367453104184859E-2</v>
      </c>
      <c r="Q2590" t="s">
        <v>162</v>
      </c>
      <c r="S2590" t="s">
        <v>455</v>
      </c>
      <c r="T2590" t="s">
        <v>527</v>
      </c>
      <c r="U2590">
        <v>2.6627224063802128E-2</v>
      </c>
      <c r="V2590" t="s">
        <v>162</v>
      </c>
    </row>
    <row r="2591" spans="9:22" x14ac:dyDescent="0.45">
      <c r="I2591" t="s">
        <v>231</v>
      </c>
      <c r="J2591" t="s">
        <v>528</v>
      </c>
      <c r="K2591">
        <v>9.4328270650377827E-2</v>
      </c>
      <c r="L2591" t="s">
        <v>162</v>
      </c>
      <c r="N2591" t="s">
        <v>343</v>
      </c>
      <c r="O2591" t="s">
        <v>528</v>
      </c>
      <c r="P2591">
        <v>7.3172441940335842E-2</v>
      </c>
      <c r="Q2591" t="s">
        <v>162</v>
      </c>
      <c r="S2591" t="s">
        <v>455</v>
      </c>
      <c r="T2591" t="s">
        <v>528</v>
      </c>
      <c r="U2591">
        <v>8.4176493819341447E-2</v>
      </c>
      <c r="V2591" t="s">
        <v>162</v>
      </c>
    </row>
    <row r="2592" spans="9:22" x14ac:dyDescent="0.45">
      <c r="I2592" t="s">
        <v>231</v>
      </c>
      <c r="J2592" t="s">
        <v>529</v>
      </c>
      <c r="K2592">
        <v>3.4273148066507046E-2</v>
      </c>
      <c r="L2592" t="s">
        <v>162</v>
      </c>
      <c r="N2592" t="s">
        <v>343</v>
      </c>
      <c r="O2592" t="s">
        <v>529</v>
      </c>
      <c r="P2592">
        <v>8.0827921022093695E-3</v>
      </c>
      <c r="Q2592" t="s">
        <v>162</v>
      </c>
      <c r="S2592" t="s">
        <v>455</v>
      </c>
      <c r="T2592" t="s">
        <v>529</v>
      </c>
      <c r="U2592">
        <v>8.6964990716036483E-3</v>
      </c>
      <c r="V2592" t="s">
        <v>162</v>
      </c>
    </row>
    <row r="2593" spans="9:22" x14ac:dyDescent="0.45">
      <c r="I2593" t="s">
        <v>231</v>
      </c>
      <c r="J2593" t="s">
        <v>530</v>
      </c>
      <c r="K2593">
        <v>7.1535097221922903E-2</v>
      </c>
      <c r="L2593" t="s">
        <v>162</v>
      </c>
      <c r="N2593" t="s">
        <v>343</v>
      </c>
      <c r="O2593" t="s">
        <v>530</v>
      </c>
      <c r="P2593">
        <v>1.6314018379099376E-2</v>
      </c>
      <c r="Q2593" t="s">
        <v>162</v>
      </c>
      <c r="S2593" t="s">
        <v>455</v>
      </c>
      <c r="T2593" t="s">
        <v>530</v>
      </c>
      <c r="U2593">
        <v>1.7311162750022008E-2</v>
      </c>
      <c r="V2593" t="s">
        <v>162</v>
      </c>
    </row>
    <row r="2594" spans="9:22" x14ac:dyDescent="0.45">
      <c r="I2594" t="s">
        <v>231</v>
      </c>
      <c r="J2594" t="s">
        <v>531</v>
      </c>
      <c r="K2594">
        <v>0.16135381047873237</v>
      </c>
      <c r="L2594" t="s">
        <v>162</v>
      </c>
      <c r="N2594" t="s">
        <v>343</v>
      </c>
      <c r="O2594" t="s">
        <v>531</v>
      </c>
      <c r="P2594">
        <v>4.0097563100988193E-2</v>
      </c>
      <c r="Q2594" t="s">
        <v>162</v>
      </c>
      <c r="S2594" t="s">
        <v>455</v>
      </c>
      <c r="T2594" t="s">
        <v>531</v>
      </c>
      <c r="U2594">
        <v>4.2008716939523204E-2</v>
      </c>
      <c r="V2594" t="s">
        <v>162</v>
      </c>
    </row>
    <row r="2595" spans="9:22" x14ac:dyDescent="0.45">
      <c r="I2595" t="s">
        <v>231</v>
      </c>
      <c r="J2595" t="s">
        <v>532</v>
      </c>
      <c r="K2595">
        <v>2.5833995245777393E-2</v>
      </c>
      <c r="L2595" t="s">
        <v>162</v>
      </c>
      <c r="N2595" t="s">
        <v>343</v>
      </c>
      <c r="O2595" t="s">
        <v>532</v>
      </c>
      <c r="P2595">
        <v>7.4044774172437669E-3</v>
      </c>
      <c r="Q2595" t="s">
        <v>162</v>
      </c>
      <c r="S2595" t="s">
        <v>455</v>
      </c>
      <c r="T2595" t="s">
        <v>532</v>
      </c>
      <c r="U2595">
        <v>8.3737000889835961E-3</v>
      </c>
      <c r="V2595" t="s">
        <v>162</v>
      </c>
    </row>
    <row r="2596" spans="9:22" x14ac:dyDescent="0.45">
      <c r="I2596" t="s">
        <v>231</v>
      </c>
      <c r="J2596" t="s">
        <v>533</v>
      </c>
      <c r="K2596">
        <v>5.2172120400192597E-2</v>
      </c>
      <c r="L2596" t="s">
        <v>162</v>
      </c>
      <c r="N2596" t="s">
        <v>343</v>
      </c>
      <c r="O2596" t="s">
        <v>533</v>
      </c>
      <c r="P2596">
        <v>4.4645526486700553E-2</v>
      </c>
      <c r="Q2596" t="s">
        <v>162</v>
      </c>
      <c r="S2596" t="s">
        <v>455</v>
      </c>
      <c r="T2596" t="s">
        <v>533</v>
      </c>
      <c r="U2596">
        <v>5.0729601947911575E-2</v>
      </c>
      <c r="V2596" t="s">
        <v>162</v>
      </c>
    </row>
    <row r="2597" spans="9:22" x14ac:dyDescent="0.45">
      <c r="I2597" t="s">
        <v>231</v>
      </c>
      <c r="J2597" t="s">
        <v>534</v>
      </c>
      <c r="K2597">
        <v>3.1715507135085308E-2</v>
      </c>
      <c r="L2597" t="s">
        <v>162</v>
      </c>
      <c r="N2597" t="s">
        <v>343</v>
      </c>
      <c r="O2597" t="s">
        <v>534</v>
      </c>
      <c r="P2597">
        <v>9.3472299543013435E-2</v>
      </c>
      <c r="Q2597" t="s">
        <v>162</v>
      </c>
      <c r="S2597" t="s">
        <v>455</v>
      </c>
      <c r="T2597" t="s">
        <v>534</v>
      </c>
      <c r="U2597">
        <v>9.2578727313357312E-2</v>
      </c>
      <c r="V2597" t="s">
        <v>162</v>
      </c>
    </row>
    <row r="2598" spans="9:22" x14ac:dyDescent="0.45">
      <c r="I2598" t="s">
        <v>231</v>
      </c>
      <c r="J2598" t="s">
        <v>535</v>
      </c>
      <c r="K2598">
        <v>1.7631378066580432E-2</v>
      </c>
      <c r="L2598" t="s">
        <v>162</v>
      </c>
      <c r="N2598" t="s">
        <v>343</v>
      </c>
      <c r="O2598" t="s">
        <v>535</v>
      </c>
      <c r="P2598">
        <v>1.0125042739358511E-2</v>
      </c>
      <c r="Q2598" t="s">
        <v>162</v>
      </c>
      <c r="S2598" t="s">
        <v>455</v>
      </c>
      <c r="T2598" t="s">
        <v>535</v>
      </c>
      <c r="U2598">
        <v>9.9656793817751253E-3</v>
      </c>
      <c r="V2598" t="s">
        <v>162</v>
      </c>
    </row>
    <row r="2599" spans="9:22" x14ac:dyDescent="0.45">
      <c r="I2599" t="s">
        <v>231</v>
      </c>
      <c r="J2599" t="s">
        <v>536</v>
      </c>
      <c r="K2599">
        <v>3.9831538319294396E-2</v>
      </c>
      <c r="L2599" t="s">
        <v>162</v>
      </c>
      <c r="N2599" t="s">
        <v>343</v>
      </c>
      <c r="O2599" t="s">
        <v>536</v>
      </c>
      <c r="P2599">
        <v>2.0311150498747956E-2</v>
      </c>
      <c r="Q2599" t="s">
        <v>162</v>
      </c>
      <c r="S2599" t="s">
        <v>455</v>
      </c>
      <c r="T2599" t="s">
        <v>536</v>
      </c>
      <c r="U2599">
        <v>1.9984838043836693E-2</v>
      </c>
      <c r="V2599" t="s">
        <v>162</v>
      </c>
    </row>
    <row r="2600" spans="9:22" x14ac:dyDescent="0.45">
      <c r="I2600" t="s">
        <v>231</v>
      </c>
      <c r="J2600" t="s">
        <v>537</v>
      </c>
      <c r="K2600">
        <v>8.8082043597359258E-2</v>
      </c>
      <c r="L2600" t="s">
        <v>162</v>
      </c>
      <c r="N2600" t="s">
        <v>343</v>
      </c>
      <c r="O2600" t="s">
        <v>537</v>
      </c>
      <c r="P2600">
        <v>4.8032880624620959E-2</v>
      </c>
      <c r="Q2600" t="s">
        <v>162</v>
      </c>
      <c r="S2600" t="s">
        <v>455</v>
      </c>
      <c r="T2600" t="s">
        <v>537</v>
      </c>
      <c r="U2600">
        <v>5.1771663943240849E-2</v>
      </c>
      <c r="V2600" t="s">
        <v>162</v>
      </c>
    </row>
    <row r="2601" spans="9:22" x14ac:dyDescent="0.45">
      <c r="I2601" t="s">
        <v>231</v>
      </c>
      <c r="J2601" t="s">
        <v>538</v>
      </c>
      <c r="K2601">
        <v>1.1427052822668949E-2</v>
      </c>
      <c r="L2601" t="s">
        <v>162</v>
      </c>
      <c r="N2601" t="s">
        <v>343</v>
      </c>
      <c r="O2601" t="s">
        <v>538</v>
      </c>
      <c r="P2601">
        <v>8.5122295306606609E-3</v>
      </c>
      <c r="Q2601" t="s">
        <v>162</v>
      </c>
      <c r="S2601" t="s">
        <v>455</v>
      </c>
      <c r="T2601" t="s">
        <v>538</v>
      </c>
      <c r="U2601">
        <v>1.043675372947502E-2</v>
      </c>
      <c r="V2601" t="s">
        <v>162</v>
      </c>
    </row>
    <row r="2602" spans="9:22" x14ac:dyDescent="0.45">
      <c r="I2602" t="s">
        <v>231</v>
      </c>
      <c r="J2602" t="s">
        <v>539</v>
      </c>
      <c r="K2602">
        <v>1.2605442638501729E-2</v>
      </c>
      <c r="L2602" t="s">
        <v>162</v>
      </c>
      <c r="N2602" t="s">
        <v>343</v>
      </c>
      <c r="O2602" t="s">
        <v>539</v>
      </c>
      <c r="P2602">
        <v>5.6220411666911933E-2</v>
      </c>
      <c r="Q2602" t="s">
        <v>162</v>
      </c>
      <c r="S2602" t="s">
        <v>455</v>
      </c>
      <c r="T2602" t="s">
        <v>539</v>
      </c>
      <c r="U2602">
        <v>6.2098574754260977E-2</v>
      </c>
      <c r="V2602" t="s">
        <v>162</v>
      </c>
    </row>
    <row r="2603" spans="9:22" x14ac:dyDescent="0.45">
      <c r="I2603" t="s">
        <v>231</v>
      </c>
      <c r="J2603" t="s">
        <v>540</v>
      </c>
      <c r="K2603">
        <v>2.6529640574991193E-5</v>
      </c>
      <c r="L2603" t="s">
        <v>162</v>
      </c>
      <c r="N2603" t="s">
        <v>343</v>
      </c>
      <c r="O2603" t="s">
        <v>540</v>
      </c>
      <c r="P2603">
        <v>3.7355838643893864E-2</v>
      </c>
      <c r="Q2603" t="s">
        <v>162</v>
      </c>
      <c r="S2603" t="s">
        <v>455</v>
      </c>
      <c r="T2603" t="s">
        <v>540</v>
      </c>
      <c r="U2603">
        <v>3.2429708591046123E-2</v>
      </c>
      <c r="V2603" t="s">
        <v>162</v>
      </c>
    </row>
    <row r="2604" spans="9:22" x14ac:dyDescent="0.45">
      <c r="I2604" t="s">
        <v>231</v>
      </c>
      <c r="J2604" t="s">
        <v>541</v>
      </c>
      <c r="K2604">
        <v>1.4509094608292387E-3</v>
      </c>
      <c r="L2604" t="s">
        <v>162</v>
      </c>
      <c r="N2604" t="s">
        <v>343</v>
      </c>
      <c r="O2604" t="s">
        <v>541</v>
      </c>
      <c r="P2604">
        <v>4.0168135746449507E-3</v>
      </c>
      <c r="Q2604" t="s">
        <v>162</v>
      </c>
      <c r="S2604" t="s">
        <v>455</v>
      </c>
      <c r="T2604" t="s">
        <v>541</v>
      </c>
      <c r="U2604">
        <v>3.4897751108789541E-3</v>
      </c>
      <c r="V2604" t="s">
        <v>162</v>
      </c>
    </row>
    <row r="2605" spans="9:22" x14ac:dyDescent="0.45">
      <c r="I2605" t="s">
        <v>231</v>
      </c>
      <c r="J2605" t="s">
        <v>542</v>
      </c>
      <c r="K2605">
        <v>6.1764284343159906E-3</v>
      </c>
      <c r="L2605" t="s">
        <v>162</v>
      </c>
      <c r="N2605" t="s">
        <v>343</v>
      </c>
      <c r="O2605" t="s">
        <v>542</v>
      </c>
      <c r="P2605">
        <v>7.9094943640351991E-3</v>
      </c>
      <c r="Q2605" t="s">
        <v>162</v>
      </c>
      <c r="S2605" t="s">
        <v>455</v>
      </c>
      <c r="T2605" t="s">
        <v>542</v>
      </c>
      <c r="U2605">
        <v>7.1120017772439018E-3</v>
      </c>
      <c r="V2605" t="s">
        <v>162</v>
      </c>
    </row>
    <row r="2606" spans="9:22" x14ac:dyDescent="0.45">
      <c r="I2606" t="s">
        <v>231</v>
      </c>
      <c r="J2606" t="s">
        <v>543</v>
      </c>
      <c r="K2606">
        <v>1.1321679492576616E-2</v>
      </c>
      <c r="L2606" t="s">
        <v>162</v>
      </c>
      <c r="N2606" t="s">
        <v>343</v>
      </c>
      <c r="O2606" t="s">
        <v>543</v>
      </c>
      <c r="P2606">
        <v>1.9866927367563281E-2</v>
      </c>
      <c r="Q2606" t="s">
        <v>162</v>
      </c>
      <c r="S2606" t="s">
        <v>455</v>
      </c>
      <c r="T2606" t="s">
        <v>543</v>
      </c>
      <c r="U2606">
        <v>1.8551845033100155E-2</v>
      </c>
      <c r="V2606" t="s">
        <v>162</v>
      </c>
    </row>
    <row r="2607" spans="9:22" x14ac:dyDescent="0.45">
      <c r="I2607" t="s">
        <v>231</v>
      </c>
      <c r="J2607" t="s">
        <v>544</v>
      </c>
      <c r="K2607">
        <v>0</v>
      </c>
      <c r="L2607" t="s">
        <v>162</v>
      </c>
      <c r="N2607" t="s">
        <v>343</v>
      </c>
      <c r="O2607" t="s">
        <v>544</v>
      </c>
      <c r="P2607">
        <v>4.2309413091192495E-3</v>
      </c>
      <c r="Q2607" t="s">
        <v>162</v>
      </c>
      <c r="S2607" t="s">
        <v>455</v>
      </c>
      <c r="T2607" t="s">
        <v>544</v>
      </c>
      <c r="U2607">
        <v>3.7625601771394215E-3</v>
      </c>
      <c r="V2607" t="s">
        <v>162</v>
      </c>
    </row>
    <row r="2608" spans="9:22" x14ac:dyDescent="0.45">
      <c r="I2608" t="s">
        <v>231</v>
      </c>
      <c r="J2608" t="s">
        <v>545</v>
      </c>
      <c r="K2608">
        <v>0</v>
      </c>
      <c r="L2608" t="s">
        <v>162</v>
      </c>
      <c r="N2608" t="s">
        <v>343</v>
      </c>
      <c r="O2608" t="s">
        <v>545</v>
      </c>
      <c r="P2608">
        <v>2.661454445045762E-2</v>
      </c>
      <c r="Q2608" t="s">
        <v>162</v>
      </c>
      <c r="S2608" t="s">
        <v>455</v>
      </c>
      <c r="T2608" t="s">
        <v>545</v>
      </c>
      <c r="U2608">
        <v>2.2222792632850426E-2</v>
      </c>
      <c r="V2608" t="s">
        <v>162</v>
      </c>
    </row>
    <row r="2609" spans="9:22" x14ac:dyDescent="0.45">
      <c r="I2609" t="s">
        <v>231</v>
      </c>
      <c r="J2609" t="s">
        <v>546</v>
      </c>
      <c r="K2609">
        <v>0</v>
      </c>
      <c r="L2609" t="s">
        <v>162</v>
      </c>
      <c r="N2609" t="s">
        <v>343</v>
      </c>
      <c r="O2609" t="s">
        <v>546</v>
      </c>
      <c r="P2609">
        <v>4.3075189438601891E-2</v>
      </c>
      <c r="Q2609" t="s">
        <v>162</v>
      </c>
      <c r="S2609" t="s">
        <v>455</v>
      </c>
      <c r="T2609" t="s">
        <v>546</v>
      </c>
      <c r="U2609">
        <v>3.7097989162417452E-2</v>
      </c>
      <c r="V2609" t="s">
        <v>162</v>
      </c>
    </row>
    <row r="2610" spans="9:22" x14ac:dyDescent="0.45">
      <c r="I2610" t="s">
        <v>231</v>
      </c>
      <c r="J2610" t="s">
        <v>547</v>
      </c>
      <c r="K2610">
        <v>5.5341682657200507E-5</v>
      </c>
      <c r="L2610" t="s">
        <v>162</v>
      </c>
      <c r="N2610" t="s">
        <v>343</v>
      </c>
      <c r="O2610" t="s">
        <v>547</v>
      </c>
      <c r="P2610">
        <v>4.8628034507579108E-3</v>
      </c>
      <c r="Q2610" t="s">
        <v>162</v>
      </c>
      <c r="S2610" t="s">
        <v>455</v>
      </c>
      <c r="T2610" t="s">
        <v>547</v>
      </c>
      <c r="U2610">
        <v>4.2452725398657437E-3</v>
      </c>
      <c r="V2610" t="s">
        <v>162</v>
      </c>
    </row>
    <row r="2611" spans="9:22" x14ac:dyDescent="0.45">
      <c r="I2611" t="s">
        <v>231</v>
      </c>
      <c r="J2611" t="s">
        <v>548</v>
      </c>
      <c r="K2611">
        <v>7.1672784528593889E-3</v>
      </c>
      <c r="L2611" t="s">
        <v>162</v>
      </c>
      <c r="N2611" t="s">
        <v>343</v>
      </c>
      <c r="O2611" t="s">
        <v>548</v>
      </c>
      <c r="P2611">
        <v>9.6060238833633738E-3</v>
      </c>
      <c r="Q2611" t="s">
        <v>162</v>
      </c>
      <c r="S2611" t="s">
        <v>455</v>
      </c>
      <c r="T2611" t="s">
        <v>548</v>
      </c>
      <c r="U2611">
        <v>8.5319084538320288E-3</v>
      </c>
      <c r="V2611" t="s">
        <v>162</v>
      </c>
    </row>
    <row r="2612" spans="9:22" x14ac:dyDescent="0.45">
      <c r="I2612" t="s">
        <v>231</v>
      </c>
      <c r="J2612" t="s">
        <v>549</v>
      </c>
      <c r="K2612">
        <v>1.3600521029058963E-2</v>
      </c>
      <c r="L2612" t="s">
        <v>162</v>
      </c>
      <c r="N2612" t="s">
        <v>343</v>
      </c>
      <c r="O2612" t="s">
        <v>549</v>
      </c>
      <c r="P2612">
        <v>2.2905892753105943E-2</v>
      </c>
      <c r="Q2612" t="s">
        <v>162</v>
      </c>
      <c r="S2612" t="s">
        <v>455</v>
      </c>
      <c r="T2612" t="s">
        <v>549</v>
      </c>
      <c r="U2612">
        <v>2.0755798703518187E-2</v>
      </c>
      <c r="V2612" t="s">
        <v>162</v>
      </c>
    </row>
    <row r="2613" spans="9:22" x14ac:dyDescent="0.45">
      <c r="I2613" t="s">
        <v>231</v>
      </c>
      <c r="J2613" t="s">
        <v>550</v>
      </c>
      <c r="K2613">
        <v>0</v>
      </c>
      <c r="L2613" t="s">
        <v>162</v>
      </c>
      <c r="N2613" t="s">
        <v>343</v>
      </c>
      <c r="O2613" t="s">
        <v>550</v>
      </c>
      <c r="P2613">
        <v>4.5374974501626239E-3</v>
      </c>
      <c r="Q2613" t="s">
        <v>162</v>
      </c>
      <c r="S2613" t="s">
        <v>455</v>
      </c>
      <c r="T2613" t="s">
        <v>550</v>
      </c>
      <c r="U2613">
        <v>3.9678207707837636E-3</v>
      </c>
      <c r="V2613" t="s">
        <v>162</v>
      </c>
    </row>
    <row r="2614" spans="9:22" x14ac:dyDescent="0.45">
      <c r="I2614" t="s">
        <v>231</v>
      </c>
      <c r="J2614" t="s">
        <v>551</v>
      </c>
      <c r="K2614">
        <v>0</v>
      </c>
      <c r="L2614" t="s">
        <v>162</v>
      </c>
      <c r="N2614" t="s">
        <v>343</v>
      </c>
      <c r="O2614" t="s">
        <v>551</v>
      </c>
      <c r="P2614">
        <v>2.6841640063494713E-2</v>
      </c>
      <c r="Q2614" t="s">
        <v>162</v>
      </c>
      <c r="S2614" t="s">
        <v>455</v>
      </c>
      <c r="T2614" t="s">
        <v>551</v>
      </c>
      <c r="U2614">
        <v>2.4211469837911514E-2</v>
      </c>
      <c r="V2614" t="s">
        <v>162</v>
      </c>
    </row>
    <row r="2615" spans="9:22" x14ac:dyDescent="0.45">
      <c r="I2615" t="s">
        <v>232</v>
      </c>
      <c r="J2615" t="s">
        <v>161</v>
      </c>
      <c r="K2615">
        <v>0</v>
      </c>
      <c r="L2615" t="s">
        <v>162</v>
      </c>
      <c r="N2615" t="s">
        <v>344</v>
      </c>
      <c r="O2615" t="s">
        <v>161</v>
      </c>
      <c r="P2615">
        <v>4.4062283056710526E-2</v>
      </c>
      <c r="Q2615" t="s">
        <v>162</v>
      </c>
      <c r="S2615" t="s">
        <v>456</v>
      </c>
      <c r="T2615" t="s">
        <v>161</v>
      </c>
      <c r="U2615">
        <v>3.4389042096118976E-2</v>
      </c>
      <c r="V2615" t="s">
        <v>162</v>
      </c>
    </row>
    <row r="2616" spans="9:22" x14ac:dyDescent="0.45">
      <c r="I2616" t="s">
        <v>232</v>
      </c>
      <c r="J2616" t="s">
        <v>163</v>
      </c>
      <c r="K2616">
        <v>1.6212361989847031E-3</v>
      </c>
      <c r="L2616" t="s">
        <v>162</v>
      </c>
      <c r="N2616" t="s">
        <v>344</v>
      </c>
      <c r="O2616" t="s">
        <v>163</v>
      </c>
      <c r="P2616">
        <v>4.7897505493524868E-3</v>
      </c>
      <c r="Q2616" t="s">
        <v>162</v>
      </c>
      <c r="S2616" t="s">
        <v>456</v>
      </c>
      <c r="T2616" t="s">
        <v>163</v>
      </c>
      <c r="U2616">
        <v>3.6612362417225847E-3</v>
      </c>
      <c r="V2616" t="s">
        <v>162</v>
      </c>
    </row>
    <row r="2617" spans="9:22" x14ac:dyDescent="0.45">
      <c r="I2617" t="s">
        <v>232</v>
      </c>
      <c r="J2617" t="s">
        <v>164</v>
      </c>
      <c r="K2617">
        <v>1.0694628918876464E-2</v>
      </c>
      <c r="L2617" t="s">
        <v>162</v>
      </c>
      <c r="N2617" t="s">
        <v>344</v>
      </c>
      <c r="O2617" t="s">
        <v>164</v>
      </c>
      <c r="P2617">
        <v>9.5631737379957803E-3</v>
      </c>
      <c r="Q2617" t="s">
        <v>162</v>
      </c>
      <c r="S2617" t="s">
        <v>456</v>
      </c>
      <c r="T2617" t="s">
        <v>164</v>
      </c>
      <c r="U2617">
        <v>7.4242996314057954E-3</v>
      </c>
      <c r="V2617" t="s">
        <v>162</v>
      </c>
    </row>
    <row r="2618" spans="9:22" x14ac:dyDescent="0.45">
      <c r="I2618" t="s">
        <v>232</v>
      </c>
      <c r="J2618" t="s">
        <v>519</v>
      </c>
      <c r="K2618">
        <v>2.0462055550832362E-2</v>
      </c>
      <c r="L2618" t="s">
        <v>162</v>
      </c>
      <c r="N2618" t="s">
        <v>344</v>
      </c>
      <c r="O2618" t="s">
        <v>519</v>
      </c>
      <c r="P2618">
        <v>2.5627126855422261E-2</v>
      </c>
      <c r="Q2618" t="s">
        <v>162</v>
      </c>
      <c r="S2618" t="s">
        <v>456</v>
      </c>
      <c r="T2618" t="s">
        <v>519</v>
      </c>
      <c r="U2618">
        <v>1.894464409152188E-2</v>
      </c>
      <c r="V2618" t="s">
        <v>162</v>
      </c>
    </row>
    <row r="2619" spans="9:22" x14ac:dyDescent="0.45">
      <c r="I2619" t="s">
        <v>232</v>
      </c>
      <c r="J2619" t="s">
        <v>520</v>
      </c>
      <c r="K2619">
        <v>0</v>
      </c>
      <c r="L2619" t="s">
        <v>162</v>
      </c>
      <c r="N2619" t="s">
        <v>344</v>
      </c>
      <c r="O2619" t="s">
        <v>520</v>
      </c>
      <c r="P2619">
        <v>5.2793184734581111E-3</v>
      </c>
      <c r="Q2619" t="s">
        <v>162</v>
      </c>
      <c r="S2619" t="s">
        <v>456</v>
      </c>
      <c r="T2619" t="s">
        <v>520</v>
      </c>
      <c r="U2619">
        <v>3.8247557592850949E-3</v>
      </c>
      <c r="V2619" t="s">
        <v>162</v>
      </c>
    </row>
    <row r="2620" spans="9:22" x14ac:dyDescent="0.45">
      <c r="I2620" t="s">
        <v>232</v>
      </c>
      <c r="J2620" t="s">
        <v>521</v>
      </c>
      <c r="K2620">
        <v>0</v>
      </c>
      <c r="L2620" t="s">
        <v>162</v>
      </c>
      <c r="N2620" t="s">
        <v>344</v>
      </c>
      <c r="O2620" t="s">
        <v>521</v>
      </c>
      <c r="P2620">
        <v>3.1914423087120489E-2</v>
      </c>
      <c r="Q2620" t="s">
        <v>162</v>
      </c>
      <c r="S2620" t="s">
        <v>456</v>
      </c>
      <c r="T2620" t="s">
        <v>521</v>
      </c>
      <c r="U2620">
        <v>2.4628841280089242E-2</v>
      </c>
      <c r="V2620" t="s">
        <v>162</v>
      </c>
    </row>
    <row r="2621" spans="9:22" x14ac:dyDescent="0.45">
      <c r="I2621" t="s">
        <v>232</v>
      </c>
      <c r="J2621" t="s">
        <v>165</v>
      </c>
      <c r="K2621">
        <v>1.4696575322517978E-2</v>
      </c>
      <c r="L2621" t="s">
        <v>162</v>
      </c>
      <c r="N2621" t="s">
        <v>344</v>
      </c>
      <c r="O2621" t="s">
        <v>165</v>
      </c>
      <c r="P2621">
        <v>6.291022015753106E-2</v>
      </c>
      <c r="Q2621" t="s">
        <v>162</v>
      </c>
      <c r="S2621" t="s">
        <v>456</v>
      </c>
      <c r="T2621" t="s">
        <v>165</v>
      </c>
      <c r="U2621">
        <v>5.9238238091194939E-2</v>
      </c>
      <c r="V2621" t="s">
        <v>162</v>
      </c>
    </row>
    <row r="2622" spans="9:22" x14ac:dyDescent="0.45">
      <c r="I2622" t="s">
        <v>232</v>
      </c>
      <c r="J2622" t="s">
        <v>166</v>
      </c>
      <c r="K2622">
        <v>1.6816941266969497E-2</v>
      </c>
      <c r="L2622" t="s">
        <v>162</v>
      </c>
      <c r="N2622" t="s">
        <v>344</v>
      </c>
      <c r="O2622" t="s">
        <v>166</v>
      </c>
      <c r="P2622">
        <v>6.7188603031563664E-3</v>
      </c>
      <c r="Q2622" t="s">
        <v>162</v>
      </c>
      <c r="S2622" t="s">
        <v>456</v>
      </c>
      <c r="T2622" t="s">
        <v>166</v>
      </c>
      <c r="U2622">
        <v>6.8982956516812381E-3</v>
      </c>
      <c r="V2622" t="s">
        <v>162</v>
      </c>
    </row>
    <row r="2623" spans="9:22" x14ac:dyDescent="0.45">
      <c r="I2623" t="s">
        <v>232</v>
      </c>
      <c r="J2623" t="s">
        <v>167</v>
      </c>
      <c r="K2623">
        <v>4.1345415409685123E-2</v>
      </c>
      <c r="L2623" t="s">
        <v>162</v>
      </c>
      <c r="N2623" t="s">
        <v>344</v>
      </c>
      <c r="O2623" t="s">
        <v>167</v>
      </c>
      <c r="P2623">
        <v>1.3055087483105654E-2</v>
      </c>
      <c r="Q2623" t="s">
        <v>162</v>
      </c>
      <c r="S2623" t="s">
        <v>456</v>
      </c>
      <c r="T2623" t="s">
        <v>167</v>
      </c>
      <c r="U2623">
        <v>1.3228225559396612E-2</v>
      </c>
      <c r="V2623" t="s">
        <v>162</v>
      </c>
    </row>
    <row r="2624" spans="9:22" x14ac:dyDescent="0.45">
      <c r="I2624" t="s">
        <v>232</v>
      </c>
      <c r="J2624" t="s">
        <v>522</v>
      </c>
      <c r="K2624">
        <v>9.1510574148619794E-2</v>
      </c>
      <c r="L2624" t="s">
        <v>162</v>
      </c>
      <c r="N2624" t="s">
        <v>344</v>
      </c>
      <c r="O2624" t="s">
        <v>522</v>
      </c>
      <c r="P2624">
        <v>3.3522948180435226E-2</v>
      </c>
      <c r="Q2624" t="s">
        <v>162</v>
      </c>
      <c r="S2624" t="s">
        <v>456</v>
      </c>
      <c r="T2624" t="s">
        <v>522</v>
      </c>
      <c r="U2624">
        <v>3.0770751149913372E-2</v>
      </c>
      <c r="V2624" t="s">
        <v>162</v>
      </c>
    </row>
    <row r="2625" spans="9:22" x14ac:dyDescent="0.45">
      <c r="I2625" t="s">
        <v>232</v>
      </c>
      <c r="J2625" t="s">
        <v>523</v>
      </c>
      <c r="K2625">
        <v>7.8065192681837717E-3</v>
      </c>
      <c r="L2625" t="s">
        <v>162</v>
      </c>
      <c r="N2625" t="s">
        <v>344</v>
      </c>
      <c r="O2625" t="s">
        <v>523</v>
      </c>
      <c r="P2625">
        <v>7.0970419584828965E-3</v>
      </c>
      <c r="Q2625" t="s">
        <v>162</v>
      </c>
      <c r="S2625" t="s">
        <v>456</v>
      </c>
      <c r="T2625" t="s">
        <v>523</v>
      </c>
      <c r="U2625">
        <v>6.14427988195372E-3</v>
      </c>
      <c r="V2625" t="s">
        <v>162</v>
      </c>
    </row>
    <row r="2626" spans="9:22" x14ac:dyDescent="0.45">
      <c r="I2626" t="s">
        <v>232</v>
      </c>
      <c r="J2626" t="s">
        <v>524</v>
      </c>
      <c r="K2626">
        <v>2.0769555371186982E-3</v>
      </c>
      <c r="L2626" t="s">
        <v>162</v>
      </c>
      <c r="N2626" t="s">
        <v>344</v>
      </c>
      <c r="O2626" t="s">
        <v>524</v>
      </c>
      <c r="P2626">
        <v>4.2919454978334069E-2</v>
      </c>
      <c r="Q2626" t="s">
        <v>162</v>
      </c>
      <c r="S2626" t="s">
        <v>456</v>
      </c>
      <c r="T2626" t="s">
        <v>524</v>
      </c>
      <c r="U2626">
        <v>3.8379926939589144E-2</v>
      </c>
      <c r="V2626" t="s">
        <v>162</v>
      </c>
    </row>
    <row r="2627" spans="9:22" x14ac:dyDescent="0.45">
      <c r="I2627" t="s">
        <v>232</v>
      </c>
      <c r="J2627" t="s">
        <v>168</v>
      </c>
      <c r="K2627">
        <v>2.2961927950188525E-2</v>
      </c>
      <c r="L2627" t="s">
        <v>162</v>
      </c>
      <c r="N2627" t="s">
        <v>344</v>
      </c>
      <c r="O2627" t="s">
        <v>168</v>
      </c>
      <c r="P2627">
        <v>2.9634151036549827E-2</v>
      </c>
      <c r="Q2627" t="s">
        <v>162</v>
      </c>
      <c r="S2627" t="s">
        <v>456</v>
      </c>
      <c r="T2627" t="s">
        <v>168</v>
      </c>
      <c r="U2627">
        <v>3.6372046721292343E-2</v>
      </c>
      <c r="V2627" t="s">
        <v>162</v>
      </c>
    </row>
    <row r="2628" spans="9:22" x14ac:dyDescent="0.45">
      <c r="I2628" t="s">
        <v>232</v>
      </c>
      <c r="J2628" t="s">
        <v>169</v>
      </c>
      <c r="K2628">
        <v>1.1641830704175281E-2</v>
      </c>
      <c r="L2628" t="s">
        <v>162</v>
      </c>
      <c r="N2628" t="s">
        <v>344</v>
      </c>
      <c r="O2628" t="s">
        <v>169</v>
      </c>
      <c r="P2628">
        <v>3.019787974288461E-3</v>
      </c>
      <c r="Q2628" t="s">
        <v>162</v>
      </c>
      <c r="S2628" t="s">
        <v>456</v>
      </c>
      <c r="T2628" t="s">
        <v>169</v>
      </c>
      <c r="U2628">
        <v>4.0988899854987187E-3</v>
      </c>
      <c r="V2628" t="s">
        <v>162</v>
      </c>
    </row>
    <row r="2629" spans="9:22" x14ac:dyDescent="0.45">
      <c r="I2629" t="s">
        <v>232</v>
      </c>
      <c r="J2629" t="s">
        <v>170</v>
      </c>
      <c r="K2629">
        <v>2.4849630420308307E-2</v>
      </c>
      <c r="L2629" t="s">
        <v>162</v>
      </c>
      <c r="N2629" t="s">
        <v>344</v>
      </c>
      <c r="O2629" t="s">
        <v>170</v>
      </c>
      <c r="P2629">
        <v>6.1406198776504106E-3</v>
      </c>
      <c r="Q2629" t="s">
        <v>162</v>
      </c>
      <c r="S2629" t="s">
        <v>456</v>
      </c>
      <c r="T2629" t="s">
        <v>170</v>
      </c>
      <c r="U2629">
        <v>8.2678159970799581E-3</v>
      </c>
      <c r="V2629" t="s">
        <v>162</v>
      </c>
    </row>
    <row r="2630" spans="9:22" x14ac:dyDescent="0.45">
      <c r="I2630" t="s">
        <v>232</v>
      </c>
      <c r="J2630" t="s">
        <v>525</v>
      </c>
      <c r="K2630">
        <v>5.8252323444688919E-2</v>
      </c>
      <c r="L2630" t="s">
        <v>162</v>
      </c>
      <c r="N2630" t="s">
        <v>344</v>
      </c>
      <c r="O2630" t="s">
        <v>525</v>
      </c>
      <c r="P2630">
        <v>1.6456353686759361E-2</v>
      </c>
      <c r="Q2630" t="s">
        <v>162</v>
      </c>
      <c r="S2630" t="s">
        <v>456</v>
      </c>
      <c r="T2630" t="s">
        <v>525</v>
      </c>
      <c r="U2630">
        <v>2.1398601940861489E-2</v>
      </c>
      <c r="V2630" t="s">
        <v>162</v>
      </c>
    </row>
    <row r="2631" spans="9:22" x14ac:dyDescent="0.45">
      <c r="I2631" t="s">
        <v>232</v>
      </c>
      <c r="J2631" t="s">
        <v>526</v>
      </c>
      <c r="K2631">
        <v>7.7600589464060067E-3</v>
      </c>
      <c r="L2631" t="s">
        <v>162</v>
      </c>
      <c r="N2631" t="s">
        <v>344</v>
      </c>
      <c r="O2631" t="s">
        <v>526</v>
      </c>
      <c r="P2631">
        <v>3.3315116057300981E-3</v>
      </c>
      <c r="Q2631" t="s">
        <v>162</v>
      </c>
      <c r="S2631" t="s">
        <v>456</v>
      </c>
      <c r="T2631" t="s">
        <v>526</v>
      </c>
      <c r="U2631">
        <v>4.304855013305138E-3</v>
      </c>
      <c r="V2631" t="s">
        <v>162</v>
      </c>
    </row>
    <row r="2632" spans="9:22" x14ac:dyDescent="0.45">
      <c r="I2632" t="s">
        <v>232</v>
      </c>
      <c r="J2632" t="s">
        <v>527</v>
      </c>
      <c r="K2632">
        <v>6.4871859503285931E-3</v>
      </c>
      <c r="L2632" t="s">
        <v>162</v>
      </c>
      <c r="N2632" t="s">
        <v>344</v>
      </c>
      <c r="O2632" t="s">
        <v>527</v>
      </c>
      <c r="P2632">
        <v>2.0659867239131356E-2</v>
      </c>
      <c r="Q2632" t="s">
        <v>162</v>
      </c>
      <c r="S2632" t="s">
        <v>456</v>
      </c>
      <c r="T2632" t="s">
        <v>527</v>
      </c>
      <c r="U2632">
        <v>2.5420459900836308E-2</v>
      </c>
      <c r="V2632" t="s">
        <v>162</v>
      </c>
    </row>
    <row r="2633" spans="9:22" x14ac:dyDescent="0.45">
      <c r="I2633" t="s">
        <v>232</v>
      </c>
      <c r="J2633" t="s">
        <v>528</v>
      </c>
      <c r="K2633">
        <v>0.10459672581741539</v>
      </c>
      <c r="L2633" t="s">
        <v>162</v>
      </c>
      <c r="N2633" t="s">
        <v>344</v>
      </c>
      <c r="O2633" t="s">
        <v>528</v>
      </c>
      <c r="P2633">
        <v>7.6905895386184753E-2</v>
      </c>
      <c r="Q2633" t="s">
        <v>162</v>
      </c>
      <c r="S2633" t="s">
        <v>456</v>
      </c>
      <c r="T2633" t="s">
        <v>528</v>
      </c>
      <c r="U2633">
        <v>8.8496922234427247E-2</v>
      </c>
      <c r="V2633" t="s">
        <v>162</v>
      </c>
    </row>
    <row r="2634" spans="9:22" x14ac:dyDescent="0.45">
      <c r="I2634" t="s">
        <v>232</v>
      </c>
      <c r="J2634" t="s">
        <v>529</v>
      </c>
      <c r="K2634">
        <v>3.5624564564408767E-2</v>
      </c>
      <c r="L2634" t="s">
        <v>162</v>
      </c>
      <c r="N2634" t="s">
        <v>344</v>
      </c>
      <c r="O2634" t="s">
        <v>529</v>
      </c>
      <c r="P2634">
        <v>8.7906376404394953E-3</v>
      </c>
      <c r="Q2634" t="s">
        <v>162</v>
      </c>
      <c r="S2634" t="s">
        <v>456</v>
      </c>
      <c r="T2634" t="s">
        <v>529</v>
      </c>
      <c r="U2634">
        <v>8.6648228847892445E-3</v>
      </c>
      <c r="V2634" t="s">
        <v>162</v>
      </c>
    </row>
    <row r="2635" spans="9:22" x14ac:dyDescent="0.45">
      <c r="I2635" t="s">
        <v>232</v>
      </c>
      <c r="J2635" t="s">
        <v>530</v>
      </c>
      <c r="K2635">
        <v>7.2149608215005753E-2</v>
      </c>
      <c r="L2635" t="s">
        <v>162</v>
      </c>
      <c r="N2635" t="s">
        <v>344</v>
      </c>
      <c r="O2635" t="s">
        <v>530</v>
      </c>
      <c r="P2635">
        <v>1.8461313884150985E-2</v>
      </c>
      <c r="Q2635" t="s">
        <v>162</v>
      </c>
      <c r="S2635" t="s">
        <v>456</v>
      </c>
      <c r="T2635" t="s">
        <v>530</v>
      </c>
      <c r="U2635">
        <v>1.6899609626734681E-2</v>
      </c>
      <c r="V2635" t="s">
        <v>162</v>
      </c>
    </row>
    <row r="2636" spans="9:22" x14ac:dyDescent="0.45">
      <c r="I2636" t="s">
        <v>232</v>
      </c>
      <c r="J2636" t="s">
        <v>531</v>
      </c>
      <c r="K2636">
        <v>0.16087805707611558</v>
      </c>
      <c r="L2636" t="s">
        <v>162</v>
      </c>
      <c r="N2636" t="s">
        <v>344</v>
      </c>
      <c r="O2636" t="s">
        <v>531</v>
      </c>
      <c r="P2636">
        <v>4.7181664247421304E-2</v>
      </c>
      <c r="Q2636" t="s">
        <v>162</v>
      </c>
      <c r="S2636" t="s">
        <v>456</v>
      </c>
      <c r="T2636" t="s">
        <v>531</v>
      </c>
      <c r="U2636">
        <v>4.1366577687084745E-2</v>
      </c>
      <c r="V2636" t="s">
        <v>162</v>
      </c>
    </row>
    <row r="2637" spans="9:22" x14ac:dyDescent="0.45">
      <c r="I2637" t="s">
        <v>232</v>
      </c>
      <c r="J2637" t="s">
        <v>532</v>
      </c>
      <c r="K2637">
        <v>2.4298942250406599E-2</v>
      </c>
      <c r="L2637" t="s">
        <v>162</v>
      </c>
      <c r="N2637" t="s">
        <v>344</v>
      </c>
      <c r="O2637" t="s">
        <v>532</v>
      </c>
      <c r="P2637">
        <v>8.6815982880278694E-3</v>
      </c>
      <c r="Q2637" t="s">
        <v>162</v>
      </c>
      <c r="S2637" t="s">
        <v>456</v>
      </c>
      <c r="T2637" t="s">
        <v>532</v>
      </c>
      <c r="U2637">
        <v>8.4945090043213652E-3</v>
      </c>
      <c r="V2637" t="s">
        <v>162</v>
      </c>
    </row>
    <row r="2638" spans="9:22" x14ac:dyDescent="0.45">
      <c r="I2638" t="s">
        <v>232</v>
      </c>
      <c r="J2638" t="s">
        <v>533</v>
      </c>
      <c r="K2638">
        <v>4.292003264682262E-2</v>
      </c>
      <c r="L2638" t="s">
        <v>162</v>
      </c>
      <c r="N2638" t="s">
        <v>344</v>
      </c>
      <c r="O2638" t="s">
        <v>533</v>
      </c>
      <c r="P2638">
        <v>5.0215508889179049E-2</v>
      </c>
      <c r="Q2638" t="s">
        <v>162</v>
      </c>
      <c r="S2638" t="s">
        <v>456</v>
      </c>
      <c r="T2638" t="s">
        <v>533</v>
      </c>
      <c r="U2638">
        <v>5.4952776731619482E-2</v>
      </c>
      <c r="V2638" t="s">
        <v>162</v>
      </c>
    </row>
    <row r="2639" spans="9:22" x14ac:dyDescent="0.45">
      <c r="I2639" t="s">
        <v>232</v>
      </c>
      <c r="J2639" t="s">
        <v>534</v>
      </c>
      <c r="K2639">
        <v>3.1793254664210908E-2</v>
      </c>
      <c r="L2639" t="s">
        <v>162</v>
      </c>
      <c r="N2639" t="s">
        <v>344</v>
      </c>
      <c r="O2639" t="s">
        <v>534</v>
      </c>
      <c r="P2639">
        <v>8.0241740328544975E-2</v>
      </c>
      <c r="Q2639" t="s">
        <v>162</v>
      </c>
      <c r="S2639" t="s">
        <v>456</v>
      </c>
      <c r="T2639" t="s">
        <v>534</v>
      </c>
      <c r="U2639">
        <v>9.4262337242853947E-2</v>
      </c>
      <c r="V2639" t="s">
        <v>162</v>
      </c>
    </row>
    <row r="2640" spans="9:22" x14ac:dyDescent="0.45">
      <c r="I2640" t="s">
        <v>232</v>
      </c>
      <c r="J2640" t="s">
        <v>535</v>
      </c>
      <c r="K2640">
        <v>1.6226683578943364E-2</v>
      </c>
      <c r="L2640" t="s">
        <v>162</v>
      </c>
      <c r="N2640" t="s">
        <v>344</v>
      </c>
      <c r="O2640" t="s">
        <v>535</v>
      </c>
      <c r="P2640">
        <v>9.2108366575309308E-3</v>
      </c>
      <c r="Q2640" t="s">
        <v>162</v>
      </c>
      <c r="S2640" t="s">
        <v>456</v>
      </c>
      <c r="T2640" t="s">
        <v>535</v>
      </c>
      <c r="U2640">
        <v>1.0269826669219072E-2</v>
      </c>
      <c r="V2640" t="s">
        <v>162</v>
      </c>
    </row>
    <row r="2641" spans="9:22" x14ac:dyDescent="0.45">
      <c r="I2641" t="s">
        <v>232</v>
      </c>
      <c r="J2641" t="s">
        <v>536</v>
      </c>
      <c r="K2641">
        <v>3.6074317079091131E-2</v>
      </c>
      <c r="L2641" t="s">
        <v>162</v>
      </c>
      <c r="N2641" t="s">
        <v>344</v>
      </c>
      <c r="O2641" t="s">
        <v>536</v>
      </c>
      <c r="P2641">
        <v>1.9170322283455752E-2</v>
      </c>
      <c r="Q2641" t="s">
        <v>162</v>
      </c>
      <c r="S2641" t="s">
        <v>456</v>
      </c>
      <c r="T2641" t="s">
        <v>536</v>
      </c>
      <c r="U2641">
        <v>2.0762432283398205E-2</v>
      </c>
      <c r="V2641" t="s">
        <v>162</v>
      </c>
    </row>
    <row r="2642" spans="9:22" x14ac:dyDescent="0.45">
      <c r="I2642" t="s">
        <v>232</v>
      </c>
      <c r="J2642" t="s">
        <v>537</v>
      </c>
      <c r="K2642">
        <v>7.4886712620277601E-2</v>
      </c>
      <c r="L2642" t="s">
        <v>162</v>
      </c>
      <c r="N2642" t="s">
        <v>344</v>
      </c>
      <c r="O2642" t="s">
        <v>537</v>
      </c>
      <c r="P2642">
        <v>4.7994156376664578E-2</v>
      </c>
      <c r="Q2642" t="s">
        <v>162</v>
      </c>
      <c r="S2642" t="s">
        <v>456</v>
      </c>
      <c r="T2642" t="s">
        <v>537</v>
      </c>
      <c r="U2642">
        <v>5.3354523757399262E-2</v>
      </c>
      <c r="V2642" t="s">
        <v>162</v>
      </c>
    </row>
    <row r="2643" spans="9:22" x14ac:dyDescent="0.45">
      <c r="I2643" t="s">
        <v>232</v>
      </c>
      <c r="J2643" t="s">
        <v>538</v>
      </c>
      <c r="K2643">
        <v>9.0587906871228245E-3</v>
      </c>
      <c r="L2643" t="s">
        <v>162</v>
      </c>
      <c r="N2643" t="s">
        <v>344</v>
      </c>
      <c r="O2643" t="s">
        <v>538</v>
      </c>
      <c r="P2643">
        <v>8.6029465500914361E-3</v>
      </c>
      <c r="Q2643" t="s">
        <v>162</v>
      </c>
      <c r="S2643" t="s">
        <v>456</v>
      </c>
      <c r="T2643" t="s">
        <v>538</v>
      </c>
      <c r="U2643">
        <v>1.0592416060004668E-2</v>
      </c>
      <c r="V2643" t="s">
        <v>162</v>
      </c>
    </row>
    <row r="2644" spans="9:22" x14ac:dyDescent="0.45">
      <c r="I2644" t="s">
        <v>232</v>
      </c>
      <c r="J2644" t="s">
        <v>539</v>
      </c>
      <c r="K2644">
        <v>8.4100251308508889E-3</v>
      </c>
      <c r="L2644" t="s">
        <v>162</v>
      </c>
      <c r="N2644" t="s">
        <v>344</v>
      </c>
      <c r="O2644" t="s">
        <v>539</v>
      </c>
      <c r="P2644">
        <v>5.3155816437615348E-2</v>
      </c>
      <c r="Q2644" t="s">
        <v>162</v>
      </c>
      <c r="S2644" t="s">
        <v>456</v>
      </c>
      <c r="T2644" t="s">
        <v>539</v>
      </c>
      <c r="U2644">
        <v>6.1597821541725273E-2</v>
      </c>
      <c r="V2644" t="s">
        <v>162</v>
      </c>
    </row>
    <row r="2645" spans="9:22" x14ac:dyDescent="0.45">
      <c r="I2645" t="s">
        <v>232</v>
      </c>
      <c r="J2645" t="s">
        <v>540</v>
      </c>
      <c r="K2645">
        <v>2.0042241538078496E-4</v>
      </c>
      <c r="L2645" t="s">
        <v>162</v>
      </c>
      <c r="N2645" t="s">
        <v>344</v>
      </c>
      <c r="O2645" t="s">
        <v>540</v>
      </c>
      <c r="P2645">
        <v>3.5996922892740153E-2</v>
      </c>
      <c r="Q2645" t="s">
        <v>162</v>
      </c>
      <c r="S2645" t="s">
        <v>456</v>
      </c>
      <c r="T2645" t="s">
        <v>540</v>
      </c>
      <c r="U2645">
        <v>3.116612156148256E-2</v>
      </c>
      <c r="V2645" t="s">
        <v>162</v>
      </c>
    </row>
    <row r="2646" spans="9:22" x14ac:dyDescent="0.45">
      <c r="I2646" t="s">
        <v>232</v>
      </c>
      <c r="J2646" t="s">
        <v>541</v>
      </c>
      <c r="K2646">
        <v>2.2221984517942646E-3</v>
      </c>
      <c r="L2646" t="s">
        <v>162</v>
      </c>
      <c r="N2646" t="s">
        <v>344</v>
      </c>
      <c r="O2646" t="s">
        <v>541</v>
      </c>
      <c r="P2646">
        <v>3.897524149024661E-3</v>
      </c>
      <c r="Q2646" t="s">
        <v>162</v>
      </c>
      <c r="S2646" t="s">
        <v>456</v>
      </c>
      <c r="T2646" t="s">
        <v>541</v>
      </c>
      <c r="U2646">
        <v>3.1549059479225763E-3</v>
      </c>
      <c r="V2646" t="s">
        <v>162</v>
      </c>
    </row>
    <row r="2647" spans="9:22" x14ac:dyDescent="0.45">
      <c r="I2647" t="s">
        <v>232</v>
      </c>
      <c r="J2647" t="s">
        <v>542</v>
      </c>
      <c r="K2647">
        <v>7.8930833514096414E-3</v>
      </c>
      <c r="L2647" t="s">
        <v>162</v>
      </c>
      <c r="N2647" t="s">
        <v>344</v>
      </c>
      <c r="O2647" t="s">
        <v>542</v>
      </c>
      <c r="P2647">
        <v>7.4796734603306417E-3</v>
      </c>
      <c r="Q2647" t="s">
        <v>162</v>
      </c>
      <c r="S2647" t="s">
        <v>456</v>
      </c>
      <c r="T2647" t="s">
        <v>542</v>
      </c>
      <c r="U2647">
        <v>6.5444567195056102E-3</v>
      </c>
      <c r="V2647" t="s">
        <v>162</v>
      </c>
    </row>
    <row r="2648" spans="9:22" x14ac:dyDescent="0.45">
      <c r="I2648" t="s">
        <v>232</v>
      </c>
      <c r="J2648" t="s">
        <v>543</v>
      </c>
      <c r="K2648">
        <v>1.2783326919654165E-2</v>
      </c>
      <c r="L2648" t="s">
        <v>162</v>
      </c>
      <c r="N2648" t="s">
        <v>344</v>
      </c>
      <c r="O2648" t="s">
        <v>543</v>
      </c>
      <c r="P2648">
        <v>1.843515452011827E-2</v>
      </c>
      <c r="Q2648" t="s">
        <v>162</v>
      </c>
      <c r="S2648" t="s">
        <v>456</v>
      </c>
      <c r="T2648" t="s">
        <v>543</v>
      </c>
      <c r="U2648">
        <v>1.7287545833431821E-2</v>
      </c>
      <c r="V2648" t="s">
        <v>162</v>
      </c>
    </row>
    <row r="2649" spans="9:22" x14ac:dyDescent="0.45">
      <c r="I2649" t="s">
        <v>232</v>
      </c>
      <c r="J2649" t="s">
        <v>544</v>
      </c>
      <c r="K2649">
        <v>0</v>
      </c>
      <c r="L2649" t="s">
        <v>162</v>
      </c>
      <c r="N2649" t="s">
        <v>344</v>
      </c>
      <c r="O2649" t="s">
        <v>544</v>
      </c>
      <c r="P2649">
        <v>3.9662803903503597E-3</v>
      </c>
      <c r="Q2649" t="s">
        <v>162</v>
      </c>
      <c r="S2649" t="s">
        <v>456</v>
      </c>
      <c r="T2649" t="s">
        <v>544</v>
      </c>
      <c r="U2649">
        <v>3.493687755311788E-3</v>
      </c>
      <c r="V2649" t="s">
        <v>162</v>
      </c>
    </row>
    <row r="2650" spans="9:22" x14ac:dyDescent="0.45">
      <c r="I2650" t="s">
        <v>232</v>
      </c>
      <c r="J2650" t="s">
        <v>545</v>
      </c>
      <c r="K2650">
        <v>0</v>
      </c>
      <c r="L2650" t="s">
        <v>162</v>
      </c>
      <c r="N2650" t="s">
        <v>344</v>
      </c>
      <c r="O2650" t="s">
        <v>545</v>
      </c>
      <c r="P2650">
        <v>2.4647149259070977E-2</v>
      </c>
      <c r="Q2650" t="s">
        <v>162</v>
      </c>
      <c r="S2650" t="s">
        <v>456</v>
      </c>
      <c r="T2650" t="s">
        <v>545</v>
      </c>
      <c r="U2650">
        <v>2.1151391485101912E-2</v>
      </c>
      <c r="V2650" t="s">
        <v>162</v>
      </c>
    </row>
    <row r="2651" spans="9:22" x14ac:dyDescent="0.45">
      <c r="I2651" t="s">
        <v>232</v>
      </c>
      <c r="J2651" t="s">
        <v>546</v>
      </c>
      <c r="K2651">
        <v>0</v>
      </c>
      <c r="L2651" t="s">
        <v>162</v>
      </c>
      <c r="N2651" t="s">
        <v>344</v>
      </c>
      <c r="O2651" t="s">
        <v>546</v>
      </c>
      <c r="P2651">
        <v>4.3858541894526558E-2</v>
      </c>
      <c r="Q2651" t="s">
        <v>162</v>
      </c>
      <c r="S2651" t="s">
        <v>456</v>
      </c>
      <c r="T2651" t="s">
        <v>546</v>
      </c>
      <c r="U2651">
        <v>3.7003339784524261E-2</v>
      </c>
      <c r="V2651" t="s">
        <v>162</v>
      </c>
    </row>
    <row r="2652" spans="9:22" x14ac:dyDescent="0.45">
      <c r="I2652" t="s">
        <v>232</v>
      </c>
      <c r="J2652" t="s">
        <v>547</v>
      </c>
      <c r="K2652">
        <v>3.8831673678049977E-4</v>
      </c>
      <c r="L2652" t="s">
        <v>162</v>
      </c>
      <c r="N2652" t="s">
        <v>344</v>
      </c>
      <c r="O2652" t="s">
        <v>547</v>
      </c>
      <c r="P2652">
        <v>4.4407498665536569E-3</v>
      </c>
      <c r="Q2652" t="s">
        <v>162</v>
      </c>
      <c r="S2652" t="s">
        <v>456</v>
      </c>
      <c r="T2652" t="s">
        <v>547</v>
      </c>
      <c r="U2652">
        <v>4.3042422591525915E-3</v>
      </c>
      <c r="V2652" t="s">
        <v>162</v>
      </c>
    </row>
    <row r="2653" spans="9:22" x14ac:dyDescent="0.45">
      <c r="I2653" t="s">
        <v>232</v>
      </c>
      <c r="J2653" t="s">
        <v>548</v>
      </c>
      <c r="K2653">
        <v>8.5917327607777025E-3</v>
      </c>
      <c r="L2653" t="s">
        <v>162</v>
      </c>
      <c r="N2653" t="s">
        <v>344</v>
      </c>
      <c r="O2653" t="s">
        <v>548</v>
      </c>
      <c r="P2653">
        <v>8.5521465416539804E-3</v>
      </c>
      <c r="Q2653" t="s">
        <v>162</v>
      </c>
      <c r="S2653" t="s">
        <v>456</v>
      </c>
      <c r="T2653" t="s">
        <v>548</v>
      </c>
      <c r="U2653">
        <v>8.6497420195051616E-3</v>
      </c>
      <c r="V2653" t="s">
        <v>162</v>
      </c>
    </row>
    <row r="2654" spans="9:22" x14ac:dyDescent="0.45">
      <c r="I2654" t="s">
        <v>232</v>
      </c>
      <c r="J2654" t="s">
        <v>549</v>
      </c>
      <c r="K2654">
        <v>1.2019345995647605E-2</v>
      </c>
      <c r="L2654" t="s">
        <v>162</v>
      </c>
      <c r="N2654" t="s">
        <v>344</v>
      </c>
      <c r="O2654" t="s">
        <v>549</v>
      </c>
      <c r="P2654">
        <v>2.1350765949649818E-2</v>
      </c>
      <c r="Q2654" t="s">
        <v>162</v>
      </c>
      <c r="S2654" t="s">
        <v>456</v>
      </c>
      <c r="T2654" t="s">
        <v>549</v>
      </c>
      <c r="U2654">
        <v>2.1169267980087329E-2</v>
      </c>
      <c r="V2654" t="s">
        <v>162</v>
      </c>
    </row>
    <row r="2655" spans="9:22" x14ac:dyDescent="0.45">
      <c r="I2655" t="s">
        <v>232</v>
      </c>
      <c r="J2655" t="s">
        <v>550</v>
      </c>
      <c r="K2655">
        <v>0</v>
      </c>
      <c r="L2655" t="s">
        <v>162</v>
      </c>
      <c r="N2655" t="s">
        <v>344</v>
      </c>
      <c r="O2655" t="s">
        <v>550</v>
      </c>
      <c r="P2655">
        <v>4.4368985164878472E-3</v>
      </c>
      <c r="Q2655" t="s">
        <v>162</v>
      </c>
      <c r="S2655" t="s">
        <v>456</v>
      </c>
      <c r="T2655" t="s">
        <v>550</v>
      </c>
      <c r="U2655">
        <v>4.0635869443996627E-3</v>
      </c>
      <c r="V2655" t="s">
        <v>162</v>
      </c>
    </row>
    <row r="2656" spans="9:22" x14ac:dyDescent="0.45">
      <c r="I2656" t="s">
        <v>232</v>
      </c>
      <c r="J2656" t="s">
        <v>551</v>
      </c>
      <c r="K2656">
        <v>0</v>
      </c>
      <c r="L2656" t="s">
        <v>162</v>
      </c>
      <c r="N2656" t="s">
        <v>344</v>
      </c>
      <c r="O2656" t="s">
        <v>551</v>
      </c>
      <c r="P2656">
        <v>2.7623775348972611E-2</v>
      </c>
      <c r="Q2656" t="s">
        <v>162</v>
      </c>
      <c r="S2656" t="s">
        <v>456</v>
      </c>
      <c r="T2656" t="s">
        <v>551</v>
      </c>
      <c r="U2656">
        <v>2.4901930053250153E-2</v>
      </c>
      <c r="V2656" t="s">
        <v>162</v>
      </c>
    </row>
    <row r="2657" spans="9:22" x14ac:dyDescent="0.45">
      <c r="I2657" t="s">
        <v>233</v>
      </c>
      <c r="J2657" t="s">
        <v>161</v>
      </c>
      <c r="K2657">
        <v>0</v>
      </c>
      <c r="L2657" t="s">
        <v>162</v>
      </c>
      <c r="N2657" t="s">
        <v>345</v>
      </c>
      <c r="O2657" t="s">
        <v>161</v>
      </c>
      <c r="P2657">
        <v>4.141940278984664E-2</v>
      </c>
      <c r="Q2657" t="s">
        <v>162</v>
      </c>
      <c r="S2657" t="s">
        <v>457</v>
      </c>
      <c r="T2657" t="s">
        <v>161</v>
      </c>
      <c r="U2657">
        <v>3.2980757831116862E-2</v>
      </c>
      <c r="V2657" t="s">
        <v>162</v>
      </c>
    </row>
    <row r="2658" spans="9:22" x14ac:dyDescent="0.45">
      <c r="I2658" t="s">
        <v>233</v>
      </c>
      <c r="J2658" t="s">
        <v>163</v>
      </c>
      <c r="K2658">
        <v>3.3173823208150909E-3</v>
      </c>
      <c r="L2658" t="s">
        <v>162</v>
      </c>
      <c r="N2658" t="s">
        <v>345</v>
      </c>
      <c r="O2658" t="s">
        <v>163</v>
      </c>
      <c r="P2658">
        <v>4.5539845020839695E-3</v>
      </c>
      <c r="Q2658" t="s">
        <v>162</v>
      </c>
      <c r="S2658" t="s">
        <v>457</v>
      </c>
      <c r="T2658" t="s">
        <v>163</v>
      </c>
      <c r="U2658">
        <v>3.9244447673970045E-3</v>
      </c>
      <c r="V2658" t="s">
        <v>162</v>
      </c>
    </row>
    <row r="2659" spans="9:22" x14ac:dyDescent="0.45">
      <c r="I2659" t="s">
        <v>233</v>
      </c>
      <c r="J2659" t="s">
        <v>164</v>
      </c>
      <c r="K2659">
        <v>1.1588088803821686E-2</v>
      </c>
      <c r="L2659" t="s">
        <v>162</v>
      </c>
      <c r="N2659" t="s">
        <v>345</v>
      </c>
      <c r="O2659" t="s">
        <v>164</v>
      </c>
      <c r="P2659">
        <v>8.9457390061784114E-3</v>
      </c>
      <c r="Q2659" t="s">
        <v>162</v>
      </c>
      <c r="S2659" t="s">
        <v>457</v>
      </c>
      <c r="T2659" t="s">
        <v>164</v>
      </c>
      <c r="U2659">
        <v>7.9886781736394109E-3</v>
      </c>
      <c r="V2659" t="s">
        <v>162</v>
      </c>
    </row>
    <row r="2660" spans="9:22" x14ac:dyDescent="0.45">
      <c r="I2660" t="s">
        <v>233</v>
      </c>
      <c r="J2660" t="s">
        <v>519</v>
      </c>
      <c r="K2660">
        <v>2.2983686377600881E-2</v>
      </c>
      <c r="L2660" t="s">
        <v>162</v>
      </c>
      <c r="N2660" t="s">
        <v>345</v>
      </c>
      <c r="O2660" t="s">
        <v>519</v>
      </c>
      <c r="P2660">
        <v>2.2908239710636515E-2</v>
      </c>
      <c r="Q2660" t="s">
        <v>162</v>
      </c>
      <c r="S2660" t="s">
        <v>457</v>
      </c>
      <c r="T2660" t="s">
        <v>519</v>
      </c>
      <c r="U2660">
        <v>1.9103128851932209E-2</v>
      </c>
      <c r="V2660" t="s">
        <v>162</v>
      </c>
    </row>
    <row r="2661" spans="9:22" x14ac:dyDescent="0.45">
      <c r="I2661" t="s">
        <v>233</v>
      </c>
      <c r="J2661" t="s">
        <v>520</v>
      </c>
      <c r="K2661">
        <v>0</v>
      </c>
      <c r="L2661" t="s">
        <v>162</v>
      </c>
      <c r="N2661" t="s">
        <v>345</v>
      </c>
      <c r="O2661" t="s">
        <v>520</v>
      </c>
      <c r="P2661">
        <v>4.6928921413420793E-3</v>
      </c>
      <c r="Q2661" t="s">
        <v>162</v>
      </c>
      <c r="S2661" t="s">
        <v>457</v>
      </c>
      <c r="T2661" t="s">
        <v>520</v>
      </c>
      <c r="U2661">
        <v>3.6220155483612255E-3</v>
      </c>
      <c r="V2661" t="s">
        <v>162</v>
      </c>
    </row>
    <row r="2662" spans="9:22" x14ac:dyDescent="0.45">
      <c r="I2662" t="s">
        <v>233</v>
      </c>
      <c r="J2662" t="s">
        <v>521</v>
      </c>
      <c r="K2662">
        <v>0</v>
      </c>
      <c r="L2662" t="s">
        <v>162</v>
      </c>
      <c r="N2662" t="s">
        <v>345</v>
      </c>
      <c r="O2662" t="s">
        <v>521</v>
      </c>
      <c r="P2662">
        <v>2.9026326839091423E-2</v>
      </c>
      <c r="Q2662" t="s">
        <v>162</v>
      </c>
      <c r="S2662" t="s">
        <v>457</v>
      </c>
      <c r="T2662" t="s">
        <v>521</v>
      </c>
      <c r="U2662">
        <v>2.1593504338916557E-2</v>
      </c>
      <c r="V2662" t="s">
        <v>162</v>
      </c>
    </row>
    <row r="2663" spans="9:22" x14ac:dyDescent="0.45">
      <c r="I2663" t="s">
        <v>233</v>
      </c>
      <c r="J2663" t="s">
        <v>165</v>
      </c>
      <c r="K2663">
        <v>1.5298977581042719E-2</v>
      </c>
      <c r="L2663" t="s">
        <v>162</v>
      </c>
      <c r="N2663" t="s">
        <v>345</v>
      </c>
      <c r="O2663" t="s">
        <v>165</v>
      </c>
      <c r="P2663">
        <v>6.6091090889227044E-2</v>
      </c>
      <c r="Q2663" t="s">
        <v>162</v>
      </c>
      <c r="S2663" t="s">
        <v>457</v>
      </c>
      <c r="T2663" t="s">
        <v>165</v>
      </c>
      <c r="U2663">
        <v>3.8677114353908436E-2</v>
      </c>
      <c r="V2663" t="s">
        <v>162</v>
      </c>
    </row>
    <row r="2664" spans="9:22" x14ac:dyDescent="0.45">
      <c r="I2664" t="s">
        <v>233</v>
      </c>
      <c r="J2664" t="s">
        <v>166</v>
      </c>
      <c r="K2664">
        <v>1.5487556753320897E-2</v>
      </c>
      <c r="L2664" t="s">
        <v>162</v>
      </c>
      <c r="N2664" t="s">
        <v>345</v>
      </c>
      <c r="O2664" t="s">
        <v>166</v>
      </c>
      <c r="P2664">
        <v>6.8956346038721011E-3</v>
      </c>
      <c r="Q2664" t="s">
        <v>162</v>
      </c>
      <c r="S2664" t="s">
        <v>457</v>
      </c>
      <c r="T2664" t="s">
        <v>166</v>
      </c>
      <c r="U2664">
        <v>4.4998976452575567E-3</v>
      </c>
      <c r="V2664" t="s">
        <v>162</v>
      </c>
    </row>
    <row r="2665" spans="9:22" x14ac:dyDescent="0.45">
      <c r="I2665" t="s">
        <v>233</v>
      </c>
      <c r="J2665" t="s">
        <v>167</v>
      </c>
      <c r="K2665">
        <v>3.7064018475018431E-2</v>
      </c>
      <c r="L2665" t="s">
        <v>162</v>
      </c>
      <c r="N2665" t="s">
        <v>345</v>
      </c>
      <c r="O2665" t="s">
        <v>167</v>
      </c>
      <c r="P2665">
        <v>1.3213066251137821E-2</v>
      </c>
      <c r="Q2665" t="s">
        <v>162</v>
      </c>
      <c r="S2665" t="s">
        <v>457</v>
      </c>
      <c r="T2665" t="s">
        <v>167</v>
      </c>
      <c r="U2665">
        <v>9.0047037996855393E-3</v>
      </c>
      <c r="V2665" t="s">
        <v>162</v>
      </c>
    </row>
    <row r="2666" spans="9:22" x14ac:dyDescent="0.45">
      <c r="I2666" t="s">
        <v>233</v>
      </c>
      <c r="J2666" t="s">
        <v>522</v>
      </c>
      <c r="K2666">
        <v>8.5769242393805553E-2</v>
      </c>
      <c r="L2666" t="s">
        <v>162</v>
      </c>
      <c r="N2666" t="s">
        <v>345</v>
      </c>
      <c r="O2666" t="s">
        <v>522</v>
      </c>
      <c r="P2666">
        <v>3.4024788708122672E-2</v>
      </c>
      <c r="Q2666" t="s">
        <v>162</v>
      </c>
      <c r="S2666" t="s">
        <v>457</v>
      </c>
      <c r="T2666" t="s">
        <v>522</v>
      </c>
      <c r="U2666">
        <v>2.1582167086537977E-2</v>
      </c>
      <c r="V2666" t="s">
        <v>162</v>
      </c>
    </row>
    <row r="2667" spans="9:22" x14ac:dyDescent="0.45">
      <c r="I2667" t="s">
        <v>233</v>
      </c>
      <c r="J2667" t="s">
        <v>523</v>
      </c>
      <c r="K2667">
        <v>9.1674618245547665E-3</v>
      </c>
      <c r="L2667" t="s">
        <v>162</v>
      </c>
      <c r="N2667" t="s">
        <v>345</v>
      </c>
      <c r="O2667" t="s">
        <v>523</v>
      </c>
      <c r="P2667">
        <v>7.1563356900158524E-3</v>
      </c>
      <c r="Q2667" t="s">
        <v>162</v>
      </c>
      <c r="S2667" t="s">
        <v>457</v>
      </c>
      <c r="T2667" t="s">
        <v>523</v>
      </c>
      <c r="U2667">
        <v>4.3849433587460941E-3</v>
      </c>
      <c r="V2667" t="s">
        <v>162</v>
      </c>
    </row>
    <row r="2668" spans="9:22" x14ac:dyDescent="0.45">
      <c r="I2668" t="s">
        <v>233</v>
      </c>
      <c r="J2668" t="s">
        <v>524</v>
      </c>
      <c r="K2668">
        <v>3.5583674049599742E-3</v>
      </c>
      <c r="L2668" t="s">
        <v>162</v>
      </c>
      <c r="N2668" t="s">
        <v>345</v>
      </c>
      <c r="O2668" t="s">
        <v>524</v>
      </c>
      <c r="P2668">
        <v>4.518457854979166E-2</v>
      </c>
      <c r="Q2668" t="s">
        <v>162</v>
      </c>
      <c r="S2668" t="s">
        <v>457</v>
      </c>
      <c r="T2668" t="s">
        <v>524</v>
      </c>
      <c r="U2668">
        <v>2.5786512409226147E-2</v>
      </c>
      <c r="V2668" t="s">
        <v>162</v>
      </c>
    </row>
    <row r="2669" spans="9:22" x14ac:dyDescent="0.45">
      <c r="I2669" t="s">
        <v>233</v>
      </c>
      <c r="J2669" t="s">
        <v>168</v>
      </c>
      <c r="K2669">
        <v>2.0605035197697047E-2</v>
      </c>
      <c r="L2669" t="s">
        <v>162</v>
      </c>
      <c r="N2669" t="s">
        <v>345</v>
      </c>
      <c r="O2669" t="s">
        <v>168</v>
      </c>
      <c r="P2669">
        <v>3.0015596962081482E-2</v>
      </c>
      <c r="Q2669" t="s">
        <v>162</v>
      </c>
      <c r="S2669" t="s">
        <v>457</v>
      </c>
      <c r="T2669" t="s">
        <v>168</v>
      </c>
      <c r="U2669">
        <v>3.4157568385330725E-2</v>
      </c>
      <c r="V2669" t="s">
        <v>162</v>
      </c>
    </row>
    <row r="2670" spans="9:22" x14ac:dyDescent="0.45">
      <c r="I2670" t="s">
        <v>233</v>
      </c>
      <c r="J2670" t="s">
        <v>169</v>
      </c>
      <c r="K2670">
        <v>1.040832283301075E-2</v>
      </c>
      <c r="L2670" t="s">
        <v>162</v>
      </c>
      <c r="N2670" t="s">
        <v>345</v>
      </c>
      <c r="O2670" t="s">
        <v>169</v>
      </c>
      <c r="P2670">
        <v>3.3129571209404409E-3</v>
      </c>
      <c r="Q2670" t="s">
        <v>162</v>
      </c>
      <c r="S2670" t="s">
        <v>457</v>
      </c>
      <c r="T2670" t="s">
        <v>169</v>
      </c>
      <c r="U2670">
        <v>3.661230658856028E-3</v>
      </c>
      <c r="V2670" t="s">
        <v>162</v>
      </c>
    </row>
    <row r="2671" spans="9:22" x14ac:dyDescent="0.45">
      <c r="I2671" t="s">
        <v>233</v>
      </c>
      <c r="J2671" t="s">
        <v>170</v>
      </c>
      <c r="K2671">
        <v>2.2953729874963032E-2</v>
      </c>
      <c r="L2671" t="s">
        <v>162</v>
      </c>
      <c r="N2671" t="s">
        <v>345</v>
      </c>
      <c r="O2671" t="s">
        <v>170</v>
      </c>
      <c r="P2671">
        <v>6.8732958982144834E-3</v>
      </c>
      <c r="Q2671" t="s">
        <v>162</v>
      </c>
      <c r="S2671" t="s">
        <v>457</v>
      </c>
      <c r="T2671" t="s">
        <v>170</v>
      </c>
      <c r="U2671">
        <v>7.2882449406478584E-3</v>
      </c>
      <c r="V2671" t="s">
        <v>162</v>
      </c>
    </row>
    <row r="2672" spans="9:22" x14ac:dyDescent="0.45">
      <c r="I2672" t="s">
        <v>233</v>
      </c>
      <c r="J2672" t="s">
        <v>525</v>
      </c>
      <c r="K2672">
        <v>5.4314518614959111E-2</v>
      </c>
      <c r="L2672" t="s">
        <v>162</v>
      </c>
      <c r="N2672" t="s">
        <v>345</v>
      </c>
      <c r="O2672" t="s">
        <v>525</v>
      </c>
      <c r="P2672">
        <v>1.8320650748544498E-2</v>
      </c>
      <c r="Q2672" t="s">
        <v>162</v>
      </c>
      <c r="S2672" t="s">
        <v>457</v>
      </c>
      <c r="T2672" t="s">
        <v>525</v>
      </c>
      <c r="U2672">
        <v>1.9943911978803922E-2</v>
      </c>
      <c r="V2672" t="s">
        <v>162</v>
      </c>
    </row>
    <row r="2673" spans="9:22" x14ac:dyDescent="0.45">
      <c r="I2673" t="s">
        <v>233</v>
      </c>
      <c r="J2673" t="s">
        <v>526</v>
      </c>
      <c r="K2673">
        <v>7.5793893258911697E-3</v>
      </c>
      <c r="L2673" t="s">
        <v>162</v>
      </c>
      <c r="N2673" t="s">
        <v>345</v>
      </c>
      <c r="O2673" t="s">
        <v>526</v>
      </c>
      <c r="P2673">
        <v>3.6215721821702455E-3</v>
      </c>
      <c r="Q2673" t="s">
        <v>162</v>
      </c>
      <c r="S2673" t="s">
        <v>457</v>
      </c>
      <c r="T2673" t="s">
        <v>526</v>
      </c>
      <c r="U2673">
        <v>4.2650993742798498E-3</v>
      </c>
      <c r="V2673" t="s">
        <v>162</v>
      </c>
    </row>
    <row r="2674" spans="9:22" x14ac:dyDescent="0.45">
      <c r="I2674" t="s">
        <v>233</v>
      </c>
      <c r="J2674" t="s">
        <v>527</v>
      </c>
      <c r="K2674">
        <v>6.8302657542578882E-3</v>
      </c>
      <c r="L2674" t="s">
        <v>162</v>
      </c>
      <c r="N2674" t="s">
        <v>345</v>
      </c>
      <c r="O2674" t="s">
        <v>527</v>
      </c>
      <c r="P2674">
        <v>2.1202084866459907E-2</v>
      </c>
      <c r="Q2674" t="s">
        <v>162</v>
      </c>
      <c r="S2674" t="s">
        <v>457</v>
      </c>
      <c r="T2674" t="s">
        <v>527</v>
      </c>
      <c r="U2674">
        <v>2.6161197411825206E-2</v>
      </c>
      <c r="V2674" t="s">
        <v>162</v>
      </c>
    </row>
    <row r="2675" spans="9:22" x14ac:dyDescent="0.45">
      <c r="I2675" t="s">
        <v>233</v>
      </c>
      <c r="J2675" t="s">
        <v>528</v>
      </c>
      <c r="K2675">
        <v>7.7586305536644876E-2</v>
      </c>
      <c r="L2675" t="s">
        <v>162</v>
      </c>
      <c r="N2675" t="s">
        <v>345</v>
      </c>
      <c r="O2675" t="s">
        <v>528</v>
      </c>
      <c r="P2675">
        <v>7.568784662203884E-2</v>
      </c>
      <c r="Q2675" t="s">
        <v>162</v>
      </c>
      <c r="S2675" t="s">
        <v>457</v>
      </c>
      <c r="T2675" t="s">
        <v>528</v>
      </c>
      <c r="U2675">
        <v>8.3685217426146347E-2</v>
      </c>
      <c r="V2675" t="s">
        <v>162</v>
      </c>
    </row>
    <row r="2676" spans="9:22" x14ac:dyDescent="0.45">
      <c r="I2676" t="s">
        <v>233</v>
      </c>
      <c r="J2676" t="s">
        <v>529</v>
      </c>
      <c r="K2676">
        <v>2.9865623427500231E-2</v>
      </c>
      <c r="L2676" t="s">
        <v>162</v>
      </c>
      <c r="N2676" t="s">
        <v>345</v>
      </c>
      <c r="O2676" t="s">
        <v>529</v>
      </c>
      <c r="P2676">
        <v>8.3509824200619746E-3</v>
      </c>
      <c r="Q2676" t="s">
        <v>162</v>
      </c>
      <c r="S2676" t="s">
        <v>457</v>
      </c>
      <c r="T2676" t="s">
        <v>529</v>
      </c>
      <c r="U2676">
        <v>8.8512731029763026E-3</v>
      </c>
      <c r="V2676" t="s">
        <v>162</v>
      </c>
    </row>
    <row r="2677" spans="9:22" x14ac:dyDescent="0.45">
      <c r="I2677" t="s">
        <v>233</v>
      </c>
      <c r="J2677" t="s">
        <v>530</v>
      </c>
      <c r="K2677">
        <v>6.2041835274028484E-2</v>
      </c>
      <c r="L2677" t="s">
        <v>162</v>
      </c>
      <c r="N2677" t="s">
        <v>345</v>
      </c>
      <c r="O2677" t="s">
        <v>530</v>
      </c>
      <c r="P2677">
        <v>1.7315339051085874E-2</v>
      </c>
      <c r="Q2677" t="s">
        <v>162</v>
      </c>
      <c r="S2677" t="s">
        <v>457</v>
      </c>
      <c r="T2677" t="s">
        <v>530</v>
      </c>
      <c r="U2677">
        <v>1.8481990229380827E-2</v>
      </c>
      <c r="V2677" t="s">
        <v>162</v>
      </c>
    </row>
    <row r="2678" spans="9:22" x14ac:dyDescent="0.45">
      <c r="I2678" t="s">
        <v>233</v>
      </c>
      <c r="J2678" t="s">
        <v>531</v>
      </c>
      <c r="K2678">
        <v>0.14122607843583715</v>
      </c>
      <c r="L2678" t="s">
        <v>162</v>
      </c>
      <c r="N2678" t="s">
        <v>345</v>
      </c>
      <c r="O2678" t="s">
        <v>531</v>
      </c>
      <c r="P2678">
        <v>4.5319810723901073E-2</v>
      </c>
      <c r="Q2678" t="s">
        <v>162</v>
      </c>
      <c r="S2678" t="s">
        <v>457</v>
      </c>
      <c r="T2678" t="s">
        <v>531</v>
      </c>
      <c r="U2678">
        <v>4.934429595696966E-2</v>
      </c>
      <c r="V2678" t="s">
        <v>162</v>
      </c>
    </row>
    <row r="2679" spans="9:22" x14ac:dyDescent="0.45">
      <c r="I2679" t="s">
        <v>233</v>
      </c>
      <c r="J2679" t="s">
        <v>532</v>
      </c>
      <c r="K2679">
        <v>2.1908959766531379E-2</v>
      </c>
      <c r="L2679" t="s">
        <v>162</v>
      </c>
      <c r="N2679" t="s">
        <v>345</v>
      </c>
      <c r="O2679" t="s">
        <v>532</v>
      </c>
      <c r="P2679">
        <v>8.4565777520872413E-3</v>
      </c>
      <c r="Q2679" t="s">
        <v>162</v>
      </c>
      <c r="S2679" t="s">
        <v>457</v>
      </c>
      <c r="T2679" t="s">
        <v>532</v>
      </c>
      <c r="U2679">
        <v>9.8809822921711483E-3</v>
      </c>
      <c r="V2679" t="s">
        <v>162</v>
      </c>
    </row>
    <row r="2680" spans="9:22" x14ac:dyDescent="0.45">
      <c r="I2680" t="s">
        <v>233</v>
      </c>
      <c r="J2680" t="s">
        <v>533</v>
      </c>
      <c r="K2680">
        <v>3.3737481020904611E-2</v>
      </c>
      <c r="L2680" t="s">
        <v>162</v>
      </c>
      <c r="N2680" t="s">
        <v>345</v>
      </c>
      <c r="O2680" t="s">
        <v>533</v>
      </c>
      <c r="P2680">
        <v>5.0400781989626921E-2</v>
      </c>
      <c r="Q2680" t="s">
        <v>162</v>
      </c>
      <c r="S2680" t="s">
        <v>457</v>
      </c>
      <c r="T2680" t="s">
        <v>533</v>
      </c>
      <c r="U2680">
        <v>6.0550058591850378E-2</v>
      </c>
      <c r="V2680" t="s">
        <v>162</v>
      </c>
    </row>
    <row r="2681" spans="9:22" x14ac:dyDescent="0.45">
      <c r="I2681" t="s">
        <v>233</v>
      </c>
      <c r="J2681" t="s">
        <v>534</v>
      </c>
      <c r="K2681">
        <v>4.1729726262975671E-2</v>
      </c>
      <c r="L2681" t="s">
        <v>162</v>
      </c>
      <c r="N2681" t="s">
        <v>345</v>
      </c>
      <c r="O2681" t="s">
        <v>534</v>
      </c>
      <c r="P2681">
        <v>8.4633749244810888E-2</v>
      </c>
      <c r="Q2681" t="s">
        <v>162</v>
      </c>
      <c r="S2681" t="s">
        <v>457</v>
      </c>
      <c r="T2681" t="s">
        <v>534</v>
      </c>
      <c r="U2681">
        <v>0.10143091553383518</v>
      </c>
      <c r="V2681" t="s">
        <v>162</v>
      </c>
    </row>
    <row r="2682" spans="9:22" x14ac:dyDescent="0.45">
      <c r="I2682" t="s">
        <v>233</v>
      </c>
      <c r="J2682" t="s">
        <v>535</v>
      </c>
      <c r="K2682">
        <v>2.2684912899108862E-2</v>
      </c>
      <c r="L2682" t="s">
        <v>162</v>
      </c>
      <c r="N2682" t="s">
        <v>345</v>
      </c>
      <c r="O2682" t="s">
        <v>535</v>
      </c>
      <c r="P2682">
        <v>9.2993058443498269E-3</v>
      </c>
      <c r="Q2682" t="s">
        <v>162</v>
      </c>
      <c r="S2682" t="s">
        <v>457</v>
      </c>
      <c r="T2682" t="s">
        <v>535</v>
      </c>
      <c r="U2682">
        <v>1.0925711597247237E-2</v>
      </c>
      <c r="V2682" t="s">
        <v>162</v>
      </c>
    </row>
    <row r="2683" spans="9:22" x14ac:dyDescent="0.45">
      <c r="I2683" t="s">
        <v>233</v>
      </c>
      <c r="J2683" t="s">
        <v>536</v>
      </c>
      <c r="K2683">
        <v>4.7226868836069316E-2</v>
      </c>
      <c r="L2683" t="s">
        <v>162</v>
      </c>
      <c r="N2683" t="s">
        <v>345</v>
      </c>
      <c r="O2683" t="s">
        <v>536</v>
      </c>
      <c r="P2683">
        <v>1.9174952161388481E-2</v>
      </c>
      <c r="Q2683" t="s">
        <v>162</v>
      </c>
      <c r="S2683" t="s">
        <v>457</v>
      </c>
      <c r="T2683" t="s">
        <v>536</v>
      </c>
      <c r="U2683">
        <v>2.1342265020214461E-2</v>
      </c>
      <c r="V2683" t="s">
        <v>162</v>
      </c>
    </row>
    <row r="2684" spans="9:22" x14ac:dyDescent="0.45">
      <c r="I2684" t="s">
        <v>233</v>
      </c>
      <c r="J2684" t="s">
        <v>537</v>
      </c>
      <c r="K2684">
        <v>0.10725285059333869</v>
      </c>
      <c r="L2684" t="s">
        <v>162</v>
      </c>
      <c r="N2684" t="s">
        <v>345</v>
      </c>
      <c r="O2684" t="s">
        <v>537</v>
      </c>
      <c r="P2684">
        <v>4.7133909805442853E-2</v>
      </c>
      <c r="Q2684" t="s">
        <v>162</v>
      </c>
      <c r="S2684" t="s">
        <v>457</v>
      </c>
      <c r="T2684" t="s">
        <v>537</v>
      </c>
      <c r="U2684">
        <v>5.2739815907158732E-2</v>
      </c>
      <c r="V2684" t="s">
        <v>162</v>
      </c>
    </row>
    <row r="2685" spans="9:22" x14ac:dyDescent="0.45">
      <c r="I2685" t="s">
        <v>233</v>
      </c>
      <c r="J2685" t="s">
        <v>538</v>
      </c>
      <c r="K2685">
        <v>1.42204520033576E-2</v>
      </c>
      <c r="L2685" t="s">
        <v>162</v>
      </c>
      <c r="N2685" t="s">
        <v>345</v>
      </c>
      <c r="O2685" t="s">
        <v>538</v>
      </c>
      <c r="P2685">
        <v>8.3934013334388963E-3</v>
      </c>
      <c r="Q2685" t="s">
        <v>162</v>
      </c>
      <c r="S2685" t="s">
        <v>457</v>
      </c>
      <c r="T2685" t="s">
        <v>538</v>
      </c>
      <c r="U2685">
        <v>1.0570016782515793E-2</v>
      </c>
      <c r="V2685" t="s">
        <v>162</v>
      </c>
    </row>
    <row r="2686" spans="9:22" x14ac:dyDescent="0.45">
      <c r="I2686" t="s">
        <v>233</v>
      </c>
      <c r="J2686" t="s">
        <v>539</v>
      </c>
      <c r="K2686">
        <v>1.1695999129262776E-2</v>
      </c>
      <c r="L2686" t="s">
        <v>162</v>
      </c>
      <c r="N2686" t="s">
        <v>345</v>
      </c>
      <c r="O2686" t="s">
        <v>539</v>
      </c>
      <c r="P2686">
        <v>5.410796394069952E-2</v>
      </c>
      <c r="Q2686" t="s">
        <v>162</v>
      </c>
      <c r="S2686" t="s">
        <v>457</v>
      </c>
      <c r="T2686" t="s">
        <v>539</v>
      </c>
      <c r="U2686">
        <v>6.3981774297292793E-2</v>
      </c>
      <c r="V2686" t="s">
        <v>162</v>
      </c>
    </row>
    <row r="2687" spans="9:22" x14ac:dyDescent="0.45">
      <c r="I2687" t="s">
        <v>233</v>
      </c>
      <c r="J2687" t="s">
        <v>540</v>
      </c>
      <c r="K2687">
        <v>1.1539881075270585E-3</v>
      </c>
      <c r="L2687" t="s">
        <v>162</v>
      </c>
      <c r="N2687" t="s">
        <v>345</v>
      </c>
      <c r="O2687" t="s">
        <v>540</v>
      </c>
      <c r="P2687">
        <v>3.5110533583728287E-2</v>
      </c>
      <c r="Q2687" t="s">
        <v>162</v>
      </c>
      <c r="S2687" t="s">
        <v>457</v>
      </c>
      <c r="T2687" t="s">
        <v>540</v>
      </c>
      <c r="U2687">
        <v>3.5045145050242456E-2</v>
      </c>
      <c r="V2687" t="s">
        <v>162</v>
      </c>
    </row>
    <row r="2688" spans="9:22" x14ac:dyDescent="0.45">
      <c r="I2688" t="s">
        <v>233</v>
      </c>
      <c r="J2688" t="s">
        <v>541</v>
      </c>
      <c r="K2688">
        <v>3.23123398640201E-3</v>
      </c>
      <c r="L2688" t="s">
        <v>162</v>
      </c>
      <c r="N2688" t="s">
        <v>345</v>
      </c>
      <c r="O2688" t="s">
        <v>541</v>
      </c>
      <c r="P2688">
        <v>3.8358849996260086E-3</v>
      </c>
      <c r="Q2688" t="s">
        <v>162</v>
      </c>
      <c r="S2688" t="s">
        <v>457</v>
      </c>
      <c r="T2688" t="s">
        <v>541</v>
      </c>
      <c r="U2688">
        <v>3.9206458386615538E-3</v>
      </c>
      <c r="V2688" t="s">
        <v>162</v>
      </c>
    </row>
    <row r="2689" spans="9:22" x14ac:dyDescent="0.45">
      <c r="I2689" t="s">
        <v>233</v>
      </c>
      <c r="J2689" t="s">
        <v>542</v>
      </c>
      <c r="K2689">
        <v>8.8387808306573407E-3</v>
      </c>
      <c r="L2689" t="s">
        <v>162</v>
      </c>
      <c r="N2689" t="s">
        <v>345</v>
      </c>
      <c r="O2689" t="s">
        <v>542</v>
      </c>
      <c r="P2689">
        <v>7.3311287414687676E-3</v>
      </c>
      <c r="Q2689" t="s">
        <v>162</v>
      </c>
      <c r="S2689" t="s">
        <v>457</v>
      </c>
      <c r="T2689" t="s">
        <v>542</v>
      </c>
      <c r="U2689">
        <v>8.0583879140424877E-3</v>
      </c>
      <c r="V2689" t="s">
        <v>162</v>
      </c>
    </row>
    <row r="2690" spans="9:22" x14ac:dyDescent="0.45">
      <c r="I2690" t="s">
        <v>233</v>
      </c>
      <c r="J2690" t="s">
        <v>543</v>
      </c>
      <c r="K2690">
        <v>1.3979043674431599E-2</v>
      </c>
      <c r="L2690" t="s">
        <v>162</v>
      </c>
      <c r="N2690" t="s">
        <v>345</v>
      </c>
      <c r="O2690" t="s">
        <v>543</v>
      </c>
      <c r="P2690">
        <v>1.8093731113676705E-2</v>
      </c>
      <c r="Q2690" t="s">
        <v>162</v>
      </c>
      <c r="S2690" t="s">
        <v>457</v>
      </c>
      <c r="T2690" t="s">
        <v>543</v>
      </c>
      <c r="U2690">
        <v>2.0877857549725085E-2</v>
      </c>
      <c r="V2690" t="s">
        <v>162</v>
      </c>
    </row>
    <row r="2691" spans="9:22" x14ac:dyDescent="0.45">
      <c r="I2691" t="s">
        <v>233</v>
      </c>
      <c r="J2691" t="s">
        <v>544</v>
      </c>
      <c r="K2691">
        <v>0</v>
      </c>
      <c r="L2691" t="s">
        <v>162</v>
      </c>
      <c r="N2691" t="s">
        <v>345</v>
      </c>
      <c r="O2691" t="s">
        <v>544</v>
      </c>
      <c r="P2691">
        <v>3.9952677195541665E-3</v>
      </c>
      <c r="Q2691" t="s">
        <v>162</v>
      </c>
      <c r="S2691" t="s">
        <v>457</v>
      </c>
      <c r="T2691" t="s">
        <v>544</v>
      </c>
      <c r="U2691">
        <v>4.107482658655316E-3</v>
      </c>
      <c r="V2691" t="s">
        <v>162</v>
      </c>
    </row>
    <row r="2692" spans="9:22" x14ac:dyDescent="0.45">
      <c r="I2692" t="s">
        <v>233</v>
      </c>
      <c r="J2692" t="s">
        <v>545</v>
      </c>
      <c r="K2692">
        <v>0</v>
      </c>
      <c r="L2692" t="s">
        <v>162</v>
      </c>
      <c r="N2692" t="s">
        <v>345</v>
      </c>
      <c r="O2692" t="s">
        <v>545</v>
      </c>
      <c r="P2692">
        <v>2.4710092339042526E-2</v>
      </c>
      <c r="Q2692" t="s">
        <v>162</v>
      </c>
      <c r="S2692" t="s">
        <v>457</v>
      </c>
      <c r="T2692" t="s">
        <v>545</v>
      </c>
      <c r="U2692">
        <v>2.4058901122436357E-2</v>
      </c>
      <c r="V2692" t="s">
        <v>162</v>
      </c>
    </row>
    <row r="2693" spans="9:22" x14ac:dyDescent="0.45">
      <c r="I2693" t="s">
        <v>233</v>
      </c>
      <c r="J2693" t="s">
        <v>546</v>
      </c>
      <c r="K2693">
        <v>0</v>
      </c>
      <c r="L2693" t="s">
        <v>162</v>
      </c>
      <c r="N2693" t="s">
        <v>345</v>
      </c>
      <c r="O2693" t="s">
        <v>546</v>
      </c>
      <c r="P2693">
        <v>4.3117559625997032E-2</v>
      </c>
      <c r="Q2693" t="s">
        <v>162</v>
      </c>
      <c r="S2693" t="s">
        <v>457</v>
      </c>
      <c r="T2693" t="s">
        <v>546</v>
      </c>
      <c r="U2693">
        <v>4.6495122038089622E-2</v>
      </c>
      <c r="V2693" t="s">
        <v>162</v>
      </c>
    </row>
    <row r="2694" spans="9:22" x14ac:dyDescent="0.45">
      <c r="I2694" t="s">
        <v>233</v>
      </c>
      <c r="J2694" t="s">
        <v>547</v>
      </c>
      <c r="K2694">
        <v>3.3449994332738807E-3</v>
      </c>
      <c r="L2694" t="s">
        <v>162</v>
      </c>
      <c r="N2694" t="s">
        <v>345</v>
      </c>
      <c r="O2694" t="s">
        <v>547</v>
      </c>
      <c r="P2694">
        <v>4.5737504844174538E-3</v>
      </c>
      <c r="Q2694" t="s">
        <v>162</v>
      </c>
      <c r="S2694" t="s">
        <v>457</v>
      </c>
      <c r="T2694" t="s">
        <v>547</v>
      </c>
      <c r="U2694">
        <v>5.10140917492387E-3</v>
      </c>
      <c r="V2694" t="s">
        <v>162</v>
      </c>
    </row>
    <row r="2695" spans="9:22" x14ac:dyDescent="0.45">
      <c r="I2695" t="s">
        <v>233</v>
      </c>
      <c r="J2695" t="s">
        <v>548</v>
      </c>
      <c r="K2695">
        <v>1.1594760452790506E-2</v>
      </c>
      <c r="L2695" t="s">
        <v>162</v>
      </c>
      <c r="N2695" t="s">
        <v>345</v>
      </c>
      <c r="O2695" t="s">
        <v>548</v>
      </c>
      <c r="P2695">
        <v>8.9793182506985505E-3</v>
      </c>
      <c r="Q2695" t="s">
        <v>162</v>
      </c>
      <c r="S2695" t="s">
        <v>457</v>
      </c>
      <c r="T2695" t="s">
        <v>548</v>
      </c>
      <c r="U2695">
        <v>1.0318014496070357E-2</v>
      </c>
      <c r="V2695" t="s">
        <v>162</v>
      </c>
    </row>
    <row r="2696" spans="9:22" x14ac:dyDescent="0.45">
      <c r="I2696" t="s">
        <v>233</v>
      </c>
      <c r="J2696" t="s">
        <v>549</v>
      </c>
      <c r="K2696">
        <v>1.9754056793639865E-2</v>
      </c>
      <c r="L2696" t="s">
        <v>162</v>
      </c>
      <c r="N2696" t="s">
        <v>345</v>
      </c>
      <c r="O2696" t="s">
        <v>549</v>
      </c>
      <c r="P2696">
        <v>2.1838467213850375E-2</v>
      </c>
      <c r="Q2696" t="s">
        <v>162</v>
      </c>
      <c r="S2696" t="s">
        <v>457</v>
      </c>
      <c r="T2696" t="s">
        <v>549</v>
      </c>
      <c r="U2696">
        <v>2.5635918822628351E-2</v>
      </c>
      <c r="V2696" t="s">
        <v>162</v>
      </c>
    </row>
    <row r="2697" spans="9:22" x14ac:dyDescent="0.45">
      <c r="I2697" t="s">
        <v>233</v>
      </c>
      <c r="J2697" t="s">
        <v>550</v>
      </c>
      <c r="K2697">
        <v>0</v>
      </c>
      <c r="L2697" t="s">
        <v>162</v>
      </c>
      <c r="N2697" t="s">
        <v>345</v>
      </c>
      <c r="O2697" t="s">
        <v>550</v>
      </c>
      <c r="P2697">
        <v>4.5850272129533218E-3</v>
      </c>
      <c r="Q2697" t="s">
        <v>162</v>
      </c>
      <c r="S2697" t="s">
        <v>457</v>
      </c>
      <c r="T2697" t="s">
        <v>550</v>
      </c>
      <c r="U2697">
        <v>5.1792233659787509E-3</v>
      </c>
      <c r="V2697" t="s">
        <v>162</v>
      </c>
    </row>
    <row r="2698" spans="9:22" x14ac:dyDescent="0.45">
      <c r="I2698" t="s">
        <v>233</v>
      </c>
      <c r="J2698" t="s">
        <v>551</v>
      </c>
      <c r="K2698">
        <v>0</v>
      </c>
      <c r="L2698" t="s">
        <v>162</v>
      </c>
      <c r="N2698" t="s">
        <v>345</v>
      </c>
      <c r="O2698" t="s">
        <v>551</v>
      </c>
      <c r="P2698">
        <v>2.8096380366292383E-2</v>
      </c>
      <c r="Q2698" t="s">
        <v>162</v>
      </c>
      <c r="S2698" t="s">
        <v>457</v>
      </c>
      <c r="T2698" t="s">
        <v>551</v>
      </c>
      <c r="U2698">
        <v>3.0792454316319509E-2</v>
      </c>
      <c r="V2698" t="s">
        <v>162</v>
      </c>
    </row>
    <row r="2699" spans="9:22" x14ac:dyDescent="0.45">
      <c r="I2699" t="s">
        <v>234</v>
      </c>
      <c r="J2699" t="s">
        <v>161</v>
      </c>
      <c r="K2699">
        <v>6.1438295790571199E-5</v>
      </c>
      <c r="L2699" t="s">
        <v>162</v>
      </c>
      <c r="N2699" t="s">
        <v>346</v>
      </c>
      <c r="O2699" t="s">
        <v>161</v>
      </c>
      <c r="P2699">
        <v>4.8723308642420041E-2</v>
      </c>
      <c r="Q2699" t="s">
        <v>162</v>
      </c>
      <c r="S2699" t="s">
        <v>458</v>
      </c>
      <c r="T2699" t="s">
        <v>161</v>
      </c>
      <c r="U2699">
        <v>3.5142747076295361E-2</v>
      </c>
      <c r="V2699" t="s">
        <v>162</v>
      </c>
    </row>
    <row r="2700" spans="9:22" x14ac:dyDescent="0.45">
      <c r="I2700" t="s">
        <v>234</v>
      </c>
      <c r="J2700" t="s">
        <v>163</v>
      </c>
      <c r="K2700">
        <v>3.5762462270126278E-3</v>
      </c>
      <c r="L2700" t="s">
        <v>162</v>
      </c>
      <c r="N2700" t="s">
        <v>346</v>
      </c>
      <c r="O2700" t="s">
        <v>163</v>
      </c>
      <c r="P2700">
        <v>5.3867674435669225E-3</v>
      </c>
      <c r="Q2700" t="s">
        <v>162</v>
      </c>
      <c r="S2700" t="s">
        <v>458</v>
      </c>
      <c r="T2700" t="s">
        <v>163</v>
      </c>
      <c r="U2700">
        <v>3.9487998548348646E-3</v>
      </c>
      <c r="V2700" t="s">
        <v>162</v>
      </c>
    </row>
    <row r="2701" spans="9:22" x14ac:dyDescent="0.45">
      <c r="I2701" t="s">
        <v>234</v>
      </c>
      <c r="J2701" t="s">
        <v>164</v>
      </c>
      <c r="K2701">
        <v>1.1400535329409274E-2</v>
      </c>
      <c r="L2701" t="s">
        <v>162</v>
      </c>
      <c r="N2701" t="s">
        <v>346</v>
      </c>
      <c r="O2701" t="s">
        <v>164</v>
      </c>
      <c r="P2701">
        <v>1.0630176714683576E-2</v>
      </c>
      <c r="Q2701" t="s">
        <v>162</v>
      </c>
      <c r="S2701" t="s">
        <v>458</v>
      </c>
      <c r="T2701" t="s">
        <v>164</v>
      </c>
      <c r="U2701">
        <v>7.8450419482132463E-3</v>
      </c>
      <c r="V2701" t="s">
        <v>162</v>
      </c>
    </row>
    <row r="2702" spans="9:22" x14ac:dyDescent="0.45">
      <c r="I2702" t="s">
        <v>234</v>
      </c>
      <c r="J2702" t="s">
        <v>519</v>
      </c>
      <c r="K2702">
        <v>2.4500589332432512E-2</v>
      </c>
      <c r="L2702" t="s">
        <v>162</v>
      </c>
      <c r="N2702" t="s">
        <v>346</v>
      </c>
      <c r="O2702" t="s">
        <v>519</v>
      </c>
      <c r="P2702">
        <v>2.599367378663341E-2</v>
      </c>
      <c r="Q2702" t="s">
        <v>162</v>
      </c>
      <c r="S2702" t="s">
        <v>458</v>
      </c>
      <c r="T2702" t="s">
        <v>519</v>
      </c>
      <c r="U2702">
        <v>1.8453123827759498E-2</v>
      </c>
      <c r="V2702" t="s">
        <v>162</v>
      </c>
    </row>
    <row r="2703" spans="9:22" x14ac:dyDescent="0.45">
      <c r="I2703" t="s">
        <v>234</v>
      </c>
      <c r="J2703" t="s">
        <v>520</v>
      </c>
      <c r="K2703">
        <v>1.3189616651599005E-7</v>
      </c>
      <c r="L2703" t="s">
        <v>162</v>
      </c>
      <c r="N2703" t="s">
        <v>346</v>
      </c>
      <c r="O2703" t="s">
        <v>520</v>
      </c>
      <c r="P2703">
        <v>5.0822259325403697E-3</v>
      </c>
      <c r="Q2703" t="s">
        <v>162</v>
      </c>
      <c r="S2703" t="s">
        <v>458</v>
      </c>
      <c r="T2703" t="s">
        <v>520</v>
      </c>
      <c r="U2703">
        <v>3.6322063180224745E-3</v>
      </c>
      <c r="V2703" t="s">
        <v>162</v>
      </c>
    </row>
    <row r="2704" spans="9:22" x14ac:dyDescent="0.45">
      <c r="I2704" t="s">
        <v>234</v>
      </c>
      <c r="J2704" t="s">
        <v>521</v>
      </c>
      <c r="K2704">
        <v>0</v>
      </c>
      <c r="L2704" t="s">
        <v>162</v>
      </c>
      <c r="N2704" t="s">
        <v>346</v>
      </c>
      <c r="O2704" t="s">
        <v>521</v>
      </c>
      <c r="P2704">
        <v>3.0504775720433284E-2</v>
      </c>
      <c r="Q2704" t="s">
        <v>162</v>
      </c>
      <c r="S2704" t="s">
        <v>458</v>
      </c>
      <c r="T2704" t="s">
        <v>521</v>
      </c>
      <c r="U2704">
        <v>2.2967175942723694E-2</v>
      </c>
      <c r="V2704" t="s">
        <v>162</v>
      </c>
    </row>
    <row r="2705" spans="9:22" x14ac:dyDescent="0.45">
      <c r="I2705" t="s">
        <v>234</v>
      </c>
      <c r="J2705" t="s">
        <v>165</v>
      </c>
      <c r="K2705">
        <v>1.4884738928028074E-2</v>
      </c>
      <c r="L2705" t="s">
        <v>162</v>
      </c>
      <c r="N2705" t="s">
        <v>346</v>
      </c>
      <c r="O2705" t="s">
        <v>165</v>
      </c>
      <c r="P2705">
        <v>5.9913402083206967E-2</v>
      </c>
      <c r="Q2705" t="s">
        <v>162</v>
      </c>
      <c r="S2705" t="s">
        <v>458</v>
      </c>
      <c r="T2705" t="s">
        <v>165</v>
      </c>
      <c r="U2705">
        <v>4.1928794728376829E-2</v>
      </c>
      <c r="V2705" t="s">
        <v>162</v>
      </c>
    </row>
    <row r="2706" spans="9:22" x14ac:dyDescent="0.45">
      <c r="I2706" t="s">
        <v>234</v>
      </c>
      <c r="J2706" t="s">
        <v>166</v>
      </c>
      <c r="K2706">
        <v>1.4358134744955522E-2</v>
      </c>
      <c r="L2706" t="s">
        <v>162</v>
      </c>
      <c r="N2706" t="s">
        <v>346</v>
      </c>
      <c r="O2706" t="s">
        <v>166</v>
      </c>
      <c r="P2706">
        <v>6.4852090742064687E-3</v>
      </c>
      <c r="Q2706" t="s">
        <v>162</v>
      </c>
      <c r="S2706" t="s">
        <v>458</v>
      </c>
      <c r="T2706" t="s">
        <v>166</v>
      </c>
      <c r="U2706">
        <v>4.8192341117860764E-3</v>
      </c>
      <c r="V2706" t="s">
        <v>162</v>
      </c>
    </row>
    <row r="2707" spans="9:22" x14ac:dyDescent="0.45">
      <c r="I2707" t="s">
        <v>234</v>
      </c>
      <c r="J2707" t="s">
        <v>167</v>
      </c>
      <c r="K2707">
        <v>3.5368756947179163E-2</v>
      </c>
      <c r="L2707" t="s">
        <v>162</v>
      </c>
      <c r="N2707" t="s">
        <v>346</v>
      </c>
      <c r="O2707" t="s">
        <v>167</v>
      </c>
      <c r="P2707">
        <v>1.2540569894531029E-2</v>
      </c>
      <c r="Q2707" t="s">
        <v>162</v>
      </c>
      <c r="S2707" t="s">
        <v>458</v>
      </c>
      <c r="T2707" t="s">
        <v>167</v>
      </c>
      <c r="U2707">
        <v>9.3794402400378188E-3</v>
      </c>
      <c r="V2707" t="s">
        <v>162</v>
      </c>
    </row>
    <row r="2708" spans="9:22" x14ac:dyDescent="0.45">
      <c r="I2708" t="s">
        <v>234</v>
      </c>
      <c r="J2708" t="s">
        <v>522</v>
      </c>
      <c r="K2708">
        <v>8.3841304169614855E-2</v>
      </c>
      <c r="L2708" t="s">
        <v>162</v>
      </c>
      <c r="N2708" t="s">
        <v>346</v>
      </c>
      <c r="O2708" t="s">
        <v>522</v>
      </c>
      <c r="P2708">
        <v>3.1696117085015359E-2</v>
      </c>
      <c r="Q2708" t="s">
        <v>162</v>
      </c>
      <c r="S2708" t="s">
        <v>458</v>
      </c>
      <c r="T2708" t="s">
        <v>522</v>
      </c>
      <c r="U2708">
        <v>2.1910773503536551E-2</v>
      </c>
      <c r="V2708" t="s">
        <v>162</v>
      </c>
    </row>
    <row r="2709" spans="9:22" x14ac:dyDescent="0.45">
      <c r="I2709" t="s">
        <v>234</v>
      </c>
      <c r="J2709" t="s">
        <v>523</v>
      </c>
      <c r="K2709">
        <v>9.3854987304800522E-3</v>
      </c>
      <c r="L2709" t="s">
        <v>162</v>
      </c>
      <c r="N2709" t="s">
        <v>346</v>
      </c>
      <c r="O2709" t="s">
        <v>523</v>
      </c>
      <c r="P2709">
        <v>6.7550253559235454E-3</v>
      </c>
      <c r="Q2709" t="s">
        <v>162</v>
      </c>
      <c r="S2709" t="s">
        <v>458</v>
      </c>
      <c r="T2709" t="s">
        <v>523</v>
      </c>
      <c r="U2709">
        <v>4.286341736969802E-3</v>
      </c>
      <c r="V2709" t="s">
        <v>162</v>
      </c>
    </row>
    <row r="2710" spans="9:22" x14ac:dyDescent="0.45">
      <c r="I2710" t="s">
        <v>234</v>
      </c>
      <c r="J2710" t="s">
        <v>524</v>
      </c>
      <c r="K2710">
        <v>3.4580787548525466E-3</v>
      </c>
      <c r="L2710" t="s">
        <v>162</v>
      </c>
      <c r="N2710" t="s">
        <v>346</v>
      </c>
      <c r="O2710" t="s">
        <v>524</v>
      </c>
      <c r="P2710">
        <v>4.1428122143666958E-2</v>
      </c>
      <c r="Q2710" t="s">
        <v>162</v>
      </c>
      <c r="S2710" t="s">
        <v>458</v>
      </c>
      <c r="T2710" t="s">
        <v>524</v>
      </c>
      <c r="U2710">
        <v>2.4756594655500241E-2</v>
      </c>
      <c r="V2710" t="s">
        <v>162</v>
      </c>
    </row>
    <row r="2711" spans="9:22" x14ac:dyDescent="0.45">
      <c r="I2711" t="s">
        <v>234</v>
      </c>
      <c r="J2711" t="s">
        <v>168</v>
      </c>
      <c r="K2711">
        <v>1.993633466622521E-2</v>
      </c>
      <c r="L2711" t="s">
        <v>162</v>
      </c>
      <c r="N2711" t="s">
        <v>346</v>
      </c>
      <c r="O2711" t="s">
        <v>168</v>
      </c>
      <c r="P2711">
        <v>2.4786961627597078E-2</v>
      </c>
      <c r="Q2711" t="s">
        <v>162</v>
      </c>
      <c r="S2711" t="s">
        <v>458</v>
      </c>
      <c r="T2711" t="s">
        <v>168</v>
      </c>
      <c r="U2711">
        <v>3.9925214512462386E-2</v>
      </c>
      <c r="V2711" t="s">
        <v>162</v>
      </c>
    </row>
    <row r="2712" spans="9:22" x14ac:dyDescent="0.45">
      <c r="I2712" t="s">
        <v>234</v>
      </c>
      <c r="J2712" t="s">
        <v>169</v>
      </c>
      <c r="K2712">
        <v>1.0287932892982642E-2</v>
      </c>
      <c r="L2712" t="s">
        <v>162</v>
      </c>
      <c r="N2712" t="s">
        <v>346</v>
      </c>
      <c r="O2712" t="s">
        <v>169</v>
      </c>
      <c r="P2712">
        <v>2.685358796615845E-3</v>
      </c>
      <c r="Q2712" t="s">
        <v>162</v>
      </c>
      <c r="S2712" t="s">
        <v>458</v>
      </c>
      <c r="T2712" t="s">
        <v>169</v>
      </c>
      <c r="U2712">
        <v>4.4379163375956356E-3</v>
      </c>
      <c r="V2712" t="s">
        <v>162</v>
      </c>
    </row>
    <row r="2713" spans="9:22" x14ac:dyDescent="0.45">
      <c r="I2713" t="s">
        <v>234</v>
      </c>
      <c r="J2713" t="s">
        <v>170</v>
      </c>
      <c r="K2713">
        <v>2.2161704128904086E-2</v>
      </c>
      <c r="L2713" t="s">
        <v>162</v>
      </c>
      <c r="N2713" t="s">
        <v>346</v>
      </c>
      <c r="O2713" t="s">
        <v>170</v>
      </c>
      <c r="P2713">
        <v>5.5100299473975923E-3</v>
      </c>
      <c r="Q2713" t="s">
        <v>162</v>
      </c>
      <c r="S2713" t="s">
        <v>458</v>
      </c>
      <c r="T2713" t="s">
        <v>170</v>
      </c>
      <c r="U2713">
        <v>8.9313931676665466E-3</v>
      </c>
      <c r="V2713" t="s">
        <v>162</v>
      </c>
    </row>
    <row r="2714" spans="9:22" x14ac:dyDescent="0.45">
      <c r="I2714" t="s">
        <v>234</v>
      </c>
      <c r="J2714" t="s">
        <v>525</v>
      </c>
      <c r="K2714">
        <v>5.167297060357634E-2</v>
      </c>
      <c r="L2714" t="s">
        <v>162</v>
      </c>
      <c r="N2714" t="s">
        <v>346</v>
      </c>
      <c r="O2714" t="s">
        <v>525</v>
      </c>
      <c r="P2714">
        <v>1.5557204697292342E-2</v>
      </c>
      <c r="Q2714" t="s">
        <v>162</v>
      </c>
      <c r="S2714" t="s">
        <v>458</v>
      </c>
      <c r="T2714" t="s">
        <v>525</v>
      </c>
      <c r="U2714">
        <v>2.3100500006885766E-2</v>
      </c>
      <c r="V2714" t="s">
        <v>162</v>
      </c>
    </row>
    <row r="2715" spans="9:22" x14ac:dyDescent="0.45">
      <c r="I2715" t="s">
        <v>234</v>
      </c>
      <c r="J2715" t="s">
        <v>526</v>
      </c>
      <c r="K2715">
        <v>7.3981765759947096E-3</v>
      </c>
      <c r="L2715" t="s">
        <v>162</v>
      </c>
      <c r="N2715" t="s">
        <v>346</v>
      </c>
      <c r="O2715" t="s">
        <v>526</v>
      </c>
      <c r="P2715">
        <v>3.2596362645975598E-3</v>
      </c>
      <c r="Q2715" t="s">
        <v>162</v>
      </c>
      <c r="S2715" t="s">
        <v>458</v>
      </c>
      <c r="T2715" t="s">
        <v>526</v>
      </c>
      <c r="U2715">
        <v>4.7636728473505986E-3</v>
      </c>
      <c r="V2715" t="s">
        <v>162</v>
      </c>
    </row>
    <row r="2716" spans="9:22" x14ac:dyDescent="0.45">
      <c r="I2716" t="s">
        <v>234</v>
      </c>
      <c r="J2716" t="s">
        <v>527</v>
      </c>
      <c r="K2716">
        <v>6.4032866277949525E-3</v>
      </c>
      <c r="L2716" t="s">
        <v>162</v>
      </c>
      <c r="N2716" t="s">
        <v>346</v>
      </c>
      <c r="O2716" t="s">
        <v>527</v>
      </c>
      <c r="P2716">
        <v>1.774234071009408E-2</v>
      </c>
      <c r="Q2716" t="s">
        <v>162</v>
      </c>
      <c r="S2716" t="s">
        <v>458</v>
      </c>
      <c r="T2716" t="s">
        <v>527</v>
      </c>
      <c r="U2716">
        <v>2.9121442010214691E-2</v>
      </c>
      <c r="V2716" t="s">
        <v>162</v>
      </c>
    </row>
    <row r="2717" spans="9:22" x14ac:dyDescent="0.45">
      <c r="I2717" t="s">
        <v>234</v>
      </c>
      <c r="J2717" t="s">
        <v>528</v>
      </c>
      <c r="K2717">
        <v>7.4497972952183827E-2</v>
      </c>
      <c r="L2717" t="s">
        <v>162</v>
      </c>
      <c r="N2717" t="s">
        <v>346</v>
      </c>
      <c r="O2717" t="s">
        <v>528</v>
      </c>
      <c r="P2717">
        <v>6.3551561607059229E-2</v>
      </c>
      <c r="Q2717" t="s">
        <v>162</v>
      </c>
      <c r="S2717" t="s">
        <v>458</v>
      </c>
      <c r="T2717" t="s">
        <v>528</v>
      </c>
      <c r="U2717">
        <v>8.6268964819474214E-2</v>
      </c>
      <c r="V2717" t="s">
        <v>162</v>
      </c>
    </row>
    <row r="2718" spans="9:22" x14ac:dyDescent="0.45">
      <c r="I2718" t="s">
        <v>234</v>
      </c>
      <c r="J2718" t="s">
        <v>529</v>
      </c>
      <c r="K2718">
        <v>2.8948365486463876E-2</v>
      </c>
      <c r="L2718" t="s">
        <v>162</v>
      </c>
      <c r="N2718" t="s">
        <v>346</v>
      </c>
      <c r="O2718" t="s">
        <v>529</v>
      </c>
      <c r="P2718">
        <v>7.9426557128887548E-3</v>
      </c>
      <c r="Q2718" t="s">
        <v>162</v>
      </c>
      <c r="S2718" t="s">
        <v>458</v>
      </c>
      <c r="T2718" t="s">
        <v>529</v>
      </c>
      <c r="U2718">
        <v>8.6684446916439322E-3</v>
      </c>
      <c r="V2718" t="s">
        <v>162</v>
      </c>
    </row>
    <row r="2719" spans="9:22" x14ac:dyDescent="0.45">
      <c r="I2719" t="s">
        <v>234</v>
      </c>
      <c r="J2719" t="s">
        <v>530</v>
      </c>
      <c r="K2719">
        <v>5.9925862003667493E-2</v>
      </c>
      <c r="L2719" t="s">
        <v>162</v>
      </c>
      <c r="N2719" t="s">
        <v>346</v>
      </c>
      <c r="O2719" t="s">
        <v>530</v>
      </c>
      <c r="P2719">
        <v>1.6595021232824369E-2</v>
      </c>
      <c r="Q2719" t="s">
        <v>162</v>
      </c>
      <c r="S2719" t="s">
        <v>458</v>
      </c>
      <c r="T2719" t="s">
        <v>530</v>
      </c>
      <c r="U2719">
        <v>1.759843290431521E-2</v>
      </c>
      <c r="V2719" t="s">
        <v>162</v>
      </c>
    </row>
    <row r="2720" spans="9:22" x14ac:dyDescent="0.45">
      <c r="I2720" t="s">
        <v>234</v>
      </c>
      <c r="J2720" t="s">
        <v>531</v>
      </c>
      <c r="K2720">
        <v>0.13717287052888635</v>
      </c>
      <c r="L2720" t="s">
        <v>162</v>
      </c>
      <c r="N2720" t="s">
        <v>346</v>
      </c>
      <c r="O2720" t="s">
        <v>531</v>
      </c>
      <c r="P2720">
        <v>4.3934233175983502E-2</v>
      </c>
      <c r="Q2720" t="s">
        <v>162</v>
      </c>
      <c r="S2720" t="s">
        <v>458</v>
      </c>
      <c r="T2720" t="s">
        <v>531</v>
      </c>
      <c r="U2720">
        <v>4.8466459651144107E-2</v>
      </c>
      <c r="V2720" t="s">
        <v>162</v>
      </c>
    </row>
    <row r="2721" spans="9:22" x14ac:dyDescent="0.45">
      <c r="I2721" t="s">
        <v>234</v>
      </c>
      <c r="J2721" t="s">
        <v>532</v>
      </c>
      <c r="K2721">
        <v>2.1498850037283239E-2</v>
      </c>
      <c r="L2721" t="s">
        <v>162</v>
      </c>
      <c r="N2721" t="s">
        <v>346</v>
      </c>
      <c r="O2721" t="s">
        <v>532</v>
      </c>
      <c r="P2721">
        <v>8.4026426138157102E-3</v>
      </c>
      <c r="Q2721" t="s">
        <v>162</v>
      </c>
      <c r="S2721" t="s">
        <v>458</v>
      </c>
      <c r="T2721" t="s">
        <v>532</v>
      </c>
      <c r="U2721">
        <v>9.8340754134339931E-3</v>
      </c>
      <c r="V2721" t="s">
        <v>162</v>
      </c>
    </row>
    <row r="2722" spans="9:22" x14ac:dyDescent="0.45">
      <c r="I2722" t="s">
        <v>234</v>
      </c>
      <c r="J2722" t="s">
        <v>533</v>
      </c>
      <c r="K2722">
        <v>3.1355626700319321E-2</v>
      </c>
      <c r="L2722" t="s">
        <v>162</v>
      </c>
      <c r="N2722" t="s">
        <v>346</v>
      </c>
      <c r="O2722" t="s">
        <v>533</v>
      </c>
      <c r="P2722">
        <v>4.2314371382228065E-2</v>
      </c>
      <c r="Q2722" t="s">
        <v>162</v>
      </c>
      <c r="S2722" t="s">
        <v>458</v>
      </c>
      <c r="T2722" t="s">
        <v>533</v>
      </c>
      <c r="U2722">
        <v>6.0859093555279513E-2</v>
      </c>
      <c r="V2722" t="s">
        <v>162</v>
      </c>
    </row>
    <row r="2723" spans="9:22" x14ac:dyDescent="0.45">
      <c r="I2723" t="s">
        <v>234</v>
      </c>
      <c r="J2723" t="s">
        <v>534</v>
      </c>
      <c r="K2723">
        <v>4.3726936808587941E-2</v>
      </c>
      <c r="L2723" t="s">
        <v>162</v>
      </c>
      <c r="N2723" t="s">
        <v>346</v>
      </c>
      <c r="O2723" t="s">
        <v>534</v>
      </c>
      <c r="P2723">
        <v>7.1500680959141846E-2</v>
      </c>
      <c r="Q2723" t="s">
        <v>162</v>
      </c>
      <c r="S2723" t="s">
        <v>458</v>
      </c>
      <c r="T2723" t="s">
        <v>534</v>
      </c>
      <c r="U2723">
        <v>9.8900230718743654E-2</v>
      </c>
      <c r="V2723" t="s">
        <v>162</v>
      </c>
    </row>
    <row r="2724" spans="9:22" x14ac:dyDescent="0.45">
      <c r="I2724" t="s">
        <v>234</v>
      </c>
      <c r="J2724" t="s">
        <v>535</v>
      </c>
      <c r="K2724">
        <v>2.5045406239431307E-2</v>
      </c>
      <c r="L2724" t="s">
        <v>162</v>
      </c>
      <c r="N2724" t="s">
        <v>346</v>
      </c>
      <c r="O2724" t="s">
        <v>535</v>
      </c>
      <c r="P2724">
        <v>9.0217814471589847E-3</v>
      </c>
      <c r="Q2724" t="s">
        <v>162</v>
      </c>
      <c r="S2724" t="s">
        <v>458</v>
      </c>
      <c r="T2724" t="s">
        <v>535</v>
      </c>
      <c r="U2724">
        <v>1.0671758697783989E-2</v>
      </c>
      <c r="V2724" t="s">
        <v>162</v>
      </c>
    </row>
    <row r="2725" spans="9:22" x14ac:dyDescent="0.45">
      <c r="I2725" t="s">
        <v>234</v>
      </c>
      <c r="J2725" t="s">
        <v>536</v>
      </c>
      <c r="K2725">
        <v>5.1637390920895997E-2</v>
      </c>
      <c r="L2725" t="s">
        <v>162</v>
      </c>
      <c r="N2725" t="s">
        <v>346</v>
      </c>
      <c r="O2725" t="s">
        <v>536</v>
      </c>
      <c r="P2725">
        <v>1.902226743039067E-2</v>
      </c>
      <c r="Q2725" t="s">
        <v>162</v>
      </c>
      <c r="S2725" t="s">
        <v>458</v>
      </c>
      <c r="T2725" t="s">
        <v>536</v>
      </c>
      <c r="U2725">
        <v>2.1132702889675017E-2</v>
      </c>
      <c r="V2725" t="s">
        <v>162</v>
      </c>
    </row>
    <row r="2726" spans="9:22" x14ac:dyDescent="0.45">
      <c r="I2726" t="s">
        <v>234</v>
      </c>
      <c r="J2726" t="s">
        <v>537</v>
      </c>
      <c r="K2726">
        <v>0.11247087040176207</v>
      </c>
      <c r="L2726" t="s">
        <v>162</v>
      </c>
      <c r="N2726" t="s">
        <v>346</v>
      </c>
      <c r="O2726" t="s">
        <v>537</v>
      </c>
      <c r="P2726">
        <v>4.8821509859472631E-2</v>
      </c>
      <c r="Q2726" t="s">
        <v>162</v>
      </c>
      <c r="S2726" t="s">
        <v>458</v>
      </c>
      <c r="T2726" t="s">
        <v>537</v>
      </c>
      <c r="U2726">
        <v>5.3192332052366245E-2</v>
      </c>
      <c r="V2726" t="s">
        <v>162</v>
      </c>
    </row>
    <row r="2727" spans="9:22" x14ac:dyDescent="0.45">
      <c r="I2727" t="s">
        <v>234</v>
      </c>
      <c r="J2727" t="s">
        <v>538</v>
      </c>
      <c r="K2727">
        <v>1.4265304739421768E-2</v>
      </c>
      <c r="L2727" t="s">
        <v>162</v>
      </c>
      <c r="N2727" t="s">
        <v>346</v>
      </c>
      <c r="O2727" t="s">
        <v>538</v>
      </c>
      <c r="P2727">
        <v>8.3385455074789141E-3</v>
      </c>
      <c r="Q2727" t="s">
        <v>162</v>
      </c>
      <c r="S2727" t="s">
        <v>458</v>
      </c>
      <c r="T2727" t="s">
        <v>538</v>
      </c>
      <c r="U2727">
        <v>1.0706938165144909E-2</v>
      </c>
      <c r="V2727" t="s">
        <v>162</v>
      </c>
    </row>
    <row r="2728" spans="9:22" x14ac:dyDescent="0.45">
      <c r="I2728" t="s">
        <v>234</v>
      </c>
      <c r="J2728" t="s">
        <v>539</v>
      </c>
      <c r="K2728">
        <v>1.1099436552200142E-2</v>
      </c>
      <c r="L2728" t="s">
        <v>162</v>
      </c>
      <c r="N2728" t="s">
        <v>346</v>
      </c>
      <c r="O2728" t="s">
        <v>539</v>
      </c>
      <c r="P2728">
        <v>4.4906156124634097E-2</v>
      </c>
      <c r="Q2728" t="s">
        <v>162</v>
      </c>
      <c r="S2728" t="s">
        <v>458</v>
      </c>
      <c r="T2728" t="s">
        <v>539</v>
      </c>
      <c r="U2728">
        <v>6.5223286844531422E-2</v>
      </c>
      <c r="V2728" t="s">
        <v>162</v>
      </c>
    </row>
    <row r="2729" spans="9:22" x14ac:dyDescent="0.45">
      <c r="I2729" t="s">
        <v>234</v>
      </c>
      <c r="J2729" t="s">
        <v>540</v>
      </c>
      <c r="K2729">
        <v>2.0493347695689865E-3</v>
      </c>
      <c r="L2729" t="s">
        <v>162</v>
      </c>
      <c r="N2729" t="s">
        <v>346</v>
      </c>
      <c r="O2729" t="s">
        <v>540</v>
      </c>
      <c r="P2729">
        <v>4.0787253529783324E-2</v>
      </c>
      <c r="Q2729" t="s">
        <v>162</v>
      </c>
      <c r="S2729" t="s">
        <v>458</v>
      </c>
      <c r="T2729" t="s">
        <v>540</v>
      </c>
      <c r="U2729">
        <v>3.1544106035466694E-2</v>
      </c>
      <c r="V2729" t="s">
        <v>162</v>
      </c>
    </row>
    <row r="2730" spans="9:22" x14ac:dyDescent="0.45">
      <c r="I2730" t="s">
        <v>234</v>
      </c>
      <c r="J2730" t="s">
        <v>541</v>
      </c>
      <c r="K2730">
        <v>4.0494572711342706E-3</v>
      </c>
      <c r="L2730" t="s">
        <v>162</v>
      </c>
      <c r="N2730" t="s">
        <v>346</v>
      </c>
      <c r="O2730" t="s">
        <v>541</v>
      </c>
      <c r="P2730">
        <v>4.4556926684979495E-3</v>
      </c>
      <c r="Q2730" t="s">
        <v>162</v>
      </c>
      <c r="S2730" t="s">
        <v>458</v>
      </c>
      <c r="T2730" t="s">
        <v>541</v>
      </c>
      <c r="U2730">
        <v>3.6012468762175055E-3</v>
      </c>
      <c r="V2730" t="s">
        <v>162</v>
      </c>
    </row>
    <row r="2731" spans="9:22" x14ac:dyDescent="0.45">
      <c r="I2731" t="s">
        <v>234</v>
      </c>
      <c r="J2731" t="s">
        <v>542</v>
      </c>
      <c r="K2731">
        <v>1.0400893302272346E-2</v>
      </c>
      <c r="L2731" t="s">
        <v>162</v>
      </c>
      <c r="N2731" t="s">
        <v>346</v>
      </c>
      <c r="O2731" t="s">
        <v>542</v>
      </c>
      <c r="P2731">
        <v>8.9369260148420889E-3</v>
      </c>
      <c r="Q2731" t="s">
        <v>162</v>
      </c>
      <c r="S2731" t="s">
        <v>458</v>
      </c>
      <c r="T2731" t="s">
        <v>542</v>
      </c>
      <c r="U2731">
        <v>7.3010436429639626E-3</v>
      </c>
      <c r="V2731" t="s">
        <v>162</v>
      </c>
    </row>
    <row r="2732" spans="9:22" x14ac:dyDescent="0.45">
      <c r="I2732" t="s">
        <v>234</v>
      </c>
      <c r="J2732" t="s">
        <v>543</v>
      </c>
      <c r="K2732">
        <v>1.9070426916099836E-2</v>
      </c>
      <c r="L2732" t="s">
        <v>162</v>
      </c>
      <c r="N2732" t="s">
        <v>346</v>
      </c>
      <c r="O2732" t="s">
        <v>543</v>
      </c>
      <c r="P2732">
        <v>2.2186959340693445E-2</v>
      </c>
      <c r="Q2732" t="s">
        <v>162</v>
      </c>
      <c r="S2732" t="s">
        <v>458</v>
      </c>
      <c r="T2732" t="s">
        <v>543</v>
      </c>
      <c r="U2732">
        <v>1.9546374547077389E-2</v>
      </c>
      <c r="V2732" t="s">
        <v>162</v>
      </c>
    </row>
    <row r="2733" spans="9:22" x14ac:dyDescent="0.45">
      <c r="I2733" t="s">
        <v>234</v>
      </c>
      <c r="J2733" t="s">
        <v>544</v>
      </c>
      <c r="K2733">
        <v>0</v>
      </c>
      <c r="L2733" t="s">
        <v>162</v>
      </c>
      <c r="N2733" t="s">
        <v>346</v>
      </c>
      <c r="O2733" t="s">
        <v>544</v>
      </c>
      <c r="P2733">
        <v>4.3542821483336649E-3</v>
      </c>
      <c r="Q2733" t="s">
        <v>162</v>
      </c>
      <c r="S2733" t="s">
        <v>458</v>
      </c>
      <c r="T2733" t="s">
        <v>544</v>
      </c>
      <c r="U2733">
        <v>3.9675793758342723E-3</v>
      </c>
      <c r="V2733" t="s">
        <v>162</v>
      </c>
    </row>
    <row r="2734" spans="9:22" x14ac:dyDescent="0.45">
      <c r="I2734" t="s">
        <v>234</v>
      </c>
      <c r="J2734" t="s">
        <v>545</v>
      </c>
      <c r="K2734">
        <v>0</v>
      </c>
      <c r="L2734" t="s">
        <v>162</v>
      </c>
      <c r="N2734" t="s">
        <v>346</v>
      </c>
      <c r="O2734" t="s">
        <v>545</v>
      </c>
      <c r="P2734">
        <v>2.7341797406357764E-2</v>
      </c>
      <c r="Q2734" t="s">
        <v>162</v>
      </c>
      <c r="S2734" t="s">
        <v>458</v>
      </c>
      <c r="T2734" t="s">
        <v>545</v>
      </c>
      <c r="U2734">
        <v>2.29656180515064E-2</v>
      </c>
      <c r="V2734" t="s">
        <v>162</v>
      </c>
    </row>
    <row r="2735" spans="9:22" x14ac:dyDescent="0.45">
      <c r="I2735" t="s">
        <v>234</v>
      </c>
      <c r="J2735" t="s">
        <v>546</v>
      </c>
      <c r="K2735">
        <v>4.8644045415641555E-7</v>
      </c>
      <c r="L2735" t="s">
        <v>162</v>
      </c>
      <c r="N2735" t="s">
        <v>346</v>
      </c>
      <c r="O2735" t="s">
        <v>546</v>
      </c>
      <c r="P2735">
        <v>5.8197953976598639E-2</v>
      </c>
      <c r="Q2735" t="s">
        <v>162</v>
      </c>
      <c r="S2735" t="s">
        <v>458</v>
      </c>
      <c r="T2735" t="s">
        <v>546</v>
      </c>
      <c r="U2735">
        <v>4.083723765749403E-2</v>
      </c>
      <c r="V2735" t="s">
        <v>162</v>
      </c>
    </row>
    <row r="2736" spans="9:22" x14ac:dyDescent="0.45">
      <c r="I2736" t="s">
        <v>234</v>
      </c>
      <c r="J2736" t="s">
        <v>547</v>
      </c>
      <c r="K2736">
        <v>3.2373087806939313E-3</v>
      </c>
      <c r="L2736" t="s">
        <v>162</v>
      </c>
      <c r="N2736" t="s">
        <v>346</v>
      </c>
      <c r="O2736" t="s">
        <v>547</v>
      </c>
      <c r="P2736">
        <v>6.4704928002040016E-3</v>
      </c>
      <c r="Q2736" t="s">
        <v>162</v>
      </c>
      <c r="S2736" t="s">
        <v>458</v>
      </c>
      <c r="T2736" t="s">
        <v>547</v>
      </c>
      <c r="U2736">
        <v>4.5857692877330552E-3</v>
      </c>
      <c r="V2736" t="s">
        <v>162</v>
      </c>
    </row>
    <row r="2737" spans="9:22" x14ac:dyDescent="0.45">
      <c r="I2737" t="s">
        <v>234</v>
      </c>
      <c r="J2737" t="s">
        <v>548</v>
      </c>
      <c r="K2737">
        <v>1.094191369792796E-2</v>
      </c>
      <c r="L2737" t="s">
        <v>162</v>
      </c>
      <c r="N2737" t="s">
        <v>346</v>
      </c>
      <c r="O2737" t="s">
        <v>548</v>
      </c>
      <c r="P2737">
        <v>1.2780749103462033E-2</v>
      </c>
      <c r="Q2737" t="s">
        <v>162</v>
      </c>
      <c r="S2737" t="s">
        <v>458</v>
      </c>
      <c r="T2737" t="s">
        <v>548</v>
      </c>
      <c r="U2737">
        <v>9.328700944197077E-3</v>
      </c>
      <c r="V2737" t="s">
        <v>162</v>
      </c>
    </row>
    <row r="2738" spans="9:22" x14ac:dyDescent="0.45">
      <c r="I2738" t="s">
        <v>234</v>
      </c>
      <c r="J2738" t="s">
        <v>549</v>
      </c>
      <c r="K2738">
        <v>1.9909426599342885E-2</v>
      </c>
      <c r="L2738" t="s">
        <v>162</v>
      </c>
      <c r="N2738" t="s">
        <v>346</v>
      </c>
      <c r="O2738" t="s">
        <v>549</v>
      </c>
      <c r="P2738">
        <v>3.116115674060202E-2</v>
      </c>
      <c r="Q2738" t="s">
        <v>162</v>
      </c>
      <c r="S2738" t="s">
        <v>458</v>
      </c>
      <c r="T2738" t="s">
        <v>549</v>
      </c>
      <c r="U2738">
        <v>2.3125490696111004E-2</v>
      </c>
      <c r="V2738" t="s">
        <v>162</v>
      </c>
    </row>
    <row r="2739" spans="9:22" x14ac:dyDescent="0.45">
      <c r="I2739" t="s">
        <v>234</v>
      </c>
      <c r="J2739" t="s">
        <v>550</v>
      </c>
      <c r="K2739">
        <v>0</v>
      </c>
      <c r="L2739" t="s">
        <v>162</v>
      </c>
      <c r="N2739" t="s">
        <v>346</v>
      </c>
      <c r="O2739" t="s">
        <v>550</v>
      </c>
      <c r="P2739">
        <v>6.267165746609021E-3</v>
      </c>
      <c r="Q2739" t="s">
        <v>162</v>
      </c>
      <c r="S2739" t="s">
        <v>458</v>
      </c>
      <c r="T2739" t="s">
        <v>550</v>
      </c>
      <c r="U2739">
        <v>4.5180873984958974E-3</v>
      </c>
      <c r="V2739" t="s">
        <v>162</v>
      </c>
    </row>
    <row r="2740" spans="9:22" x14ac:dyDescent="0.45">
      <c r="I2740" t="s">
        <v>234</v>
      </c>
      <c r="J2740" t="s">
        <v>551</v>
      </c>
      <c r="K2740">
        <v>0</v>
      </c>
      <c r="L2740" t="s">
        <v>162</v>
      </c>
      <c r="N2740" t="s">
        <v>346</v>
      </c>
      <c r="O2740" t="s">
        <v>551</v>
      </c>
      <c r="P2740">
        <v>3.8027237550521051E-2</v>
      </c>
      <c r="Q2740" t="s">
        <v>162</v>
      </c>
      <c r="S2740" t="s">
        <v>458</v>
      </c>
      <c r="T2740" t="s">
        <v>551</v>
      </c>
      <c r="U2740">
        <v>2.780561225713539E-2</v>
      </c>
      <c r="V2740" t="s">
        <v>162</v>
      </c>
    </row>
    <row r="2741" spans="9:22" x14ac:dyDescent="0.45">
      <c r="I2741" t="s">
        <v>235</v>
      </c>
      <c r="J2741" t="s">
        <v>161</v>
      </c>
      <c r="K2741">
        <v>4.1446744908087959E-4</v>
      </c>
      <c r="L2741" t="s">
        <v>162</v>
      </c>
      <c r="N2741" t="s">
        <v>347</v>
      </c>
      <c r="O2741" t="s">
        <v>161</v>
      </c>
      <c r="P2741">
        <v>4.5798913809177971E-2</v>
      </c>
      <c r="Q2741" t="s">
        <v>162</v>
      </c>
      <c r="S2741" t="s">
        <v>459</v>
      </c>
      <c r="T2741" t="s">
        <v>161</v>
      </c>
      <c r="U2741">
        <v>3.3895002802073436E-2</v>
      </c>
      <c r="V2741" t="s">
        <v>162</v>
      </c>
    </row>
    <row r="2742" spans="9:22" x14ac:dyDescent="0.45">
      <c r="I2742" t="s">
        <v>235</v>
      </c>
      <c r="J2742" t="s">
        <v>163</v>
      </c>
      <c r="K2742">
        <v>3.7386304291002676E-3</v>
      </c>
      <c r="L2742" t="s">
        <v>162</v>
      </c>
      <c r="N2742" t="s">
        <v>347</v>
      </c>
      <c r="O2742" t="s">
        <v>163</v>
      </c>
      <c r="P2742">
        <v>4.987077307810059E-3</v>
      </c>
      <c r="Q2742" t="s">
        <v>162</v>
      </c>
      <c r="S2742" t="s">
        <v>459</v>
      </c>
      <c r="T2742" t="s">
        <v>163</v>
      </c>
      <c r="U2742">
        <v>3.6444374502312897E-3</v>
      </c>
      <c r="V2742" t="s">
        <v>162</v>
      </c>
    </row>
    <row r="2743" spans="9:22" x14ac:dyDescent="0.45">
      <c r="I2743" t="s">
        <v>235</v>
      </c>
      <c r="J2743" t="s">
        <v>164</v>
      </c>
      <c r="K2743">
        <v>1.1805383908841706E-2</v>
      </c>
      <c r="L2743" t="s">
        <v>162</v>
      </c>
      <c r="N2743" t="s">
        <v>347</v>
      </c>
      <c r="O2743" t="s">
        <v>164</v>
      </c>
      <c r="P2743">
        <v>9.8167912586741742E-3</v>
      </c>
      <c r="Q2743" t="s">
        <v>162</v>
      </c>
      <c r="S2743" t="s">
        <v>459</v>
      </c>
      <c r="T2743" t="s">
        <v>164</v>
      </c>
      <c r="U2743">
        <v>7.3192225256717147E-3</v>
      </c>
      <c r="V2743" t="s">
        <v>162</v>
      </c>
    </row>
    <row r="2744" spans="9:22" x14ac:dyDescent="0.45">
      <c r="I2744" t="s">
        <v>235</v>
      </c>
      <c r="J2744" t="s">
        <v>519</v>
      </c>
      <c r="K2744">
        <v>2.1838533064616555E-2</v>
      </c>
      <c r="L2744" t="s">
        <v>162</v>
      </c>
      <c r="N2744" t="s">
        <v>347</v>
      </c>
      <c r="O2744" t="s">
        <v>519</v>
      </c>
      <c r="P2744">
        <v>2.4121246047825357E-2</v>
      </c>
      <c r="Q2744" t="s">
        <v>162</v>
      </c>
      <c r="S2744" t="s">
        <v>459</v>
      </c>
      <c r="T2744" t="s">
        <v>519</v>
      </c>
      <c r="U2744">
        <v>1.8149976861087266E-2</v>
      </c>
      <c r="V2744" t="s">
        <v>162</v>
      </c>
    </row>
    <row r="2745" spans="9:22" x14ac:dyDescent="0.45">
      <c r="I2745" t="s">
        <v>235</v>
      </c>
      <c r="J2745" t="s">
        <v>520</v>
      </c>
      <c r="K2745">
        <v>0</v>
      </c>
      <c r="L2745" t="s">
        <v>162</v>
      </c>
      <c r="N2745" t="s">
        <v>347</v>
      </c>
      <c r="O2745" t="s">
        <v>520</v>
      </c>
      <c r="P2745">
        <v>4.7675121485173484E-3</v>
      </c>
      <c r="Q2745" t="s">
        <v>162</v>
      </c>
      <c r="S2745" t="s">
        <v>459</v>
      </c>
      <c r="T2745" t="s">
        <v>520</v>
      </c>
      <c r="U2745">
        <v>3.6249017173685069E-3</v>
      </c>
      <c r="V2745" t="s">
        <v>162</v>
      </c>
    </row>
    <row r="2746" spans="9:22" x14ac:dyDescent="0.45">
      <c r="I2746" t="s">
        <v>235</v>
      </c>
      <c r="J2746" t="s">
        <v>521</v>
      </c>
      <c r="K2746">
        <v>0</v>
      </c>
      <c r="L2746" t="s">
        <v>162</v>
      </c>
      <c r="N2746" t="s">
        <v>347</v>
      </c>
      <c r="O2746" t="s">
        <v>521</v>
      </c>
      <c r="P2746">
        <v>2.9449060200914146E-2</v>
      </c>
      <c r="Q2746" t="s">
        <v>162</v>
      </c>
      <c r="S2746" t="s">
        <v>459</v>
      </c>
      <c r="T2746" t="s">
        <v>521</v>
      </c>
      <c r="U2746">
        <v>2.2781475989149844E-2</v>
      </c>
      <c r="V2746" t="s">
        <v>162</v>
      </c>
    </row>
    <row r="2747" spans="9:22" x14ac:dyDescent="0.45">
      <c r="I2747" t="s">
        <v>235</v>
      </c>
      <c r="J2747" t="s">
        <v>165</v>
      </c>
      <c r="K2747">
        <v>1.7131592759640425E-2</v>
      </c>
      <c r="L2747" t="s">
        <v>162</v>
      </c>
      <c r="N2747" t="s">
        <v>347</v>
      </c>
      <c r="O2747" t="s">
        <v>165</v>
      </c>
      <c r="P2747">
        <v>6.1822285722787092E-2</v>
      </c>
      <c r="Q2747" t="s">
        <v>162</v>
      </c>
      <c r="S2747" t="s">
        <v>459</v>
      </c>
      <c r="T2747" t="s">
        <v>165</v>
      </c>
      <c r="U2747">
        <v>4.6831133569807219E-2</v>
      </c>
      <c r="V2747" t="s">
        <v>162</v>
      </c>
    </row>
    <row r="2748" spans="9:22" x14ac:dyDescent="0.45">
      <c r="I2748" t="s">
        <v>235</v>
      </c>
      <c r="J2748" t="s">
        <v>166</v>
      </c>
      <c r="K2748">
        <v>1.5862746297338807E-2</v>
      </c>
      <c r="L2748" t="s">
        <v>162</v>
      </c>
      <c r="N2748" t="s">
        <v>347</v>
      </c>
      <c r="O2748" t="s">
        <v>166</v>
      </c>
      <c r="P2748">
        <v>6.7210564594742542E-3</v>
      </c>
      <c r="Q2748" t="s">
        <v>162</v>
      </c>
      <c r="S2748" t="s">
        <v>459</v>
      </c>
      <c r="T2748" t="s">
        <v>166</v>
      </c>
      <c r="U2748">
        <v>5.3821533553094327E-3</v>
      </c>
      <c r="V2748" t="s">
        <v>162</v>
      </c>
    </row>
    <row r="2749" spans="9:22" x14ac:dyDescent="0.45">
      <c r="I2749" t="s">
        <v>235</v>
      </c>
      <c r="J2749" t="s">
        <v>167</v>
      </c>
      <c r="K2749">
        <v>3.7213906571137149E-2</v>
      </c>
      <c r="L2749" t="s">
        <v>162</v>
      </c>
      <c r="N2749" t="s">
        <v>347</v>
      </c>
      <c r="O2749" t="s">
        <v>167</v>
      </c>
      <c r="P2749">
        <v>1.3205463223755758E-2</v>
      </c>
      <c r="Q2749" t="s">
        <v>162</v>
      </c>
      <c r="S2749" t="s">
        <v>459</v>
      </c>
      <c r="T2749" t="s">
        <v>167</v>
      </c>
      <c r="U2749">
        <v>1.0286932448746932E-2</v>
      </c>
      <c r="V2749" t="s">
        <v>162</v>
      </c>
    </row>
    <row r="2750" spans="9:22" x14ac:dyDescent="0.45">
      <c r="I2750" t="s">
        <v>235</v>
      </c>
      <c r="J2750" t="s">
        <v>522</v>
      </c>
      <c r="K2750">
        <v>8.3537487685748923E-2</v>
      </c>
      <c r="L2750" t="s">
        <v>162</v>
      </c>
      <c r="N2750" t="s">
        <v>347</v>
      </c>
      <c r="O2750" t="s">
        <v>522</v>
      </c>
      <c r="P2750">
        <v>3.3491507810840461E-2</v>
      </c>
      <c r="Q2750" t="s">
        <v>162</v>
      </c>
      <c r="S2750" t="s">
        <v>459</v>
      </c>
      <c r="T2750" t="s">
        <v>522</v>
      </c>
      <c r="U2750">
        <v>2.4313849068806615E-2</v>
      </c>
      <c r="V2750" t="s">
        <v>162</v>
      </c>
    </row>
    <row r="2751" spans="9:22" x14ac:dyDescent="0.45">
      <c r="I2751" t="s">
        <v>235</v>
      </c>
      <c r="J2751" t="s">
        <v>523</v>
      </c>
      <c r="K2751">
        <v>6.1474124874305262E-3</v>
      </c>
      <c r="L2751" t="s">
        <v>162</v>
      </c>
      <c r="N2751" t="s">
        <v>347</v>
      </c>
      <c r="O2751" t="s">
        <v>523</v>
      </c>
      <c r="P2751">
        <v>6.9965587667148261E-3</v>
      </c>
      <c r="Q2751" t="s">
        <v>162</v>
      </c>
      <c r="S2751" t="s">
        <v>459</v>
      </c>
      <c r="T2751" t="s">
        <v>523</v>
      </c>
      <c r="U2751">
        <v>4.9677578702833616E-3</v>
      </c>
      <c r="V2751" t="s">
        <v>162</v>
      </c>
    </row>
    <row r="2752" spans="9:22" x14ac:dyDescent="0.45">
      <c r="I2752" t="s">
        <v>235</v>
      </c>
      <c r="J2752" t="s">
        <v>524</v>
      </c>
      <c r="K2752">
        <v>1.1395538699866797E-3</v>
      </c>
      <c r="L2752" t="s">
        <v>162</v>
      </c>
      <c r="N2752" t="s">
        <v>347</v>
      </c>
      <c r="O2752" t="s">
        <v>524</v>
      </c>
      <c r="P2752">
        <v>4.2512989874027511E-2</v>
      </c>
      <c r="Q2752" t="s">
        <v>162</v>
      </c>
      <c r="S2752" t="s">
        <v>459</v>
      </c>
      <c r="T2752" t="s">
        <v>524</v>
      </c>
      <c r="U2752">
        <v>3.0026984085767938E-2</v>
      </c>
      <c r="V2752" t="s">
        <v>162</v>
      </c>
    </row>
    <row r="2753" spans="9:22" x14ac:dyDescent="0.45">
      <c r="I2753" t="s">
        <v>235</v>
      </c>
      <c r="J2753" t="s">
        <v>168</v>
      </c>
      <c r="K2753">
        <v>2.3917313460104353E-2</v>
      </c>
      <c r="L2753" t="s">
        <v>162</v>
      </c>
      <c r="N2753" t="s">
        <v>347</v>
      </c>
      <c r="O2753" t="s">
        <v>168</v>
      </c>
      <c r="P2753">
        <v>2.9575923194760097E-2</v>
      </c>
      <c r="Q2753" t="s">
        <v>162</v>
      </c>
      <c r="S2753" t="s">
        <v>459</v>
      </c>
      <c r="T2753" t="s">
        <v>168</v>
      </c>
      <c r="U2753">
        <v>4.2227937831088837E-2</v>
      </c>
      <c r="V2753" t="s">
        <v>162</v>
      </c>
    </row>
    <row r="2754" spans="9:22" x14ac:dyDescent="0.45">
      <c r="I2754" t="s">
        <v>235</v>
      </c>
      <c r="J2754" t="s">
        <v>169</v>
      </c>
      <c r="K2754">
        <v>1.0956897210781989E-2</v>
      </c>
      <c r="L2754" t="s">
        <v>162</v>
      </c>
      <c r="N2754" t="s">
        <v>347</v>
      </c>
      <c r="O2754" t="s">
        <v>169</v>
      </c>
      <c r="P2754">
        <v>3.2342048545142086E-3</v>
      </c>
      <c r="Q2754" t="s">
        <v>162</v>
      </c>
      <c r="S2754" t="s">
        <v>459</v>
      </c>
      <c r="T2754" t="s">
        <v>169</v>
      </c>
      <c r="U2754">
        <v>4.8061854395364699E-3</v>
      </c>
      <c r="V2754" t="s">
        <v>162</v>
      </c>
    </row>
    <row r="2755" spans="9:22" x14ac:dyDescent="0.45">
      <c r="I2755" t="s">
        <v>235</v>
      </c>
      <c r="J2755" t="s">
        <v>170</v>
      </c>
      <c r="K2755">
        <v>2.302776138467744E-2</v>
      </c>
      <c r="L2755" t="s">
        <v>162</v>
      </c>
      <c r="N2755" t="s">
        <v>347</v>
      </c>
      <c r="O2755" t="s">
        <v>170</v>
      </c>
      <c r="P2755">
        <v>6.4911963344684437E-3</v>
      </c>
      <c r="Q2755" t="s">
        <v>162</v>
      </c>
      <c r="S2755" t="s">
        <v>459</v>
      </c>
      <c r="T2755" t="s">
        <v>170</v>
      </c>
      <c r="U2755">
        <v>9.8107735306155793E-3</v>
      </c>
      <c r="V2755" t="s">
        <v>162</v>
      </c>
    </row>
    <row r="2756" spans="9:22" x14ac:dyDescent="0.45">
      <c r="I2756" t="s">
        <v>235</v>
      </c>
      <c r="J2756" t="s">
        <v>525</v>
      </c>
      <c r="K2756">
        <v>5.3862756441672321E-2</v>
      </c>
      <c r="L2756" t="s">
        <v>162</v>
      </c>
      <c r="N2756" t="s">
        <v>347</v>
      </c>
      <c r="O2756" t="s">
        <v>525</v>
      </c>
      <c r="P2756">
        <v>1.6949148369251009E-2</v>
      </c>
      <c r="Q2756" t="s">
        <v>162</v>
      </c>
      <c r="S2756" t="s">
        <v>459</v>
      </c>
      <c r="T2756" t="s">
        <v>525</v>
      </c>
      <c r="U2756">
        <v>2.5246059574083789E-2</v>
      </c>
      <c r="V2756" t="s">
        <v>162</v>
      </c>
    </row>
    <row r="2757" spans="9:22" x14ac:dyDescent="0.45">
      <c r="I2757" t="s">
        <v>235</v>
      </c>
      <c r="J2757" t="s">
        <v>526</v>
      </c>
      <c r="K2757">
        <v>7.3457911595312319E-3</v>
      </c>
      <c r="L2757" t="s">
        <v>162</v>
      </c>
      <c r="N2757" t="s">
        <v>347</v>
      </c>
      <c r="O2757" t="s">
        <v>526</v>
      </c>
      <c r="P2757">
        <v>3.4823660539159899E-3</v>
      </c>
      <c r="Q2757" t="s">
        <v>162</v>
      </c>
      <c r="S2757" t="s">
        <v>459</v>
      </c>
      <c r="T2757" t="s">
        <v>526</v>
      </c>
      <c r="U2757">
        <v>5.0042478713799368E-3</v>
      </c>
      <c r="V2757" t="s">
        <v>162</v>
      </c>
    </row>
    <row r="2758" spans="9:22" x14ac:dyDescent="0.45">
      <c r="I2758" t="s">
        <v>235</v>
      </c>
      <c r="J2758" t="s">
        <v>527</v>
      </c>
      <c r="K2758">
        <v>5.002408703400605E-3</v>
      </c>
      <c r="L2758" t="s">
        <v>162</v>
      </c>
      <c r="N2758" t="s">
        <v>347</v>
      </c>
      <c r="O2758" t="s">
        <v>527</v>
      </c>
      <c r="P2758">
        <v>2.0823313566755739E-2</v>
      </c>
      <c r="Q2758" t="s">
        <v>162</v>
      </c>
      <c r="S2758" t="s">
        <v>459</v>
      </c>
      <c r="T2758" t="s">
        <v>527</v>
      </c>
      <c r="U2758">
        <v>2.9706918582257321E-2</v>
      </c>
      <c r="V2758" t="s">
        <v>162</v>
      </c>
    </row>
    <row r="2759" spans="9:22" x14ac:dyDescent="0.45">
      <c r="I2759" t="s">
        <v>235</v>
      </c>
      <c r="J2759" t="s">
        <v>528</v>
      </c>
      <c r="K2759">
        <v>9.0795491213398208E-2</v>
      </c>
      <c r="L2759" t="s">
        <v>162</v>
      </c>
      <c r="N2759" t="s">
        <v>347</v>
      </c>
      <c r="O2759" t="s">
        <v>528</v>
      </c>
      <c r="P2759">
        <v>7.3491783113713766E-2</v>
      </c>
      <c r="Q2759" t="s">
        <v>162</v>
      </c>
      <c r="S2759" t="s">
        <v>459</v>
      </c>
      <c r="T2759" t="s">
        <v>528</v>
      </c>
      <c r="U2759">
        <v>8.6332630662972046E-2</v>
      </c>
      <c r="V2759" t="s">
        <v>162</v>
      </c>
    </row>
    <row r="2760" spans="9:22" x14ac:dyDescent="0.45">
      <c r="I2760" t="s">
        <v>235</v>
      </c>
      <c r="J2760" t="s">
        <v>529</v>
      </c>
      <c r="K2760">
        <v>3.143405458049859E-2</v>
      </c>
      <c r="L2760" t="s">
        <v>162</v>
      </c>
      <c r="N2760" t="s">
        <v>347</v>
      </c>
      <c r="O2760" t="s">
        <v>529</v>
      </c>
      <c r="P2760">
        <v>8.4840472938015402E-3</v>
      </c>
      <c r="Q2760" t="s">
        <v>162</v>
      </c>
      <c r="S2760" t="s">
        <v>459</v>
      </c>
      <c r="T2760" t="s">
        <v>529</v>
      </c>
      <c r="U2760">
        <v>8.6896213233774409E-3</v>
      </c>
      <c r="V2760" t="s">
        <v>162</v>
      </c>
    </row>
    <row r="2761" spans="9:22" x14ac:dyDescent="0.45">
      <c r="I2761" t="s">
        <v>235</v>
      </c>
      <c r="J2761" t="s">
        <v>530</v>
      </c>
      <c r="K2761">
        <v>6.440768413327376E-2</v>
      </c>
      <c r="L2761" t="s">
        <v>162</v>
      </c>
      <c r="N2761" t="s">
        <v>347</v>
      </c>
      <c r="O2761" t="s">
        <v>530</v>
      </c>
      <c r="P2761">
        <v>1.7331554347622808E-2</v>
      </c>
      <c r="Q2761" t="s">
        <v>162</v>
      </c>
      <c r="S2761" t="s">
        <v>459</v>
      </c>
      <c r="T2761" t="s">
        <v>530</v>
      </c>
      <c r="U2761">
        <v>1.7261262323245475E-2</v>
      </c>
      <c r="V2761" t="s">
        <v>162</v>
      </c>
    </row>
    <row r="2762" spans="9:22" x14ac:dyDescent="0.45">
      <c r="I2762" t="s">
        <v>235</v>
      </c>
      <c r="J2762" t="s">
        <v>531</v>
      </c>
      <c r="K2762">
        <v>0.14836567112489715</v>
      </c>
      <c r="L2762" t="s">
        <v>162</v>
      </c>
      <c r="N2762" t="s">
        <v>347</v>
      </c>
      <c r="O2762" t="s">
        <v>531</v>
      </c>
      <c r="P2762">
        <v>4.4067297980765488E-2</v>
      </c>
      <c r="Q2762" t="s">
        <v>162</v>
      </c>
      <c r="S2762" t="s">
        <v>459</v>
      </c>
      <c r="T2762" t="s">
        <v>531</v>
      </c>
      <c r="U2762">
        <v>4.504087616136522E-2</v>
      </c>
      <c r="V2762" t="s">
        <v>162</v>
      </c>
    </row>
    <row r="2763" spans="9:22" x14ac:dyDescent="0.45">
      <c r="I2763" t="s">
        <v>235</v>
      </c>
      <c r="J2763" t="s">
        <v>532</v>
      </c>
      <c r="K2763">
        <v>2.2276706514259802E-2</v>
      </c>
      <c r="L2763" t="s">
        <v>162</v>
      </c>
      <c r="N2763" t="s">
        <v>347</v>
      </c>
      <c r="O2763" t="s">
        <v>532</v>
      </c>
      <c r="P2763">
        <v>8.4343904761051223E-3</v>
      </c>
      <c r="Q2763" t="s">
        <v>162</v>
      </c>
      <c r="S2763" t="s">
        <v>459</v>
      </c>
      <c r="T2763" t="s">
        <v>532</v>
      </c>
      <c r="U2763">
        <v>9.0865151846447455E-3</v>
      </c>
      <c r="V2763" t="s">
        <v>162</v>
      </c>
    </row>
    <row r="2764" spans="9:22" x14ac:dyDescent="0.45">
      <c r="I2764" t="s">
        <v>235</v>
      </c>
      <c r="J2764" t="s">
        <v>533</v>
      </c>
      <c r="K2764">
        <v>3.0193023663761091E-2</v>
      </c>
      <c r="L2764" t="s">
        <v>162</v>
      </c>
      <c r="N2764" t="s">
        <v>347</v>
      </c>
      <c r="O2764" t="s">
        <v>533</v>
      </c>
      <c r="P2764">
        <v>4.78195746860898E-2</v>
      </c>
      <c r="Q2764" t="s">
        <v>162</v>
      </c>
      <c r="S2764" t="s">
        <v>459</v>
      </c>
      <c r="T2764" t="s">
        <v>533</v>
      </c>
      <c r="U2764">
        <v>5.8066766892021067E-2</v>
      </c>
      <c r="V2764" t="s">
        <v>162</v>
      </c>
    </row>
    <row r="2765" spans="9:22" x14ac:dyDescent="0.45">
      <c r="I2765" t="s">
        <v>235</v>
      </c>
      <c r="J2765" t="s">
        <v>534</v>
      </c>
      <c r="K2765">
        <v>4.6571317563144934E-2</v>
      </c>
      <c r="L2765" t="s">
        <v>162</v>
      </c>
      <c r="N2765" t="s">
        <v>347</v>
      </c>
      <c r="O2765" t="s">
        <v>534</v>
      </c>
      <c r="P2765">
        <v>7.8971197121420325E-2</v>
      </c>
      <c r="Q2765" t="s">
        <v>162</v>
      </c>
      <c r="S2765" t="s">
        <v>459</v>
      </c>
      <c r="T2765" t="s">
        <v>534</v>
      </c>
      <c r="U2765">
        <v>9.7302665297768237E-2</v>
      </c>
      <c r="V2765" t="s">
        <v>162</v>
      </c>
    </row>
    <row r="2766" spans="9:22" x14ac:dyDescent="0.45">
      <c r="I2766" t="s">
        <v>235</v>
      </c>
      <c r="J2766" t="s">
        <v>535</v>
      </c>
      <c r="K2766">
        <v>2.2590608203083486E-2</v>
      </c>
      <c r="L2766" t="s">
        <v>162</v>
      </c>
      <c r="N2766" t="s">
        <v>347</v>
      </c>
      <c r="O2766" t="s">
        <v>535</v>
      </c>
      <c r="P2766">
        <v>9.076079225784987E-3</v>
      </c>
      <c r="Q2766" t="s">
        <v>162</v>
      </c>
      <c r="S2766" t="s">
        <v>459</v>
      </c>
      <c r="T2766" t="s">
        <v>535</v>
      </c>
      <c r="U2766">
        <v>1.043050475666649E-2</v>
      </c>
      <c r="V2766" t="s">
        <v>162</v>
      </c>
    </row>
    <row r="2767" spans="9:22" x14ac:dyDescent="0.45">
      <c r="I2767" t="s">
        <v>235</v>
      </c>
      <c r="J2767" t="s">
        <v>536</v>
      </c>
      <c r="K2767">
        <v>4.617030242971415E-2</v>
      </c>
      <c r="L2767" t="s">
        <v>162</v>
      </c>
      <c r="N2767" t="s">
        <v>347</v>
      </c>
      <c r="O2767" t="s">
        <v>536</v>
      </c>
      <c r="P2767">
        <v>1.8595173417782766E-2</v>
      </c>
      <c r="Q2767" t="s">
        <v>162</v>
      </c>
      <c r="S2767" t="s">
        <v>459</v>
      </c>
      <c r="T2767" t="s">
        <v>536</v>
      </c>
      <c r="U2767">
        <v>2.0620527584284322E-2</v>
      </c>
      <c r="V2767" t="s">
        <v>162</v>
      </c>
    </row>
    <row r="2768" spans="9:22" x14ac:dyDescent="0.45">
      <c r="I2768" t="s">
        <v>235</v>
      </c>
      <c r="J2768" t="s">
        <v>537</v>
      </c>
      <c r="K2768">
        <v>9.773243633489849E-2</v>
      </c>
      <c r="L2768" t="s">
        <v>162</v>
      </c>
      <c r="N2768" t="s">
        <v>347</v>
      </c>
      <c r="O2768" t="s">
        <v>537</v>
      </c>
      <c r="P2768">
        <v>4.6607514732114004E-2</v>
      </c>
      <c r="Q2768" t="s">
        <v>162</v>
      </c>
      <c r="S2768" t="s">
        <v>459</v>
      </c>
      <c r="T2768" t="s">
        <v>537</v>
      </c>
      <c r="U2768">
        <v>5.2087912565583476E-2</v>
      </c>
      <c r="V2768" t="s">
        <v>162</v>
      </c>
    </row>
    <row r="2769" spans="9:22" x14ac:dyDescent="0.45">
      <c r="I2769" t="s">
        <v>235</v>
      </c>
      <c r="J2769" t="s">
        <v>538</v>
      </c>
      <c r="K2769">
        <v>1.1123058630896455E-2</v>
      </c>
      <c r="L2769" t="s">
        <v>162</v>
      </c>
      <c r="N2769" t="s">
        <v>347</v>
      </c>
      <c r="O2769" t="s">
        <v>538</v>
      </c>
      <c r="P2769">
        <v>8.7979629399105915E-3</v>
      </c>
      <c r="Q2769" t="s">
        <v>162</v>
      </c>
      <c r="S2769" t="s">
        <v>459</v>
      </c>
      <c r="T2769" t="s">
        <v>538</v>
      </c>
      <c r="U2769">
        <v>1.0428064061565729E-2</v>
      </c>
      <c r="V2769" t="s">
        <v>162</v>
      </c>
    </row>
    <row r="2770" spans="9:22" x14ac:dyDescent="0.45">
      <c r="I2770" t="s">
        <v>235</v>
      </c>
      <c r="J2770" t="s">
        <v>539</v>
      </c>
      <c r="K2770">
        <v>7.8396536027438256E-3</v>
      </c>
      <c r="L2770" t="s">
        <v>162</v>
      </c>
      <c r="N2770" t="s">
        <v>347</v>
      </c>
      <c r="O2770" t="s">
        <v>539</v>
      </c>
      <c r="P2770">
        <v>5.1860301533500262E-2</v>
      </c>
      <c r="Q2770" t="s">
        <v>162</v>
      </c>
      <c r="S2770" t="s">
        <v>459</v>
      </c>
      <c r="T2770" t="s">
        <v>539</v>
      </c>
      <c r="U2770">
        <v>6.26117320917665E-2</v>
      </c>
      <c r="V2770" t="s">
        <v>162</v>
      </c>
    </row>
    <row r="2771" spans="9:22" x14ac:dyDescent="0.45">
      <c r="I2771" t="s">
        <v>235</v>
      </c>
      <c r="J2771" t="s">
        <v>540</v>
      </c>
      <c r="K2771">
        <v>1.1974941528785359E-3</v>
      </c>
      <c r="L2771" t="s">
        <v>162</v>
      </c>
      <c r="N2771" t="s">
        <v>347</v>
      </c>
      <c r="O2771" t="s">
        <v>540</v>
      </c>
      <c r="P2771">
        <v>3.6847276962867812E-2</v>
      </c>
      <c r="Q2771" t="s">
        <v>162</v>
      </c>
      <c r="S2771" t="s">
        <v>459</v>
      </c>
      <c r="T2771" t="s">
        <v>540</v>
      </c>
      <c r="U2771">
        <v>2.8806926556044742E-2</v>
      </c>
      <c r="V2771" t="s">
        <v>162</v>
      </c>
    </row>
    <row r="2772" spans="9:22" x14ac:dyDescent="0.45">
      <c r="I2772" t="s">
        <v>235</v>
      </c>
      <c r="J2772" t="s">
        <v>541</v>
      </c>
      <c r="K2772">
        <v>2.4626713424331387E-3</v>
      </c>
      <c r="L2772" t="s">
        <v>162</v>
      </c>
      <c r="N2772" t="s">
        <v>347</v>
      </c>
      <c r="O2772" t="s">
        <v>541</v>
      </c>
      <c r="P2772">
        <v>4.0943057252883115E-3</v>
      </c>
      <c r="Q2772" t="s">
        <v>162</v>
      </c>
      <c r="S2772" t="s">
        <v>459</v>
      </c>
      <c r="T2772" t="s">
        <v>541</v>
      </c>
      <c r="U2772">
        <v>3.3204529421833008E-3</v>
      </c>
      <c r="V2772" t="s">
        <v>162</v>
      </c>
    </row>
    <row r="2773" spans="9:22" x14ac:dyDescent="0.45">
      <c r="I2773" t="s">
        <v>235</v>
      </c>
      <c r="J2773" t="s">
        <v>542</v>
      </c>
      <c r="K2773">
        <v>7.112332371257136E-3</v>
      </c>
      <c r="L2773" t="s">
        <v>162</v>
      </c>
      <c r="N2773" t="s">
        <v>347</v>
      </c>
      <c r="O2773" t="s">
        <v>542</v>
      </c>
      <c r="P2773">
        <v>8.1104541696104798E-3</v>
      </c>
      <c r="Q2773" t="s">
        <v>162</v>
      </c>
      <c r="S2773" t="s">
        <v>459</v>
      </c>
      <c r="T2773" t="s">
        <v>542</v>
      </c>
      <c r="U2773">
        <v>6.8994208716509917E-3</v>
      </c>
      <c r="V2773" t="s">
        <v>162</v>
      </c>
    </row>
    <row r="2774" spans="9:22" x14ac:dyDescent="0.45">
      <c r="I2774" t="s">
        <v>235</v>
      </c>
      <c r="J2774" t="s">
        <v>543</v>
      </c>
      <c r="K2774">
        <v>1.3039967234284324E-2</v>
      </c>
      <c r="L2774" t="s">
        <v>162</v>
      </c>
      <c r="N2774" t="s">
        <v>347</v>
      </c>
      <c r="O2774" t="s">
        <v>543</v>
      </c>
      <c r="P2774">
        <v>1.9981763428141827E-2</v>
      </c>
      <c r="Q2774" t="s">
        <v>162</v>
      </c>
      <c r="S2774" t="s">
        <v>459</v>
      </c>
      <c r="T2774" t="s">
        <v>543</v>
      </c>
      <c r="U2774">
        <v>1.7701706364358492E-2</v>
      </c>
      <c r="V2774" t="s">
        <v>162</v>
      </c>
    </row>
    <row r="2775" spans="9:22" x14ac:dyDescent="0.45">
      <c r="I2775" t="s">
        <v>235</v>
      </c>
      <c r="J2775" t="s">
        <v>544</v>
      </c>
      <c r="K2775">
        <v>0</v>
      </c>
      <c r="L2775" t="s">
        <v>162</v>
      </c>
      <c r="N2775" t="s">
        <v>347</v>
      </c>
      <c r="O2775" t="s">
        <v>544</v>
      </c>
      <c r="P2775">
        <v>4.0058295717483854E-3</v>
      </c>
      <c r="Q2775" t="s">
        <v>162</v>
      </c>
      <c r="S2775" t="s">
        <v>459</v>
      </c>
      <c r="T2775" t="s">
        <v>544</v>
      </c>
      <c r="U2775">
        <v>3.5723390213870066E-3</v>
      </c>
      <c r="V2775" t="s">
        <v>162</v>
      </c>
    </row>
    <row r="2776" spans="9:22" x14ac:dyDescent="0.45">
      <c r="I2776" t="s">
        <v>235</v>
      </c>
      <c r="J2776" t="s">
        <v>545</v>
      </c>
      <c r="K2776">
        <v>0</v>
      </c>
      <c r="L2776" t="s">
        <v>162</v>
      </c>
      <c r="N2776" t="s">
        <v>347</v>
      </c>
      <c r="O2776" t="s">
        <v>545</v>
      </c>
      <c r="P2776">
        <v>2.4667138516880273E-2</v>
      </c>
      <c r="Q2776" t="s">
        <v>162</v>
      </c>
      <c r="S2776" t="s">
        <v>459</v>
      </c>
      <c r="T2776" t="s">
        <v>545</v>
      </c>
      <c r="U2776">
        <v>2.0843404281330226E-2</v>
      </c>
      <c r="V2776" t="s">
        <v>162</v>
      </c>
    </row>
    <row r="2777" spans="9:22" x14ac:dyDescent="0.45">
      <c r="I2777" t="s">
        <v>235</v>
      </c>
      <c r="J2777" t="s">
        <v>546</v>
      </c>
      <c r="K2777">
        <v>3.8569519379565346E-5</v>
      </c>
      <c r="L2777" t="s">
        <v>162</v>
      </c>
      <c r="N2777" t="s">
        <v>347</v>
      </c>
      <c r="O2777" t="s">
        <v>546</v>
      </c>
      <c r="P2777">
        <v>4.7079942103574891E-2</v>
      </c>
      <c r="Q2777" t="s">
        <v>162</v>
      </c>
      <c r="S2777" t="s">
        <v>459</v>
      </c>
      <c r="T2777" t="s">
        <v>546</v>
      </c>
      <c r="U2777">
        <v>4.2356688501508977E-2</v>
      </c>
      <c r="V2777" t="s">
        <v>162</v>
      </c>
    </row>
    <row r="2778" spans="9:22" x14ac:dyDescent="0.45">
      <c r="I2778" t="s">
        <v>235</v>
      </c>
      <c r="J2778" t="s">
        <v>547</v>
      </c>
      <c r="K2778">
        <v>3.6318529604529777E-3</v>
      </c>
      <c r="L2778" t="s">
        <v>162</v>
      </c>
      <c r="N2778" t="s">
        <v>347</v>
      </c>
      <c r="O2778" t="s">
        <v>547</v>
      </c>
      <c r="P2778">
        <v>5.2093237175885529E-3</v>
      </c>
      <c r="Q2778" t="s">
        <v>162</v>
      </c>
      <c r="S2778" t="s">
        <v>459</v>
      </c>
      <c r="T2778" t="s">
        <v>547</v>
      </c>
      <c r="U2778">
        <v>4.7380074950639879E-3</v>
      </c>
      <c r="V2778" t="s">
        <v>162</v>
      </c>
    </row>
    <row r="2779" spans="9:22" x14ac:dyDescent="0.45">
      <c r="I2779" t="s">
        <v>235</v>
      </c>
      <c r="J2779" t="s">
        <v>548</v>
      </c>
      <c r="K2779">
        <v>1.1361714183007944E-2</v>
      </c>
      <c r="L2779" t="s">
        <v>162</v>
      </c>
      <c r="N2779" t="s">
        <v>347</v>
      </c>
      <c r="O2779" t="s">
        <v>548</v>
      </c>
      <c r="P2779">
        <v>1.0267651446959285E-2</v>
      </c>
      <c r="Q2779" t="s">
        <v>162</v>
      </c>
      <c r="S2779" t="s">
        <v>459</v>
      </c>
      <c r="T2779" t="s">
        <v>548</v>
      </c>
      <c r="U2779">
        <v>9.3479778628062574E-3</v>
      </c>
      <c r="V2779" t="s">
        <v>162</v>
      </c>
    </row>
    <row r="2780" spans="9:22" x14ac:dyDescent="0.45">
      <c r="I2780" t="s">
        <v>235</v>
      </c>
      <c r="J2780" t="s">
        <v>549</v>
      </c>
      <c r="K2780">
        <v>1.8712747358645549E-2</v>
      </c>
      <c r="L2780" t="s">
        <v>162</v>
      </c>
      <c r="N2780" t="s">
        <v>347</v>
      </c>
      <c r="O2780" t="s">
        <v>549</v>
      </c>
      <c r="P2780">
        <v>2.564052504313951E-2</v>
      </c>
      <c r="Q2780" t="s">
        <v>162</v>
      </c>
      <c r="S2780" t="s">
        <v>459</v>
      </c>
      <c r="T2780" t="s">
        <v>549</v>
      </c>
      <c r="U2780">
        <v>2.3245883748244895E-2</v>
      </c>
      <c r="V2780" t="s">
        <v>162</v>
      </c>
    </row>
    <row r="2781" spans="9:22" x14ac:dyDescent="0.45">
      <c r="I2781" t="s">
        <v>235</v>
      </c>
      <c r="J2781" t="s">
        <v>550</v>
      </c>
      <c r="K2781">
        <v>0</v>
      </c>
      <c r="L2781" t="s">
        <v>162</v>
      </c>
      <c r="N2781" t="s">
        <v>347</v>
      </c>
      <c r="O2781" t="s">
        <v>550</v>
      </c>
      <c r="P2781">
        <v>5.1840208182859417E-3</v>
      </c>
      <c r="Q2781" t="s">
        <v>162</v>
      </c>
      <c r="S2781" t="s">
        <v>459</v>
      </c>
      <c r="T2781" t="s">
        <v>550</v>
      </c>
      <c r="U2781">
        <v>4.6710239711319611E-3</v>
      </c>
      <c r="V2781" t="s">
        <v>162</v>
      </c>
    </row>
    <row r="2782" spans="9:22" x14ac:dyDescent="0.45">
      <c r="I2782" t="s">
        <v>235</v>
      </c>
      <c r="J2782" t="s">
        <v>551</v>
      </c>
      <c r="K2782">
        <v>0</v>
      </c>
      <c r="L2782" t="s">
        <v>162</v>
      </c>
      <c r="N2782" t="s">
        <v>347</v>
      </c>
      <c r="O2782" t="s">
        <v>551</v>
      </c>
      <c r="P2782">
        <v>3.1128276623123084E-2</v>
      </c>
      <c r="Q2782" t="s">
        <v>162</v>
      </c>
      <c r="S2782" t="s">
        <v>459</v>
      </c>
      <c r="T2782" t="s">
        <v>551</v>
      </c>
      <c r="U2782">
        <v>2.8511138905759716E-2</v>
      </c>
      <c r="V2782" t="s">
        <v>162</v>
      </c>
    </row>
    <row r="2783" spans="9:22" x14ac:dyDescent="0.45">
      <c r="I2783" t="s">
        <v>236</v>
      </c>
      <c r="J2783" t="s">
        <v>161</v>
      </c>
      <c r="K2783">
        <v>6.2104476945995307E-4</v>
      </c>
      <c r="L2783" t="s">
        <v>162</v>
      </c>
      <c r="N2783" t="s">
        <v>348</v>
      </c>
      <c r="O2783" t="s">
        <v>161</v>
      </c>
      <c r="P2783">
        <v>4.645773603606243E-2</v>
      </c>
      <c r="Q2783" t="s">
        <v>162</v>
      </c>
      <c r="S2783" t="s">
        <v>460</v>
      </c>
      <c r="T2783" t="s">
        <v>161</v>
      </c>
      <c r="U2783">
        <v>3.16372956840432E-2</v>
      </c>
      <c r="V2783" t="s">
        <v>162</v>
      </c>
    </row>
    <row r="2784" spans="9:22" x14ac:dyDescent="0.45">
      <c r="I2784" t="s">
        <v>236</v>
      </c>
      <c r="J2784" t="s">
        <v>163</v>
      </c>
      <c r="K2784">
        <v>4.3267465696065965E-3</v>
      </c>
      <c r="L2784" t="s">
        <v>162</v>
      </c>
      <c r="N2784" t="s">
        <v>348</v>
      </c>
      <c r="O2784" t="s">
        <v>163</v>
      </c>
      <c r="P2784">
        <v>5.0112421798371356E-3</v>
      </c>
      <c r="Q2784" t="s">
        <v>162</v>
      </c>
      <c r="S2784" t="s">
        <v>460</v>
      </c>
      <c r="T2784" t="s">
        <v>163</v>
      </c>
      <c r="U2784">
        <v>3.2893360868534328E-3</v>
      </c>
      <c r="V2784" t="s">
        <v>162</v>
      </c>
    </row>
    <row r="2785" spans="9:22" x14ac:dyDescent="0.45">
      <c r="I2785" t="s">
        <v>236</v>
      </c>
      <c r="J2785" t="s">
        <v>164</v>
      </c>
      <c r="K2785">
        <v>1.3282547389598488E-2</v>
      </c>
      <c r="L2785" t="s">
        <v>162</v>
      </c>
      <c r="N2785" t="s">
        <v>348</v>
      </c>
      <c r="O2785" t="s">
        <v>164</v>
      </c>
      <c r="P2785">
        <v>9.8812583943835419E-3</v>
      </c>
      <c r="Q2785" t="s">
        <v>162</v>
      </c>
      <c r="S2785" t="s">
        <v>460</v>
      </c>
      <c r="T2785" t="s">
        <v>164</v>
      </c>
      <c r="U2785">
        <v>6.5196805095249074E-3</v>
      </c>
      <c r="V2785" t="s">
        <v>162</v>
      </c>
    </row>
    <row r="2786" spans="9:22" x14ac:dyDescent="0.45">
      <c r="I2786" t="s">
        <v>236</v>
      </c>
      <c r="J2786" t="s">
        <v>519</v>
      </c>
      <c r="K2786">
        <v>2.6987191604627179E-2</v>
      </c>
      <c r="L2786" t="s">
        <v>162</v>
      </c>
      <c r="N2786" t="s">
        <v>348</v>
      </c>
      <c r="O2786" t="s">
        <v>519</v>
      </c>
      <c r="P2786">
        <v>2.5143966594009595E-2</v>
      </c>
      <c r="Q2786" t="s">
        <v>162</v>
      </c>
      <c r="S2786" t="s">
        <v>460</v>
      </c>
      <c r="T2786" t="s">
        <v>519</v>
      </c>
      <c r="U2786">
        <v>1.7243694063228166E-2</v>
      </c>
      <c r="V2786" t="s">
        <v>162</v>
      </c>
    </row>
    <row r="2787" spans="9:22" x14ac:dyDescent="0.45">
      <c r="I2787" t="s">
        <v>236</v>
      </c>
      <c r="J2787" t="s">
        <v>520</v>
      </c>
      <c r="K2787">
        <v>0</v>
      </c>
      <c r="L2787" t="s">
        <v>162</v>
      </c>
      <c r="N2787" t="s">
        <v>348</v>
      </c>
      <c r="O2787" t="s">
        <v>520</v>
      </c>
      <c r="P2787">
        <v>5.3250115329569877E-3</v>
      </c>
      <c r="Q2787" t="s">
        <v>162</v>
      </c>
      <c r="S2787" t="s">
        <v>460</v>
      </c>
      <c r="T2787" t="s">
        <v>520</v>
      </c>
      <c r="U2787">
        <v>3.6488178337466355E-3</v>
      </c>
      <c r="V2787" t="s">
        <v>162</v>
      </c>
    </row>
    <row r="2788" spans="9:22" x14ac:dyDescent="0.45">
      <c r="I2788" t="s">
        <v>236</v>
      </c>
      <c r="J2788" t="s">
        <v>521</v>
      </c>
      <c r="K2788">
        <v>0</v>
      </c>
      <c r="L2788" t="s">
        <v>162</v>
      </c>
      <c r="N2788" t="s">
        <v>348</v>
      </c>
      <c r="O2788" t="s">
        <v>521</v>
      </c>
      <c r="P2788">
        <v>3.1448880748780307E-2</v>
      </c>
      <c r="Q2788" t="s">
        <v>162</v>
      </c>
      <c r="S2788" t="s">
        <v>460</v>
      </c>
      <c r="T2788" t="s">
        <v>521</v>
      </c>
      <c r="U2788">
        <v>2.3131857144368682E-2</v>
      </c>
      <c r="V2788" t="s">
        <v>162</v>
      </c>
    </row>
    <row r="2789" spans="9:22" x14ac:dyDescent="0.45">
      <c r="I2789" t="s">
        <v>236</v>
      </c>
      <c r="J2789" t="s">
        <v>165</v>
      </c>
      <c r="K2789">
        <v>1.6758581411777197E-2</v>
      </c>
      <c r="L2789" t="s">
        <v>162</v>
      </c>
      <c r="N2789" t="s">
        <v>348</v>
      </c>
      <c r="O2789" t="s">
        <v>165</v>
      </c>
      <c r="P2789">
        <v>6.6617980754344663E-2</v>
      </c>
      <c r="Q2789" t="s">
        <v>162</v>
      </c>
      <c r="S2789" t="s">
        <v>460</v>
      </c>
      <c r="T2789" t="s">
        <v>165</v>
      </c>
      <c r="U2789">
        <v>5.5701094311559035E-2</v>
      </c>
      <c r="V2789" t="s">
        <v>162</v>
      </c>
    </row>
    <row r="2790" spans="9:22" x14ac:dyDescent="0.45">
      <c r="I2790" t="s">
        <v>236</v>
      </c>
      <c r="J2790" t="s">
        <v>166</v>
      </c>
      <c r="K2790">
        <v>1.5630846653272489E-2</v>
      </c>
      <c r="L2790" t="s">
        <v>162</v>
      </c>
      <c r="N2790" t="s">
        <v>348</v>
      </c>
      <c r="O2790" t="s">
        <v>166</v>
      </c>
      <c r="P2790">
        <v>7.3802863491529763E-3</v>
      </c>
      <c r="Q2790" t="s">
        <v>162</v>
      </c>
      <c r="S2790" t="s">
        <v>460</v>
      </c>
      <c r="T2790" t="s">
        <v>166</v>
      </c>
      <c r="U2790">
        <v>6.3815388483351027E-3</v>
      </c>
      <c r="V2790" t="s">
        <v>162</v>
      </c>
    </row>
    <row r="2791" spans="9:22" x14ac:dyDescent="0.45">
      <c r="I2791" t="s">
        <v>236</v>
      </c>
      <c r="J2791" t="s">
        <v>167</v>
      </c>
      <c r="K2791">
        <v>3.6763979166987419E-2</v>
      </c>
      <c r="L2791" t="s">
        <v>162</v>
      </c>
      <c r="N2791" t="s">
        <v>348</v>
      </c>
      <c r="O2791" t="s">
        <v>167</v>
      </c>
      <c r="P2791">
        <v>1.4601706344641734E-2</v>
      </c>
      <c r="Q2791" t="s">
        <v>162</v>
      </c>
      <c r="S2791" t="s">
        <v>460</v>
      </c>
      <c r="T2791" t="s">
        <v>167</v>
      </c>
      <c r="U2791">
        <v>1.218903169117636E-2</v>
      </c>
      <c r="V2791" t="s">
        <v>162</v>
      </c>
    </row>
    <row r="2792" spans="9:22" x14ac:dyDescent="0.45">
      <c r="I2792" t="s">
        <v>236</v>
      </c>
      <c r="J2792" t="s">
        <v>522</v>
      </c>
      <c r="K2792">
        <v>8.3547008500849743E-2</v>
      </c>
      <c r="L2792" t="s">
        <v>162</v>
      </c>
      <c r="N2792" t="s">
        <v>348</v>
      </c>
      <c r="O2792" t="s">
        <v>522</v>
      </c>
      <c r="P2792">
        <v>3.6481428747009402E-2</v>
      </c>
      <c r="Q2792" t="s">
        <v>162</v>
      </c>
      <c r="S2792" t="s">
        <v>460</v>
      </c>
      <c r="T2792" t="s">
        <v>522</v>
      </c>
      <c r="U2792">
        <v>3.0371663665670394E-2</v>
      </c>
      <c r="V2792" t="s">
        <v>162</v>
      </c>
    </row>
    <row r="2793" spans="9:22" x14ac:dyDescent="0.45">
      <c r="I2793" t="s">
        <v>236</v>
      </c>
      <c r="J2793" t="s">
        <v>523</v>
      </c>
      <c r="K2793">
        <v>7.9568759961232347E-3</v>
      </c>
      <c r="L2793" t="s">
        <v>162</v>
      </c>
      <c r="N2793" t="s">
        <v>348</v>
      </c>
      <c r="O2793" t="s">
        <v>523</v>
      </c>
      <c r="P2793">
        <v>7.5568701957058606E-3</v>
      </c>
      <c r="Q2793" t="s">
        <v>162</v>
      </c>
      <c r="S2793" t="s">
        <v>460</v>
      </c>
      <c r="T2793" t="s">
        <v>523</v>
      </c>
      <c r="U2793">
        <v>6.4492322292416179E-3</v>
      </c>
      <c r="V2793" t="s">
        <v>162</v>
      </c>
    </row>
    <row r="2794" spans="9:22" x14ac:dyDescent="0.45">
      <c r="I2794" t="s">
        <v>236</v>
      </c>
      <c r="J2794" t="s">
        <v>524</v>
      </c>
      <c r="K2794">
        <v>2.3510428815342885E-3</v>
      </c>
      <c r="L2794" t="s">
        <v>162</v>
      </c>
      <c r="N2794" t="s">
        <v>348</v>
      </c>
      <c r="O2794" t="s">
        <v>524</v>
      </c>
      <c r="P2794">
        <v>4.4162188602176751E-2</v>
      </c>
      <c r="Q2794" t="s">
        <v>162</v>
      </c>
      <c r="S2794" t="s">
        <v>460</v>
      </c>
      <c r="T2794" t="s">
        <v>524</v>
      </c>
      <c r="U2794">
        <v>3.8872862841011671E-2</v>
      </c>
      <c r="V2794" t="s">
        <v>162</v>
      </c>
    </row>
    <row r="2795" spans="9:22" x14ac:dyDescent="0.45">
      <c r="I2795" t="s">
        <v>236</v>
      </c>
      <c r="J2795" t="s">
        <v>168</v>
      </c>
      <c r="K2795">
        <v>2.0233109685854046E-2</v>
      </c>
      <c r="L2795" t="s">
        <v>162</v>
      </c>
      <c r="N2795" t="s">
        <v>348</v>
      </c>
      <c r="O2795" t="s">
        <v>168</v>
      </c>
      <c r="P2795">
        <v>2.9306363951959062E-2</v>
      </c>
      <c r="Q2795" t="s">
        <v>162</v>
      </c>
      <c r="S2795" t="s">
        <v>460</v>
      </c>
      <c r="T2795" t="s">
        <v>168</v>
      </c>
      <c r="U2795">
        <v>4.1149528175432049E-2</v>
      </c>
      <c r="V2795" t="s">
        <v>162</v>
      </c>
    </row>
    <row r="2796" spans="9:22" x14ac:dyDescent="0.45">
      <c r="I2796" t="s">
        <v>236</v>
      </c>
      <c r="J2796" t="s">
        <v>169</v>
      </c>
      <c r="K2796">
        <v>1.0134450231338554E-2</v>
      </c>
      <c r="L2796" t="s">
        <v>162</v>
      </c>
      <c r="N2796" t="s">
        <v>348</v>
      </c>
      <c r="O2796" t="s">
        <v>169</v>
      </c>
      <c r="P2796">
        <v>3.1247493542550017E-3</v>
      </c>
      <c r="Q2796" t="s">
        <v>162</v>
      </c>
      <c r="S2796" t="s">
        <v>460</v>
      </c>
      <c r="T2796" t="s">
        <v>169</v>
      </c>
      <c r="U2796">
        <v>4.3405607426887224E-3</v>
      </c>
      <c r="V2796" t="s">
        <v>162</v>
      </c>
    </row>
    <row r="2797" spans="9:22" x14ac:dyDescent="0.45">
      <c r="I2797" t="s">
        <v>236</v>
      </c>
      <c r="J2797" t="s">
        <v>170</v>
      </c>
      <c r="K2797">
        <v>2.1292862156257485E-2</v>
      </c>
      <c r="L2797" t="s">
        <v>162</v>
      </c>
      <c r="N2797" t="s">
        <v>348</v>
      </c>
      <c r="O2797" t="s">
        <v>170</v>
      </c>
      <c r="P2797">
        <v>6.310384088666147E-3</v>
      </c>
      <c r="Q2797" t="s">
        <v>162</v>
      </c>
      <c r="S2797" t="s">
        <v>460</v>
      </c>
      <c r="T2797" t="s">
        <v>170</v>
      </c>
      <c r="U2797">
        <v>8.8026494564261721E-3</v>
      </c>
      <c r="V2797" t="s">
        <v>162</v>
      </c>
    </row>
    <row r="2798" spans="9:22" x14ac:dyDescent="0.45">
      <c r="I2798" t="s">
        <v>236</v>
      </c>
      <c r="J2798" t="s">
        <v>525</v>
      </c>
      <c r="K2798">
        <v>4.8852714516491202E-2</v>
      </c>
      <c r="L2798" t="s">
        <v>162</v>
      </c>
      <c r="N2798" t="s">
        <v>348</v>
      </c>
      <c r="O2798" t="s">
        <v>525</v>
      </c>
      <c r="P2798">
        <v>1.6637605612042757E-2</v>
      </c>
      <c r="Q2798" t="s">
        <v>162</v>
      </c>
      <c r="S2798" t="s">
        <v>460</v>
      </c>
      <c r="T2798" t="s">
        <v>525</v>
      </c>
      <c r="U2798">
        <v>2.3934575870779216E-2</v>
      </c>
      <c r="V2798" t="s">
        <v>162</v>
      </c>
    </row>
    <row r="2799" spans="9:22" x14ac:dyDescent="0.45">
      <c r="I2799" t="s">
        <v>236</v>
      </c>
      <c r="J2799" t="s">
        <v>526</v>
      </c>
      <c r="K2799">
        <v>6.711922722463153E-3</v>
      </c>
      <c r="L2799" t="s">
        <v>162</v>
      </c>
      <c r="N2799" t="s">
        <v>348</v>
      </c>
      <c r="O2799" t="s">
        <v>526</v>
      </c>
      <c r="P2799">
        <v>3.306814828925842E-3</v>
      </c>
      <c r="Q2799" t="s">
        <v>162</v>
      </c>
      <c r="S2799" t="s">
        <v>460</v>
      </c>
      <c r="T2799" t="s">
        <v>526</v>
      </c>
      <c r="U2799">
        <v>4.7198995605916101E-3</v>
      </c>
      <c r="V2799" t="s">
        <v>162</v>
      </c>
    </row>
    <row r="2800" spans="9:22" x14ac:dyDescent="0.45">
      <c r="I2800" t="s">
        <v>236</v>
      </c>
      <c r="J2800" t="s">
        <v>527</v>
      </c>
      <c r="K2800">
        <v>5.1315127669315673E-3</v>
      </c>
      <c r="L2800" t="s">
        <v>162</v>
      </c>
      <c r="N2800" t="s">
        <v>348</v>
      </c>
      <c r="O2800" t="s">
        <v>527</v>
      </c>
      <c r="P2800">
        <v>1.963932348230675E-2</v>
      </c>
      <c r="Q2800" t="s">
        <v>162</v>
      </c>
      <c r="S2800" t="s">
        <v>460</v>
      </c>
      <c r="T2800" t="s">
        <v>527</v>
      </c>
      <c r="U2800">
        <v>2.6130486744705628E-2</v>
      </c>
      <c r="V2800" t="s">
        <v>162</v>
      </c>
    </row>
    <row r="2801" spans="9:22" x14ac:dyDescent="0.45">
      <c r="I2801" t="s">
        <v>236</v>
      </c>
      <c r="J2801" t="s">
        <v>528</v>
      </c>
      <c r="K2801">
        <v>7.6373736397671893E-2</v>
      </c>
      <c r="L2801" t="s">
        <v>162</v>
      </c>
      <c r="N2801" t="s">
        <v>348</v>
      </c>
      <c r="O2801" t="s">
        <v>528</v>
      </c>
      <c r="P2801">
        <v>7.3143753749764132E-2</v>
      </c>
      <c r="Q2801" t="s">
        <v>162</v>
      </c>
      <c r="S2801" t="s">
        <v>460</v>
      </c>
      <c r="T2801" t="s">
        <v>528</v>
      </c>
      <c r="U2801">
        <v>8.6318852218187025E-2</v>
      </c>
      <c r="V2801" t="s">
        <v>162</v>
      </c>
    </row>
    <row r="2802" spans="9:22" x14ac:dyDescent="0.45">
      <c r="I2802" t="s">
        <v>236</v>
      </c>
      <c r="J2802" t="s">
        <v>529</v>
      </c>
      <c r="K2802">
        <v>2.8780194845988996E-2</v>
      </c>
      <c r="L2802" t="s">
        <v>162</v>
      </c>
      <c r="N2802" t="s">
        <v>348</v>
      </c>
      <c r="O2802" t="s">
        <v>529</v>
      </c>
      <c r="P2802">
        <v>7.781035821887005E-3</v>
      </c>
      <c r="Q2802" t="s">
        <v>162</v>
      </c>
      <c r="S2802" t="s">
        <v>460</v>
      </c>
      <c r="T2802" t="s">
        <v>529</v>
      </c>
      <c r="U2802">
        <v>8.5210286085665495E-3</v>
      </c>
      <c r="V2802" t="s">
        <v>162</v>
      </c>
    </row>
    <row r="2803" spans="9:22" x14ac:dyDescent="0.45">
      <c r="I2803" t="s">
        <v>236</v>
      </c>
      <c r="J2803" t="s">
        <v>530</v>
      </c>
      <c r="K2803">
        <v>5.8643528834437707E-2</v>
      </c>
      <c r="L2803" t="s">
        <v>162</v>
      </c>
      <c r="N2803" t="s">
        <v>348</v>
      </c>
      <c r="O2803" t="s">
        <v>530</v>
      </c>
      <c r="P2803">
        <v>1.594593490102127E-2</v>
      </c>
      <c r="Q2803" t="s">
        <v>162</v>
      </c>
      <c r="S2803" t="s">
        <v>460</v>
      </c>
      <c r="T2803" t="s">
        <v>530</v>
      </c>
      <c r="U2803">
        <v>1.6924817044728615E-2</v>
      </c>
      <c r="V2803" t="s">
        <v>162</v>
      </c>
    </row>
    <row r="2804" spans="9:22" x14ac:dyDescent="0.45">
      <c r="I2804" t="s">
        <v>236</v>
      </c>
      <c r="J2804" t="s">
        <v>531</v>
      </c>
      <c r="K2804">
        <v>0.1326171819446427</v>
      </c>
      <c r="L2804" t="s">
        <v>162</v>
      </c>
      <c r="N2804" t="s">
        <v>348</v>
      </c>
      <c r="O2804" t="s">
        <v>531</v>
      </c>
      <c r="P2804">
        <v>4.2221408539100454E-2</v>
      </c>
      <c r="Q2804" t="s">
        <v>162</v>
      </c>
      <c r="S2804" t="s">
        <v>460</v>
      </c>
      <c r="T2804" t="s">
        <v>531</v>
      </c>
      <c r="U2804">
        <v>4.2429662275602846E-2</v>
      </c>
      <c r="V2804" t="s">
        <v>162</v>
      </c>
    </row>
    <row r="2805" spans="9:22" x14ac:dyDescent="0.45">
      <c r="I2805" t="s">
        <v>236</v>
      </c>
      <c r="J2805" t="s">
        <v>532</v>
      </c>
      <c r="K2805">
        <v>1.9892923290612256E-2</v>
      </c>
      <c r="L2805" t="s">
        <v>162</v>
      </c>
      <c r="N2805" t="s">
        <v>348</v>
      </c>
      <c r="O2805" t="s">
        <v>532</v>
      </c>
      <c r="P2805">
        <v>8.4335537114048151E-3</v>
      </c>
      <c r="Q2805" t="s">
        <v>162</v>
      </c>
      <c r="S2805" t="s">
        <v>460</v>
      </c>
      <c r="T2805" t="s">
        <v>532</v>
      </c>
      <c r="U2805">
        <v>8.6100012398197135E-3</v>
      </c>
      <c r="V2805" t="s">
        <v>162</v>
      </c>
    </row>
    <row r="2806" spans="9:22" x14ac:dyDescent="0.45">
      <c r="I2806" t="s">
        <v>236</v>
      </c>
      <c r="J2806" t="s">
        <v>533</v>
      </c>
      <c r="K2806">
        <v>2.6198476545330668E-2</v>
      </c>
      <c r="L2806" t="s">
        <v>162</v>
      </c>
      <c r="N2806" t="s">
        <v>348</v>
      </c>
      <c r="O2806" t="s">
        <v>533</v>
      </c>
      <c r="P2806">
        <v>4.8734424518955981E-2</v>
      </c>
      <c r="Q2806" t="s">
        <v>162</v>
      </c>
      <c r="S2806" t="s">
        <v>460</v>
      </c>
      <c r="T2806" t="s">
        <v>533</v>
      </c>
      <c r="U2806">
        <v>5.2801351477111173E-2</v>
      </c>
      <c r="V2806" t="s">
        <v>162</v>
      </c>
    </row>
    <row r="2807" spans="9:22" x14ac:dyDescent="0.45">
      <c r="I2807" t="s">
        <v>236</v>
      </c>
      <c r="J2807" t="s">
        <v>534</v>
      </c>
      <c r="K2807">
        <v>4.7077835990097253E-2</v>
      </c>
      <c r="L2807" t="s">
        <v>162</v>
      </c>
      <c r="N2807" t="s">
        <v>348</v>
      </c>
      <c r="O2807" t="s">
        <v>534</v>
      </c>
      <c r="P2807">
        <v>7.5888133597956028E-2</v>
      </c>
      <c r="Q2807" t="s">
        <v>162</v>
      </c>
      <c r="S2807" t="s">
        <v>460</v>
      </c>
      <c r="T2807" t="s">
        <v>534</v>
      </c>
      <c r="U2807">
        <v>9.9998645102657574E-2</v>
      </c>
      <c r="V2807" t="s">
        <v>162</v>
      </c>
    </row>
    <row r="2808" spans="9:22" x14ac:dyDescent="0.45">
      <c r="I2808" t="s">
        <v>236</v>
      </c>
      <c r="J2808" t="s">
        <v>535</v>
      </c>
      <c r="K2808">
        <v>2.5458912720883665E-2</v>
      </c>
      <c r="L2808" t="s">
        <v>162</v>
      </c>
      <c r="N2808" t="s">
        <v>348</v>
      </c>
      <c r="O2808" t="s">
        <v>535</v>
      </c>
      <c r="P2808">
        <v>8.2675038129969968E-3</v>
      </c>
      <c r="Q2808" t="s">
        <v>162</v>
      </c>
      <c r="S2808" t="s">
        <v>460</v>
      </c>
      <c r="T2808" t="s">
        <v>535</v>
      </c>
      <c r="U2808">
        <v>1.0241795999737993E-2</v>
      </c>
      <c r="V2808" t="s">
        <v>162</v>
      </c>
    </row>
    <row r="2809" spans="9:22" x14ac:dyDescent="0.45">
      <c r="I2809" t="s">
        <v>236</v>
      </c>
      <c r="J2809" t="s">
        <v>536</v>
      </c>
      <c r="K2809">
        <v>5.1898777834619297E-2</v>
      </c>
      <c r="L2809" t="s">
        <v>162</v>
      </c>
      <c r="N2809" t="s">
        <v>348</v>
      </c>
      <c r="O2809" t="s">
        <v>536</v>
      </c>
      <c r="P2809">
        <v>1.6802694330258161E-2</v>
      </c>
      <c r="Q2809" t="s">
        <v>162</v>
      </c>
      <c r="S2809" t="s">
        <v>460</v>
      </c>
      <c r="T2809" t="s">
        <v>536</v>
      </c>
      <c r="U2809">
        <v>1.9800493256576079E-2</v>
      </c>
      <c r="V2809" t="s">
        <v>162</v>
      </c>
    </row>
    <row r="2810" spans="9:22" x14ac:dyDescent="0.45">
      <c r="I2810" t="s">
        <v>236</v>
      </c>
      <c r="J2810" t="s">
        <v>537</v>
      </c>
      <c r="K2810">
        <v>0.11327922412298712</v>
      </c>
      <c r="L2810" t="s">
        <v>162</v>
      </c>
      <c r="N2810" t="s">
        <v>348</v>
      </c>
      <c r="O2810" t="s">
        <v>537</v>
      </c>
      <c r="P2810">
        <v>4.3939981719119753E-2</v>
      </c>
      <c r="Q2810" t="s">
        <v>162</v>
      </c>
      <c r="S2810" t="s">
        <v>460</v>
      </c>
      <c r="T2810" t="s">
        <v>537</v>
      </c>
      <c r="U2810">
        <v>5.0092112662588915E-2</v>
      </c>
      <c r="V2810" t="s">
        <v>162</v>
      </c>
    </row>
    <row r="2811" spans="9:22" x14ac:dyDescent="0.45">
      <c r="I2811" t="s">
        <v>236</v>
      </c>
      <c r="J2811" t="s">
        <v>538</v>
      </c>
      <c r="K2811">
        <v>1.3048184642602004E-2</v>
      </c>
      <c r="L2811" t="s">
        <v>162</v>
      </c>
      <c r="N2811" t="s">
        <v>348</v>
      </c>
      <c r="O2811" t="s">
        <v>538</v>
      </c>
      <c r="P2811">
        <v>8.5198743827130247E-3</v>
      </c>
      <c r="Q2811" t="s">
        <v>162</v>
      </c>
      <c r="S2811" t="s">
        <v>460</v>
      </c>
      <c r="T2811" t="s">
        <v>538</v>
      </c>
      <c r="U2811">
        <v>1.0761433435640816E-2</v>
      </c>
      <c r="V2811" t="s">
        <v>162</v>
      </c>
    </row>
    <row r="2812" spans="9:22" x14ac:dyDescent="0.45">
      <c r="I2812" t="s">
        <v>236</v>
      </c>
      <c r="J2812" t="s">
        <v>539</v>
      </c>
      <c r="K2812">
        <v>8.9446760223203265E-3</v>
      </c>
      <c r="L2812" t="s">
        <v>162</v>
      </c>
      <c r="N2812" t="s">
        <v>348</v>
      </c>
      <c r="O2812" t="s">
        <v>539</v>
      </c>
      <c r="P2812">
        <v>5.101424667582518E-2</v>
      </c>
      <c r="Q2812" t="s">
        <v>162</v>
      </c>
      <c r="S2812" t="s">
        <v>460</v>
      </c>
      <c r="T2812" t="s">
        <v>539</v>
      </c>
      <c r="U2812">
        <v>6.8756269176468876E-2</v>
      </c>
      <c r="V2812" t="s">
        <v>162</v>
      </c>
    </row>
    <row r="2813" spans="9:22" x14ac:dyDescent="0.45">
      <c r="I2813" t="s">
        <v>236</v>
      </c>
      <c r="J2813" t="s">
        <v>540</v>
      </c>
      <c r="K2813">
        <v>2.9340982759489534E-3</v>
      </c>
      <c r="L2813" t="s">
        <v>162</v>
      </c>
      <c r="N2813" t="s">
        <v>348</v>
      </c>
      <c r="O2813" t="s">
        <v>540</v>
      </c>
      <c r="P2813">
        <v>3.6158784703967904E-2</v>
      </c>
      <c r="Q2813" t="s">
        <v>162</v>
      </c>
      <c r="S2813" t="s">
        <v>460</v>
      </c>
      <c r="T2813" t="s">
        <v>540</v>
      </c>
      <c r="U2813">
        <v>3.2980466079357174E-2</v>
      </c>
      <c r="V2813" t="s">
        <v>162</v>
      </c>
    </row>
    <row r="2814" spans="9:22" x14ac:dyDescent="0.45">
      <c r="I2814" t="s">
        <v>236</v>
      </c>
      <c r="J2814" t="s">
        <v>541</v>
      </c>
      <c r="K2814">
        <v>4.6002237794563082E-3</v>
      </c>
      <c r="L2814" t="s">
        <v>162</v>
      </c>
      <c r="N2814" t="s">
        <v>348</v>
      </c>
      <c r="O2814" t="s">
        <v>541</v>
      </c>
      <c r="P2814">
        <v>3.9891504992838498E-3</v>
      </c>
      <c r="Q2814" t="s">
        <v>162</v>
      </c>
      <c r="S2814" t="s">
        <v>460</v>
      </c>
      <c r="T2814" t="s">
        <v>541</v>
      </c>
      <c r="U2814">
        <v>3.6193181689046063E-3</v>
      </c>
      <c r="V2814" t="s">
        <v>162</v>
      </c>
    </row>
    <row r="2815" spans="9:22" x14ac:dyDescent="0.45">
      <c r="I2815" t="s">
        <v>236</v>
      </c>
      <c r="J2815" t="s">
        <v>542</v>
      </c>
      <c r="K2815">
        <v>1.0828042948365927E-2</v>
      </c>
      <c r="L2815" t="s">
        <v>162</v>
      </c>
      <c r="N2815" t="s">
        <v>348</v>
      </c>
      <c r="O2815" t="s">
        <v>542</v>
      </c>
      <c r="P2815">
        <v>7.9997169533646585E-3</v>
      </c>
      <c r="Q2815" t="s">
        <v>162</v>
      </c>
      <c r="S2815" t="s">
        <v>460</v>
      </c>
      <c r="T2815" t="s">
        <v>542</v>
      </c>
      <c r="U2815">
        <v>7.0985245944187375E-3</v>
      </c>
      <c r="V2815" t="s">
        <v>162</v>
      </c>
    </row>
    <row r="2816" spans="9:22" x14ac:dyDescent="0.45">
      <c r="I2816" t="s">
        <v>236</v>
      </c>
      <c r="J2816" t="s">
        <v>543</v>
      </c>
      <c r="K2816">
        <v>2.1476371661549205E-2</v>
      </c>
      <c r="L2816" t="s">
        <v>162</v>
      </c>
      <c r="N2816" t="s">
        <v>348</v>
      </c>
      <c r="O2816" t="s">
        <v>543</v>
      </c>
      <c r="P2816">
        <v>2.0342735090456483E-2</v>
      </c>
      <c r="Q2816" t="s">
        <v>162</v>
      </c>
      <c r="S2816" t="s">
        <v>460</v>
      </c>
      <c r="T2816" t="s">
        <v>543</v>
      </c>
      <c r="U2816">
        <v>1.6506920253519925E-2</v>
      </c>
      <c r="V2816" t="s">
        <v>162</v>
      </c>
    </row>
    <row r="2817" spans="9:22" x14ac:dyDescent="0.45">
      <c r="I2817" t="s">
        <v>236</v>
      </c>
      <c r="J2817" t="s">
        <v>544</v>
      </c>
      <c r="K2817">
        <v>0</v>
      </c>
      <c r="L2817" t="s">
        <v>162</v>
      </c>
      <c r="N2817" t="s">
        <v>348</v>
      </c>
      <c r="O2817" t="s">
        <v>544</v>
      </c>
      <c r="P2817">
        <v>4.2404512981441978E-3</v>
      </c>
      <c r="Q2817" t="s">
        <v>162</v>
      </c>
      <c r="S2817" t="s">
        <v>460</v>
      </c>
      <c r="T2817" t="s">
        <v>544</v>
      </c>
      <c r="U2817">
        <v>3.1934597200743826E-3</v>
      </c>
      <c r="V2817" t="s">
        <v>162</v>
      </c>
    </row>
    <row r="2818" spans="9:22" x14ac:dyDescent="0.45">
      <c r="I2818" t="s">
        <v>236</v>
      </c>
      <c r="J2818" t="s">
        <v>545</v>
      </c>
      <c r="K2818">
        <v>0</v>
      </c>
      <c r="L2818" t="s">
        <v>162</v>
      </c>
      <c r="N2818" t="s">
        <v>348</v>
      </c>
      <c r="O2818" t="s">
        <v>545</v>
      </c>
      <c r="P2818">
        <v>2.6125858945117576E-2</v>
      </c>
      <c r="Q2818" t="s">
        <v>162</v>
      </c>
      <c r="S2818" t="s">
        <v>460</v>
      </c>
      <c r="T2818" t="s">
        <v>545</v>
      </c>
      <c r="U2818">
        <v>1.9163502091957777E-2</v>
      </c>
      <c r="V2818" t="s">
        <v>162</v>
      </c>
    </row>
    <row r="2819" spans="9:22" x14ac:dyDescent="0.45">
      <c r="I2819" t="s">
        <v>236</v>
      </c>
      <c r="J2819" t="s">
        <v>546</v>
      </c>
      <c r="K2819">
        <v>3.0023244803670902E-4</v>
      </c>
      <c r="L2819" t="s">
        <v>162</v>
      </c>
      <c r="N2819" t="s">
        <v>348</v>
      </c>
      <c r="O2819" t="s">
        <v>546</v>
      </c>
      <c r="P2819">
        <v>4.6442929972517068E-2</v>
      </c>
      <c r="Q2819" t="s">
        <v>162</v>
      </c>
      <c r="S2819" t="s">
        <v>460</v>
      </c>
      <c r="T2819" t="s">
        <v>546</v>
      </c>
      <c r="U2819">
        <v>3.7010324766821527E-2</v>
      </c>
      <c r="V2819" t="s">
        <v>162</v>
      </c>
    </row>
    <row r="2820" spans="9:22" x14ac:dyDescent="0.45">
      <c r="I2820" t="s">
        <v>236</v>
      </c>
      <c r="J2820" t="s">
        <v>547</v>
      </c>
      <c r="K2820">
        <v>4.3212057972537334E-3</v>
      </c>
      <c r="L2820" t="s">
        <v>162</v>
      </c>
      <c r="N2820" t="s">
        <v>348</v>
      </c>
      <c r="O2820" t="s">
        <v>547</v>
      </c>
      <c r="P2820">
        <v>5.1914077090771784E-3</v>
      </c>
      <c r="Q2820" t="s">
        <v>162</v>
      </c>
      <c r="S2820" t="s">
        <v>460</v>
      </c>
      <c r="T2820" t="s">
        <v>547</v>
      </c>
      <c r="U2820">
        <v>4.0847584373002576E-3</v>
      </c>
      <c r="V2820" t="s">
        <v>162</v>
      </c>
    </row>
    <row r="2821" spans="9:22" x14ac:dyDescent="0.45">
      <c r="I2821" t="s">
        <v>236</v>
      </c>
      <c r="J2821" t="s">
        <v>548</v>
      </c>
      <c r="K2821">
        <v>1.2436067474057786E-2</v>
      </c>
      <c r="L2821" t="s">
        <v>162</v>
      </c>
      <c r="N2821" t="s">
        <v>348</v>
      </c>
      <c r="O2821" t="s">
        <v>548</v>
      </c>
      <c r="P2821">
        <v>1.0196633325513736E-2</v>
      </c>
      <c r="Q2821" t="s">
        <v>162</v>
      </c>
      <c r="S2821" t="s">
        <v>460</v>
      </c>
      <c r="T2821" t="s">
        <v>548</v>
      </c>
      <c r="U2821">
        <v>8.1249266639987095E-3</v>
      </c>
      <c r="V2821" t="s">
        <v>162</v>
      </c>
    </row>
    <row r="2822" spans="9:22" x14ac:dyDescent="0.45">
      <c r="I2822" t="s">
        <v>236</v>
      </c>
      <c r="J2822" t="s">
        <v>549</v>
      </c>
      <c r="K2822">
        <v>2.0307667399963758E-2</v>
      </c>
      <c r="L2822" t="s">
        <v>162</v>
      </c>
      <c r="N2822" t="s">
        <v>348</v>
      </c>
      <c r="O2822" t="s">
        <v>549</v>
      </c>
      <c r="P2822">
        <v>2.4736260940814152E-2</v>
      </c>
      <c r="Q2822" t="s">
        <v>162</v>
      </c>
      <c r="S2822" t="s">
        <v>460</v>
      </c>
      <c r="T2822" t="s">
        <v>549</v>
      </c>
      <c r="U2822">
        <v>2.0376147875752162E-2</v>
      </c>
      <c r="V2822" t="s">
        <v>162</v>
      </c>
    </row>
    <row r="2823" spans="9:22" x14ac:dyDescent="0.45">
      <c r="I2823" t="s">
        <v>236</v>
      </c>
      <c r="J2823" t="s">
        <v>550</v>
      </c>
      <c r="K2823">
        <v>0</v>
      </c>
      <c r="L2823" t="s">
        <v>162</v>
      </c>
      <c r="N2823" t="s">
        <v>348</v>
      </c>
      <c r="O2823" t="s">
        <v>550</v>
      </c>
      <c r="P2823">
        <v>4.9779665866391638E-3</v>
      </c>
      <c r="Q2823" t="s">
        <v>162</v>
      </c>
      <c r="S2823" t="s">
        <v>460</v>
      </c>
      <c r="T2823" t="s">
        <v>550</v>
      </c>
      <c r="U2823">
        <v>3.9512933258480602E-3</v>
      </c>
      <c r="V2823" t="s">
        <v>162</v>
      </c>
    </row>
    <row r="2824" spans="9:22" x14ac:dyDescent="0.45">
      <c r="I2824" t="s">
        <v>236</v>
      </c>
      <c r="J2824" t="s">
        <v>551</v>
      </c>
      <c r="K2824">
        <v>0</v>
      </c>
      <c r="L2824" t="s">
        <v>162</v>
      </c>
      <c r="N2824" t="s">
        <v>348</v>
      </c>
      <c r="O2824" t="s">
        <v>551</v>
      </c>
      <c r="P2824">
        <v>3.0511760416885508E-2</v>
      </c>
      <c r="Q2824" t="s">
        <v>162</v>
      </c>
      <c r="S2824" t="s">
        <v>460</v>
      </c>
      <c r="T2824" t="s">
        <v>551</v>
      </c>
      <c r="U2824">
        <v>2.4120090064976289E-2</v>
      </c>
      <c r="V2824" t="s">
        <v>162</v>
      </c>
    </row>
    <row r="2825" spans="9:22" x14ac:dyDescent="0.45">
      <c r="I2825" t="s">
        <v>237</v>
      </c>
      <c r="J2825" t="s">
        <v>161</v>
      </c>
      <c r="K2825">
        <v>1.2620437281064931E-3</v>
      </c>
      <c r="L2825" t="s">
        <v>162</v>
      </c>
      <c r="N2825" t="s">
        <v>349</v>
      </c>
      <c r="O2825" t="s">
        <v>161</v>
      </c>
      <c r="P2825">
        <v>3.8345100532641105E-2</v>
      </c>
      <c r="Q2825" t="s">
        <v>162</v>
      </c>
      <c r="S2825" t="s">
        <v>461</v>
      </c>
      <c r="T2825" t="s">
        <v>161</v>
      </c>
      <c r="U2825">
        <v>3.2752931945527933E-2</v>
      </c>
      <c r="V2825" t="s">
        <v>162</v>
      </c>
    </row>
    <row r="2826" spans="9:22" x14ac:dyDescent="0.45">
      <c r="I2826" t="s">
        <v>237</v>
      </c>
      <c r="J2826" t="s">
        <v>163</v>
      </c>
      <c r="K2826">
        <v>3.9412048840290256E-3</v>
      </c>
      <c r="L2826" t="s">
        <v>162</v>
      </c>
      <c r="N2826" t="s">
        <v>349</v>
      </c>
      <c r="O2826" t="s">
        <v>163</v>
      </c>
      <c r="P2826">
        <v>4.3030307285634286E-3</v>
      </c>
      <c r="Q2826" t="s">
        <v>162</v>
      </c>
      <c r="S2826" t="s">
        <v>461</v>
      </c>
      <c r="T2826" t="s">
        <v>163</v>
      </c>
      <c r="U2826">
        <v>3.6406213899915145E-3</v>
      </c>
      <c r="V2826" t="s">
        <v>162</v>
      </c>
    </row>
    <row r="2827" spans="9:22" x14ac:dyDescent="0.45">
      <c r="I2827" t="s">
        <v>237</v>
      </c>
      <c r="J2827" t="s">
        <v>164</v>
      </c>
      <c r="K2827">
        <v>1.1888368857246428E-2</v>
      </c>
      <c r="L2827" t="s">
        <v>162</v>
      </c>
      <c r="N2827" t="s">
        <v>349</v>
      </c>
      <c r="O2827" t="s">
        <v>164</v>
      </c>
      <c r="P2827">
        <v>8.4219574730018624E-3</v>
      </c>
      <c r="Q2827" t="s">
        <v>162</v>
      </c>
      <c r="S2827" t="s">
        <v>461</v>
      </c>
      <c r="T2827" t="s">
        <v>164</v>
      </c>
      <c r="U2827">
        <v>7.5471467731629835E-3</v>
      </c>
      <c r="V2827" t="s">
        <v>162</v>
      </c>
    </row>
    <row r="2828" spans="9:22" x14ac:dyDescent="0.45">
      <c r="I2828" t="s">
        <v>237</v>
      </c>
      <c r="J2828" t="s">
        <v>519</v>
      </c>
      <c r="K2828">
        <v>2.4212049373440046E-2</v>
      </c>
      <c r="L2828" t="s">
        <v>162</v>
      </c>
      <c r="N2828" t="s">
        <v>349</v>
      </c>
      <c r="O2828" t="s">
        <v>519</v>
      </c>
      <c r="P2828">
        <v>2.0154542839886002E-2</v>
      </c>
      <c r="Q2828" t="s">
        <v>162</v>
      </c>
      <c r="S2828" t="s">
        <v>461</v>
      </c>
      <c r="T2828" t="s">
        <v>519</v>
      </c>
      <c r="U2828">
        <v>1.9771603339719557E-2</v>
      </c>
      <c r="V2828" t="s">
        <v>162</v>
      </c>
    </row>
    <row r="2829" spans="9:22" x14ac:dyDescent="0.45">
      <c r="I2829" t="s">
        <v>237</v>
      </c>
      <c r="J2829" t="s">
        <v>520</v>
      </c>
      <c r="K2829">
        <v>0</v>
      </c>
      <c r="L2829" t="s">
        <v>162</v>
      </c>
      <c r="N2829" t="s">
        <v>349</v>
      </c>
      <c r="O2829" t="s">
        <v>520</v>
      </c>
      <c r="P2829">
        <v>4.0974044239895993E-3</v>
      </c>
      <c r="Q2829" t="s">
        <v>162</v>
      </c>
      <c r="S2829" t="s">
        <v>461</v>
      </c>
      <c r="T2829" t="s">
        <v>520</v>
      </c>
      <c r="U2829">
        <v>4.022776657627682E-3</v>
      </c>
      <c r="V2829" t="s">
        <v>162</v>
      </c>
    </row>
    <row r="2830" spans="9:22" x14ac:dyDescent="0.45">
      <c r="I2830" t="s">
        <v>237</v>
      </c>
      <c r="J2830" t="s">
        <v>521</v>
      </c>
      <c r="K2830">
        <v>0</v>
      </c>
      <c r="L2830" t="s">
        <v>162</v>
      </c>
      <c r="N2830" t="s">
        <v>349</v>
      </c>
      <c r="O2830" t="s">
        <v>521</v>
      </c>
      <c r="P2830">
        <v>2.7716191735330135E-2</v>
      </c>
      <c r="Q2830" t="s">
        <v>162</v>
      </c>
      <c r="S2830" t="s">
        <v>461</v>
      </c>
      <c r="T2830" t="s">
        <v>521</v>
      </c>
      <c r="U2830">
        <v>2.4227916278619817E-2</v>
      </c>
      <c r="V2830" t="s">
        <v>162</v>
      </c>
    </row>
    <row r="2831" spans="9:22" x14ac:dyDescent="0.45">
      <c r="I2831" t="s">
        <v>237</v>
      </c>
      <c r="J2831" t="s">
        <v>165</v>
      </c>
      <c r="K2831">
        <v>1.9616209687183483E-2</v>
      </c>
      <c r="L2831" t="s">
        <v>162</v>
      </c>
      <c r="N2831" t="s">
        <v>349</v>
      </c>
      <c r="O2831" t="s">
        <v>165</v>
      </c>
      <c r="P2831">
        <v>5.1628008439969543E-2</v>
      </c>
      <c r="Q2831" t="s">
        <v>162</v>
      </c>
      <c r="S2831" t="s">
        <v>461</v>
      </c>
      <c r="T2831" t="s">
        <v>165</v>
      </c>
      <c r="U2831">
        <v>5.5538332363780314E-2</v>
      </c>
      <c r="V2831" t="s">
        <v>162</v>
      </c>
    </row>
    <row r="2832" spans="9:22" x14ac:dyDescent="0.45">
      <c r="I2832" t="s">
        <v>237</v>
      </c>
      <c r="J2832" t="s">
        <v>166</v>
      </c>
      <c r="K2832">
        <v>1.6435782404513002E-2</v>
      </c>
      <c r="L2832" t="s">
        <v>162</v>
      </c>
      <c r="N2832" t="s">
        <v>349</v>
      </c>
      <c r="O2832" t="s">
        <v>166</v>
      </c>
      <c r="P2832">
        <v>5.2762711694856052E-3</v>
      </c>
      <c r="Q2832" t="s">
        <v>162</v>
      </c>
      <c r="S2832" t="s">
        <v>461</v>
      </c>
      <c r="T2832" t="s">
        <v>166</v>
      </c>
      <c r="U2832">
        <v>5.9842215402719371E-3</v>
      </c>
      <c r="V2832" t="s">
        <v>162</v>
      </c>
    </row>
    <row r="2833" spans="9:22" x14ac:dyDescent="0.45">
      <c r="I2833" t="s">
        <v>237</v>
      </c>
      <c r="J2833" t="s">
        <v>167</v>
      </c>
      <c r="K2833">
        <v>3.7429238202223422E-2</v>
      </c>
      <c r="L2833" t="s">
        <v>162</v>
      </c>
      <c r="N2833" t="s">
        <v>349</v>
      </c>
      <c r="O2833" t="s">
        <v>167</v>
      </c>
      <c r="P2833">
        <v>9.0412707295847942E-3</v>
      </c>
      <c r="Q2833" t="s">
        <v>162</v>
      </c>
      <c r="S2833" t="s">
        <v>461</v>
      </c>
      <c r="T2833" t="s">
        <v>167</v>
      </c>
      <c r="U2833">
        <v>1.1672391584841527E-2</v>
      </c>
      <c r="V2833" t="s">
        <v>162</v>
      </c>
    </row>
    <row r="2834" spans="9:22" x14ac:dyDescent="0.45">
      <c r="I2834" t="s">
        <v>237</v>
      </c>
      <c r="J2834" t="s">
        <v>522</v>
      </c>
      <c r="K2834">
        <v>8.1819301328882446E-2</v>
      </c>
      <c r="L2834" t="s">
        <v>162</v>
      </c>
      <c r="N2834" t="s">
        <v>349</v>
      </c>
      <c r="O2834" t="s">
        <v>522</v>
      </c>
      <c r="P2834">
        <v>2.3118247520248304E-2</v>
      </c>
      <c r="Q2834" t="s">
        <v>162</v>
      </c>
      <c r="S2834" t="s">
        <v>461</v>
      </c>
      <c r="T2834" t="s">
        <v>522</v>
      </c>
      <c r="U2834">
        <v>2.9493746676305582E-2</v>
      </c>
      <c r="V2834" t="s">
        <v>162</v>
      </c>
    </row>
    <row r="2835" spans="9:22" x14ac:dyDescent="0.45">
      <c r="I2835" t="s">
        <v>237</v>
      </c>
      <c r="J2835" t="s">
        <v>523</v>
      </c>
      <c r="K2835">
        <v>6.6355105467065132E-3</v>
      </c>
      <c r="L2835" t="s">
        <v>162</v>
      </c>
      <c r="N2835" t="s">
        <v>349</v>
      </c>
      <c r="O2835" t="s">
        <v>523</v>
      </c>
      <c r="P2835">
        <v>4.7741414097499336E-3</v>
      </c>
      <c r="Q2835" t="s">
        <v>162</v>
      </c>
      <c r="S2835" t="s">
        <v>461</v>
      </c>
      <c r="T2835" t="s">
        <v>523</v>
      </c>
      <c r="U2835">
        <v>6.3508098355490126E-3</v>
      </c>
      <c r="V2835" t="s">
        <v>162</v>
      </c>
    </row>
    <row r="2836" spans="9:22" x14ac:dyDescent="0.45">
      <c r="I2836" t="s">
        <v>237</v>
      </c>
      <c r="J2836" t="s">
        <v>524</v>
      </c>
      <c r="K2836">
        <v>1.1481947397826342E-3</v>
      </c>
      <c r="L2836" t="s">
        <v>162</v>
      </c>
      <c r="N2836" t="s">
        <v>349</v>
      </c>
      <c r="O2836" t="s">
        <v>524</v>
      </c>
      <c r="P2836">
        <v>3.6307187493604981E-2</v>
      </c>
      <c r="Q2836" t="s">
        <v>162</v>
      </c>
      <c r="S2836" t="s">
        <v>461</v>
      </c>
      <c r="T2836" t="s">
        <v>524</v>
      </c>
      <c r="U2836">
        <v>3.9001616645992915E-2</v>
      </c>
      <c r="V2836" t="s">
        <v>162</v>
      </c>
    </row>
    <row r="2837" spans="9:22" x14ac:dyDescent="0.45">
      <c r="I2837" t="s">
        <v>237</v>
      </c>
      <c r="J2837" t="s">
        <v>168</v>
      </c>
      <c r="K2837">
        <v>2.224360433385128E-2</v>
      </c>
      <c r="L2837" t="s">
        <v>162</v>
      </c>
      <c r="N2837" t="s">
        <v>349</v>
      </c>
      <c r="O2837" t="s">
        <v>168</v>
      </c>
      <c r="P2837">
        <v>4.1488405501804028E-2</v>
      </c>
      <c r="Q2837" t="s">
        <v>162</v>
      </c>
      <c r="S2837" t="s">
        <v>461</v>
      </c>
      <c r="T2837" t="s">
        <v>168</v>
      </c>
      <c r="U2837">
        <v>4.1661087907729093E-2</v>
      </c>
      <c r="V2837" t="s">
        <v>162</v>
      </c>
    </row>
    <row r="2838" spans="9:22" x14ac:dyDescent="0.45">
      <c r="I2838" t="s">
        <v>237</v>
      </c>
      <c r="J2838" t="s">
        <v>169</v>
      </c>
      <c r="K2838">
        <v>1.0482492324998774E-2</v>
      </c>
      <c r="L2838" t="s">
        <v>162</v>
      </c>
      <c r="N2838" t="s">
        <v>349</v>
      </c>
      <c r="O2838" t="s">
        <v>169</v>
      </c>
      <c r="P2838">
        <v>3.7354716366739199E-3</v>
      </c>
      <c r="Q2838" t="s">
        <v>162</v>
      </c>
      <c r="S2838" t="s">
        <v>461</v>
      </c>
      <c r="T2838" t="s">
        <v>169</v>
      </c>
      <c r="U2838">
        <v>4.4140932616433225E-3</v>
      </c>
      <c r="V2838" t="s">
        <v>162</v>
      </c>
    </row>
    <row r="2839" spans="9:22" x14ac:dyDescent="0.45">
      <c r="I2839" t="s">
        <v>237</v>
      </c>
      <c r="J2839" t="s">
        <v>170</v>
      </c>
      <c r="K2839">
        <v>2.1837029583031853E-2</v>
      </c>
      <c r="L2839" t="s">
        <v>162</v>
      </c>
      <c r="N2839" t="s">
        <v>349</v>
      </c>
      <c r="O2839" t="s">
        <v>170</v>
      </c>
      <c r="P2839">
        <v>7.615611834167783E-3</v>
      </c>
      <c r="Q2839" t="s">
        <v>162</v>
      </c>
      <c r="S2839" t="s">
        <v>461</v>
      </c>
      <c r="T2839" t="s">
        <v>170</v>
      </c>
      <c r="U2839">
        <v>8.8767410826480989E-3</v>
      </c>
      <c r="V2839" t="s">
        <v>162</v>
      </c>
    </row>
    <row r="2840" spans="9:22" x14ac:dyDescent="0.45">
      <c r="I2840" t="s">
        <v>237</v>
      </c>
      <c r="J2840" t="s">
        <v>525</v>
      </c>
      <c r="K2840">
        <v>4.9210307123971377E-2</v>
      </c>
      <c r="L2840" t="s">
        <v>162</v>
      </c>
      <c r="N2840" t="s">
        <v>349</v>
      </c>
      <c r="O2840" t="s">
        <v>525</v>
      </c>
      <c r="P2840">
        <v>2.2330002452976963E-2</v>
      </c>
      <c r="Q2840" t="s">
        <v>162</v>
      </c>
      <c r="S2840" t="s">
        <v>461</v>
      </c>
      <c r="T2840" t="s">
        <v>525</v>
      </c>
      <c r="U2840">
        <v>2.3153108722039101E-2</v>
      </c>
      <c r="V2840" t="s">
        <v>162</v>
      </c>
    </row>
    <row r="2841" spans="9:22" x14ac:dyDescent="0.45">
      <c r="I2841" t="s">
        <v>237</v>
      </c>
      <c r="J2841" t="s">
        <v>526</v>
      </c>
      <c r="K2841">
        <v>6.379344831001138E-3</v>
      </c>
      <c r="L2841" t="s">
        <v>162</v>
      </c>
      <c r="N2841" t="s">
        <v>349</v>
      </c>
      <c r="O2841" t="s">
        <v>526</v>
      </c>
      <c r="P2841">
        <v>4.6557562252264673E-3</v>
      </c>
      <c r="Q2841" t="s">
        <v>162</v>
      </c>
      <c r="S2841" t="s">
        <v>461</v>
      </c>
      <c r="T2841" t="s">
        <v>526</v>
      </c>
      <c r="U2841">
        <v>4.5165786025626172E-3</v>
      </c>
      <c r="V2841" t="s">
        <v>162</v>
      </c>
    </row>
    <row r="2842" spans="9:22" x14ac:dyDescent="0.45">
      <c r="I2842" t="s">
        <v>237</v>
      </c>
      <c r="J2842" t="s">
        <v>527</v>
      </c>
      <c r="K2842">
        <v>3.9960249201704025E-3</v>
      </c>
      <c r="L2842" t="s">
        <v>162</v>
      </c>
      <c r="N2842" t="s">
        <v>349</v>
      </c>
      <c r="O2842" t="s">
        <v>527</v>
      </c>
      <c r="P2842">
        <v>3.1750736706142819E-2</v>
      </c>
      <c r="Q2842" t="s">
        <v>162</v>
      </c>
      <c r="S2842" t="s">
        <v>461</v>
      </c>
      <c r="T2842" t="s">
        <v>527</v>
      </c>
      <c r="U2842">
        <v>2.5818724433255995E-2</v>
      </c>
      <c r="V2842" t="s">
        <v>162</v>
      </c>
    </row>
    <row r="2843" spans="9:22" x14ac:dyDescent="0.45">
      <c r="I2843" t="s">
        <v>237</v>
      </c>
      <c r="J2843" t="s">
        <v>528</v>
      </c>
      <c r="K2843">
        <v>8.31105652288988E-2</v>
      </c>
      <c r="L2843" t="s">
        <v>162</v>
      </c>
      <c r="N2843" t="s">
        <v>349</v>
      </c>
      <c r="O2843" t="s">
        <v>528</v>
      </c>
      <c r="P2843">
        <v>7.1201597004554543E-2</v>
      </c>
      <c r="Q2843" t="s">
        <v>162</v>
      </c>
      <c r="S2843" t="s">
        <v>461</v>
      </c>
      <c r="T2843" t="s">
        <v>528</v>
      </c>
      <c r="U2843">
        <v>8.3610245674005296E-2</v>
      </c>
      <c r="V2843" t="s">
        <v>162</v>
      </c>
    </row>
    <row r="2844" spans="9:22" x14ac:dyDescent="0.45">
      <c r="I2844" t="s">
        <v>237</v>
      </c>
      <c r="J2844" t="s">
        <v>529</v>
      </c>
      <c r="K2844">
        <v>2.9987174086989924E-2</v>
      </c>
      <c r="L2844" t="s">
        <v>162</v>
      </c>
      <c r="N2844" t="s">
        <v>349</v>
      </c>
      <c r="O2844" t="s">
        <v>529</v>
      </c>
      <c r="P2844">
        <v>5.3932792479891734E-3</v>
      </c>
      <c r="Q2844" t="s">
        <v>162</v>
      </c>
      <c r="S2844" t="s">
        <v>461</v>
      </c>
      <c r="T2844" t="s">
        <v>529</v>
      </c>
      <c r="U2844">
        <v>7.8648554531539835E-3</v>
      </c>
      <c r="V2844" t="s">
        <v>162</v>
      </c>
    </row>
    <row r="2845" spans="9:22" x14ac:dyDescent="0.45">
      <c r="I2845" t="s">
        <v>237</v>
      </c>
      <c r="J2845" t="s">
        <v>530</v>
      </c>
      <c r="K2845">
        <v>6.1366385031406595E-2</v>
      </c>
      <c r="L2845" t="s">
        <v>162</v>
      </c>
      <c r="N2845" t="s">
        <v>349</v>
      </c>
      <c r="O2845" t="s">
        <v>530</v>
      </c>
      <c r="P2845">
        <v>1.1922843645177541E-2</v>
      </c>
      <c r="Q2845" t="s">
        <v>162</v>
      </c>
      <c r="S2845" t="s">
        <v>461</v>
      </c>
      <c r="T2845" t="s">
        <v>530</v>
      </c>
      <c r="U2845">
        <v>1.5714687311888246E-2</v>
      </c>
      <c r="V2845" t="s">
        <v>162</v>
      </c>
    </row>
    <row r="2846" spans="9:22" x14ac:dyDescent="0.45">
      <c r="I2846" t="s">
        <v>237</v>
      </c>
      <c r="J2846" t="s">
        <v>531</v>
      </c>
      <c r="K2846">
        <v>0.13789352797506113</v>
      </c>
      <c r="L2846" t="s">
        <v>162</v>
      </c>
      <c r="N2846" t="s">
        <v>349</v>
      </c>
      <c r="O2846" t="s">
        <v>531</v>
      </c>
      <c r="P2846">
        <v>3.8429094816620199E-2</v>
      </c>
      <c r="Q2846" t="s">
        <v>162</v>
      </c>
      <c r="S2846" t="s">
        <v>461</v>
      </c>
      <c r="T2846" t="s">
        <v>531</v>
      </c>
      <c r="U2846">
        <v>4.0415436992015205E-2</v>
      </c>
      <c r="V2846" t="s">
        <v>162</v>
      </c>
    </row>
    <row r="2847" spans="9:22" x14ac:dyDescent="0.45">
      <c r="I2847" t="s">
        <v>237</v>
      </c>
      <c r="J2847" t="s">
        <v>532</v>
      </c>
      <c r="K2847">
        <v>2.0082439382057667E-2</v>
      </c>
      <c r="L2847" t="s">
        <v>162</v>
      </c>
      <c r="N2847" t="s">
        <v>349</v>
      </c>
      <c r="O2847" t="s">
        <v>532</v>
      </c>
      <c r="P2847">
        <v>7.5274813443899817E-3</v>
      </c>
      <c r="Q2847" t="s">
        <v>162</v>
      </c>
      <c r="S2847" t="s">
        <v>461</v>
      </c>
      <c r="T2847" t="s">
        <v>532</v>
      </c>
      <c r="U2847">
        <v>8.6456558332422846E-3</v>
      </c>
      <c r="V2847" t="s">
        <v>162</v>
      </c>
    </row>
    <row r="2848" spans="9:22" x14ac:dyDescent="0.45">
      <c r="I2848" t="s">
        <v>237</v>
      </c>
      <c r="J2848" t="s">
        <v>533</v>
      </c>
      <c r="K2848">
        <v>2.5172362461934317E-2</v>
      </c>
      <c r="L2848" t="s">
        <v>162</v>
      </c>
      <c r="N2848" t="s">
        <v>349</v>
      </c>
      <c r="O2848" t="s">
        <v>533</v>
      </c>
      <c r="P2848">
        <v>5.0416077292523953E-2</v>
      </c>
      <c r="Q2848" t="s">
        <v>162</v>
      </c>
      <c r="S2848" t="s">
        <v>461</v>
      </c>
      <c r="T2848" t="s">
        <v>533</v>
      </c>
      <c r="U2848">
        <v>5.7246806992805384E-2</v>
      </c>
      <c r="V2848" t="s">
        <v>162</v>
      </c>
    </row>
    <row r="2849" spans="9:22" x14ac:dyDescent="0.45">
      <c r="I2849" t="s">
        <v>237</v>
      </c>
      <c r="J2849" t="s">
        <v>534</v>
      </c>
      <c r="K2849">
        <v>5.0749047269684808E-2</v>
      </c>
      <c r="L2849" t="s">
        <v>162</v>
      </c>
      <c r="N2849" t="s">
        <v>349</v>
      </c>
      <c r="O2849" t="s">
        <v>534</v>
      </c>
      <c r="P2849">
        <v>0.10296202405101709</v>
      </c>
      <c r="Q2849" t="s">
        <v>162</v>
      </c>
      <c r="S2849" t="s">
        <v>461</v>
      </c>
      <c r="T2849" t="s">
        <v>534</v>
      </c>
      <c r="U2849">
        <v>9.1277487764573506E-2</v>
      </c>
      <c r="V2849" t="s">
        <v>162</v>
      </c>
    </row>
    <row r="2850" spans="9:22" x14ac:dyDescent="0.45">
      <c r="I2850" t="s">
        <v>237</v>
      </c>
      <c r="J2850" t="s">
        <v>535</v>
      </c>
      <c r="K2850">
        <v>2.5175271267510211E-2</v>
      </c>
      <c r="L2850" t="s">
        <v>162</v>
      </c>
      <c r="N2850" t="s">
        <v>349</v>
      </c>
      <c r="O2850" t="s">
        <v>535</v>
      </c>
      <c r="P2850">
        <v>1.0591273396279688E-2</v>
      </c>
      <c r="Q2850" t="s">
        <v>162</v>
      </c>
      <c r="S2850" t="s">
        <v>461</v>
      </c>
      <c r="T2850" t="s">
        <v>535</v>
      </c>
      <c r="U2850">
        <v>9.0959683846877082E-3</v>
      </c>
      <c r="V2850" t="s">
        <v>162</v>
      </c>
    </row>
    <row r="2851" spans="9:22" x14ac:dyDescent="0.45">
      <c r="I2851" t="s">
        <v>237</v>
      </c>
      <c r="J2851" t="s">
        <v>536</v>
      </c>
      <c r="K2851">
        <v>5.0670915971273135E-2</v>
      </c>
      <c r="L2851" t="s">
        <v>162</v>
      </c>
      <c r="N2851" t="s">
        <v>349</v>
      </c>
      <c r="O2851" t="s">
        <v>536</v>
      </c>
      <c r="P2851">
        <v>2.1681552186527391E-2</v>
      </c>
      <c r="Q2851" t="s">
        <v>162</v>
      </c>
      <c r="S2851" t="s">
        <v>461</v>
      </c>
      <c r="T2851" t="s">
        <v>536</v>
      </c>
      <c r="U2851">
        <v>1.8049892981665656E-2</v>
      </c>
      <c r="V2851" t="s">
        <v>162</v>
      </c>
    </row>
    <row r="2852" spans="9:22" x14ac:dyDescent="0.45">
      <c r="I2852" t="s">
        <v>237</v>
      </c>
      <c r="J2852" t="s">
        <v>537</v>
      </c>
      <c r="K2852">
        <v>0.11004683705047508</v>
      </c>
      <c r="L2852" t="s">
        <v>162</v>
      </c>
      <c r="N2852" t="s">
        <v>349</v>
      </c>
      <c r="O2852" t="s">
        <v>537</v>
      </c>
      <c r="P2852">
        <v>5.6068962444419869E-2</v>
      </c>
      <c r="Q2852" t="s">
        <v>162</v>
      </c>
      <c r="S2852" t="s">
        <v>461</v>
      </c>
      <c r="T2852" t="s">
        <v>537</v>
      </c>
      <c r="U2852">
        <v>4.82634027143641E-2</v>
      </c>
      <c r="V2852" t="s">
        <v>162</v>
      </c>
    </row>
    <row r="2853" spans="9:22" x14ac:dyDescent="0.45">
      <c r="I2853" t="s">
        <v>237</v>
      </c>
      <c r="J2853" t="s">
        <v>538</v>
      </c>
      <c r="K2853">
        <v>1.1896930343199769E-2</v>
      </c>
      <c r="L2853" t="s">
        <v>162</v>
      </c>
      <c r="N2853" t="s">
        <v>349</v>
      </c>
      <c r="O2853" t="s">
        <v>538</v>
      </c>
      <c r="P2853">
        <v>1.0014088582536154E-2</v>
      </c>
      <c r="Q2853" t="s">
        <v>162</v>
      </c>
      <c r="S2853" t="s">
        <v>461</v>
      </c>
      <c r="T2853" t="s">
        <v>538</v>
      </c>
      <c r="U2853">
        <v>1.0520811961416457E-2</v>
      </c>
      <c r="V2853" t="s">
        <v>162</v>
      </c>
    </row>
    <row r="2854" spans="9:22" x14ac:dyDescent="0.45">
      <c r="I2854" t="s">
        <v>237</v>
      </c>
      <c r="J2854" t="s">
        <v>539</v>
      </c>
      <c r="K2854">
        <v>7.5499997596865853E-3</v>
      </c>
      <c r="L2854" t="s">
        <v>162</v>
      </c>
      <c r="N2854" t="s">
        <v>349</v>
      </c>
      <c r="O2854" t="s">
        <v>539</v>
      </c>
      <c r="P2854">
        <v>6.1227604843041759E-2</v>
      </c>
      <c r="Q2854" t="s">
        <v>162</v>
      </c>
      <c r="S2854" t="s">
        <v>461</v>
      </c>
      <c r="T2854" t="s">
        <v>539</v>
      </c>
      <c r="U2854">
        <v>6.7277729883730611E-2</v>
      </c>
      <c r="V2854" t="s">
        <v>162</v>
      </c>
    </row>
    <row r="2855" spans="9:22" x14ac:dyDescent="0.45">
      <c r="I2855" t="s">
        <v>237</v>
      </c>
      <c r="J2855" t="s">
        <v>540</v>
      </c>
      <c r="K2855">
        <v>2.4234117952225149E-3</v>
      </c>
      <c r="L2855" t="s">
        <v>162</v>
      </c>
      <c r="N2855" t="s">
        <v>349</v>
      </c>
      <c r="O2855" t="s">
        <v>540</v>
      </c>
      <c r="P2855">
        <v>4.7674974430231144E-2</v>
      </c>
      <c r="Q2855" t="s">
        <v>162</v>
      </c>
      <c r="S2855" t="s">
        <v>461</v>
      </c>
      <c r="T2855" t="s">
        <v>540</v>
      </c>
      <c r="U2855">
        <v>3.3488978178406424E-2</v>
      </c>
      <c r="V2855" t="s">
        <v>162</v>
      </c>
    </row>
    <row r="2856" spans="9:22" x14ac:dyDescent="0.45">
      <c r="I2856" t="s">
        <v>237</v>
      </c>
      <c r="J2856" t="s">
        <v>541</v>
      </c>
      <c r="K2856">
        <v>3.62505136081111E-3</v>
      </c>
      <c r="L2856" t="s">
        <v>162</v>
      </c>
      <c r="N2856" t="s">
        <v>349</v>
      </c>
      <c r="O2856" t="s">
        <v>541</v>
      </c>
      <c r="P2856">
        <v>5.709712423717957E-3</v>
      </c>
      <c r="Q2856" t="s">
        <v>162</v>
      </c>
      <c r="S2856" t="s">
        <v>461</v>
      </c>
      <c r="T2856" t="s">
        <v>541</v>
      </c>
      <c r="U2856">
        <v>3.6060723862595839E-3</v>
      </c>
      <c r="V2856" t="s">
        <v>162</v>
      </c>
    </row>
    <row r="2857" spans="9:22" x14ac:dyDescent="0.45">
      <c r="I2857" t="s">
        <v>237</v>
      </c>
      <c r="J2857" t="s">
        <v>542</v>
      </c>
      <c r="K2857">
        <v>8.6975447321395276E-3</v>
      </c>
      <c r="L2857" t="s">
        <v>162</v>
      </c>
      <c r="N2857" t="s">
        <v>349</v>
      </c>
      <c r="O2857" t="s">
        <v>542</v>
      </c>
      <c r="P2857">
        <v>1.1118658772405626E-2</v>
      </c>
      <c r="Q2857" t="s">
        <v>162</v>
      </c>
      <c r="S2857" t="s">
        <v>461</v>
      </c>
      <c r="T2857" t="s">
        <v>542</v>
      </c>
      <c r="U2857">
        <v>7.0354094252041196E-3</v>
      </c>
      <c r="V2857" t="s">
        <v>162</v>
      </c>
    </row>
    <row r="2858" spans="9:22" x14ac:dyDescent="0.45">
      <c r="I2858" t="s">
        <v>237</v>
      </c>
      <c r="J2858" t="s">
        <v>543</v>
      </c>
      <c r="K2858">
        <v>1.5105112327712212E-2</v>
      </c>
      <c r="L2858" t="s">
        <v>162</v>
      </c>
      <c r="N2858" t="s">
        <v>349</v>
      </c>
      <c r="O2858" t="s">
        <v>543</v>
      </c>
      <c r="P2858">
        <v>2.6463480913595235E-2</v>
      </c>
      <c r="Q2858" t="s">
        <v>162</v>
      </c>
      <c r="S2858" t="s">
        <v>461</v>
      </c>
      <c r="T2858" t="s">
        <v>543</v>
      </c>
      <c r="U2858">
        <v>1.6730942190294074E-2</v>
      </c>
      <c r="V2858" t="s">
        <v>162</v>
      </c>
    </row>
    <row r="2859" spans="9:22" x14ac:dyDescent="0.45">
      <c r="I2859" t="s">
        <v>237</v>
      </c>
      <c r="J2859" t="s">
        <v>544</v>
      </c>
      <c r="K2859">
        <v>0</v>
      </c>
      <c r="L2859" t="s">
        <v>162</v>
      </c>
      <c r="N2859" t="s">
        <v>349</v>
      </c>
      <c r="O2859" t="s">
        <v>544</v>
      </c>
      <c r="P2859">
        <v>4.922000986076187E-3</v>
      </c>
      <c r="Q2859" t="s">
        <v>162</v>
      </c>
      <c r="S2859" t="s">
        <v>461</v>
      </c>
      <c r="T2859" t="s">
        <v>544</v>
      </c>
      <c r="U2859">
        <v>3.4107482098731765E-3</v>
      </c>
      <c r="V2859" t="s">
        <v>162</v>
      </c>
    </row>
    <row r="2860" spans="9:22" x14ac:dyDescent="0.45">
      <c r="I2860" t="s">
        <v>237</v>
      </c>
      <c r="J2860" t="s">
        <v>545</v>
      </c>
      <c r="K2860">
        <v>0</v>
      </c>
      <c r="L2860" t="s">
        <v>162</v>
      </c>
      <c r="N2860" t="s">
        <v>349</v>
      </c>
      <c r="O2860" t="s">
        <v>545</v>
      </c>
      <c r="P2860">
        <v>2.8824881773666378E-2</v>
      </c>
      <c r="Q2860" t="s">
        <v>162</v>
      </c>
      <c r="S2860" t="s">
        <v>461</v>
      </c>
      <c r="T2860" t="s">
        <v>545</v>
      </c>
      <c r="U2860">
        <v>2.0945541021171157E-2</v>
      </c>
      <c r="V2860" t="s">
        <v>162</v>
      </c>
    </row>
    <row r="2861" spans="9:22" x14ac:dyDescent="0.45">
      <c r="I2861" t="s">
        <v>237</v>
      </c>
      <c r="J2861" t="s">
        <v>546</v>
      </c>
      <c r="K2861">
        <v>1.0370318531494319E-3</v>
      </c>
      <c r="L2861" t="s">
        <v>162</v>
      </c>
      <c r="N2861" t="s">
        <v>349</v>
      </c>
      <c r="O2861" t="s">
        <v>546</v>
      </c>
      <c r="P2861">
        <v>3.3538005357533512E-2</v>
      </c>
      <c r="Q2861" t="s">
        <v>162</v>
      </c>
      <c r="S2861" t="s">
        <v>461</v>
      </c>
      <c r="T2861" t="s">
        <v>546</v>
      </c>
      <c r="U2861">
        <v>4.0565999657169852E-2</v>
      </c>
      <c r="V2861" t="s">
        <v>162</v>
      </c>
    </row>
    <row r="2862" spans="9:22" x14ac:dyDescent="0.45">
      <c r="I2862" t="s">
        <v>237</v>
      </c>
      <c r="J2862" t="s">
        <v>547</v>
      </c>
      <c r="K2862">
        <v>4.372228587896463E-3</v>
      </c>
      <c r="L2862" t="s">
        <v>162</v>
      </c>
      <c r="N2862" t="s">
        <v>349</v>
      </c>
      <c r="O2862" t="s">
        <v>547</v>
      </c>
      <c r="P2862">
        <v>3.798239760018543E-3</v>
      </c>
      <c r="Q2862" t="s">
        <v>162</v>
      </c>
      <c r="S2862" t="s">
        <v>461</v>
      </c>
      <c r="T2862" t="s">
        <v>547</v>
      </c>
      <c r="U2862">
        <v>4.4271882428752844E-3</v>
      </c>
      <c r="V2862" t="s">
        <v>162</v>
      </c>
    </row>
    <row r="2863" spans="9:22" x14ac:dyDescent="0.45">
      <c r="I2863" t="s">
        <v>237</v>
      </c>
      <c r="J2863" t="s">
        <v>548</v>
      </c>
      <c r="K2863">
        <v>1.237425452129271E-2</v>
      </c>
      <c r="L2863" t="s">
        <v>162</v>
      </c>
      <c r="N2863" t="s">
        <v>349</v>
      </c>
      <c r="O2863" t="s">
        <v>548</v>
      </c>
      <c r="P2863">
        <v>6.8678414769215174E-3</v>
      </c>
      <c r="Q2863" t="s">
        <v>162</v>
      </c>
      <c r="S2863" t="s">
        <v>461</v>
      </c>
      <c r="T2863" t="s">
        <v>548</v>
      </c>
      <c r="U2863">
        <v>8.8044352100672338E-3</v>
      </c>
      <c r="V2863" t="s">
        <v>162</v>
      </c>
    </row>
    <row r="2864" spans="9:22" x14ac:dyDescent="0.45">
      <c r="I2864" t="s">
        <v>237</v>
      </c>
      <c r="J2864" t="s">
        <v>549</v>
      </c>
      <c r="K2864">
        <v>2.0127202124460421E-2</v>
      </c>
      <c r="L2864" t="s">
        <v>162</v>
      </c>
      <c r="N2864" t="s">
        <v>349</v>
      </c>
      <c r="O2864" t="s">
        <v>549</v>
      </c>
      <c r="P2864">
        <v>1.4739329498522424E-2</v>
      </c>
      <c r="Q2864" t="s">
        <v>162</v>
      </c>
      <c r="S2864" t="s">
        <v>461</v>
      </c>
      <c r="T2864" t="s">
        <v>549</v>
      </c>
      <c r="U2864">
        <v>2.2337533387713604E-2</v>
      </c>
      <c r="V2864" t="s">
        <v>162</v>
      </c>
    </row>
    <row r="2865" spans="9:22" x14ac:dyDescent="0.45">
      <c r="I2865" t="s">
        <v>237</v>
      </c>
      <c r="J2865" t="s">
        <v>550</v>
      </c>
      <c r="K2865">
        <v>0</v>
      </c>
      <c r="L2865" t="s">
        <v>162</v>
      </c>
      <c r="N2865" t="s">
        <v>349</v>
      </c>
      <c r="O2865" t="s">
        <v>550</v>
      </c>
      <c r="P2865">
        <v>3.2330888068253191E-3</v>
      </c>
      <c r="Q2865" t="s">
        <v>162</v>
      </c>
      <c r="S2865" t="s">
        <v>461</v>
      </c>
      <c r="T2865" t="s">
        <v>550</v>
      </c>
      <c r="U2865">
        <v>4.4866232659815011E-3</v>
      </c>
      <c r="V2865" t="s">
        <v>162</v>
      </c>
    </row>
    <row r="2866" spans="9:22" x14ac:dyDescent="0.45">
      <c r="I2866" t="s">
        <v>237</v>
      </c>
      <c r="J2866" t="s">
        <v>551</v>
      </c>
      <c r="K2866">
        <v>0</v>
      </c>
      <c r="L2866" t="s">
        <v>162</v>
      </c>
      <c r="N2866" t="s">
        <v>349</v>
      </c>
      <c r="O2866" t="s">
        <v>551</v>
      </c>
      <c r="P2866">
        <v>2.0914568092357033E-2</v>
      </c>
      <c r="Q2866" t="s">
        <v>162</v>
      </c>
      <c r="S2866" t="s">
        <v>461</v>
      </c>
      <c r="T2866" t="s">
        <v>551</v>
      </c>
      <c r="U2866">
        <v>2.7733097836167293E-2</v>
      </c>
      <c r="V2866" t="s">
        <v>162</v>
      </c>
    </row>
    <row r="2867" spans="9:22" x14ac:dyDescent="0.45">
      <c r="I2867" t="s">
        <v>238</v>
      </c>
      <c r="J2867" t="s">
        <v>161</v>
      </c>
      <c r="K2867">
        <v>0</v>
      </c>
      <c r="L2867" t="s">
        <v>162</v>
      </c>
      <c r="N2867" t="s">
        <v>350</v>
      </c>
      <c r="O2867" t="s">
        <v>161</v>
      </c>
      <c r="P2867">
        <v>3.6348095965739485E-2</v>
      </c>
      <c r="Q2867" t="s">
        <v>162</v>
      </c>
      <c r="S2867" t="s">
        <v>462</v>
      </c>
      <c r="T2867" t="s">
        <v>161</v>
      </c>
      <c r="U2867">
        <v>2.7000539336405949E-2</v>
      </c>
      <c r="V2867" t="s">
        <v>162</v>
      </c>
    </row>
    <row r="2868" spans="9:22" x14ac:dyDescent="0.45">
      <c r="I2868" t="s">
        <v>238</v>
      </c>
      <c r="J2868" t="s">
        <v>163</v>
      </c>
      <c r="K2868">
        <v>2.3968161501292666E-3</v>
      </c>
      <c r="L2868" t="s">
        <v>162</v>
      </c>
      <c r="N2868" t="s">
        <v>350</v>
      </c>
      <c r="O2868" t="s">
        <v>163</v>
      </c>
      <c r="P2868">
        <v>3.9437872447840375E-3</v>
      </c>
      <c r="Q2868" t="s">
        <v>162</v>
      </c>
      <c r="S2868" t="s">
        <v>462</v>
      </c>
      <c r="T2868" t="s">
        <v>163</v>
      </c>
      <c r="U2868">
        <v>3.0336919536200087E-3</v>
      </c>
      <c r="V2868" t="s">
        <v>162</v>
      </c>
    </row>
    <row r="2869" spans="9:22" x14ac:dyDescent="0.45">
      <c r="I2869" t="s">
        <v>238</v>
      </c>
      <c r="J2869" t="s">
        <v>164</v>
      </c>
      <c r="K2869">
        <v>1.0378794580989592E-2</v>
      </c>
      <c r="L2869" t="s">
        <v>162</v>
      </c>
      <c r="N2869" t="s">
        <v>350</v>
      </c>
      <c r="O2869" t="s">
        <v>164</v>
      </c>
      <c r="P2869">
        <v>7.6259671934176976E-3</v>
      </c>
      <c r="Q2869" t="s">
        <v>162</v>
      </c>
      <c r="S2869" t="s">
        <v>462</v>
      </c>
      <c r="T2869" t="s">
        <v>164</v>
      </c>
      <c r="U2869">
        <v>6.0428782411472912E-3</v>
      </c>
      <c r="V2869" t="s">
        <v>162</v>
      </c>
    </row>
    <row r="2870" spans="9:22" x14ac:dyDescent="0.45">
      <c r="I2870" t="s">
        <v>238</v>
      </c>
      <c r="J2870" t="s">
        <v>519</v>
      </c>
      <c r="K2870">
        <v>2.266924080390622E-2</v>
      </c>
      <c r="L2870" t="s">
        <v>162</v>
      </c>
      <c r="N2870" t="s">
        <v>350</v>
      </c>
      <c r="O2870" t="s">
        <v>519</v>
      </c>
      <c r="P2870">
        <v>1.9724936110728914E-2</v>
      </c>
      <c r="Q2870" t="s">
        <v>162</v>
      </c>
      <c r="S2870" t="s">
        <v>462</v>
      </c>
      <c r="T2870" t="s">
        <v>519</v>
      </c>
      <c r="U2870">
        <v>1.5432706772729213E-2</v>
      </c>
      <c r="V2870" t="s">
        <v>162</v>
      </c>
    </row>
    <row r="2871" spans="9:22" x14ac:dyDescent="0.45">
      <c r="I2871" t="s">
        <v>238</v>
      </c>
      <c r="J2871" t="s">
        <v>520</v>
      </c>
      <c r="K2871">
        <v>0</v>
      </c>
      <c r="L2871" t="s">
        <v>162</v>
      </c>
      <c r="N2871" t="s">
        <v>350</v>
      </c>
      <c r="O2871" t="s">
        <v>520</v>
      </c>
      <c r="P2871">
        <v>3.8806800966279726E-3</v>
      </c>
      <c r="Q2871" t="s">
        <v>162</v>
      </c>
      <c r="S2871" t="s">
        <v>462</v>
      </c>
      <c r="T2871" t="s">
        <v>520</v>
      </c>
      <c r="U2871">
        <v>3.0943013573778038E-3</v>
      </c>
      <c r="V2871" t="s">
        <v>162</v>
      </c>
    </row>
    <row r="2872" spans="9:22" x14ac:dyDescent="0.45">
      <c r="I2872" t="s">
        <v>238</v>
      </c>
      <c r="J2872" t="s">
        <v>521</v>
      </c>
      <c r="K2872">
        <v>0</v>
      </c>
      <c r="L2872" t="s">
        <v>162</v>
      </c>
      <c r="N2872" t="s">
        <v>350</v>
      </c>
      <c r="O2872" t="s">
        <v>521</v>
      </c>
      <c r="P2872">
        <v>2.547087173128415E-2</v>
      </c>
      <c r="Q2872" t="s">
        <v>162</v>
      </c>
      <c r="S2872" t="s">
        <v>462</v>
      </c>
      <c r="T2872" t="s">
        <v>521</v>
      </c>
      <c r="U2872">
        <v>1.8586280016913467E-2</v>
      </c>
      <c r="V2872" t="s">
        <v>162</v>
      </c>
    </row>
    <row r="2873" spans="9:22" x14ac:dyDescent="0.45">
      <c r="I2873" t="s">
        <v>238</v>
      </c>
      <c r="J2873" t="s">
        <v>165</v>
      </c>
      <c r="K2873">
        <v>1.3263046098474101E-2</v>
      </c>
      <c r="L2873" t="s">
        <v>162</v>
      </c>
      <c r="N2873" t="s">
        <v>350</v>
      </c>
      <c r="O2873" t="s">
        <v>165</v>
      </c>
      <c r="P2873">
        <v>5.9254703285543352E-2</v>
      </c>
      <c r="Q2873" t="s">
        <v>162</v>
      </c>
      <c r="S2873" t="s">
        <v>462</v>
      </c>
      <c r="T2873" t="s">
        <v>165</v>
      </c>
      <c r="U2873">
        <v>4.4912440952132676E-2</v>
      </c>
      <c r="V2873" t="s">
        <v>162</v>
      </c>
    </row>
    <row r="2874" spans="9:22" x14ac:dyDescent="0.45">
      <c r="I2874" t="s">
        <v>238</v>
      </c>
      <c r="J2874" t="s">
        <v>166</v>
      </c>
      <c r="K2874">
        <v>1.4450790121602757E-2</v>
      </c>
      <c r="L2874" t="s">
        <v>162</v>
      </c>
      <c r="N2874" t="s">
        <v>350</v>
      </c>
      <c r="O2874" t="s">
        <v>166</v>
      </c>
      <c r="P2874">
        <v>6.2505982681702972E-3</v>
      </c>
      <c r="Q2874" t="s">
        <v>162</v>
      </c>
      <c r="S2874" t="s">
        <v>462</v>
      </c>
      <c r="T2874" t="s">
        <v>166</v>
      </c>
      <c r="U2874">
        <v>4.9267050334937746E-3</v>
      </c>
      <c r="V2874" t="s">
        <v>162</v>
      </c>
    </row>
    <row r="2875" spans="9:22" x14ac:dyDescent="0.45">
      <c r="I2875" t="s">
        <v>238</v>
      </c>
      <c r="J2875" t="s">
        <v>167</v>
      </c>
      <c r="K2875">
        <v>3.6414790102603609E-2</v>
      </c>
      <c r="L2875" t="s">
        <v>162</v>
      </c>
      <c r="N2875" t="s">
        <v>350</v>
      </c>
      <c r="O2875" t="s">
        <v>167</v>
      </c>
      <c r="P2875">
        <v>1.1690543260967643E-2</v>
      </c>
      <c r="Q2875" t="s">
        <v>162</v>
      </c>
      <c r="S2875" t="s">
        <v>462</v>
      </c>
      <c r="T2875" t="s">
        <v>167</v>
      </c>
      <c r="U2875">
        <v>9.6139541360917066E-3</v>
      </c>
      <c r="V2875" t="s">
        <v>162</v>
      </c>
    </row>
    <row r="2876" spans="9:22" x14ac:dyDescent="0.45">
      <c r="I2876" t="s">
        <v>238</v>
      </c>
      <c r="J2876" t="s">
        <v>522</v>
      </c>
      <c r="K2876">
        <v>8.4754866082618854E-2</v>
      </c>
      <c r="L2876" t="s">
        <v>162</v>
      </c>
      <c r="N2876" t="s">
        <v>350</v>
      </c>
      <c r="O2876" t="s">
        <v>522</v>
      </c>
      <c r="P2876">
        <v>2.9035016689841035E-2</v>
      </c>
      <c r="Q2876" t="s">
        <v>162</v>
      </c>
      <c r="S2876" t="s">
        <v>462</v>
      </c>
      <c r="T2876" t="s">
        <v>522</v>
      </c>
      <c r="U2876">
        <v>2.379603423900049E-2</v>
      </c>
      <c r="V2876" t="s">
        <v>162</v>
      </c>
    </row>
    <row r="2877" spans="9:22" x14ac:dyDescent="0.45">
      <c r="I2877" t="s">
        <v>238</v>
      </c>
      <c r="J2877" t="s">
        <v>523</v>
      </c>
      <c r="K2877">
        <v>9.3723305867166179E-3</v>
      </c>
      <c r="L2877" t="s">
        <v>162</v>
      </c>
      <c r="N2877" t="s">
        <v>350</v>
      </c>
      <c r="O2877" t="s">
        <v>523</v>
      </c>
      <c r="P2877">
        <v>6.0782276419332057E-3</v>
      </c>
      <c r="Q2877" t="s">
        <v>162</v>
      </c>
      <c r="S2877" t="s">
        <v>462</v>
      </c>
      <c r="T2877" t="s">
        <v>523</v>
      </c>
      <c r="U2877">
        <v>4.9220324881701005E-3</v>
      </c>
      <c r="V2877" t="s">
        <v>162</v>
      </c>
    </row>
    <row r="2878" spans="9:22" x14ac:dyDescent="0.45">
      <c r="I2878" t="s">
        <v>238</v>
      </c>
      <c r="J2878" t="s">
        <v>524</v>
      </c>
      <c r="K2878">
        <v>3.8001404659214902E-3</v>
      </c>
      <c r="L2878" t="s">
        <v>162</v>
      </c>
      <c r="N2878" t="s">
        <v>350</v>
      </c>
      <c r="O2878" t="s">
        <v>524</v>
      </c>
      <c r="P2878">
        <v>4.1703722672781419E-2</v>
      </c>
      <c r="Q2878" t="s">
        <v>162</v>
      </c>
      <c r="S2878" t="s">
        <v>462</v>
      </c>
      <c r="T2878" t="s">
        <v>524</v>
      </c>
      <c r="U2878">
        <v>3.0803270399016969E-2</v>
      </c>
      <c r="V2878" t="s">
        <v>162</v>
      </c>
    </row>
    <row r="2879" spans="9:22" x14ac:dyDescent="0.45">
      <c r="I2879" t="s">
        <v>238</v>
      </c>
      <c r="J2879" t="s">
        <v>168</v>
      </c>
      <c r="K2879">
        <v>1.7159809561185055E-2</v>
      </c>
      <c r="L2879" t="s">
        <v>162</v>
      </c>
      <c r="N2879" t="s">
        <v>350</v>
      </c>
      <c r="O2879" t="s">
        <v>168</v>
      </c>
      <c r="P2879">
        <v>3.8857231755627497E-2</v>
      </c>
      <c r="Q2879" t="s">
        <v>162</v>
      </c>
      <c r="S2879" t="s">
        <v>462</v>
      </c>
      <c r="T2879" t="s">
        <v>168</v>
      </c>
      <c r="U2879">
        <v>4.0414327367091191E-2</v>
      </c>
      <c r="V2879" t="s">
        <v>162</v>
      </c>
    </row>
    <row r="2880" spans="9:22" x14ac:dyDescent="0.45">
      <c r="I2880" t="s">
        <v>238</v>
      </c>
      <c r="J2880" t="s">
        <v>169</v>
      </c>
      <c r="K2880">
        <v>1.013674268678909E-2</v>
      </c>
      <c r="L2880" t="s">
        <v>162</v>
      </c>
      <c r="N2880" t="s">
        <v>350</v>
      </c>
      <c r="O2880" t="s">
        <v>169</v>
      </c>
      <c r="P2880">
        <v>3.6625748647240333E-3</v>
      </c>
      <c r="Q2880" t="s">
        <v>162</v>
      </c>
      <c r="S2880" t="s">
        <v>462</v>
      </c>
      <c r="T2880" t="s">
        <v>169</v>
      </c>
      <c r="U2880">
        <v>4.3879542368977942E-3</v>
      </c>
      <c r="V2880" t="s">
        <v>162</v>
      </c>
    </row>
    <row r="2881" spans="9:22" x14ac:dyDescent="0.45">
      <c r="I2881" t="s">
        <v>238</v>
      </c>
      <c r="J2881" t="s">
        <v>170</v>
      </c>
      <c r="K2881">
        <v>2.3239956581805218E-2</v>
      </c>
      <c r="L2881" t="s">
        <v>162</v>
      </c>
      <c r="N2881" t="s">
        <v>350</v>
      </c>
      <c r="O2881" t="s">
        <v>170</v>
      </c>
      <c r="P2881">
        <v>7.1629868971114473E-3</v>
      </c>
      <c r="Q2881" t="s">
        <v>162</v>
      </c>
      <c r="S2881" t="s">
        <v>462</v>
      </c>
      <c r="T2881" t="s">
        <v>170</v>
      </c>
      <c r="U2881">
        <v>9.3488859232051663E-3</v>
      </c>
      <c r="V2881" t="s">
        <v>162</v>
      </c>
    </row>
    <row r="2882" spans="9:22" x14ac:dyDescent="0.45">
      <c r="I2882" t="s">
        <v>238</v>
      </c>
      <c r="J2882" t="s">
        <v>525</v>
      </c>
      <c r="K2882">
        <v>5.4176681794643855E-2</v>
      </c>
      <c r="L2882" t="s">
        <v>162</v>
      </c>
      <c r="N2882" t="s">
        <v>350</v>
      </c>
      <c r="O2882" t="s">
        <v>525</v>
      </c>
      <c r="P2882">
        <v>1.9127785356129978E-2</v>
      </c>
      <c r="Q2882" t="s">
        <v>162</v>
      </c>
      <c r="S2882" t="s">
        <v>462</v>
      </c>
      <c r="T2882" t="s">
        <v>525</v>
      </c>
      <c r="U2882">
        <v>2.6759920086450961E-2</v>
      </c>
      <c r="V2882" t="s">
        <v>162</v>
      </c>
    </row>
    <row r="2883" spans="9:22" x14ac:dyDescent="0.45">
      <c r="I2883" t="s">
        <v>238</v>
      </c>
      <c r="J2883" t="s">
        <v>526</v>
      </c>
      <c r="K2883">
        <v>7.4289834208286316E-3</v>
      </c>
      <c r="L2883" t="s">
        <v>162</v>
      </c>
      <c r="N2883" t="s">
        <v>350</v>
      </c>
      <c r="O2883" t="s">
        <v>526</v>
      </c>
      <c r="P2883">
        <v>4.1694105971895063E-3</v>
      </c>
      <c r="Q2883" t="s">
        <v>162</v>
      </c>
      <c r="S2883" t="s">
        <v>462</v>
      </c>
      <c r="T2883" t="s">
        <v>526</v>
      </c>
      <c r="U2883">
        <v>5.390285416284819E-3</v>
      </c>
      <c r="V2883" t="s">
        <v>162</v>
      </c>
    </row>
    <row r="2884" spans="9:22" x14ac:dyDescent="0.45">
      <c r="I2884" t="s">
        <v>238</v>
      </c>
      <c r="J2884" t="s">
        <v>527</v>
      </c>
      <c r="K2884">
        <v>7.8768262617050448E-3</v>
      </c>
      <c r="L2884" t="s">
        <v>162</v>
      </c>
      <c r="N2884" t="s">
        <v>350</v>
      </c>
      <c r="O2884" t="s">
        <v>527</v>
      </c>
      <c r="P2884">
        <v>2.842531720627792E-2</v>
      </c>
      <c r="Q2884" t="s">
        <v>162</v>
      </c>
      <c r="S2884" t="s">
        <v>462</v>
      </c>
      <c r="T2884" t="s">
        <v>527</v>
      </c>
      <c r="U2884">
        <v>3.1004133293614504E-2</v>
      </c>
      <c r="V2884" t="s">
        <v>162</v>
      </c>
    </row>
    <row r="2885" spans="9:22" x14ac:dyDescent="0.45">
      <c r="I2885" t="s">
        <v>238</v>
      </c>
      <c r="J2885" t="s">
        <v>528</v>
      </c>
      <c r="K2885">
        <v>8.4573880182000113E-2</v>
      </c>
      <c r="L2885" t="s">
        <v>162</v>
      </c>
      <c r="N2885" t="s">
        <v>350</v>
      </c>
      <c r="O2885" t="s">
        <v>528</v>
      </c>
      <c r="P2885">
        <v>7.7067906910111186E-2</v>
      </c>
      <c r="Q2885" t="s">
        <v>162</v>
      </c>
      <c r="S2885" t="s">
        <v>462</v>
      </c>
      <c r="T2885" t="s">
        <v>528</v>
      </c>
      <c r="U2885">
        <v>7.0048592229167816E-2</v>
      </c>
      <c r="V2885" t="s">
        <v>162</v>
      </c>
    </row>
    <row r="2886" spans="9:22" x14ac:dyDescent="0.45">
      <c r="I2886" t="s">
        <v>238</v>
      </c>
      <c r="J2886" t="s">
        <v>529</v>
      </c>
      <c r="K2886">
        <v>3.1532624038060904E-2</v>
      </c>
      <c r="L2886" t="s">
        <v>162</v>
      </c>
      <c r="N2886" t="s">
        <v>350</v>
      </c>
      <c r="O2886" t="s">
        <v>529</v>
      </c>
      <c r="P2886">
        <v>6.6848681071427409E-3</v>
      </c>
      <c r="Q2886" t="s">
        <v>162</v>
      </c>
      <c r="S2886" t="s">
        <v>462</v>
      </c>
      <c r="T2886" t="s">
        <v>529</v>
      </c>
      <c r="U2886">
        <v>7.461426447338112E-3</v>
      </c>
      <c r="V2886" t="s">
        <v>162</v>
      </c>
    </row>
    <row r="2887" spans="9:22" x14ac:dyDescent="0.45">
      <c r="I2887" t="s">
        <v>238</v>
      </c>
      <c r="J2887" t="s">
        <v>530</v>
      </c>
      <c r="K2887">
        <v>6.520121545339537E-2</v>
      </c>
      <c r="L2887" t="s">
        <v>162</v>
      </c>
      <c r="N2887" t="s">
        <v>350</v>
      </c>
      <c r="O2887" t="s">
        <v>530</v>
      </c>
      <c r="P2887">
        <v>1.4379202734591782E-2</v>
      </c>
      <c r="Q2887" t="s">
        <v>162</v>
      </c>
      <c r="S2887" t="s">
        <v>462</v>
      </c>
      <c r="T2887" t="s">
        <v>530</v>
      </c>
      <c r="U2887">
        <v>1.5443434329354258E-2</v>
      </c>
      <c r="V2887" t="s">
        <v>162</v>
      </c>
    </row>
    <row r="2888" spans="9:22" x14ac:dyDescent="0.45">
      <c r="I2888" t="s">
        <v>238</v>
      </c>
      <c r="J2888" t="s">
        <v>531</v>
      </c>
      <c r="K2888">
        <v>0.14354046246542462</v>
      </c>
      <c r="L2888" t="s">
        <v>162</v>
      </c>
      <c r="N2888" t="s">
        <v>350</v>
      </c>
      <c r="O2888" t="s">
        <v>531</v>
      </c>
      <c r="P2888">
        <v>4.3313695541294155E-2</v>
      </c>
      <c r="Q2888" t="s">
        <v>162</v>
      </c>
      <c r="S2888" t="s">
        <v>462</v>
      </c>
      <c r="T2888" t="s">
        <v>531</v>
      </c>
      <c r="U2888">
        <v>4.2953580996565779E-2</v>
      </c>
      <c r="V2888" t="s">
        <v>162</v>
      </c>
    </row>
    <row r="2889" spans="9:22" x14ac:dyDescent="0.45">
      <c r="I2889" t="s">
        <v>238</v>
      </c>
      <c r="J2889" t="s">
        <v>532</v>
      </c>
      <c r="K2889">
        <v>2.2778453991357753E-2</v>
      </c>
      <c r="L2889" t="s">
        <v>162</v>
      </c>
      <c r="N2889" t="s">
        <v>350</v>
      </c>
      <c r="O2889" t="s">
        <v>532</v>
      </c>
      <c r="P2889">
        <v>8.5793034946652271E-3</v>
      </c>
      <c r="Q2889" t="s">
        <v>162</v>
      </c>
      <c r="S2889" t="s">
        <v>462</v>
      </c>
      <c r="T2889" t="s">
        <v>532</v>
      </c>
      <c r="U2889">
        <v>8.7482258235235394E-3</v>
      </c>
      <c r="V2889" t="s">
        <v>162</v>
      </c>
    </row>
    <row r="2890" spans="9:22" x14ac:dyDescent="0.45">
      <c r="I2890" t="s">
        <v>238</v>
      </c>
      <c r="J2890" t="s">
        <v>533</v>
      </c>
      <c r="K2890">
        <v>4.0084583608757524E-2</v>
      </c>
      <c r="L2890" t="s">
        <v>162</v>
      </c>
      <c r="N2890" t="s">
        <v>350</v>
      </c>
      <c r="O2890" t="s">
        <v>533</v>
      </c>
      <c r="P2890">
        <v>5.6889490331333087E-2</v>
      </c>
      <c r="Q2890" t="s">
        <v>162</v>
      </c>
      <c r="S2890" t="s">
        <v>462</v>
      </c>
      <c r="T2890" t="s">
        <v>533</v>
      </c>
      <c r="U2890">
        <v>5.2825840839344683E-2</v>
      </c>
      <c r="V2890" t="s">
        <v>162</v>
      </c>
    </row>
    <row r="2891" spans="9:22" x14ac:dyDescent="0.45">
      <c r="I2891" t="s">
        <v>238</v>
      </c>
      <c r="J2891" t="s">
        <v>534</v>
      </c>
      <c r="K2891">
        <v>3.8256946938936047E-2</v>
      </c>
      <c r="L2891" t="s">
        <v>162</v>
      </c>
      <c r="N2891" t="s">
        <v>350</v>
      </c>
      <c r="O2891" t="s">
        <v>534</v>
      </c>
      <c r="P2891">
        <v>0.10134935287955943</v>
      </c>
      <c r="Q2891" t="s">
        <v>162</v>
      </c>
      <c r="S2891" t="s">
        <v>462</v>
      </c>
      <c r="T2891" t="s">
        <v>534</v>
      </c>
      <c r="U2891">
        <v>0.11201213575035379</v>
      </c>
      <c r="V2891" t="s">
        <v>162</v>
      </c>
    </row>
    <row r="2892" spans="9:22" x14ac:dyDescent="0.45">
      <c r="I2892" t="s">
        <v>238</v>
      </c>
      <c r="J2892" t="s">
        <v>535</v>
      </c>
      <c r="K2892">
        <v>2.2699589352818936E-2</v>
      </c>
      <c r="L2892" t="s">
        <v>162</v>
      </c>
      <c r="N2892" t="s">
        <v>350</v>
      </c>
      <c r="O2892" t="s">
        <v>535</v>
      </c>
      <c r="P2892">
        <v>1.0347372862291258E-2</v>
      </c>
      <c r="Q2892" t="s">
        <v>162</v>
      </c>
      <c r="S2892" t="s">
        <v>462</v>
      </c>
      <c r="T2892" t="s">
        <v>535</v>
      </c>
      <c r="U2892">
        <v>1.2278839466758147E-2</v>
      </c>
      <c r="V2892" t="s">
        <v>162</v>
      </c>
    </row>
    <row r="2893" spans="9:22" x14ac:dyDescent="0.45">
      <c r="I2893" t="s">
        <v>238</v>
      </c>
      <c r="J2893" t="s">
        <v>536</v>
      </c>
      <c r="K2893">
        <v>4.8622290035088139E-2</v>
      </c>
      <c r="L2893" t="s">
        <v>162</v>
      </c>
      <c r="N2893" t="s">
        <v>350</v>
      </c>
      <c r="O2893" t="s">
        <v>536</v>
      </c>
      <c r="P2893">
        <v>2.0746481941265153E-2</v>
      </c>
      <c r="Q2893" t="s">
        <v>162</v>
      </c>
      <c r="S2893" t="s">
        <v>462</v>
      </c>
      <c r="T2893" t="s">
        <v>536</v>
      </c>
      <c r="U2893">
        <v>2.4082549060010353E-2</v>
      </c>
      <c r="V2893" t="s">
        <v>162</v>
      </c>
    </row>
    <row r="2894" spans="9:22" x14ac:dyDescent="0.45">
      <c r="I2894" t="s">
        <v>238</v>
      </c>
      <c r="J2894" t="s">
        <v>537</v>
      </c>
      <c r="K2894">
        <v>0.10518048832839522</v>
      </c>
      <c r="L2894" t="s">
        <v>162</v>
      </c>
      <c r="N2894" t="s">
        <v>350</v>
      </c>
      <c r="O2894" t="s">
        <v>537</v>
      </c>
      <c r="P2894">
        <v>5.3848452322012345E-2</v>
      </c>
      <c r="Q2894" t="s">
        <v>162</v>
      </c>
      <c r="S2894" t="s">
        <v>462</v>
      </c>
      <c r="T2894" t="s">
        <v>537</v>
      </c>
      <c r="U2894">
        <v>5.804566444681885E-2</v>
      </c>
      <c r="V2894" t="s">
        <v>162</v>
      </c>
    </row>
    <row r="2895" spans="9:22" x14ac:dyDescent="0.45">
      <c r="I2895" t="s">
        <v>238</v>
      </c>
      <c r="J2895" t="s">
        <v>538</v>
      </c>
      <c r="K2895">
        <v>1.3939800064674443E-2</v>
      </c>
      <c r="L2895" t="s">
        <v>162</v>
      </c>
      <c r="N2895" t="s">
        <v>350</v>
      </c>
      <c r="O2895" t="s">
        <v>538</v>
      </c>
      <c r="P2895">
        <v>1.0059507345892098E-2</v>
      </c>
      <c r="Q2895" t="s">
        <v>162</v>
      </c>
      <c r="S2895" t="s">
        <v>462</v>
      </c>
      <c r="T2895" t="s">
        <v>538</v>
      </c>
      <c r="U2895">
        <v>1.1517449774332241E-2</v>
      </c>
      <c r="V2895" t="s">
        <v>162</v>
      </c>
    </row>
    <row r="2896" spans="9:22" x14ac:dyDescent="0.45">
      <c r="I2896" t="s">
        <v>238</v>
      </c>
      <c r="J2896" t="s">
        <v>539</v>
      </c>
      <c r="K2896">
        <v>1.3353366674260753E-2</v>
      </c>
      <c r="L2896" t="s">
        <v>162</v>
      </c>
      <c r="N2896" t="s">
        <v>350</v>
      </c>
      <c r="O2896" t="s">
        <v>539</v>
      </c>
      <c r="P2896">
        <v>6.2709824781716828E-2</v>
      </c>
      <c r="Q2896" t="s">
        <v>162</v>
      </c>
      <c r="S2896" t="s">
        <v>462</v>
      </c>
      <c r="T2896" t="s">
        <v>539</v>
      </c>
      <c r="U2896">
        <v>7.3082580368871039E-2</v>
      </c>
      <c r="V2896" t="s">
        <v>162</v>
      </c>
    </row>
    <row r="2897" spans="9:22" x14ac:dyDescent="0.45">
      <c r="I2897" t="s">
        <v>238</v>
      </c>
      <c r="J2897" t="s">
        <v>540</v>
      </c>
      <c r="K2897">
        <v>3.7603574475877683E-4</v>
      </c>
      <c r="L2897" t="s">
        <v>162</v>
      </c>
      <c r="N2897" t="s">
        <v>350</v>
      </c>
      <c r="O2897" t="s">
        <v>540</v>
      </c>
      <c r="P2897">
        <v>3.7723274707390009E-2</v>
      </c>
      <c r="Q2897" t="s">
        <v>162</v>
      </c>
      <c r="S2897" t="s">
        <v>462</v>
      </c>
      <c r="T2897" t="s">
        <v>540</v>
      </c>
      <c r="U2897">
        <v>3.1944483224739688E-2</v>
      </c>
      <c r="V2897" t="s">
        <v>162</v>
      </c>
    </row>
    <row r="2898" spans="9:22" x14ac:dyDescent="0.45">
      <c r="I2898" t="s">
        <v>238</v>
      </c>
      <c r="J2898" t="s">
        <v>541</v>
      </c>
      <c r="K2898">
        <v>2.2300219606127083E-3</v>
      </c>
      <c r="L2898" t="s">
        <v>162</v>
      </c>
      <c r="N2898" t="s">
        <v>350</v>
      </c>
      <c r="O2898" t="s">
        <v>541</v>
      </c>
      <c r="P2898">
        <v>4.2967131572496046E-3</v>
      </c>
      <c r="Q2898" t="s">
        <v>162</v>
      </c>
      <c r="S2898" t="s">
        <v>462</v>
      </c>
      <c r="T2898" t="s">
        <v>541</v>
      </c>
      <c r="U2898">
        <v>3.7798816252504544E-3</v>
      </c>
      <c r="V2898" t="s">
        <v>162</v>
      </c>
    </row>
    <row r="2899" spans="9:22" x14ac:dyDescent="0.45">
      <c r="I2899" t="s">
        <v>238</v>
      </c>
      <c r="J2899" t="s">
        <v>542</v>
      </c>
      <c r="K2899">
        <v>7.0838276058729811E-3</v>
      </c>
      <c r="L2899" t="s">
        <v>162</v>
      </c>
      <c r="N2899" t="s">
        <v>350</v>
      </c>
      <c r="O2899" t="s">
        <v>542</v>
      </c>
      <c r="P2899">
        <v>8.3604350701491914E-3</v>
      </c>
      <c r="Q2899" t="s">
        <v>162</v>
      </c>
      <c r="S2899" t="s">
        <v>462</v>
      </c>
      <c r="T2899" t="s">
        <v>542</v>
      </c>
      <c r="U2899">
        <v>7.8172716297763411E-3</v>
      </c>
      <c r="V2899" t="s">
        <v>162</v>
      </c>
    </row>
    <row r="2900" spans="9:22" x14ac:dyDescent="0.45">
      <c r="I2900" t="s">
        <v>238</v>
      </c>
      <c r="J2900" t="s">
        <v>543</v>
      </c>
      <c r="K2900">
        <v>1.2537613143889426E-2</v>
      </c>
      <c r="L2900" t="s">
        <v>162</v>
      </c>
      <c r="N2900" t="s">
        <v>350</v>
      </c>
      <c r="O2900" t="s">
        <v>543</v>
      </c>
      <c r="P2900">
        <v>1.9671059197323527E-2</v>
      </c>
      <c r="Q2900" t="s">
        <v>162</v>
      </c>
      <c r="S2900" t="s">
        <v>462</v>
      </c>
      <c r="T2900" t="s">
        <v>543</v>
      </c>
      <c r="U2900">
        <v>1.9790487456838313E-2</v>
      </c>
      <c r="V2900" t="s">
        <v>162</v>
      </c>
    </row>
    <row r="2901" spans="9:22" x14ac:dyDescent="0.45">
      <c r="I2901" t="s">
        <v>238</v>
      </c>
      <c r="J2901" t="s">
        <v>544</v>
      </c>
      <c r="K2901">
        <v>0</v>
      </c>
      <c r="L2901" t="s">
        <v>162</v>
      </c>
      <c r="N2901" t="s">
        <v>350</v>
      </c>
      <c r="O2901" t="s">
        <v>544</v>
      </c>
      <c r="P2901">
        <v>3.9549396065599119E-3</v>
      </c>
      <c r="Q2901" t="s">
        <v>162</v>
      </c>
      <c r="S2901" t="s">
        <v>462</v>
      </c>
      <c r="T2901" t="s">
        <v>544</v>
      </c>
      <c r="U2901">
        <v>3.7596141779602833E-3</v>
      </c>
      <c r="V2901" t="s">
        <v>162</v>
      </c>
    </row>
    <row r="2902" spans="9:22" x14ac:dyDescent="0.45">
      <c r="I2902" t="s">
        <v>238</v>
      </c>
      <c r="J2902" t="s">
        <v>545</v>
      </c>
      <c r="K2902">
        <v>0</v>
      </c>
      <c r="L2902" t="s">
        <v>162</v>
      </c>
      <c r="N2902" t="s">
        <v>350</v>
      </c>
      <c r="O2902" t="s">
        <v>545</v>
      </c>
      <c r="P2902">
        <v>2.4034604815273027E-2</v>
      </c>
      <c r="Q2902" t="s">
        <v>162</v>
      </c>
      <c r="S2902" t="s">
        <v>462</v>
      </c>
      <c r="T2902" t="s">
        <v>545</v>
      </c>
      <c r="U2902">
        <v>2.1904202780279759E-2</v>
      </c>
      <c r="V2902" t="s">
        <v>162</v>
      </c>
    </row>
    <row r="2903" spans="9:22" x14ac:dyDescent="0.45">
      <c r="I2903" t="s">
        <v>238</v>
      </c>
      <c r="J2903" t="s">
        <v>546</v>
      </c>
      <c r="K2903">
        <v>0</v>
      </c>
      <c r="L2903" t="s">
        <v>162</v>
      </c>
      <c r="N2903" t="s">
        <v>350</v>
      </c>
      <c r="O2903" t="s">
        <v>546</v>
      </c>
      <c r="P2903">
        <v>3.0312433164282979E-2</v>
      </c>
      <c r="Q2903" t="s">
        <v>162</v>
      </c>
      <c r="S2903" t="s">
        <v>462</v>
      </c>
      <c r="T2903" t="s">
        <v>546</v>
      </c>
      <c r="U2903">
        <v>4.1699306918786289E-2</v>
      </c>
      <c r="V2903" t="s">
        <v>162</v>
      </c>
    </row>
    <row r="2904" spans="9:22" x14ac:dyDescent="0.45">
      <c r="I2904" t="s">
        <v>238</v>
      </c>
      <c r="J2904" t="s">
        <v>547</v>
      </c>
      <c r="K2904">
        <v>1.3095335737915771E-3</v>
      </c>
      <c r="L2904" t="s">
        <v>162</v>
      </c>
      <c r="N2904" t="s">
        <v>350</v>
      </c>
      <c r="O2904" t="s">
        <v>547</v>
      </c>
      <c r="P2904">
        <v>3.6293111770618466E-3</v>
      </c>
      <c r="Q2904" t="s">
        <v>162</v>
      </c>
      <c r="S2904" t="s">
        <v>462</v>
      </c>
      <c r="T2904" t="s">
        <v>547</v>
      </c>
      <c r="U2904">
        <v>4.673119249391444E-3</v>
      </c>
      <c r="V2904" t="s">
        <v>162</v>
      </c>
    </row>
    <row r="2905" spans="9:22" x14ac:dyDescent="0.45">
      <c r="I2905" t="s">
        <v>238</v>
      </c>
      <c r="J2905" t="s">
        <v>548</v>
      </c>
      <c r="K2905">
        <v>1.0579931415782028E-2</v>
      </c>
      <c r="L2905" t="s">
        <v>162</v>
      </c>
      <c r="N2905" t="s">
        <v>350</v>
      </c>
      <c r="O2905" t="s">
        <v>548</v>
      </c>
      <c r="P2905">
        <v>7.1783997411409084E-3</v>
      </c>
      <c r="Q2905" t="s">
        <v>162</v>
      </c>
      <c r="S2905" t="s">
        <v>462</v>
      </c>
      <c r="T2905" t="s">
        <v>548</v>
      </c>
      <c r="U2905">
        <v>9.2910557850492109E-3</v>
      </c>
      <c r="V2905" t="s">
        <v>162</v>
      </c>
    </row>
    <row r="2906" spans="9:22" x14ac:dyDescent="0.45">
      <c r="I2906" t="s">
        <v>238</v>
      </c>
      <c r="J2906" t="s">
        <v>549</v>
      </c>
      <c r="K2906">
        <v>1.8599520122201528E-2</v>
      </c>
      <c r="L2906" t="s">
        <v>162</v>
      </c>
      <c r="N2906" t="s">
        <v>350</v>
      </c>
      <c r="O2906" t="s">
        <v>549</v>
      </c>
      <c r="P2906">
        <v>1.7418445694247386E-2</v>
      </c>
      <c r="Q2906" t="s">
        <v>162</v>
      </c>
      <c r="S2906" t="s">
        <v>462</v>
      </c>
      <c r="T2906" t="s">
        <v>549</v>
      </c>
      <c r="U2906">
        <v>2.3486983191961453E-2</v>
      </c>
      <c r="V2906" t="s">
        <v>162</v>
      </c>
    </row>
    <row r="2907" spans="9:22" x14ac:dyDescent="0.45">
      <c r="I2907" t="s">
        <v>238</v>
      </c>
      <c r="J2907" t="s">
        <v>550</v>
      </c>
      <c r="K2907">
        <v>0</v>
      </c>
      <c r="L2907" t="s">
        <v>162</v>
      </c>
      <c r="N2907" t="s">
        <v>350</v>
      </c>
      <c r="O2907" t="s">
        <v>550</v>
      </c>
      <c r="P2907">
        <v>3.6352225985498737E-3</v>
      </c>
      <c r="Q2907" t="s">
        <v>162</v>
      </c>
      <c r="S2907" t="s">
        <v>462</v>
      </c>
      <c r="T2907" t="s">
        <v>550</v>
      </c>
      <c r="U2907">
        <v>4.8675361834957919E-3</v>
      </c>
      <c r="V2907" t="s">
        <v>162</v>
      </c>
    </row>
    <row r="2908" spans="9:22" x14ac:dyDescent="0.45">
      <c r="I2908" t="s">
        <v>238</v>
      </c>
      <c r="J2908" t="s">
        <v>551</v>
      </c>
      <c r="K2908">
        <v>0</v>
      </c>
      <c r="L2908" t="s">
        <v>162</v>
      </c>
      <c r="N2908" t="s">
        <v>350</v>
      </c>
      <c r="O2908" t="s">
        <v>551</v>
      </c>
      <c r="P2908">
        <v>2.1397244980019565E-2</v>
      </c>
      <c r="Q2908" t="s">
        <v>162</v>
      </c>
      <c r="S2908" t="s">
        <v>462</v>
      </c>
      <c r="T2908" t="s">
        <v>551</v>
      </c>
      <c r="U2908">
        <v>2.9015396994386045E-2</v>
      </c>
      <c r="V2908" t="s">
        <v>162</v>
      </c>
    </row>
    <row r="2909" spans="9:22" x14ac:dyDescent="0.45">
      <c r="I2909" t="s">
        <v>239</v>
      </c>
      <c r="J2909" t="s">
        <v>161</v>
      </c>
      <c r="K2909">
        <v>0</v>
      </c>
      <c r="L2909" t="s">
        <v>162</v>
      </c>
      <c r="N2909" t="s">
        <v>351</v>
      </c>
      <c r="O2909" t="s">
        <v>161</v>
      </c>
      <c r="P2909">
        <v>3.1442286976587887E-2</v>
      </c>
      <c r="Q2909" t="s">
        <v>162</v>
      </c>
      <c r="S2909" t="s">
        <v>463</v>
      </c>
      <c r="T2909" t="s">
        <v>161</v>
      </c>
      <c r="U2909">
        <v>2.013376539531608E-2</v>
      </c>
      <c r="V2909" t="s">
        <v>162</v>
      </c>
    </row>
    <row r="2910" spans="9:22" x14ac:dyDescent="0.45">
      <c r="I2910" t="s">
        <v>239</v>
      </c>
      <c r="J2910" t="s">
        <v>163</v>
      </c>
      <c r="K2910">
        <v>3.083276374042823E-4</v>
      </c>
      <c r="L2910" t="s">
        <v>162</v>
      </c>
      <c r="N2910" t="s">
        <v>351</v>
      </c>
      <c r="O2910" t="s">
        <v>163</v>
      </c>
      <c r="P2910">
        <v>3.2143776730748945E-3</v>
      </c>
      <c r="Q2910" t="s">
        <v>162</v>
      </c>
      <c r="S2910" t="s">
        <v>463</v>
      </c>
      <c r="T2910" t="s">
        <v>163</v>
      </c>
      <c r="U2910">
        <v>2.4062987880499481E-3</v>
      </c>
      <c r="V2910" t="s">
        <v>162</v>
      </c>
    </row>
    <row r="2911" spans="9:22" x14ac:dyDescent="0.45">
      <c r="I2911" t="s">
        <v>239</v>
      </c>
      <c r="J2911" t="s">
        <v>164</v>
      </c>
      <c r="K2911">
        <v>8.0551320649960446E-3</v>
      </c>
      <c r="L2911" t="s">
        <v>162</v>
      </c>
      <c r="N2911" t="s">
        <v>351</v>
      </c>
      <c r="O2911" t="s">
        <v>164</v>
      </c>
      <c r="P2911">
        <v>6.2380473198325286E-3</v>
      </c>
      <c r="Q2911" t="s">
        <v>162</v>
      </c>
      <c r="S2911" t="s">
        <v>463</v>
      </c>
      <c r="T2911" t="s">
        <v>164</v>
      </c>
      <c r="U2911">
        <v>4.8801932102161029E-3</v>
      </c>
      <c r="V2911" t="s">
        <v>162</v>
      </c>
    </row>
    <row r="2912" spans="9:22" x14ac:dyDescent="0.45">
      <c r="I2912" t="s">
        <v>239</v>
      </c>
      <c r="J2912" t="s">
        <v>519</v>
      </c>
      <c r="K2912">
        <v>2.1221289869445079E-2</v>
      </c>
      <c r="L2912" t="s">
        <v>162</v>
      </c>
      <c r="N2912" t="s">
        <v>351</v>
      </c>
      <c r="O2912" t="s">
        <v>519</v>
      </c>
      <c r="P2912">
        <v>1.5697088065710643E-2</v>
      </c>
      <c r="Q2912" t="s">
        <v>162</v>
      </c>
      <c r="S2912" t="s">
        <v>463</v>
      </c>
      <c r="T2912" t="s">
        <v>519</v>
      </c>
      <c r="U2912">
        <v>1.2324547154759479E-2</v>
      </c>
      <c r="V2912" t="s">
        <v>162</v>
      </c>
    </row>
    <row r="2913" spans="9:22" x14ac:dyDescent="0.45">
      <c r="I2913" t="s">
        <v>239</v>
      </c>
      <c r="J2913" t="s">
        <v>520</v>
      </c>
      <c r="K2913">
        <v>1.8132840719272387E-6</v>
      </c>
      <c r="L2913" t="s">
        <v>162</v>
      </c>
      <c r="N2913" t="s">
        <v>351</v>
      </c>
      <c r="O2913" t="s">
        <v>520</v>
      </c>
      <c r="P2913">
        <v>3.5111695268091885E-3</v>
      </c>
      <c r="Q2913" t="s">
        <v>162</v>
      </c>
      <c r="S2913" t="s">
        <v>463</v>
      </c>
      <c r="T2913" t="s">
        <v>520</v>
      </c>
      <c r="U2913">
        <v>2.4085565843417239E-3</v>
      </c>
      <c r="V2913" t="s">
        <v>162</v>
      </c>
    </row>
    <row r="2914" spans="9:22" x14ac:dyDescent="0.45">
      <c r="I2914" t="s">
        <v>239</v>
      </c>
      <c r="J2914" t="s">
        <v>521</v>
      </c>
      <c r="K2914">
        <v>0</v>
      </c>
      <c r="L2914" t="s">
        <v>162</v>
      </c>
      <c r="N2914" t="s">
        <v>351</v>
      </c>
      <c r="O2914" t="s">
        <v>521</v>
      </c>
      <c r="P2914">
        <v>2.2623677014349711E-2</v>
      </c>
      <c r="Q2914" t="s">
        <v>162</v>
      </c>
      <c r="S2914" t="s">
        <v>463</v>
      </c>
      <c r="T2914" t="s">
        <v>521</v>
      </c>
      <c r="U2914">
        <v>1.4276515563695864E-2</v>
      </c>
      <c r="V2914" t="s">
        <v>162</v>
      </c>
    </row>
    <row r="2915" spans="9:22" x14ac:dyDescent="0.45">
      <c r="I2915" t="s">
        <v>239</v>
      </c>
      <c r="J2915" t="s">
        <v>165</v>
      </c>
      <c r="K2915">
        <v>9.5496587792421213E-3</v>
      </c>
      <c r="L2915" t="s">
        <v>162</v>
      </c>
      <c r="N2915" t="s">
        <v>351</v>
      </c>
      <c r="O2915" t="s">
        <v>165</v>
      </c>
      <c r="P2915">
        <v>6.0974982534425931E-2</v>
      </c>
      <c r="Q2915" t="s">
        <v>162</v>
      </c>
      <c r="S2915" t="s">
        <v>463</v>
      </c>
      <c r="T2915" t="s">
        <v>165</v>
      </c>
      <c r="U2915">
        <v>5.0862835485350588E-2</v>
      </c>
      <c r="V2915" t="s">
        <v>162</v>
      </c>
    </row>
    <row r="2916" spans="9:22" x14ac:dyDescent="0.45">
      <c r="I2916" t="s">
        <v>239</v>
      </c>
      <c r="J2916" t="s">
        <v>166</v>
      </c>
      <c r="K2916">
        <v>1.1977319546160681E-2</v>
      </c>
      <c r="L2916" t="s">
        <v>162</v>
      </c>
      <c r="N2916" t="s">
        <v>351</v>
      </c>
      <c r="O2916" t="s">
        <v>166</v>
      </c>
      <c r="P2916">
        <v>6.4740165379829819E-3</v>
      </c>
      <c r="Q2916" t="s">
        <v>162</v>
      </c>
      <c r="S2916" t="s">
        <v>463</v>
      </c>
      <c r="T2916" t="s">
        <v>166</v>
      </c>
      <c r="U2916">
        <v>5.5938813603605081E-3</v>
      </c>
      <c r="V2916" t="s">
        <v>162</v>
      </c>
    </row>
    <row r="2917" spans="9:22" x14ac:dyDescent="0.45">
      <c r="I2917" t="s">
        <v>239</v>
      </c>
      <c r="J2917" t="s">
        <v>167</v>
      </c>
      <c r="K2917">
        <v>3.3609808146599834E-2</v>
      </c>
      <c r="L2917" t="s">
        <v>162</v>
      </c>
      <c r="N2917" t="s">
        <v>351</v>
      </c>
      <c r="O2917" t="s">
        <v>167</v>
      </c>
      <c r="P2917">
        <v>1.2400329137621307E-2</v>
      </c>
      <c r="Q2917" t="s">
        <v>162</v>
      </c>
      <c r="S2917" t="s">
        <v>463</v>
      </c>
      <c r="T2917" t="s">
        <v>167</v>
      </c>
      <c r="U2917">
        <v>1.0970248576725933E-2</v>
      </c>
      <c r="V2917" t="s">
        <v>162</v>
      </c>
    </row>
    <row r="2918" spans="9:22" x14ac:dyDescent="0.45">
      <c r="I2918" t="s">
        <v>239</v>
      </c>
      <c r="J2918" t="s">
        <v>522</v>
      </c>
      <c r="K2918">
        <v>8.2920902454742401E-2</v>
      </c>
      <c r="L2918" t="s">
        <v>162</v>
      </c>
      <c r="N2918" t="s">
        <v>351</v>
      </c>
      <c r="O2918" t="s">
        <v>522</v>
      </c>
      <c r="P2918">
        <v>3.2432432260804681E-2</v>
      </c>
      <c r="Q2918" t="s">
        <v>162</v>
      </c>
      <c r="S2918" t="s">
        <v>463</v>
      </c>
      <c r="T2918" t="s">
        <v>522</v>
      </c>
      <c r="U2918">
        <v>2.7302368272018169E-2</v>
      </c>
      <c r="V2918" t="s">
        <v>162</v>
      </c>
    </row>
    <row r="2919" spans="9:22" x14ac:dyDescent="0.45">
      <c r="I2919" t="s">
        <v>239</v>
      </c>
      <c r="J2919" t="s">
        <v>523</v>
      </c>
      <c r="K2919">
        <v>1.0646313071859429E-2</v>
      </c>
      <c r="L2919" t="s">
        <v>162</v>
      </c>
      <c r="N2919" t="s">
        <v>351</v>
      </c>
      <c r="O2919" t="s">
        <v>523</v>
      </c>
      <c r="P2919">
        <v>7.0762777398379372E-3</v>
      </c>
      <c r="Q2919" t="s">
        <v>162</v>
      </c>
      <c r="S2919" t="s">
        <v>463</v>
      </c>
      <c r="T2919" t="s">
        <v>523</v>
      </c>
      <c r="U2919">
        <v>5.6865848567543772E-3</v>
      </c>
      <c r="V2919" t="s">
        <v>162</v>
      </c>
    </row>
    <row r="2920" spans="9:22" x14ac:dyDescent="0.45">
      <c r="I2920" t="s">
        <v>239</v>
      </c>
      <c r="J2920" t="s">
        <v>524</v>
      </c>
      <c r="K2920">
        <v>5.4615040371800289E-3</v>
      </c>
      <c r="L2920" t="s">
        <v>162</v>
      </c>
      <c r="N2920" t="s">
        <v>351</v>
      </c>
      <c r="O2920" t="s">
        <v>524</v>
      </c>
      <c r="P2920">
        <v>4.3373560496017816E-2</v>
      </c>
      <c r="Q2920" t="s">
        <v>162</v>
      </c>
      <c r="S2920" t="s">
        <v>463</v>
      </c>
      <c r="T2920" t="s">
        <v>524</v>
      </c>
      <c r="U2920">
        <v>3.5367914398658072E-2</v>
      </c>
      <c r="V2920" t="s">
        <v>162</v>
      </c>
    </row>
    <row r="2921" spans="9:22" x14ac:dyDescent="0.45">
      <c r="I2921" t="s">
        <v>239</v>
      </c>
      <c r="J2921" t="s">
        <v>168</v>
      </c>
      <c r="K2921">
        <v>1.4512644487738069E-2</v>
      </c>
      <c r="L2921" t="s">
        <v>162</v>
      </c>
      <c r="N2921" t="s">
        <v>351</v>
      </c>
      <c r="O2921" t="s">
        <v>168</v>
      </c>
      <c r="P2921">
        <v>3.2442015830009913E-2</v>
      </c>
      <c r="Q2921" t="s">
        <v>162</v>
      </c>
      <c r="S2921" t="s">
        <v>463</v>
      </c>
      <c r="T2921" t="s">
        <v>168</v>
      </c>
      <c r="U2921">
        <v>3.6969289430321496E-2</v>
      </c>
      <c r="V2921" t="s">
        <v>162</v>
      </c>
    </row>
    <row r="2922" spans="9:22" x14ac:dyDescent="0.45">
      <c r="I2922" t="s">
        <v>239</v>
      </c>
      <c r="J2922" t="s">
        <v>169</v>
      </c>
      <c r="K2922">
        <v>9.8902214205940225E-3</v>
      </c>
      <c r="L2922" t="s">
        <v>162</v>
      </c>
      <c r="N2922" t="s">
        <v>351</v>
      </c>
      <c r="O2922" t="s">
        <v>169</v>
      </c>
      <c r="P2922">
        <v>3.4445722707417358E-3</v>
      </c>
      <c r="Q2922" t="s">
        <v>162</v>
      </c>
      <c r="S2922" t="s">
        <v>463</v>
      </c>
      <c r="T2922" t="s">
        <v>169</v>
      </c>
      <c r="U2922">
        <v>4.1285039923500541E-3</v>
      </c>
      <c r="V2922" t="s">
        <v>162</v>
      </c>
    </row>
    <row r="2923" spans="9:22" x14ac:dyDescent="0.45">
      <c r="I2923" t="s">
        <v>239</v>
      </c>
      <c r="J2923" t="s">
        <v>170</v>
      </c>
      <c r="K2923">
        <v>2.2535727656940476E-2</v>
      </c>
      <c r="L2923" t="s">
        <v>162</v>
      </c>
      <c r="N2923" t="s">
        <v>351</v>
      </c>
      <c r="O2923" t="s">
        <v>170</v>
      </c>
      <c r="P2923">
        <v>6.8172074044398293E-3</v>
      </c>
      <c r="Q2923" t="s">
        <v>162</v>
      </c>
      <c r="S2923" t="s">
        <v>463</v>
      </c>
      <c r="T2923" t="s">
        <v>170</v>
      </c>
      <c r="U2923">
        <v>8.492181707920753E-3</v>
      </c>
      <c r="V2923" t="s">
        <v>162</v>
      </c>
    </row>
    <row r="2924" spans="9:22" x14ac:dyDescent="0.45">
      <c r="I2924" t="s">
        <v>239</v>
      </c>
      <c r="J2924" t="s">
        <v>525</v>
      </c>
      <c r="K2924">
        <v>5.0369150884938839E-2</v>
      </c>
      <c r="L2924" t="s">
        <v>162</v>
      </c>
      <c r="N2924" t="s">
        <v>351</v>
      </c>
      <c r="O2924" t="s">
        <v>525</v>
      </c>
      <c r="P2924">
        <v>1.8406616153736566E-2</v>
      </c>
      <c r="Q2924" t="s">
        <v>162</v>
      </c>
      <c r="S2924" t="s">
        <v>463</v>
      </c>
      <c r="T2924" t="s">
        <v>525</v>
      </c>
      <c r="U2924">
        <v>2.2572786836512357E-2</v>
      </c>
      <c r="V2924" t="s">
        <v>162</v>
      </c>
    </row>
    <row r="2925" spans="9:22" x14ac:dyDescent="0.45">
      <c r="I2925" t="s">
        <v>239</v>
      </c>
      <c r="J2925" t="s">
        <v>526</v>
      </c>
      <c r="K2925">
        <v>8.0669840059653334E-3</v>
      </c>
      <c r="L2925" t="s">
        <v>162</v>
      </c>
      <c r="N2925" t="s">
        <v>351</v>
      </c>
      <c r="O2925" t="s">
        <v>526</v>
      </c>
      <c r="P2925">
        <v>3.8259660737807021E-3</v>
      </c>
      <c r="Q2925" t="s">
        <v>162</v>
      </c>
      <c r="S2925" t="s">
        <v>463</v>
      </c>
      <c r="T2925" t="s">
        <v>526</v>
      </c>
      <c r="U2925">
        <v>4.501724253480487E-3</v>
      </c>
      <c r="V2925" t="s">
        <v>162</v>
      </c>
    </row>
    <row r="2926" spans="9:22" x14ac:dyDescent="0.45">
      <c r="I2926" t="s">
        <v>239</v>
      </c>
      <c r="J2926" t="s">
        <v>527</v>
      </c>
      <c r="K2926">
        <v>1.0686811626966917E-2</v>
      </c>
      <c r="L2926" t="s">
        <v>162</v>
      </c>
      <c r="N2926" t="s">
        <v>351</v>
      </c>
      <c r="O2926" t="s">
        <v>527</v>
      </c>
      <c r="P2926">
        <v>2.2818938230542169E-2</v>
      </c>
      <c r="Q2926" t="s">
        <v>162</v>
      </c>
      <c r="S2926" t="s">
        <v>463</v>
      </c>
      <c r="T2926" t="s">
        <v>527</v>
      </c>
      <c r="U2926">
        <v>2.6076920889655672E-2</v>
      </c>
      <c r="V2926" t="s">
        <v>162</v>
      </c>
    </row>
    <row r="2927" spans="9:22" x14ac:dyDescent="0.45">
      <c r="I2927" t="s">
        <v>239</v>
      </c>
      <c r="J2927" t="s">
        <v>528</v>
      </c>
      <c r="K2927">
        <v>7.9742933539096852E-2</v>
      </c>
      <c r="L2927" t="s">
        <v>162</v>
      </c>
      <c r="N2927" t="s">
        <v>351</v>
      </c>
      <c r="O2927" t="s">
        <v>528</v>
      </c>
      <c r="P2927">
        <v>8.6950460325475362E-2</v>
      </c>
      <c r="Q2927" t="s">
        <v>162</v>
      </c>
      <c r="S2927" t="s">
        <v>463</v>
      </c>
      <c r="T2927" t="s">
        <v>528</v>
      </c>
      <c r="U2927">
        <v>7.5681832154361528E-2</v>
      </c>
      <c r="V2927" t="s">
        <v>162</v>
      </c>
    </row>
    <row r="2928" spans="9:22" x14ac:dyDescent="0.45">
      <c r="I2928" t="s">
        <v>239</v>
      </c>
      <c r="J2928" t="s">
        <v>529</v>
      </c>
      <c r="K2928">
        <v>3.1965337865941135E-2</v>
      </c>
      <c r="L2928" t="s">
        <v>162</v>
      </c>
      <c r="N2928" t="s">
        <v>351</v>
      </c>
      <c r="O2928" t="s">
        <v>529</v>
      </c>
      <c r="P2928">
        <v>8.61102759707668E-3</v>
      </c>
      <c r="Q2928" t="s">
        <v>162</v>
      </c>
      <c r="S2928" t="s">
        <v>463</v>
      </c>
      <c r="T2928" t="s">
        <v>529</v>
      </c>
      <c r="U2928">
        <v>7.5770626427432604E-3</v>
      </c>
      <c r="V2928" t="s">
        <v>162</v>
      </c>
    </row>
    <row r="2929" spans="9:22" x14ac:dyDescent="0.45">
      <c r="I2929" t="s">
        <v>239</v>
      </c>
      <c r="J2929" t="s">
        <v>530</v>
      </c>
      <c r="K2929">
        <v>6.6440247510718795E-2</v>
      </c>
      <c r="L2929" t="s">
        <v>162</v>
      </c>
      <c r="N2929" t="s">
        <v>351</v>
      </c>
      <c r="O2929" t="s">
        <v>530</v>
      </c>
      <c r="P2929">
        <v>1.7564235036080508E-2</v>
      </c>
      <c r="Q2929" t="s">
        <v>162</v>
      </c>
      <c r="S2929" t="s">
        <v>463</v>
      </c>
      <c r="T2929" t="s">
        <v>530</v>
      </c>
      <c r="U2929">
        <v>1.5029810728558241E-2</v>
      </c>
      <c r="V2929" t="s">
        <v>162</v>
      </c>
    </row>
    <row r="2930" spans="9:22" x14ac:dyDescent="0.45">
      <c r="I2930" t="s">
        <v>239</v>
      </c>
      <c r="J2930" t="s">
        <v>531</v>
      </c>
      <c r="K2930">
        <v>0.1462715387639266</v>
      </c>
      <c r="L2930" t="s">
        <v>162</v>
      </c>
      <c r="N2930" t="s">
        <v>351</v>
      </c>
      <c r="O2930" t="s">
        <v>531</v>
      </c>
      <c r="P2930">
        <v>4.7993905601974689E-2</v>
      </c>
      <c r="Q2930" t="s">
        <v>162</v>
      </c>
      <c r="S2930" t="s">
        <v>463</v>
      </c>
      <c r="T2930" t="s">
        <v>531</v>
      </c>
      <c r="U2930">
        <v>4.0024180330288088E-2</v>
      </c>
      <c r="V2930" t="s">
        <v>162</v>
      </c>
    </row>
    <row r="2931" spans="9:22" x14ac:dyDescent="0.45">
      <c r="I2931" t="s">
        <v>239</v>
      </c>
      <c r="J2931" t="s">
        <v>532</v>
      </c>
      <c r="K2931">
        <v>2.390390739105714E-2</v>
      </c>
      <c r="L2931" t="s">
        <v>162</v>
      </c>
      <c r="N2931" t="s">
        <v>351</v>
      </c>
      <c r="O2931" t="s">
        <v>532</v>
      </c>
      <c r="P2931">
        <v>1.0200937394583817E-2</v>
      </c>
      <c r="Q2931" t="s">
        <v>162</v>
      </c>
      <c r="S2931" t="s">
        <v>463</v>
      </c>
      <c r="T2931" t="s">
        <v>532</v>
      </c>
      <c r="U2931">
        <v>8.0726371302065735E-3</v>
      </c>
      <c r="V2931" t="s">
        <v>162</v>
      </c>
    </row>
    <row r="2932" spans="9:22" x14ac:dyDescent="0.45">
      <c r="I2932" t="s">
        <v>239</v>
      </c>
      <c r="J2932" t="s">
        <v>533</v>
      </c>
      <c r="K2932">
        <v>4.9967347938370953E-2</v>
      </c>
      <c r="L2932" t="s">
        <v>162</v>
      </c>
      <c r="N2932" t="s">
        <v>351</v>
      </c>
      <c r="O2932" t="s">
        <v>533</v>
      </c>
      <c r="P2932">
        <v>6.4090697595007101E-2</v>
      </c>
      <c r="Q2932" t="s">
        <v>162</v>
      </c>
      <c r="S2932" t="s">
        <v>463</v>
      </c>
      <c r="T2932" t="s">
        <v>533</v>
      </c>
      <c r="U2932">
        <v>5.1322206829476677E-2</v>
      </c>
      <c r="V2932" t="s">
        <v>162</v>
      </c>
    </row>
    <row r="2933" spans="9:22" x14ac:dyDescent="0.45">
      <c r="I2933" t="s">
        <v>239</v>
      </c>
      <c r="J2933" t="s">
        <v>534</v>
      </c>
      <c r="K2933">
        <v>3.6203768554049207E-2</v>
      </c>
      <c r="L2933" t="s">
        <v>162</v>
      </c>
      <c r="N2933" t="s">
        <v>351</v>
      </c>
      <c r="O2933" t="s">
        <v>534</v>
      </c>
      <c r="P2933">
        <v>0.10229166993095554</v>
      </c>
      <c r="Q2933" t="s">
        <v>162</v>
      </c>
      <c r="S2933" t="s">
        <v>463</v>
      </c>
      <c r="T2933" t="s">
        <v>534</v>
      </c>
      <c r="U2933">
        <v>0.12210355336950492</v>
      </c>
      <c r="V2933" t="s">
        <v>162</v>
      </c>
    </row>
    <row r="2934" spans="9:22" x14ac:dyDescent="0.45">
      <c r="I2934" t="s">
        <v>239</v>
      </c>
      <c r="J2934" t="s">
        <v>535</v>
      </c>
      <c r="K2934">
        <v>2.3520514008374759E-2</v>
      </c>
      <c r="L2934" t="s">
        <v>162</v>
      </c>
      <c r="N2934" t="s">
        <v>351</v>
      </c>
      <c r="O2934" t="s">
        <v>535</v>
      </c>
      <c r="P2934">
        <v>1.0760273311891501E-2</v>
      </c>
      <c r="Q2934" t="s">
        <v>162</v>
      </c>
      <c r="S2934" t="s">
        <v>463</v>
      </c>
      <c r="T2934" t="s">
        <v>535</v>
      </c>
      <c r="U2934">
        <v>1.3043920616485176E-2</v>
      </c>
      <c r="V2934" t="s">
        <v>162</v>
      </c>
    </row>
    <row r="2935" spans="9:22" x14ac:dyDescent="0.45">
      <c r="I2935" t="s">
        <v>239</v>
      </c>
      <c r="J2935" t="s">
        <v>536</v>
      </c>
      <c r="K2935">
        <v>5.1537289772662503E-2</v>
      </c>
      <c r="L2935" t="s">
        <v>162</v>
      </c>
      <c r="N2935" t="s">
        <v>351</v>
      </c>
      <c r="O2935" t="s">
        <v>536</v>
      </c>
      <c r="P2935">
        <v>2.086602979588912E-2</v>
      </c>
      <c r="Q2935" t="s">
        <v>162</v>
      </c>
      <c r="S2935" t="s">
        <v>463</v>
      </c>
      <c r="T2935" t="s">
        <v>536</v>
      </c>
      <c r="U2935">
        <v>2.6056763165013805E-2</v>
      </c>
      <c r="V2935" t="s">
        <v>162</v>
      </c>
    </row>
    <row r="2936" spans="9:22" x14ac:dyDescent="0.45">
      <c r="I2936" t="s">
        <v>239</v>
      </c>
      <c r="J2936" t="s">
        <v>537</v>
      </c>
      <c r="K2936">
        <v>0.1099196294611109</v>
      </c>
      <c r="L2936" t="s">
        <v>162</v>
      </c>
      <c r="N2936" t="s">
        <v>351</v>
      </c>
      <c r="O2936" t="s">
        <v>537</v>
      </c>
      <c r="P2936">
        <v>5.0286776817125435E-2</v>
      </c>
      <c r="Q2936" t="s">
        <v>162</v>
      </c>
      <c r="S2936" t="s">
        <v>463</v>
      </c>
      <c r="T2936" t="s">
        <v>537</v>
      </c>
      <c r="U2936">
        <v>6.6806270487552666E-2</v>
      </c>
      <c r="V2936" t="s">
        <v>162</v>
      </c>
    </row>
    <row r="2937" spans="9:22" x14ac:dyDescent="0.45">
      <c r="I2937" t="s">
        <v>239</v>
      </c>
      <c r="J2937" t="s">
        <v>538</v>
      </c>
      <c r="K2937">
        <v>1.5815884935380029E-2</v>
      </c>
      <c r="L2937" t="s">
        <v>162</v>
      </c>
      <c r="N2937" t="s">
        <v>351</v>
      </c>
      <c r="O2937" t="s">
        <v>538</v>
      </c>
      <c r="P2937">
        <v>1.0212774278057815E-2</v>
      </c>
      <c r="Q2937" t="s">
        <v>162</v>
      </c>
      <c r="S2937" t="s">
        <v>463</v>
      </c>
      <c r="T2937" t="s">
        <v>538</v>
      </c>
      <c r="U2937">
        <v>1.3630316592846713E-2</v>
      </c>
      <c r="V2937" t="s">
        <v>162</v>
      </c>
    </row>
    <row r="2938" spans="9:22" x14ac:dyDescent="0.45">
      <c r="I2938" t="s">
        <v>239</v>
      </c>
      <c r="J2938" t="s">
        <v>539</v>
      </c>
      <c r="K2938">
        <v>1.7570069856580422E-2</v>
      </c>
      <c r="L2938" t="s">
        <v>162</v>
      </c>
      <c r="N2938" t="s">
        <v>351</v>
      </c>
      <c r="O2938" t="s">
        <v>539</v>
      </c>
      <c r="P2938">
        <v>6.5718065623876248E-2</v>
      </c>
      <c r="Q2938" t="s">
        <v>162</v>
      </c>
      <c r="S2938" t="s">
        <v>463</v>
      </c>
      <c r="T2938" t="s">
        <v>539</v>
      </c>
      <c r="U2938">
        <v>8.3952626854378251E-2</v>
      </c>
      <c r="V2938" t="s">
        <v>162</v>
      </c>
    </row>
    <row r="2939" spans="9:22" x14ac:dyDescent="0.45">
      <c r="I2939" t="s">
        <v>239</v>
      </c>
      <c r="J2939" t="s">
        <v>540</v>
      </c>
      <c r="K2939">
        <v>2.2394273974323454E-6</v>
      </c>
      <c r="L2939" t="s">
        <v>162</v>
      </c>
      <c r="N2939" t="s">
        <v>351</v>
      </c>
      <c r="O2939" t="s">
        <v>540</v>
      </c>
      <c r="P2939">
        <v>3.6928452255141089E-2</v>
      </c>
      <c r="Q2939" t="s">
        <v>162</v>
      </c>
      <c r="S2939" t="s">
        <v>463</v>
      </c>
      <c r="T2939" t="s">
        <v>540</v>
      </c>
      <c r="U2939">
        <v>3.3701024534103931E-2</v>
      </c>
      <c r="V2939" t="s">
        <v>162</v>
      </c>
    </row>
    <row r="2940" spans="9:22" x14ac:dyDescent="0.45">
      <c r="I2940" t="s">
        <v>239</v>
      </c>
      <c r="J2940" t="s">
        <v>541</v>
      </c>
      <c r="K2940">
        <v>1.3726748609426619E-3</v>
      </c>
      <c r="L2940" t="s">
        <v>162</v>
      </c>
      <c r="N2940" t="s">
        <v>351</v>
      </c>
      <c r="O2940" t="s">
        <v>541</v>
      </c>
      <c r="P2940">
        <v>3.9411887242881884E-3</v>
      </c>
      <c r="Q2940" t="s">
        <v>162</v>
      </c>
      <c r="S2940" t="s">
        <v>463</v>
      </c>
      <c r="T2940" t="s">
        <v>541</v>
      </c>
      <c r="U2940">
        <v>3.8765819118955491E-3</v>
      </c>
      <c r="V2940" t="s">
        <v>162</v>
      </c>
    </row>
    <row r="2941" spans="9:22" x14ac:dyDescent="0.45">
      <c r="I2941" t="s">
        <v>239</v>
      </c>
      <c r="J2941" t="s">
        <v>542</v>
      </c>
      <c r="K2941">
        <v>6.9018708893625004E-3</v>
      </c>
      <c r="L2941" t="s">
        <v>162</v>
      </c>
      <c r="N2941" t="s">
        <v>351</v>
      </c>
      <c r="O2941" t="s">
        <v>542</v>
      </c>
      <c r="P2941">
        <v>7.6987778930691069E-3</v>
      </c>
      <c r="Q2941" t="s">
        <v>162</v>
      </c>
      <c r="S2941" t="s">
        <v>463</v>
      </c>
      <c r="T2941" t="s">
        <v>542</v>
      </c>
      <c r="U2941">
        <v>7.9445743948067127E-3</v>
      </c>
      <c r="V2941" t="s">
        <v>162</v>
      </c>
    </row>
    <row r="2942" spans="9:22" x14ac:dyDescent="0.45">
      <c r="I2942" t="s">
        <v>239</v>
      </c>
      <c r="J2942" t="s">
        <v>543</v>
      </c>
      <c r="K2942">
        <v>1.6105322471800017E-2</v>
      </c>
      <c r="L2942" t="s">
        <v>162</v>
      </c>
      <c r="N2942" t="s">
        <v>351</v>
      </c>
      <c r="O2942" t="s">
        <v>543</v>
      </c>
      <c r="P2942">
        <v>1.9085751244840889E-2</v>
      </c>
      <c r="Q2942" t="s">
        <v>162</v>
      </c>
      <c r="S2942" t="s">
        <v>463</v>
      </c>
      <c r="T2942" t="s">
        <v>543</v>
      </c>
      <c r="U2942">
        <v>2.0424513271043585E-2</v>
      </c>
      <c r="V2942" t="s">
        <v>162</v>
      </c>
    </row>
    <row r="2943" spans="9:22" x14ac:dyDescent="0.45">
      <c r="I2943" t="s">
        <v>239</v>
      </c>
      <c r="J2943" t="s">
        <v>544</v>
      </c>
      <c r="K2943">
        <v>0</v>
      </c>
      <c r="L2943" t="s">
        <v>162</v>
      </c>
      <c r="N2943" t="s">
        <v>351</v>
      </c>
      <c r="O2943" t="s">
        <v>544</v>
      </c>
      <c r="P2943">
        <v>3.9789431006635231E-3</v>
      </c>
      <c r="Q2943" t="s">
        <v>162</v>
      </c>
      <c r="S2943" t="s">
        <v>463</v>
      </c>
      <c r="T2943" t="s">
        <v>544</v>
      </c>
      <c r="U2943">
        <v>3.9473390912270166E-3</v>
      </c>
      <c r="V2943" t="s">
        <v>162</v>
      </c>
    </row>
    <row r="2944" spans="9:22" x14ac:dyDescent="0.45">
      <c r="I2944" t="s">
        <v>239</v>
      </c>
      <c r="J2944" t="s">
        <v>545</v>
      </c>
      <c r="K2944">
        <v>0</v>
      </c>
      <c r="L2944" t="s">
        <v>162</v>
      </c>
      <c r="N2944" t="s">
        <v>351</v>
      </c>
      <c r="O2944" t="s">
        <v>545</v>
      </c>
      <c r="P2944">
        <v>2.3413519038484886E-2</v>
      </c>
      <c r="Q2944" t="s">
        <v>162</v>
      </c>
      <c r="S2944" t="s">
        <v>463</v>
      </c>
      <c r="T2944" t="s">
        <v>545</v>
      </c>
      <c r="U2944">
        <v>2.349079735817506E-2</v>
      </c>
      <c r="V2944" t="s">
        <v>162</v>
      </c>
    </row>
    <row r="2945" spans="9:22" x14ac:dyDescent="0.45">
      <c r="I2945" t="s">
        <v>239</v>
      </c>
      <c r="J2945" t="s">
        <v>546</v>
      </c>
      <c r="K2945">
        <v>0</v>
      </c>
      <c r="L2945" t="s">
        <v>162</v>
      </c>
      <c r="N2945" t="s">
        <v>351</v>
      </c>
      <c r="O2945" t="s">
        <v>546</v>
      </c>
      <c r="P2945">
        <v>2.8411912332834046E-2</v>
      </c>
      <c r="Q2945" t="s">
        <v>162</v>
      </c>
      <c r="S2945" t="s">
        <v>463</v>
      </c>
      <c r="T2945" t="s">
        <v>546</v>
      </c>
      <c r="U2945">
        <v>3.1965778129173075E-2</v>
      </c>
      <c r="V2945" t="s">
        <v>162</v>
      </c>
    </row>
    <row r="2946" spans="9:22" x14ac:dyDescent="0.45">
      <c r="I2946" t="s">
        <v>239</v>
      </c>
      <c r="J2946" t="s">
        <v>547</v>
      </c>
      <c r="K2946">
        <v>0</v>
      </c>
      <c r="L2946" t="s">
        <v>162</v>
      </c>
      <c r="N2946" t="s">
        <v>351</v>
      </c>
      <c r="O2946" t="s">
        <v>547</v>
      </c>
      <c r="P2946">
        <v>3.1897531637283716E-3</v>
      </c>
      <c r="Q2946" t="s">
        <v>162</v>
      </c>
      <c r="S2946" t="s">
        <v>463</v>
      </c>
      <c r="T2946" t="s">
        <v>547</v>
      </c>
      <c r="U2946">
        <v>3.4511836801853378E-3</v>
      </c>
      <c r="V2946" t="s">
        <v>162</v>
      </c>
    </row>
    <row r="2947" spans="9:22" x14ac:dyDescent="0.45">
      <c r="I2947" t="s">
        <v>239</v>
      </c>
      <c r="J2947" t="s">
        <v>548</v>
      </c>
      <c r="K2947">
        <v>7.2501241478525932E-3</v>
      </c>
      <c r="L2947" t="s">
        <v>162</v>
      </c>
      <c r="N2947" t="s">
        <v>351</v>
      </c>
      <c r="O2947" t="s">
        <v>548</v>
      </c>
      <c r="P2947">
        <v>6.2732187095727258E-3</v>
      </c>
      <c r="Q2947" t="s">
        <v>162</v>
      </c>
      <c r="S2947" t="s">
        <v>463</v>
      </c>
      <c r="T2947" t="s">
        <v>548</v>
      </c>
      <c r="U2947">
        <v>6.9266780037537277E-3</v>
      </c>
      <c r="V2947" t="s">
        <v>162</v>
      </c>
    </row>
    <row r="2948" spans="9:22" x14ac:dyDescent="0.45">
      <c r="I2948" t="s">
        <v>239</v>
      </c>
      <c r="J2948" t="s">
        <v>549</v>
      </c>
      <c r="K2948">
        <v>1.5695689630530557E-2</v>
      </c>
      <c r="L2948" t="s">
        <v>162</v>
      </c>
      <c r="N2948" t="s">
        <v>351</v>
      </c>
      <c r="O2948" t="s">
        <v>549</v>
      </c>
      <c r="P2948">
        <v>1.5399927276145045E-2</v>
      </c>
      <c r="Q2948" t="s">
        <v>162</v>
      </c>
      <c r="S2948" t="s">
        <v>463</v>
      </c>
      <c r="T2948" t="s">
        <v>549</v>
      </c>
      <c r="U2948">
        <v>1.8302661454561175E-2</v>
      </c>
      <c r="V2948" t="s">
        <v>162</v>
      </c>
    </row>
    <row r="2949" spans="9:22" x14ac:dyDescent="0.45">
      <c r="I2949" t="s">
        <v>239</v>
      </c>
      <c r="J2949" t="s">
        <v>550</v>
      </c>
      <c r="K2949">
        <v>0</v>
      </c>
      <c r="L2949" t="s">
        <v>162</v>
      </c>
      <c r="N2949" t="s">
        <v>351</v>
      </c>
      <c r="O2949" t="s">
        <v>550</v>
      </c>
      <c r="P2949">
        <v>3.3118837236719798E-3</v>
      </c>
      <c r="Q2949" t="s">
        <v>162</v>
      </c>
      <c r="S2949" t="s">
        <v>463</v>
      </c>
      <c r="T2949" t="s">
        <v>550</v>
      </c>
      <c r="U2949">
        <v>3.933891461476352E-3</v>
      </c>
      <c r="V2949" t="s">
        <v>162</v>
      </c>
    </row>
    <row r="2950" spans="9:22" x14ac:dyDescent="0.45">
      <c r="I2950" t="s">
        <v>239</v>
      </c>
      <c r="J2950" t="s">
        <v>551</v>
      </c>
      <c r="K2950">
        <v>0</v>
      </c>
      <c r="L2950" t="s">
        <v>162</v>
      </c>
      <c r="N2950" t="s">
        <v>351</v>
      </c>
      <c r="O2950" t="s">
        <v>551</v>
      </c>
      <c r="P2950">
        <v>1.9606257983256069E-2</v>
      </c>
      <c r="Q2950" t="s">
        <v>162</v>
      </c>
      <c r="S2950" t="s">
        <v>463</v>
      </c>
      <c r="T2950" t="s">
        <v>551</v>
      </c>
      <c r="U2950">
        <v>2.3778679051690718E-2</v>
      </c>
      <c r="V2950" t="s">
        <v>162</v>
      </c>
    </row>
    <row r="2951" spans="9:22" x14ac:dyDescent="0.45">
      <c r="I2951" t="s">
        <v>240</v>
      </c>
      <c r="J2951" t="s">
        <v>161</v>
      </c>
      <c r="K2951">
        <v>0</v>
      </c>
      <c r="L2951" t="s">
        <v>162</v>
      </c>
      <c r="N2951" t="s">
        <v>352</v>
      </c>
      <c r="O2951" t="s">
        <v>161</v>
      </c>
      <c r="P2951">
        <v>3.3279043529527395E-2</v>
      </c>
      <c r="Q2951" t="s">
        <v>162</v>
      </c>
      <c r="S2951" t="s">
        <v>464</v>
      </c>
      <c r="T2951" t="s">
        <v>161</v>
      </c>
      <c r="U2951">
        <v>2.8994625017915009E-2</v>
      </c>
      <c r="V2951" t="s">
        <v>162</v>
      </c>
    </row>
    <row r="2952" spans="9:22" x14ac:dyDescent="0.45">
      <c r="I2952" t="s">
        <v>240</v>
      </c>
      <c r="J2952" t="s">
        <v>163</v>
      </c>
      <c r="K2952">
        <v>1.4633754251864025E-4</v>
      </c>
      <c r="L2952" t="s">
        <v>162</v>
      </c>
      <c r="N2952" t="s">
        <v>352</v>
      </c>
      <c r="O2952" t="s">
        <v>163</v>
      </c>
      <c r="P2952">
        <v>3.630588551103312E-3</v>
      </c>
      <c r="Q2952" t="s">
        <v>162</v>
      </c>
      <c r="S2952" t="s">
        <v>464</v>
      </c>
      <c r="T2952" t="s">
        <v>163</v>
      </c>
      <c r="U2952">
        <v>3.2227602802709261E-3</v>
      </c>
      <c r="V2952" t="s">
        <v>162</v>
      </c>
    </row>
    <row r="2953" spans="9:22" x14ac:dyDescent="0.45">
      <c r="I2953" t="s">
        <v>240</v>
      </c>
      <c r="J2953" t="s">
        <v>164</v>
      </c>
      <c r="K2953">
        <v>7.1360657927589978E-3</v>
      </c>
      <c r="L2953" t="s">
        <v>162</v>
      </c>
      <c r="N2953" t="s">
        <v>352</v>
      </c>
      <c r="O2953" t="s">
        <v>164</v>
      </c>
      <c r="P2953">
        <v>7.1233615805667847E-3</v>
      </c>
      <c r="Q2953" t="s">
        <v>162</v>
      </c>
      <c r="S2953" t="s">
        <v>464</v>
      </c>
      <c r="T2953" t="s">
        <v>164</v>
      </c>
      <c r="U2953">
        <v>6.4729604702724432E-3</v>
      </c>
      <c r="V2953" t="s">
        <v>162</v>
      </c>
    </row>
    <row r="2954" spans="9:22" x14ac:dyDescent="0.45">
      <c r="I2954" t="s">
        <v>240</v>
      </c>
      <c r="J2954" t="s">
        <v>519</v>
      </c>
      <c r="K2954">
        <v>1.9602206005250644E-2</v>
      </c>
      <c r="L2954" t="s">
        <v>162</v>
      </c>
      <c r="N2954" t="s">
        <v>352</v>
      </c>
      <c r="O2954" t="s">
        <v>519</v>
      </c>
      <c r="P2954">
        <v>1.7986512130360149E-2</v>
      </c>
      <c r="Q2954" t="s">
        <v>162</v>
      </c>
      <c r="S2954" t="s">
        <v>464</v>
      </c>
      <c r="T2954" t="s">
        <v>519</v>
      </c>
      <c r="U2954">
        <v>1.5722047138651087E-2</v>
      </c>
      <c r="V2954" t="s">
        <v>162</v>
      </c>
    </row>
    <row r="2955" spans="9:22" x14ac:dyDescent="0.45">
      <c r="I2955" t="s">
        <v>240</v>
      </c>
      <c r="J2955" t="s">
        <v>520</v>
      </c>
      <c r="K2955">
        <v>0</v>
      </c>
      <c r="L2955" t="s">
        <v>162</v>
      </c>
      <c r="N2955" t="s">
        <v>352</v>
      </c>
      <c r="O2955" t="s">
        <v>520</v>
      </c>
      <c r="P2955">
        <v>3.7003888744706779E-3</v>
      </c>
      <c r="Q2955" t="s">
        <v>162</v>
      </c>
      <c r="S2955" t="s">
        <v>464</v>
      </c>
      <c r="T2955" t="s">
        <v>520</v>
      </c>
      <c r="U2955">
        <v>2.9651957530489E-3</v>
      </c>
      <c r="V2955" t="s">
        <v>162</v>
      </c>
    </row>
    <row r="2956" spans="9:22" x14ac:dyDescent="0.45">
      <c r="I2956" t="s">
        <v>240</v>
      </c>
      <c r="J2956" t="s">
        <v>521</v>
      </c>
      <c r="K2956">
        <v>0</v>
      </c>
      <c r="L2956" t="s">
        <v>162</v>
      </c>
      <c r="N2956" t="s">
        <v>352</v>
      </c>
      <c r="O2956" t="s">
        <v>521</v>
      </c>
      <c r="P2956">
        <v>2.4344965861339867E-2</v>
      </c>
      <c r="Q2956" t="s">
        <v>162</v>
      </c>
      <c r="S2956" t="s">
        <v>464</v>
      </c>
      <c r="T2956" t="s">
        <v>521</v>
      </c>
      <c r="U2956">
        <v>1.8439386764456542E-2</v>
      </c>
      <c r="V2956" t="s">
        <v>162</v>
      </c>
    </row>
    <row r="2957" spans="9:22" x14ac:dyDescent="0.45">
      <c r="I2957" t="s">
        <v>240</v>
      </c>
      <c r="J2957" t="s">
        <v>165</v>
      </c>
      <c r="K2957">
        <v>9.7087062995976307E-3</v>
      </c>
      <c r="L2957" t="s">
        <v>162</v>
      </c>
      <c r="N2957" t="s">
        <v>352</v>
      </c>
      <c r="O2957" t="s">
        <v>165</v>
      </c>
      <c r="P2957">
        <v>5.9546533161405055E-2</v>
      </c>
      <c r="Q2957" t="s">
        <v>162</v>
      </c>
      <c r="S2957" t="s">
        <v>464</v>
      </c>
      <c r="T2957" t="s">
        <v>165</v>
      </c>
      <c r="U2957">
        <v>4.936842248631973E-2</v>
      </c>
      <c r="V2957" t="s">
        <v>162</v>
      </c>
    </row>
    <row r="2958" spans="9:22" x14ac:dyDescent="0.45">
      <c r="I2958" t="s">
        <v>240</v>
      </c>
      <c r="J2958" t="s">
        <v>166</v>
      </c>
      <c r="K2958">
        <v>1.1639825836756938E-2</v>
      </c>
      <c r="L2958" t="s">
        <v>162</v>
      </c>
      <c r="N2958" t="s">
        <v>352</v>
      </c>
      <c r="O2958" t="s">
        <v>166</v>
      </c>
      <c r="P2958">
        <v>6.4010592112722529E-3</v>
      </c>
      <c r="Q2958" t="s">
        <v>162</v>
      </c>
      <c r="S2958" t="s">
        <v>464</v>
      </c>
      <c r="T2958" t="s">
        <v>166</v>
      </c>
      <c r="U2958">
        <v>5.1939196509282973E-3</v>
      </c>
      <c r="V2958" t="s">
        <v>162</v>
      </c>
    </row>
    <row r="2959" spans="9:22" x14ac:dyDescent="0.45">
      <c r="I2959" t="s">
        <v>240</v>
      </c>
      <c r="J2959" t="s">
        <v>167</v>
      </c>
      <c r="K2959">
        <v>3.2802601449374594E-2</v>
      </c>
      <c r="L2959" t="s">
        <v>162</v>
      </c>
      <c r="N2959" t="s">
        <v>352</v>
      </c>
      <c r="O2959" t="s">
        <v>167</v>
      </c>
      <c r="P2959">
        <v>1.2550413516254069E-2</v>
      </c>
      <c r="Q2959" t="s">
        <v>162</v>
      </c>
      <c r="S2959" t="s">
        <v>464</v>
      </c>
      <c r="T2959" t="s">
        <v>167</v>
      </c>
      <c r="U2959">
        <v>1.0337493490277466E-2</v>
      </c>
      <c r="V2959" t="s">
        <v>162</v>
      </c>
    </row>
    <row r="2960" spans="9:22" x14ac:dyDescent="0.45">
      <c r="I2960" t="s">
        <v>240</v>
      </c>
      <c r="J2960" t="s">
        <v>522</v>
      </c>
      <c r="K2960">
        <v>8.0136625557900854E-2</v>
      </c>
      <c r="L2960" t="s">
        <v>162</v>
      </c>
      <c r="N2960" t="s">
        <v>352</v>
      </c>
      <c r="O2960" t="s">
        <v>522</v>
      </c>
      <c r="P2960">
        <v>3.1984007633779843E-2</v>
      </c>
      <c r="Q2960" t="s">
        <v>162</v>
      </c>
      <c r="S2960" t="s">
        <v>464</v>
      </c>
      <c r="T2960" t="s">
        <v>522</v>
      </c>
      <c r="U2960">
        <v>2.7285905568440506E-2</v>
      </c>
      <c r="V2960" t="s">
        <v>162</v>
      </c>
    </row>
    <row r="2961" spans="9:22" x14ac:dyDescent="0.45">
      <c r="I2961" t="s">
        <v>240</v>
      </c>
      <c r="J2961" t="s">
        <v>523</v>
      </c>
      <c r="K2961">
        <v>9.634495841173582E-3</v>
      </c>
      <c r="L2961" t="s">
        <v>162</v>
      </c>
      <c r="N2961" t="s">
        <v>352</v>
      </c>
      <c r="O2961" t="s">
        <v>523</v>
      </c>
      <c r="P2961">
        <v>6.7924902275175569E-3</v>
      </c>
      <c r="Q2961" t="s">
        <v>162</v>
      </c>
      <c r="S2961" t="s">
        <v>464</v>
      </c>
      <c r="T2961" t="s">
        <v>523</v>
      </c>
      <c r="U2961">
        <v>5.9447353696422773E-3</v>
      </c>
      <c r="V2961" t="s">
        <v>162</v>
      </c>
    </row>
    <row r="2962" spans="9:22" x14ac:dyDescent="0.45">
      <c r="I2962" t="s">
        <v>240</v>
      </c>
      <c r="J2962" t="s">
        <v>524</v>
      </c>
      <c r="K2962">
        <v>5.2137312298201274E-3</v>
      </c>
      <c r="L2962" t="s">
        <v>162</v>
      </c>
      <c r="N2962" t="s">
        <v>352</v>
      </c>
      <c r="O2962" t="s">
        <v>524</v>
      </c>
      <c r="P2962">
        <v>4.1806699207207469E-2</v>
      </c>
      <c r="Q2962" t="s">
        <v>162</v>
      </c>
      <c r="S2962" t="s">
        <v>464</v>
      </c>
      <c r="T2962" t="s">
        <v>524</v>
      </c>
      <c r="U2962">
        <v>3.6815856047581134E-2</v>
      </c>
      <c r="V2962" t="s">
        <v>162</v>
      </c>
    </row>
    <row r="2963" spans="9:22" x14ac:dyDescent="0.45">
      <c r="I2963" t="s">
        <v>240</v>
      </c>
      <c r="J2963" t="s">
        <v>168</v>
      </c>
      <c r="K2963">
        <v>1.5651157377029781E-2</v>
      </c>
      <c r="L2963" t="s">
        <v>162</v>
      </c>
      <c r="N2963" t="s">
        <v>352</v>
      </c>
      <c r="O2963" t="s">
        <v>168</v>
      </c>
      <c r="P2963">
        <v>3.0751033982749802E-2</v>
      </c>
      <c r="Q2963" t="s">
        <v>162</v>
      </c>
      <c r="S2963" t="s">
        <v>464</v>
      </c>
      <c r="T2963" t="s">
        <v>168</v>
      </c>
      <c r="U2963">
        <v>4.2567195876755337E-2</v>
      </c>
      <c r="V2963" t="s">
        <v>162</v>
      </c>
    </row>
    <row r="2964" spans="9:22" x14ac:dyDescent="0.45">
      <c r="I2964" t="s">
        <v>240</v>
      </c>
      <c r="J2964" t="s">
        <v>169</v>
      </c>
      <c r="K2964">
        <v>9.9807319710972075E-3</v>
      </c>
      <c r="L2964" t="s">
        <v>162</v>
      </c>
      <c r="N2964" t="s">
        <v>352</v>
      </c>
      <c r="O2964" t="s">
        <v>169</v>
      </c>
      <c r="P2964">
        <v>3.2466257882077781E-3</v>
      </c>
      <c r="Q2964" t="s">
        <v>162</v>
      </c>
      <c r="S2964" t="s">
        <v>464</v>
      </c>
      <c r="T2964" t="s">
        <v>169</v>
      </c>
      <c r="U2964">
        <v>4.4087358877635454E-3</v>
      </c>
      <c r="V2964" t="s">
        <v>162</v>
      </c>
    </row>
    <row r="2965" spans="9:22" x14ac:dyDescent="0.45">
      <c r="I2965" t="s">
        <v>240</v>
      </c>
      <c r="J2965" t="s">
        <v>170</v>
      </c>
      <c r="K2965">
        <v>2.2919837779054684E-2</v>
      </c>
      <c r="L2965" t="s">
        <v>162</v>
      </c>
      <c r="N2965" t="s">
        <v>352</v>
      </c>
      <c r="O2965" t="s">
        <v>170</v>
      </c>
      <c r="P2965">
        <v>6.4950354865529409E-3</v>
      </c>
      <c r="Q2965" t="s">
        <v>162</v>
      </c>
      <c r="S2965" t="s">
        <v>464</v>
      </c>
      <c r="T2965" t="s">
        <v>170</v>
      </c>
      <c r="U2965">
        <v>8.642193087615678E-3</v>
      </c>
      <c r="V2965" t="s">
        <v>162</v>
      </c>
    </row>
    <row r="2966" spans="9:22" x14ac:dyDescent="0.45">
      <c r="I2966" t="s">
        <v>240</v>
      </c>
      <c r="J2966" t="s">
        <v>525</v>
      </c>
      <c r="K2966">
        <v>5.4522121979243818E-2</v>
      </c>
      <c r="L2966" t="s">
        <v>162</v>
      </c>
      <c r="N2966" t="s">
        <v>352</v>
      </c>
      <c r="O2966" t="s">
        <v>525</v>
      </c>
      <c r="P2966">
        <v>1.66492421398063E-2</v>
      </c>
      <c r="Q2966" t="s">
        <v>162</v>
      </c>
      <c r="S2966" t="s">
        <v>464</v>
      </c>
      <c r="T2966" t="s">
        <v>525</v>
      </c>
      <c r="U2966">
        <v>2.2622202667143269E-2</v>
      </c>
      <c r="V2966" t="s">
        <v>162</v>
      </c>
    </row>
    <row r="2967" spans="9:22" x14ac:dyDescent="0.45">
      <c r="I2967" t="s">
        <v>240</v>
      </c>
      <c r="J2967" t="s">
        <v>526</v>
      </c>
      <c r="K2967">
        <v>9.31140714631035E-3</v>
      </c>
      <c r="L2967" t="s">
        <v>162</v>
      </c>
      <c r="N2967" t="s">
        <v>352</v>
      </c>
      <c r="O2967" t="s">
        <v>526</v>
      </c>
      <c r="P2967">
        <v>3.3792976166294505E-3</v>
      </c>
      <c r="Q2967" t="s">
        <v>162</v>
      </c>
      <c r="S2967" t="s">
        <v>464</v>
      </c>
      <c r="T2967" t="s">
        <v>526</v>
      </c>
      <c r="U2967">
        <v>4.6564722402261368E-3</v>
      </c>
      <c r="V2967" t="s">
        <v>162</v>
      </c>
    </row>
    <row r="2968" spans="9:22" x14ac:dyDescent="0.45">
      <c r="I2968" t="s">
        <v>240</v>
      </c>
      <c r="J2968" t="s">
        <v>527</v>
      </c>
      <c r="K2968">
        <v>1.267082165405271E-2</v>
      </c>
      <c r="L2968" t="s">
        <v>162</v>
      </c>
      <c r="N2968" t="s">
        <v>352</v>
      </c>
      <c r="O2968" t="s">
        <v>527</v>
      </c>
      <c r="P2968">
        <v>2.1364667123653289E-2</v>
      </c>
      <c r="Q2968" t="s">
        <v>162</v>
      </c>
      <c r="S2968" t="s">
        <v>464</v>
      </c>
      <c r="T2968" t="s">
        <v>527</v>
      </c>
      <c r="U2968">
        <v>2.8722230634080744E-2</v>
      </c>
      <c r="V2968" t="s">
        <v>162</v>
      </c>
    </row>
    <row r="2969" spans="9:22" x14ac:dyDescent="0.45">
      <c r="I2969" t="s">
        <v>240</v>
      </c>
      <c r="J2969" t="s">
        <v>528</v>
      </c>
      <c r="K2969">
        <v>8.8652904900337476E-2</v>
      </c>
      <c r="L2969" t="s">
        <v>162</v>
      </c>
      <c r="N2969" t="s">
        <v>352</v>
      </c>
      <c r="O2969" t="s">
        <v>528</v>
      </c>
      <c r="P2969">
        <v>8.6682601948909047E-2</v>
      </c>
      <c r="Q2969" t="s">
        <v>162</v>
      </c>
      <c r="S2969" t="s">
        <v>464</v>
      </c>
      <c r="T2969" t="s">
        <v>528</v>
      </c>
      <c r="U2969">
        <v>7.6192264971275167E-2</v>
      </c>
      <c r="V2969" t="s">
        <v>162</v>
      </c>
    </row>
    <row r="2970" spans="9:22" x14ac:dyDescent="0.45">
      <c r="I2970" t="s">
        <v>240</v>
      </c>
      <c r="J2970" t="s">
        <v>529</v>
      </c>
      <c r="K2970">
        <v>3.3766832713805657E-2</v>
      </c>
      <c r="L2970" t="s">
        <v>162</v>
      </c>
      <c r="N2970" t="s">
        <v>352</v>
      </c>
      <c r="O2970" t="s">
        <v>529</v>
      </c>
      <c r="P2970">
        <v>8.7964217086598379E-3</v>
      </c>
      <c r="Q2970" t="s">
        <v>162</v>
      </c>
      <c r="S2970" t="s">
        <v>464</v>
      </c>
      <c r="T2970" t="s">
        <v>529</v>
      </c>
      <c r="U2970">
        <v>7.6432076865948634E-3</v>
      </c>
      <c r="V2970" t="s">
        <v>162</v>
      </c>
    </row>
    <row r="2971" spans="9:22" x14ac:dyDescent="0.45">
      <c r="I2971" t="s">
        <v>240</v>
      </c>
      <c r="J2971" t="s">
        <v>530</v>
      </c>
      <c r="K2971">
        <v>6.9899170825500748E-2</v>
      </c>
      <c r="L2971" t="s">
        <v>162</v>
      </c>
      <c r="N2971" t="s">
        <v>352</v>
      </c>
      <c r="O2971" t="s">
        <v>530</v>
      </c>
      <c r="P2971">
        <v>1.7759528290556305E-2</v>
      </c>
      <c r="Q2971" t="s">
        <v>162</v>
      </c>
      <c r="S2971" t="s">
        <v>464</v>
      </c>
      <c r="T2971" t="s">
        <v>530</v>
      </c>
      <c r="U2971">
        <v>1.5489929084500713E-2</v>
      </c>
      <c r="V2971" t="s">
        <v>162</v>
      </c>
    </row>
    <row r="2972" spans="9:22" x14ac:dyDescent="0.45">
      <c r="I2972" t="s">
        <v>240</v>
      </c>
      <c r="J2972" t="s">
        <v>531</v>
      </c>
      <c r="K2972">
        <v>0.1554273663334714</v>
      </c>
      <c r="L2972" t="s">
        <v>162</v>
      </c>
      <c r="N2972" t="s">
        <v>352</v>
      </c>
      <c r="O2972" t="s">
        <v>531</v>
      </c>
      <c r="P2972">
        <v>4.8552698912474546E-2</v>
      </c>
      <c r="Q2972" t="s">
        <v>162</v>
      </c>
      <c r="S2972" t="s">
        <v>464</v>
      </c>
      <c r="T2972" t="s">
        <v>531</v>
      </c>
      <c r="U2972">
        <v>4.1605086606478867E-2</v>
      </c>
      <c r="V2972" t="s">
        <v>162</v>
      </c>
    </row>
    <row r="2973" spans="9:22" x14ac:dyDescent="0.45">
      <c r="I2973" t="s">
        <v>240</v>
      </c>
      <c r="J2973" t="s">
        <v>532</v>
      </c>
      <c r="K2973">
        <v>2.569731171436496E-2</v>
      </c>
      <c r="L2973" t="s">
        <v>162</v>
      </c>
      <c r="N2973" t="s">
        <v>352</v>
      </c>
      <c r="O2973" t="s">
        <v>532</v>
      </c>
      <c r="P2973">
        <v>1.0106546036386908E-2</v>
      </c>
      <c r="Q2973" t="s">
        <v>162</v>
      </c>
      <c r="S2973" t="s">
        <v>464</v>
      </c>
      <c r="T2973" t="s">
        <v>532</v>
      </c>
      <c r="U2973">
        <v>8.8916411871458236E-3</v>
      </c>
      <c r="V2973" t="s">
        <v>162</v>
      </c>
    </row>
    <row r="2974" spans="9:22" x14ac:dyDescent="0.45">
      <c r="I2974" t="s">
        <v>240</v>
      </c>
      <c r="J2974" t="s">
        <v>533</v>
      </c>
      <c r="K2974">
        <v>5.4887821926375577E-2</v>
      </c>
      <c r="L2974" t="s">
        <v>162</v>
      </c>
      <c r="N2974" t="s">
        <v>352</v>
      </c>
      <c r="O2974" t="s">
        <v>533</v>
      </c>
      <c r="P2974">
        <v>6.1477777753645657E-2</v>
      </c>
      <c r="Q2974" t="s">
        <v>162</v>
      </c>
      <c r="S2974" t="s">
        <v>464</v>
      </c>
      <c r="T2974" t="s">
        <v>533</v>
      </c>
      <c r="U2974">
        <v>5.5610966469150758E-2</v>
      </c>
      <c r="V2974" t="s">
        <v>162</v>
      </c>
    </row>
    <row r="2975" spans="9:22" x14ac:dyDescent="0.45">
      <c r="I2975" t="s">
        <v>240</v>
      </c>
      <c r="J2975" t="s">
        <v>534</v>
      </c>
      <c r="K2975">
        <v>3.2488165435294147E-2</v>
      </c>
      <c r="L2975" t="s">
        <v>162</v>
      </c>
      <c r="N2975" t="s">
        <v>352</v>
      </c>
      <c r="O2975" t="s">
        <v>534</v>
      </c>
      <c r="P2975">
        <v>9.9178148710630187E-2</v>
      </c>
      <c r="Q2975" t="s">
        <v>162</v>
      </c>
      <c r="S2975" t="s">
        <v>464</v>
      </c>
      <c r="T2975" t="s">
        <v>534</v>
      </c>
      <c r="U2975">
        <v>0.10264299656168241</v>
      </c>
      <c r="V2975" t="s">
        <v>162</v>
      </c>
    </row>
    <row r="2976" spans="9:22" x14ac:dyDescent="0.45">
      <c r="I2976" t="s">
        <v>240</v>
      </c>
      <c r="J2976" t="s">
        <v>535</v>
      </c>
      <c r="K2976">
        <v>1.9932333120793237E-2</v>
      </c>
      <c r="L2976" t="s">
        <v>162</v>
      </c>
      <c r="N2976" t="s">
        <v>352</v>
      </c>
      <c r="O2976" t="s">
        <v>535</v>
      </c>
      <c r="P2976">
        <v>1.0434786429129619E-2</v>
      </c>
      <c r="Q2976" t="s">
        <v>162</v>
      </c>
      <c r="S2976" t="s">
        <v>464</v>
      </c>
      <c r="T2976" t="s">
        <v>535</v>
      </c>
      <c r="U2976">
        <v>1.0879938823195547E-2</v>
      </c>
      <c r="V2976" t="s">
        <v>162</v>
      </c>
    </row>
    <row r="2977" spans="9:22" x14ac:dyDescent="0.45">
      <c r="I2977" t="s">
        <v>240</v>
      </c>
      <c r="J2977" t="s">
        <v>536</v>
      </c>
      <c r="K2977">
        <v>4.5073830666313118E-2</v>
      </c>
      <c r="L2977" t="s">
        <v>162</v>
      </c>
      <c r="N2977" t="s">
        <v>352</v>
      </c>
      <c r="O2977" t="s">
        <v>536</v>
      </c>
      <c r="P2977">
        <v>2.066445844649915E-2</v>
      </c>
      <c r="Q2977" t="s">
        <v>162</v>
      </c>
      <c r="S2977" t="s">
        <v>464</v>
      </c>
      <c r="T2977" t="s">
        <v>536</v>
      </c>
      <c r="U2977">
        <v>2.1824281214863545E-2</v>
      </c>
      <c r="V2977" t="s">
        <v>162</v>
      </c>
    </row>
    <row r="2978" spans="9:22" x14ac:dyDescent="0.45">
      <c r="I2978" t="s">
        <v>240</v>
      </c>
      <c r="J2978" t="s">
        <v>537</v>
      </c>
      <c r="K2978">
        <v>0.10080829970243207</v>
      </c>
      <c r="L2978" t="s">
        <v>162</v>
      </c>
      <c r="N2978" t="s">
        <v>352</v>
      </c>
      <c r="O2978" t="s">
        <v>537</v>
      </c>
      <c r="P2978">
        <v>5.1970165949767062E-2</v>
      </c>
      <c r="Q2978" t="s">
        <v>162</v>
      </c>
      <c r="S2978" t="s">
        <v>464</v>
      </c>
      <c r="T2978" t="s">
        <v>537</v>
      </c>
      <c r="U2978">
        <v>5.6072401845900954E-2</v>
      </c>
      <c r="V2978" t="s">
        <v>162</v>
      </c>
    </row>
    <row r="2979" spans="9:22" x14ac:dyDescent="0.45">
      <c r="I2979" t="s">
        <v>240</v>
      </c>
      <c r="J2979" t="s">
        <v>538</v>
      </c>
      <c r="K2979">
        <v>1.4377082825978738E-2</v>
      </c>
      <c r="L2979" t="s">
        <v>162</v>
      </c>
      <c r="N2979" t="s">
        <v>352</v>
      </c>
      <c r="O2979" t="s">
        <v>538</v>
      </c>
      <c r="P2979">
        <v>1.006718080488116E-2</v>
      </c>
      <c r="Q2979" t="s">
        <v>162</v>
      </c>
      <c r="S2979" t="s">
        <v>464</v>
      </c>
      <c r="T2979" t="s">
        <v>538</v>
      </c>
      <c r="U2979">
        <v>1.1419699362503982E-2</v>
      </c>
      <c r="V2979" t="s">
        <v>162</v>
      </c>
    </row>
    <row r="2980" spans="9:22" x14ac:dyDescent="0.45">
      <c r="I2980" t="s">
        <v>240</v>
      </c>
      <c r="J2980" t="s">
        <v>539</v>
      </c>
      <c r="K2980">
        <v>1.7160888308349484E-2</v>
      </c>
      <c r="L2980" t="s">
        <v>162</v>
      </c>
      <c r="N2980" t="s">
        <v>352</v>
      </c>
      <c r="O2980" t="s">
        <v>539</v>
      </c>
      <c r="P2980">
        <v>6.3542940769009487E-2</v>
      </c>
      <c r="Q2980" t="s">
        <v>162</v>
      </c>
      <c r="S2980" t="s">
        <v>464</v>
      </c>
      <c r="T2980" t="s">
        <v>539</v>
      </c>
      <c r="U2980">
        <v>7.0447546449169909E-2</v>
      </c>
      <c r="V2980" t="s">
        <v>162</v>
      </c>
    </row>
    <row r="2981" spans="9:22" x14ac:dyDescent="0.45">
      <c r="I2981" t="s">
        <v>240</v>
      </c>
      <c r="J2981" t="s">
        <v>540</v>
      </c>
      <c r="K2981">
        <v>0</v>
      </c>
      <c r="L2981" t="s">
        <v>162</v>
      </c>
      <c r="N2981" t="s">
        <v>352</v>
      </c>
      <c r="O2981" t="s">
        <v>540</v>
      </c>
      <c r="P2981">
        <v>3.3467661282486516E-2</v>
      </c>
      <c r="Q2981" t="s">
        <v>162</v>
      </c>
      <c r="S2981" t="s">
        <v>464</v>
      </c>
      <c r="T2981" t="s">
        <v>540</v>
      </c>
      <c r="U2981">
        <v>3.2495388216281326E-2</v>
      </c>
      <c r="V2981" t="s">
        <v>162</v>
      </c>
    </row>
    <row r="2982" spans="9:22" x14ac:dyDescent="0.45">
      <c r="I2982" t="s">
        <v>240</v>
      </c>
      <c r="J2982" t="s">
        <v>541</v>
      </c>
      <c r="K2982">
        <v>1.281957179474825E-3</v>
      </c>
      <c r="L2982" t="s">
        <v>162</v>
      </c>
      <c r="N2982" t="s">
        <v>352</v>
      </c>
      <c r="O2982" t="s">
        <v>541</v>
      </c>
      <c r="P2982">
        <v>3.5301324912014116E-3</v>
      </c>
      <c r="Q2982" t="s">
        <v>162</v>
      </c>
      <c r="S2982" t="s">
        <v>464</v>
      </c>
      <c r="T2982" t="s">
        <v>541</v>
      </c>
      <c r="U2982">
        <v>3.4388171933927929E-3</v>
      </c>
      <c r="V2982" t="s">
        <v>162</v>
      </c>
    </row>
    <row r="2983" spans="9:22" x14ac:dyDescent="0.45">
      <c r="I2983" t="s">
        <v>240</v>
      </c>
      <c r="J2983" t="s">
        <v>542</v>
      </c>
      <c r="K2983">
        <v>6.3604369423480127E-3</v>
      </c>
      <c r="L2983" t="s">
        <v>162</v>
      </c>
      <c r="N2983" t="s">
        <v>352</v>
      </c>
      <c r="O2983" t="s">
        <v>542</v>
      </c>
      <c r="P2983">
        <v>6.9558166432558575E-3</v>
      </c>
      <c r="Q2983" t="s">
        <v>162</v>
      </c>
      <c r="S2983" t="s">
        <v>464</v>
      </c>
      <c r="T2983" t="s">
        <v>542</v>
      </c>
      <c r="U2983">
        <v>7.1322224122477894E-3</v>
      </c>
      <c r="V2983" t="s">
        <v>162</v>
      </c>
    </row>
    <row r="2984" spans="9:22" x14ac:dyDescent="0.45">
      <c r="I2984" t="s">
        <v>240</v>
      </c>
      <c r="J2984" t="s">
        <v>543</v>
      </c>
      <c r="K2984">
        <v>1.3223538859057783E-2</v>
      </c>
      <c r="L2984" t="s">
        <v>162</v>
      </c>
      <c r="N2984" t="s">
        <v>352</v>
      </c>
      <c r="O2984" t="s">
        <v>543</v>
      </c>
      <c r="P2984">
        <v>1.7274738107169483E-2</v>
      </c>
      <c r="Q2984" t="s">
        <v>162</v>
      </c>
      <c r="S2984" t="s">
        <v>464</v>
      </c>
      <c r="T2984" t="s">
        <v>543</v>
      </c>
      <c r="U2984">
        <v>2.0160583503391571E-2</v>
      </c>
      <c r="V2984" t="s">
        <v>162</v>
      </c>
    </row>
    <row r="2985" spans="9:22" x14ac:dyDescent="0.45">
      <c r="I2985" t="s">
        <v>240</v>
      </c>
      <c r="J2985" t="s">
        <v>544</v>
      </c>
      <c r="K2985">
        <v>0</v>
      </c>
      <c r="L2985" t="s">
        <v>162</v>
      </c>
      <c r="N2985" t="s">
        <v>352</v>
      </c>
      <c r="O2985" t="s">
        <v>544</v>
      </c>
      <c r="P2985">
        <v>3.5208576763947333E-3</v>
      </c>
      <c r="Q2985" t="s">
        <v>162</v>
      </c>
      <c r="S2985" t="s">
        <v>464</v>
      </c>
      <c r="T2985" t="s">
        <v>544</v>
      </c>
      <c r="U2985">
        <v>4.1180979882157326E-3</v>
      </c>
      <c r="V2985" t="s">
        <v>162</v>
      </c>
    </row>
    <row r="2986" spans="9:22" x14ac:dyDescent="0.45">
      <c r="I2986" t="s">
        <v>240</v>
      </c>
      <c r="J2986" t="s">
        <v>545</v>
      </c>
      <c r="K2986">
        <v>0</v>
      </c>
      <c r="L2986" t="s">
        <v>162</v>
      </c>
      <c r="N2986" t="s">
        <v>352</v>
      </c>
      <c r="O2986" t="s">
        <v>545</v>
      </c>
      <c r="P2986">
        <v>2.1565084470293549E-2</v>
      </c>
      <c r="Q2986" t="s">
        <v>162</v>
      </c>
      <c r="S2986" t="s">
        <v>464</v>
      </c>
      <c r="T2986" t="s">
        <v>545</v>
      </c>
      <c r="U2986">
        <v>2.4222627234008455E-2</v>
      </c>
      <c r="V2986" t="s">
        <v>162</v>
      </c>
    </row>
    <row r="2987" spans="9:22" x14ac:dyDescent="0.45">
      <c r="I2987" t="s">
        <v>240</v>
      </c>
      <c r="J2987" t="s">
        <v>546</v>
      </c>
      <c r="K2987">
        <v>0</v>
      </c>
      <c r="L2987" t="s">
        <v>162</v>
      </c>
      <c r="N2987" t="s">
        <v>352</v>
      </c>
      <c r="O2987" t="s">
        <v>546</v>
      </c>
      <c r="P2987">
        <v>3.4515829646978718E-2</v>
      </c>
      <c r="Q2987" t="s">
        <v>162</v>
      </c>
      <c r="S2987" t="s">
        <v>464</v>
      </c>
      <c r="T2987" t="s">
        <v>546</v>
      </c>
      <c r="U2987">
        <v>3.9744203625531417E-2</v>
      </c>
      <c r="V2987" t="s">
        <v>162</v>
      </c>
    </row>
    <row r="2988" spans="9:22" x14ac:dyDescent="0.45">
      <c r="I2988" t="s">
        <v>240</v>
      </c>
      <c r="J2988" t="s">
        <v>547</v>
      </c>
      <c r="K2988">
        <v>0</v>
      </c>
      <c r="L2988" t="s">
        <v>162</v>
      </c>
      <c r="N2988" t="s">
        <v>352</v>
      </c>
      <c r="O2988" t="s">
        <v>547</v>
      </c>
      <c r="P2988">
        <v>3.9679542005462117E-3</v>
      </c>
      <c r="Q2988" t="s">
        <v>162</v>
      </c>
      <c r="S2988" t="s">
        <v>464</v>
      </c>
      <c r="T2988" t="s">
        <v>547</v>
      </c>
      <c r="U2988">
        <v>4.6661489350261287E-3</v>
      </c>
      <c r="V2988" t="s">
        <v>162</v>
      </c>
    </row>
    <row r="2989" spans="9:22" x14ac:dyDescent="0.45">
      <c r="I2989" t="s">
        <v>240</v>
      </c>
      <c r="J2989" t="s">
        <v>548</v>
      </c>
      <c r="K2989">
        <v>5.9849835798251819E-3</v>
      </c>
      <c r="L2989" t="s">
        <v>162</v>
      </c>
      <c r="N2989" t="s">
        <v>352</v>
      </c>
      <c r="O2989" t="s">
        <v>548</v>
      </c>
      <c r="P2989">
        <v>8.106228334841677E-3</v>
      </c>
      <c r="Q2989" t="s">
        <v>162</v>
      </c>
      <c r="S2989" t="s">
        <v>464</v>
      </c>
      <c r="T2989" t="s">
        <v>548</v>
      </c>
      <c r="U2989">
        <v>9.381115767626751E-3</v>
      </c>
      <c r="V2989" t="s">
        <v>162</v>
      </c>
    </row>
    <row r="2990" spans="9:22" x14ac:dyDescent="0.45">
      <c r="I2990" t="s">
        <v>240</v>
      </c>
      <c r="J2990" t="s">
        <v>549</v>
      </c>
      <c r="K2990">
        <v>1.3900401504336361E-2</v>
      </c>
      <c r="L2990" t="s">
        <v>162</v>
      </c>
      <c r="N2990" t="s">
        <v>352</v>
      </c>
      <c r="O2990" t="s">
        <v>549</v>
      </c>
      <c r="P2990">
        <v>1.9925928134799348E-2</v>
      </c>
      <c r="Q2990" t="s">
        <v>162</v>
      </c>
      <c r="S2990" t="s">
        <v>464</v>
      </c>
      <c r="T2990" t="s">
        <v>549</v>
      </c>
      <c r="U2990">
        <v>2.3055509191757865E-2</v>
      </c>
      <c r="V2990" t="s">
        <v>162</v>
      </c>
    </row>
    <row r="2991" spans="9:22" x14ac:dyDescent="0.45">
      <c r="I2991" t="s">
        <v>240</v>
      </c>
      <c r="J2991" t="s">
        <v>550</v>
      </c>
      <c r="K2991">
        <v>0</v>
      </c>
      <c r="L2991" t="s">
        <v>162</v>
      </c>
      <c r="N2991" t="s">
        <v>352</v>
      </c>
      <c r="O2991" t="s">
        <v>550</v>
      </c>
      <c r="P2991">
        <v>3.9333308256595456E-3</v>
      </c>
      <c r="Q2991" t="s">
        <v>162</v>
      </c>
      <c r="S2991" t="s">
        <v>464</v>
      </c>
      <c r="T2991" t="s">
        <v>550</v>
      </c>
      <c r="U2991">
        <v>4.4343057755438621E-3</v>
      </c>
      <c r="V2991" t="s">
        <v>162</v>
      </c>
    </row>
    <row r="2992" spans="9:22" x14ac:dyDescent="0.45">
      <c r="I2992" t="s">
        <v>240</v>
      </c>
      <c r="J2992" t="s">
        <v>551</v>
      </c>
      <c r="K2992">
        <v>0</v>
      </c>
      <c r="L2992" t="s">
        <v>162</v>
      </c>
      <c r="N2992" t="s">
        <v>352</v>
      </c>
      <c r="O2992" t="s">
        <v>551</v>
      </c>
      <c r="P2992">
        <v>2.2971216803420003E-2</v>
      </c>
      <c r="Q2992" t="s">
        <v>162</v>
      </c>
      <c r="S2992" t="s">
        <v>464</v>
      </c>
      <c r="T2992" t="s">
        <v>551</v>
      </c>
      <c r="U2992">
        <v>2.6048681463123075E-2</v>
      </c>
      <c r="V2992" t="s">
        <v>162</v>
      </c>
    </row>
    <row r="2993" spans="9:22" x14ac:dyDescent="0.45">
      <c r="I2993" t="s">
        <v>241</v>
      </c>
      <c r="J2993" t="s">
        <v>161</v>
      </c>
      <c r="K2993">
        <v>0</v>
      </c>
      <c r="L2993" t="s">
        <v>162</v>
      </c>
      <c r="N2993" t="s">
        <v>353</v>
      </c>
      <c r="O2993" t="s">
        <v>161</v>
      </c>
      <c r="P2993">
        <v>4.1055756786344204E-2</v>
      </c>
      <c r="Q2993" t="s">
        <v>162</v>
      </c>
      <c r="S2993" t="s">
        <v>465</v>
      </c>
      <c r="T2993" t="s">
        <v>161</v>
      </c>
      <c r="U2993">
        <v>2.8782809946771945E-2</v>
      </c>
      <c r="V2993" t="s">
        <v>162</v>
      </c>
    </row>
    <row r="2994" spans="9:22" x14ac:dyDescent="0.45">
      <c r="I2994" t="s">
        <v>241</v>
      </c>
      <c r="J2994" t="s">
        <v>163</v>
      </c>
      <c r="K2994">
        <v>8.0042422707841487E-4</v>
      </c>
      <c r="L2994" t="s">
        <v>162</v>
      </c>
      <c r="N2994" t="s">
        <v>353</v>
      </c>
      <c r="O2994" t="s">
        <v>163</v>
      </c>
      <c r="P2994">
        <v>4.6765827849981484E-3</v>
      </c>
      <c r="Q2994" t="s">
        <v>162</v>
      </c>
      <c r="S2994" t="s">
        <v>465</v>
      </c>
      <c r="T2994" t="s">
        <v>163</v>
      </c>
      <c r="U2994">
        <v>3.2105919384522639E-3</v>
      </c>
      <c r="V2994" t="s">
        <v>162</v>
      </c>
    </row>
    <row r="2995" spans="9:22" x14ac:dyDescent="0.45">
      <c r="I2995" t="s">
        <v>241</v>
      </c>
      <c r="J2995" t="s">
        <v>164</v>
      </c>
      <c r="K2995">
        <v>8.5945907765920468E-3</v>
      </c>
      <c r="L2995" t="s">
        <v>162</v>
      </c>
      <c r="N2995" t="s">
        <v>353</v>
      </c>
      <c r="O2995" t="s">
        <v>164</v>
      </c>
      <c r="P2995">
        <v>9.0977206137698267E-3</v>
      </c>
      <c r="Q2995" t="s">
        <v>162</v>
      </c>
      <c r="S2995" t="s">
        <v>465</v>
      </c>
      <c r="T2995" t="s">
        <v>164</v>
      </c>
      <c r="U2995">
        <v>6.682996644048699E-3</v>
      </c>
      <c r="V2995" t="s">
        <v>162</v>
      </c>
    </row>
    <row r="2996" spans="9:22" x14ac:dyDescent="0.45">
      <c r="I2996" t="s">
        <v>241</v>
      </c>
      <c r="J2996" t="s">
        <v>519</v>
      </c>
      <c r="K2996">
        <v>2.0677521551640991E-2</v>
      </c>
      <c r="L2996" t="s">
        <v>162</v>
      </c>
      <c r="N2996" t="s">
        <v>353</v>
      </c>
      <c r="O2996" t="s">
        <v>519</v>
      </c>
      <c r="P2996">
        <v>2.221401809593148E-2</v>
      </c>
      <c r="Q2996" t="s">
        <v>162</v>
      </c>
      <c r="S2996" t="s">
        <v>465</v>
      </c>
      <c r="T2996" t="s">
        <v>519</v>
      </c>
      <c r="U2996">
        <v>1.7135451542027981E-2</v>
      </c>
      <c r="V2996" t="s">
        <v>162</v>
      </c>
    </row>
    <row r="2997" spans="9:22" x14ac:dyDescent="0.45">
      <c r="I2997" t="s">
        <v>241</v>
      </c>
      <c r="J2997" t="s">
        <v>520</v>
      </c>
      <c r="K2997">
        <v>0</v>
      </c>
      <c r="L2997" t="s">
        <v>162</v>
      </c>
      <c r="N2997" t="s">
        <v>353</v>
      </c>
      <c r="O2997" t="s">
        <v>520</v>
      </c>
      <c r="P2997">
        <v>4.3069316375065345E-3</v>
      </c>
      <c r="Q2997" t="s">
        <v>162</v>
      </c>
      <c r="S2997" t="s">
        <v>465</v>
      </c>
      <c r="T2997" t="s">
        <v>520</v>
      </c>
      <c r="U2997">
        <v>3.4174805242806533E-3</v>
      </c>
      <c r="V2997" t="s">
        <v>162</v>
      </c>
    </row>
    <row r="2998" spans="9:22" x14ac:dyDescent="0.45">
      <c r="I2998" t="s">
        <v>241</v>
      </c>
      <c r="J2998" t="s">
        <v>521</v>
      </c>
      <c r="K2998">
        <v>0</v>
      </c>
      <c r="L2998" t="s">
        <v>162</v>
      </c>
      <c r="N2998" t="s">
        <v>353</v>
      </c>
      <c r="O2998" t="s">
        <v>521</v>
      </c>
      <c r="P2998">
        <v>2.6145123986227817E-2</v>
      </c>
      <c r="Q2998" t="s">
        <v>162</v>
      </c>
      <c r="S2998" t="s">
        <v>465</v>
      </c>
      <c r="T2998" t="s">
        <v>521</v>
      </c>
      <c r="U2998">
        <v>2.0768540797295107E-2</v>
      </c>
      <c r="V2998" t="s">
        <v>162</v>
      </c>
    </row>
    <row r="2999" spans="9:22" x14ac:dyDescent="0.45">
      <c r="I2999" t="s">
        <v>241</v>
      </c>
      <c r="J2999" t="s">
        <v>165</v>
      </c>
      <c r="K2999">
        <v>1.1931702632336866E-2</v>
      </c>
      <c r="L2999" t="s">
        <v>162</v>
      </c>
      <c r="N2999" t="s">
        <v>353</v>
      </c>
      <c r="O2999" t="s">
        <v>165</v>
      </c>
      <c r="P2999">
        <v>6.5390749944640267E-2</v>
      </c>
      <c r="Q2999" t="s">
        <v>162</v>
      </c>
      <c r="S2999" t="s">
        <v>465</v>
      </c>
      <c r="T2999" t="s">
        <v>165</v>
      </c>
      <c r="U2999">
        <v>5.2622336815900735E-2</v>
      </c>
      <c r="V2999" t="s">
        <v>162</v>
      </c>
    </row>
    <row r="3000" spans="9:22" x14ac:dyDescent="0.45">
      <c r="I3000" t="s">
        <v>241</v>
      </c>
      <c r="J3000" t="s">
        <v>166</v>
      </c>
      <c r="K3000">
        <v>1.329289139031568E-2</v>
      </c>
      <c r="L3000" t="s">
        <v>162</v>
      </c>
      <c r="N3000" t="s">
        <v>353</v>
      </c>
      <c r="O3000" t="s">
        <v>166</v>
      </c>
      <c r="P3000">
        <v>7.1439949303324212E-3</v>
      </c>
      <c r="Q3000" t="s">
        <v>162</v>
      </c>
      <c r="S3000" t="s">
        <v>465</v>
      </c>
      <c r="T3000" t="s">
        <v>166</v>
      </c>
      <c r="U3000">
        <v>5.4925743632375538E-3</v>
      </c>
      <c r="V3000" t="s">
        <v>162</v>
      </c>
    </row>
    <row r="3001" spans="9:22" x14ac:dyDescent="0.45">
      <c r="I3001" t="s">
        <v>241</v>
      </c>
      <c r="J3001" t="s">
        <v>167</v>
      </c>
      <c r="K3001">
        <v>3.4672932463720031E-2</v>
      </c>
      <c r="L3001" t="s">
        <v>162</v>
      </c>
      <c r="N3001" t="s">
        <v>353</v>
      </c>
      <c r="O3001" t="s">
        <v>167</v>
      </c>
      <c r="P3001">
        <v>1.3569094416661981E-2</v>
      </c>
      <c r="Q3001" t="s">
        <v>162</v>
      </c>
      <c r="S3001" t="s">
        <v>465</v>
      </c>
      <c r="T3001" t="s">
        <v>167</v>
      </c>
      <c r="U3001">
        <v>1.0675498757989014E-2</v>
      </c>
      <c r="V3001" t="s">
        <v>162</v>
      </c>
    </row>
    <row r="3002" spans="9:22" x14ac:dyDescent="0.45">
      <c r="I3002" t="s">
        <v>241</v>
      </c>
      <c r="J3002" t="s">
        <v>522</v>
      </c>
      <c r="K3002">
        <v>8.4956690177610858E-2</v>
      </c>
      <c r="L3002" t="s">
        <v>162</v>
      </c>
      <c r="N3002" t="s">
        <v>353</v>
      </c>
      <c r="O3002" t="s">
        <v>522</v>
      </c>
      <c r="P3002">
        <v>3.27929588079807E-2</v>
      </c>
      <c r="Q3002" t="s">
        <v>162</v>
      </c>
      <c r="S3002" t="s">
        <v>465</v>
      </c>
      <c r="T3002" t="s">
        <v>522</v>
      </c>
      <c r="U3002">
        <v>2.8845898701007608E-2</v>
      </c>
      <c r="V3002" t="s">
        <v>162</v>
      </c>
    </row>
    <row r="3003" spans="9:22" x14ac:dyDescent="0.45">
      <c r="I3003" t="s">
        <v>241</v>
      </c>
      <c r="J3003" t="s">
        <v>523</v>
      </c>
      <c r="K3003">
        <v>9.2740021620115048E-3</v>
      </c>
      <c r="L3003" t="s">
        <v>162</v>
      </c>
      <c r="N3003" t="s">
        <v>353</v>
      </c>
      <c r="O3003" t="s">
        <v>523</v>
      </c>
      <c r="P3003">
        <v>6.8131354747746628E-3</v>
      </c>
      <c r="Q3003" t="s">
        <v>162</v>
      </c>
      <c r="S3003" t="s">
        <v>465</v>
      </c>
      <c r="T3003" t="s">
        <v>523</v>
      </c>
      <c r="U3003">
        <v>6.6448702596314949E-3</v>
      </c>
      <c r="V3003" t="s">
        <v>162</v>
      </c>
    </row>
    <row r="3004" spans="9:22" x14ac:dyDescent="0.45">
      <c r="I3004" t="s">
        <v>241</v>
      </c>
      <c r="J3004" t="s">
        <v>524</v>
      </c>
      <c r="K3004">
        <v>4.2567312993415313E-3</v>
      </c>
      <c r="L3004" t="s">
        <v>162</v>
      </c>
      <c r="N3004" t="s">
        <v>353</v>
      </c>
      <c r="O3004" t="s">
        <v>524</v>
      </c>
      <c r="P3004">
        <v>4.1861021969069288E-2</v>
      </c>
      <c r="Q3004" t="s">
        <v>162</v>
      </c>
      <c r="S3004" t="s">
        <v>465</v>
      </c>
      <c r="T3004" t="s">
        <v>524</v>
      </c>
      <c r="U3004">
        <v>4.0465032469813263E-2</v>
      </c>
      <c r="V3004" t="s">
        <v>162</v>
      </c>
    </row>
    <row r="3005" spans="9:22" x14ac:dyDescent="0.45">
      <c r="I3005" t="s">
        <v>241</v>
      </c>
      <c r="J3005" t="s">
        <v>168</v>
      </c>
      <c r="K3005">
        <v>1.4920978315197278E-2</v>
      </c>
      <c r="L3005" t="s">
        <v>162</v>
      </c>
      <c r="N3005" t="s">
        <v>353</v>
      </c>
      <c r="O3005" t="s">
        <v>168</v>
      </c>
      <c r="P3005">
        <v>2.7515908894765385E-2</v>
      </c>
      <c r="Q3005" t="s">
        <v>162</v>
      </c>
      <c r="S3005" t="s">
        <v>465</v>
      </c>
      <c r="T3005" t="s">
        <v>168</v>
      </c>
      <c r="U3005">
        <v>4.1997556755977647E-2</v>
      </c>
      <c r="V3005" t="s">
        <v>162</v>
      </c>
    </row>
    <row r="3006" spans="9:22" x14ac:dyDescent="0.45">
      <c r="I3006" t="s">
        <v>241</v>
      </c>
      <c r="J3006" t="s">
        <v>169</v>
      </c>
      <c r="K3006">
        <v>9.1090994556248892E-3</v>
      </c>
      <c r="L3006" t="s">
        <v>162</v>
      </c>
      <c r="N3006" t="s">
        <v>353</v>
      </c>
      <c r="O3006" t="s">
        <v>169</v>
      </c>
      <c r="P3006">
        <v>2.824425994659372E-3</v>
      </c>
      <c r="Q3006" t="s">
        <v>162</v>
      </c>
      <c r="S3006" t="s">
        <v>465</v>
      </c>
      <c r="T3006" t="s">
        <v>169</v>
      </c>
      <c r="U3006">
        <v>4.2192574516993486E-3</v>
      </c>
      <c r="V3006" t="s">
        <v>162</v>
      </c>
    </row>
    <row r="3007" spans="9:22" x14ac:dyDescent="0.45">
      <c r="I3007" t="s">
        <v>241</v>
      </c>
      <c r="J3007" t="s">
        <v>170</v>
      </c>
      <c r="K3007">
        <v>2.2058703884870863E-2</v>
      </c>
      <c r="L3007" t="s">
        <v>162</v>
      </c>
      <c r="N3007" t="s">
        <v>353</v>
      </c>
      <c r="O3007" t="s">
        <v>170</v>
      </c>
      <c r="P3007">
        <v>5.8898153958389671E-3</v>
      </c>
      <c r="Q3007" t="s">
        <v>162</v>
      </c>
      <c r="S3007" t="s">
        <v>465</v>
      </c>
      <c r="T3007" t="s">
        <v>170</v>
      </c>
      <c r="U3007">
        <v>8.4335569319355964E-3</v>
      </c>
      <c r="V3007" t="s">
        <v>162</v>
      </c>
    </row>
    <row r="3008" spans="9:22" x14ac:dyDescent="0.45">
      <c r="I3008" t="s">
        <v>241</v>
      </c>
      <c r="J3008" t="s">
        <v>525</v>
      </c>
      <c r="K3008">
        <v>5.3581769046152951E-2</v>
      </c>
      <c r="L3008" t="s">
        <v>162</v>
      </c>
      <c r="N3008" t="s">
        <v>353</v>
      </c>
      <c r="O3008" t="s">
        <v>525</v>
      </c>
      <c r="P3008">
        <v>1.6001506251307841E-2</v>
      </c>
      <c r="Q3008" t="s">
        <v>162</v>
      </c>
      <c r="S3008" t="s">
        <v>465</v>
      </c>
      <c r="T3008" t="s">
        <v>525</v>
      </c>
      <c r="U3008">
        <v>2.1727262003369413E-2</v>
      </c>
      <c r="V3008" t="s">
        <v>162</v>
      </c>
    </row>
    <row r="3009" spans="9:22" x14ac:dyDescent="0.45">
      <c r="I3009" t="s">
        <v>241</v>
      </c>
      <c r="J3009" t="s">
        <v>526</v>
      </c>
      <c r="K3009">
        <v>7.8967172721096622E-3</v>
      </c>
      <c r="L3009" t="s">
        <v>162</v>
      </c>
      <c r="N3009" t="s">
        <v>353</v>
      </c>
      <c r="O3009" t="s">
        <v>526</v>
      </c>
      <c r="P3009">
        <v>3.3703421069273859E-3</v>
      </c>
      <c r="Q3009" t="s">
        <v>162</v>
      </c>
      <c r="S3009" t="s">
        <v>465</v>
      </c>
      <c r="T3009" t="s">
        <v>526</v>
      </c>
      <c r="U3009">
        <v>4.360233071916346E-3</v>
      </c>
      <c r="V3009" t="s">
        <v>162</v>
      </c>
    </row>
    <row r="3010" spans="9:22" x14ac:dyDescent="0.45">
      <c r="I3010" t="s">
        <v>241</v>
      </c>
      <c r="J3010" t="s">
        <v>527</v>
      </c>
      <c r="K3010">
        <v>9.1379421011533526E-3</v>
      </c>
      <c r="L3010" t="s">
        <v>162</v>
      </c>
      <c r="N3010" t="s">
        <v>353</v>
      </c>
      <c r="O3010" t="s">
        <v>527</v>
      </c>
      <c r="P3010">
        <v>2.040668523333802E-2</v>
      </c>
      <c r="Q3010" t="s">
        <v>162</v>
      </c>
      <c r="S3010" t="s">
        <v>465</v>
      </c>
      <c r="T3010" t="s">
        <v>527</v>
      </c>
      <c r="U3010">
        <v>2.7580794716020703E-2</v>
      </c>
      <c r="V3010" t="s">
        <v>162</v>
      </c>
    </row>
    <row r="3011" spans="9:22" x14ac:dyDescent="0.45">
      <c r="I3011" t="s">
        <v>241</v>
      </c>
      <c r="J3011" t="s">
        <v>528</v>
      </c>
      <c r="K3011">
        <v>8.7318539328802361E-2</v>
      </c>
      <c r="L3011" t="s">
        <v>162</v>
      </c>
      <c r="N3011" t="s">
        <v>353</v>
      </c>
      <c r="O3011" t="s">
        <v>528</v>
      </c>
      <c r="P3011">
        <v>7.6188839422669949E-2</v>
      </c>
      <c r="Q3011" t="s">
        <v>162</v>
      </c>
      <c r="S3011" t="s">
        <v>465</v>
      </c>
      <c r="T3011" t="s">
        <v>528</v>
      </c>
      <c r="U3011">
        <v>7.7545017706447492E-2</v>
      </c>
      <c r="V3011" t="s">
        <v>162</v>
      </c>
    </row>
    <row r="3012" spans="9:22" x14ac:dyDescent="0.45">
      <c r="I3012" t="s">
        <v>241</v>
      </c>
      <c r="J3012" t="s">
        <v>529</v>
      </c>
      <c r="K3012">
        <v>3.2862168969295821E-2</v>
      </c>
      <c r="L3012" t="s">
        <v>162</v>
      </c>
      <c r="N3012" t="s">
        <v>353</v>
      </c>
      <c r="O3012" t="s">
        <v>529</v>
      </c>
      <c r="P3012">
        <v>7.7239210902296787E-3</v>
      </c>
      <c r="Q3012" t="s">
        <v>162</v>
      </c>
      <c r="S3012" t="s">
        <v>465</v>
      </c>
      <c r="T3012" t="s">
        <v>529</v>
      </c>
      <c r="U3012">
        <v>7.6594998784765113E-3</v>
      </c>
      <c r="V3012" t="s">
        <v>162</v>
      </c>
    </row>
    <row r="3013" spans="9:22" x14ac:dyDescent="0.45">
      <c r="I3013" t="s">
        <v>241</v>
      </c>
      <c r="J3013" t="s">
        <v>530</v>
      </c>
      <c r="K3013">
        <v>6.8401974632467472E-2</v>
      </c>
      <c r="L3013" t="s">
        <v>162</v>
      </c>
      <c r="N3013" t="s">
        <v>353</v>
      </c>
      <c r="O3013" t="s">
        <v>530</v>
      </c>
      <c r="P3013">
        <v>1.5370881728279665E-2</v>
      </c>
      <c r="Q3013" t="s">
        <v>162</v>
      </c>
      <c r="S3013" t="s">
        <v>465</v>
      </c>
      <c r="T3013" t="s">
        <v>530</v>
      </c>
      <c r="U3013">
        <v>1.5820368233974643E-2</v>
      </c>
      <c r="V3013" t="s">
        <v>162</v>
      </c>
    </row>
    <row r="3014" spans="9:22" x14ac:dyDescent="0.45">
      <c r="I3014" t="s">
        <v>241</v>
      </c>
      <c r="J3014" t="s">
        <v>531</v>
      </c>
      <c r="K3014">
        <v>0.15236536898165573</v>
      </c>
      <c r="L3014" t="s">
        <v>162</v>
      </c>
      <c r="N3014" t="s">
        <v>353</v>
      </c>
      <c r="O3014" t="s">
        <v>531</v>
      </c>
      <c r="P3014">
        <v>3.904306934755343E-2</v>
      </c>
      <c r="Q3014" t="s">
        <v>162</v>
      </c>
      <c r="S3014" t="s">
        <v>465</v>
      </c>
      <c r="T3014" t="s">
        <v>531</v>
      </c>
      <c r="U3014">
        <v>4.3795847221668467E-2</v>
      </c>
      <c r="V3014" t="s">
        <v>162</v>
      </c>
    </row>
    <row r="3015" spans="9:22" x14ac:dyDescent="0.45">
      <c r="I3015" t="s">
        <v>241</v>
      </c>
      <c r="J3015" t="s">
        <v>532</v>
      </c>
      <c r="K3015">
        <v>2.4747225182480667E-2</v>
      </c>
      <c r="L3015" t="s">
        <v>162</v>
      </c>
      <c r="N3015" t="s">
        <v>353</v>
      </c>
      <c r="O3015" t="s">
        <v>532</v>
      </c>
      <c r="P3015">
        <v>7.7337084454934943E-3</v>
      </c>
      <c r="Q3015" t="s">
        <v>162</v>
      </c>
      <c r="S3015" t="s">
        <v>465</v>
      </c>
      <c r="T3015" t="s">
        <v>532</v>
      </c>
      <c r="U3015">
        <v>9.4752038293867274E-3</v>
      </c>
      <c r="V3015" t="s">
        <v>162</v>
      </c>
    </row>
    <row r="3016" spans="9:22" x14ac:dyDescent="0.45">
      <c r="I3016" t="s">
        <v>241</v>
      </c>
      <c r="J3016" t="s">
        <v>533</v>
      </c>
      <c r="K3016">
        <v>4.7150625636218982E-2</v>
      </c>
      <c r="L3016" t="s">
        <v>162</v>
      </c>
      <c r="N3016" t="s">
        <v>353</v>
      </c>
      <c r="O3016" t="s">
        <v>533</v>
      </c>
      <c r="P3016">
        <v>4.9036541918273557E-2</v>
      </c>
      <c r="Q3016" t="s">
        <v>162</v>
      </c>
      <c r="S3016" t="s">
        <v>465</v>
      </c>
      <c r="T3016" t="s">
        <v>533</v>
      </c>
      <c r="U3016">
        <v>5.8654702892836093E-2</v>
      </c>
      <c r="V3016" t="s">
        <v>162</v>
      </c>
    </row>
    <row r="3017" spans="9:22" x14ac:dyDescent="0.45">
      <c r="I3017" t="s">
        <v>241</v>
      </c>
      <c r="J3017" t="s">
        <v>534</v>
      </c>
      <c r="K3017">
        <v>3.7553007395674298E-2</v>
      </c>
      <c r="L3017" t="s">
        <v>162</v>
      </c>
      <c r="N3017" t="s">
        <v>353</v>
      </c>
      <c r="O3017" t="s">
        <v>534</v>
      </c>
      <c r="P3017">
        <v>9.063878052022277E-2</v>
      </c>
      <c r="Q3017" t="s">
        <v>162</v>
      </c>
      <c r="S3017" t="s">
        <v>465</v>
      </c>
      <c r="T3017" t="s">
        <v>534</v>
      </c>
      <c r="U3017">
        <v>9.4268797881928268E-2</v>
      </c>
      <c r="V3017" t="s">
        <v>162</v>
      </c>
    </row>
    <row r="3018" spans="9:22" x14ac:dyDescent="0.45">
      <c r="I3018" t="s">
        <v>241</v>
      </c>
      <c r="J3018" t="s">
        <v>535</v>
      </c>
      <c r="K3018">
        <v>2.169656411432663E-2</v>
      </c>
      <c r="L3018" t="s">
        <v>162</v>
      </c>
      <c r="N3018" t="s">
        <v>353</v>
      </c>
      <c r="O3018" t="s">
        <v>535</v>
      </c>
      <c r="P3018">
        <v>9.7090491399213445E-3</v>
      </c>
      <c r="Q3018" t="s">
        <v>162</v>
      </c>
      <c r="S3018" t="s">
        <v>465</v>
      </c>
      <c r="T3018" t="s">
        <v>535</v>
      </c>
      <c r="U3018">
        <v>1.0047657988829764E-2</v>
      </c>
      <c r="V3018" t="s">
        <v>162</v>
      </c>
    </row>
    <row r="3019" spans="9:22" x14ac:dyDescent="0.45">
      <c r="I3019" t="s">
        <v>241</v>
      </c>
      <c r="J3019" t="s">
        <v>536</v>
      </c>
      <c r="K3019">
        <v>4.6949810771644812E-2</v>
      </c>
      <c r="L3019" t="s">
        <v>162</v>
      </c>
      <c r="N3019" t="s">
        <v>353</v>
      </c>
      <c r="O3019" t="s">
        <v>536</v>
      </c>
      <c r="P3019">
        <v>1.9385131809914701E-2</v>
      </c>
      <c r="Q3019" t="s">
        <v>162</v>
      </c>
      <c r="S3019" t="s">
        <v>465</v>
      </c>
      <c r="T3019" t="s">
        <v>536</v>
      </c>
      <c r="U3019">
        <v>1.9958258804127309E-2</v>
      </c>
      <c r="V3019" t="s">
        <v>162</v>
      </c>
    </row>
    <row r="3020" spans="9:22" x14ac:dyDescent="0.45">
      <c r="I3020" t="s">
        <v>241</v>
      </c>
      <c r="J3020" t="s">
        <v>537</v>
      </c>
      <c r="K3020">
        <v>0.10297468627243034</v>
      </c>
      <c r="L3020" t="s">
        <v>162</v>
      </c>
      <c r="N3020" t="s">
        <v>353</v>
      </c>
      <c r="O3020" t="s">
        <v>537</v>
      </c>
      <c r="P3020">
        <v>4.9704370649619488E-2</v>
      </c>
      <c r="Q3020" t="s">
        <v>162</v>
      </c>
      <c r="S3020" t="s">
        <v>465</v>
      </c>
      <c r="T3020" t="s">
        <v>537</v>
      </c>
      <c r="U3020">
        <v>5.3106814240829477E-2</v>
      </c>
      <c r="V3020" t="s">
        <v>162</v>
      </c>
    </row>
    <row r="3021" spans="9:22" x14ac:dyDescent="0.45">
      <c r="I3021" t="s">
        <v>241</v>
      </c>
      <c r="J3021" t="s">
        <v>538</v>
      </c>
      <c r="K3021">
        <v>1.3763959370949975E-2</v>
      </c>
      <c r="L3021" t="s">
        <v>162</v>
      </c>
      <c r="N3021" t="s">
        <v>353</v>
      </c>
      <c r="O3021" t="s">
        <v>538</v>
      </c>
      <c r="P3021">
        <v>9.5089800546795961E-3</v>
      </c>
      <c r="Q3021" t="s">
        <v>162</v>
      </c>
      <c r="S3021" t="s">
        <v>465</v>
      </c>
      <c r="T3021" t="s">
        <v>538</v>
      </c>
      <c r="U3021">
        <v>1.1191656744674268E-2</v>
      </c>
      <c r="V3021" t="s">
        <v>162</v>
      </c>
    </row>
    <row r="3022" spans="9:22" x14ac:dyDescent="0.45">
      <c r="I3022" t="s">
        <v>241</v>
      </c>
      <c r="J3022" t="s">
        <v>539</v>
      </c>
      <c r="K3022">
        <v>1.4433476507651028E-2</v>
      </c>
      <c r="L3022" t="s">
        <v>162</v>
      </c>
      <c r="N3022" t="s">
        <v>353</v>
      </c>
      <c r="O3022" t="s">
        <v>539</v>
      </c>
      <c r="P3022">
        <v>5.8489225465492407E-2</v>
      </c>
      <c r="Q3022" t="s">
        <v>162</v>
      </c>
      <c r="S3022" t="s">
        <v>465</v>
      </c>
      <c r="T3022" t="s">
        <v>539</v>
      </c>
      <c r="U3022">
        <v>6.6849916898711406E-2</v>
      </c>
      <c r="V3022" t="s">
        <v>162</v>
      </c>
    </row>
    <row r="3023" spans="9:22" x14ac:dyDescent="0.45">
      <c r="I3023" t="s">
        <v>241</v>
      </c>
      <c r="J3023" t="s">
        <v>540</v>
      </c>
      <c r="K3023">
        <v>5.0838043082438492E-5</v>
      </c>
      <c r="L3023" t="s">
        <v>162</v>
      </c>
      <c r="N3023" t="s">
        <v>353</v>
      </c>
      <c r="O3023" t="s">
        <v>540</v>
      </c>
      <c r="P3023">
        <v>3.9069588481097241E-2</v>
      </c>
      <c r="Q3023" t="s">
        <v>162</v>
      </c>
      <c r="S3023" t="s">
        <v>465</v>
      </c>
      <c r="T3023" t="s">
        <v>540</v>
      </c>
      <c r="U3023">
        <v>3.4223328797406971E-2</v>
      </c>
      <c r="V3023" t="s">
        <v>162</v>
      </c>
    </row>
    <row r="3024" spans="9:22" x14ac:dyDescent="0.45">
      <c r="I3024" t="s">
        <v>241</v>
      </c>
      <c r="J3024" t="s">
        <v>541</v>
      </c>
      <c r="K3024">
        <v>1.6367274384097646E-3</v>
      </c>
      <c r="L3024" t="s">
        <v>162</v>
      </c>
      <c r="N3024" t="s">
        <v>353</v>
      </c>
      <c r="O3024" t="s">
        <v>541</v>
      </c>
      <c r="P3024">
        <v>4.2813821131267608E-3</v>
      </c>
      <c r="Q3024" t="s">
        <v>162</v>
      </c>
      <c r="S3024" t="s">
        <v>465</v>
      </c>
      <c r="T3024" t="s">
        <v>541</v>
      </c>
      <c r="U3024">
        <v>3.6056070081644698E-3</v>
      </c>
      <c r="V3024" t="s">
        <v>162</v>
      </c>
    </row>
    <row r="3025" spans="9:22" x14ac:dyDescent="0.45">
      <c r="I3025" t="s">
        <v>241</v>
      </c>
      <c r="J3025" t="s">
        <v>542</v>
      </c>
      <c r="K3025">
        <v>5.9823960343680016E-3</v>
      </c>
      <c r="L3025" t="s">
        <v>162</v>
      </c>
      <c r="N3025" t="s">
        <v>353</v>
      </c>
      <c r="O3025" t="s">
        <v>542</v>
      </c>
      <c r="P3025">
        <v>8.43371562626569E-3</v>
      </c>
      <c r="Q3025" t="s">
        <v>162</v>
      </c>
      <c r="S3025" t="s">
        <v>465</v>
      </c>
      <c r="T3025" t="s">
        <v>542</v>
      </c>
      <c r="U3025">
        <v>7.1075945371899306E-3</v>
      </c>
      <c r="V3025" t="s">
        <v>162</v>
      </c>
    </row>
    <row r="3026" spans="9:22" x14ac:dyDescent="0.45">
      <c r="I3026" t="s">
        <v>241</v>
      </c>
      <c r="J3026" t="s">
        <v>543</v>
      </c>
      <c r="K3026">
        <v>1.1715818493947249E-2</v>
      </c>
      <c r="L3026" t="s">
        <v>162</v>
      </c>
      <c r="N3026" t="s">
        <v>353</v>
      </c>
      <c r="O3026" t="s">
        <v>543</v>
      </c>
      <c r="P3026">
        <v>2.0947728707184341E-2</v>
      </c>
      <c r="Q3026" t="s">
        <v>162</v>
      </c>
      <c r="S3026" t="s">
        <v>465</v>
      </c>
      <c r="T3026" t="s">
        <v>543</v>
      </c>
      <c r="U3026">
        <v>1.8779874898228584E-2</v>
      </c>
      <c r="V3026" t="s">
        <v>162</v>
      </c>
    </row>
    <row r="3027" spans="9:22" x14ac:dyDescent="0.45">
      <c r="I3027" t="s">
        <v>241</v>
      </c>
      <c r="J3027" t="s">
        <v>544</v>
      </c>
      <c r="K3027">
        <v>0</v>
      </c>
      <c r="L3027" t="s">
        <v>162</v>
      </c>
      <c r="N3027" t="s">
        <v>353</v>
      </c>
      <c r="O3027" t="s">
        <v>544</v>
      </c>
      <c r="P3027">
        <v>4.2948134641617704E-3</v>
      </c>
      <c r="Q3027" t="s">
        <v>162</v>
      </c>
      <c r="S3027" t="s">
        <v>465</v>
      </c>
      <c r="T3027" t="s">
        <v>544</v>
      </c>
      <c r="U3027">
        <v>3.9717268213205481E-3</v>
      </c>
      <c r="V3027" t="s">
        <v>162</v>
      </c>
    </row>
    <row r="3028" spans="9:22" x14ac:dyDescent="0.45">
      <c r="I3028" t="s">
        <v>241</v>
      </c>
      <c r="J3028" t="s">
        <v>545</v>
      </c>
      <c r="K3028">
        <v>0</v>
      </c>
      <c r="L3028" t="s">
        <v>162</v>
      </c>
      <c r="N3028" t="s">
        <v>353</v>
      </c>
      <c r="O3028" t="s">
        <v>545</v>
      </c>
      <c r="P3028">
        <v>2.5807753297495992E-2</v>
      </c>
      <c r="Q3028" t="s">
        <v>162</v>
      </c>
      <c r="S3028" t="s">
        <v>465</v>
      </c>
      <c r="T3028" t="s">
        <v>545</v>
      </c>
      <c r="U3028">
        <v>2.3439197926416622E-2</v>
      </c>
      <c r="V3028" t="s">
        <v>162</v>
      </c>
    </row>
    <row r="3029" spans="9:22" x14ac:dyDescent="0.45">
      <c r="I3029" t="s">
        <v>241</v>
      </c>
      <c r="J3029" t="s">
        <v>546</v>
      </c>
      <c r="K3029">
        <v>0</v>
      </c>
      <c r="L3029" t="s">
        <v>162</v>
      </c>
      <c r="N3029" t="s">
        <v>353</v>
      </c>
      <c r="O3029" t="s">
        <v>546</v>
      </c>
      <c r="P3029">
        <v>4.2865879858316948E-2</v>
      </c>
      <c r="Q3029" t="s">
        <v>162</v>
      </c>
      <c r="S3029" t="s">
        <v>465</v>
      </c>
      <c r="T3029" t="s">
        <v>546</v>
      </c>
      <c r="U3029">
        <v>3.8932596042541352E-2</v>
      </c>
      <c r="V3029" t="s">
        <v>162</v>
      </c>
    </row>
    <row r="3030" spans="9:22" x14ac:dyDescent="0.45">
      <c r="I3030" t="s">
        <v>241</v>
      </c>
      <c r="J3030" t="s">
        <v>547</v>
      </c>
      <c r="K3030">
        <v>7.0188633643706962E-5</v>
      </c>
      <c r="L3030" t="s">
        <v>162</v>
      </c>
      <c r="N3030" t="s">
        <v>353</v>
      </c>
      <c r="O3030" t="s">
        <v>547</v>
      </c>
      <c r="P3030">
        <v>4.807441870401886E-3</v>
      </c>
      <c r="Q3030" t="s">
        <v>162</v>
      </c>
      <c r="S3030" t="s">
        <v>465</v>
      </c>
      <c r="T3030" t="s">
        <v>547</v>
      </c>
      <c r="U3030">
        <v>4.4711733540955473E-3</v>
      </c>
      <c r="V3030" t="s">
        <v>162</v>
      </c>
    </row>
    <row r="3031" spans="9:22" x14ac:dyDescent="0.45">
      <c r="I3031" t="s">
        <v>241</v>
      </c>
      <c r="J3031" t="s">
        <v>548</v>
      </c>
      <c r="K3031">
        <v>8.607036097084143E-3</v>
      </c>
      <c r="L3031" t="s">
        <v>162</v>
      </c>
      <c r="N3031" t="s">
        <v>353</v>
      </c>
      <c r="O3031" t="s">
        <v>548</v>
      </c>
      <c r="P3031">
        <v>9.6674144099953441E-3</v>
      </c>
      <c r="Q3031" t="s">
        <v>162</v>
      </c>
      <c r="S3031" t="s">
        <v>465</v>
      </c>
      <c r="T3031" t="s">
        <v>548</v>
      </c>
      <c r="U3031">
        <v>8.9418410961060214E-3</v>
      </c>
      <c r="V3031" t="s">
        <v>162</v>
      </c>
    </row>
    <row r="3032" spans="9:22" x14ac:dyDescent="0.45">
      <c r="I3032" t="s">
        <v>241</v>
      </c>
      <c r="J3032" t="s">
        <v>549</v>
      </c>
      <c r="K3032">
        <v>1.6556891340109993E-2</v>
      </c>
      <c r="L3032" t="s">
        <v>162</v>
      </c>
      <c r="N3032" t="s">
        <v>353</v>
      </c>
      <c r="O3032" t="s">
        <v>549</v>
      </c>
      <c r="P3032">
        <v>2.3735086933183953E-2</v>
      </c>
      <c r="Q3032" t="s">
        <v>162</v>
      </c>
      <c r="S3032" t="s">
        <v>465</v>
      </c>
      <c r="T3032" t="s">
        <v>549</v>
      </c>
      <c r="U3032">
        <v>2.2704288372510907E-2</v>
      </c>
      <c r="V3032" t="s">
        <v>162</v>
      </c>
    </row>
    <row r="3033" spans="9:22" x14ac:dyDescent="0.45">
      <c r="I3033" t="s">
        <v>241</v>
      </c>
      <c r="J3033" t="s">
        <v>550</v>
      </c>
      <c r="K3033">
        <v>0</v>
      </c>
      <c r="L3033" t="s">
        <v>162</v>
      </c>
      <c r="N3033" t="s">
        <v>353</v>
      </c>
      <c r="O3033" t="s">
        <v>550</v>
      </c>
      <c r="P3033">
        <v>4.6933525948735953E-3</v>
      </c>
      <c r="Q3033" t="s">
        <v>162</v>
      </c>
      <c r="S3033" t="s">
        <v>465</v>
      </c>
      <c r="T3033" t="s">
        <v>550</v>
      </c>
      <c r="U3033">
        <v>4.6373231625585305E-3</v>
      </c>
      <c r="V3033" t="s">
        <v>162</v>
      </c>
    </row>
    <row r="3034" spans="9:22" x14ac:dyDescent="0.45">
      <c r="I3034" t="s">
        <v>241</v>
      </c>
      <c r="J3034" t="s">
        <v>551</v>
      </c>
      <c r="K3034">
        <v>0</v>
      </c>
      <c r="L3034" t="s">
        <v>162</v>
      </c>
      <c r="N3034" t="s">
        <v>353</v>
      </c>
      <c r="O3034" t="s">
        <v>551</v>
      </c>
      <c r="P3034">
        <v>2.7787569726477519E-2</v>
      </c>
      <c r="Q3034" t="s">
        <v>162</v>
      </c>
      <c r="S3034" t="s">
        <v>465</v>
      </c>
      <c r="T3034" t="s">
        <v>551</v>
      </c>
      <c r="U3034">
        <v>2.7748961970192446E-2</v>
      </c>
      <c r="V3034" t="s">
        <v>162</v>
      </c>
    </row>
    <row r="3035" spans="9:22" x14ac:dyDescent="0.45">
      <c r="I3035" t="s">
        <v>242</v>
      </c>
      <c r="J3035" t="s">
        <v>161</v>
      </c>
      <c r="K3035">
        <v>0</v>
      </c>
      <c r="L3035" t="s">
        <v>162</v>
      </c>
      <c r="N3035" t="s">
        <v>354</v>
      </c>
      <c r="O3035" t="s">
        <v>161</v>
      </c>
      <c r="P3035">
        <v>3.4489202405683012E-2</v>
      </c>
      <c r="Q3035" t="s">
        <v>162</v>
      </c>
      <c r="S3035" t="s">
        <v>466</v>
      </c>
      <c r="T3035" t="s">
        <v>161</v>
      </c>
      <c r="U3035">
        <v>4.1381503914314194E-2</v>
      </c>
      <c r="V3035" t="s">
        <v>162</v>
      </c>
    </row>
    <row r="3036" spans="9:22" x14ac:dyDescent="0.45">
      <c r="I3036" t="s">
        <v>242</v>
      </c>
      <c r="J3036" t="s">
        <v>163</v>
      </c>
      <c r="K3036">
        <v>3.1754929298953029E-3</v>
      </c>
      <c r="L3036" t="s">
        <v>162</v>
      </c>
      <c r="N3036" t="s">
        <v>354</v>
      </c>
      <c r="O3036" t="s">
        <v>163</v>
      </c>
      <c r="P3036">
        <v>3.7883275574270275E-3</v>
      </c>
      <c r="Q3036" t="s">
        <v>162</v>
      </c>
      <c r="S3036" t="s">
        <v>466</v>
      </c>
      <c r="T3036" t="s">
        <v>163</v>
      </c>
      <c r="U3036">
        <v>4.6400560145429346E-3</v>
      </c>
      <c r="V3036" t="s">
        <v>162</v>
      </c>
    </row>
    <row r="3037" spans="9:22" x14ac:dyDescent="0.45">
      <c r="I3037" t="s">
        <v>242</v>
      </c>
      <c r="J3037" t="s">
        <v>164</v>
      </c>
      <c r="K3037">
        <v>1.1857091716164751E-2</v>
      </c>
      <c r="L3037" t="s">
        <v>162</v>
      </c>
      <c r="N3037" t="s">
        <v>354</v>
      </c>
      <c r="O3037" t="s">
        <v>164</v>
      </c>
      <c r="P3037">
        <v>7.3502964297013102E-3</v>
      </c>
      <c r="Q3037" t="s">
        <v>162</v>
      </c>
      <c r="S3037" t="s">
        <v>466</v>
      </c>
      <c r="T3037" t="s">
        <v>164</v>
      </c>
      <c r="U3037">
        <v>9.3387927041918978E-3</v>
      </c>
      <c r="V3037" t="s">
        <v>162</v>
      </c>
    </row>
    <row r="3038" spans="9:22" x14ac:dyDescent="0.45">
      <c r="I3038" t="s">
        <v>242</v>
      </c>
      <c r="J3038" t="s">
        <v>519</v>
      </c>
      <c r="K3038">
        <v>2.8123191589817291E-2</v>
      </c>
      <c r="L3038" t="s">
        <v>162</v>
      </c>
      <c r="N3038" t="s">
        <v>354</v>
      </c>
      <c r="O3038" t="s">
        <v>519</v>
      </c>
      <c r="P3038">
        <v>1.7990034702356491E-2</v>
      </c>
      <c r="Q3038" t="s">
        <v>162</v>
      </c>
      <c r="S3038" t="s">
        <v>466</v>
      </c>
      <c r="T3038" t="s">
        <v>519</v>
      </c>
      <c r="U3038">
        <v>2.3071450344325114E-2</v>
      </c>
      <c r="V3038" t="s">
        <v>162</v>
      </c>
    </row>
    <row r="3039" spans="9:22" x14ac:dyDescent="0.45">
      <c r="I3039" t="s">
        <v>242</v>
      </c>
      <c r="J3039" t="s">
        <v>520</v>
      </c>
      <c r="K3039">
        <v>5.4252920593347398E-4</v>
      </c>
      <c r="L3039" t="s">
        <v>162</v>
      </c>
      <c r="N3039" t="s">
        <v>354</v>
      </c>
      <c r="O3039" t="s">
        <v>520</v>
      </c>
      <c r="P3039">
        <v>3.5976438056605354E-3</v>
      </c>
      <c r="Q3039" t="s">
        <v>162</v>
      </c>
      <c r="S3039" t="s">
        <v>466</v>
      </c>
      <c r="T3039" t="s">
        <v>520</v>
      </c>
      <c r="U3039">
        <v>4.6087413132758189E-3</v>
      </c>
      <c r="V3039" t="s">
        <v>162</v>
      </c>
    </row>
    <row r="3040" spans="9:22" x14ac:dyDescent="0.45">
      <c r="I3040" t="s">
        <v>242</v>
      </c>
      <c r="J3040" t="s">
        <v>521</v>
      </c>
      <c r="K3040">
        <v>0</v>
      </c>
      <c r="L3040" t="s">
        <v>162</v>
      </c>
      <c r="N3040" t="s">
        <v>354</v>
      </c>
      <c r="O3040" t="s">
        <v>521</v>
      </c>
      <c r="P3040">
        <v>2.3147366088793891E-2</v>
      </c>
      <c r="Q3040" t="s">
        <v>162</v>
      </c>
      <c r="S3040" t="s">
        <v>466</v>
      </c>
      <c r="T3040" t="s">
        <v>521</v>
      </c>
      <c r="U3040">
        <v>2.7286174147047364E-2</v>
      </c>
      <c r="V3040" t="s">
        <v>162</v>
      </c>
    </row>
    <row r="3041" spans="9:22" x14ac:dyDescent="0.45">
      <c r="I3041" t="s">
        <v>242</v>
      </c>
      <c r="J3041" t="s">
        <v>165</v>
      </c>
      <c r="K3041">
        <v>1.0832633178417608E-2</v>
      </c>
      <c r="L3041" t="s">
        <v>162</v>
      </c>
      <c r="N3041" t="s">
        <v>354</v>
      </c>
      <c r="O3041" t="s">
        <v>165</v>
      </c>
      <c r="P3041">
        <v>6.3741513568054756E-2</v>
      </c>
      <c r="Q3041" t="s">
        <v>162</v>
      </c>
      <c r="S3041" t="s">
        <v>466</v>
      </c>
      <c r="T3041" t="s">
        <v>165</v>
      </c>
      <c r="U3041">
        <v>7.0734781982446954E-2</v>
      </c>
      <c r="V3041" t="s">
        <v>162</v>
      </c>
    </row>
    <row r="3042" spans="9:22" x14ac:dyDescent="0.45">
      <c r="I3042" t="s">
        <v>242</v>
      </c>
      <c r="J3042" t="s">
        <v>166</v>
      </c>
      <c r="K3042">
        <v>1.2917901793124006E-2</v>
      </c>
      <c r="L3042" t="s">
        <v>162</v>
      </c>
      <c r="N3042" t="s">
        <v>354</v>
      </c>
      <c r="O3042" t="s">
        <v>166</v>
      </c>
      <c r="P3042">
        <v>6.8737945131713751E-3</v>
      </c>
      <c r="Q3042" t="s">
        <v>162</v>
      </c>
      <c r="S3042" t="s">
        <v>466</v>
      </c>
      <c r="T3042" t="s">
        <v>166</v>
      </c>
      <c r="U3042">
        <v>7.8435568439505585E-3</v>
      </c>
      <c r="V3042" t="s">
        <v>162</v>
      </c>
    </row>
    <row r="3043" spans="9:22" x14ac:dyDescent="0.45">
      <c r="I3043" t="s">
        <v>242</v>
      </c>
      <c r="J3043" t="s">
        <v>167</v>
      </c>
      <c r="K3043">
        <v>3.4300558077384039E-2</v>
      </c>
      <c r="L3043" t="s">
        <v>162</v>
      </c>
      <c r="N3043" t="s">
        <v>354</v>
      </c>
      <c r="O3043" t="s">
        <v>167</v>
      </c>
      <c r="P3043">
        <v>1.3195389861085673E-2</v>
      </c>
      <c r="Q3043" t="s">
        <v>162</v>
      </c>
      <c r="S3043" t="s">
        <v>466</v>
      </c>
      <c r="T3043" t="s">
        <v>167</v>
      </c>
      <c r="U3043">
        <v>1.56095974069044E-2</v>
      </c>
      <c r="V3043" t="s">
        <v>162</v>
      </c>
    </row>
    <row r="3044" spans="9:22" x14ac:dyDescent="0.45">
      <c r="I3044" t="s">
        <v>242</v>
      </c>
      <c r="J3044" t="s">
        <v>522</v>
      </c>
      <c r="K3044">
        <v>8.2936676526111544E-2</v>
      </c>
      <c r="L3044" t="s">
        <v>162</v>
      </c>
      <c r="N3044" t="s">
        <v>354</v>
      </c>
      <c r="O3044" t="s">
        <v>522</v>
      </c>
      <c r="P3044">
        <v>3.1704473313675603E-2</v>
      </c>
      <c r="Q3044" t="s">
        <v>162</v>
      </c>
      <c r="S3044" t="s">
        <v>466</v>
      </c>
      <c r="T3044" t="s">
        <v>522</v>
      </c>
      <c r="U3044">
        <v>3.893470342831859E-2</v>
      </c>
      <c r="V3044" t="s">
        <v>162</v>
      </c>
    </row>
    <row r="3045" spans="9:22" x14ac:dyDescent="0.45">
      <c r="I3045" t="s">
        <v>242</v>
      </c>
      <c r="J3045" t="s">
        <v>523</v>
      </c>
      <c r="K3045">
        <v>9.8979465927045603E-3</v>
      </c>
      <c r="L3045" t="s">
        <v>162</v>
      </c>
      <c r="N3045" t="s">
        <v>354</v>
      </c>
      <c r="O3045" t="s">
        <v>523</v>
      </c>
      <c r="P3045">
        <v>6.6382423150802101E-3</v>
      </c>
      <c r="Q3045" t="s">
        <v>162</v>
      </c>
      <c r="S3045" t="s">
        <v>466</v>
      </c>
      <c r="T3045" t="s">
        <v>523</v>
      </c>
      <c r="U3045">
        <v>7.7296898593528385E-3</v>
      </c>
      <c r="V3045" t="s">
        <v>162</v>
      </c>
    </row>
    <row r="3046" spans="9:22" x14ac:dyDescent="0.45">
      <c r="I3046" t="s">
        <v>242</v>
      </c>
      <c r="J3046" t="s">
        <v>524</v>
      </c>
      <c r="K3046">
        <v>3.7656474237260464E-3</v>
      </c>
      <c r="L3046" t="s">
        <v>162</v>
      </c>
      <c r="N3046" t="s">
        <v>354</v>
      </c>
      <c r="O3046" t="s">
        <v>524</v>
      </c>
      <c r="P3046">
        <v>4.1787392869302629E-2</v>
      </c>
      <c r="Q3046" t="s">
        <v>162</v>
      </c>
      <c r="S3046" t="s">
        <v>466</v>
      </c>
      <c r="T3046" t="s">
        <v>524</v>
      </c>
      <c r="U3046">
        <v>4.5672728795547797E-2</v>
      </c>
      <c r="V3046" t="s">
        <v>162</v>
      </c>
    </row>
    <row r="3047" spans="9:22" x14ac:dyDescent="0.45">
      <c r="I3047" t="s">
        <v>242</v>
      </c>
      <c r="J3047" t="s">
        <v>168</v>
      </c>
      <c r="K3047">
        <v>1.641599814397612E-2</v>
      </c>
      <c r="L3047" t="s">
        <v>162</v>
      </c>
      <c r="N3047" t="s">
        <v>354</v>
      </c>
      <c r="O3047" t="s">
        <v>168</v>
      </c>
      <c r="P3047">
        <v>2.7820585244409529E-2</v>
      </c>
      <c r="Q3047" t="s">
        <v>162</v>
      </c>
      <c r="S3047" t="s">
        <v>466</v>
      </c>
      <c r="T3047" t="s">
        <v>168</v>
      </c>
      <c r="U3047">
        <v>3.0770019750547075E-2</v>
      </c>
      <c r="V3047" t="s">
        <v>162</v>
      </c>
    </row>
    <row r="3048" spans="9:22" x14ac:dyDescent="0.45">
      <c r="I3048" t="s">
        <v>242</v>
      </c>
      <c r="J3048" t="s">
        <v>169</v>
      </c>
      <c r="K3048">
        <v>9.7855466344918401E-3</v>
      </c>
      <c r="L3048" t="s">
        <v>162</v>
      </c>
      <c r="N3048" t="s">
        <v>354</v>
      </c>
      <c r="O3048" t="s">
        <v>169</v>
      </c>
      <c r="P3048">
        <v>3.116404328865494E-3</v>
      </c>
      <c r="Q3048" t="s">
        <v>162</v>
      </c>
      <c r="S3048" t="s">
        <v>466</v>
      </c>
      <c r="T3048" t="s">
        <v>169</v>
      </c>
      <c r="U3048">
        <v>3.5750819584367335E-3</v>
      </c>
      <c r="V3048" t="s">
        <v>162</v>
      </c>
    </row>
    <row r="3049" spans="9:22" x14ac:dyDescent="0.45">
      <c r="I3049" t="s">
        <v>242</v>
      </c>
      <c r="J3049" t="s">
        <v>170</v>
      </c>
      <c r="K3049">
        <v>2.1909491205106359E-2</v>
      </c>
      <c r="L3049" t="s">
        <v>162</v>
      </c>
      <c r="N3049" t="s">
        <v>354</v>
      </c>
      <c r="O3049" t="s">
        <v>170</v>
      </c>
      <c r="P3049">
        <v>6.3925938076367615E-3</v>
      </c>
      <c r="Q3049" t="s">
        <v>162</v>
      </c>
      <c r="S3049" t="s">
        <v>466</v>
      </c>
      <c r="T3049" t="s">
        <v>170</v>
      </c>
      <c r="U3049">
        <v>7.1814658663045799E-3</v>
      </c>
      <c r="V3049" t="s">
        <v>162</v>
      </c>
    </row>
    <row r="3050" spans="9:22" x14ac:dyDescent="0.45">
      <c r="I3050" t="s">
        <v>242</v>
      </c>
      <c r="J3050" t="s">
        <v>525</v>
      </c>
      <c r="K3050">
        <v>5.1013020421512255E-2</v>
      </c>
      <c r="L3050" t="s">
        <v>162</v>
      </c>
      <c r="N3050" t="s">
        <v>354</v>
      </c>
      <c r="O3050" t="s">
        <v>525</v>
      </c>
      <c r="P3050">
        <v>1.693333137936456E-2</v>
      </c>
      <c r="Q3050" t="s">
        <v>162</v>
      </c>
      <c r="S3050" t="s">
        <v>466</v>
      </c>
      <c r="T3050" t="s">
        <v>525</v>
      </c>
      <c r="U3050">
        <v>1.807845305408395E-2</v>
      </c>
      <c r="V3050" t="s">
        <v>162</v>
      </c>
    </row>
    <row r="3051" spans="9:22" x14ac:dyDescent="0.45">
      <c r="I3051" t="s">
        <v>242</v>
      </c>
      <c r="J3051" t="s">
        <v>526</v>
      </c>
      <c r="K3051">
        <v>7.4597521267631434E-3</v>
      </c>
      <c r="L3051" t="s">
        <v>162</v>
      </c>
      <c r="N3051" t="s">
        <v>354</v>
      </c>
      <c r="O3051" t="s">
        <v>526</v>
      </c>
      <c r="P3051">
        <v>3.5118658835508239E-3</v>
      </c>
      <c r="Q3051" t="s">
        <v>162</v>
      </c>
      <c r="S3051" t="s">
        <v>466</v>
      </c>
      <c r="T3051" t="s">
        <v>526</v>
      </c>
      <c r="U3051">
        <v>3.6198318018136836E-3</v>
      </c>
      <c r="V3051" t="s">
        <v>162</v>
      </c>
    </row>
    <row r="3052" spans="9:22" x14ac:dyDescent="0.45">
      <c r="I3052" t="s">
        <v>242</v>
      </c>
      <c r="J3052" t="s">
        <v>527</v>
      </c>
      <c r="K3052">
        <v>7.2564013698320782E-3</v>
      </c>
      <c r="L3052" t="s">
        <v>162</v>
      </c>
      <c r="N3052" t="s">
        <v>354</v>
      </c>
      <c r="O3052" t="s">
        <v>527</v>
      </c>
      <c r="P3052">
        <v>2.0168943497539039E-2</v>
      </c>
      <c r="Q3052" t="s">
        <v>162</v>
      </c>
      <c r="S3052" t="s">
        <v>466</v>
      </c>
      <c r="T3052" t="s">
        <v>527</v>
      </c>
      <c r="U3052">
        <v>2.0925130809509231E-2</v>
      </c>
      <c r="V3052" t="s">
        <v>162</v>
      </c>
    </row>
    <row r="3053" spans="9:22" x14ac:dyDescent="0.45">
      <c r="I3053" t="s">
        <v>242</v>
      </c>
      <c r="J3053" t="s">
        <v>528</v>
      </c>
      <c r="K3053">
        <v>6.4533665140191571E-2</v>
      </c>
      <c r="L3053" t="s">
        <v>162</v>
      </c>
      <c r="N3053" t="s">
        <v>354</v>
      </c>
      <c r="O3053" t="s">
        <v>528</v>
      </c>
      <c r="P3053">
        <v>8.3723327193414646E-2</v>
      </c>
      <c r="Q3053" t="s">
        <v>162</v>
      </c>
      <c r="S3053" t="s">
        <v>466</v>
      </c>
      <c r="T3053" t="s">
        <v>528</v>
      </c>
      <c r="U3053">
        <v>7.8538607377831124E-2</v>
      </c>
      <c r="V3053" t="s">
        <v>162</v>
      </c>
    </row>
    <row r="3054" spans="9:22" x14ac:dyDescent="0.45">
      <c r="I3054" t="s">
        <v>242</v>
      </c>
      <c r="J3054" t="s">
        <v>529</v>
      </c>
      <c r="K3054">
        <v>2.7793632144316262E-2</v>
      </c>
      <c r="L3054" t="s">
        <v>162</v>
      </c>
      <c r="N3054" t="s">
        <v>354</v>
      </c>
      <c r="O3054" t="s">
        <v>529</v>
      </c>
      <c r="P3054">
        <v>8.2864320862587517E-3</v>
      </c>
      <c r="Q3054" t="s">
        <v>162</v>
      </c>
      <c r="S3054" t="s">
        <v>466</v>
      </c>
      <c r="T3054" t="s">
        <v>529</v>
      </c>
      <c r="U3054">
        <v>8.0879032000750056E-3</v>
      </c>
      <c r="V3054" t="s">
        <v>162</v>
      </c>
    </row>
    <row r="3055" spans="9:22" x14ac:dyDescent="0.45">
      <c r="I3055" t="s">
        <v>242</v>
      </c>
      <c r="J3055" t="s">
        <v>530</v>
      </c>
      <c r="K3055">
        <v>5.9112514488552016E-2</v>
      </c>
      <c r="L3055" t="s">
        <v>162</v>
      </c>
      <c r="N3055" t="s">
        <v>354</v>
      </c>
      <c r="O3055" t="s">
        <v>530</v>
      </c>
      <c r="P3055">
        <v>1.7017902154861278E-2</v>
      </c>
      <c r="Q3055" t="s">
        <v>162</v>
      </c>
      <c r="S3055" t="s">
        <v>466</v>
      </c>
      <c r="T3055" t="s">
        <v>530</v>
      </c>
      <c r="U3055">
        <v>1.5805869584498543E-2</v>
      </c>
      <c r="V3055" t="s">
        <v>162</v>
      </c>
    </row>
    <row r="3056" spans="9:22" x14ac:dyDescent="0.45">
      <c r="I3056" t="s">
        <v>242</v>
      </c>
      <c r="J3056" t="s">
        <v>531</v>
      </c>
      <c r="K3056">
        <v>0.1391313941953814</v>
      </c>
      <c r="L3056" t="s">
        <v>162</v>
      </c>
      <c r="N3056" t="s">
        <v>354</v>
      </c>
      <c r="O3056" t="s">
        <v>531</v>
      </c>
      <c r="P3056">
        <v>4.6902184614897389E-2</v>
      </c>
      <c r="Q3056" t="s">
        <v>162</v>
      </c>
      <c r="S3056" t="s">
        <v>466</v>
      </c>
      <c r="T3056" t="s">
        <v>531</v>
      </c>
      <c r="U3056">
        <v>3.8059158501702398E-2</v>
      </c>
      <c r="V3056" t="s">
        <v>162</v>
      </c>
    </row>
    <row r="3057" spans="9:22" x14ac:dyDescent="0.45">
      <c r="I3057" t="s">
        <v>242</v>
      </c>
      <c r="J3057" t="s">
        <v>532</v>
      </c>
      <c r="K3057">
        <v>2.1809603177364134E-2</v>
      </c>
      <c r="L3057" t="s">
        <v>162</v>
      </c>
      <c r="N3057" t="s">
        <v>354</v>
      </c>
      <c r="O3057" t="s">
        <v>532</v>
      </c>
      <c r="P3057">
        <v>9.9869119709839471E-3</v>
      </c>
      <c r="Q3057" t="s">
        <v>162</v>
      </c>
      <c r="S3057" t="s">
        <v>466</v>
      </c>
      <c r="T3057" t="s">
        <v>532</v>
      </c>
      <c r="U3057">
        <v>7.6717588390380906E-3</v>
      </c>
      <c r="V3057" t="s">
        <v>162</v>
      </c>
    </row>
    <row r="3058" spans="9:22" x14ac:dyDescent="0.45">
      <c r="I3058" t="s">
        <v>242</v>
      </c>
      <c r="J3058" t="s">
        <v>533</v>
      </c>
      <c r="K3058">
        <v>3.5127722663190725E-2</v>
      </c>
      <c r="L3058" t="s">
        <v>162</v>
      </c>
      <c r="N3058" t="s">
        <v>354</v>
      </c>
      <c r="O3058" t="s">
        <v>533</v>
      </c>
      <c r="P3058">
        <v>6.1716699729295707E-2</v>
      </c>
      <c r="Q3058" t="s">
        <v>162</v>
      </c>
      <c r="S3058" t="s">
        <v>466</v>
      </c>
      <c r="T3058" t="s">
        <v>533</v>
      </c>
      <c r="U3058">
        <v>4.8923429007154746E-2</v>
      </c>
      <c r="V3058" t="s">
        <v>162</v>
      </c>
    </row>
    <row r="3059" spans="9:22" x14ac:dyDescent="0.45">
      <c r="I3059" t="s">
        <v>242</v>
      </c>
      <c r="J3059" t="s">
        <v>534</v>
      </c>
      <c r="K3059">
        <v>3.6466212175010573E-2</v>
      </c>
      <c r="L3059" t="s">
        <v>162</v>
      </c>
      <c r="N3059" t="s">
        <v>354</v>
      </c>
      <c r="O3059" t="s">
        <v>534</v>
      </c>
      <c r="P3059">
        <v>9.501962011918598E-2</v>
      </c>
      <c r="Q3059" t="s">
        <v>162</v>
      </c>
      <c r="S3059" t="s">
        <v>466</v>
      </c>
      <c r="T3059" t="s">
        <v>534</v>
      </c>
      <c r="U3059">
        <v>8.520835844531241E-2</v>
      </c>
      <c r="V3059" t="s">
        <v>162</v>
      </c>
    </row>
    <row r="3060" spans="9:22" x14ac:dyDescent="0.45">
      <c r="I3060" t="s">
        <v>242</v>
      </c>
      <c r="J3060" t="s">
        <v>535</v>
      </c>
      <c r="K3060">
        <v>2.4329588805538323E-2</v>
      </c>
      <c r="L3060" t="s">
        <v>162</v>
      </c>
      <c r="N3060" t="s">
        <v>354</v>
      </c>
      <c r="O3060" t="s">
        <v>535</v>
      </c>
      <c r="P3060">
        <v>1.0407950394044026E-2</v>
      </c>
      <c r="Q3060" t="s">
        <v>162</v>
      </c>
      <c r="S3060" t="s">
        <v>466</v>
      </c>
      <c r="T3060" t="s">
        <v>535</v>
      </c>
      <c r="U3060">
        <v>8.9063330156271651E-3</v>
      </c>
      <c r="V3060" t="s">
        <v>162</v>
      </c>
    </row>
    <row r="3061" spans="9:22" x14ac:dyDescent="0.45">
      <c r="I3061" t="s">
        <v>242</v>
      </c>
      <c r="J3061" t="s">
        <v>536</v>
      </c>
      <c r="K3061">
        <v>5.2504841000834197E-2</v>
      </c>
      <c r="L3061" t="s">
        <v>162</v>
      </c>
      <c r="N3061" t="s">
        <v>354</v>
      </c>
      <c r="O3061" t="s">
        <v>536</v>
      </c>
      <c r="P3061">
        <v>2.1004607760799519E-2</v>
      </c>
      <c r="Q3061" t="s">
        <v>162</v>
      </c>
      <c r="S3061" t="s">
        <v>466</v>
      </c>
      <c r="T3061" t="s">
        <v>536</v>
      </c>
      <c r="U3061">
        <v>1.7490303166883266E-2</v>
      </c>
      <c r="V3061" t="s">
        <v>162</v>
      </c>
    </row>
    <row r="3062" spans="9:22" x14ac:dyDescent="0.45">
      <c r="I3062" t="s">
        <v>242</v>
      </c>
      <c r="J3062" t="s">
        <v>537</v>
      </c>
      <c r="K3062">
        <v>0.11671564438826071</v>
      </c>
      <c r="L3062" t="s">
        <v>162</v>
      </c>
      <c r="N3062" t="s">
        <v>354</v>
      </c>
      <c r="O3062" t="s">
        <v>537</v>
      </c>
      <c r="P3062">
        <v>5.3903463231266886E-2</v>
      </c>
      <c r="Q3062" t="s">
        <v>162</v>
      </c>
      <c r="S3062" t="s">
        <v>466</v>
      </c>
      <c r="T3062" t="s">
        <v>537</v>
      </c>
      <c r="U3062">
        <v>4.2434156591225312E-2</v>
      </c>
      <c r="V3062" t="s">
        <v>162</v>
      </c>
    </row>
    <row r="3063" spans="9:22" x14ac:dyDescent="0.45">
      <c r="I3063" t="s">
        <v>242</v>
      </c>
      <c r="J3063" t="s">
        <v>538</v>
      </c>
      <c r="K3063">
        <v>1.6612619824582148E-2</v>
      </c>
      <c r="L3063" t="s">
        <v>162</v>
      </c>
      <c r="N3063" t="s">
        <v>354</v>
      </c>
      <c r="O3063" t="s">
        <v>538</v>
      </c>
      <c r="P3063">
        <v>1.0357065806524285E-2</v>
      </c>
      <c r="Q3063" t="s">
        <v>162</v>
      </c>
      <c r="S3063" t="s">
        <v>466</v>
      </c>
      <c r="T3063" t="s">
        <v>538</v>
      </c>
      <c r="U3063">
        <v>8.3502170734643475E-3</v>
      </c>
      <c r="V3063" t="s">
        <v>162</v>
      </c>
    </row>
    <row r="3064" spans="9:22" x14ac:dyDescent="0.45">
      <c r="I3064" t="s">
        <v>242</v>
      </c>
      <c r="J3064" t="s">
        <v>539</v>
      </c>
      <c r="K3064">
        <v>1.3865341527480941E-2</v>
      </c>
      <c r="L3064" t="s">
        <v>162</v>
      </c>
      <c r="N3064" t="s">
        <v>354</v>
      </c>
      <c r="O3064" t="s">
        <v>539</v>
      </c>
      <c r="P3064">
        <v>6.1493548661749629E-2</v>
      </c>
      <c r="Q3064" t="s">
        <v>162</v>
      </c>
      <c r="S3064" t="s">
        <v>466</v>
      </c>
      <c r="T3064" t="s">
        <v>539</v>
      </c>
      <c r="U3064">
        <v>5.3038022928156951E-2</v>
      </c>
      <c r="V3064" t="s">
        <v>162</v>
      </c>
    </row>
    <row r="3065" spans="9:22" x14ac:dyDescent="0.45">
      <c r="I3065" t="s">
        <v>242</v>
      </c>
      <c r="J3065" t="s">
        <v>540</v>
      </c>
      <c r="K3065">
        <v>1.7707106257257672E-3</v>
      </c>
      <c r="L3065" t="s">
        <v>162</v>
      </c>
      <c r="N3065" t="s">
        <v>354</v>
      </c>
      <c r="O3065" t="s">
        <v>540</v>
      </c>
      <c r="P3065">
        <v>3.3904582696377861E-2</v>
      </c>
      <c r="Q3065" t="s">
        <v>162</v>
      </c>
      <c r="S3065" t="s">
        <v>466</v>
      </c>
      <c r="T3065" t="s">
        <v>540</v>
      </c>
      <c r="U3065">
        <v>3.6845047947564394E-2</v>
      </c>
      <c r="V3065" t="s">
        <v>162</v>
      </c>
    </row>
    <row r="3066" spans="9:22" x14ac:dyDescent="0.45">
      <c r="I3066" t="s">
        <v>242</v>
      </c>
      <c r="J3066" t="s">
        <v>541</v>
      </c>
      <c r="K3066">
        <v>4.375733667548615E-3</v>
      </c>
      <c r="L3066" t="s">
        <v>162</v>
      </c>
      <c r="N3066" t="s">
        <v>354</v>
      </c>
      <c r="O3066" t="s">
        <v>541</v>
      </c>
      <c r="P3066">
        <v>3.7604834360836685E-3</v>
      </c>
      <c r="Q3066" t="s">
        <v>162</v>
      </c>
      <c r="S3066" t="s">
        <v>466</v>
      </c>
      <c r="T3066" t="s">
        <v>541</v>
      </c>
      <c r="U3066">
        <v>3.9126248357177675E-3</v>
      </c>
      <c r="V3066" t="s">
        <v>162</v>
      </c>
    </row>
    <row r="3067" spans="9:22" x14ac:dyDescent="0.45">
      <c r="I3067" t="s">
        <v>242</v>
      </c>
      <c r="J3067" t="s">
        <v>542</v>
      </c>
      <c r="K3067">
        <v>1.236328746330293E-2</v>
      </c>
      <c r="L3067" t="s">
        <v>162</v>
      </c>
      <c r="N3067" t="s">
        <v>354</v>
      </c>
      <c r="O3067" t="s">
        <v>542</v>
      </c>
      <c r="P3067">
        <v>7.5033263194493509E-3</v>
      </c>
      <c r="Q3067" t="s">
        <v>162</v>
      </c>
      <c r="S3067" t="s">
        <v>466</v>
      </c>
      <c r="T3067" t="s">
        <v>542</v>
      </c>
      <c r="U3067">
        <v>7.6552019029138283E-3</v>
      </c>
      <c r="V3067" t="s">
        <v>162</v>
      </c>
    </row>
    <row r="3068" spans="9:22" x14ac:dyDescent="0.45">
      <c r="I3068" t="s">
        <v>242</v>
      </c>
      <c r="J3068" t="s">
        <v>543</v>
      </c>
      <c r="K3068">
        <v>2.5779039463977301E-2</v>
      </c>
      <c r="L3068" t="s">
        <v>162</v>
      </c>
      <c r="N3068" t="s">
        <v>354</v>
      </c>
      <c r="O3068" t="s">
        <v>543</v>
      </c>
      <c r="P3068">
        <v>1.9122328779225723E-2</v>
      </c>
      <c r="Q3068" t="s">
        <v>162</v>
      </c>
      <c r="S3068" t="s">
        <v>466</v>
      </c>
      <c r="T3068" t="s">
        <v>543</v>
      </c>
      <c r="U3068">
        <v>1.8386847857202369E-2</v>
      </c>
      <c r="V3068" t="s">
        <v>162</v>
      </c>
    </row>
    <row r="3069" spans="9:22" x14ac:dyDescent="0.45">
      <c r="I3069" t="s">
        <v>242</v>
      </c>
      <c r="J3069" t="s">
        <v>544</v>
      </c>
      <c r="K3069">
        <v>2.4064229477020737E-6</v>
      </c>
      <c r="L3069" t="s">
        <v>162</v>
      </c>
      <c r="N3069" t="s">
        <v>354</v>
      </c>
      <c r="O3069" t="s">
        <v>544</v>
      </c>
      <c r="P3069">
        <v>3.896046929343768E-3</v>
      </c>
      <c r="Q3069" t="s">
        <v>162</v>
      </c>
      <c r="S3069" t="s">
        <v>466</v>
      </c>
      <c r="T3069" t="s">
        <v>544</v>
      </c>
      <c r="U3069">
        <v>3.8019984529541911E-3</v>
      </c>
      <c r="V3069" t="s">
        <v>162</v>
      </c>
    </row>
    <row r="3070" spans="9:22" x14ac:dyDescent="0.45">
      <c r="I3070" t="s">
        <v>242</v>
      </c>
      <c r="J3070" t="s">
        <v>545</v>
      </c>
      <c r="K3070">
        <v>0</v>
      </c>
      <c r="L3070" t="s">
        <v>162</v>
      </c>
      <c r="N3070" t="s">
        <v>354</v>
      </c>
      <c r="O3070" t="s">
        <v>545</v>
      </c>
      <c r="P3070">
        <v>2.343631998721106E-2</v>
      </c>
      <c r="Q3070" t="s">
        <v>162</v>
      </c>
      <c r="S3070" t="s">
        <v>466</v>
      </c>
      <c r="T3070" t="s">
        <v>545</v>
      </c>
      <c r="U3070">
        <v>2.5573381834499736E-2</v>
      </c>
      <c r="V3070" t="s">
        <v>162</v>
      </c>
    </row>
    <row r="3071" spans="9:22" x14ac:dyDescent="0.45">
      <c r="I3071" t="s">
        <v>242</v>
      </c>
      <c r="J3071" t="s">
        <v>546</v>
      </c>
      <c r="K3071">
        <v>0</v>
      </c>
      <c r="L3071" t="s">
        <v>162</v>
      </c>
      <c r="N3071" t="s">
        <v>354</v>
      </c>
      <c r="O3071" t="s">
        <v>546</v>
      </c>
      <c r="P3071">
        <v>3.60385311261383E-2</v>
      </c>
      <c r="Q3071" t="s">
        <v>162</v>
      </c>
      <c r="S3071" t="s">
        <v>466</v>
      </c>
      <c r="T3071" t="s">
        <v>546</v>
      </c>
      <c r="U3071">
        <v>3.9602036067752422E-2</v>
      </c>
      <c r="V3071" t="s">
        <v>162</v>
      </c>
    </row>
    <row r="3072" spans="9:22" x14ac:dyDescent="0.45">
      <c r="I3072" t="s">
        <v>242</v>
      </c>
      <c r="J3072" t="s">
        <v>547</v>
      </c>
      <c r="K3072">
        <v>2.5670551872160581E-3</v>
      </c>
      <c r="L3072" t="s">
        <v>162</v>
      </c>
      <c r="N3072" t="s">
        <v>354</v>
      </c>
      <c r="O3072" t="s">
        <v>547</v>
      </c>
      <c r="P3072">
        <v>4.0760332794082931E-3</v>
      </c>
      <c r="Q3072" t="s">
        <v>162</v>
      </c>
      <c r="S3072" t="s">
        <v>466</v>
      </c>
      <c r="T3072" t="s">
        <v>547</v>
      </c>
      <c r="U3072">
        <v>4.6932785830507374E-3</v>
      </c>
      <c r="V3072" t="s">
        <v>162</v>
      </c>
    </row>
    <row r="3073" spans="9:22" x14ac:dyDescent="0.45">
      <c r="I3073" t="s">
        <v>242</v>
      </c>
      <c r="J3073" t="s">
        <v>548</v>
      </c>
      <c r="K3073">
        <v>1.0077922921238136E-2</v>
      </c>
      <c r="L3073" t="s">
        <v>162</v>
      </c>
      <c r="N3073" t="s">
        <v>354</v>
      </c>
      <c r="O3073" t="s">
        <v>548</v>
      </c>
      <c r="P3073">
        <v>8.2214490000001392E-3</v>
      </c>
      <c r="Q3073" t="s">
        <v>162</v>
      </c>
      <c r="S3073" t="s">
        <v>466</v>
      </c>
      <c r="T3073" t="s">
        <v>548</v>
      </c>
      <c r="U3073">
        <v>9.4847835618667789E-3</v>
      </c>
      <c r="V3073" t="s">
        <v>162</v>
      </c>
    </row>
    <row r="3074" spans="9:22" x14ac:dyDescent="0.45">
      <c r="I3074" t="s">
        <v>242</v>
      </c>
      <c r="J3074" t="s">
        <v>549</v>
      </c>
      <c r="K3074">
        <v>2.2871185782381506E-2</v>
      </c>
      <c r="L3074" t="s">
        <v>162</v>
      </c>
      <c r="N3074" t="s">
        <v>354</v>
      </c>
      <c r="O3074" t="s">
        <v>549</v>
      </c>
      <c r="P3074">
        <v>2.0273162675139091E-2</v>
      </c>
      <c r="Q3074" t="s">
        <v>162</v>
      </c>
      <c r="S3074" t="s">
        <v>466</v>
      </c>
      <c r="T3074" t="s">
        <v>549</v>
      </c>
      <c r="U3074">
        <v>2.3711335841046444E-2</v>
      </c>
      <c r="V3074" t="s">
        <v>162</v>
      </c>
    </row>
    <row r="3075" spans="9:22" x14ac:dyDescent="0.45">
      <c r="I3075" t="s">
        <v>242</v>
      </c>
      <c r="J3075" t="s">
        <v>550</v>
      </c>
      <c r="K3075">
        <v>0</v>
      </c>
      <c r="L3075" t="s">
        <v>162</v>
      </c>
      <c r="N3075" t="s">
        <v>354</v>
      </c>
      <c r="O3075" t="s">
        <v>550</v>
      </c>
      <c r="P3075">
        <v>3.9577502327085663E-3</v>
      </c>
      <c r="Q3075" t="s">
        <v>162</v>
      </c>
      <c r="S3075" t="s">
        <v>466</v>
      </c>
      <c r="T3075" t="s">
        <v>550</v>
      </c>
      <c r="U3075">
        <v>4.7138659588656902E-3</v>
      </c>
      <c r="V3075" t="s">
        <v>162</v>
      </c>
    </row>
    <row r="3076" spans="9:22" x14ac:dyDescent="0.45">
      <c r="I3076" t="s">
        <v>242</v>
      </c>
      <c r="J3076" t="s">
        <v>551</v>
      </c>
      <c r="K3076">
        <v>0</v>
      </c>
      <c r="L3076" t="s">
        <v>162</v>
      </c>
      <c r="N3076" t="s">
        <v>354</v>
      </c>
      <c r="O3076" t="s">
        <v>551</v>
      </c>
      <c r="P3076">
        <v>2.3742870244273365E-2</v>
      </c>
      <c r="Q3076" t="s">
        <v>162</v>
      </c>
      <c r="S3076" t="s">
        <v>466</v>
      </c>
      <c r="T3076" t="s">
        <v>551</v>
      </c>
      <c r="U3076">
        <v>2.8103719430683186E-2</v>
      </c>
      <c r="V3076" t="s">
        <v>162</v>
      </c>
    </row>
    <row r="3077" spans="9:22" x14ac:dyDescent="0.45">
      <c r="I3077" t="s">
        <v>243</v>
      </c>
      <c r="J3077" t="s">
        <v>161</v>
      </c>
      <c r="K3077">
        <v>0</v>
      </c>
      <c r="L3077" t="s">
        <v>162</v>
      </c>
      <c r="N3077" t="s">
        <v>355</v>
      </c>
      <c r="O3077" t="s">
        <v>161</v>
      </c>
      <c r="P3077">
        <v>4.350255438822502E-2</v>
      </c>
      <c r="Q3077" t="s">
        <v>162</v>
      </c>
      <c r="S3077" t="s">
        <v>467</v>
      </c>
      <c r="T3077" t="s">
        <v>161</v>
      </c>
      <c r="U3077">
        <v>4.3381297539621791E-2</v>
      </c>
      <c r="V3077" t="s">
        <v>162</v>
      </c>
    </row>
    <row r="3078" spans="9:22" x14ac:dyDescent="0.45">
      <c r="I3078" t="s">
        <v>243</v>
      </c>
      <c r="J3078" t="s">
        <v>163</v>
      </c>
      <c r="K3078">
        <v>2.6315471620291611E-3</v>
      </c>
      <c r="L3078" t="s">
        <v>162</v>
      </c>
      <c r="N3078" t="s">
        <v>355</v>
      </c>
      <c r="O3078" t="s">
        <v>163</v>
      </c>
      <c r="P3078">
        <v>4.773173495580119E-3</v>
      </c>
      <c r="Q3078" t="s">
        <v>162</v>
      </c>
      <c r="S3078" t="s">
        <v>467</v>
      </c>
      <c r="T3078" t="s">
        <v>163</v>
      </c>
      <c r="U3078">
        <v>4.6788610930651071E-3</v>
      </c>
      <c r="V3078" t="s">
        <v>162</v>
      </c>
    </row>
    <row r="3079" spans="9:22" x14ac:dyDescent="0.45">
      <c r="I3079" t="s">
        <v>243</v>
      </c>
      <c r="J3079" t="s">
        <v>164</v>
      </c>
      <c r="K3079">
        <v>1.0684111811664879E-2</v>
      </c>
      <c r="L3079" t="s">
        <v>162</v>
      </c>
      <c r="N3079" t="s">
        <v>355</v>
      </c>
      <c r="O3079" t="s">
        <v>164</v>
      </c>
      <c r="P3079">
        <v>9.8771720281280798E-3</v>
      </c>
      <c r="Q3079" t="s">
        <v>162</v>
      </c>
      <c r="S3079" t="s">
        <v>467</v>
      </c>
      <c r="T3079" t="s">
        <v>164</v>
      </c>
      <c r="U3079">
        <v>9.2167691320782352E-3</v>
      </c>
      <c r="V3079" t="s">
        <v>162</v>
      </c>
    </row>
    <row r="3080" spans="9:22" x14ac:dyDescent="0.45">
      <c r="I3080" t="s">
        <v>243</v>
      </c>
      <c r="J3080" t="s">
        <v>519</v>
      </c>
      <c r="K3080">
        <v>2.7758810736699363E-2</v>
      </c>
      <c r="L3080" t="s">
        <v>162</v>
      </c>
      <c r="N3080" t="s">
        <v>355</v>
      </c>
      <c r="O3080" t="s">
        <v>519</v>
      </c>
      <c r="P3080">
        <v>2.6594346524701443E-2</v>
      </c>
      <c r="Q3080" t="s">
        <v>162</v>
      </c>
      <c r="S3080" t="s">
        <v>467</v>
      </c>
      <c r="T3080" t="s">
        <v>519</v>
      </c>
      <c r="U3080">
        <v>2.1954438349598517E-2</v>
      </c>
      <c r="V3080" t="s">
        <v>162</v>
      </c>
    </row>
    <row r="3081" spans="9:22" x14ac:dyDescent="0.45">
      <c r="I3081" t="s">
        <v>243</v>
      </c>
      <c r="J3081" t="s">
        <v>520</v>
      </c>
      <c r="K3081">
        <v>1.1108669605599348E-3</v>
      </c>
      <c r="L3081" t="s">
        <v>162</v>
      </c>
      <c r="N3081" t="s">
        <v>355</v>
      </c>
      <c r="O3081" t="s">
        <v>520</v>
      </c>
      <c r="P3081">
        <v>5.4045953324188337E-3</v>
      </c>
      <c r="Q3081" t="s">
        <v>162</v>
      </c>
      <c r="S3081" t="s">
        <v>467</v>
      </c>
      <c r="T3081" t="s">
        <v>520</v>
      </c>
      <c r="U3081">
        <v>4.3081572844162483E-3</v>
      </c>
      <c r="V3081" t="s">
        <v>162</v>
      </c>
    </row>
    <row r="3082" spans="9:22" x14ac:dyDescent="0.45">
      <c r="I3082" t="s">
        <v>243</v>
      </c>
      <c r="J3082" t="s">
        <v>521</v>
      </c>
      <c r="K3082">
        <v>0</v>
      </c>
      <c r="L3082" t="s">
        <v>162</v>
      </c>
      <c r="N3082" t="s">
        <v>355</v>
      </c>
      <c r="O3082" t="s">
        <v>521</v>
      </c>
      <c r="P3082">
        <v>3.1816066238020919E-2</v>
      </c>
      <c r="Q3082" t="s">
        <v>162</v>
      </c>
      <c r="S3082" t="s">
        <v>467</v>
      </c>
      <c r="T3082" t="s">
        <v>521</v>
      </c>
      <c r="U3082">
        <v>2.6572999209002753E-2</v>
      </c>
      <c r="V3082" t="s">
        <v>162</v>
      </c>
    </row>
    <row r="3083" spans="9:22" x14ac:dyDescent="0.45">
      <c r="I3083" t="s">
        <v>243</v>
      </c>
      <c r="J3083" t="s">
        <v>165</v>
      </c>
      <c r="K3083">
        <v>9.2014707849677659E-3</v>
      </c>
      <c r="L3083" t="s">
        <v>162</v>
      </c>
      <c r="N3083" t="s">
        <v>355</v>
      </c>
      <c r="O3083" t="s">
        <v>165</v>
      </c>
      <c r="P3083">
        <v>6.1454785907741137E-2</v>
      </c>
      <c r="Q3083" t="s">
        <v>162</v>
      </c>
      <c r="S3083" t="s">
        <v>467</v>
      </c>
      <c r="T3083" t="s">
        <v>165</v>
      </c>
      <c r="U3083">
        <v>6.2837716443141789E-2</v>
      </c>
      <c r="V3083" t="s">
        <v>162</v>
      </c>
    </row>
    <row r="3084" spans="9:22" x14ac:dyDescent="0.45">
      <c r="I3084" t="s">
        <v>243</v>
      </c>
      <c r="J3084" t="s">
        <v>166</v>
      </c>
      <c r="K3084">
        <v>1.2440016715870332E-2</v>
      </c>
      <c r="L3084" t="s">
        <v>162</v>
      </c>
      <c r="N3084" t="s">
        <v>355</v>
      </c>
      <c r="O3084" t="s">
        <v>166</v>
      </c>
      <c r="P3084">
        <v>6.7446956984804759E-3</v>
      </c>
      <c r="Q3084" t="s">
        <v>162</v>
      </c>
      <c r="S3084" t="s">
        <v>467</v>
      </c>
      <c r="T3084" t="s">
        <v>166</v>
      </c>
      <c r="U3084">
        <v>7.1118871457601686E-3</v>
      </c>
      <c r="V3084" t="s">
        <v>162</v>
      </c>
    </row>
    <row r="3085" spans="9:22" x14ac:dyDescent="0.45">
      <c r="I3085" t="s">
        <v>243</v>
      </c>
      <c r="J3085" t="s">
        <v>167</v>
      </c>
      <c r="K3085">
        <v>3.3665476937211343E-2</v>
      </c>
      <c r="L3085" t="s">
        <v>162</v>
      </c>
      <c r="N3085" t="s">
        <v>355</v>
      </c>
      <c r="O3085" t="s">
        <v>167</v>
      </c>
      <c r="P3085">
        <v>1.3265382938757161E-2</v>
      </c>
      <c r="Q3085" t="s">
        <v>162</v>
      </c>
      <c r="S3085" t="s">
        <v>467</v>
      </c>
      <c r="T3085" t="s">
        <v>167</v>
      </c>
      <c r="U3085">
        <v>1.412538007994666E-2</v>
      </c>
      <c r="V3085" t="s">
        <v>162</v>
      </c>
    </row>
    <row r="3086" spans="9:22" x14ac:dyDescent="0.45">
      <c r="I3086" t="s">
        <v>243</v>
      </c>
      <c r="J3086" t="s">
        <v>522</v>
      </c>
      <c r="K3086">
        <v>8.0844900857739793E-2</v>
      </c>
      <c r="L3086" t="s">
        <v>162</v>
      </c>
      <c r="N3086" t="s">
        <v>355</v>
      </c>
      <c r="O3086" t="s">
        <v>522</v>
      </c>
      <c r="P3086">
        <v>3.3088030838318946E-2</v>
      </c>
      <c r="Q3086" t="s">
        <v>162</v>
      </c>
      <c r="S3086" t="s">
        <v>467</v>
      </c>
      <c r="T3086" t="s">
        <v>522</v>
      </c>
      <c r="U3086">
        <v>3.5136563505121218E-2</v>
      </c>
      <c r="V3086" t="s">
        <v>162</v>
      </c>
    </row>
    <row r="3087" spans="9:22" x14ac:dyDescent="0.45">
      <c r="I3087" t="s">
        <v>243</v>
      </c>
      <c r="J3087" t="s">
        <v>523</v>
      </c>
      <c r="K3087">
        <v>1.0485904569813782E-2</v>
      </c>
      <c r="L3087" t="s">
        <v>162</v>
      </c>
      <c r="N3087" t="s">
        <v>355</v>
      </c>
      <c r="O3087" t="s">
        <v>523</v>
      </c>
      <c r="P3087">
        <v>6.8741850568114111E-3</v>
      </c>
      <c r="Q3087" t="s">
        <v>162</v>
      </c>
      <c r="S3087" t="s">
        <v>467</v>
      </c>
      <c r="T3087" t="s">
        <v>523</v>
      </c>
      <c r="U3087">
        <v>7.1335598297943836E-3</v>
      </c>
      <c r="V3087" t="s">
        <v>162</v>
      </c>
    </row>
    <row r="3088" spans="9:22" x14ac:dyDescent="0.45">
      <c r="I3088" t="s">
        <v>243</v>
      </c>
      <c r="J3088" t="s">
        <v>524</v>
      </c>
      <c r="K3088">
        <v>4.879542281949709E-3</v>
      </c>
      <c r="L3088" t="s">
        <v>162</v>
      </c>
      <c r="N3088" t="s">
        <v>355</v>
      </c>
      <c r="O3088" t="s">
        <v>524</v>
      </c>
      <c r="P3088">
        <v>4.2171232263920437E-2</v>
      </c>
      <c r="Q3088" t="s">
        <v>162</v>
      </c>
      <c r="S3088" t="s">
        <v>467</v>
      </c>
      <c r="T3088" t="s">
        <v>524</v>
      </c>
      <c r="U3088">
        <v>4.2893805690418486E-2</v>
      </c>
      <c r="V3088" t="s">
        <v>162</v>
      </c>
    </row>
    <row r="3089" spans="9:22" x14ac:dyDescent="0.45">
      <c r="I3089" t="s">
        <v>243</v>
      </c>
      <c r="J3089" t="s">
        <v>168</v>
      </c>
      <c r="K3089">
        <v>1.4328458192036068E-2</v>
      </c>
      <c r="L3089" t="s">
        <v>162</v>
      </c>
      <c r="N3089" t="s">
        <v>355</v>
      </c>
      <c r="O3089" t="s">
        <v>168</v>
      </c>
      <c r="P3089">
        <v>3.0864355598302615E-2</v>
      </c>
      <c r="Q3089" t="s">
        <v>162</v>
      </c>
      <c r="S3089" t="s">
        <v>467</v>
      </c>
      <c r="T3089" t="s">
        <v>168</v>
      </c>
      <c r="U3089">
        <v>3.5800420959709298E-2</v>
      </c>
      <c r="V3089" t="s">
        <v>162</v>
      </c>
    </row>
    <row r="3090" spans="9:22" x14ac:dyDescent="0.45">
      <c r="I3090" t="s">
        <v>243</v>
      </c>
      <c r="J3090" t="s">
        <v>169</v>
      </c>
      <c r="K3090">
        <v>9.1689877768769898E-3</v>
      </c>
      <c r="L3090" t="s">
        <v>162</v>
      </c>
      <c r="N3090" t="s">
        <v>355</v>
      </c>
      <c r="O3090" t="s">
        <v>169</v>
      </c>
      <c r="P3090">
        <v>3.0276582808357513E-3</v>
      </c>
      <c r="Q3090" t="s">
        <v>162</v>
      </c>
      <c r="S3090" t="s">
        <v>467</v>
      </c>
      <c r="T3090" t="s">
        <v>169</v>
      </c>
      <c r="U3090">
        <v>3.9990345320554633E-3</v>
      </c>
      <c r="V3090" t="s">
        <v>162</v>
      </c>
    </row>
    <row r="3091" spans="9:22" x14ac:dyDescent="0.45">
      <c r="I3091" t="s">
        <v>243</v>
      </c>
      <c r="J3091" t="s">
        <v>170</v>
      </c>
      <c r="K3091">
        <v>2.0653045954903301E-2</v>
      </c>
      <c r="L3091" t="s">
        <v>162</v>
      </c>
      <c r="N3091" t="s">
        <v>355</v>
      </c>
      <c r="O3091" t="s">
        <v>170</v>
      </c>
      <c r="P3091">
        <v>6.0999484960156999E-3</v>
      </c>
      <c r="Q3091" t="s">
        <v>162</v>
      </c>
      <c r="S3091" t="s">
        <v>467</v>
      </c>
      <c r="T3091" t="s">
        <v>170</v>
      </c>
      <c r="U3091">
        <v>7.9058708950948929E-3</v>
      </c>
      <c r="V3091" t="s">
        <v>162</v>
      </c>
    </row>
    <row r="3092" spans="9:22" x14ac:dyDescent="0.45">
      <c r="I3092" t="s">
        <v>243</v>
      </c>
      <c r="J3092" t="s">
        <v>525</v>
      </c>
      <c r="K3092">
        <v>4.9782637909199984E-2</v>
      </c>
      <c r="L3092" t="s">
        <v>162</v>
      </c>
      <c r="N3092" t="s">
        <v>355</v>
      </c>
      <c r="O3092" t="s">
        <v>525</v>
      </c>
      <c r="P3092">
        <v>1.6227126132031939E-2</v>
      </c>
      <c r="Q3092" t="s">
        <v>162</v>
      </c>
      <c r="S3092" t="s">
        <v>467</v>
      </c>
      <c r="T3092" t="s">
        <v>525</v>
      </c>
      <c r="U3092">
        <v>2.0034214668991641E-2</v>
      </c>
      <c r="V3092" t="s">
        <v>162</v>
      </c>
    </row>
    <row r="3093" spans="9:22" x14ac:dyDescent="0.45">
      <c r="I3093" t="s">
        <v>243</v>
      </c>
      <c r="J3093" t="s">
        <v>526</v>
      </c>
      <c r="K3093">
        <v>7.5935261099369039E-3</v>
      </c>
      <c r="L3093" t="s">
        <v>162</v>
      </c>
      <c r="N3093" t="s">
        <v>355</v>
      </c>
      <c r="O3093" t="s">
        <v>526</v>
      </c>
      <c r="P3093">
        <v>3.3446285858910801E-3</v>
      </c>
      <c r="Q3093" t="s">
        <v>162</v>
      </c>
      <c r="S3093" t="s">
        <v>467</v>
      </c>
      <c r="T3093" t="s">
        <v>526</v>
      </c>
      <c r="U3093">
        <v>4.0774072330256681E-3</v>
      </c>
      <c r="V3093" t="s">
        <v>162</v>
      </c>
    </row>
    <row r="3094" spans="9:22" x14ac:dyDescent="0.45">
      <c r="I3094" t="s">
        <v>243</v>
      </c>
      <c r="J3094" t="s">
        <v>527</v>
      </c>
      <c r="K3094">
        <v>8.6560473141380958E-3</v>
      </c>
      <c r="L3094" t="s">
        <v>162</v>
      </c>
      <c r="N3094" t="s">
        <v>355</v>
      </c>
      <c r="O3094" t="s">
        <v>527</v>
      </c>
      <c r="P3094">
        <v>2.1959891804667089E-2</v>
      </c>
      <c r="Q3094" t="s">
        <v>162</v>
      </c>
      <c r="S3094" t="s">
        <v>467</v>
      </c>
      <c r="T3094" t="s">
        <v>527</v>
      </c>
      <c r="U3094">
        <v>2.4712280725108851E-2</v>
      </c>
      <c r="V3094" t="s">
        <v>162</v>
      </c>
    </row>
    <row r="3095" spans="9:22" x14ac:dyDescent="0.45">
      <c r="I3095" t="s">
        <v>243</v>
      </c>
      <c r="J3095" t="s">
        <v>528</v>
      </c>
      <c r="K3095">
        <v>5.9703793942984439E-2</v>
      </c>
      <c r="L3095" t="s">
        <v>162</v>
      </c>
      <c r="N3095" t="s">
        <v>355</v>
      </c>
      <c r="O3095" t="s">
        <v>528</v>
      </c>
      <c r="P3095">
        <v>8.114605750845312E-2</v>
      </c>
      <c r="Q3095" t="s">
        <v>162</v>
      </c>
      <c r="S3095" t="s">
        <v>467</v>
      </c>
      <c r="T3095" t="s">
        <v>528</v>
      </c>
      <c r="U3095">
        <v>7.3207682117250844E-2</v>
      </c>
      <c r="V3095" t="s">
        <v>162</v>
      </c>
    </row>
    <row r="3096" spans="9:22" x14ac:dyDescent="0.45">
      <c r="I3096" t="s">
        <v>243</v>
      </c>
      <c r="J3096" t="s">
        <v>529</v>
      </c>
      <c r="K3096">
        <v>2.7950753505619361E-2</v>
      </c>
      <c r="L3096" t="s">
        <v>162</v>
      </c>
      <c r="N3096" t="s">
        <v>355</v>
      </c>
      <c r="O3096" t="s">
        <v>529</v>
      </c>
      <c r="P3096">
        <v>8.9977203015975549E-3</v>
      </c>
      <c r="Q3096" t="s">
        <v>162</v>
      </c>
      <c r="S3096" t="s">
        <v>467</v>
      </c>
      <c r="T3096" t="s">
        <v>529</v>
      </c>
      <c r="U3096">
        <v>8.4065128212506227E-3</v>
      </c>
      <c r="V3096" t="s">
        <v>162</v>
      </c>
    </row>
    <row r="3097" spans="9:22" x14ac:dyDescent="0.45">
      <c r="I3097" t="s">
        <v>243</v>
      </c>
      <c r="J3097" t="s">
        <v>530</v>
      </c>
      <c r="K3097">
        <v>6.0586184941432128E-2</v>
      </c>
      <c r="L3097" t="s">
        <v>162</v>
      </c>
      <c r="N3097" t="s">
        <v>355</v>
      </c>
      <c r="O3097" t="s">
        <v>530</v>
      </c>
      <c r="P3097">
        <v>1.8772955568223903E-2</v>
      </c>
      <c r="Q3097" t="s">
        <v>162</v>
      </c>
      <c r="S3097" t="s">
        <v>467</v>
      </c>
      <c r="T3097" t="s">
        <v>530</v>
      </c>
      <c r="U3097">
        <v>1.7270956241397989E-2</v>
      </c>
      <c r="V3097" t="s">
        <v>162</v>
      </c>
    </row>
    <row r="3098" spans="9:22" x14ac:dyDescent="0.45">
      <c r="I3098" t="s">
        <v>243</v>
      </c>
      <c r="J3098" t="s">
        <v>531</v>
      </c>
      <c r="K3098">
        <v>0.1407139399832959</v>
      </c>
      <c r="L3098" t="s">
        <v>162</v>
      </c>
      <c r="N3098" t="s">
        <v>355</v>
      </c>
      <c r="O3098" t="s">
        <v>531</v>
      </c>
      <c r="P3098">
        <v>4.8932066876210559E-2</v>
      </c>
      <c r="Q3098" t="s">
        <v>162</v>
      </c>
      <c r="S3098" t="s">
        <v>467</v>
      </c>
      <c r="T3098" t="s">
        <v>531</v>
      </c>
      <c r="U3098">
        <v>4.3476186279692894E-2</v>
      </c>
      <c r="V3098" t="s">
        <v>162</v>
      </c>
    </row>
    <row r="3099" spans="9:22" x14ac:dyDescent="0.45">
      <c r="I3099" t="s">
        <v>243</v>
      </c>
      <c r="J3099" t="s">
        <v>532</v>
      </c>
      <c r="K3099">
        <v>2.244875368567726E-2</v>
      </c>
      <c r="L3099" t="s">
        <v>162</v>
      </c>
      <c r="N3099" t="s">
        <v>355</v>
      </c>
      <c r="O3099" t="s">
        <v>532</v>
      </c>
      <c r="P3099">
        <v>9.3669424291518942E-3</v>
      </c>
      <c r="Q3099" t="s">
        <v>162</v>
      </c>
      <c r="S3099" t="s">
        <v>467</v>
      </c>
      <c r="T3099" t="s">
        <v>532</v>
      </c>
      <c r="U3099">
        <v>8.6619023651872632E-3</v>
      </c>
      <c r="V3099" t="s">
        <v>162</v>
      </c>
    </row>
    <row r="3100" spans="9:22" x14ac:dyDescent="0.45">
      <c r="I3100" t="s">
        <v>243</v>
      </c>
      <c r="J3100" t="s">
        <v>533</v>
      </c>
      <c r="K3100">
        <v>3.852567846641914E-2</v>
      </c>
      <c r="L3100" t="s">
        <v>162</v>
      </c>
      <c r="N3100" t="s">
        <v>355</v>
      </c>
      <c r="O3100" t="s">
        <v>533</v>
      </c>
      <c r="P3100">
        <v>5.5748991737321833E-2</v>
      </c>
      <c r="Q3100" t="s">
        <v>162</v>
      </c>
      <c r="S3100" t="s">
        <v>467</v>
      </c>
      <c r="T3100" t="s">
        <v>533</v>
      </c>
      <c r="U3100">
        <v>5.0221053014607484E-2</v>
      </c>
      <c r="V3100" t="s">
        <v>162</v>
      </c>
    </row>
    <row r="3101" spans="9:22" x14ac:dyDescent="0.45">
      <c r="I3101" t="s">
        <v>243</v>
      </c>
      <c r="J3101" t="s">
        <v>534</v>
      </c>
      <c r="K3101">
        <v>3.3340404158301841E-2</v>
      </c>
      <c r="L3101" t="s">
        <v>162</v>
      </c>
      <c r="N3101" t="s">
        <v>355</v>
      </c>
      <c r="O3101" t="s">
        <v>534</v>
      </c>
      <c r="P3101">
        <v>7.8889399770545224E-2</v>
      </c>
      <c r="Q3101" t="s">
        <v>162</v>
      </c>
      <c r="S3101" t="s">
        <v>467</v>
      </c>
      <c r="T3101" t="s">
        <v>534</v>
      </c>
      <c r="U3101">
        <v>8.1296230989585258E-2</v>
      </c>
      <c r="V3101" t="s">
        <v>162</v>
      </c>
    </row>
    <row r="3102" spans="9:22" x14ac:dyDescent="0.45">
      <c r="I3102" t="s">
        <v>243</v>
      </c>
      <c r="J3102" t="s">
        <v>535</v>
      </c>
      <c r="K3102">
        <v>2.3735008640193112E-2</v>
      </c>
      <c r="L3102" t="s">
        <v>162</v>
      </c>
      <c r="N3102" t="s">
        <v>355</v>
      </c>
      <c r="O3102" t="s">
        <v>535</v>
      </c>
      <c r="P3102">
        <v>8.8857133476969823E-3</v>
      </c>
      <c r="Q3102" t="s">
        <v>162</v>
      </c>
      <c r="S3102" t="s">
        <v>467</v>
      </c>
      <c r="T3102" t="s">
        <v>535</v>
      </c>
      <c r="U3102">
        <v>8.2982646853713132E-3</v>
      </c>
      <c r="V3102" t="s">
        <v>162</v>
      </c>
    </row>
    <row r="3103" spans="9:22" x14ac:dyDescent="0.45">
      <c r="I3103" t="s">
        <v>243</v>
      </c>
      <c r="J3103" t="s">
        <v>536</v>
      </c>
      <c r="K3103">
        <v>5.2800793151874123E-2</v>
      </c>
      <c r="L3103" t="s">
        <v>162</v>
      </c>
      <c r="N3103" t="s">
        <v>355</v>
      </c>
      <c r="O3103" t="s">
        <v>536</v>
      </c>
      <c r="P3103">
        <v>1.7990032647539272E-2</v>
      </c>
      <c r="Q3103" t="s">
        <v>162</v>
      </c>
      <c r="S3103" t="s">
        <v>467</v>
      </c>
      <c r="T3103" t="s">
        <v>536</v>
      </c>
      <c r="U3103">
        <v>1.6662545873303423E-2</v>
      </c>
      <c r="V3103" t="s">
        <v>162</v>
      </c>
    </row>
    <row r="3104" spans="9:22" x14ac:dyDescent="0.45">
      <c r="I3104" t="s">
        <v>243</v>
      </c>
      <c r="J3104" t="s">
        <v>537</v>
      </c>
      <c r="K3104">
        <v>0.1220988800906231</v>
      </c>
      <c r="L3104" t="s">
        <v>162</v>
      </c>
      <c r="N3104" t="s">
        <v>355</v>
      </c>
      <c r="O3104" t="s">
        <v>537</v>
      </c>
      <c r="P3104">
        <v>4.623370773816235E-2</v>
      </c>
      <c r="Q3104" t="s">
        <v>162</v>
      </c>
      <c r="S3104" t="s">
        <v>467</v>
      </c>
      <c r="T3104" t="s">
        <v>537</v>
      </c>
      <c r="U3104">
        <v>4.2503039808116032E-2</v>
      </c>
      <c r="V3104" t="s">
        <v>162</v>
      </c>
    </row>
    <row r="3105" spans="9:22" x14ac:dyDescent="0.45">
      <c r="I3105" t="s">
        <v>243</v>
      </c>
      <c r="J3105" t="s">
        <v>538</v>
      </c>
      <c r="K3105">
        <v>1.843221388693286E-2</v>
      </c>
      <c r="L3105" t="s">
        <v>162</v>
      </c>
      <c r="N3105" t="s">
        <v>355</v>
      </c>
      <c r="O3105" t="s">
        <v>538</v>
      </c>
      <c r="P3105">
        <v>8.9163255190415954E-3</v>
      </c>
      <c r="Q3105" t="s">
        <v>162</v>
      </c>
      <c r="S3105" t="s">
        <v>467</v>
      </c>
      <c r="T3105" t="s">
        <v>538</v>
      </c>
      <c r="U3105">
        <v>9.0025880471355808E-3</v>
      </c>
      <c r="V3105" t="s">
        <v>162</v>
      </c>
    </row>
    <row r="3106" spans="9:22" x14ac:dyDescent="0.45">
      <c r="I3106" t="s">
        <v>243</v>
      </c>
      <c r="J3106" t="s">
        <v>539</v>
      </c>
      <c r="K3106">
        <v>1.6057422783966286E-2</v>
      </c>
      <c r="L3106" t="s">
        <v>162</v>
      </c>
      <c r="N3106" t="s">
        <v>355</v>
      </c>
      <c r="O3106" t="s">
        <v>539</v>
      </c>
      <c r="P3106">
        <v>5.4169865934974706E-2</v>
      </c>
      <c r="Q3106" t="s">
        <v>162</v>
      </c>
      <c r="S3106" t="s">
        <v>467</v>
      </c>
      <c r="T3106" t="s">
        <v>539</v>
      </c>
      <c r="U3106">
        <v>5.5881109660231548E-2</v>
      </c>
      <c r="V3106" t="s">
        <v>162</v>
      </c>
    </row>
    <row r="3107" spans="9:22" x14ac:dyDescent="0.45">
      <c r="I3107" t="s">
        <v>243</v>
      </c>
      <c r="J3107" t="s">
        <v>540</v>
      </c>
      <c r="K3107">
        <v>1.1557725156124932E-3</v>
      </c>
      <c r="L3107" t="s">
        <v>162</v>
      </c>
      <c r="N3107" t="s">
        <v>355</v>
      </c>
      <c r="O3107" t="s">
        <v>540</v>
      </c>
      <c r="P3107">
        <v>3.5758957868392324E-2</v>
      </c>
      <c r="Q3107" t="s">
        <v>162</v>
      </c>
      <c r="S3107" t="s">
        <v>467</v>
      </c>
      <c r="T3107" t="s">
        <v>540</v>
      </c>
      <c r="U3107">
        <v>3.6363008506697637E-2</v>
      </c>
      <c r="V3107" t="s">
        <v>162</v>
      </c>
    </row>
    <row r="3108" spans="9:22" x14ac:dyDescent="0.45">
      <c r="I3108" t="s">
        <v>243</v>
      </c>
      <c r="J3108" t="s">
        <v>541</v>
      </c>
      <c r="K3108">
        <v>4.112867483904434E-3</v>
      </c>
      <c r="L3108" t="s">
        <v>162</v>
      </c>
      <c r="N3108" t="s">
        <v>355</v>
      </c>
      <c r="O3108" t="s">
        <v>541</v>
      </c>
      <c r="P3108">
        <v>3.8219140044607885E-3</v>
      </c>
      <c r="Q3108" t="s">
        <v>162</v>
      </c>
      <c r="S3108" t="s">
        <v>467</v>
      </c>
      <c r="T3108" t="s">
        <v>541</v>
      </c>
      <c r="U3108">
        <v>4.1063543769789979E-3</v>
      </c>
      <c r="V3108" t="s">
        <v>162</v>
      </c>
    </row>
    <row r="3109" spans="9:22" x14ac:dyDescent="0.45">
      <c r="I3109" t="s">
        <v>243</v>
      </c>
      <c r="J3109" t="s">
        <v>542</v>
      </c>
      <c r="K3109">
        <v>1.2343777857150759E-2</v>
      </c>
      <c r="L3109" t="s">
        <v>162</v>
      </c>
      <c r="N3109" t="s">
        <v>355</v>
      </c>
      <c r="O3109" t="s">
        <v>542</v>
      </c>
      <c r="P3109">
        <v>7.585822909949253E-3</v>
      </c>
      <c r="Q3109" t="s">
        <v>162</v>
      </c>
      <c r="S3109" t="s">
        <v>467</v>
      </c>
      <c r="T3109" t="s">
        <v>542</v>
      </c>
      <c r="U3109">
        <v>8.1133375283780982E-3</v>
      </c>
      <c r="V3109" t="s">
        <v>162</v>
      </c>
    </row>
    <row r="3110" spans="9:22" x14ac:dyDescent="0.45">
      <c r="I3110" t="s">
        <v>243</v>
      </c>
      <c r="J3110" t="s">
        <v>543</v>
      </c>
      <c r="K3110">
        <v>2.6701479921147679E-2</v>
      </c>
      <c r="L3110" t="s">
        <v>162</v>
      </c>
      <c r="N3110" t="s">
        <v>355</v>
      </c>
      <c r="O3110" t="s">
        <v>543</v>
      </c>
      <c r="P3110">
        <v>1.9337698440541753E-2</v>
      </c>
      <c r="Q3110" t="s">
        <v>162</v>
      </c>
      <c r="S3110" t="s">
        <v>467</v>
      </c>
      <c r="T3110" t="s">
        <v>543</v>
      </c>
      <c r="U3110">
        <v>1.9869107857927198E-2</v>
      </c>
      <c r="V3110" t="s">
        <v>162</v>
      </c>
    </row>
    <row r="3111" spans="9:22" x14ac:dyDescent="0.45">
      <c r="I3111" t="s">
        <v>243</v>
      </c>
      <c r="J3111" t="s">
        <v>544</v>
      </c>
      <c r="K3111">
        <v>2.3326347975850681E-4</v>
      </c>
      <c r="L3111" t="s">
        <v>162</v>
      </c>
      <c r="N3111" t="s">
        <v>355</v>
      </c>
      <c r="O3111" t="s">
        <v>544</v>
      </c>
      <c r="P3111">
        <v>3.9645764570617791E-3</v>
      </c>
      <c r="Q3111" t="s">
        <v>162</v>
      </c>
      <c r="S3111" t="s">
        <v>467</v>
      </c>
      <c r="T3111" t="s">
        <v>544</v>
      </c>
      <c r="U3111">
        <v>4.0499402700787486E-3</v>
      </c>
      <c r="V3111" t="s">
        <v>162</v>
      </c>
    </row>
    <row r="3112" spans="9:22" x14ac:dyDescent="0.45">
      <c r="I3112" t="s">
        <v>243</v>
      </c>
      <c r="J3112" t="s">
        <v>545</v>
      </c>
      <c r="K3112">
        <v>0</v>
      </c>
      <c r="L3112" t="s">
        <v>162</v>
      </c>
      <c r="N3112" t="s">
        <v>355</v>
      </c>
      <c r="O3112" t="s">
        <v>545</v>
      </c>
      <c r="P3112">
        <v>2.418846146343474E-2</v>
      </c>
      <c r="Q3112" t="s">
        <v>162</v>
      </c>
      <c r="S3112" t="s">
        <v>467</v>
      </c>
      <c r="T3112" t="s">
        <v>545</v>
      </c>
      <c r="U3112">
        <v>2.5283772907052471E-2</v>
      </c>
      <c r="V3112" t="s">
        <v>162</v>
      </c>
    </row>
    <row r="3113" spans="9:22" x14ac:dyDescent="0.45">
      <c r="I3113" t="s">
        <v>243</v>
      </c>
      <c r="J3113" t="s">
        <v>546</v>
      </c>
      <c r="K3113">
        <v>0</v>
      </c>
      <c r="L3113" t="s">
        <v>162</v>
      </c>
      <c r="N3113" t="s">
        <v>355</v>
      </c>
      <c r="O3113" t="s">
        <v>546</v>
      </c>
      <c r="P3113">
        <v>3.9482646545102196E-2</v>
      </c>
      <c r="Q3113" t="s">
        <v>162</v>
      </c>
      <c r="S3113" t="s">
        <v>467</v>
      </c>
      <c r="T3113" t="s">
        <v>546</v>
      </c>
      <c r="U3113">
        <v>4.1278611048565186E-2</v>
      </c>
      <c r="V3113" t="s">
        <v>162</v>
      </c>
    </row>
    <row r="3114" spans="9:22" x14ac:dyDescent="0.45">
      <c r="I3114" t="s">
        <v>243</v>
      </c>
      <c r="J3114" t="s">
        <v>547</v>
      </c>
      <c r="K3114">
        <v>2.2570959567635028E-3</v>
      </c>
      <c r="L3114" t="s">
        <v>162</v>
      </c>
      <c r="N3114" t="s">
        <v>355</v>
      </c>
      <c r="O3114" t="s">
        <v>547</v>
      </c>
      <c r="P3114">
        <v>4.0059302060581111E-3</v>
      </c>
      <c r="Q3114" t="s">
        <v>162</v>
      </c>
      <c r="S3114" t="s">
        <v>467</v>
      </c>
      <c r="T3114" t="s">
        <v>547</v>
      </c>
      <c r="U3114">
        <v>4.6292169960877334E-3</v>
      </c>
      <c r="V3114" t="s">
        <v>162</v>
      </c>
    </row>
    <row r="3115" spans="9:22" x14ac:dyDescent="0.45">
      <c r="I3115" t="s">
        <v>243</v>
      </c>
      <c r="J3115" t="s">
        <v>548</v>
      </c>
      <c r="K3115">
        <v>9.4271273721021204E-3</v>
      </c>
      <c r="L3115" t="s">
        <v>162</v>
      </c>
      <c r="N3115" t="s">
        <v>355</v>
      </c>
      <c r="O3115" t="s">
        <v>548</v>
      </c>
      <c r="P3115">
        <v>7.4612026950383126E-3</v>
      </c>
      <c r="Q3115" t="s">
        <v>162</v>
      </c>
      <c r="S3115" t="s">
        <v>467</v>
      </c>
      <c r="T3115" t="s">
        <v>548</v>
      </c>
      <c r="U3115">
        <v>9.2533883909185193E-3</v>
      </c>
      <c r="V3115" t="s">
        <v>162</v>
      </c>
    </row>
    <row r="3116" spans="9:22" x14ac:dyDescent="0.45">
      <c r="I3116" t="s">
        <v>243</v>
      </c>
      <c r="J3116" t="s">
        <v>549</v>
      </c>
      <c r="K3116">
        <v>2.3489436100641296E-2</v>
      </c>
      <c r="L3116" t="s">
        <v>162</v>
      </c>
      <c r="N3116" t="s">
        <v>355</v>
      </c>
      <c r="O3116" t="s">
        <v>549</v>
      </c>
      <c r="P3116">
        <v>1.9086807171006127E-2</v>
      </c>
      <c r="Q3116" t="s">
        <v>162</v>
      </c>
      <c r="S3116" t="s">
        <v>467</v>
      </c>
      <c r="T3116" t="s">
        <v>549</v>
      </c>
      <c r="U3116">
        <v>2.3520964737087244E-2</v>
      </c>
      <c r="V3116" t="s">
        <v>162</v>
      </c>
    </row>
    <row r="3117" spans="9:22" x14ac:dyDescent="0.45">
      <c r="I3117" t="s">
        <v>243</v>
      </c>
      <c r="J3117" t="s">
        <v>550</v>
      </c>
      <c r="K3117">
        <v>0</v>
      </c>
      <c r="L3117" t="s">
        <v>162</v>
      </c>
      <c r="N3117" t="s">
        <v>355</v>
      </c>
      <c r="O3117" t="s">
        <v>550</v>
      </c>
      <c r="P3117">
        <v>4.1111331583973329E-3</v>
      </c>
      <c r="Q3117" t="s">
        <v>162</v>
      </c>
      <c r="S3117" t="s">
        <v>467</v>
      </c>
      <c r="T3117" t="s">
        <v>550</v>
      </c>
      <c r="U3117">
        <v>4.6994141804544923E-3</v>
      </c>
      <c r="V3117" t="s">
        <v>162</v>
      </c>
    </row>
    <row r="3118" spans="9:22" x14ac:dyDescent="0.45">
      <c r="I3118" t="s">
        <v>243</v>
      </c>
      <c r="J3118" t="s">
        <v>551</v>
      </c>
      <c r="K3118">
        <v>0</v>
      </c>
      <c r="L3118" t="s">
        <v>162</v>
      </c>
      <c r="N3118" t="s">
        <v>355</v>
      </c>
      <c r="O3118" t="s">
        <v>551</v>
      </c>
      <c r="P3118">
        <v>2.6055240092788274E-2</v>
      </c>
      <c r="Q3118" t="s">
        <v>162</v>
      </c>
      <c r="S3118" t="s">
        <v>467</v>
      </c>
      <c r="T3118" t="s">
        <v>551</v>
      </c>
      <c r="U3118">
        <v>2.8064146980693729E-2</v>
      </c>
      <c r="V3118" t="s">
        <v>162</v>
      </c>
    </row>
    <row r="3119" spans="9:22" x14ac:dyDescent="0.45">
      <c r="I3119" t="s">
        <v>244</v>
      </c>
      <c r="J3119" t="s">
        <v>161</v>
      </c>
      <c r="K3119">
        <v>0</v>
      </c>
      <c r="L3119" t="s">
        <v>162</v>
      </c>
      <c r="N3119" t="s">
        <v>356</v>
      </c>
      <c r="O3119" t="s">
        <v>161</v>
      </c>
      <c r="P3119">
        <v>4.151511923305326E-2</v>
      </c>
      <c r="Q3119" t="s">
        <v>162</v>
      </c>
      <c r="S3119" t="s">
        <v>468</v>
      </c>
      <c r="T3119" t="s">
        <v>161</v>
      </c>
      <c r="U3119">
        <v>5.1052370714485991E-2</v>
      </c>
      <c r="V3119" t="s">
        <v>162</v>
      </c>
    </row>
    <row r="3120" spans="9:22" x14ac:dyDescent="0.45">
      <c r="I3120" t="s">
        <v>244</v>
      </c>
      <c r="J3120" t="s">
        <v>163</v>
      </c>
      <c r="K3120">
        <v>1.9636725960775971E-3</v>
      </c>
      <c r="L3120" t="s">
        <v>162</v>
      </c>
      <c r="N3120" t="s">
        <v>356</v>
      </c>
      <c r="O3120" t="s">
        <v>163</v>
      </c>
      <c r="P3120">
        <v>4.9073440513354863E-3</v>
      </c>
      <c r="Q3120" t="s">
        <v>162</v>
      </c>
      <c r="S3120" t="s">
        <v>468</v>
      </c>
      <c r="T3120" t="s">
        <v>163</v>
      </c>
      <c r="U3120">
        <v>5.6032019746035657E-3</v>
      </c>
      <c r="V3120" t="s">
        <v>162</v>
      </c>
    </row>
    <row r="3121" spans="9:22" x14ac:dyDescent="0.45">
      <c r="I3121" t="s">
        <v>244</v>
      </c>
      <c r="J3121" t="s">
        <v>164</v>
      </c>
      <c r="K3121">
        <v>9.6004469348658777E-3</v>
      </c>
      <c r="L3121" t="s">
        <v>162</v>
      </c>
      <c r="N3121" t="s">
        <v>356</v>
      </c>
      <c r="O3121" t="s">
        <v>164</v>
      </c>
      <c r="P3121">
        <v>1.0005063712512197E-2</v>
      </c>
      <c r="Q3121" t="s">
        <v>162</v>
      </c>
      <c r="S3121" t="s">
        <v>468</v>
      </c>
      <c r="T3121" t="s">
        <v>164</v>
      </c>
      <c r="U3121">
        <v>1.0826540095296818E-2</v>
      </c>
      <c r="V3121" t="s">
        <v>162</v>
      </c>
    </row>
    <row r="3122" spans="9:22" x14ac:dyDescent="0.45">
      <c r="I3122" t="s">
        <v>244</v>
      </c>
      <c r="J3122" t="s">
        <v>519</v>
      </c>
      <c r="K3122">
        <v>2.4081471638372817E-2</v>
      </c>
      <c r="L3122" t="s">
        <v>162</v>
      </c>
      <c r="N3122" t="s">
        <v>356</v>
      </c>
      <c r="O3122" t="s">
        <v>519</v>
      </c>
      <c r="P3122">
        <v>2.5743116321677913E-2</v>
      </c>
      <c r="Q3122" t="s">
        <v>162</v>
      </c>
      <c r="S3122" t="s">
        <v>468</v>
      </c>
      <c r="T3122" t="s">
        <v>519</v>
      </c>
      <c r="U3122">
        <v>2.6582003509482859E-2</v>
      </c>
      <c r="V3122" t="s">
        <v>162</v>
      </c>
    </row>
    <row r="3123" spans="9:22" x14ac:dyDescent="0.45">
      <c r="I3123" t="s">
        <v>244</v>
      </c>
      <c r="J3123" t="s">
        <v>520</v>
      </c>
      <c r="K3123">
        <v>4.216602781335292E-4</v>
      </c>
      <c r="L3123" t="s">
        <v>162</v>
      </c>
      <c r="N3123" t="s">
        <v>356</v>
      </c>
      <c r="O3123" t="s">
        <v>520</v>
      </c>
      <c r="P3123">
        <v>5.0028353364409929E-3</v>
      </c>
      <c r="Q3123" t="s">
        <v>162</v>
      </c>
      <c r="S3123" t="s">
        <v>468</v>
      </c>
      <c r="T3123" t="s">
        <v>520</v>
      </c>
      <c r="U3123">
        <v>5.3376328039042107E-3</v>
      </c>
      <c r="V3123" t="s">
        <v>162</v>
      </c>
    </row>
    <row r="3124" spans="9:22" x14ac:dyDescent="0.45">
      <c r="I3124" t="s">
        <v>244</v>
      </c>
      <c r="J3124" t="s">
        <v>521</v>
      </c>
      <c r="K3124">
        <v>0</v>
      </c>
      <c r="L3124" t="s">
        <v>162</v>
      </c>
      <c r="N3124" t="s">
        <v>356</v>
      </c>
      <c r="O3124" t="s">
        <v>521</v>
      </c>
      <c r="P3124">
        <v>2.973957078461377E-2</v>
      </c>
      <c r="Q3124" t="s">
        <v>162</v>
      </c>
      <c r="S3124" t="s">
        <v>468</v>
      </c>
      <c r="T3124" t="s">
        <v>521</v>
      </c>
      <c r="U3124">
        <v>3.2252285383215645E-2</v>
      </c>
      <c r="V3124" t="s">
        <v>162</v>
      </c>
    </row>
    <row r="3125" spans="9:22" x14ac:dyDescent="0.45">
      <c r="I3125" t="s">
        <v>244</v>
      </c>
      <c r="J3125" t="s">
        <v>165</v>
      </c>
      <c r="K3125">
        <v>1.0194849303468523E-2</v>
      </c>
      <c r="L3125" t="s">
        <v>162</v>
      </c>
      <c r="N3125" t="s">
        <v>356</v>
      </c>
      <c r="O3125" t="s">
        <v>165</v>
      </c>
      <c r="P3125">
        <v>6.3015850016824401E-2</v>
      </c>
      <c r="Q3125" t="s">
        <v>162</v>
      </c>
      <c r="S3125" t="s">
        <v>468</v>
      </c>
      <c r="T3125" t="s">
        <v>165</v>
      </c>
      <c r="U3125">
        <v>6.8480646269687986E-2</v>
      </c>
      <c r="V3125" t="s">
        <v>162</v>
      </c>
    </row>
    <row r="3126" spans="9:22" x14ac:dyDescent="0.45">
      <c r="I3126" t="s">
        <v>244</v>
      </c>
      <c r="J3126" t="s">
        <v>166</v>
      </c>
      <c r="K3126">
        <v>1.2371810344782717E-2</v>
      </c>
      <c r="L3126" t="s">
        <v>162</v>
      </c>
      <c r="N3126" t="s">
        <v>356</v>
      </c>
      <c r="O3126" t="s">
        <v>166</v>
      </c>
      <c r="P3126">
        <v>6.8660254629369843E-3</v>
      </c>
      <c r="Q3126" t="s">
        <v>162</v>
      </c>
      <c r="S3126" t="s">
        <v>468</v>
      </c>
      <c r="T3126" t="s">
        <v>166</v>
      </c>
      <c r="U3126">
        <v>7.3916005642164564E-3</v>
      </c>
      <c r="V3126" t="s">
        <v>162</v>
      </c>
    </row>
    <row r="3127" spans="9:22" x14ac:dyDescent="0.45">
      <c r="I3127" t="s">
        <v>244</v>
      </c>
      <c r="J3127" t="s">
        <v>167</v>
      </c>
      <c r="K3127">
        <v>3.3424730543169696E-2</v>
      </c>
      <c r="L3127" t="s">
        <v>162</v>
      </c>
      <c r="N3127" t="s">
        <v>356</v>
      </c>
      <c r="O3127" t="s">
        <v>167</v>
      </c>
      <c r="P3127">
        <v>1.3426310274609688E-2</v>
      </c>
      <c r="Q3127" t="s">
        <v>162</v>
      </c>
      <c r="S3127" t="s">
        <v>468</v>
      </c>
      <c r="T3127" t="s">
        <v>167</v>
      </c>
      <c r="U3127">
        <v>1.425167787149418E-2</v>
      </c>
      <c r="V3127" t="s">
        <v>162</v>
      </c>
    </row>
    <row r="3128" spans="9:22" x14ac:dyDescent="0.45">
      <c r="I3128" t="s">
        <v>244</v>
      </c>
      <c r="J3128" t="s">
        <v>522</v>
      </c>
      <c r="K3128">
        <v>8.1695942612945951E-2</v>
      </c>
      <c r="L3128" t="s">
        <v>162</v>
      </c>
      <c r="N3128" t="s">
        <v>356</v>
      </c>
      <c r="O3128" t="s">
        <v>522</v>
      </c>
      <c r="P3128">
        <v>3.3572981041080079E-2</v>
      </c>
      <c r="Q3128" t="s">
        <v>162</v>
      </c>
      <c r="S3128" t="s">
        <v>468</v>
      </c>
      <c r="T3128" t="s">
        <v>522</v>
      </c>
      <c r="U3128">
        <v>3.5836360683332194E-2</v>
      </c>
      <c r="V3128" t="s">
        <v>162</v>
      </c>
    </row>
    <row r="3129" spans="9:22" x14ac:dyDescent="0.45">
      <c r="I3129" t="s">
        <v>244</v>
      </c>
      <c r="J3129" t="s">
        <v>523</v>
      </c>
      <c r="K3129">
        <v>1.0154113601265086E-2</v>
      </c>
      <c r="L3129" t="s">
        <v>162</v>
      </c>
      <c r="N3129" t="s">
        <v>356</v>
      </c>
      <c r="O3129" t="s">
        <v>523</v>
      </c>
      <c r="P3129">
        <v>6.9038710643930055E-3</v>
      </c>
      <c r="Q3129" t="s">
        <v>162</v>
      </c>
      <c r="S3129" t="s">
        <v>468</v>
      </c>
      <c r="T3129" t="s">
        <v>523</v>
      </c>
      <c r="U3129">
        <v>7.5669565220017896E-3</v>
      </c>
      <c r="V3129" t="s">
        <v>162</v>
      </c>
    </row>
    <row r="3130" spans="9:22" x14ac:dyDescent="0.45">
      <c r="I3130" t="s">
        <v>244</v>
      </c>
      <c r="J3130" t="s">
        <v>524</v>
      </c>
      <c r="K3130">
        <v>4.0826197122378885E-3</v>
      </c>
      <c r="L3130" t="s">
        <v>162</v>
      </c>
      <c r="N3130" t="s">
        <v>356</v>
      </c>
      <c r="O3130" t="s">
        <v>524</v>
      </c>
      <c r="P3130">
        <v>4.3522323685791002E-2</v>
      </c>
      <c r="Q3130" t="s">
        <v>162</v>
      </c>
      <c r="S3130" t="s">
        <v>468</v>
      </c>
      <c r="T3130" t="s">
        <v>524</v>
      </c>
      <c r="U3130">
        <v>4.6234950984692672E-2</v>
      </c>
      <c r="V3130" t="s">
        <v>162</v>
      </c>
    </row>
    <row r="3131" spans="9:22" x14ac:dyDescent="0.45">
      <c r="I3131" t="s">
        <v>244</v>
      </c>
      <c r="J3131" t="s">
        <v>168</v>
      </c>
      <c r="K3131">
        <v>1.5979154800683983E-2</v>
      </c>
      <c r="L3131" t="s">
        <v>162</v>
      </c>
      <c r="N3131" t="s">
        <v>356</v>
      </c>
      <c r="O3131" t="s">
        <v>168</v>
      </c>
      <c r="P3131">
        <v>3.3867465359040685E-2</v>
      </c>
      <c r="Q3131" t="s">
        <v>162</v>
      </c>
      <c r="S3131" t="s">
        <v>468</v>
      </c>
      <c r="T3131" t="s">
        <v>168</v>
      </c>
      <c r="U3131">
        <v>2.4103345655350637E-2</v>
      </c>
      <c r="V3131" t="s">
        <v>162</v>
      </c>
    </row>
    <row r="3132" spans="9:22" x14ac:dyDescent="0.45">
      <c r="I3132" t="s">
        <v>244</v>
      </c>
      <c r="J3132" t="s">
        <v>169</v>
      </c>
      <c r="K3132">
        <v>9.5090616681607482E-3</v>
      </c>
      <c r="L3132" t="s">
        <v>162</v>
      </c>
      <c r="N3132" t="s">
        <v>356</v>
      </c>
      <c r="O3132" t="s">
        <v>169</v>
      </c>
      <c r="P3132">
        <v>3.6903972285226077E-3</v>
      </c>
      <c r="Q3132" t="s">
        <v>162</v>
      </c>
      <c r="S3132" t="s">
        <v>468</v>
      </c>
      <c r="T3132" t="s">
        <v>169</v>
      </c>
      <c r="U3132">
        <v>2.5810268419053238E-3</v>
      </c>
      <c r="V3132" t="s">
        <v>162</v>
      </c>
    </row>
    <row r="3133" spans="9:22" x14ac:dyDescent="0.45">
      <c r="I3133" t="s">
        <v>244</v>
      </c>
      <c r="J3133" t="s">
        <v>170</v>
      </c>
      <c r="K3133">
        <v>2.126417921326073E-2</v>
      </c>
      <c r="L3133" t="s">
        <v>162</v>
      </c>
      <c r="N3133" t="s">
        <v>356</v>
      </c>
      <c r="O3133" t="s">
        <v>170</v>
      </c>
      <c r="P3133">
        <v>7.4860997539108404E-3</v>
      </c>
      <c r="Q3133" t="s">
        <v>162</v>
      </c>
      <c r="S3133" t="s">
        <v>468</v>
      </c>
      <c r="T3133" t="s">
        <v>170</v>
      </c>
      <c r="U3133">
        <v>5.2245891993196328E-3</v>
      </c>
      <c r="V3133" t="s">
        <v>162</v>
      </c>
    </row>
    <row r="3134" spans="9:22" x14ac:dyDescent="0.45">
      <c r="I3134" t="s">
        <v>244</v>
      </c>
      <c r="J3134" t="s">
        <v>525</v>
      </c>
      <c r="K3134">
        <v>5.0637298340699487E-2</v>
      </c>
      <c r="L3134" t="s">
        <v>162</v>
      </c>
      <c r="N3134" t="s">
        <v>356</v>
      </c>
      <c r="O3134" t="s">
        <v>525</v>
      </c>
      <c r="P3134">
        <v>2.001720962784137E-2</v>
      </c>
      <c r="Q3134" t="s">
        <v>162</v>
      </c>
      <c r="S3134" t="s">
        <v>468</v>
      </c>
      <c r="T3134" t="s">
        <v>525</v>
      </c>
      <c r="U3134">
        <v>1.5398702177294801E-2</v>
      </c>
      <c r="V3134" t="s">
        <v>162</v>
      </c>
    </row>
    <row r="3135" spans="9:22" x14ac:dyDescent="0.45">
      <c r="I3135" t="s">
        <v>244</v>
      </c>
      <c r="J3135" t="s">
        <v>526</v>
      </c>
      <c r="K3135">
        <v>7.524293708421761E-3</v>
      </c>
      <c r="L3135" t="s">
        <v>162</v>
      </c>
      <c r="N3135" t="s">
        <v>356</v>
      </c>
      <c r="O3135" t="s">
        <v>526</v>
      </c>
      <c r="P3135">
        <v>4.0380560728353115E-3</v>
      </c>
      <c r="Q3135" t="s">
        <v>162</v>
      </c>
      <c r="S3135" t="s">
        <v>468</v>
      </c>
      <c r="T3135" t="s">
        <v>526</v>
      </c>
      <c r="U3135">
        <v>3.2309582652550097E-3</v>
      </c>
      <c r="V3135" t="s">
        <v>162</v>
      </c>
    </row>
    <row r="3136" spans="9:22" x14ac:dyDescent="0.45">
      <c r="I3136" t="s">
        <v>244</v>
      </c>
      <c r="J3136" t="s">
        <v>527</v>
      </c>
      <c r="K3136">
        <v>8.1861584634592265E-3</v>
      </c>
      <c r="L3136" t="s">
        <v>162</v>
      </c>
      <c r="N3136" t="s">
        <v>356</v>
      </c>
      <c r="O3136" t="s">
        <v>527</v>
      </c>
      <c r="P3136">
        <v>2.3854632491170695E-2</v>
      </c>
      <c r="Q3136" t="s">
        <v>162</v>
      </c>
      <c r="S3136" t="s">
        <v>468</v>
      </c>
      <c r="T3136" t="s">
        <v>527</v>
      </c>
      <c r="U3136">
        <v>1.7962763311693743E-2</v>
      </c>
      <c r="V3136" t="s">
        <v>162</v>
      </c>
    </row>
    <row r="3137" spans="9:22" x14ac:dyDescent="0.45">
      <c r="I3137" t="s">
        <v>244</v>
      </c>
      <c r="J3137" t="s">
        <v>528</v>
      </c>
      <c r="K3137">
        <v>6.7036402699589409E-2</v>
      </c>
      <c r="L3137" t="s">
        <v>162</v>
      </c>
      <c r="N3137" t="s">
        <v>356</v>
      </c>
      <c r="O3137" t="s">
        <v>528</v>
      </c>
      <c r="P3137">
        <v>8.2807909194157175E-2</v>
      </c>
      <c r="Q3137" t="s">
        <v>162</v>
      </c>
      <c r="S3137" t="s">
        <v>468</v>
      </c>
      <c r="T3137" t="s">
        <v>528</v>
      </c>
      <c r="U3137">
        <v>6.1134279498273131E-2</v>
      </c>
      <c r="V3137" t="s">
        <v>162</v>
      </c>
    </row>
    <row r="3138" spans="9:22" x14ac:dyDescent="0.45">
      <c r="I3138" t="s">
        <v>244</v>
      </c>
      <c r="J3138" t="s">
        <v>529</v>
      </c>
      <c r="K3138">
        <v>2.8686065890152167E-2</v>
      </c>
      <c r="L3138" t="s">
        <v>162</v>
      </c>
      <c r="N3138" t="s">
        <v>356</v>
      </c>
      <c r="O3138" t="s">
        <v>529</v>
      </c>
      <c r="P3138">
        <v>8.8683392657434856E-3</v>
      </c>
      <c r="Q3138" t="s">
        <v>162</v>
      </c>
      <c r="S3138" t="s">
        <v>468</v>
      </c>
      <c r="T3138" t="s">
        <v>529</v>
      </c>
      <c r="U3138">
        <v>7.3927321098297954E-3</v>
      </c>
      <c r="V3138" t="s">
        <v>162</v>
      </c>
    </row>
    <row r="3139" spans="9:22" x14ac:dyDescent="0.45">
      <c r="I3139" t="s">
        <v>244</v>
      </c>
      <c r="J3139" t="s">
        <v>530</v>
      </c>
      <c r="K3139">
        <v>6.118492080699147E-2</v>
      </c>
      <c r="L3139" t="s">
        <v>162</v>
      </c>
      <c r="N3139" t="s">
        <v>356</v>
      </c>
      <c r="O3139" t="s">
        <v>530</v>
      </c>
      <c r="P3139">
        <v>1.8192213408536002E-2</v>
      </c>
      <c r="Q3139" t="s">
        <v>162</v>
      </c>
      <c r="S3139" t="s">
        <v>468</v>
      </c>
      <c r="T3139" t="s">
        <v>530</v>
      </c>
      <c r="U3139">
        <v>1.522951623402226E-2</v>
      </c>
      <c r="V3139" t="s">
        <v>162</v>
      </c>
    </row>
    <row r="3140" spans="9:22" x14ac:dyDescent="0.45">
      <c r="I3140" t="s">
        <v>244</v>
      </c>
      <c r="J3140" t="s">
        <v>531</v>
      </c>
      <c r="K3140">
        <v>0.13847718938285886</v>
      </c>
      <c r="L3140" t="s">
        <v>162</v>
      </c>
      <c r="N3140" t="s">
        <v>356</v>
      </c>
      <c r="O3140" t="s">
        <v>531</v>
      </c>
      <c r="P3140">
        <v>4.6353958984131464E-2</v>
      </c>
      <c r="Q3140" t="s">
        <v>162</v>
      </c>
      <c r="S3140" t="s">
        <v>468</v>
      </c>
      <c r="T3140" t="s">
        <v>531</v>
      </c>
      <c r="U3140">
        <v>4.0517266034219103E-2</v>
      </c>
      <c r="V3140" t="s">
        <v>162</v>
      </c>
    </row>
    <row r="3141" spans="9:22" x14ac:dyDescent="0.45">
      <c r="I3141" t="s">
        <v>244</v>
      </c>
      <c r="J3141" t="s">
        <v>532</v>
      </c>
      <c r="K3141">
        <v>2.2388497999779586E-2</v>
      </c>
      <c r="L3141" t="s">
        <v>162</v>
      </c>
      <c r="N3141" t="s">
        <v>356</v>
      </c>
      <c r="O3141" t="s">
        <v>532</v>
      </c>
      <c r="P3141">
        <v>8.6358471688103011E-3</v>
      </c>
      <c r="Q3141" t="s">
        <v>162</v>
      </c>
      <c r="S3141" t="s">
        <v>468</v>
      </c>
      <c r="T3141" t="s">
        <v>532</v>
      </c>
      <c r="U3141">
        <v>8.1525944310779624E-3</v>
      </c>
      <c r="V3141" t="s">
        <v>162</v>
      </c>
    </row>
    <row r="3142" spans="9:22" x14ac:dyDescent="0.45">
      <c r="I3142" t="s">
        <v>244</v>
      </c>
      <c r="J3142" t="s">
        <v>533</v>
      </c>
      <c r="K3142">
        <v>3.963420721710488E-2</v>
      </c>
      <c r="L3142" t="s">
        <v>162</v>
      </c>
      <c r="N3142" t="s">
        <v>356</v>
      </c>
      <c r="O3142" t="s">
        <v>533</v>
      </c>
      <c r="P3142">
        <v>5.2590593383560778E-2</v>
      </c>
      <c r="Q3142" t="s">
        <v>162</v>
      </c>
      <c r="S3142" t="s">
        <v>468</v>
      </c>
      <c r="T3142" t="s">
        <v>533</v>
      </c>
      <c r="U3142">
        <v>4.2733164012742221E-2</v>
      </c>
      <c r="V3142" t="s">
        <v>162</v>
      </c>
    </row>
    <row r="3143" spans="9:22" x14ac:dyDescent="0.45">
      <c r="I3143" t="s">
        <v>244</v>
      </c>
      <c r="J3143" t="s">
        <v>534</v>
      </c>
      <c r="K3143">
        <v>3.7169429991925199E-2</v>
      </c>
      <c r="L3143" t="s">
        <v>162</v>
      </c>
      <c r="N3143" t="s">
        <v>356</v>
      </c>
      <c r="O3143" t="s">
        <v>534</v>
      </c>
      <c r="P3143">
        <v>7.9098554600838256E-2</v>
      </c>
      <c r="Q3143" t="s">
        <v>162</v>
      </c>
      <c r="S3143" t="s">
        <v>468</v>
      </c>
      <c r="T3143" t="s">
        <v>534</v>
      </c>
      <c r="U3143">
        <v>6.5289050038381757E-2</v>
      </c>
      <c r="V3143" t="s">
        <v>162</v>
      </c>
    </row>
    <row r="3144" spans="9:22" x14ac:dyDescent="0.45">
      <c r="I3144" t="s">
        <v>244</v>
      </c>
      <c r="J3144" t="s">
        <v>535</v>
      </c>
      <c r="K3144">
        <v>2.4923755935277975E-2</v>
      </c>
      <c r="L3144" t="s">
        <v>162</v>
      </c>
      <c r="N3144" t="s">
        <v>356</v>
      </c>
      <c r="O3144" t="s">
        <v>535</v>
      </c>
      <c r="P3144">
        <v>8.6770556066363674E-3</v>
      </c>
      <c r="Q3144" t="s">
        <v>162</v>
      </c>
      <c r="S3144" t="s">
        <v>468</v>
      </c>
      <c r="T3144" t="s">
        <v>535</v>
      </c>
      <c r="U3144">
        <v>8.094467796130626E-3</v>
      </c>
      <c r="V3144" t="s">
        <v>162</v>
      </c>
    </row>
    <row r="3145" spans="9:22" x14ac:dyDescent="0.45">
      <c r="I3145" t="s">
        <v>244</v>
      </c>
      <c r="J3145" t="s">
        <v>536</v>
      </c>
      <c r="K3145">
        <v>5.4365301432336262E-2</v>
      </c>
      <c r="L3145" t="s">
        <v>162</v>
      </c>
      <c r="N3145" t="s">
        <v>356</v>
      </c>
      <c r="O3145" t="s">
        <v>536</v>
      </c>
      <c r="P3145">
        <v>1.748526392106587E-2</v>
      </c>
      <c r="Q3145" t="s">
        <v>162</v>
      </c>
      <c r="S3145" t="s">
        <v>468</v>
      </c>
      <c r="T3145" t="s">
        <v>536</v>
      </c>
      <c r="U3145">
        <v>1.6629209167519147E-2</v>
      </c>
      <c r="V3145" t="s">
        <v>162</v>
      </c>
    </row>
    <row r="3146" spans="9:22" x14ac:dyDescent="0.45">
      <c r="I3146" t="s">
        <v>244</v>
      </c>
      <c r="J3146" t="s">
        <v>537</v>
      </c>
      <c r="K3146">
        <v>0.1212187352033794</v>
      </c>
      <c r="L3146" t="s">
        <v>162</v>
      </c>
      <c r="N3146" t="s">
        <v>356</v>
      </c>
      <c r="O3146" t="s">
        <v>537</v>
      </c>
      <c r="P3146">
        <v>4.5757550561354152E-2</v>
      </c>
      <c r="Q3146" t="s">
        <v>162</v>
      </c>
      <c r="S3146" t="s">
        <v>468</v>
      </c>
      <c r="T3146" t="s">
        <v>537</v>
      </c>
      <c r="U3146">
        <v>4.2309101736782748E-2</v>
      </c>
      <c r="V3146" t="s">
        <v>162</v>
      </c>
    </row>
    <row r="3147" spans="9:22" x14ac:dyDescent="0.45">
      <c r="I3147" t="s">
        <v>244</v>
      </c>
      <c r="J3147" t="s">
        <v>538</v>
      </c>
      <c r="K3147">
        <v>1.8111590025635053E-2</v>
      </c>
      <c r="L3147" t="s">
        <v>162</v>
      </c>
      <c r="N3147" t="s">
        <v>356</v>
      </c>
      <c r="O3147" t="s">
        <v>538</v>
      </c>
      <c r="P3147">
        <v>8.7945069151936072E-3</v>
      </c>
      <c r="Q3147" t="s">
        <v>162</v>
      </c>
      <c r="S3147" t="s">
        <v>468</v>
      </c>
      <c r="T3147" t="s">
        <v>538</v>
      </c>
      <c r="U3147">
        <v>7.7029484250666679E-3</v>
      </c>
      <c r="V3147" t="s">
        <v>162</v>
      </c>
    </row>
    <row r="3148" spans="9:22" x14ac:dyDescent="0.45">
      <c r="I3148" t="s">
        <v>244</v>
      </c>
      <c r="J3148" t="s">
        <v>539</v>
      </c>
      <c r="K3148">
        <v>1.7348827740333431E-2</v>
      </c>
      <c r="L3148" t="s">
        <v>162</v>
      </c>
      <c r="N3148" t="s">
        <v>356</v>
      </c>
      <c r="O3148" t="s">
        <v>539</v>
      </c>
      <c r="P3148">
        <v>5.2186454676261554E-2</v>
      </c>
      <c r="Q3148" t="s">
        <v>162</v>
      </c>
      <c r="S3148" t="s">
        <v>468</v>
      </c>
      <c r="T3148" t="s">
        <v>539</v>
      </c>
      <c r="U3148">
        <v>4.2531197701599556E-2</v>
      </c>
      <c r="V3148" t="s">
        <v>162</v>
      </c>
    </row>
    <row r="3149" spans="9:22" x14ac:dyDescent="0.45">
      <c r="I3149" t="s">
        <v>244</v>
      </c>
      <c r="J3149" t="s">
        <v>540</v>
      </c>
      <c r="K3149">
        <v>9.1729580959367903E-4</v>
      </c>
      <c r="L3149" t="s">
        <v>162</v>
      </c>
      <c r="N3149" t="s">
        <v>356</v>
      </c>
      <c r="O3149" t="s">
        <v>540</v>
      </c>
      <c r="P3149">
        <v>3.6457308458156423E-2</v>
      </c>
      <c r="Q3149" t="s">
        <v>162</v>
      </c>
      <c r="S3149" t="s">
        <v>468</v>
      </c>
      <c r="T3149" t="s">
        <v>540</v>
      </c>
      <c r="U3149">
        <v>4.1112664289566989E-2</v>
      </c>
      <c r="V3149" t="s">
        <v>162</v>
      </c>
    </row>
    <row r="3150" spans="9:22" x14ac:dyDescent="0.45">
      <c r="I3150" t="s">
        <v>244</v>
      </c>
      <c r="J3150" t="s">
        <v>541</v>
      </c>
      <c r="K3150">
        <v>3.6556578118447669E-3</v>
      </c>
      <c r="L3150" t="s">
        <v>162</v>
      </c>
      <c r="N3150" t="s">
        <v>356</v>
      </c>
      <c r="O3150" t="s">
        <v>541</v>
      </c>
      <c r="P3150">
        <v>3.8329668682085686E-3</v>
      </c>
      <c r="Q3150" t="s">
        <v>162</v>
      </c>
      <c r="S3150" t="s">
        <v>468</v>
      </c>
      <c r="T3150" t="s">
        <v>541</v>
      </c>
      <c r="U3150">
        <v>4.6406957740730516E-3</v>
      </c>
      <c r="V3150" t="s">
        <v>162</v>
      </c>
    </row>
    <row r="3151" spans="9:22" x14ac:dyDescent="0.45">
      <c r="I3151" t="s">
        <v>244</v>
      </c>
      <c r="J3151" t="s">
        <v>542</v>
      </c>
      <c r="K3151">
        <v>1.0699868610044561E-2</v>
      </c>
      <c r="L3151" t="s">
        <v>162</v>
      </c>
      <c r="N3151" t="s">
        <v>356</v>
      </c>
      <c r="O3151" t="s">
        <v>542</v>
      </c>
      <c r="P3151">
        <v>7.6278810565948143E-3</v>
      </c>
      <c r="Q3151" t="s">
        <v>162</v>
      </c>
      <c r="S3151" t="s">
        <v>468</v>
      </c>
      <c r="T3151" t="s">
        <v>542</v>
      </c>
      <c r="U3151">
        <v>9.1429943226298931E-3</v>
      </c>
      <c r="V3151" t="s">
        <v>162</v>
      </c>
    </row>
    <row r="3152" spans="9:22" x14ac:dyDescent="0.45">
      <c r="I3152" t="s">
        <v>244</v>
      </c>
      <c r="J3152" t="s">
        <v>543</v>
      </c>
      <c r="K3152">
        <v>2.2428533680057525E-2</v>
      </c>
      <c r="L3152" t="s">
        <v>162</v>
      </c>
      <c r="N3152" t="s">
        <v>356</v>
      </c>
      <c r="O3152" t="s">
        <v>543</v>
      </c>
      <c r="P3152">
        <v>1.9492894230761972E-2</v>
      </c>
      <c r="Q3152" t="s">
        <v>162</v>
      </c>
      <c r="S3152" t="s">
        <v>468</v>
      </c>
      <c r="T3152" t="s">
        <v>543</v>
      </c>
      <c r="U3152">
        <v>2.185233999659722E-2</v>
      </c>
      <c r="V3152" t="s">
        <v>162</v>
      </c>
    </row>
    <row r="3153" spans="9:22" x14ac:dyDescent="0.45">
      <c r="I3153" t="s">
        <v>244</v>
      </c>
      <c r="J3153" t="s">
        <v>544</v>
      </c>
      <c r="K3153">
        <v>8.0187009122379162E-6</v>
      </c>
      <c r="L3153" t="s">
        <v>162</v>
      </c>
      <c r="N3153" t="s">
        <v>356</v>
      </c>
      <c r="O3153" t="s">
        <v>544</v>
      </c>
      <c r="P3153">
        <v>3.9921399196541337E-3</v>
      </c>
      <c r="Q3153" t="s">
        <v>162</v>
      </c>
      <c r="S3153" t="s">
        <v>468</v>
      </c>
      <c r="T3153" t="s">
        <v>544</v>
      </c>
      <c r="U3153">
        <v>4.2363828411285578E-3</v>
      </c>
      <c r="V3153" t="s">
        <v>162</v>
      </c>
    </row>
    <row r="3154" spans="9:22" x14ac:dyDescent="0.45">
      <c r="I3154" t="s">
        <v>244</v>
      </c>
      <c r="J3154" t="s">
        <v>545</v>
      </c>
      <c r="K3154">
        <v>0</v>
      </c>
      <c r="L3154" t="s">
        <v>162</v>
      </c>
      <c r="N3154" t="s">
        <v>356</v>
      </c>
      <c r="O3154" t="s">
        <v>545</v>
      </c>
      <c r="P3154">
        <v>2.507040322694112E-2</v>
      </c>
      <c r="Q3154" t="s">
        <v>162</v>
      </c>
      <c r="S3154" t="s">
        <v>468</v>
      </c>
      <c r="T3154" t="s">
        <v>545</v>
      </c>
      <c r="U3154">
        <v>2.729411607915953E-2</v>
      </c>
      <c r="V3154" t="s">
        <v>162</v>
      </c>
    </row>
    <row r="3155" spans="9:22" x14ac:dyDescent="0.45">
      <c r="I3155" t="s">
        <v>244</v>
      </c>
      <c r="J3155" t="s">
        <v>546</v>
      </c>
      <c r="K3155">
        <v>0</v>
      </c>
      <c r="L3155" t="s">
        <v>162</v>
      </c>
      <c r="N3155" t="s">
        <v>356</v>
      </c>
      <c r="O3155" t="s">
        <v>546</v>
      </c>
      <c r="P3155">
        <v>3.6746632905983956E-2</v>
      </c>
      <c r="Q3155" t="s">
        <v>162</v>
      </c>
      <c r="S3155" t="s">
        <v>468</v>
      </c>
      <c r="T3155" t="s">
        <v>546</v>
      </c>
      <c r="U3155">
        <v>5.7909975227458318E-2</v>
      </c>
      <c r="V3155" t="s">
        <v>162</v>
      </c>
    </row>
    <row r="3156" spans="9:22" x14ac:dyDescent="0.45">
      <c r="I3156" t="s">
        <v>244</v>
      </c>
      <c r="J3156" t="s">
        <v>547</v>
      </c>
      <c r="K3156">
        <v>1.5601811368270583E-3</v>
      </c>
      <c r="L3156" t="s">
        <v>162</v>
      </c>
      <c r="N3156" t="s">
        <v>356</v>
      </c>
      <c r="O3156" t="s">
        <v>547</v>
      </c>
      <c r="P3156">
        <v>3.8839160447663506E-3</v>
      </c>
      <c r="Q3156" t="s">
        <v>162</v>
      </c>
      <c r="S3156" t="s">
        <v>468</v>
      </c>
      <c r="T3156" t="s">
        <v>547</v>
      </c>
      <c r="U3156">
        <v>6.5130770162631748E-3</v>
      </c>
      <c r="V3156" t="s">
        <v>162</v>
      </c>
    </row>
    <row r="3157" spans="9:22" x14ac:dyDescent="0.45">
      <c r="I3157" t="s">
        <v>244</v>
      </c>
      <c r="J3157" t="s">
        <v>548</v>
      </c>
      <c r="K3157">
        <v>8.6471299922329867E-3</v>
      </c>
      <c r="L3157" t="s">
        <v>162</v>
      </c>
      <c r="N3157" t="s">
        <v>356</v>
      </c>
      <c r="O3157" t="s">
        <v>548</v>
      </c>
      <c r="P3157">
        <v>7.6715133784668373E-3</v>
      </c>
      <c r="Q3157" t="s">
        <v>162</v>
      </c>
      <c r="S3157" t="s">
        <v>468</v>
      </c>
      <c r="T3157" t="s">
        <v>548</v>
      </c>
      <c r="U3157">
        <v>1.2894857967152886E-2</v>
      </c>
      <c r="V3157" t="s">
        <v>162</v>
      </c>
    </row>
    <row r="3158" spans="9:22" x14ac:dyDescent="0.45">
      <c r="I3158" t="s">
        <v>244</v>
      </c>
      <c r="J3158" t="s">
        <v>549</v>
      </c>
      <c r="K3158">
        <v>2.044692617311775E-2</v>
      </c>
      <c r="L3158" t="s">
        <v>162</v>
      </c>
      <c r="N3158" t="s">
        <v>356</v>
      </c>
      <c r="O3158" t="s">
        <v>549</v>
      </c>
      <c r="P3158">
        <v>1.9663057776920075E-2</v>
      </c>
      <c r="Q3158" t="s">
        <v>162</v>
      </c>
      <c r="S3158" t="s">
        <v>468</v>
      </c>
      <c r="T3158" t="s">
        <v>549</v>
      </c>
      <c r="U3158">
        <v>3.1568496829834508E-2</v>
      </c>
      <c r="V3158" t="s">
        <v>162</v>
      </c>
    </row>
    <row r="3159" spans="9:22" x14ac:dyDescent="0.45">
      <c r="I3159" t="s">
        <v>244</v>
      </c>
      <c r="J3159" t="s">
        <v>550</v>
      </c>
      <c r="K3159">
        <v>0</v>
      </c>
      <c r="L3159" t="s">
        <v>162</v>
      </c>
      <c r="N3159" t="s">
        <v>356</v>
      </c>
      <c r="O3159" t="s">
        <v>550</v>
      </c>
      <c r="P3159">
        <v>4.052284809806201E-3</v>
      </c>
      <c r="Q3159" t="s">
        <v>162</v>
      </c>
      <c r="S3159" t="s">
        <v>468</v>
      </c>
      <c r="T3159" t="s">
        <v>550</v>
      </c>
      <c r="U3159">
        <v>6.3547586127054509E-3</v>
      </c>
      <c r="V3159" t="s">
        <v>162</v>
      </c>
    </row>
    <row r="3160" spans="9:22" x14ac:dyDescent="0.45">
      <c r="I3160" t="s">
        <v>244</v>
      </c>
      <c r="J3160" t="s">
        <v>551</v>
      </c>
      <c r="K3160">
        <v>0</v>
      </c>
      <c r="L3160" t="s">
        <v>162</v>
      </c>
      <c r="N3160" t="s">
        <v>356</v>
      </c>
      <c r="O3160" t="s">
        <v>551</v>
      </c>
      <c r="P3160">
        <v>2.4886482118862217E-2</v>
      </c>
      <c r="Q3160" t="s">
        <v>162</v>
      </c>
      <c r="S3160" t="s">
        <v>468</v>
      </c>
      <c r="T3160" t="s">
        <v>551</v>
      </c>
      <c r="U3160">
        <v>3.8846501030551948E-2</v>
      </c>
      <c r="V3160" t="s">
        <v>162</v>
      </c>
    </row>
    <row r="3161" spans="9:22" x14ac:dyDescent="0.45">
      <c r="I3161" t="s">
        <v>245</v>
      </c>
      <c r="J3161" t="s">
        <v>161</v>
      </c>
      <c r="K3161">
        <v>0</v>
      </c>
      <c r="L3161" t="s">
        <v>162</v>
      </c>
      <c r="N3161" t="s">
        <v>357</v>
      </c>
      <c r="O3161" t="s">
        <v>161</v>
      </c>
      <c r="P3161">
        <v>3.6917673184873767E-2</v>
      </c>
      <c r="Q3161" t="s">
        <v>162</v>
      </c>
      <c r="S3161" t="s">
        <v>469</v>
      </c>
      <c r="T3161" t="s">
        <v>161</v>
      </c>
      <c r="U3161">
        <v>4.9611710571013948E-2</v>
      </c>
      <c r="V3161" t="s">
        <v>162</v>
      </c>
    </row>
    <row r="3162" spans="9:22" x14ac:dyDescent="0.45">
      <c r="I3162" t="s">
        <v>245</v>
      </c>
      <c r="J3162" t="s">
        <v>163</v>
      </c>
      <c r="K3162">
        <v>7.5045906149079974E-4</v>
      </c>
      <c r="L3162" t="s">
        <v>162</v>
      </c>
      <c r="N3162" t="s">
        <v>357</v>
      </c>
      <c r="O3162" t="s">
        <v>163</v>
      </c>
      <c r="P3162">
        <v>4.0105953568924163E-3</v>
      </c>
      <c r="Q3162" t="s">
        <v>162</v>
      </c>
      <c r="S3162" t="s">
        <v>469</v>
      </c>
      <c r="T3162" t="s">
        <v>163</v>
      </c>
      <c r="U3162">
        <v>5.2270395171366705E-3</v>
      </c>
      <c r="V3162" t="s">
        <v>162</v>
      </c>
    </row>
    <row r="3163" spans="9:22" x14ac:dyDescent="0.45">
      <c r="I3163" t="s">
        <v>245</v>
      </c>
      <c r="J3163" t="s">
        <v>164</v>
      </c>
      <c r="K3163">
        <v>8.5072872557868592E-3</v>
      </c>
      <c r="L3163" t="s">
        <v>162</v>
      </c>
      <c r="N3163" t="s">
        <v>357</v>
      </c>
      <c r="O3163" t="s">
        <v>164</v>
      </c>
      <c r="P3163">
        <v>7.935490060865592E-3</v>
      </c>
      <c r="Q3163" t="s">
        <v>162</v>
      </c>
      <c r="S3163" t="s">
        <v>469</v>
      </c>
      <c r="T3163" t="s">
        <v>164</v>
      </c>
      <c r="U3163">
        <v>1.0158401248792069E-2</v>
      </c>
      <c r="V3163" t="s">
        <v>162</v>
      </c>
    </row>
    <row r="3164" spans="9:22" x14ac:dyDescent="0.45">
      <c r="I3164" t="s">
        <v>245</v>
      </c>
      <c r="J3164" t="s">
        <v>519</v>
      </c>
      <c r="K3164">
        <v>2.2777057303022957E-2</v>
      </c>
      <c r="L3164" t="s">
        <v>162</v>
      </c>
      <c r="N3164" t="s">
        <v>357</v>
      </c>
      <c r="O3164" t="s">
        <v>519</v>
      </c>
      <c r="P3164">
        <v>2.0167881610988595E-2</v>
      </c>
      <c r="Q3164" t="s">
        <v>162</v>
      </c>
      <c r="S3164" t="s">
        <v>469</v>
      </c>
      <c r="T3164" t="s">
        <v>519</v>
      </c>
      <c r="U3164">
        <v>2.5358843239673166E-2</v>
      </c>
      <c r="V3164" t="s">
        <v>162</v>
      </c>
    </row>
    <row r="3165" spans="9:22" x14ac:dyDescent="0.45">
      <c r="I3165" t="s">
        <v>245</v>
      </c>
      <c r="J3165" t="s">
        <v>520</v>
      </c>
      <c r="K3165">
        <v>1.8313518835404643E-4</v>
      </c>
      <c r="L3165" t="s">
        <v>162</v>
      </c>
      <c r="N3165" t="s">
        <v>357</v>
      </c>
      <c r="O3165" t="s">
        <v>520</v>
      </c>
      <c r="P3165">
        <v>4.1260766600916491E-3</v>
      </c>
      <c r="Q3165" t="s">
        <v>162</v>
      </c>
      <c r="S3165" t="s">
        <v>469</v>
      </c>
      <c r="T3165" t="s">
        <v>520</v>
      </c>
      <c r="U3165">
        <v>5.5681135534330099E-3</v>
      </c>
      <c r="V3165" t="s">
        <v>162</v>
      </c>
    </row>
    <row r="3166" spans="9:22" x14ac:dyDescent="0.45">
      <c r="I3166" t="s">
        <v>245</v>
      </c>
      <c r="J3166" t="s">
        <v>521</v>
      </c>
      <c r="K3166">
        <v>0</v>
      </c>
      <c r="L3166" t="s">
        <v>162</v>
      </c>
      <c r="N3166" t="s">
        <v>357</v>
      </c>
      <c r="O3166" t="s">
        <v>521</v>
      </c>
      <c r="P3166">
        <v>2.5450674439771132E-2</v>
      </c>
      <c r="Q3166" t="s">
        <v>162</v>
      </c>
      <c r="S3166" t="s">
        <v>469</v>
      </c>
      <c r="T3166" t="s">
        <v>521</v>
      </c>
      <c r="U3166">
        <v>3.3416202941110813E-2</v>
      </c>
      <c r="V3166" t="s">
        <v>162</v>
      </c>
    </row>
    <row r="3167" spans="9:22" x14ac:dyDescent="0.45">
      <c r="I3167" t="s">
        <v>245</v>
      </c>
      <c r="J3167" t="s">
        <v>165</v>
      </c>
      <c r="K3167">
        <v>9.6766095932071632E-3</v>
      </c>
      <c r="L3167" t="s">
        <v>162</v>
      </c>
      <c r="N3167" t="s">
        <v>357</v>
      </c>
      <c r="O3167" t="s">
        <v>165</v>
      </c>
      <c r="P3167">
        <v>7.1836751432892074E-2</v>
      </c>
      <c r="Q3167" t="s">
        <v>162</v>
      </c>
      <c r="S3167" t="s">
        <v>469</v>
      </c>
      <c r="T3167" t="s">
        <v>165</v>
      </c>
      <c r="U3167">
        <v>7.4826223999391261E-2</v>
      </c>
      <c r="V3167" t="s">
        <v>162</v>
      </c>
    </row>
    <row r="3168" spans="9:22" x14ac:dyDescent="0.45">
      <c r="I3168" t="s">
        <v>245</v>
      </c>
      <c r="J3168" t="s">
        <v>166</v>
      </c>
      <c r="K3168">
        <v>1.1870057030897579E-2</v>
      </c>
      <c r="L3168" t="s">
        <v>162</v>
      </c>
      <c r="N3168" t="s">
        <v>357</v>
      </c>
      <c r="O3168" t="s">
        <v>166</v>
      </c>
      <c r="P3168">
        <v>7.6080741596032736E-3</v>
      </c>
      <c r="Q3168" t="s">
        <v>162</v>
      </c>
      <c r="S3168" t="s">
        <v>469</v>
      </c>
      <c r="T3168" t="s">
        <v>166</v>
      </c>
      <c r="U3168">
        <v>8.2188118725741097E-3</v>
      </c>
      <c r="V3168" t="s">
        <v>162</v>
      </c>
    </row>
    <row r="3169" spans="9:22" x14ac:dyDescent="0.45">
      <c r="I3169" t="s">
        <v>245</v>
      </c>
      <c r="J3169" t="s">
        <v>167</v>
      </c>
      <c r="K3169">
        <v>3.3628138712748196E-2</v>
      </c>
      <c r="L3169" t="s">
        <v>162</v>
      </c>
      <c r="N3169" t="s">
        <v>357</v>
      </c>
      <c r="O3169" t="s">
        <v>167</v>
      </c>
      <c r="P3169">
        <v>1.4653838063292223E-2</v>
      </c>
      <c r="Q3169" t="s">
        <v>162</v>
      </c>
      <c r="S3169" t="s">
        <v>469</v>
      </c>
      <c r="T3169" t="s">
        <v>167</v>
      </c>
      <c r="U3169">
        <v>1.6475913470764884E-2</v>
      </c>
      <c r="V3169" t="s">
        <v>162</v>
      </c>
    </row>
    <row r="3170" spans="9:22" x14ac:dyDescent="0.45">
      <c r="I3170" t="s">
        <v>245</v>
      </c>
      <c r="J3170" t="s">
        <v>522</v>
      </c>
      <c r="K3170">
        <v>8.4452829533837412E-2</v>
      </c>
      <c r="L3170" t="s">
        <v>162</v>
      </c>
      <c r="N3170" t="s">
        <v>357</v>
      </c>
      <c r="O3170" t="s">
        <v>522</v>
      </c>
      <c r="P3170">
        <v>3.5764980722808232E-2</v>
      </c>
      <c r="Q3170" t="s">
        <v>162</v>
      </c>
      <c r="S3170" t="s">
        <v>469</v>
      </c>
      <c r="T3170" t="s">
        <v>522</v>
      </c>
      <c r="U3170">
        <v>4.1382948183060292E-2</v>
      </c>
      <c r="V3170" t="s">
        <v>162</v>
      </c>
    </row>
    <row r="3171" spans="9:22" x14ac:dyDescent="0.45">
      <c r="I3171" t="s">
        <v>245</v>
      </c>
      <c r="J3171" t="s">
        <v>523</v>
      </c>
      <c r="K3171">
        <v>1.0890096309064599E-2</v>
      </c>
      <c r="L3171" t="s">
        <v>162</v>
      </c>
      <c r="N3171" t="s">
        <v>357</v>
      </c>
      <c r="O3171" t="s">
        <v>523</v>
      </c>
      <c r="P3171">
        <v>7.4897478854072524E-3</v>
      </c>
      <c r="Q3171" t="s">
        <v>162</v>
      </c>
      <c r="S3171" t="s">
        <v>469</v>
      </c>
      <c r="T3171" t="s">
        <v>523</v>
      </c>
      <c r="U3171">
        <v>8.5303975647576941E-3</v>
      </c>
      <c r="V3171" t="s">
        <v>162</v>
      </c>
    </row>
    <row r="3172" spans="9:22" x14ac:dyDescent="0.45">
      <c r="I3172" t="s">
        <v>245</v>
      </c>
      <c r="J3172" t="s">
        <v>524</v>
      </c>
      <c r="K3172">
        <v>5.1021179676082867E-3</v>
      </c>
      <c r="L3172" t="s">
        <v>162</v>
      </c>
      <c r="N3172" t="s">
        <v>357</v>
      </c>
      <c r="O3172" t="s">
        <v>524</v>
      </c>
      <c r="P3172">
        <v>4.7466420224068273E-2</v>
      </c>
      <c r="Q3172" t="s">
        <v>162</v>
      </c>
      <c r="S3172" t="s">
        <v>469</v>
      </c>
      <c r="T3172" t="s">
        <v>524</v>
      </c>
      <c r="U3172">
        <v>4.9179787103755535E-2</v>
      </c>
      <c r="V3172" t="s">
        <v>162</v>
      </c>
    </row>
    <row r="3173" spans="9:22" x14ac:dyDescent="0.45">
      <c r="I3173" t="s">
        <v>245</v>
      </c>
      <c r="J3173" t="s">
        <v>168</v>
      </c>
      <c r="K3173">
        <v>1.4327707085401441E-2</v>
      </c>
      <c r="L3173" t="s">
        <v>162</v>
      </c>
      <c r="N3173" t="s">
        <v>357</v>
      </c>
      <c r="O3173" t="s">
        <v>168</v>
      </c>
      <c r="P3173">
        <v>3.095014013774092E-2</v>
      </c>
      <c r="Q3173" t="s">
        <v>162</v>
      </c>
      <c r="S3173" t="s">
        <v>469</v>
      </c>
      <c r="T3173" t="s">
        <v>168</v>
      </c>
      <c r="U3173">
        <v>3.0315210654777137E-2</v>
      </c>
      <c r="V3173" t="s">
        <v>162</v>
      </c>
    </row>
    <row r="3174" spans="9:22" x14ac:dyDescent="0.45">
      <c r="I3174" t="s">
        <v>245</v>
      </c>
      <c r="J3174" t="s">
        <v>169</v>
      </c>
      <c r="K3174">
        <v>9.3716987456065552E-3</v>
      </c>
      <c r="L3174" t="s">
        <v>162</v>
      </c>
      <c r="N3174" t="s">
        <v>357</v>
      </c>
      <c r="O3174" t="s">
        <v>169</v>
      </c>
      <c r="P3174">
        <v>3.372179420769947E-3</v>
      </c>
      <c r="Q3174" t="s">
        <v>162</v>
      </c>
      <c r="S3174" t="s">
        <v>469</v>
      </c>
      <c r="T3174" t="s">
        <v>169</v>
      </c>
      <c r="U3174">
        <v>3.2618329922971773E-3</v>
      </c>
      <c r="V3174" t="s">
        <v>162</v>
      </c>
    </row>
    <row r="3175" spans="9:22" x14ac:dyDescent="0.45">
      <c r="I3175" t="s">
        <v>245</v>
      </c>
      <c r="J3175" t="s">
        <v>170</v>
      </c>
      <c r="K3175">
        <v>2.1581589716541338E-2</v>
      </c>
      <c r="L3175" t="s">
        <v>162</v>
      </c>
      <c r="N3175" t="s">
        <v>357</v>
      </c>
      <c r="O3175" t="s">
        <v>170</v>
      </c>
      <c r="P3175">
        <v>6.7215528635718698E-3</v>
      </c>
      <c r="Q3175" t="s">
        <v>162</v>
      </c>
      <c r="S3175" t="s">
        <v>469</v>
      </c>
      <c r="T3175" t="s">
        <v>170</v>
      </c>
      <c r="U3175">
        <v>6.7363375587801803E-3</v>
      </c>
      <c r="V3175" t="s">
        <v>162</v>
      </c>
    </row>
    <row r="3176" spans="9:22" x14ac:dyDescent="0.45">
      <c r="I3176" t="s">
        <v>245</v>
      </c>
      <c r="J3176" t="s">
        <v>525</v>
      </c>
      <c r="K3176">
        <v>4.9379680387276789E-2</v>
      </c>
      <c r="L3176" t="s">
        <v>162</v>
      </c>
      <c r="N3176" t="s">
        <v>357</v>
      </c>
      <c r="O3176" t="s">
        <v>525</v>
      </c>
      <c r="P3176">
        <v>1.7888620101780755E-2</v>
      </c>
      <c r="Q3176" t="s">
        <v>162</v>
      </c>
      <c r="S3176" t="s">
        <v>469</v>
      </c>
      <c r="T3176" t="s">
        <v>525</v>
      </c>
      <c r="U3176">
        <v>1.7711813868032701E-2</v>
      </c>
      <c r="V3176" t="s">
        <v>162</v>
      </c>
    </row>
    <row r="3177" spans="9:22" x14ac:dyDescent="0.45">
      <c r="I3177" t="s">
        <v>245</v>
      </c>
      <c r="J3177" t="s">
        <v>526</v>
      </c>
      <c r="K3177">
        <v>7.2824234634729576E-3</v>
      </c>
      <c r="L3177" t="s">
        <v>162</v>
      </c>
      <c r="N3177" t="s">
        <v>357</v>
      </c>
      <c r="O3177" t="s">
        <v>526</v>
      </c>
      <c r="P3177">
        <v>3.5168542318836562E-3</v>
      </c>
      <c r="Q3177" t="s">
        <v>162</v>
      </c>
      <c r="S3177" t="s">
        <v>469</v>
      </c>
      <c r="T3177" t="s">
        <v>526</v>
      </c>
      <c r="U3177">
        <v>3.3186238059904802E-3</v>
      </c>
      <c r="V3177" t="s">
        <v>162</v>
      </c>
    </row>
    <row r="3178" spans="9:22" x14ac:dyDescent="0.45">
      <c r="I3178" t="s">
        <v>245</v>
      </c>
      <c r="J3178" t="s">
        <v>527</v>
      </c>
      <c r="K3178">
        <v>9.0820892597730241E-3</v>
      </c>
      <c r="L3178" t="s">
        <v>162</v>
      </c>
      <c r="N3178" t="s">
        <v>357</v>
      </c>
      <c r="O3178" t="s">
        <v>527</v>
      </c>
      <c r="P3178">
        <v>2.0814796583878682E-2</v>
      </c>
      <c r="Q3178" t="s">
        <v>162</v>
      </c>
      <c r="S3178" t="s">
        <v>469</v>
      </c>
      <c r="T3178" t="s">
        <v>527</v>
      </c>
      <c r="U3178">
        <v>1.964618745947061E-2</v>
      </c>
      <c r="V3178" t="s">
        <v>162</v>
      </c>
    </row>
    <row r="3179" spans="9:22" x14ac:dyDescent="0.45">
      <c r="I3179" t="s">
        <v>245</v>
      </c>
      <c r="J3179" t="s">
        <v>528</v>
      </c>
      <c r="K3179">
        <v>7.163016025184582E-2</v>
      </c>
      <c r="L3179" t="s">
        <v>162</v>
      </c>
      <c r="N3179" t="s">
        <v>357</v>
      </c>
      <c r="O3179" t="s">
        <v>528</v>
      </c>
      <c r="P3179">
        <v>8.1043719538854114E-2</v>
      </c>
      <c r="Q3179" t="s">
        <v>162</v>
      </c>
      <c r="S3179" t="s">
        <v>469</v>
      </c>
      <c r="T3179" t="s">
        <v>528</v>
      </c>
      <c r="U3179">
        <v>6.4885401920064881E-2</v>
      </c>
      <c r="V3179" t="s">
        <v>162</v>
      </c>
    </row>
    <row r="3180" spans="9:22" x14ac:dyDescent="0.45">
      <c r="I3180" t="s">
        <v>245</v>
      </c>
      <c r="J3180" t="s">
        <v>529</v>
      </c>
      <c r="K3180">
        <v>3.0131525161769583E-2</v>
      </c>
      <c r="L3180" t="s">
        <v>162</v>
      </c>
      <c r="N3180" t="s">
        <v>357</v>
      </c>
      <c r="O3180" t="s">
        <v>529</v>
      </c>
      <c r="P3180">
        <v>7.8202495901995902E-3</v>
      </c>
      <c r="Q3180" t="s">
        <v>162</v>
      </c>
      <c r="S3180" t="s">
        <v>469</v>
      </c>
      <c r="T3180" t="s">
        <v>529</v>
      </c>
      <c r="U3180">
        <v>6.759087343065245E-3</v>
      </c>
      <c r="V3180" t="s">
        <v>162</v>
      </c>
    </row>
    <row r="3181" spans="9:22" x14ac:dyDescent="0.45">
      <c r="I3181" t="s">
        <v>245</v>
      </c>
      <c r="J3181" t="s">
        <v>530</v>
      </c>
      <c r="K3181">
        <v>6.3164896725925859E-2</v>
      </c>
      <c r="L3181" t="s">
        <v>162</v>
      </c>
      <c r="N3181" t="s">
        <v>357</v>
      </c>
      <c r="O3181" t="s">
        <v>530</v>
      </c>
      <c r="P3181">
        <v>1.6062750945294153E-2</v>
      </c>
      <c r="Q3181" t="s">
        <v>162</v>
      </c>
      <c r="S3181" t="s">
        <v>469</v>
      </c>
      <c r="T3181" t="s">
        <v>530</v>
      </c>
      <c r="U3181">
        <v>1.4059652452778673E-2</v>
      </c>
      <c r="V3181" t="s">
        <v>162</v>
      </c>
    </row>
    <row r="3182" spans="9:22" x14ac:dyDescent="0.45">
      <c r="I3182" t="s">
        <v>245</v>
      </c>
      <c r="J3182" t="s">
        <v>531</v>
      </c>
      <c r="K3182">
        <v>0.14235489934623796</v>
      </c>
      <c r="L3182" t="s">
        <v>162</v>
      </c>
      <c r="N3182" t="s">
        <v>357</v>
      </c>
      <c r="O3182" t="s">
        <v>531</v>
      </c>
      <c r="P3182">
        <v>4.4155566869504899E-2</v>
      </c>
      <c r="Q3182" t="s">
        <v>162</v>
      </c>
      <c r="S3182" t="s">
        <v>469</v>
      </c>
      <c r="T3182" t="s">
        <v>531</v>
      </c>
      <c r="U3182">
        <v>3.7971842428062577E-2</v>
      </c>
      <c r="V3182" t="s">
        <v>162</v>
      </c>
    </row>
    <row r="3183" spans="9:22" x14ac:dyDescent="0.45">
      <c r="I3183" t="s">
        <v>245</v>
      </c>
      <c r="J3183" t="s">
        <v>532</v>
      </c>
      <c r="K3183">
        <v>2.3612989297419503E-2</v>
      </c>
      <c r="L3183" t="s">
        <v>162</v>
      </c>
      <c r="N3183" t="s">
        <v>357</v>
      </c>
      <c r="O3183" t="s">
        <v>532</v>
      </c>
      <c r="P3183">
        <v>8.7049552386934039E-3</v>
      </c>
      <c r="Q3183" t="s">
        <v>162</v>
      </c>
      <c r="S3183" t="s">
        <v>469</v>
      </c>
      <c r="T3183" t="s">
        <v>532</v>
      </c>
      <c r="U3183">
        <v>7.3777613264416958E-3</v>
      </c>
      <c r="V3183" t="s">
        <v>162</v>
      </c>
    </row>
    <row r="3184" spans="9:22" x14ac:dyDescent="0.45">
      <c r="I3184" t="s">
        <v>245</v>
      </c>
      <c r="J3184" t="s">
        <v>533</v>
      </c>
      <c r="K3184">
        <v>4.5048341864778657E-2</v>
      </c>
      <c r="L3184" t="s">
        <v>162</v>
      </c>
      <c r="N3184" t="s">
        <v>357</v>
      </c>
      <c r="O3184" t="s">
        <v>533</v>
      </c>
      <c r="P3184">
        <v>5.5723112952351543E-2</v>
      </c>
      <c r="Q3184" t="s">
        <v>162</v>
      </c>
      <c r="S3184" t="s">
        <v>469</v>
      </c>
      <c r="T3184" t="s">
        <v>533</v>
      </c>
      <c r="U3184">
        <v>4.1494501098450702E-2</v>
      </c>
      <c r="V3184" t="s">
        <v>162</v>
      </c>
    </row>
    <row r="3185" spans="9:22" x14ac:dyDescent="0.45">
      <c r="I3185" t="s">
        <v>245</v>
      </c>
      <c r="J3185" t="s">
        <v>534</v>
      </c>
      <c r="K3185">
        <v>3.6761297249228178E-2</v>
      </c>
      <c r="L3185" t="s">
        <v>162</v>
      </c>
      <c r="N3185" t="s">
        <v>357</v>
      </c>
      <c r="O3185" t="s">
        <v>534</v>
      </c>
      <c r="P3185">
        <v>8.9578387344119353E-2</v>
      </c>
      <c r="Q3185" t="s">
        <v>162</v>
      </c>
      <c r="S3185" t="s">
        <v>469</v>
      </c>
      <c r="T3185" t="s">
        <v>534</v>
      </c>
      <c r="U3185">
        <v>6.8536424773468885E-2</v>
      </c>
      <c r="V3185" t="s">
        <v>162</v>
      </c>
    </row>
    <row r="3186" spans="9:22" x14ac:dyDescent="0.45">
      <c r="I3186" t="s">
        <v>245</v>
      </c>
      <c r="J3186" t="s">
        <v>535</v>
      </c>
      <c r="K3186">
        <v>2.4708956036194323E-2</v>
      </c>
      <c r="L3186" t="s">
        <v>162</v>
      </c>
      <c r="N3186" t="s">
        <v>357</v>
      </c>
      <c r="O3186" t="s">
        <v>535</v>
      </c>
      <c r="P3186">
        <v>9.5072504981563739E-3</v>
      </c>
      <c r="Q3186" t="s">
        <v>162</v>
      </c>
      <c r="S3186" t="s">
        <v>469</v>
      </c>
      <c r="T3186" t="s">
        <v>535</v>
      </c>
      <c r="U3186">
        <v>7.304380831276683E-3</v>
      </c>
      <c r="V3186" t="s">
        <v>162</v>
      </c>
    </row>
    <row r="3187" spans="9:22" x14ac:dyDescent="0.45">
      <c r="I3187" t="s">
        <v>245</v>
      </c>
      <c r="J3187" t="s">
        <v>536</v>
      </c>
      <c r="K3187">
        <v>5.4375012901904003E-2</v>
      </c>
      <c r="L3187" t="s">
        <v>162</v>
      </c>
      <c r="N3187" t="s">
        <v>357</v>
      </c>
      <c r="O3187" t="s">
        <v>536</v>
      </c>
      <c r="P3187">
        <v>1.8601563589496682E-2</v>
      </c>
      <c r="Q3187" t="s">
        <v>162</v>
      </c>
      <c r="S3187" t="s">
        <v>469</v>
      </c>
      <c r="T3187" t="s">
        <v>536</v>
      </c>
      <c r="U3187">
        <v>1.484435641399069E-2</v>
      </c>
      <c r="V3187" t="s">
        <v>162</v>
      </c>
    </row>
    <row r="3188" spans="9:22" x14ac:dyDescent="0.45">
      <c r="I3188" t="s">
        <v>245</v>
      </c>
      <c r="J3188" t="s">
        <v>537</v>
      </c>
      <c r="K3188">
        <v>0.11939809526778558</v>
      </c>
      <c r="L3188" t="s">
        <v>162</v>
      </c>
      <c r="N3188" t="s">
        <v>357</v>
      </c>
      <c r="O3188" t="s">
        <v>537</v>
      </c>
      <c r="P3188">
        <v>4.6492503211320133E-2</v>
      </c>
      <c r="Q3188" t="s">
        <v>162</v>
      </c>
      <c r="S3188" t="s">
        <v>469</v>
      </c>
      <c r="T3188" t="s">
        <v>537</v>
      </c>
      <c r="U3188">
        <v>3.9561965315769665E-2</v>
      </c>
      <c r="V3188" t="s">
        <v>162</v>
      </c>
    </row>
    <row r="3189" spans="9:22" x14ac:dyDescent="0.45">
      <c r="I3189" t="s">
        <v>245</v>
      </c>
      <c r="J3189" t="s">
        <v>538</v>
      </c>
      <c r="K3189">
        <v>1.7440282525958407E-2</v>
      </c>
      <c r="L3189" t="s">
        <v>162</v>
      </c>
      <c r="N3189" t="s">
        <v>357</v>
      </c>
      <c r="O3189" t="s">
        <v>538</v>
      </c>
      <c r="P3189">
        <v>8.637712536337331E-3</v>
      </c>
      <c r="Q3189" t="s">
        <v>162</v>
      </c>
      <c r="S3189" t="s">
        <v>469</v>
      </c>
      <c r="T3189" t="s">
        <v>538</v>
      </c>
      <c r="U3189">
        <v>7.2460022210982409E-3</v>
      </c>
      <c r="V3189" t="s">
        <v>162</v>
      </c>
    </row>
    <row r="3190" spans="9:22" x14ac:dyDescent="0.45">
      <c r="I3190" t="s">
        <v>245</v>
      </c>
      <c r="J3190" t="s">
        <v>539</v>
      </c>
      <c r="K3190">
        <v>1.8241328007257199E-2</v>
      </c>
      <c r="L3190" t="s">
        <v>162</v>
      </c>
      <c r="N3190" t="s">
        <v>357</v>
      </c>
      <c r="O3190" t="s">
        <v>539</v>
      </c>
      <c r="P3190">
        <v>5.5218432522654973E-2</v>
      </c>
      <c r="Q3190" t="s">
        <v>162</v>
      </c>
      <c r="S3190" t="s">
        <v>469</v>
      </c>
      <c r="T3190" t="s">
        <v>539</v>
      </c>
      <c r="U3190">
        <v>4.5476170758768121E-2</v>
      </c>
      <c r="V3190" t="s">
        <v>162</v>
      </c>
    </row>
    <row r="3191" spans="9:22" x14ac:dyDescent="0.45">
      <c r="I3191" t="s">
        <v>245</v>
      </c>
      <c r="J3191" t="s">
        <v>540</v>
      </c>
      <c r="K3191">
        <v>1.0938714653896995E-4</v>
      </c>
      <c r="L3191" t="s">
        <v>162</v>
      </c>
      <c r="N3191" t="s">
        <v>357</v>
      </c>
      <c r="O3191" t="s">
        <v>540</v>
      </c>
      <c r="P3191">
        <v>3.4241089052258269E-2</v>
      </c>
      <c r="Q3191" t="s">
        <v>162</v>
      </c>
      <c r="S3191" t="s">
        <v>469</v>
      </c>
      <c r="T3191" t="s">
        <v>540</v>
      </c>
      <c r="U3191">
        <v>3.8648055452225327E-2</v>
      </c>
      <c r="V3191" t="s">
        <v>162</v>
      </c>
    </row>
    <row r="3192" spans="9:22" x14ac:dyDescent="0.45">
      <c r="I3192" t="s">
        <v>245</v>
      </c>
      <c r="J3192" t="s">
        <v>541</v>
      </c>
      <c r="K3192">
        <v>2.3014176103361029E-3</v>
      </c>
      <c r="L3192" t="s">
        <v>162</v>
      </c>
      <c r="N3192" t="s">
        <v>357</v>
      </c>
      <c r="O3192" t="s">
        <v>541</v>
      </c>
      <c r="P3192">
        <v>3.6533419184700744E-3</v>
      </c>
      <c r="Q3192" t="s">
        <v>162</v>
      </c>
      <c r="S3192" t="s">
        <v>469</v>
      </c>
      <c r="T3192" t="s">
        <v>541</v>
      </c>
      <c r="U3192">
        <v>4.257557830520617E-3</v>
      </c>
      <c r="V3192" t="s">
        <v>162</v>
      </c>
    </row>
    <row r="3193" spans="9:22" x14ac:dyDescent="0.45">
      <c r="I3193" t="s">
        <v>245</v>
      </c>
      <c r="J3193" t="s">
        <v>542</v>
      </c>
      <c r="K3193">
        <v>8.4129756465161146E-3</v>
      </c>
      <c r="L3193" t="s">
        <v>162</v>
      </c>
      <c r="N3193" t="s">
        <v>357</v>
      </c>
      <c r="O3193" t="s">
        <v>542</v>
      </c>
      <c r="P3193">
        <v>6.8927613533313215E-3</v>
      </c>
      <c r="Q3193" t="s">
        <v>162</v>
      </c>
      <c r="S3193" t="s">
        <v>469</v>
      </c>
      <c r="T3193" t="s">
        <v>542</v>
      </c>
      <c r="U3193">
        <v>8.599796302800734E-3</v>
      </c>
      <c r="V3193" t="s">
        <v>162</v>
      </c>
    </row>
    <row r="3194" spans="9:22" x14ac:dyDescent="0.45">
      <c r="I3194" t="s">
        <v>245</v>
      </c>
      <c r="J3194" t="s">
        <v>543</v>
      </c>
      <c r="K3194">
        <v>1.8877280031632887E-2</v>
      </c>
      <c r="L3194" t="s">
        <v>162</v>
      </c>
      <c r="N3194" t="s">
        <v>357</v>
      </c>
      <c r="O3194" t="s">
        <v>543</v>
      </c>
      <c r="P3194">
        <v>1.6096799215206917E-2</v>
      </c>
      <c r="Q3194" t="s">
        <v>162</v>
      </c>
      <c r="S3194" t="s">
        <v>469</v>
      </c>
      <c r="T3194" t="s">
        <v>543</v>
      </c>
      <c r="U3194">
        <v>2.1831814819858311E-2</v>
      </c>
      <c r="V3194" t="s">
        <v>162</v>
      </c>
    </row>
    <row r="3195" spans="9:22" x14ac:dyDescent="0.45">
      <c r="I3195" t="s">
        <v>245</v>
      </c>
      <c r="J3195" t="s">
        <v>544</v>
      </c>
      <c r="K3195">
        <v>0</v>
      </c>
      <c r="L3195" t="s">
        <v>162</v>
      </c>
      <c r="N3195" t="s">
        <v>357</v>
      </c>
      <c r="O3195" t="s">
        <v>544</v>
      </c>
      <c r="P3195">
        <v>3.2188077782531015E-3</v>
      </c>
      <c r="Q3195" t="s">
        <v>162</v>
      </c>
      <c r="S3195" t="s">
        <v>469</v>
      </c>
      <c r="T3195" t="s">
        <v>544</v>
      </c>
      <c r="U3195">
        <v>4.4504988966314113E-3</v>
      </c>
      <c r="V3195" t="s">
        <v>162</v>
      </c>
    </row>
    <row r="3196" spans="9:22" x14ac:dyDescent="0.45">
      <c r="I3196" t="s">
        <v>245</v>
      </c>
      <c r="J3196" t="s">
        <v>545</v>
      </c>
      <c r="K3196">
        <v>0</v>
      </c>
      <c r="L3196" t="s">
        <v>162</v>
      </c>
      <c r="N3196" t="s">
        <v>357</v>
      </c>
      <c r="O3196" t="s">
        <v>545</v>
      </c>
      <c r="P3196">
        <v>2.0560580225697504E-2</v>
      </c>
      <c r="Q3196" t="s">
        <v>162</v>
      </c>
      <c r="S3196" t="s">
        <v>469</v>
      </c>
      <c r="T3196" t="s">
        <v>545</v>
      </c>
      <c r="U3196">
        <v>2.7270240941287591E-2</v>
      </c>
      <c r="V3196" t="s">
        <v>162</v>
      </c>
    </row>
    <row r="3197" spans="9:22" x14ac:dyDescent="0.45">
      <c r="I3197" t="s">
        <v>245</v>
      </c>
      <c r="J3197" t="s">
        <v>546</v>
      </c>
      <c r="K3197">
        <v>0</v>
      </c>
      <c r="L3197" t="s">
        <v>162</v>
      </c>
      <c r="N3197" t="s">
        <v>357</v>
      </c>
      <c r="O3197" t="s">
        <v>546</v>
      </c>
      <c r="P3197">
        <v>3.9874338467124244E-2</v>
      </c>
      <c r="Q3197" t="s">
        <v>162</v>
      </c>
      <c r="S3197" t="s">
        <v>469</v>
      </c>
      <c r="T3197" t="s">
        <v>546</v>
      </c>
      <c r="U3197">
        <v>4.9425036081094553E-2</v>
      </c>
      <c r="V3197" t="s">
        <v>162</v>
      </c>
    </row>
    <row r="3198" spans="9:22" x14ac:dyDescent="0.45">
      <c r="I3198" t="s">
        <v>245</v>
      </c>
      <c r="J3198" t="s">
        <v>547</v>
      </c>
      <c r="K3198">
        <v>3.2764599562972146E-5</v>
      </c>
      <c r="L3198" t="s">
        <v>162</v>
      </c>
      <c r="N3198" t="s">
        <v>357</v>
      </c>
      <c r="O3198" t="s">
        <v>547</v>
      </c>
      <c r="P3198">
        <v>4.4332689865716878E-3</v>
      </c>
      <c r="Q3198" t="s">
        <v>162</v>
      </c>
      <c r="S3198" t="s">
        <v>469</v>
      </c>
      <c r="T3198" t="s">
        <v>547</v>
      </c>
      <c r="U3198">
        <v>5.6746600807388277E-3</v>
      </c>
      <c r="V3198" t="s">
        <v>162</v>
      </c>
    </row>
    <row r="3199" spans="9:22" x14ac:dyDescent="0.45">
      <c r="I3199" t="s">
        <v>245</v>
      </c>
      <c r="J3199" t="s">
        <v>548</v>
      </c>
      <c r="K3199">
        <v>7.6275728942708804E-3</v>
      </c>
      <c r="L3199" t="s">
        <v>162</v>
      </c>
      <c r="N3199" t="s">
        <v>357</v>
      </c>
      <c r="O3199" t="s">
        <v>548</v>
      </c>
      <c r="P3199">
        <v>8.9951043288170676E-3</v>
      </c>
      <c r="Q3199" t="s">
        <v>162</v>
      </c>
      <c r="S3199" t="s">
        <v>469</v>
      </c>
      <c r="T3199" t="s">
        <v>548</v>
      </c>
      <c r="U3199">
        <v>1.1023105288312603E-2</v>
      </c>
      <c r="V3199" t="s">
        <v>162</v>
      </c>
    </row>
    <row r="3200" spans="9:22" x14ac:dyDescent="0.45">
      <c r="I3200" t="s">
        <v>245</v>
      </c>
      <c r="J3200" t="s">
        <v>549</v>
      </c>
      <c r="K3200">
        <v>1.6907840820747082E-2</v>
      </c>
      <c r="L3200" t="s">
        <v>162</v>
      </c>
      <c r="N3200" t="s">
        <v>357</v>
      </c>
      <c r="O3200" t="s">
        <v>549</v>
      </c>
      <c r="P3200">
        <v>2.2364571704156067E-2</v>
      </c>
      <c r="Q3200" t="s">
        <v>162</v>
      </c>
      <c r="S3200" t="s">
        <v>469</v>
      </c>
      <c r="T3200" t="s">
        <v>549</v>
      </c>
      <c r="U3200">
        <v>2.6809905580894893E-2</v>
      </c>
      <c r="V3200" t="s">
        <v>162</v>
      </c>
    </row>
    <row r="3201" spans="9:22" x14ac:dyDescent="0.45">
      <c r="I3201" t="s">
        <v>245</v>
      </c>
      <c r="J3201" t="s">
        <v>550</v>
      </c>
      <c r="K3201">
        <v>0</v>
      </c>
      <c r="L3201" t="s">
        <v>162</v>
      </c>
      <c r="N3201" t="s">
        <v>357</v>
      </c>
      <c r="O3201" t="s">
        <v>550</v>
      </c>
      <c r="P3201">
        <v>4.5037151128237288E-3</v>
      </c>
      <c r="Q3201" t="s">
        <v>162</v>
      </c>
      <c r="S3201" t="s">
        <v>469</v>
      </c>
      <c r="T3201" t="s">
        <v>550</v>
      </c>
      <c r="U3201">
        <v>5.3834163242303225E-3</v>
      </c>
      <c r="V3201" t="s">
        <v>162</v>
      </c>
    </row>
    <row r="3202" spans="9:22" x14ac:dyDescent="0.45">
      <c r="I3202" t="s">
        <v>245</v>
      </c>
      <c r="J3202" t="s">
        <v>551</v>
      </c>
      <c r="K3202">
        <v>0</v>
      </c>
      <c r="L3202" t="s">
        <v>162</v>
      </c>
      <c r="N3202" t="s">
        <v>357</v>
      </c>
      <c r="O3202" t="s">
        <v>551</v>
      </c>
      <c r="P3202">
        <v>2.6927069879126984E-2</v>
      </c>
      <c r="Q3202" t="s">
        <v>162</v>
      </c>
      <c r="S3202" t="s">
        <v>469</v>
      </c>
      <c r="T3202" t="s">
        <v>551</v>
      </c>
      <c r="U3202">
        <v>3.2163965913355956E-2</v>
      </c>
      <c r="V3202" t="s">
        <v>162</v>
      </c>
    </row>
    <row r="3203" spans="9:22" x14ac:dyDescent="0.45">
      <c r="I3203" t="s">
        <v>246</v>
      </c>
      <c r="J3203" t="s">
        <v>161</v>
      </c>
      <c r="K3203">
        <v>0</v>
      </c>
      <c r="L3203" t="s">
        <v>162</v>
      </c>
      <c r="N3203" t="s">
        <v>358</v>
      </c>
      <c r="O3203" t="s">
        <v>161</v>
      </c>
      <c r="P3203">
        <v>3.837414720419214E-2</v>
      </c>
      <c r="Q3203" t="s">
        <v>162</v>
      </c>
      <c r="S3203" t="s">
        <v>470</v>
      </c>
      <c r="T3203" t="s">
        <v>161</v>
      </c>
      <c r="U3203">
        <v>3.3691471541363073E-2</v>
      </c>
      <c r="V3203" t="s">
        <v>162</v>
      </c>
    </row>
    <row r="3204" spans="9:22" x14ac:dyDescent="0.45">
      <c r="I3204" t="s">
        <v>246</v>
      </c>
      <c r="J3204" t="s">
        <v>163</v>
      </c>
      <c r="K3204">
        <v>2.4621840551838033E-3</v>
      </c>
      <c r="L3204" t="s">
        <v>162</v>
      </c>
      <c r="N3204" t="s">
        <v>358</v>
      </c>
      <c r="O3204" t="s">
        <v>163</v>
      </c>
      <c r="P3204">
        <v>4.3148156463318991E-3</v>
      </c>
      <c r="Q3204" t="s">
        <v>162</v>
      </c>
      <c r="S3204" t="s">
        <v>470</v>
      </c>
      <c r="T3204" t="s">
        <v>163</v>
      </c>
      <c r="U3204">
        <v>3.884899009275532E-3</v>
      </c>
      <c r="V3204" t="s">
        <v>162</v>
      </c>
    </row>
    <row r="3205" spans="9:22" x14ac:dyDescent="0.45">
      <c r="I3205" t="s">
        <v>246</v>
      </c>
      <c r="J3205" t="s">
        <v>164</v>
      </c>
      <c r="K3205">
        <v>1.0201313928106925E-2</v>
      </c>
      <c r="L3205" t="s">
        <v>162</v>
      </c>
      <c r="N3205" t="s">
        <v>358</v>
      </c>
      <c r="O3205" t="s">
        <v>164</v>
      </c>
      <c r="P3205">
        <v>8.6511609671735962E-3</v>
      </c>
      <c r="Q3205" t="s">
        <v>162</v>
      </c>
      <c r="S3205" t="s">
        <v>470</v>
      </c>
      <c r="T3205" t="s">
        <v>164</v>
      </c>
      <c r="U3205">
        <v>7.8365879657732486E-3</v>
      </c>
      <c r="V3205" t="s">
        <v>162</v>
      </c>
    </row>
    <row r="3206" spans="9:22" x14ac:dyDescent="0.45">
      <c r="I3206" t="s">
        <v>246</v>
      </c>
      <c r="J3206" t="s">
        <v>519</v>
      </c>
      <c r="K3206">
        <v>2.3519260910686346E-2</v>
      </c>
      <c r="L3206" t="s">
        <v>162</v>
      </c>
      <c r="N3206" t="s">
        <v>358</v>
      </c>
      <c r="O3206" t="s">
        <v>519</v>
      </c>
      <c r="P3206">
        <v>2.2580141164129978E-2</v>
      </c>
      <c r="Q3206" t="s">
        <v>162</v>
      </c>
      <c r="S3206" t="s">
        <v>470</v>
      </c>
      <c r="T3206" t="s">
        <v>519</v>
      </c>
      <c r="U3206">
        <v>1.9265081478051893E-2</v>
      </c>
      <c r="V3206" t="s">
        <v>162</v>
      </c>
    </row>
    <row r="3207" spans="9:22" x14ac:dyDescent="0.45">
      <c r="I3207" t="s">
        <v>246</v>
      </c>
      <c r="J3207" t="s">
        <v>520</v>
      </c>
      <c r="K3207">
        <v>4.2108560100814013E-5</v>
      </c>
      <c r="L3207" t="s">
        <v>162</v>
      </c>
      <c r="N3207" t="s">
        <v>358</v>
      </c>
      <c r="O3207" t="s">
        <v>520</v>
      </c>
      <c r="P3207">
        <v>4.5165498533665336E-3</v>
      </c>
      <c r="Q3207" t="s">
        <v>162</v>
      </c>
      <c r="S3207" t="s">
        <v>470</v>
      </c>
      <c r="T3207" t="s">
        <v>520</v>
      </c>
      <c r="U3207">
        <v>3.6868039172644482E-3</v>
      </c>
      <c r="V3207" t="s">
        <v>162</v>
      </c>
    </row>
    <row r="3208" spans="9:22" x14ac:dyDescent="0.45">
      <c r="I3208" t="s">
        <v>246</v>
      </c>
      <c r="J3208" t="s">
        <v>521</v>
      </c>
      <c r="K3208">
        <v>0</v>
      </c>
      <c r="L3208" t="s">
        <v>162</v>
      </c>
      <c r="N3208" t="s">
        <v>358</v>
      </c>
      <c r="O3208" t="s">
        <v>521</v>
      </c>
      <c r="P3208">
        <v>2.7076128901224461E-2</v>
      </c>
      <c r="Q3208" t="s">
        <v>162</v>
      </c>
      <c r="S3208" t="s">
        <v>470</v>
      </c>
      <c r="T3208" t="s">
        <v>521</v>
      </c>
      <c r="U3208">
        <v>2.228309280492926E-2</v>
      </c>
      <c r="V3208" t="s">
        <v>162</v>
      </c>
    </row>
    <row r="3209" spans="9:22" x14ac:dyDescent="0.45">
      <c r="I3209" t="s">
        <v>246</v>
      </c>
      <c r="J3209" t="s">
        <v>165</v>
      </c>
      <c r="K3209">
        <v>1.2303093755361358E-2</v>
      </c>
      <c r="L3209" t="s">
        <v>162</v>
      </c>
      <c r="N3209" t="s">
        <v>358</v>
      </c>
      <c r="O3209" t="s">
        <v>165</v>
      </c>
      <c r="P3209">
        <v>6.7569729846501933E-2</v>
      </c>
      <c r="Q3209" t="s">
        <v>162</v>
      </c>
      <c r="S3209" t="s">
        <v>470</v>
      </c>
      <c r="T3209" t="s">
        <v>165</v>
      </c>
      <c r="U3209">
        <v>5.2501602125048737E-2</v>
      </c>
      <c r="V3209" t="s">
        <v>162</v>
      </c>
    </row>
    <row r="3210" spans="9:22" x14ac:dyDescent="0.45">
      <c r="I3210" t="s">
        <v>246</v>
      </c>
      <c r="J3210" t="s">
        <v>166</v>
      </c>
      <c r="K3210">
        <v>1.3432006263891858E-2</v>
      </c>
      <c r="L3210" t="s">
        <v>162</v>
      </c>
      <c r="N3210" t="s">
        <v>358</v>
      </c>
      <c r="O3210" t="s">
        <v>166</v>
      </c>
      <c r="P3210">
        <v>7.4160133709050098E-3</v>
      </c>
      <c r="Q3210" t="s">
        <v>162</v>
      </c>
      <c r="S3210" t="s">
        <v>470</v>
      </c>
      <c r="T3210" t="s">
        <v>166</v>
      </c>
      <c r="U3210">
        <v>5.8999763938094906E-3</v>
      </c>
      <c r="V3210" t="s">
        <v>162</v>
      </c>
    </row>
    <row r="3211" spans="9:22" x14ac:dyDescent="0.45">
      <c r="I3211" t="s">
        <v>246</v>
      </c>
      <c r="J3211" t="s">
        <v>167</v>
      </c>
      <c r="K3211">
        <v>3.4866566927560343E-2</v>
      </c>
      <c r="L3211" t="s">
        <v>162</v>
      </c>
      <c r="N3211" t="s">
        <v>358</v>
      </c>
      <c r="O3211" t="s">
        <v>167</v>
      </c>
      <c r="P3211">
        <v>1.4431288309669521E-2</v>
      </c>
      <c r="Q3211" t="s">
        <v>162</v>
      </c>
      <c r="S3211" t="s">
        <v>470</v>
      </c>
      <c r="T3211" t="s">
        <v>167</v>
      </c>
      <c r="U3211">
        <v>1.1671817277228944E-2</v>
      </c>
      <c r="V3211" t="s">
        <v>162</v>
      </c>
    </row>
    <row r="3212" spans="9:22" x14ac:dyDescent="0.45">
      <c r="I3212" t="s">
        <v>246</v>
      </c>
      <c r="J3212" t="s">
        <v>522</v>
      </c>
      <c r="K3212">
        <v>8.4772014078348487E-2</v>
      </c>
      <c r="L3212" t="s">
        <v>162</v>
      </c>
      <c r="N3212" t="s">
        <v>358</v>
      </c>
      <c r="O3212" t="s">
        <v>522</v>
      </c>
      <c r="P3212">
        <v>3.548715142654988E-2</v>
      </c>
      <c r="Q3212" t="s">
        <v>162</v>
      </c>
      <c r="S3212" t="s">
        <v>470</v>
      </c>
      <c r="T3212" t="s">
        <v>522</v>
      </c>
      <c r="U3212">
        <v>2.8890343751562426E-2</v>
      </c>
      <c r="V3212" t="s">
        <v>162</v>
      </c>
    </row>
    <row r="3213" spans="9:22" x14ac:dyDescent="0.45">
      <c r="I3213" t="s">
        <v>246</v>
      </c>
      <c r="J3213" t="s">
        <v>523</v>
      </c>
      <c r="K3213">
        <v>1.0211794841567819E-2</v>
      </c>
      <c r="L3213" t="s">
        <v>162</v>
      </c>
      <c r="N3213" t="s">
        <v>358</v>
      </c>
      <c r="O3213" t="s">
        <v>523</v>
      </c>
      <c r="P3213">
        <v>7.2486198560368868E-3</v>
      </c>
      <c r="Q3213" t="s">
        <v>162</v>
      </c>
      <c r="S3213" t="s">
        <v>470</v>
      </c>
      <c r="T3213" t="s">
        <v>523</v>
      </c>
      <c r="U3213">
        <v>5.9192802388761808E-3</v>
      </c>
      <c r="V3213" t="s">
        <v>162</v>
      </c>
    </row>
    <row r="3214" spans="9:22" x14ac:dyDescent="0.45">
      <c r="I3214" t="s">
        <v>246</v>
      </c>
      <c r="J3214" t="s">
        <v>524</v>
      </c>
      <c r="K3214">
        <v>4.2122732258523549E-3</v>
      </c>
      <c r="L3214" t="s">
        <v>162</v>
      </c>
      <c r="N3214" t="s">
        <v>358</v>
      </c>
      <c r="O3214" t="s">
        <v>524</v>
      </c>
      <c r="P3214">
        <v>4.5109600206235993E-2</v>
      </c>
      <c r="Q3214" t="s">
        <v>162</v>
      </c>
      <c r="S3214" t="s">
        <v>470</v>
      </c>
      <c r="T3214" t="s">
        <v>524</v>
      </c>
      <c r="U3214">
        <v>3.5366951784236086E-2</v>
      </c>
      <c r="V3214" t="s">
        <v>162</v>
      </c>
    </row>
    <row r="3215" spans="9:22" x14ac:dyDescent="0.45">
      <c r="I3215" t="s">
        <v>246</v>
      </c>
      <c r="J3215" t="s">
        <v>168</v>
      </c>
      <c r="K3215">
        <v>1.7651571833067557E-2</v>
      </c>
      <c r="L3215" t="s">
        <v>162</v>
      </c>
      <c r="N3215" t="s">
        <v>358</v>
      </c>
      <c r="O3215" t="s">
        <v>168</v>
      </c>
      <c r="P3215">
        <v>3.6140463287908285E-2</v>
      </c>
      <c r="Q3215" t="s">
        <v>162</v>
      </c>
      <c r="S3215" t="s">
        <v>470</v>
      </c>
      <c r="T3215" t="s">
        <v>168</v>
      </c>
      <c r="U3215">
        <v>2.8127146824925505E-2</v>
      </c>
      <c r="V3215" t="s">
        <v>162</v>
      </c>
    </row>
    <row r="3216" spans="9:22" x14ac:dyDescent="0.45">
      <c r="I3216" t="s">
        <v>246</v>
      </c>
      <c r="J3216" t="s">
        <v>169</v>
      </c>
      <c r="K3216">
        <v>9.8426310127099608E-3</v>
      </c>
      <c r="L3216" t="s">
        <v>162</v>
      </c>
      <c r="N3216" t="s">
        <v>358</v>
      </c>
      <c r="O3216" t="s">
        <v>169</v>
      </c>
      <c r="P3216">
        <v>3.8101201519918533E-3</v>
      </c>
      <c r="Q3216" t="s">
        <v>162</v>
      </c>
      <c r="S3216" t="s">
        <v>470</v>
      </c>
      <c r="T3216" t="s">
        <v>169</v>
      </c>
      <c r="U3216">
        <v>2.7298113187700802E-3</v>
      </c>
      <c r="V3216" t="s">
        <v>162</v>
      </c>
    </row>
    <row r="3217" spans="9:22" x14ac:dyDescent="0.45">
      <c r="I3217" t="s">
        <v>246</v>
      </c>
      <c r="J3217" t="s">
        <v>170</v>
      </c>
      <c r="K3217">
        <v>2.1783076356444366E-2</v>
      </c>
      <c r="L3217" t="s">
        <v>162</v>
      </c>
      <c r="N3217" t="s">
        <v>358</v>
      </c>
      <c r="O3217" t="s">
        <v>170</v>
      </c>
      <c r="P3217">
        <v>7.4065917486958845E-3</v>
      </c>
      <c r="Q3217" t="s">
        <v>162</v>
      </c>
      <c r="S3217" t="s">
        <v>470</v>
      </c>
      <c r="T3217" t="s">
        <v>170</v>
      </c>
      <c r="U3217">
        <v>5.5573714594806074E-3</v>
      </c>
      <c r="V3217" t="s">
        <v>162</v>
      </c>
    </row>
    <row r="3218" spans="9:22" x14ac:dyDescent="0.45">
      <c r="I3218" t="s">
        <v>246</v>
      </c>
      <c r="J3218" t="s">
        <v>525</v>
      </c>
      <c r="K3218">
        <v>5.1364176606727409E-2</v>
      </c>
      <c r="L3218" t="s">
        <v>162</v>
      </c>
      <c r="N3218" t="s">
        <v>358</v>
      </c>
      <c r="O3218" t="s">
        <v>525</v>
      </c>
      <c r="P3218">
        <v>1.8749158299304684E-2</v>
      </c>
      <c r="Q3218" t="s">
        <v>162</v>
      </c>
      <c r="S3218" t="s">
        <v>470</v>
      </c>
      <c r="T3218" t="s">
        <v>525</v>
      </c>
      <c r="U3218">
        <v>1.4689953702563475E-2</v>
      </c>
      <c r="V3218" t="s">
        <v>162</v>
      </c>
    </row>
    <row r="3219" spans="9:22" x14ac:dyDescent="0.45">
      <c r="I3219" t="s">
        <v>246</v>
      </c>
      <c r="J3219" t="s">
        <v>526</v>
      </c>
      <c r="K3219">
        <v>7.3401787317393767E-3</v>
      </c>
      <c r="L3219" t="s">
        <v>162</v>
      </c>
      <c r="N3219" t="s">
        <v>358</v>
      </c>
      <c r="O3219" t="s">
        <v>526</v>
      </c>
      <c r="P3219">
        <v>3.6760366853908193E-3</v>
      </c>
      <c r="Q3219" t="s">
        <v>162</v>
      </c>
      <c r="S3219" t="s">
        <v>470</v>
      </c>
      <c r="T3219" t="s">
        <v>526</v>
      </c>
      <c r="U3219">
        <v>2.9280545047745011E-3</v>
      </c>
      <c r="V3219" t="s">
        <v>162</v>
      </c>
    </row>
    <row r="3220" spans="9:22" x14ac:dyDescent="0.45">
      <c r="I3220" t="s">
        <v>246</v>
      </c>
      <c r="J3220" t="s">
        <v>527</v>
      </c>
      <c r="K3220">
        <v>8.1236213924746996E-3</v>
      </c>
      <c r="L3220" t="s">
        <v>162</v>
      </c>
      <c r="N3220" t="s">
        <v>358</v>
      </c>
      <c r="O3220" t="s">
        <v>527</v>
      </c>
      <c r="P3220">
        <v>2.3221370336173677E-2</v>
      </c>
      <c r="Q3220" t="s">
        <v>162</v>
      </c>
      <c r="S3220" t="s">
        <v>470</v>
      </c>
      <c r="T3220" t="s">
        <v>527</v>
      </c>
      <c r="U3220">
        <v>1.8697448674756267E-2</v>
      </c>
      <c r="V3220" t="s">
        <v>162</v>
      </c>
    </row>
    <row r="3221" spans="9:22" x14ac:dyDescent="0.45">
      <c r="I3221" t="s">
        <v>246</v>
      </c>
      <c r="J3221" t="s">
        <v>528</v>
      </c>
      <c r="K3221">
        <v>7.4085264359458045E-2</v>
      </c>
      <c r="L3221" t="s">
        <v>162</v>
      </c>
      <c r="N3221" t="s">
        <v>358</v>
      </c>
      <c r="O3221" t="s">
        <v>528</v>
      </c>
      <c r="P3221">
        <v>8.2256602013356467E-2</v>
      </c>
      <c r="Q3221" t="s">
        <v>162</v>
      </c>
      <c r="S3221" t="s">
        <v>470</v>
      </c>
      <c r="T3221" t="s">
        <v>528</v>
      </c>
      <c r="U3221">
        <v>8.5275293644889366E-2</v>
      </c>
      <c r="V3221" t="s">
        <v>162</v>
      </c>
    </row>
    <row r="3222" spans="9:22" x14ac:dyDescent="0.45">
      <c r="I3222" t="s">
        <v>246</v>
      </c>
      <c r="J3222" t="s">
        <v>529</v>
      </c>
      <c r="K3222">
        <v>2.9994682992355928E-2</v>
      </c>
      <c r="L3222" t="s">
        <v>162</v>
      </c>
      <c r="N3222" t="s">
        <v>358</v>
      </c>
      <c r="O3222" t="s">
        <v>529</v>
      </c>
      <c r="P3222">
        <v>8.1453825098832533E-3</v>
      </c>
      <c r="Q3222" t="s">
        <v>162</v>
      </c>
      <c r="S3222" t="s">
        <v>470</v>
      </c>
      <c r="T3222" t="s">
        <v>529</v>
      </c>
      <c r="U3222">
        <v>9.1151240163437168E-3</v>
      </c>
      <c r="V3222" t="s">
        <v>162</v>
      </c>
    </row>
    <row r="3223" spans="9:22" x14ac:dyDescent="0.45">
      <c r="I3223" t="s">
        <v>246</v>
      </c>
      <c r="J3223" t="s">
        <v>530</v>
      </c>
      <c r="K3223">
        <v>6.2856744437183185E-2</v>
      </c>
      <c r="L3223" t="s">
        <v>162</v>
      </c>
      <c r="N3223" t="s">
        <v>358</v>
      </c>
      <c r="O3223" t="s">
        <v>530</v>
      </c>
      <c r="P3223">
        <v>1.6521171114868716E-2</v>
      </c>
      <c r="Q3223" t="s">
        <v>162</v>
      </c>
      <c r="S3223" t="s">
        <v>470</v>
      </c>
      <c r="T3223" t="s">
        <v>530</v>
      </c>
      <c r="U3223">
        <v>1.8260678078535285E-2</v>
      </c>
      <c r="V3223" t="s">
        <v>162</v>
      </c>
    </row>
    <row r="3224" spans="9:22" x14ac:dyDescent="0.45">
      <c r="I3224" t="s">
        <v>246</v>
      </c>
      <c r="J3224" t="s">
        <v>531</v>
      </c>
      <c r="K3224">
        <v>0.13989034903308814</v>
      </c>
      <c r="L3224" t="s">
        <v>162</v>
      </c>
      <c r="N3224" t="s">
        <v>358</v>
      </c>
      <c r="O3224" t="s">
        <v>531</v>
      </c>
      <c r="P3224">
        <v>4.4634788439782011E-2</v>
      </c>
      <c r="Q3224" t="s">
        <v>162</v>
      </c>
      <c r="S3224" t="s">
        <v>470</v>
      </c>
      <c r="T3224" t="s">
        <v>531</v>
      </c>
      <c r="U3224">
        <v>4.5939070903923941E-2</v>
      </c>
      <c r="V3224" t="s">
        <v>162</v>
      </c>
    </row>
    <row r="3225" spans="9:22" x14ac:dyDescent="0.45">
      <c r="I3225" t="s">
        <v>246</v>
      </c>
      <c r="J3225" t="s">
        <v>532</v>
      </c>
      <c r="K3225">
        <v>2.2297068654157561E-2</v>
      </c>
      <c r="L3225" t="s">
        <v>162</v>
      </c>
      <c r="N3225" t="s">
        <v>358</v>
      </c>
      <c r="O3225" t="s">
        <v>532</v>
      </c>
      <c r="P3225">
        <v>8.6122063638141375E-3</v>
      </c>
      <c r="Q3225" t="s">
        <v>162</v>
      </c>
      <c r="S3225" t="s">
        <v>470</v>
      </c>
      <c r="T3225" t="s">
        <v>532</v>
      </c>
      <c r="U3225">
        <v>9.344554069007447E-3</v>
      </c>
      <c r="V3225" t="s">
        <v>162</v>
      </c>
    </row>
    <row r="3226" spans="9:22" x14ac:dyDescent="0.45">
      <c r="I3226" t="s">
        <v>246</v>
      </c>
      <c r="J3226" t="s">
        <v>533</v>
      </c>
      <c r="K3226">
        <v>3.8494751031677411E-2</v>
      </c>
      <c r="L3226" t="s">
        <v>162</v>
      </c>
      <c r="N3226" t="s">
        <v>358</v>
      </c>
      <c r="O3226" t="s">
        <v>533</v>
      </c>
      <c r="P3226">
        <v>5.5814795056854785E-2</v>
      </c>
      <c r="Q3226" t="s">
        <v>162</v>
      </c>
      <c r="S3226" t="s">
        <v>470</v>
      </c>
      <c r="T3226" t="s">
        <v>533</v>
      </c>
      <c r="U3226">
        <v>5.6522914222152651E-2</v>
      </c>
      <c r="V3226" t="s">
        <v>162</v>
      </c>
    </row>
    <row r="3227" spans="9:22" x14ac:dyDescent="0.45">
      <c r="I3227" t="s">
        <v>246</v>
      </c>
      <c r="J3227" t="s">
        <v>534</v>
      </c>
      <c r="K3227">
        <v>3.8070539156835413E-2</v>
      </c>
      <c r="L3227" t="s">
        <v>162</v>
      </c>
      <c r="N3227" t="s">
        <v>358</v>
      </c>
      <c r="O3227" t="s">
        <v>534</v>
      </c>
      <c r="P3227">
        <v>8.4201051482401035E-2</v>
      </c>
      <c r="Q3227" t="s">
        <v>162</v>
      </c>
      <c r="S3227" t="s">
        <v>470</v>
      </c>
      <c r="T3227" t="s">
        <v>534</v>
      </c>
      <c r="U3227">
        <v>0.10620239579145822</v>
      </c>
      <c r="V3227" t="s">
        <v>162</v>
      </c>
    </row>
    <row r="3228" spans="9:22" x14ac:dyDescent="0.45">
      <c r="I3228" t="s">
        <v>246</v>
      </c>
      <c r="J3228" t="s">
        <v>535</v>
      </c>
      <c r="K3228">
        <v>2.3971803528180048E-2</v>
      </c>
      <c r="L3228" t="s">
        <v>162</v>
      </c>
      <c r="N3228" t="s">
        <v>358</v>
      </c>
      <c r="O3228" t="s">
        <v>535</v>
      </c>
      <c r="P3228">
        <v>8.7913078114957386E-3</v>
      </c>
      <c r="Q3228" t="s">
        <v>162</v>
      </c>
      <c r="S3228" t="s">
        <v>470</v>
      </c>
      <c r="T3228" t="s">
        <v>535</v>
      </c>
      <c r="U3228">
        <v>1.1386263259520848E-2</v>
      </c>
      <c r="V3228" t="s">
        <v>162</v>
      </c>
    </row>
    <row r="3229" spans="9:22" x14ac:dyDescent="0.45">
      <c r="I3229" t="s">
        <v>246</v>
      </c>
      <c r="J3229" t="s">
        <v>536</v>
      </c>
      <c r="K3229">
        <v>5.100922601447451E-2</v>
      </c>
      <c r="L3229" t="s">
        <v>162</v>
      </c>
      <c r="N3229" t="s">
        <v>358</v>
      </c>
      <c r="O3229" t="s">
        <v>536</v>
      </c>
      <c r="P3229">
        <v>1.7490938201268378E-2</v>
      </c>
      <c r="Q3229" t="s">
        <v>162</v>
      </c>
      <c r="S3229" t="s">
        <v>470</v>
      </c>
      <c r="T3229" t="s">
        <v>536</v>
      </c>
      <c r="U3229">
        <v>2.3122912986406653E-2</v>
      </c>
      <c r="V3229" t="s">
        <v>162</v>
      </c>
    </row>
    <row r="3230" spans="9:22" x14ac:dyDescent="0.45">
      <c r="I3230" t="s">
        <v>246</v>
      </c>
      <c r="J3230" t="s">
        <v>537</v>
      </c>
      <c r="K3230">
        <v>0.11383657857974666</v>
      </c>
      <c r="L3230" t="s">
        <v>162</v>
      </c>
      <c r="N3230" t="s">
        <v>358</v>
      </c>
      <c r="O3230" t="s">
        <v>537</v>
      </c>
      <c r="P3230">
        <v>4.5085516340919125E-2</v>
      </c>
      <c r="Q3230" t="s">
        <v>162</v>
      </c>
      <c r="S3230" t="s">
        <v>470</v>
      </c>
      <c r="T3230" t="s">
        <v>537</v>
      </c>
      <c r="U3230">
        <v>5.9762842931095177E-2</v>
      </c>
      <c r="V3230" t="s">
        <v>162</v>
      </c>
    </row>
    <row r="3231" spans="9:22" x14ac:dyDescent="0.45">
      <c r="I3231" t="s">
        <v>246</v>
      </c>
      <c r="J3231" t="s">
        <v>538</v>
      </c>
      <c r="K3231">
        <v>1.6164136062133731E-2</v>
      </c>
      <c r="L3231" t="s">
        <v>162</v>
      </c>
      <c r="N3231" t="s">
        <v>358</v>
      </c>
      <c r="O3231" t="s">
        <v>538</v>
      </c>
      <c r="P3231">
        <v>8.5345552346078775E-3</v>
      </c>
      <c r="Q3231" t="s">
        <v>162</v>
      </c>
      <c r="S3231" t="s">
        <v>470</v>
      </c>
      <c r="T3231" t="s">
        <v>538</v>
      </c>
      <c r="U3231">
        <v>1.1802172684826162E-2</v>
      </c>
      <c r="V3231" t="s">
        <v>162</v>
      </c>
    </row>
    <row r="3232" spans="9:22" x14ac:dyDescent="0.45">
      <c r="I3232" t="s">
        <v>246</v>
      </c>
      <c r="J3232" t="s">
        <v>539</v>
      </c>
      <c r="K3232">
        <v>1.545404634695019E-2</v>
      </c>
      <c r="L3232" t="s">
        <v>162</v>
      </c>
      <c r="N3232" t="s">
        <v>358</v>
      </c>
      <c r="O3232" t="s">
        <v>539</v>
      </c>
      <c r="P3232">
        <v>5.4701102827744728E-2</v>
      </c>
      <c r="Q3232" t="s">
        <v>162</v>
      </c>
      <c r="S3232" t="s">
        <v>470</v>
      </c>
      <c r="T3232" t="s">
        <v>539</v>
      </c>
      <c r="U3232">
        <v>7.1604411162829271E-2</v>
      </c>
      <c r="V3232" t="s">
        <v>162</v>
      </c>
    </row>
    <row r="3233" spans="9:22" x14ac:dyDescent="0.45">
      <c r="I3233" t="s">
        <v>246</v>
      </c>
      <c r="J3233" t="s">
        <v>540</v>
      </c>
      <c r="K3233">
        <v>7.5820882034376429E-4</v>
      </c>
      <c r="L3233" t="s">
        <v>162</v>
      </c>
      <c r="N3233" t="s">
        <v>358</v>
      </c>
      <c r="O3233" t="s">
        <v>540</v>
      </c>
      <c r="P3233">
        <v>3.3310340420819845E-2</v>
      </c>
      <c r="Q3233" t="s">
        <v>162</v>
      </c>
      <c r="S3233" t="s">
        <v>470</v>
      </c>
      <c r="T3233" t="s">
        <v>540</v>
      </c>
      <c r="U3233">
        <v>3.6227238435648068E-2</v>
      </c>
      <c r="V3233" t="s">
        <v>162</v>
      </c>
    </row>
    <row r="3234" spans="9:22" x14ac:dyDescent="0.45">
      <c r="I3234" t="s">
        <v>246</v>
      </c>
      <c r="J3234" t="s">
        <v>541</v>
      </c>
      <c r="K3234">
        <v>3.0711789602370382E-3</v>
      </c>
      <c r="L3234" t="s">
        <v>162</v>
      </c>
      <c r="N3234" t="s">
        <v>358</v>
      </c>
      <c r="O3234" t="s">
        <v>541</v>
      </c>
      <c r="P3234">
        <v>3.6840885393279281E-3</v>
      </c>
      <c r="Q3234" t="s">
        <v>162</v>
      </c>
      <c r="S3234" t="s">
        <v>470</v>
      </c>
      <c r="T3234" t="s">
        <v>541</v>
      </c>
      <c r="U3234">
        <v>3.7967964155628908E-3</v>
      </c>
      <c r="V3234" t="s">
        <v>162</v>
      </c>
    </row>
    <row r="3235" spans="9:22" x14ac:dyDescent="0.45">
      <c r="I3235" t="s">
        <v>246</v>
      </c>
      <c r="J3235" t="s">
        <v>542</v>
      </c>
      <c r="K3235">
        <v>9.1528874942810416E-3</v>
      </c>
      <c r="L3235" t="s">
        <v>162</v>
      </c>
      <c r="N3235" t="s">
        <v>358</v>
      </c>
      <c r="O3235" t="s">
        <v>542</v>
      </c>
      <c r="P3235">
        <v>7.3268960728566073E-3</v>
      </c>
      <c r="Q3235" t="s">
        <v>162</v>
      </c>
      <c r="S3235" t="s">
        <v>470</v>
      </c>
      <c r="T3235" t="s">
        <v>542</v>
      </c>
      <c r="U3235">
        <v>7.5423571476604546E-3</v>
      </c>
      <c r="V3235" t="s">
        <v>162</v>
      </c>
    </row>
    <row r="3236" spans="9:22" x14ac:dyDescent="0.45">
      <c r="I3236" t="s">
        <v>246</v>
      </c>
      <c r="J3236" t="s">
        <v>543</v>
      </c>
      <c r="K3236">
        <v>1.7677293148804851E-2</v>
      </c>
      <c r="L3236" t="s">
        <v>162</v>
      </c>
      <c r="N3236" t="s">
        <v>358</v>
      </c>
      <c r="O3236" t="s">
        <v>543</v>
      </c>
      <c r="P3236">
        <v>1.8319049027687682E-2</v>
      </c>
      <c r="Q3236" t="s">
        <v>162</v>
      </c>
      <c r="S3236" t="s">
        <v>470</v>
      </c>
      <c r="T3236" t="s">
        <v>543</v>
      </c>
      <c r="U3236">
        <v>1.8935850160167588E-2</v>
      </c>
      <c r="V3236" t="s">
        <v>162</v>
      </c>
    </row>
    <row r="3237" spans="9:22" x14ac:dyDescent="0.45">
      <c r="I3237" t="s">
        <v>246</v>
      </c>
      <c r="J3237" t="s">
        <v>544</v>
      </c>
      <c r="K3237">
        <v>0</v>
      </c>
      <c r="L3237" t="s">
        <v>162</v>
      </c>
      <c r="N3237" t="s">
        <v>358</v>
      </c>
      <c r="O3237" t="s">
        <v>544</v>
      </c>
      <c r="P3237">
        <v>3.7234031364559192E-3</v>
      </c>
      <c r="Q3237" t="s">
        <v>162</v>
      </c>
      <c r="S3237" t="s">
        <v>470</v>
      </c>
      <c r="T3237" t="s">
        <v>544</v>
      </c>
      <c r="U3237">
        <v>3.9528965403539092E-3</v>
      </c>
      <c r="V3237" t="s">
        <v>162</v>
      </c>
    </row>
    <row r="3238" spans="9:22" x14ac:dyDescent="0.45">
      <c r="I3238" t="s">
        <v>246</v>
      </c>
      <c r="J3238" t="s">
        <v>545</v>
      </c>
      <c r="K3238">
        <v>0</v>
      </c>
      <c r="L3238" t="s">
        <v>162</v>
      </c>
      <c r="N3238" t="s">
        <v>358</v>
      </c>
      <c r="O3238" t="s">
        <v>545</v>
      </c>
      <c r="P3238">
        <v>2.2851615774789353E-2</v>
      </c>
      <c r="Q3238" t="s">
        <v>162</v>
      </c>
      <c r="S3238" t="s">
        <v>470</v>
      </c>
      <c r="T3238" t="s">
        <v>545</v>
      </c>
      <c r="U3238">
        <v>2.4952557127002995E-2</v>
      </c>
      <c r="V3238" t="s">
        <v>162</v>
      </c>
    </row>
    <row r="3239" spans="9:22" x14ac:dyDescent="0.45">
      <c r="I3239" t="s">
        <v>246</v>
      </c>
      <c r="J3239" t="s">
        <v>546</v>
      </c>
      <c r="K3239">
        <v>0</v>
      </c>
      <c r="L3239" t="s">
        <v>162</v>
      </c>
      <c r="N3239" t="s">
        <v>358</v>
      </c>
      <c r="O3239" t="s">
        <v>546</v>
      </c>
      <c r="P3239">
        <v>3.7820436987440073E-2</v>
      </c>
      <c r="Q3239" t="s">
        <v>162</v>
      </c>
      <c r="S3239" t="s">
        <v>470</v>
      </c>
      <c r="T3239" t="s">
        <v>546</v>
      </c>
      <c r="U3239">
        <v>3.61669322215286E-2</v>
      </c>
      <c r="V3239" t="s">
        <v>162</v>
      </c>
    </row>
    <row r="3240" spans="9:22" x14ac:dyDescent="0.45">
      <c r="I3240" t="s">
        <v>246</v>
      </c>
      <c r="J3240" t="s">
        <v>547</v>
      </c>
      <c r="K3240">
        <v>1.8122704420000329E-3</v>
      </c>
      <c r="L3240" t="s">
        <v>162</v>
      </c>
      <c r="N3240" t="s">
        <v>358</v>
      </c>
      <c r="O3240" t="s">
        <v>547</v>
      </c>
      <c r="P3240">
        <v>4.1141225859209398E-3</v>
      </c>
      <c r="Q3240" t="s">
        <v>162</v>
      </c>
      <c r="S3240" t="s">
        <v>470</v>
      </c>
      <c r="T3240" t="s">
        <v>547</v>
      </c>
      <c r="U3240">
        <v>3.7373277425007839E-3</v>
      </c>
      <c r="V3240" t="s">
        <v>162</v>
      </c>
    </row>
    <row r="3241" spans="9:22" x14ac:dyDescent="0.45">
      <c r="I3241" t="s">
        <v>246</v>
      </c>
      <c r="J3241" t="s">
        <v>548</v>
      </c>
      <c r="K3241">
        <v>1.0120062986523749E-2</v>
      </c>
      <c r="L3241" t="s">
        <v>162</v>
      </c>
      <c r="N3241" t="s">
        <v>358</v>
      </c>
      <c r="O3241" t="s">
        <v>548</v>
      </c>
      <c r="P3241">
        <v>8.3168006297625555E-3</v>
      </c>
      <c r="Q3241" t="s">
        <v>162</v>
      </c>
      <c r="S3241" t="s">
        <v>470</v>
      </c>
      <c r="T3241" t="s">
        <v>548</v>
      </c>
      <c r="U3241">
        <v>7.4328351510889318E-3</v>
      </c>
      <c r="V3241" t="s">
        <v>162</v>
      </c>
    </row>
    <row r="3242" spans="9:22" x14ac:dyDescent="0.45">
      <c r="I3242" t="s">
        <v>246</v>
      </c>
      <c r="J3242" t="s">
        <v>549</v>
      </c>
      <c r="K3242">
        <v>1.9155035471746868E-2</v>
      </c>
      <c r="L3242" t="s">
        <v>162</v>
      </c>
      <c r="N3242" t="s">
        <v>358</v>
      </c>
      <c r="O3242" t="s">
        <v>549</v>
      </c>
      <c r="P3242">
        <v>2.066552872353097E-2</v>
      </c>
      <c r="Q3242" t="s">
        <v>162</v>
      </c>
      <c r="S3242" t="s">
        <v>470</v>
      </c>
      <c r="T3242" t="s">
        <v>549</v>
      </c>
      <c r="U3242">
        <v>1.8672708540419504E-2</v>
      </c>
      <c r="V3242" t="s">
        <v>162</v>
      </c>
    </row>
    <row r="3243" spans="9:22" x14ac:dyDescent="0.45">
      <c r="I3243" t="s">
        <v>246</v>
      </c>
      <c r="J3243" t="s">
        <v>550</v>
      </c>
      <c r="K3243">
        <v>0</v>
      </c>
      <c r="L3243" t="s">
        <v>162</v>
      </c>
      <c r="N3243" t="s">
        <v>358</v>
      </c>
      <c r="O3243" t="s">
        <v>550</v>
      </c>
      <c r="P3243">
        <v>4.1415695815675783E-3</v>
      </c>
      <c r="Q3243" t="s">
        <v>162</v>
      </c>
      <c r="S3243" t="s">
        <v>470</v>
      </c>
      <c r="T3243" t="s">
        <v>550</v>
      </c>
      <c r="U3243">
        <v>3.7777292328034164E-3</v>
      </c>
      <c r="V3243" t="s">
        <v>162</v>
      </c>
    </row>
    <row r="3244" spans="9:22" x14ac:dyDescent="0.45">
      <c r="I3244" t="s">
        <v>246</v>
      </c>
      <c r="J3244" t="s">
        <v>551</v>
      </c>
      <c r="K3244">
        <v>0</v>
      </c>
      <c r="L3244" t="s">
        <v>162</v>
      </c>
      <c r="N3244" t="s">
        <v>358</v>
      </c>
      <c r="O3244" t="s">
        <v>551</v>
      </c>
      <c r="P3244">
        <v>2.5157643861060171E-2</v>
      </c>
      <c r="Q3244" t="s">
        <v>162</v>
      </c>
      <c r="S3244" t="s">
        <v>470</v>
      </c>
      <c r="T3244" t="s">
        <v>551</v>
      </c>
      <c r="U3244">
        <v>2.2838442761585229E-2</v>
      </c>
      <c r="V3244" t="s">
        <v>162</v>
      </c>
    </row>
    <row r="3245" spans="9:22" x14ac:dyDescent="0.45">
      <c r="I3245" t="s">
        <v>247</v>
      </c>
      <c r="J3245" t="s">
        <v>161</v>
      </c>
      <c r="K3245">
        <v>2.6801385608418637E-3</v>
      </c>
      <c r="L3245" t="s">
        <v>162</v>
      </c>
      <c r="N3245" t="s">
        <v>359</v>
      </c>
      <c r="O3245" t="s">
        <v>161</v>
      </c>
      <c r="P3245">
        <v>4.3424627810017671E-2</v>
      </c>
      <c r="Q3245" t="s">
        <v>162</v>
      </c>
      <c r="S3245" t="s">
        <v>471</v>
      </c>
      <c r="T3245" t="s">
        <v>161</v>
      </c>
      <c r="U3245">
        <v>3.1712655959557259E-2</v>
      </c>
      <c r="V3245" t="s">
        <v>162</v>
      </c>
    </row>
    <row r="3246" spans="9:22" x14ac:dyDescent="0.45">
      <c r="I3246" t="s">
        <v>247</v>
      </c>
      <c r="J3246" t="s">
        <v>163</v>
      </c>
      <c r="K3246">
        <v>5.012554306208011E-3</v>
      </c>
      <c r="L3246" t="s">
        <v>162</v>
      </c>
      <c r="N3246" t="s">
        <v>359</v>
      </c>
      <c r="O3246" t="s">
        <v>163</v>
      </c>
      <c r="P3246">
        <v>5.2547946352381521E-3</v>
      </c>
      <c r="Q3246" t="s">
        <v>162</v>
      </c>
      <c r="S3246" t="s">
        <v>471</v>
      </c>
      <c r="T3246" t="s">
        <v>163</v>
      </c>
      <c r="U3246">
        <v>3.6494611180156325E-3</v>
      </c>
      <c r="V3246" t="s">
        <v>162</v>
      </c>
    </row>
    <row r="3247" spans="9:22" x14ac:dyDescent="0.45">
      <c r="I3247" t="s">
        <v>247</v>
      </c>
      <c r="J3247" t="s">
        <v>164</v>
      </c>
      <c r="K3247">
        <v>1.3676156164150178E-2</v>
      </c>
      <c r="L3247" t="s">
        <v>162</v>
      </c>
      <c r="N3247" t="s">
        <v>359</v>
      </c>
      <c r="O3247" t="s">
        <v>164</v>
      </c>
      <c r="P3247">
        <v>9.5259828953568448E-3</v>
      </c>
      <c r="Q3247" t="s">
        <v>162</v>
      </c>
      <c r="S3247" t="s">
        <v>471</v>
      </c>
      <c r="T3247" t="s">
        <v>164</v>
      </c>
      <c r="U3247">
        <v>7.5170059474666999E-3</v>
      </c>
      <c r="V3247" t="s">
        <v>162</v>
      </c>
    </row>
    <row r="3248" spans="9:22" x14ac:dyDescent="0.45">
      <c r="I3248" t="s">
        <v>247</v>
      </c>
      <c r="J3248" t="s">
        <v>519</v>
      </c>
      <c r="K3248">
        <v>2.7908403828845744E-2</v>
      </c>
      <c r="L3248" t="s">
        <v>162</v>
      </c>
      <c r="N3248" t="s">
        <v>359</v>
      </c>
      <c r="O3248" t="s">
        <v>519</v>
      </c>
      <c r="P3248">
        <v>2.0380107956010914E-2</v>
      </c>
      <c r="Q3248" t="s">
        <v>162</v>
      </c>
      <c r="S3248" t="s">
        <v>471</v>
      </c>
      <c r="T3248" t="s">
        <v>519</v>
      </c>
      <c r="U3248">
        <v>1.9583112326151481E-2</v>
      </c>
      <c r="V3248" t="s">
        <v>162</v>
      </c>
    </row>
    <row r="3249" spans="9:22" x14ac:dyDescent="0.45">
      <c r="I3249" t="s">
        <v>247</v>
      </c>
      <c r="J3249" t="s">
        <v>520</v>
      </c>
      <c r="K3249">
        <v>0</v>
      </c>
      <c r="L3249" t="s">
        <v>162</v>
      </c>
      <c r="N3249" t="s">
        <v>359</v>
      </c>
      <c r="O3249" t="s">
        <v>520</v>
      </c>
      <c r="P3249">
        <v>4.2655170775371112E-3</v>
      </c>
      <c r="Q3249" t="s">
        <v>162</v>
      </c>
      <c r="S3249" t="s">
        <v>471</v>
      </c>
      <c r="T3249" t="s">
        <v>520</v>
      </c>
      <c r="U3249">
        <v>3.7253746484696912E-3</v>
      </c>
      <c r="V3249" t="s">
        <v>162</v>
      </c>
    </row>
    <row r="3250" spans="9:22" x14ac:dyDescent="0.45">
      <c r="I3250" t="s">
        <v>247</v>
      </c>
      <c r="J3250" t="s">
        <v>521</v>
      </c>
      <c r="K3250">
        <v>0</v>
      </c>
      <c r="L3250" t="s">
        <v>162</v>
      </c>
      <c r="N3250" t="s">
        <v>359</v>
      </c>
      <c r="O3250" t="s">
        <v>521</v>
      </c>
      <c r="P3250">
        <v>2.4245666115184666E-2</v>
      </c>
      <c r="Q3250" t="s">
        <v>162</v>
      </c>
      <c r="S3250" t="s">
        <v>471</v>
      </c>
      <c r="T3250" t="s">
        <v>521</v>
      </c>
      <c r="U3250">
        <v>2.2637706352325451E-2</v>
      </c>
      <c r="V3250" t="s">
        <v>162</v>
      </c>
    </row>
    <row r="3251" spans="9:22" x14ac:dyDescent="0.45">
      <c r="I3251" t="s">
        <v>247</v>
      </c>
      <c r="J3251" t="s">
        <v>165</v>
      </c>
      <c r="K3251">
        <v>1.398367290744781E-2</v>
      </c>
      <c r="L3251" t="s">
        <v>162</v>
      </c>
      <c r="N3251" t="s">
        <v>359</v>
      </c>
      <c r="O3251" t="s">
        <v>165</v>
      </c>
      <c r="P3251">
        <v>6.1022652774567566E-2</v>
      </c>
      <c r="Q3251" t="s">
        <v>162</v>
      </c>
      <c r="S3251" t="s">
        <v>471</v>
      </c>
      <c r="T3251" t="s">
        <v>165</v>
      </c>
      <c r="U3251">
        <v>5.0765679667471052E-2</v>
      </c>
      <c r="V3251" t="s">
        <v>162</v>
      </c>
    </row>
    <row r="3252" spans="9:22" x14ac:dyDescent="0.45">
      <c r="I3252" t="s">
        <v>247</v>
      </c>
      <c r="J3252" t="s">
        <v>166</v>
      </c>
      <c r="K3252">
        <v>1.4209906626712092E-2</v>
      </c>
      <c r="L3252" t="s">
        <v>162</v>
      </c>
      <c r="N3252" t="s">
        <v>359</v>
      </c>
      <c r="O3252" t="s">
        <v>166</v>
      </c>
      <c r="P3252">
        <v>6.0095864757753218E-3</v>
      </c>
      <c r="Q3252" t="s">
        <v>162</v>
      </c>
      <c r="S3252" t="s">
        <v>471</v>
      </c>
      <c r="T3252" t="s">
        <v>166</v>
      </c>
      <c r="U3252">
        <v>5.3908953345964839E-3</v>
      </c>
      <c r="V3252" t="s">
        <v>162</v>
      </c>
    </row>
    <row r="3253" spans="9:22" x14ac:dyDescent="0.45">
      <c r="I3253" t="s">
        <v>247</v>
      </c>
      <c r="J3253" t="s">
        <v>167</v>
      </c>
      <c r="K3253">
        <v>3.6175747703849473E-2</v>
      </c>
      <c r="L3253" t="s">
        <v>162</v>
      </c>
      <c r="N3253" t="s">
        <v>359</v>
      </c>
      <c r="O3253" t="s">
        <v>167</v>
      </c>
      <c r="P3253">
        <v>1.0333859352330332E-2</v>
      </c>
      <c r="Q3253" t="s">
        <v>162</v>
      </c>
      <c r="S3253" t="s">
        <v>471</v>
      </c>
      <c r="T3253" t="s">
        <v>167</v>
      </c>
      <c r="U3253">
        <v>1.0977488557137247E-2</v>
      </c>
      <c r="V3253" t="s">
        <v>162</v>
      </c>
    </row>
    <row r="3254" spans="9:22" x14ac:dyDescent="0.45">
      <c r="I3254" t="s">
        <v>247</v>
      </c>
      <c r="J3254" t="s">
        <v>522</v>
      </c>
      <c r="K3254">
        <v>7.9099311343892295E-2</v>
      </c>
      <c r="L3254" t="s">
        <v>162</v>
      </c>
      <c r="N3254" t="s">
        <v>359</v>
      </c>
      <c r="O3254" t="s">
        <v>522</v>
      </c>
      <c r="P3254">
        <v>2.655429356979893E-2</v>
      </c>
      <c r="Q3254" t="s">
        <v>162</v>
      </c>
      <c r="S3254" t="s">
        <v>471</v>
      </c>
      <c r="T3254" t="s">
        <v>522</v>
      </c>
      <c r="U3254">
        <v>2.8451873885394462E-2</v>
      </c>
      <c r="V3254" t="s">
        <v>162</v>
      </c>
    </row>
    <row r="3255" spans="9:22" x14ac:dyDescent="0.45">
      <c r="I3255" t="s">
        <v>247</v>
      </c>
      <c r="J3255" t="s">
        <v>523</v>
      </c>
      <c r="K3255">
        <v>4.1312491823180539E-3</v>
      </c>
      <c r="L3255" t="s">
        <v>162</v>
      </c>
      <c r="N3255" t="s">
        <v>359</v>
      </c>
      <c r="O3255" t="s">
        <v>523</v>
      </c>
      <c r="P3255">
        <v>6.1420261196305503E-3</v>
      </c>
      <c r="Q3255" t="s">
        <v>162</v>
      </c>
      <c r="S3255" t="s">
        <v>471</v>
      </c>
      <c r="T3255" t="s">
        <v>523</v>
      </c>
      <c r="U3255">
        <v>5.8326902353325943E-3</v>
      </c>
      <c r="V3255" t="s">
        <v>162</v>
      </c>
    </row>
    <row r="3256" spans="9:22" x14ac:dyDescent="0.45">
      <c r="I3256" t="s">
        <v>247</v>
      </c>
      <c r="J3256" t="s">
        <v>524</v>
      </c>
      <c r="K3256">
        <v>4.3050512204541324E-4</v>
      </c>
      <c r="L3256" t="s">
        <v>162</v>
      </c>
      <c r="N3256" t="s">
        <v>359</v>
      </c>
      <c r="O3256" t="s">
        <v>524</v>
      </c>
      <c r="P3256">
        <v>4.2528915851056712E-2</v>
      </c>
      <c r="Q3256" t="s">
        <v>162</v>
      </c>
      <c r="S3256" t="s">
        <v>471</v>
      </c>
      <c r="T3256" t="s">
        <v>524</v>
      </c>
      <c r="U3256">
        <v>3.6011338687573106E-2</v>
      </c>
      <c r="V3256" t="s">
        <v>162</v>
      </c>
    </row>
    <row r="3257" spans="9:22" x14ac:dyDescent="0.45">
      <c r="I3257" t="s">
        <v>247</v>
      </c>
      <c r="J3257" t="s">
        <v>168</v>
      </c>
      <c r="K3257">
        <v>2.0797069477054637E-2</v>
      </c>
      <c r="L3257" t="s">
        <v>162</v>
      </c>
      <c r="N3257" t="s">
        <v>359</v>
      </c>
      <c r="O3257" t="s">
        <v>168</v>
      </c>
      <c r="P3257">
        <v>3.2205688585581142E-2</v>
      </c>
      <c r="Q3257" t="s">
        <v>162</v>
      </c>
      <c r="S3257" t="s">
        <v>471</v>
      </c>
      <c r="T3257" t="s">
        <v>168</v>
      </c>
      <c r="U3257">
        <v>2.8959497065885308E-2</v>
      </c>
      <c r="V3257" t="s">
        <v>162</v>
      </c>
    </row>
    <row r="3258" spans="9:22" x14ac:dyDescent="0.45">
      <c r="I3258" t="s">
        <v>247</v>
      </c>
      <c r="J3258" t="s">
        <v>169</v>
      </c>
      <c r="K3258">
        <v>9.9185594312909114E-3</v>
      </c>
      <c r="L3258" t="s">
        <v>162</v>
      </c>
      <c r="N3258" t="s">
        <v>359</v>
      </c>
      <c r="O3258" t="s">
        <v>169</v>
      </c>
      <c r="P3258">
        <v>2.9645846635615951E-3</v>
      </c>
      <c r="Q3258" t="s">
        <v>162</v>
      </c>
      <c r="S3258" t="s">
        <v>471</v>
      </c>
      <c r="T3258" t="s">
        <v>169</v>
      </c>
      <c r="U3258">
        <v>3.1731746714302703E-3</v>
      </c>
      <c r="V3258" t="s">
        <v>162</v>
      </c>
    </row>
    <row r="3259" spans="9:22" x14ac:dyDescent="0.45">
      <c r="I3259" t="s">
        <v>247</v>
      </c>
      <c r="J3259" t="s">
        <v>170</v>
      </c>
      <c r="K3259">
        <v>2.1563799262164316E-2</v>
      </c>
      <c r="L3259" t="s">
        <v>162</v>
      </c>
      <c r="N3259" t="s">
        <v>359</v>
      </c>
      <c r="O3259" t="s">
        <v>170</v>
      </c>
      <c r="P3259">
        <v>6.2851125572569487E-3</v>
      </c>
      <c r="Q3259" t="s">
        <v>162</v>
      </c>
      <c r="S3259" t="s">
        <v>471</v>
      </c>
      <c r="T3259" t="s">
        <v>170</v>
      </c>
      <c r="U3259">
        <v>6.3709017587867262E-3</v>
      </c>
      <c r="V3259" t="s">
        <v>162</v>
      </c>
    </row>
    <row r="3260" spans="9:22" x14ac:dyDescent="0.45">
      <c r="I3260" t="s">
        <v>247</v>
      </c>
      <c r="J3260" t="s">
        <v>525</v>
      </c>
      <c r="K3260">
        <v>4.6480203653927493E-2</v>
      </c>
      <c r="L3260" t="s">
        <v>162</v>
      </c>
      <c r="N3260" t="s">
        <v>359</v>
      </c>
      <c r="O3260" t="s">
        <v>525</v>
      </c>
      <c r="P3260">
        <v>1.7800824651757773E-2</v>
      </c>
      <c r="Q3260" t="s">
        <v>162</v>
      </c>
      <c r="S3260" t="s">
        <v>471</v>
      </c>
      <c r="T3260" t="s">
        <v>525</v>
      </c>
      <c r="U3260">
        <v>1.6957905172039964E-2</v>
      </c>
      <c r="V3260" t="s">
        <v>162</v>
      </c>
    </row>
    <row r="3261" spans="9:22" x14ac:dyDescent="0.45">
      <c r="I3261" t="s">
        <v>247</v>
      </c>
      <c r="J3261" t="s">
        <v>526</v>
      </c>
      <c r="K3261">
        <v>4.7497999488435227E-3</v>
      </c>
      <c r="L3261" t="s">
        <v>162</v>
      </c>
      <c r="N3261" t="s">
        <v>359</v>
      </c>
      <c r="O3261" t="s">
        <v>526</v>
      </c>
      <c r="P3261">
        <v>3.5020969868992642E-3</v>
      </c>
      <c r="Q3261" t="s">
        <v>162</v>
      </c>
      <c r="S3261" t="s">
        <v>471</v>
      </c>
      <c r="T3261" t="s">
        <v>526</v>
      </c>
      <c r="U3261">
        <v>3.5581642460453065E-3</v>
      </c>
      <c r="V3261" t="s">
        <v>162</v>
      </c>
    </row>
    <row r="3262" spans="9:22" x14ac:dyDescent="0.45">
      <c r="I3262" t="s">
        <v>247</v>
      </c>
      <c r="J3262" t="s">
        <v>527</v>
      </c>
      <c r="K3262">
        <v>2.7400991213016954E-3</v>
      </c>
      <c r="L3262" t="s">
        <v>162</v>
      </c>
      <c r="N3262" t="s">
        <v>359</v>
      </c>
      <c r="O3262" t="s">
        <v>527</v>
      </c>
      <c r="P3262">
        <v>2.4405145157030364E-2</v>
      </c>
      <c r="Q3262" t="s">
        <v>162</v>
      </c>
      <c r="S3262" t="s">
        <v>471</v>
      </c>
      <c r="T3262" t="s">
        <v>527</v>
      </c>
      <c r="U3262">
        <v>2.0177328781500862E-2</v>
      </c>
      <c r="V3262" t="s">
        <v>162</v>
      </c>
    </row>
    <row r="3263" spans="9:22" x14ac:dyDescent="0.45">
      <c r="I3263" t="s">
        <v>247</v>
      </c>
      <c r="J3263" t="s">
        <v>528</v>
      </c>
      <c r="K3263">
        <v>8.5644323843092424E-2</v>
      </c>
      <c r="L3263" t="s">
        <v>162</v>
      </c>
      <c r="N3263" t="s">
        <v>359</v>
      </c>
      <c r="O3263" t="s">
        <v>528</v>
      </c>
      <c r="P3263">
        <v>9.0164845846529104E-2</v>
      </c>
      <c r="Q3263" t="s">
        <v>162</v>
      </c>
      <c r="S3263" t="s">
        <v>471</v>
      </c>
      <c r="T3263" t="s">
        <v>528</v>
      </c>
      <c r="U3263">
        <v>8.1994381256291118E-2</v>
      </c>
      <c r="V3263" t="s">
        <v>162</v>
      </c>
    </row>
    <row r="3264" spans="9:22" x14ac:dyDescent="0.45">
      <c r="I3264" t="s">
        <v>247</v>
      </c>
      <c r="J3264" t="s">
        <v>529</v>
      </c>
      <c r="K3264">
        <v>3.1897308427271925E-2</v>
      </c>
      <c r="L3264" t="s">
        <v>162</v>
      </c>
      <c r="N3264" t="s">
        <v>359</v>
      </c>
      <c r="O3264" t="s">
        <v>529</v>
      </c>
      <c r="P3264">
        <v>8.0347906587157781E-3</v>
      </c>
      <c r="Q3264" t="s">
        <v>162</v>
      </c>
      <c r="S3264" t="s">
        <v>471</v>
      </c>
      <c r="T3264" t="s">
        <v>529</v>
      </c>
      <c r="U3264">
        <v>8.6728516882783827E-3</v>
      </c>
      <c r="V3264" t="s">
        <v>162</v>
      </c>
    </row>
    <row r="3265" spans="9:22" x14ac:dyDescent="0.45">
      <c r="I3265" t="s">
        <v>247</v>
      </c>
      <c r="J3265" t="s">
        <v>530</v>
      </c>
      <c r="K3265">
        <v>6.6685922970876568E-2</v>
      </c>
      <c r="L3265" t="s">
        <v>162</v>
      </c>
      <c r="N3265" t="s">
        <v>359</v>
      </c>
      <c r="O3265" t="s">
        <v>530</v>
      </c>
      <c r="P3265">
        <v>1.7934498686071065E-2</v>
      </c>
      <c r="Q3265" t="s">
        <v>162</v>
      </c>
      <c r="S3265" t="s">
        <v>471</v>
      </c>
      <c r="T3265" t="s">
        <v>530</v>
      </c>
      <c r="U3265">
        <v>1.7478776606275299E-2</v>
      </c>
      <c r="V3265" t="s">
        <v>162</v>
      </c>
    </row>
    <row r="3266" spans="9:22" x14ac:dyDescent="0.45">
      <c r="I3266" t="s">
        <v>247</v>
      </c>
      <c r="J3266" t="s">
        <v>531</v>
      </c>
      <c r="K3266">
        <v>0.14772793563950343</v>
      </c>
      <c r="L3266" t="s">
        <v>162</v>
      </c>
      <c r="N3266" t="s">
        <v>359</v>
      </c>
      <c r="O3266" t="s">
        <v>531</v>
      </c>
      <c r="P3266">
        <v>4.5539719807843271E-2</v>
      </c>
      <c r="Q3266" t="s">
        <v>162</v>
      </c>
      <c r="S3266" t="s">
        <v>471</v>
      </c>
      <c r="T3266" t="s">
        <v>531</v>
      </c>
      <c r="U3266">
        <v>4.5341707078003522E-2</v>
      </c>
      <c r="V3266" t="s">
        <v>162</v>
      </c>
    </row>
    <row r="3267" spans="9:22" x14ac:dyDescent="0.45">
      <c r="I3267" t="s">
        <v>247</v>
      </c>
      <c r="J3267" t="s">
        <v>532</v>
      </c>
      <c r="K3267">
        <v>2.0401505571890792E-2</v>
      </c>
      <c r="L3267" t="s">
        <v>162</v>
      </c>
      <c r="N3267" t="s">
        <v>359</v>
      </c>
      <c r="O3267" t="s">
        <v>532</v>
      </c>
      <c r="P3267">
        <v>7.9852790415571358E-3</v>
      </c>
      <c r="Q3267" t="s">
        <v>162</v>
      </c>
      <c r="S3267" t="s">
        <v>471</v>
      </c>
      <c r="T3267" t="s">
        <v>532</v>
      </c>
      <c r="U3267">
        <v>9.1672875893188139E-3</v>
      </c>
      <c r="V3267" t="s">
        <v>162</v>
      </c>
    </row>
    <row r="3268" spans="9:22" x14ac:dyDescent="0.45">
      <c r="I3268" t="s">
        <v>247</v>
      </c>
      <c r="J3268" t="s">
        <v>533</v>
      </c>
      <c r="K3268">
        <v>2.4268192405947377E-2</v>
      </c>
      <c r="L3268" t="s">
        <v>162</v>
      </c>
      <c r="N3268" t="s">
        <v>359</v>
      </c>
      <c r="O3268" t="s">
        <v>533</v>
      </c>
      <c r="P3268">
        <v>5.9808625690149171E-2</v>
      </c>
      <c r="Q3268" t="s">
        <v>162</v>
      </c>
      <c r="S3268" t="s">
        <v>471</v>
      </c>
      <c r="T3268" t="s">
        <v>533</v>
      </c>
      <c r="U3268">
        <v>5.6226543540120862E-2</v>
      </c>
      <c r="V3268" t="s">
        <v>162</v>
      </c>
    </row>
    <row r="3269" spans="9:22" x14ac:dyDescent="0.45">
      <c r="I3269" t="s">
        <v>247</v>
      </c>
      <c r="J3269" t="s">
        <v>534</v>
      </c>
      <c r="K3269">
        <v>4.6447479020541513E-2</v>
      </c>
      <c r="L3269" t="s">
        <v>162</v>
      </c>
      <c r="N3269" t="s">
        <v>359</v>
      </c>
      <c r="O3269" t="s">
        <v>534</v>
      </c>
      <c r="P3269">
        <v>8.5383035427757173E-2</v>
      </c>
      <c r="Q3269" t="s">
        <v>162</v>
      </c>
      <c r="S3269" t="s">
        <v>471</v>
      </c>
      <c r="T3269" t="s">
        <v>534</v>
      </c>
      <c r="U3269">
        <v>9.7283124711978738E-2</v>
      </c>
      <c r="V3269" t="s">
        <v>162</v>
      </c>
    </row>
    <row r="3270" spans="9:22" x14ac:dyDescent="0.45">
      <c r="I3270" t="s">
        <v>247</v>
      </c>
      <c r="J3270" t="s">
        <v>535</v>
      </c>
      <c r="K3270">
        <v>2.446763667431457E-2</v>
      </c>
      <c r="L3270" t="s">
        <v>162</v>
      </c>
      <c r="N3270" t="s">
        <v>359</v>
      </c>
      <c r="O3270" t="s">
        <v>535</v>
      </c>
      <c r="P3270">
        <v>7.3869649283965525E-3</v>
      </c>
      <c r="Q3270" t="s">
        <v>162</v>
      </c>
      <c r="S3270" t="s">
        <v>471</v>
      </c>
      <c r="T3270" t="s">
        <v>535</v>
      </c>
      <c r="U3270">
        <v>1.1242024865909483E-2</v>
      </c>
      <c r="V3270" t="s">
        <v>162</v>
      </c>
    </row>
    <row r="3271" spans="9:22" x14ac:dyDescent="0.45">
      <c r="I3271" t="s">
        <v>247</v>
      </c>
      <c r="J3271" t="s">
        <v>536</v>
      </c>
      <c r="K3271">
        <v>5.091638014468168E-2</v>
      </c>
      <c r="L3271" t="s">
        <v>162</v>
      </c>
      <c r="N3271" t="s">
        <v>359</v>
      </c>
      <c r="O3271" t="s">
        <v>536</v>
      </c>
      <c r="P3271">
        <v>1.5555155038969162E-2</v>
      </c>
      <c r="Q3271" t="s">
        <v>162</v>
      </c>
      <c r="S3271" t="s">
        <v>471</v>
      </c>
      <c r="T3271" t="s">
        <v>536</v>
      </c>
      <c r="U3271">
        <v>2.3033105773970754E-2</v>
      </c>
      <c r="V3271" t="s">
        <v>162</v>
      </c>
    </row>
    <row r="3272" spans="9:22" x14ac:dyDescent="0.45">
      <c r="I3272" t="s">
        <v>247</v>
      </c>
      <c r="J3272" t="s">
        <v>537</v>
      </c>
      <c r="K3272">
        <v>0.10839940565367229</v>
      </c>
      <c r="L3272" t="s">
        <v>162</v>
      </c>
      <c r="N3272" t="s">
        <v>359</v>
      </c>
      <c r="O3272" t="s">
        <v>537</v>
      </c>
      <c r="P3272">
        <v>4.4389507468660772E-2</v>
      </c>
      <c r="Q3272" t="s">
        <v>162</v>
      </c>
      <c r="S3272" t="s">
        <v>471</v>
      </c>
      <c r="T3272" t="s">
        <v>537</v>
      </c>
      <c r="U3272">
        <v>5.9845839330157496E-2</v>
      </c>
      <c r="V3272" t="s">
        <v>162</v>
      </c>
    </row>
    <row r="3273" spans="9:22" x14ac:dyDescent="0.45">
      <c r="I3273" t="s">
        <v>247</v>
      </c>
      <c r="J3273" t="s">
        <v>538</v>
      </c>
      <c r="K3273">
        <v>1.1178272282120255E-2</v>
      </c>
      <c r="L3273" t="s">
        <v>162</v>
      </c>
      <c r="N3273" t="s">
        <v>359</v>
      </c>
      <c r="O3273" t="s">
        <v>538</v>
      </c>
      <c r="P3273">
        <v>9.3118339973356206E-3</v>
      </c>
      <c r="Q3273" t="s">
        <v>162</v>
      </c>
      <c r="S3273" t="s">
        <v>471</v>
      </c>
      <c r="T3273" t="s">
        <v>538</v>
      </c>
      <c r="U3273">
        <v>1.1498712388070789E-2</v>
      </c>
      <c r="V3273" t="s">
        <v>162</v>
      </c>
    </row>
    <row r="3274" spans="9:22" x14ac:dyDescent="0.45">
      <c r="I3274" t="s">
        <v>247</v>
      </c>
      <c r="J3274" t="s">
        <v>539</v>
      </c>
      <c r="K3274">
        <v>5.3800911133219352E-3</v>
      </c>
      <c r="L3274" t="s">
        <v>162</v>
      </c>
      <c r="N3274" t="s">
        <v>359</v>
      </c>
      <c r="O3274" t="s">
        <v>539</v>
      </c>
      <c r="P3274">
        <v>6.3297859785011568E-2</v>
      </c>
      <c r="Q3274" t="s">
        <v>162</v>
      </c>
      <c r="S3274" t="s">
        <v>471</v>
      </c>
      <c r="T3274" t="s">
        <v>539</v>
      </c>
      <c r="U3274">
        <v>6.7525084722281553E-2</v>
      </c>
      <c r="V3274" t="s">
        <v>162</v>
      </c>
    </row>
    <row r="3275" spans="9:22" x14ac:dyDescent="0.45">
      <c r="I3275" t="s">
        <v>247</v>
      </c>
      <c r="J3275" t="s">
        <v>540</v>
      </c>
      <c r="K3275">
        <v>2.5613827673323306E-3</v>
      </c>
      <c r="L3275" t="s">
        <v>162</v>
      </c>
      <c r="N3275" t="s">
        <v>359</v>
      </c>
      <c r="O3275" t="s">
        <v>540</v>
      </c>
      <c r="P3275">
        <v>4.2561860673298445E-2</v>
      </c>
      <c r="Q3275" t="s">
        <v>162</v>
      </c>
      <c r="S3275" t="s">
        <v>471</v>
      </c>
      <c r="T3275" t="s">
        <v>540</v>
      </c>
      <c r="U3275">
        <v>3.9936966008175569E-2</v>
      </c>
      <c r="V3275" t="s">
        <v>162</v>
      </c>
    </row>
    <row r="3276" spans="9:22" x14ac:dyDescent="0.45">
      <c r="I3276" t="s">
        <v>247</v>
      </c>
      <c r="J3276" t="s">
        <v>541</v>
      </c>
      <c r="K3276">
        <v>3.3865314851263019E-3</v>
      </c>
      <c r="L3276" t="s">
        <v>162</v>
      </c>
      <c r="N3276" t="s">
        <v>359</v>
      </c>
      <c r="O3276" t="s">
        <v>541</v>
      </c>
      <c r="P3276">
        <v>4.5828280522987874E-3</v>
      </c>
      <c r="Q3276" t="s">
        <v>162</v>
      </c>
      <c r="S3276" t="s">
        <v>471</v>
      </c>
      <c r="T3276" t="s">
        <v>541</v>
      </c>
      <c r="U3276">
        <v>4.2461630584584142E-3</v>
      </c>
      <c r="V3276" t="s">
        <v>162</v>
      </c>
    </row>
    <row r="3277" spans="9:22" x14ac:dyDescent="0.45">
      <c r="I3277" t="s">
        <v>247</v>
      </c>
      <c r="J3277" t="s">
        <v>542</v>
      </c>
      <c r="K3277">
        <v>8.7602077786283032E-3</v>
      </c>
      <c r="L3277" t="s">
        <v>162</v>
      </c>
      <c r="N3277" t="s">
        <v>359</v>
      </c>
      <c r="O3277" t="s">
        <v>542</v>
      </c>
      <c r="P3277">
        <v>8.5289029443995929E-3</v>
      </c>
      <c r="Q3277" t="s">
        <v>162</v>
      </c>
      <c r="S3277" t="s">
        <v>471</v>
      </c>
      <c r="T3277" t="s">
        <v>542</v>
      </c>
      <c r="U3277">
        <v>8.3499098010951216E-3</v>
      </c>
      <c r="V3277" t="s">
        <v>162</v>
      </c>
    </row>
    <row r="3278" spans="9:22" x14ac:dyDescent="0.45">
      <c r="I3278" t="s">
        <v>247</v>
      </c>
      <c r="J3278" t="s">
        <v>543</v>
      </c>
      <c r="K3278">
        <v>1.5366461607739135E-2</v>
      </c>
      <c r="L3278" t="s">
        <v>162</v>
      </c>
      <c r="N3278" t="s">
        <v>359</v>
      </c>
      <c r="O3278" t="s">
        <v>543</v>
      </c>
      <c r="P3278">
        <v>2.0035131691667502E-2</v>
      </c>
      <c r="Q3278" t="s">
        <v>162</v>
      </c>
      <c r="S3278" t="s">
        <v>471</v>
      </c>
      <c r="T3278" t="s">
        <v>543</v>
      </c>
      <c r="U3278">
        <v>2.100383405862162E-2</v>
      </c>
      <c r="V3278" t="s">
        <v>162</v>
      </c>
    </row>
    <row r="3279" spans="9:22" x14ac:dyDescent="0.45">
      <c r="I3279" t="s">
        <v>247</v>
      </c>
      <c r="J3279" t="s">
        <v>544</v>
      </c>
      <c r="K3279">
        <v>0</v>
      </c>
      <c r="L3279" t="s">
        <v>162</v>
      </c>
      <c r="N3279" t="s">
        <v>359</v>
      </c>
      <c r="O3279" t="s">
        <v>544</v>
      </c>
      <c r="P3279">
        <v>4.1103233799874017E-3</v>
      </c>
      <c r="Q3279" t="s">
        <v>162</v>
      </c>
      <c r="S3279" t="s">
        <v>471</v>
      </c>
      <c r="T3279" t="s">
        <v>544</v>
      </c>
      <c r="U3279">
        <v>4.43679489662581E-3</v>
      </c>
      <c r="V3279" t="s">
        <v>162</v>
      </c>
    </row>
    <row r="3280" spans="9:22" x14ac:dyDescent="0.45">
      <c r="I3280" t="s">
        <v>247</v>
      </c>
      <c r="J3280" t="s">
        <v>545</v>
      </c>
      <c r="K3280">
        <v>0</v>
      </c>
      <c r="L3280" t="s">
        <v>162</v>
      </c>
      <c r="N3280" t="s">
        <v>359</v>
      </c>
      <c r="O3280" t="s">
        <v>545</v>
      </c>
      <c r="P3280">
        <v>2.4776155686457503E-2</v>
      </c>
      <c r="Q3280" t="s">
        <v>162</v>
      </c>
      <c r="S3280" t="s">
        <v>471</v>
      </c>
      <c r="T3280" t="s">
        <v>545</v>
      </c>
      <c r="U3280">
        <v>2.6621310592254796E-2</v>
      </c>
      <c r="V3280" t="s">
        <v>162</v>
      </c>
    </row>
    <row r="3281" spans="9:22" x14ac:dyDescent="0.45">
      <c r="I3281" t="s">
        <v>247</v>
      </c>
      <c r="J3281" t="s">
        <v>546</v>
      </c>
      <c r="K3281">
        <v>1.9421210297369811E-3</v>
      </c>
      <c r="L3281" t="s">
        <v>162</v>
      </c>
      <c r="N3281" t="s">
        <v>359</v>
      </c>
      <c r="O3281" t="s">
        <v>546</v>
      </c>
      <c r="P3281">
        <v>3.8362976154641189E-2</v>
      </c>
      <c r="Q3281" t="s">
        <v>162</v>
      </c>
      <c r="S3281" t="s">
        <v>471</v>
      </c>
      <c r="T3281" t="s">
        <v>546</v>
      </c>
      <c r="U3281">
        <v>3.7447896019490223E-2</v>
      </c>
      <c r="V3281" t="s">
        <v>162</v>
      </c>
    </row>
    <row r="3282" spans="9:22" x14ac:dyDescent="0.45">
      <c r="I3282" t="s">
        <v>247</v>
      </c>
      <c r="J3282" t="s">
        <v>547</v>
      </c>
      <c r="K3282">
        <v>4.5345253486813036E-3</v>
      </c>
      <c r="L3282" t="s">
        <v>162</v>
      </c>
      <c r="N3282" t="s">
        <v>359</v>
      </c>
      <c r="O3282" t="s">
        <v>547</v>
      </c>
      <c r="P3282">
        <v>3.6453248773379338E-3</v>
      </c>
      <c r="Q3282" t="s">
        <v>162</v>
      </c>
      <c r="S3282" t="s">
        <v>471</v>
      </c>
      <c r="T3282" t="s">
        <v>547</v>
      </c>
      <c r="U3282">
        <v>4.1415672685901749E-3</v>
      </c>
      <c r="V3282" t="s">
        <v>162</v>
      </c>
    </row>
    <row r="3283" spans="9:22" x14ac:dyDescent="0.45">
      <c r="I3283" t="s">
        <v>247</v>
      </c>
      <c r="J3283" t="s">
        <v>548</v>
      </c>
      <c r="K3283">
        <v>1.3394349142771976E-2</v>
      </c>
      <c r="L3283" t="s">
        <v>162</v>
      </c>
      <c r="N3283" t="s">
        <v>359</v>
      </c>
      <c r="O3283" t="s">
        <v>548</v>
      </c>
      <c r="P3283">
        <v>6.4327403962979772E-3</v>
      </c>
      <c r="Q3283" t="s">
        <v>162</v>
      </c>
      <c r="S3283" t="s">
        <v>471</v>
      </c>
      <c r="T3283" t="s">
        <v>548</v>
      </c>
      <c r="U3283">
        <v>8.5019844463410273E-3</v>
      </c>
      <c r="V3283" t="s">
        <v>162</v>
      </c>
    </row>
    <row r="3284" spans="9:22" x14ac:dyDescent="0.45">
      <c r="I3284" t="s">
        <v>247</v>
      </c>
      <c r="J3284" t="s">
        <v>549</v>
      </c>
      <c r="K3284">
        <v>2.3082790451853557E-2</v>
      </c>
      <c r="L3284" t="s">
        <v>162</v>
      </c>
      <c r="N3284" t="s">
        <v>359</v>
      </c>
      <c r="O3284" t="s">
        <v>549</v>
      </c>
      <c r="P3284">
        <v>1.6057587006833119E-2</v>
      </c>
      <c r="Q3284" t="s">
        <v>162</v>
      </c>
      <c r="S3284" t="s">
        <v>471</v>
      </c>
      <c r="T3284" t="s">
        <v>549</v>
      </c>
      <c r="U3284">
        <v>2.2058244957956639E-2</v>
      </c>
      <c r="V3284" t="s">
        <v>162</v>
      </c>
    </row>
    <row r="3285" spans="9:22" x14ac:dyDescent="0.45">
      <c r="I3285" t="s">
        <v>247</v>
      </c>
      <c r="J3285" t="s">
        <v>550</v>
      </c>
      <c r="K3285">
        <v>0</v>
      </c>
      <c r="L3285" t="s">
        <v>162</v>
      </c>
      <c r="N3285" t="s">
        <v>359</v>
      </c>
      <c r="O3285" t="s">
        <v>550</v>
      </c>
      <c r="P3285">
        <v>3.8953506559976131E-3</v>
      </c>
      <c r="Q3285" t="s">
        <v>162</v>
      </c>
      <c r="S3285" t="s">
        <v>471</v>
      </c>
      <c r="T3285" t="s">
        <v>550</v>
      </c>
      <c r="U3285">
        <v>4.1949850627409756E-3</v>
      </c>
      <c r="V3285" t="s">
        <v>162</v>
      </c>
    </row>
    <row r="3286" spans="9:22" x14ac:dyDescent="0.45">
      <c r="I3286" t="s">
        <v>247</v>
      </c>
      <c r="J3286" t="s">
        <v>551</v>
      </c>
      <c r="K3286">
        <v>0</v>
      </c>
      <c r="L3286" t="s">
        <v>162</v>
      </c>
      <c r="N3286" t="s">
        <v>359</v>
      </c>
      <c r="O3286" t="s">
        <v>551</v>
      </c>
      <c r="P3286">
        <v>2.5367218869192604E-2</v>
      </c>
      <c r="Q3286" t="s">
        <v>162</v>
      </c>
      <c r="S3286" t="s">
        <v>471</v>
      </c>
      <c r="T3286" t="s">
        <v>551</v>
      </c>
      <c r="U3286">
        <v>2.4298649863821395E-2</v>
      </c>
      <c r="V3286" t="s">
        <v>162</v>
      </c>
    </row>
    <row r="3287" spans="9:22" x14ac:dyDescent="0.45">
      <c r="I3287" t="s">
        <v>248</v>
      </c>
      <c r="J3287" t="s">
        <v>161</v>
      </c>
      <c r="K3287">
        <v>4.0120769091440495E-4</v>
      </c>
      <c r="L3287" t="s">
        <v>162</v>
      </c>
      <c r="N3287" t="s">
        <v>360</v>
      </c>
      <c r="O3287" t="s">
        <v>161</v>
      </c>
      <c r="P3287">
        <v>3.8523025018964804E-2</v>
      </c>
      <c r="Q3287" t="s">
        <v>162</v>
      </c>
      <c r="S3287" t="s">
        <v>472</v>
      </c>
      <c r="T3287" t="s">
        <v>161</v>
      </c>
      <c r="U3287">
        <v>3.8179137773445788E-2</v>
      </c>
      <c r="V3287" t="s">
        <v>162</v>
      </c>
    </row>
    <row r="3288" spans="9:22" x14ac:dyDescent="0.45">
      <c r="I3288" t="s">
        <v>248</v>
      </c>
      <c r="J3288" t="s">
        <v>163</v>
      </c>
      <c r="K3288">
        <v>4.295094777199397E-3</v>
      </c>
      <c r="L3288" t="s">
        <v>162</v>
      </c>
      <c r="N3288" t="s">
        <v>360</v>
      </c>
      <c r="O3288" t="s">
        <v>163</v>
      </c>
      <c r="P3288">
        <v>4.7348953286406557E-3</v>
      </c>
      <c r="Q3288" t="s">
        <v>162</v>
      </c>
      <c r="S3288" t="s">
        <v>472</v>
      </c>
      <c r="T3288" t="s">
        <v>163</v>
      </c>
      <c r="U3288">
        <v>4.4147628545597433E-3</v>
      </c>
      <c r="V3288" t="s">
        <v>162</v>
      </c>
    </row>
    <row r="3289" spans="9:22" x14ac:dyDescent="0.45">
      <c r="I3289" t="s">
        <v>248</v>
      </c>
      <c r="J3289" t="s">
        <v>164</v>
      </c>
      <c r="K3289">
        <v>1.3192348075315165E-2</v>
      </c>
      <c r="L3289" t="s">
        <v>162</v>
      </c>
      <c r="N3289" t="s">
        <v>360</v>
      </c>
      <c r="O3289" t="s">
        <v>164</v>
      </c>
      <c r="P3289">
        <v>8.4462554154102129E-3</v>
      </c>
      <c r="Q3289" t="s">
        <v>162</v>
      </c>
      <c r="S3289" t="s">
        <v>472</v>
      </c>
      <c r="T3289" t="s">
        <v>164</v>
      </c>
      <c r="U3289">
        <v>8.8675758862114228E-3</v>
      </c>
      <c r="V3289" t="s">
        <v>162</v>
      </c>
    </row>
    <row r="3290" spans="9:22" x14ac:dyDescent="0.45">
      <c r="I3290" t="s">
        <v>248</v>
      </c>
      <c r="J3290" t="s">
        <v>519</v>
      </c>
      <c r="K3290">
        <v>2.9284151024093139E-2</v>
      </c>
      <c r="L3290" t="s">
        <v>162</v>
      </c>
      <c r="N3290" t="s">
        <v>360</v>
      </c>
      <c r="O3290" t="s">
        <v>519</v>
      </c>
      <c r="P3290">
        <v>1.9782194240594155E-2</v>
      </c>
      <c r="Q3290" t="s">
        <v>162</v>
      </c>
      <c r="S3290" t="s">
        <v>472</v>
      </c>
      <c r="T3290" t="s">
        <v>519</v>
      </c>
      <c r="U3290">
        <v>2.1462825988947311E-2</v>
      </c>
      <c r="V3290" t="s">
        <v>162</v>
      </c>
    </row>
    <row r="3291" spans="9:22" x14ac:dyDescent="0.45">
      <c r="I3291" t="s">
        <v>248</v>
      </c>
      <c r="J3291" t="s">
        <v>520</v>
      </c>
      <c r="K3291">
        <v>0</v>
      </c>
      <c r="L3291" t="s">
        <v>162</v>
      </c>
      <c r="N3291" t="s">
        <v>360</v>
      </c>
      <c r="O3291" t="s">
        <v>520</v>
      </c>
      <c r="P3291">
        <v>4.6720389796690558E-3</v>
      </c>
      <c r="Q3291" t="s">
        <v>162</v>
      </c>
      <c r="S3291" t="s">
        <v>472</v>
      </c>
      <c r="T3291" t="s">
        <v>520</v>
      </c>
      <c r="U3291">
        <v>3.9690549718857451E-3</v>
      </c>
      <c r="V3291" t="s">
        <v>162</v>
      </c>
    </row>
    <row r="3292" spans="9:22" x14ac:dyDescent="0.45">
      <c r="I3292" t="s">
        <v>248</v>
      </c>
      <c r="J3292" t="s">
        <v>521</v>
      </c>
      <c r="K3292">
        <v>0</v>
      </c>
      <c r="L3292" t="s">
        <v>162</v>
      </c>
      <c r="N3292" t="s">
        <v>360</v>
      </c>
      <c r="O3292" t="s">
        <v>521</v>
      </c>
      <c r="P3292">
        <v>2.3587243641545429E-2</v>
      </c>
      <c r="Q3292" t="s">
        <v>162</v>
      </c>
      <c r="S3292" t="s">
        <v>472</v>
      </c>
      <c r="T3292" t="s">
        <v>521</v>
      </c>
      <c r="U3292">
        <v>2.4529220010352234E-2</v>
      </c>
      <c r="V3292" t="s">
        <v>162</v>
      </c>
    </row>
    <row r="3293" spans="9:22" x14ac:dyDescent="0.45">
      <c r="I3293" t="s">
        <v>248</v>
      </c>
      <c r="J3293" t="s">
        <v>165</v>
      </c>
      <c r="K3293">
        <v>1.4290317872734373E-2</v>
      </c>
      <c r="L3293" t="s">
        <v>162</v>
      </c>
      <c r="N3293" t="s">
        <v>360</v>
      </c>
      <c r="O3293" t="s">
        <v>165</v>
      </c>
      <c r="P3293">
        <v>5.4252017602466479E-2</v>
      </c>
      <c r="Q3293" t="s">
        <v>162</v>
      </c>
      <c r="S3293" t="s">
        <v>472</v>
      </c>
      <c r="T3293" t="s">
        <v>165</v>
      </c>
      <c r="U3293">
        <v>6.1234799995681086E-2</v>
      </c>
      <c r="V3293" t="s">
        <v>162</v>
      </c>
    </row>
    <row r="3294" spans="9:22" x14ac:dyDescent="0.45">
      <c r="I3294" t="s">
        <v>248</v>
      </c>
      <c r="J3294" t="s">
        <v>166</v>
      </c>
      <c r="K3294">
        <v>1.467492960310356E-2</v>
      </c>
      <c r="L3294" t="s">
        <v>162</v>
      </c>
      <c r="N3294" t="s">
        <v>360</v>
      </c>
      <c r="O3294" t="s">
        <v>166</v>
      </c>
      <c r="P3294">
        <v>3.9306737881990121E-3</v>
      </c>
      <c r="Q3294" t="s">
        <v>162</v>
      </c>
      <c r="S3294" t="s">
        <v>472</v>
      </c>
      <c r="T3294" t="s">
        <v>166</v>
      </c>
      <c r="U3294">
        <v>6.6488106733491922E-3</v>
      </c>
      <c r="V3294" t="s">
        <v>162</v>
      </c>
    </row>
    <row r="3295" spans="9:22" x14ac:dyDescent="0.45">
      <c r="I3295" t="s">
        <v>248</v>
      </c>
      <c r="J3295" t="s">
        <v>167</v>
      </c>
      <c r="K3295">
        <v>3.7771132090746708E-2</v>
      </c>
      <c r="L3295" t="s">
        <v>162</v>
      </c>
      <c r="N3295" t="s">
        <v>360</v>
      </c>
      <c r="O3295" t="s">
        <v>167</v>
      </c>
      <c r="P3295">
        <v>6.996280313981881E-3</v>
      </c>
      <c r="Q3295" t="s">
        <v>162</v>
      </c>
      <c r="S3295" t="s">
        <v>472</v>
      </c>
      <c r="T3295" t="s">
        <v>167</v>
      </c>
      <c r="U3295">
        <v>1.3077958441163131E-2</v>
      </c>
      <c r="V3295" t="s">
        <v>162</v>
      </c>
    </row>
    <row r="3296" spans="9:22" x14ac:dyDescent="0.45">
      <c r="I3296" t="s">
        <v>248</v>
      </c>
      <c r="J3296" t="s">
        <v>522</v>
      </c>
      <c r="K3296">
        <v>8.8623760192843126E-2</v>
      </c>
      <c r="L3296" t="s">
        <v>162</v>
      </c>
      <c r="N3296" t="s">
        <v>360</v>
      </c>
      <c r="O3296" t="s">
        <v>522</v>
      </c>
      <c r="P3296">
        <v>2.0266293069929241E-2</v>
      </c>
      <c r="Q3296" t="s">
        <v>162</v>
      </c>
      <c r="S3296" t="s">
        <v>472</v>
      </c>
      <c r="T3296" t="s">
        <v>522</v>
      </c>
      <c r="U3296">
        <v>3.3071351559071108E-2</v>
      </c>
      <c r="V3296" t="s">
        <v>162</v>
      </c>
    </row>
    <row r="3297" spans="9:22" x14ac:dyDescent="0.45">
      <c r="I3297" t="s">
        <v>248</v>
      </c>
      <c r="J3297" t="s">
        <v>523</v>
      </c>
      <c r="K3297">
        <v>8.3573039361579046E-3</v>
      </c>
      <c r="L3297" t="s">
        <v>162</v>
      </c>
      <c r="N3297" t="s">
        <v>360</v>
      </c>
      <c r="O3297" t="s">
        <v>523</v>
      </c>
      <c r="P3297">
        <v>5.6568764869824577E-3</v>
      </c>
      <c r="Q3297" t="s">
        <v>162</v>
      </c>
      <c r="S3297" t="s">
        <v>472</v>
      </c>
      <c r="T3297" t="s">
        <v>523</v>
      </c>
      <c r="U3297">
        <v>6.8881795502981633E-3</v>
      </c>
      <c r="V3297" t="s">
        <v>162</v>
      </c>
    </row>
    <row r="3298" spans="9:22" x14ac:dyDescent="0.45">
      <c r="I3298" t="s">
        <v>248</v>
      </c>
      <c r="J3298" t="s">
        <v>524</v>
      </c>
      <c r="K3298">
        <v>1.7969074948888286E-3</v>
      </c>
      <c r="L3298" t="s">
        <v>162</v>
      </c>
      <c r="N3298" t="s">
        <v>360</v>
      </c>
      <c r="O3298" t="s">
        <v>524</v>
      </c>
      <c r="P3298">
        <v>4.1083393110520582E-2</v>
      </c>
      <c r="Q3298" t="s">
        <v>162</v>
      </c>
      <c r="S3298" t="s">
        <v>472</v>
      </c>
      <c r="T3298" t="s">
        <v>524</v>
      </c>
      <c r="U3298">
        <v>4.2157491380594575E-2</v>
      </c>
      <c r="V3298" t="s">
        <v>162</v>
      </c>
    </row>
    <row r="3299" spans="9:22" x14ac:dyDescent="0.45">
      <c r="I3299" t="s">
        <v>248</v>
      </c>
      <c r="J3299" t="s">
        <v>168</v>
      </c>
      <c r="K3299">
        <v>1.6091272328684656E-2</v>
      </c>
      <c r="L3299" t="s">
        <v>162</v>
      </c>
      <c r="N3299" t="s">
        <v>360</v>
      </c>
      <c r="O3299" t="s">
        <v>168</v>
      </c>
      <c r="P3299">
        <v>3.6382719628742032E-2</v>
      </c>
      <c r="Q3299" t="s">
        <v>162</v>
      </c>
      <c r="S3299" t="s">
        <v>472</v>
      </c>
      <c r="T3299" t="s">
        <v>168</v>
      </c>
      <c r="U3299">
        <v>3.0210426479735781E-2</v>
      </c>
      <c r="V3299" t="s">
        <v>162</v>
      </c>
    </row>
    <row r="3300" spans="9:22" x14ac:dyDescent="0.45">
      <c r="I3300" t="s">
        <v>248</v>
      </c>
      <c r="J3300" t="s">
        <v>169</v>
      </c>
      <c r="K3300">
        <v>8.8403423692258939E-3</v>
      </c>
      <c r="L3300" t="s">
        <v>162</v>
      </c>
      <c r="N3300" t="s">
        <v>360</v>
      </c>
      <c r="O3300" t="s">
        <v>169</v>
      </c>
      <c r="P3300">
        <v>3.0498927127256244E-3</v>
      </c>
      <c r="Q3300" t="s">
        <v>162</v>
      </c>
      <c r="S3300" t="s">
        <v>472</v>
      </c>
      <c r="T3300" t="s">
        <v>169</v>
      </c>
      <c r="U3300">
        <v>3.1732842837308472E-3</v>
      </c>
      <c r="V3300" t="s">
        <v>162</v>
      </c>
    </row>
    <row r="3301" spans="9:22" x14ac:dyDescent="0.45">
      <c r="I3301" t="s">
        <v>248</v>
      </c>
      <c r="J3301" t="s">
        <v>170</v>
      </c>
      <c r="K3301">
        <v>2.0647946098300313E-2</v>
      </c>
      <c r="L3301" t="s">
        <v>162</v>
      </c>
      <c r="N3301" t="s">
        <v>360</v>
      </c>
      <c r="O3301" t="s">
        <v>170</v>
      </c>
      <c r="P3301">
        <v>6.2924301160647688E-3</v>
      </c>
      <c r="Q3301" t="s">
        <v>162</v>
      </c>
      <c r="S3301" t="s">
        <v>472</v>
      </c>
      <c r="T3301" t="s">
        <v>170</v>
      </c>
      <c r="U3301">
        <v>6.2815882155266237E-3</v>
      </c>
      <c r="V3301" t="s">
        <v>162</v>
      </c>
    </row>
    <row r="3302" spans="9:22" x14ac:dyDescent="0.45">
      <c r="I3302" t="s">
        <v>248</v>
      </c>
      <c r="J3302" t="s">
        <v>525</v>
      </c>
      <c r="K3302">
        <v>5.0489232191758583E-2</v>
      </c>
      <c r="L3302" t="s">
        <v>162</v>
      </c>
      <c r="N3302" t="s">
        <v>360</v>
      </c>
      <c r="O3302" t="s">
        <v>525</v>
      </c>
      <c r="P3302">
        <v>1.7284958262982524E-2</v>
      </c>
      <c r="Q3302" t="s">
        <v>162</v>
      </c>
      <c r="S3302" t="s">
        <v>472</v>
      </c>
      <c r="T3302" t="s">
        <v>525</v>
      </c>
      <c r="U3302">
        <v>1.6445079199447935E-2</v>
      </c>
      <c r="V3302" t="s">
        <v>162</v>
      </c>
    </row>
    <row r="3303" spans="9:22" x14ac:dyDescent="0.45">
      <c r="I3303" t="s">
        <v>248</v>
      </c>
      <c r="J3303" t="s">
        <v>526</v>
      </c>
      <c r="K3303">
        <v>6.6289596091473821E-3</v>
      </c>
      <c r="L3303" t="s">
        <v>162</v>
      </c>
      <c r="N3303" t="s">
        <v>360</v>
      </c>
      <c r="O3303" t="s">
        <v>526</v>
      </c>
      <c r="P3303">
        <v>3.2681861419694099E-3</v>
      </c>
      <c r="Q3303" t="s">
        <v>162</v>
      </c>
      <c r="S3303" t="s">
        <v>472</v>
      </c>
      <c r="T3303" t="s">
        <v>526</v>
      </c>
      <c r="U3303">
        <v>3.2532379207038478E-3</v>
      </c>
      <c r="V3303" t="s">
        <v>162</v>
      </c>
    </row>
    <row r="3304" spans="9:22" x14ac:dyDescent="0.45">
      <c r="I3304" t="s">
        <v>248</v>
      </c>
      <c r="J3304" t="s">
        <v>527</v>
      </c>
      <c r="K3304">
        <v>5.4773029362644087E-3</v>
      </c>
      <c r="L3304" t="s">
        <v>162</v>
      </c>
      <c r="N3304" t="s">
        <v>360</v>
      </c>
      <c r="O3304" t="s">
        <v>527</v>
      </c>
      <c r="P3304">
        <v>2.5660331358459933E-2</v>
      </c>
      <c r="Q3304" t="s">
        <v>162</v>
      </c>
      <c r="S3304" t="s">
        <v>472</v>
      </c>
      <c r="T3304" t="s">
        <v>527</v>
      </c>
      <c r="U3304">
        <v>1.9332030960174506E-2</v>
      </c>
      <c r="V3304" t="s">
        <v>162</v>
      </c>
    </row>
    <row r="3305" spans="9:22" x14ac:dyDescent="0.45">
      <c r="I3305" t="s">
        <v>248</v>
      </c>
      <c r="J3305" t="s">
        <v>528</v>
      </c>
      <c r="K3305">
        <v>7.0275931083711871E-2</v>
      </c>
      <c r="L3305" t="s">
        <v>162</v>
      </c>
      <c r="N3305" t="s">
        <v>360</v>
      </c>
      <c r="O3305" t="s">
        <v>528</v>
      </c>
      <c r="P3305">
        <v>9.3913704132638609E-2</v>
      </c>
      <c r="Q3305" t="s">
        <v>162</v>
      </c>
      <c r="S3305" t="s">
        <v>472</v>
      </c>
      <c r="T3305" t="s">
        <v>528</v>
      </c>
      <c r="U3305">
        <v>7.7606927653851063E-2</v>
      </c>
      <c r="V3305" t="s">
        <v>162</v>
      </c>
    </row>
    <row r="3306" spans="9:22" x14ac:dyDescent="0.45">
      <c r="I3306" t="s">
        <v>248</v>
      </c>
      <c r="J3306" t="s">
        <v>529</v>
      </c>
      <c r="K3306">
        <v>2.8701509034817215E-2</v>
      </c>
      <c r="L3306" t="s">
        <v>162</v>
      </c>
      <c r="N3306" t="s">
        <v>360</v>
      </c>
      <c r="O3306" t="s">
        <v>529</v>
      </c>
      <c r="P3306">
        <v>8.6632181868600781E-3</v>
      </c>
      <c r="Q3306" t="s">
        <v>162</v>
      </c>
      <c r="S3306" t="s">
        <v>472</v>
      </c>
      <c r="T3306" t="s">
        <v>529</v>
      </c>
      <c r="U3306">
        <v>8.1695268724639829E-3</v>
      </c>
      <c r="V3306" t="s">
        <v>162</v>
      </c>
    </row>
    <row r="3307" spans="9:22" x14ac:dyDescent="0.45">
      <c r="I3307" t="s">
        <v>248</v>
      </c>
      <c r="J3307" t="s">
        <v>530</v>
      </c>
      <c r="K3307">
        <v>6.2616807948782841E-2</v>
      </c>
      <c r="L3307" t="s">
        <v>162</v>
      </c>
      <c r="N3307" t="s">
        <v>360</v>
      </c>
      <c r="O3307" t="s">
        <v>530</v>
      </c>
      <c r="P3307">
        <v>1.9428570821540519E-2</v>
      </c>
      <c r="Q3307" t="s">
        <v>162</v>
      </c>
      <c r="S3307" t="s">
        <v>472</v>
      </c>
      <c r="T3307" t="s">
        <v>530</v>
      </c>
      <c r="U3307">
        <v>1.5915542370813576E-2</v>
      </c>
      <c r="V3307" t="s">
        <v>162</v>
      </c>
    </row>
    <row r="3308" spans="9:22" x14ac:dyDescent="0.45">
      <c r="I3308" t="s">
        <v>248</v>
      </c>
      <c r="J3308" t="s">
        <v>531</v>
      </c>
      <c r="K3308">
        <v>0.14501894037252444</v>
      </c>
      <c r="L3308" t="s">
        <v>162</v>
      </c>
      <c r="N3308" t="s">
        <v>360</v>
      </c>
      <c r="O3308" t="s">
        <v>531</v>
      </c>
      <c r="P3308">
        <v>4.9238072666101099E-2</v>
      </c>
      <c r="Q3308" t="s">
        <v>162</v>
      </c>
      <c r="S3308" t="s">
        <v>472</v>
      </c>
      <c r="T3308" t="s">
        <v>531</v>
      </c>
      <c r="U3308">
        <v>3.7824733520194644E-2</v>
      </c>
      <c r="V3308" t="s">
        <v>162</v>
      </c>
    </row>
    <row r="3309" spans="9:22" x14ac:dyDescent="0.45">
      <c r="I3309" t="s">
        <v>248</v>
      </c>
      <c r="J3309" t="s">
        <v>532</v>
      </c>
      <c r="K3309">
        <v>2.1653037837811914E-2</v>
      </c>
      <c r="L3309" t="s">
        <v>162</v>
      </c>
      <c r="N3309" t="s">
        <v>360</v>
      </c>
      <c r="O3309" t="s">
        <v>532</v>
      </c>
      <c r="P3309">
        <v>8.5082536651450054E-3</v>
      </c>
      <c r="Q3309" t="s">
        <v>162</v>
      </c>
      <c r="S3309" t="s">
        <v>472</v>
      </c>
      <c r="T3309" t="s">
        <v>532</v>
      </c>
      <c r="U3309">
        <v>6.9375131502506472E-3</v>
      </c>
      <c r="V3309" t="s">
        <v>162</v>
      </c>
    </row>
    <row r="3310" spans="9:22" x14ac:dyDescent="0.45">
      <c r="I3310" t="s">
        <v>248</v>
      </c>
      <c r="J3310" t="s">
        <v>533</v>
      </c>
      <c r="K3310">
        <v>2.9392875672139655E-2</v>
      </c>
      <c r="L3310" t="s">
        <v>162</v>
      </c>
      <c r="N3310" t="s">
        <v>360</v>
      </c>
      <c r="O3310" t="s">
        <v>533</v>
      </c>
      <c r="P3310">
        <v>6.4613334475352627E-2</v>
      </c>
      <c r="Q3310" t="s">
        <v>162</v>
      </c>
      <c r="S3310" t="s">
        <v>472</v>
      </c>
      <c r="T3310" t="s">
        <v>533</v>
      </c>
      <c r="U3310">
        <v>4.4848544190209866E-2</v>
      </c>
      <c r="V3310" t="s">
        <v>162</v>
      </c>
    </row>
    <row r="3311" spans="9:22" x14ac:dyDescent="0.45">
      <c r="I3311" t="s">
        <v>248</v>
      </c>
      <c r="J3311" t="s">
        <v>534</v>
      </c>
      <c r="K3311">
        <v>4.0765935921200112E-2</v>
      </c>
      <c r="L3311" t="s">
        <v>162</v>
      </c>
      <c r="N3311" t="s">
        <v>360</v>
      </c>
      <c r="O3311" t="s">
        <v>534</v>
      </c>
      <c r="P3311">
        <v>8.7472098883159544E-2</v>
      </c>
      <c r="Q3311" t="s">
        <v>162</v>
      </c>
      <c r="S3311" t="s">
        <v>472</v>
      </c>
      <c r="T3311" t="s">
        <v>534</v>
      </c>
      <c r="U3311">
        <v>9.6695560617732546E-2</v>
      </c>
      <c r="V3311" t="s">
        <v>162</v>
      </c>
    </row>
    <row r="3312" spans="9:22" x14ac:dyDescent="0.45">
      <c r="I3312" t="s">
        <v>248</v>
      </c>
      <c r="J3312" t="s">
        <v>535</v>
      </c>
      <c r="K3312">
        <v>2.3292505330773212E-2</v>
      </c>
      <c r="L3312" t="s">
        <v>162</v>
      </c>
      <c r="N3312" t="s">
        <v>360</v>
      </c>
      <c r="O3312" t="s">
        <v>535</v>
      </c>
      <c r="P3312">
        <v>7.7961811868060508E-3</v>
      </c>
      <c r="Q3312" t="s">
        <v>162</v>
      </c>
      <c r="S3312" t="s">
        <v>472</v>
      </c>
      <c r="T3312" t="s">
        <v>535</v>
      </c>
      <c r="U3312">
        <v>1.0470446660956664E-2</v>
      </c>
      <c r="V3312" t="s">
        <v>162</v>
      </c>
    </row>
    <row r="3313" spans="9:22" x14ac:dyDescent="0.45">
      <c r="I3313" t="s">
        <v>248</v>
      </c>
      <c r="J3313" t="s">
        <v>536</v>
      </c>
      <c r="K3313">
        <v>4.9929183453079277E-2</v>
      </c>
      <c r="L3313" t="s">
        <v>162</v>
      </c>
      <c r="N3313" t="s">
        <v>360</v>
      </c>
      <c r="O3313" t="s">
        <v>536</v>
      </c>
      <c r="P3313">
        <v>1.6709726326115618E-2</v>
      </c>
      <c r="Q3313" t="s">
        <v>162</v>
      </c>
      <c r="S3313" t="s">
        <v>472</v>
      </c>
      <c r="T3313" t="s">
        <v>536</v>
      </c>
      <c r="U3313">
        <v>2.039399147989214E-2</v>
      </c>
      <c r="V3313" t="s">
        <v>162</v>
      </c>
    </row>
    <row r="3314" spans="9:22" x14ac:dyDescent="0.45">
      <c r="I3314" t="s">
        <v>248</v>
      </c>
      <c r="J3314" t="s">
        <v>537</v>
      </c>
      <c r="K3314">
        <v>0.10972911721804736</v>
      </c>
      <c r="L3314" t="s">
        <v>162</v>
      </c>
      <c r="N3314" t="s">
        <v>360</v>
      </c>
      <c r="O3314" t="s">
        <v>537</v>
      </c>
      <c r="P3314">
        <v>4.6612152726896186E-2</v>
      </c>
      <c r="Q3314" t="s">
        <v>162</v>
      </c>
      <c r="S3314" t="s">
        <v>472</v>
      </c>
      <c r="T3314" t="s">
        <v>537</v>
      </c>
      <c r="U3314">
        <v>4.8010646753627484E-2</v>
      </c>
      <c r="V3314" t="s">
        <v>162</v>
      </c>
    </row>
    <row r="3315" spans="9:22" x14ac:dyDescent="0.45">
      <c r="I3315" t="s">
        <v>248</v>
      </c>
      <c r="J3315" t="s">
        <v>538</v>
      </c>
      <c r="K3315">
        <v>1.2832750543910724E-2</v>
      </c>
      <c r="L3315" t="s">
        <v>162</v>
      </c>
      <c r="N3315" t="s">
        <v>360</v>
      </c>
      <c r="O3315" t="s">
        <v>538</v>
      </c>
      <c r="P3315">
        <v>9.8633060745380915E-3</v>
      </c>
      <c r="Q3315" t="s">
        <v>162</v>
      </c>
      <c r="S3315" t="s">
        <v>472</v>
      </c>
      <c r="T3315" t="s">
        <v>538</v>
      </c>
      <c r="U3315">
        <v>8.7609367246895033E-3</v>
      </c>
      <c r="V3315" t="s">
        <v>162</v>
      </c>
    </row>
    <row r="3316" spans="9:22" x14ac:dyDescent="0.45">
      <c r="I3316" t="s">
        <v>248</v>
      </c>
      <c r="J3316" t="s">
        <v>539</v>
      </c>
      <c r="K3316">
        <v>8.6708681901385091E-3</v>
      </c>
      <c r="L3316" t="s">
        <v>162</v>
      </c>
      <c r="N3316" t="s">
        <v>360</v>
      </c>
      <c r="O3316" t="s">
        <v>539</v>
      </c>
      <c r="P3316">
        <v>6.8015525706612415E-2</v>
      </c>
      <c r="Q3316" t="s">
        <v>162</v>
      </c>
      <c r="S3316" t="s">
        <v>472</v>
      </c>
      <c r="T3316" t="s">
        <v>539</v>
      </c>
      <c r="U3316">
        <v>5.8098650988294719E-2</v>
      </c>
      <c r="V3316" t="s">
        <v>162</v>
      </c>
    </row>
    <row r="3317" spans="9:22" x14ac:dyDescent="0.45">
      <c r="I3317" t="s">
        <v>248</v>
      </c>
      <c r="J3317" t="s">
        <v>540</v>
      </c>
      <c r="K3317">
        <v>1.8488018687166984E-3</v>
      </c>
      <c r="L3317" t="s">
        <v>162</v>
      </c>
      <c r="N3317" t="s">
        <v>360</v>
      </c>
      <c r="O3317" t="s">
        <v>540</v>
      </c>
      <c r="P3317">
        <v>4.146883897884969E-2</v>
      </c>
      <c r="Q3317" t="s">
        <v>162</v>
      </c>
      <c r="S3317" t="s">
        <v>472</v>
      </c>
      <c r="T3317" t="s">
        <v>540</v>
      </c>
      <c r="U3317">
        <v>3.921533019307933E-2</v>
      </c>
      <c r="V3317" t="s">
        <v>162</v>
      </c>
    </row>
    <row r="3318" spans="9:22" x14ac:dyDescent="0.45">
      <c r="I3318" t="s">
        <v>248</v>
      </c>
      <c r="J3318" t="s">
        <v>541</v>
      </c>
      <c r="K3318">
        <v>3.3377511255121015E-3</v>
      </c>
      <c r="L3318" t="s">
        <v>162</v>
      </c>
      <c r="N3318" t="s">
        <v>360</v>
      </c>
      <c r="O3318" t="s">
        <v>541</v>
      </c>
      <c r="P3318">
        <v>4.6236482433922692E-3</v>
      </c>
      <c r="Q3318" t="s">
        <v>162</v>
      </c>
      <c r="S3318" t="s">
        <v>472</v>
      </c>
      <c r="T3318" t="s">
        <v>541</v>
      </c>
      <c r="U3318">
        <v>4.2656570420567782E-3</v>
      </c>
      <c r="V3318" t="s">
        <v>162</v>
      </c>
    </row>
    <row r="3319" spans="9:22" x14ac:dyDescent="0.45">
      <c r="I3319" t="s">
        <v>248</v>
      </c>
      <c r="J3319" t="s">
        <v>542</v>
      </c>
      <c r="K3319">
        <v>9.1326133528766389E-3</v>
      </c>
      <c r="L3319" t="s">
        <v>162</v>
      </c>
      <c r="N3319" t="s">
        <v>360</v>
      </c>
      <c r="O3319" t="s">
        <v>542</v>
      </c>
      <c r="P3319">
        <v>8.679154704232285E-3</v>
      </c>
      <c r="Q3319" t="s">
        <v>162</v>
      </c>
      <c r="S3319" t="s">
        <v>472</v>
      </c>
      <c r="T3319" t="s">
        <v>542</v>
      </c>
      <c r="U3319">
        <v>8.584630942074175E-3</v>
      </c>
      <c r="V3319" t="s">
        <v>162</v>
      </c>
    </row>
    <row r="3320" spans="9:22" x14ac:dyDescent="0.45">
      <c r="I3320" t="s">
        <v>248</v>
      </c>
      <c r="J3320" t="s">
        <v>543</v>
      </c>
      <c r="K3320">
        <v>1.8663808497010645E-2</v>
      </c>
      <c r="L3320" t="s">
        <v>162</v>
      </c>
      <c r="N3320" t="s">
        <v>360</v>
      </c>
      <c r="O3320" t="s">
        <v>543</v>
      </c>
      <c r="P3320">
        <v>2.232232831303781E-2</v>
      </c>
      <c r="Q3320" t="s">
        <v>162</v>
      </c>
      <c r="S3320" t="s">
        <v>472</v>
      </c>
      <c r="T3320" t="s">
        <v>543</v>
      </c>
      <c r="U3320">
        <v>2.1660435229735205E-2</v>
      </c>
      <c r="V3320" t="s">
        <v>162</v>
      </c>
    </row>
    <row r="3321" spans="9:22" x14ac:dyDescent="0.45">
      <c r="I3321" t="s">
        <v>248</v>
      </c>
      <c r="J3321" t="s">
        <v>544</v>
      </c>
      <c r="K3321">
        <v>0</v>
      </c>
      <c r="L3321" t="s">
        <v>162</v>
      </c>
      <c r="N3321" t="s">
        <v>360</v>
      </c>
      <c r="O3321" t="s">
        <v>544</v>
      </c>
      <c r="P3321">
        <v>4.7087777672634081E-3</v>
      </c>
      <c r="Q3321" t="s">
        <v>162</v>
      </c>
      <c r="S3321" t="s">
        <v>472</v>
      </c>
      <c r="T3321" t="s">
        <v>544</v>
      </c>
      <c r="U3321">
        <v>4.386593335656907E-3</v>
      </c>
      <c r="V3321" t="s">
        <v>162</v>
      </c>
    </row>
    <row r="3322" spans="9:22" x14ac:dyDescent="0.45">
      <c r="I3322" t="s">
        <v>248</v>
      </c>
      <c r="J3322" t="s">
        <v>545</v>
      </c>
      <c r="K3322">
        <v>0</v>
      </c>
      <c r="L3322" t="s">
        <v>162</v>
      </c>
      <c r="N3322" t="s">
        <v>360</v>
      </c>
      <c r="O3322" t="s">
        <v>545</v>
      </c>
      <c r="P3322">
        <v>2.657499277282007E-2</v>
      </c>
      <c r="Q3322" t="s">
        <v>162</v>
      </c>
      <c r="S3322" t="s">
        <v>472</v>
      </c>
      <c r="T3322" t="s">
        <v>545</v>
      </c>
      <c r="U3322">
        <v>2.7689437049302386E-2</v>
      </c>
      <c r="V3322" t="s">
        <v>162</v>
      </c>
    </row>
    <row r="3323" spans="9:22" x14ac:dyDescent="0.45">
      <c r="I3323" t="s">
        <v>248</v>
      </c>
      <c r="J3323" t="s">
        <v>546</v>
      </c>
      <c r="K3323">
        <v>2.3838623371434507E-4</v>
      </c>
      <c r="L3323" t="s">
        <v>162</v>
      </c>
      <c r="N3323" t="s">
        <v>360</v>
      </c>
      <c r="O3323" t="s">
        <v>546</v>
      </c>
      <c r="P3323">
        <v>3.6609598355168395E-2</v>
      </c>
      <c r="Q3323" t="s">
        <v>162</v>
      </c>
      <c r="S3323" t="s">
        <v>472</v>
      </c>
      <c r="T3323" t="s">
        <v>546</v>
      </c>
      <c r="U3323">
        <v>4.4792233539489322E-2</v>
      </c>
      <c r="V3323" t="s">
        <v>162</v>
      </c>
    </row>
    <row r="3324" spans="9:22" x14ac:dyDescent="0.45">
      <c r="I3324" t="s">
        <v>248</v>
      </c>
      <c r="J3324" t="s">
        <v>547</v>
      </c>
      <c r="K3324">
        <v>4.5583832496049592E-3</v>
      </c>
      <c r="L3324" t="s">
        <v>162</v>
      </c>
      <c r="N3324" t="s">
        <v>360</v>
      </c>
      <c r="O3324" t="s">
        <v>547</v>
      </c>
      <c r="P3324">
        <v>3.6327518566145632E-3</v>
      </c>
      <c r="Q3324" t="s">
        <v>162</v>
      </c>
      <c r="S3324" t="s">
        <v>472</v>
      </c>
      <c r="T3324" t="s">
        <v>547</v>
      </c>
      <c r="U3324">
        <v>5.0644429129174297E-3</v>
      </c>
      <c r="V3324" t="s">
        <v>162</v>
      </c>
    </row>
    <row r="3325" spans="9:22" x14ac:dyDescent="0.45">
      <c r="I3325" t="s">
        <v>248</v>
      </c>
      <c r="J3325" t="s">
        <v>548</v>
      </c>
      <c r="K3325">
        <v>1.4139251144485504E-2</v>
      </c>
      <c r="L3325" t="s">
        <v>162</v>
      </c>
      <c r="N3325" t="s">
        <v>360</v>
      </c>
      <c r="O3325" t="s">
        <v>548</v>
      </c>
      <c r="P3325">
        <v>5.6472234799966672E-3</v>
      </c>
      <c r="Q3325" t="s">
        <v>162</v>
      </c>
      <c r="S3325" t="s">
        <v>472</v>
      </c>
      <c r="T3325" t="s">
        <v>548</v>
      </c>
      <c r="U3325">
        <v>1.0114620900396828E-2</v>
      </c>
      <c r="V3325" t="s">
        <v>162</v>
      </c>
    </row>
    <row r="3326" spans="9:22" x14ac:dyDescent="0.45">
      <c r="I3326" t="s">
        <v>248</v>
      </c>
      <c r="J3326" t="s">
        <v>549</v>
      </c>
      <c r="K3326">
        <v>2.4339333629761668E-2</v>
      </c>
      <c r="L3326" t="s">
        <v>162</v>
      </c>
      <c r="N3326" t="s">
        <v>360</v>
      </c>
      <c r="O3326" t="s">
        <v>549</v>
      </c>
      <c r="P3326">
        <v>1.459229797423282E-2</v>
      </c>
      <c r="Q3326" t="s">
        <v>162</v>
      </c>
      <c r="S3326" t="s">
        <v>472</v>
      </c>
      <c r="T3326" t="s">
        <v>549</v>
      </c>
      <c r="U3326">
        <v>2.4454595157685936E-2</v>
      </c>
      <c r="V3326" t="s">
        <v>162</v>
      </c>
    </row>
    <row r="3327" spans="9:22" x14ac:dyDescent="0.45">
      <c r="I3327" t="s">
        <v>248</v>
      </c>
      <c r="J3327" t="s">
        <v>550</v>
      </c>
      <c r="K3327">
        <v>0</v>
      </c>
      <c r="L3327" t="s">
        <v>162</v>
      </c>
      <c r="N3327" t="s">
        <v>360</v>
      </c>
      <c r="O3327" t="s">
        <v>550</v>
      </c>
      <c r="P3327">
        <v>3.7303748669472634E-3</v>
      </c>
      <c r="Q3327" t="s">
        <v>162</v>
      </c>
      <c r="S3327" t="s">
        <v>472</v>
      </c>
      <c r="T3327" t="s">
        <v>550</v>
      </c>
      <c r="U3327">
        <v>4.7627833565181939E-3</v>
      </c>
      <c r="V3327" t="s">
        <v>162</v>
      </c>
    </row>
    <row r="3328" spans="9:22" x14ac:dyDescent="0.45">
      <c r="I3328" t="s">
        <v>248</v>
      </c>
      <c r="J3328" t="s">
        <v>551</v>
      </c>
      <c r="K3328">
        <v>0</v>
      </c>
      <c r="L3328" t="s">
        <v>162</v>
      </c>
      <c r="N3328" t="s">
        <v>360</v>
      </c>
      <c r="O3328" t="s">
        <v>551</v>
      </c>
      <c r="P3328">
        <v>2.2706162617827676E-2</v>
      </c>
      <c r="Q3328" t="s">
        <v>162</v>
      </c>
      <c r="S3328" t="s">
        <v>472</v>
      </c>
      <c r="T3328" t="s">
        <v>551</v>
      </c>
      <c r="U3328">
        <v>2.8079403213231702E-2</v>
      </c>
      <c r="V3328" t="s">
        <v>162</v>
      </c>
    </row>
    <row r="3329" spans="9:22" x14ac:dyDescent="0.45">
      <c r="I3329" t="s">
        <v>249</v>
      </c>
      <c r="J3329" t="s">
        <v>161</v>
      </c>
      <c r="K3329">
        <v>8.0849111548105587E-4</v>
      </c>
      <c r="L3329" t="s">
        <v>162</v>
      </c>
      <c r="N3329" t="s">
        <v>361</v>
      </c>
      <c r="O3329" t="s">
        <v>161</v>
      </c>
      <c r="P3329">
        <v>4.2733768566138211E-2</v>
      </c>
      <c r="Q3329" t="s">
        <v>162</v>
      </c>
      <c r="S3329" t="s">
        <v>473</v>
      </c>
      <c r="T3329" t="s">
        <v>161</v>
      </c>
      <c r="U3329">
        <v>4.1929237151017699E-2</v>
      </c>
      <c r="V3329" t="s">
        <v>162</v>
      </c>
    </row>
    <row r="3330" spans="9:22" x14ac:dyDescent="0.45">
      <c r="I3330" t="s">
        <v>249</v>
      </c>
      <c r="J3330" t="s">
        <v>163</v>
      </c>
      <c r="K3330">
        <v>4.8580705731857601E-3</v>
      </c>
      <c r="L3330" t="s">
        <v>162</v>
      </c>
      <c r="N3330" t="s">
        <v>361</v>
      </c>
      <c r="O3330" t="s">
        <v>163</v>
      </c>
      <c r="P3330">
        <v>4.6114911774541804E-3</v>
      </c>
      <c r="Q3330" t="s">
        <v>162</v>
      </c>
      <c r="S3330" t="s">
        <v>473</v>
      </c>
      <c r="T3330" t="s">
        <v>163</v>
      </c>
      <c r="U3330">
        <v>4.7644235946257473E-3</v>
      </c>
      <c r="V3330" t="s">
        <v>162</v>
      </c>
    </row>
    <row r="3331" spans="9:22" x14ac:dyDescent="0.45">
      <c r="I3331" t="s">
        <v>249</v>
      </c>
      <c r="J3331" t="s">
        <v>164</v>
      </c>
      <c r="K3331">
        <v>1.3933209742474679E-2</v>
      </c>
      <c r="L3331" t="s">
        <v>162</v>
      </c>
      <c r="N3331" t="s">
        <v>361</v>
      </c>
      <c r="O3331" t="s">
        <v>164</v>
      </c>
      <c r="P3331">
        <v>8.2550606878632402E-3</v>
      </c>
      <c r="Q3331" t="s">
        <v>162</v>
      </c>
      <c r="S3331" t="s">
        <v>473</v>
      </c>
      <c r="T3331" t="s">
        <v>164</v>
      </c>
      <c r="U3331">
        <v>9.5101543019413606E-3</v>
      </c>
      <c r="V3331" t="s">
        <v>162</v>
      </c>
    </row>
    <row r="3332" spans="9:22" x14ac:dyDescent="0.45">
      <c r="I3332" t="s">
        <v>249</v>
      </c>
      <c r="J3332" t="s">
        <v>519</v>
      </c>
      <c r="K3332">
        <v>2.9112186998252052E-2</v>
      </c>
      <c r="L3332" t="s">
        <v>162</v>
      </c>
      <c r="N3332" t="s">
        <v>361</v>
      </c>
      <c r="O3332" t="s">
        <v>519</v>
      </c>
      <c r="P3332">
        <v>1.7770397749003818E-2</v>
      </c>
      <c r="Q3332" t="s">
        <v>162</v>
      </c>
      <c r="S3332" t="s">
        <v>473</v>
      </c>
      <c r="T3332" t="s">
        <v>519</v>
      </c>
      <c r="U3332">
        <v>2.4374009227107505E-2</v>
      </c>
      <c r="V3332" t="s">
        <v>162</v>
      </c>
    </row>
    <row r="3333" spans="9:22" x14ac:dyDescent="0.45">
      <c r="I3333" t="s">
        <v>249</v>
      </c>
      <c r="J3333" t="s">
        <v>520</v>
      </c>
      <c r="K3333">
        <v>0</v>
      </c>
      <c r="L3333" t="s">
        <v>162</v>
      </c>
      <c r="N3333" t="s">
        <v>361</v>
      </c>
      <c r="O3333" t="s">
        <v>520</v>
      </c>
      <c r="P3333">
        <v>3.714482223790391E-3</v>
      </c>
      <c r="Q3333" t="s">
        <v>162</v>
      </c>
      <c r="S3333" t="s">
        <v>473</v>
      </c>
      <c r="T3333" t="s">
        <v>520</v>
      </c>
      <c r="U3333">
        <v>4.7725949065691338E-3</v>
      </c>
      <c r="V3333" t="s">
        <v>162</v>
      </c>
    </row>
    <row r="3334" spans="9:22" x14ac:dyDescent="0.45">
      <c r="I3334" t="s">
        <v>249</v>
      </c>
      <c r="J3334" t="s">
        <v>521</v>
      </c>
      <c r="K3334">
        <v>0</v>
      </c>
      <c r="L3334" t="s">
        <v>162</v>
      </c>
      <c r="N3334" t="s">
        <v>361</v>
      </c>
      <c r="O3334" t="s">
        <v>521</v>
      </c>
      <c r="P3334">
        <v>2.4127519897617161E-2</v>
      </c>
      <c r="Q3334" t="s">
        <v>162</v>
      </c>
      <c r="S3334" t="s">
        <v>473</v>
      </c>
      <c r="T3334" t="s">
        <v>521</v>
      </c>
      <c r="U3334">
        <v>2.7778529074927533E-2</v>
      </c>
      <c r="V3334" t="s">
        <v>162</v>
      </c>
    </row>
    <row r="3335" spans="9:22" x14ac:dyDescent="0.45">
      <c r="I3335" t="s">
        <v>249</v>
      </c>
      <c r="J3335" t="s">
        <v>165</v>
      </c>
      <c r="K3335">
        <v>1.2731245488056216E-2</v>
      </c>
      <c r="L3335" t="s">
        <v>162</v>
      </c>
      <c r="N3335" t="s">
        <v>361</v>
      </c>
      <c r="O3335" t="s">
        <v>165</v>
      </c>
      <c r="P3335">
        <v>5.2909007280786569E-2</v>
      </c>
      <c r="Q3335" t="s">
        <v>162</v>
      </c>
      <c r="S3335" t="s">
        <v>473</v>
      </c>
      <c r="T3335" t="s">
        <v>165</v>
      </c>
      <c r="U3335">
        <v>5.5245810662202841E-2</v>
      </c>
      <c r="V3335" t="s">
        <v>162</v>
      </c>
    </row>
    <row r="3336" spans="9:22" x14ac:dyDescent="0.45">
      <c r="I3336" t="s">
        <v>249</v>
      </c>
      <c r="J3336" t="s">
        <v>166</v>
      </c>
      <c r="K3336">
        <v>1.3703976056365946E-2</v>
      </c>
      <c r="L3336" t="s">
        <v>162</v>
      </c>
      <c r="N3336" t="s">
        <v>361</v>
      </c>
      <c r="O3336" t="s">
        <v>166</v>
      </c>
      <c r="P3336">
        <v>4.920351918455643E-3</v>
      </c>
      <c r="Q3336" t="s">
        <v>162</v>
      </c>
      <c r="S3336" t="s">
        <v>473</v>
      </c>
      <c r="T3336" t="s">
        <v>166</v>
      </c>
      <c r="U3336">
        <v>5.9819060852803734E-3</v>
      </c>
      <c r="V3336" t="s">
        <v>162</v>
      </c>
    </row>
    <row r="3337" spans="9:22" x14ac:dyDescent="0.45">
      <c r="I3337" t="s">
        <v>249</v>
      </c>
      <c r="J3337" t="s">
        <v>167</v>
      </c>
      <c r="K3337">
        <v>3.5611754239512516E-2</v>
      </c>
      <c r="L3337" t="s">
        <v>162</v>
      </c>
      <c r="N3337" t="s">
        <v>361</v>
      </c>
      <c r="O3337" t="s">
        <v>167</v>
      </c>
      <c r="P3337">
        <v>8.9717696479847883E-3</v>
      </c>
      <c r="Q3337" t="s">
        <v>162</v>
      </c>
      <c r="S3337" t="s">
        <v>473</v>
      </c>
      <c r="T3337" t="s">
        <v>167</v>
      </c>
      <c r="U3337">
        <v>1.189946655116062E-2</v>
      </c>
      <c r="V3337" t="s">
        <v>162</v>
      </c>
    </row>
    <row r="3338" spans="9:22" x14ac:dyDescent="0.45">
      <c r="I3338" t="s">
        <v>249</v>
      </c>
      <c r="J3338" t="s">
        <v>522</v>
      </c>
      <c r="K3338">
        <v>8.34052458666278E-2</v>
      </c>
      <c r="L3338" t="s">
        <v>162</v>
      </c>
      <c r="N3338" t="s">
        <v>361</v>
      </c>
      <c r="O3338" t="s">
        <v>522</v>
      </c>
      <c r="P3338">
        <v>2.4965513896891594E-2</v>
      </c>
      <c r="Q3338" t="s">
        <v>162</v>
      </c>
      <c r="S3338" t="s">
        <v>473</v>
      </c>
      <c r="T3338" t="s">
        <v>522</v>
      </c>
      <c r="U3338">
        <v>3.0435322479455063E-2</v>
      </c>
      <c r="V3338" t="s">
        <v>162</v>
      </c>
    </row>
    <row r="3339" spans="9:22" x14ac:dyDescent="0.45">
      <c r="I3339" t="s">
        <v>249</v>
      </c>
      <c r="J3339" t="s">
        <v>523</v>
      </c>
      <c r="K3339">
        <v>6.280817191940887E-3</v>
      </c>
      <c r="L3339" t="s">
        <v>162</v>
      </c>
      <c r="N3339" t="s">
        <v>361</v>
      </c>
      <c r="O3339" t="s">
        <v>523</v>
      </c>
      <c r="P3339">
        <v>6.3520600441203823E-3</v>
      </c>
      <c r="Q3339" t="s">
        <v>162</v>
      </c>
      <c r="S3339" t="s">
        <v>473</v>
      </c>
      <c r="T3339" t="s">
        <v>523</v>
      </c>
      <c r="U3339">
        <v>6.3596512279189225E-3</v>
      </c>
      <c r="V3339" t="s">
        <v>162</v>
      </c>
    </row>
    <row r="3340" spans="9:22" x14ac:dyDescent="0.45">
      <c r="I3340" t="s">
        <v>249</v>
      </c>
      <c r="J3340" t="s">
        <v>524</v>
      </c>
      <c r="K3340">
        <v>1.3209787407553527E-3</v>
      </c>
      <c r="L3340" t="s">
        <v>162</v>
      </c>
      <c r="N3340" t="s">
        <v>361</v>
      </c>
      <c r="O3340" t="s">
        <v>524</v>
      </c>
      <c r="P3340">
        <v>4.1593476537242796E-2</v>
      </c>
      <c r="Q3340" t="s">
        <v>162</v>
      </c>
      <c r="S3340" t="s">
        <v>473</v>
      </c>
      <c r="T3340" t="s">
        <v>524</v>
      </c>
      <c r="U3340">
        <v>3.9756827692602033E-2</v>
      </c>
      <c r="V3340" t="s">
        <v>162</v>
      </c>
    </row>
    <row r="3341" spans="9:22" x14ac:dyDescent="0.45">
      <c r="I3341" t="s">
        <v>249</v>
      </c>
      <c r="J3341" t="s">
        <v>168</v>
      </c>
      <c r="K3341">
        <v>1.8402275196312341E-2</v>
      </c>
      <c r="L3341" t="s">
        <v>162</v>
      </c>
      <c r="N3341" t="s">
        <v>361</v>
      </c>
      <c r="O3341" t="s">
        <v>168</v>
      </c>
      <c r="P3341">
        <v>3.2350489483473494E-2</v>
      </c>
      <c r="Q3341" t="s">
        <v>162</v>
      </c>
      <c r="S3341" t="s">
        <v>473</v>
      </c>
      <c r="T3341" t="s">
        <v>168</v>
      </c>
      <c r="U3341">
        <v>3.3725260002095546E-2</v>
      </c>
      <c r="V3341" t="s">
        <v>162</v>
      </c>
    </row>
    <row r="3342" spans="9:22" x14ac:dyDescent="0.45">
      <c r="I3342" t="s">
        <v>249</v>
      </c>
      <c r="J3342" t="s">
        <v>169</v>
      </c>
      <c r="K3342">
        <v>9.6727241953683384E-3</v>
      </c>
      <c r="L3342" t="s">
        <v>162</v>
      </c>
      <c r="N3342" t="s">
        <v>361</v>
      </c>
      <c r="O3342" t="s">
        <v>169</v>
      </c>
      <c r="P3342">
        <v>2.8256546146023962E-3</v>
      </c>
      <c r="Q3342" t="s">
        <v>162</v>
      </c>
      <c r="S3342" t="s">
        <v>473</v>
      </c>
      <c r="T3342" t="s">
        <v>169</v>
      </c>
      <c r="U3342">
        <v>3.7455320727224958E-3</v>
      </c>
      <c r="V3342" t="s">
        <v>162</v>
      </c>
    </row>
    <row r="3343" spans="9:22" x14ac:dyDescent="0.45">
      <c r="I3343" t="s">
        <v>249</v>
      </c>
      <c r="J3343" t="s">
        <v>170</v>
      </c>
      <c r="K3343">
        <v>2.1953660456613011E-2</v>
      </c>
      <c r="L3343" t="s">
        <v>162</v>
      </c>
      <c r="N3343" t="s">
        <v>361</v>
      </c>
      <c r="O3343" t="s">
        <v>170</v>
      </c>
      <c r="P3343">
        <v>5.9749312623782712E-3</v>
      </c>
      <c r="Q3343" t="s">
        <v>162</v>
      </c>
      <c r="S3343" t="s">
        <v>473</v>
      </c>
      <c r="T3343" t="s">
        <v>170</v>
      </c>
      <c r="U3343">
        <v>7.6524110250563169E-3</v>
      </c>
      <c r="V3343" t="s">
        <v>162</v>
      </c>
    </row>
    <row r="3344" spans="9:22" x14ac:dyDescent="0.45">
      <c r="I3344" t="s">
        <v>249</v>
      </c>
      <c r="J3344" t="s">
        <v>525</v>
      </c>
      <c r="K3344">
        <v>5.0964514139053479E-2</v>
      </c>
      <c r="L3344" t="s">
        <v>162</v>
      </c>
      <c r="N3344" t="s">
        <v>361</v>
      </c>
      <c r="O3344" t="s">
        <v>525</v>
      </c>
      <c r="P3344">
        <v>1.7112585897232527E-2</v>
      </c>
      <c r="Q3344" t="s">
        <v>162</v>
      </c>
      <c r="S3344" t="s">
        <v>473</v>
      </c>
      <c r="T3344" t="s">
        <v>525</v>
      </c>
      <c r="U3344">
        <v>1.9752050665475855E-2</v>
      </c>
      <c r="V3344" t="s">
        <v>162</v>
      </c>
    </row>
    <row r="3345" spans="9:22" x14ac:dyDescent="0.45">
      <c r="I3345" t="s">
        <v>249</v>
      </c>
      <c r="J3345" t="s">
        <v>526</v>
      </c>
      <c r="K3345">
        <v>6.1159819326319165E-3</v>
      </c>
      <c r="L3345" t="s">
        <v>162</v>
      </c>
      <c r="N3345" t="s">
        <v>361</v>
      </c>
      <c r="O3345" t="s">
        <v>526</v>
      </c>
      <c r="P3345">
        <v>3.561689525340975E-3</v>
      </c>
      <c r="Q3345" t="s">
        <v>162</v>
      </c>
      <c r="S3345" t="s">
        <v>473</v>
      </c>
      <c r="T3345" t="s">
        <v>526</v>
      </c>
      <c r="U3345">
        <v>3.9550171596051094E-3</v>
      </c>
      <c r="V3345" t="s">
        <v>162</v>
      </c>
    </row>
    <row r="3346" spans="9:22" x14ac:dyDescent="0.45">
      <c r="I3346" t="s">
        <v>249</v>
      </c>
      <c r="J3346" t="s">
        <v>527</v>
      </c>
      <c r="K3346">
        <v>4.5640848955813447E-3</v>
      </c>
      <c r="L3346" t="s">
        <v>162</v>
      </c>
      <c r="N3346" t="s">
        <v>361</v>
      </c>
      <c r="O3346" t="s">
        <v>527</v>
      </c>
      <c r="P3346">
        <v>2.5569827121844878E-2</v>
      </c>
      <c r="Q3346" t="s">
        <v>162</v>
      </c>
      <c r="S3346" t="s">
        <v>473</v>
      </c>
      <c r="T3346" t="s">
        <v>527</v>
      </c>
      <c r="U3346">
        <v>2.4009311049829819E-2</v>
      </c>
      <c r="V3346" t="s">
        <v>162</v>
      </c>
    </row>
    <row r="3347" spans="9:22" x14ac:dyDescent="0.45">
      <c r="I3347" t="s">
        <v>249</v>
      </c>
      <c r="J3347" t="s">
        <v>528</v>
      </c>
      <c r="K3347">
        <v>8.0072577688898847E-2</v>
      </c>
      <c r="L3347" t="s">
        <v>162</v>
      </c>
      <c r="N3347" t="s">
        <v>361</v>
      </c>
      <c r="O3347" t="s">
        <v>528</v>
      </c>
      <c r="P3347">
        <v>9.3937374915726971E-2</v>
      </c>
      <c r="Q3347" t="s">
        <v>162</v>
      </c>
      <c r="S3347" t="s">
        <v>473</v>
      </c>
      <c r="T3347" t="s">
        <v>528</v>
      </c>
      <c r="U3347">
        <v>7.9426665488975576E-2</v>
      </c>
      <c r="V3347" t="s">
        <v>162</v>
      </c>
    </row>
    <row r="3348" spans="9:22" x14ac:dyDescent="0.45">
      <c r="I3348" t="s">
        <v>249</v>
      </c>
      <c r="J3348" t="s">
        <v>529</v>
      </c>
      <c r="K3348">
        <v>3.0876756517979265E-2</v>
      </c>
      <c r="L3348" t="s">
        <v>162</v>
      </c>
      <c r="N3348" t="s">
        <v>361</v>
      </c>
      <c r="O3348" t="s">
        <v>529</v>
      </c>
      <c r="P3348">
        <v>8.6003464167441306E-3</v>
      </c>
      <c r="Q3348" t="s">
        <v>162</v>
      </c>
      <c r="S3348" t="s">
        <v>473</v>
      </c>
      <c r="T3348" t="s">
        <v>529</v>
      </c>
      <c r="U3348">
        <v>8.9146482435345804E-3</v>
      </c>
      <c r="V3348" t="s">
        <v>162</v>
      </c>
    </row>
    <row r="3349" spans="9:22" x14ac:dyDescent="0.45">
      <c r="I3349" t="s">
        <v>249</v>
      </c>
      <c r="J3349" t="s">
        <v>530</v>
      </c>
      <c r="K3349">
        <v>6.598500260138089E-2</v>
      </c>
      <c r="L3349" t="s">
        <v>162</v>
      </c>
      <c r="N3349" t="s">
        <v>361</v>
      </c>
      <c r="O3349" t="s">
        <v>530</v>
      </c>
      <c r="P3349">
        <v>1.8949508660799974E-2</v>
      </c>
      <c r="Q3349" t="s">
        <v>162</v>
      </c>
      <c r="S3349" t="s">
        <v>473</v>
      </c>
      <c r="T3349" t="s">
        <v>530</v>
      </c>
      <c r="U3349">
        <v>1.817865064495354E-2</v>
      </c>
      <c r="V3349" t="s">
        <v>162</v>
      </c>
    </row>
    <row r="3350" spans="9:22" x14ac:dyDescent="0.45">
      <c r="I3350" t="s">
        <v>249</v>
      </c>
      <c r="J3350" t="s">
        <v>531</v>
      </c>
      <c r="K3350">
        <v>0.14750325675293219</v>
      </c>
      <c r="L3350" t="s">
        <v>162</v>
      </c>
      <c r="N3350" t="s">
        <v>361</v>
      </c>
      <c r="O3350" t="s">
        <v>531</v>
      </c>
      <c r="P3350">
        <v>4.8858878022662297E-2</v>
      </c>
      <c r="Q3350" t="s">
        <v>162</v>
      </c>
      <c r="S3350" t="s">
        <v>473</v>
      </c>
      <c r="T3350" t="s">
        <v>531</v>
      </c>
      <c r="U3350">
        <v>4.6609665934913946E-2</v>
      </c>
      <c r="V3350" t="s">
        <v>162</v>
      </c>
    </row>
    <row r="3351" spans="9:22" x14ac:dyDescent="0.45">
      <c r="I3351" t="s">
        <v>249</v>
      </c>
      <c r="J3351" t="s">
        <v>532</v>
      </c>
      <c r="K3351">
        <v>2.0842500901890694E-2</v>
      </c>
      <c r="L3351" t="s">
        <v>162</v>
      </c>
      <c r="N3351" t="s">
        <v>361</v>
      </c>
      <c r="O3351" t="s">
        <v>532</v>
      </c>
      <c r="P3351">
        <v>8.8976877411205864E-3</v>
      </c>
      <c r="Q3351" t="s">
        <v>162</v>
      </c>
      <c r="S3351" t="s">
        <v>473</v>
      </c>
      <c r="T3351" t="s">
        <v>532</v>
      </c>
      <c r="U3351">
        <v>9.2043241142816135E-3</v>
      </c>
      <c r="V3351" t="s">
        <v>162</v>
      </c>
    </row>
    <row r="3352" spans="9:22" x14ac:dyDescent="0.45">
      <c r="I3352" t="s">
        <v>249</v>
      </c>
      <c r="J3352" t="s">
        <v>533</v>
      </c>
      <c r="K3352">
        <v>2.8795852360397008E-2</v>
      </c>
      <c r="L3352" t="s">
        <v>162</v>
      </c>
      <c r="N3352" t="s">
        <v>361</v>
      </c>
      <c r="O3352" t="s">
        <v>533</v>
      </c>
      <c r="P3352">
        <v>6.4443252632079479E-2</v>
      </c>
      <c r="Q3352" t="s">
        <v>162</v>
      </c>
      <c r="S3352" t="s">
        <v>473</v>
      </c>
      <c r="T3352" t="s">
        <v>533</v>
      </c>
      <c r="U3352">
        <v>5.1617362707926988E-2</v>
      </c>
      <c r="V3352" t="s">
        <v>162</v>
      </c>
    </row>
    <row r="3353" spans="9:22" x14ac:dyDescent="0.45">
      <c r="I3353" t="s">
        <v>249</v>
      </c>
      <c r="J3353" t="s">
        <v>534</v>
      </c>
      <c r="K3353">
        <v>4.4077070267528391E-2</v>
      </c>
      <c r="L3353" t="s">
        <v>162</v>
      </c>
      <c r="N3353" t="s">
        <v>361</v>
      </c>
      <c r="O3353" t="s">
        <v>534</v>
      </c>
      <c r="P3353">
        <v>8.9366664604830379E-2</v>
      </c>
      <c r="Q3353" t="s">
        <v>162</v>
      </c>
      <c r="S3353" t="s">
        <v>473</v>
      </c>
      <c r="T3353" t="s">
        <v>534</v>
      </c>
      <c r="U3353">
        <v>8.3694950672269633E-2</v>
      </c>
      <c r="V3353" t="s">
        <v>162</v>
      </c>
    </row>
    <row r="3354" spans="9:22" x14ac:dyDescent="0.45">
      <c r="I3354" t="s">
        <v>249</v>
      </c>
      <c r="J3354" t="s">
        <v>535</v>
      </c>
      <c r="K3354">
        <v>2.3562232075610898E-2</v>
      </c>
      <c r="L3354" t="s">
        <v>162</v>
      </c>
      <c r="N3354" t="s">
        <v>361</v>
      </c>
      <c r="O3354" t="s">
        <v>535</v>
      </c>
      <c r="P3354">
        <v>8.3236791870157801E-3</v>
      </c>
      <c r="Q3354" t="s">
        <v>162</v>
      </c>
      <c r="S3354" t="s">
        <v>473</v>
      </c>
      <c r="T3354" t="s">
        <v>535</v>
      </c>
      <c r="U3354">
        <v>9.0587556121309119E-3</v>
      </c>
      <c r="V3354" t="s">
        <v>162</v>
      </c>
    </row>
    <row r="3355" spans="9:22" x14ac:dyDescent="0.45">
      <c r="I3355" t="s">
        <v>249</v>
      </c>
      <c r="J3355" t="s">
        <v>536</v>
      </c>
      <c r="K3355">
        <v>5.0454860012595498E-2</v>
      </c>
      <c r="L3355" t="s">
        <v>162</v>
      </c>
      <c r="N3355" t="s">
        <v>361</v>
      </c>
      <c r="O3355" t="s">
        <v>536</v>
      </c>
      <c r="P3355">
        <v>1.6990539549816733E-2</v>
      </c>
      <c r="Q3355" t="s">
        <v>162</v>
      </c>
      <c r="S3355" t="s">
        <v>473</v>
      </c>
      <c r="T3355" t="s">
        <v>536</v>
      </c>
      <c r="U3355">
        <v>1.8469301270784843E-2</v>
      </c>
      <c r="V3355" t="s">
        <v>162</v>
      </c>
    </row>
    <row r="3356" spans="9:22" x14ac:dyDescent="0.45">
      <c r="I3356" t="s">
        <v>249</v>
      </c>
      <c r="J3356" t="s">
        <v>537</v>
      </c>
      <c r="K3356">
        <v>0.10563415941019952</v>
      </c>
      <c r="L3356" t="s">
        <v>162</v>
      </c>
      <c r="N3356" t="s">
        <v>361</v>
      </c>
      <c r="O3356" t="s">
        <v>537</v>
      </c>
      <c r="P3356">
        <v>4.6538761824127348E-2</v>
      </c>
      <c r="Q3356" t="s">
        <v>162</v>
      </c>
      <c r="S3356" t="s">
        <v>473</v>
      </c>
      <c r="T3356" t="s">
        <v>537</v>
      </c>
      <c r="U3356">
        <v>4.7915019314741132E-2</v>
      </c>
      <c r="V3356" t="s">
        <v>162</v>
      </c>
    </row>
    <row r="3357" spans="9:22" x14ac:dyDescent="0.45">
      <c r="I3357" t="s">
        <v>249</v>
      </c>
      <c r="J3357" t="s">
        <v>538</v>
      </c>
      <c r="K3357">
        <v>1.0972935854283841E-2</v>
      </c>
      <c r="L3357" t="s">
        <v>162</v>
      </c>
      <c r="N3357" t="s">
        <v>361</v>
      </c>
      <c r="O3357" t="s">
        <v>538</v>
      </c>
      <c r="P3357">
        <v>9.7019868142487146E-3</v>
      </c>
      <c r="Q3357" t="s">
        <v>162</v>
      </c>
      <c r="S3357" t="s">
        <v>473</v>
      </c>
      <c r="T3357" t="s">
        <v>538</v>
      </c>
      <c r="U3357">
        <v>9.5742006394356378E-3</v>
      </c>
      <c r="V3357" t="s">
        <v>162</v>
      </c>
    </row>
    <row r="3358" spans="9:22" x14ac:dyDescent="0.45">
      <c r="I3358" t="s">
        <v>249</v>
      </c>
      <c r="J3358" t="s">
        <v>539</v>
      </c>
      <c r="K3358">
        <v>6.3982975047539329E-3</v>
      </c>
      <c r="L3358" t="s">
        <v>162</v>
      </c>
      <c r="N3358" t="s">
        <v>361</v>
      </c>
      <c r="O3358" t="s">
        <v>539</v>
      </c>
      <c r="P3358">
        <v>6.4333186120473951E-2</v>
      </c>
      <c r="Q3358" t="s">
        <v>162</v>
      </c>
      <c r="S3358" t="s">
        <v>473</v>
      </c>
      <c r="T3358" t="s">
        <v>539</v>
      </c>
      <c r="U3358">
        <v>5.5822035182587319E-2</v>
      </c>
      <c r="V3358" t="s">
        <v>162</v>
      </c>
    </row>
    <row r="3359" spans="9:22" x14ac:dyDescent="0.45">
      <c r="I3359" t="s">
        <v>249</v>
      </c>
      <c r="J3359" t="s">
        <v>540</v>
      </c>
      <c r="K3359">
        <v>1.9047099083050753E-3</v>
      </c>
      <c r="L3359" t="s">
        <v>162</v>
      </c>
      <c r="N3359" t="s">
        <v>361</v>
      </c>
      <c r="O3359" t="s">
        <v>540</v>
      </c>
      <c r="P3359">
        <v>4.3334005527372065E-2</v>
      </c>
      <c r="Q3359" t="s">
        <v>162</v>
      </c>
      <c r="S3359" t="s">
        <v>473</v>
      </c>
      <c r="T3359" t="s">
        <v>540</v>
      </c>
      <c r="U3359">
        <v>3.3756575252677022E-2</v>
      </c>
      <c r="V3359" t="s">
        <v>162</v>
      </c>
    </row>
    <row r="3360" spans="9:22" x14ac:dyDescent="0.45">
      <c r="I3360" t="s">
        <v>249</v>
      </c>
      <c r="J3360" t="s">
        <v>541</v>
      </c>
      <c r="K3360">
        <v>3.3304345140114746E-3</v>
      </c>
      <c r="L3360" t="s">
        <v>162</v>
      </c>
      <c r="N3360" t="s">
        <v>361</v>
      </c>
      <c r="O3360" t="s">
        <v>541</v>
      </c>
      <c r="P3360">
        <v>4.3393421089857557E-3</v>
      </c>
      <c r="Q3360" t="s">
        <v>162</v>
      </c>
      <c r="S3360" t="s">
        <v>473</v>
      </c>
      <c r="T3360" t="s">
        <v>541</v>
      </c>
      <c r="U3360">
        <v>3.7823278232274118E-3</v>
      </c>
      <c r="V3360" t="s">
        <v>162</v>
      </c>
    </row>
    <row r="3361" spans="9:22" x14ac:dyDescent="0.45">
      <c r="I3361" t="s">
        <v>249</v>
      </c>
      <c r="J3361" t="s">
        <v>542</v>
      </c>
      <c r="K3361">
        <v>9.1412614067305584E-3</v>
      </c>
      <c r="L3361" t="s">
        <v>162</v>
      </c>
      <c r="N3361" t="s">
        <v>361</v>
      </c>
      <c r="O3361" t="s">
        <v>542</v>
      </c>
      <c r="P3361">
        <v>7.7698137178589081E-3</v>
      </c>
      <c r="Q3361" t="s">
        <v>162</v>
      </c>
      <c r="S3361" t="s">
        <v>473</v>
      </c>
      <c r="T3361" t="s">
        <v>542</v>
      </c>
      <c r="U3361">
        <v>7.5016824787238643E-3</v>
      </c>
      <c r="V3361" t="s">
        <v>162</v>
      </c>
    </row>
    <row r="3362" spans="9:22" x14ac:dyDescent="0.45">
      <c r="I3362" t="s">
        <v>249</v>
      </c>
      <c r="J3362" t="s">
        <v>543</v>
      </c>
      <c r="K3362">
        <v>1.7207311376368804E-2</v>
      </c>
      <c r="L3362" t="s">
        <v>162</v>
      </c>
      <c r="N3362" t="s">
        <v>361</v>
      </c>
      <c r="O3362" t="s">
        <v>543</v>
      </c>
      <c r="P3362">
        <v>1.8130276459221835E-2</v>
      </c>
      <c r="Q3362" t="s">
        <v>162</v>
      </c>
      <c r="S3362" t="s">
        <v>473</v>
      </c>
      <c r="T3362" t="s">
        <v>543</v>
      </c>
      <c r="U3362">
        <v>1.9074374099643673E-2</v>
      </c>
      <c r="V3362" t="s">
        <v>162</v>
      </c>
    </row>
    <row r="3363" spans="9:22" x14ac:dyDescent="0.45">
      <c r="I3363" t="s">
        <v>249</v>
      </c>
      <c r="J3363" t="s">
        <v>544</v>
      </c>
      <c r="K3363">
        <v>0</v>
      </c>
      <c r="L3363" t="s">
        <v>162</v>
      </c>
      <c r="N3363" t="s">
        <v>361</v>
      </c>
      <c r="O3363" t="s">
        <v>544</v>
      </c>
      <c r="P3363">
        <v>4.0395764103332132E-3</v>
      </c>
      <c r="Q3363" t="s">
        <v>162</v>
      </c>
      <c r="S3363" t="s">
        <v>473</v>
      </c>
      <c r="T3363" t="s">
        <v>544</v>
      </c>
      <c r="U3363">
        <v>3.8172754736913537E-3</v>
      </c>
      <c r="V3363" t="s">
        <v>162</v>
      </c>
    </row>
    <row r="3364" spans="9:22" x14ac:dyDescent="0.45">
      <c r="I3364" t="s">
        <v>249</v>
      </c>
      <c r="J3364" t="s">
        <v>545</v>
      </c>
      <c r="K3364">
        <v>0</v>
      </c>
      <c r="L3364" t="s">
        <v>162</v>
      </c>
      <c r="N3364" t="s">
        <v>361</v>
      </c>
      <c r="O3364" t="s">
        <v>545</v>
      </c>
      <c r="P3364">
        <v>2.485318450267621E-2</v>
      </c>
      <c r="Q3364" t="s">
        <v>162</v>
      </c>
      <c r="S3364" t="s">
        <v>473</v>
      </c>
      <c r="T3364" t="s">
        <v>545</v>
      </c>
      <c r="U3364">
        <v>2.3084588459021057E-2</v>
      </c>
      <c r="V3364" t="s">
        <v>162</v>
      </c>
    </row>
    <row r="3365" spans="9:22" x14ac:dyDescent="0.45">
      <c r="I3365" t="s">
        <v>249</v>
      </c>
      <c r="J3365" t="s">
        <v>546</v>
      </c>
      <c r="K3365">
        <v>2.8486687275988963E-4</v>
      </c>
      <c r="L3365" t="s">
        <v>162</v>
      </c>
      <c r="N3365" t="s">
        <v>361</v>
      </c>
      <c r="O3365" t="s">
        <v>546</v>
      </c>
      <c r="P3365">
        <v>3.6165031122105541E-2</v>
      </c>
      <c r="Q3365" t="s">
        <v>162</v>
      </c>
      <c r="S3365" t="s">
        <v>473</v>
      </c>
      <c r="T3365" t="s">
        <v>546</v>
      </c>
      <c r="U3365">
        <v>4.2419233333841441E-2</v>
      </c>
      <c r="V3365" t="s">
        <v>162</v>
      </c>
    </row>
    <row r="3366" spans="9:22" x14ac:dyDescent="0.45">
      <c r="I3366" t="s">
        <v>249</v>
      </c>
      <c r="J3366" t="s">
        <v>547</v>
      </c>
      <c r="K3366">
        <v>3.8498720314035012E-3</v>
      </c>
      <c r="L3366" t="s">
        <v>162</v>
      </c>
      <c r="N3366" t="s">
        <v>361</v>
      </c>
      <c r="O3366" t="s">
        <v>547</v>
      </c>
      <c r="P3366">
        <v>3.5457343447132762E-3</v>
      </c>
      <c r="Q3366" t="s">
        <v>162</v>
      </c>
      <c r="S3366" t="s">
        <v>473</v>
      </c>
      <c r="T3366" t="s">
        <v>547</v>
      </c>
      <c r="U3366">
        <v>4.6591053257793178E-3</v>
      </c>
      <c r="V3366" t="s">
        <v>162</v>
      </c>
    </row>
    <row r="3367" spans="9:22" x14ac:dyDescent="0.45">
      <c r="I3367" t="s">
        <v>249</v>
      </c>
      <c r="J3367" t="s">
        <v>548</v>
      </c>
      <c r="K3367">
        <v>1.303497579846726E-2</v>
      </c>
      <c r="L3367" t="s">
        <v>162</v>
      </c>
      <c r="N3367" t="s">
        <v>361</v>
      </c>
      <c r="O3367" t="s">
        <v>548</v>
      </c>
      <c r="P3367">
        <v>6.2133159212719221E-3</v>
      </c>
      <c r="Q3367" t="s">
        <v>162</v>
      </c>
      <c r="S3367" t="s">
        <v>473</v>
      </c>
      <c r="T3367" t="s">
        <v>548</v>
      </c>
      <c r="U3367">
        <v>9.4059616140099063E-3</v>
      </c>
      <c r="V3367" t="s">
        <v>162</v>
      </c>
    </row>
    <row r="3368" spans="9:22" x14ac:dyDescent="0.45">
      <c r="I3368" t="s">
        <v>249</v>
      </c>
      <c r="J3368" t="s">
        <v>549</v>
      </c>
      <c r="K3368">
        <v>2.2631849315291455E-2</v>
      </c>
      <c r="L3368" t="s">
        <v>162</v>
      </c>
      <c r="N3368" t="s">
        <v>361</v>
      </c>
      <c r="O3368" t="s">
        <v>549</v>
      </c>
      <c r="P3368">
        <v>1.5200235188408854E-2</v>
      </c>
      <c r="Q3368" t="s">
        <v>162</v>
      </c>
      <c r="S3368" t="s">
        <v>473</v>
      </c>
      <c r="T3368" t="s">
        <v>549</v>
      </c>
      <c r="U3368">
        <v>2.4185950872905256E-2</v>
      </c>
      <c r="V3368" t="s">
        <v>162</v>
      </c>
    </row>
    <row r="3369" spans="9:22" x14ac:dyDescent="0.45">
      <c r="I3369" t="s">
        <v>249</v>
      </c>
      <c r="J3369" t="s">
        <v>550</v>
      </c>
      <c r="K3369">
        <v>0</v>
      </c>
      <c r="L3369" t="s">
        <v>162</v>
      </c>
      <c r="N3369" t="s">
        <v>361</v>
      </c>
      <c r="O3369" t="s">
        <v>550</v>
      </c>
      <c r="P3369">
        <v>3.8248218867230682E-3</v>
      </c>
      <c r="Q3369" t="s">
        <v>162</v>
      </c>
      <c r="S3369" t="s">
        <v>473</v>
      </c>
      <c r="T3369" t="s">
        <v>550</v>
      </c>
      <c r="U3369">
        <v>4.8757522191356008E-3</v>
      </c>
      <c r="V3369" t="s">
        <v>162</v>
      </c>
    </row>
    <row r="3370" spans="9:22" x14ac:dyDescent="0.45">
      <c r="I3370" t="s">
        <v>249</v>
      </c>
      <c r="J3370" t="s">
        <v>551</v>
      </c>
      <c r="K3370">
        <v>0</v>
      </c>
      <c r="L3370" t="s">
        <v>162</v>
      </c>
      <c r="N3370" t="s">
        <v>361</v>
      </c>
      <c r="O3370" t="s">
        <v>551</v>
      </c>
      <c r="P3370">
        <v>2.5322718788460329E-2</v>
      </c>
      <c r="Q3370" t="s">
        <v>162</v>
      </c>
      <c r="S3370" t="s">
        <v>473</v>
      </c>
      <c r="T3370" t="s">
        <v>551</v>
      </c>
      <c r="U3370">
        <v>2.9304078291207191E-2</v>
      </c>
      <c r="V3370" t="s">
        <v>162</v>
      </c>
    </row>
    <row r="3371" spans="9:22" x14ac:dyDescent="0.45">
      <c r="I3371" t="s">
        <v>250</v>
      </c>
      <c r="J3371" t="s">
        <v>161</v>
      </c>
      <c r="K3371">
        <v>3.8420501701317867E-4</v>
      </c>
      <c r="L3371" t="s">
        <v>162</v>
      </c>
      <c r="N3371" t="s">
        <v>362</v>
      </c>
      <c r="O3371" t="s">
        <v>161</v>
      </c>
      <c r="P3371">
        <v>4.5678667915019511E-2</v>
      </c>
      <c r="Q3371" t="s">
        <v>162</v>
      </c>
      <c r="S3371" t="s">
        <v>474</v>
      </c>
      <c r="T3371" t="s">
        <v>161</v>
      </c>
      <c r="U3371">
        <v>3.3636617590936932E-2</v>
      </c>
      <c r="V3371" t="s">
        <v>162</v>
      </c>
    </row>
    <row r="3372" spans="9:22" x14ac:dyDescent="0.45">
      <c r="I3372" t="s">
        <v>250</v>
      </c>
      <c r="J3372" t="s">
        <v>163</v>
      </c>
      <c r="K3372">
        <v>3.2403490261439906E-3</v>
      </c>
      <c r="L3372" t="s">
        <v>162</v>
      </c>
      <c r="N3372" t="s">
        <v>362</v>
      </c>
      <c r="O3372" t="s">
        <v>163</v>
      </c>
      <c r="P3372">
        <v>4.4200128879420056E-3</v>
      </c>
      <c r="Q3372" t="s">
        <v>162</v>
      </c>
      <c r="S3372" t="s">
        <v>474</v>
      </c>
      <c r="T3372" t="s">
        <v>163</v>
      </c>
      <c r="U3372">
        <v>3.973812572568413E-3</v>
      </c>
      <c r="V3372" t="s">
        <v>162</v>
      </c>
    </row>
    <row r="3373" spans="9:22" x14ac:dyDescent="0.45">
      <c r="I3373" t="s">
        <v>250</v>
      </c>
      <c r="J3373" t="s">
        <v>164</v>
      </c>
      <c r="K3373">
        <v>1.1191928608715937E-2</v>
      </c>
      <c r="L3373" t="s">
        <v>162</v>
      </c>
      <c r="N3373" t="s">
        <v>362</v>
      </c>
      <c r="O3373" t="s">
        <v>164</v>
      </c>
      <c r="P3373">
        <v>8.3536505658768564E-3</v>
      </c>
      <c r="Q3373" t="s">
        <v>162</v>
      </c>
      <c r="S3373" t="s">
        <v>474</v>
      </c>
      <c r="T3373" t="s">
        <v>164</v>
      </c>
      <c r="U3373">
        <v>8.3962568131332599E-3</v>
      </c>
      <c r="V3373" t="s">
        <v>162</v>
      </c>
    </row>
    <row r="3374" spans="9:22" x14ac:dyDescent="0.45">
      <c r="I3374" t="s">
        <v>250</v>
      </c>
      <c r="J3374" t="s">
        <v>519</v>
      </c>
      <c r="K3374">
        <v>2.0725917941222603E-2</v>
      </c>
      <c r="L3374" t="s">
        <v>162</v>
      </c>
      <c r="N3374" t="s">
        <v>362</v>
      </c>
      <c r="O3374" t="s">
        <v>519</v>
      </c>
      <c r="P3374">
        <v>2.1226207957803826E-2</v>
      </c>
      <c r="Q3374" t="s">
        <v>162</v>
      </c>
      <c r="S3374" t="s">
        <v>474</v>
      </c>
      <c r="T3374" t="s">
        <v>519</v>
      </c>
      <c r="U3374">
        <v>2.1325700405228389E-2</v>
      </c>
      <c r="V3374" t="s">
        <v>162</v>
      </c>
    </row>
    <row r="3375" spans="9:22" x14ac:dyDescent="0.45">
      <c r="I3375" t="s">
        <v>250</v>
      </c>
      <c r="J3375" t="s">
        <v>520</v>
      </c>
      <c r="K3375">
        <v>0</v>
      </c>
      <c r="L3375" t="s">
        <v>162</v>
      </c>
      <c r="N3375" t="s">
        <v>362</v>
      </c>
      <c r="O3375" t="s">
        <v>520</v>
      </c>
      <c r="P3375">
        <v>4.8068267183358129E-3</v>
      </c>
      <c r="Q3375" t="s">
        <v>162</v>
      </c>
      <c r="S3375" t="s">
        <v>474</v>
      </c>
      <c r="T3375" t="s">
        <v>520</v>
      </c>
      <c r="U3375">
        <v>3.9766626607993499E-3</v>
      </c>
      <c r="V3375" t="s">
        <v>162</v>
      </c>
    </row>
    <row r="3376" spans="9:22" x14ac:dyDescent="0.45">
      <c r="I3376" t="s">
        <v>250</v>
      </c>
      <c r="J3376" t="s">
        <v>521</v>
      </c>
      <c r="K3376">
        <v>0</v>
      </c>
      <c r="L3376" t="s">
        <v>162</v>
      </c>
      <c r="N3376" t="s">
        <v>362</v>
      </c>
      <c r="O3376" t="s">
        <v>521</v>
      </c>
      <c r="P3376">
        <v>3.1828748744636322E-2</v>
      </c>
      <c r="Q3376" t="s">
        <v>162</v>
      </c>
      <c r="S3376" t="s">
        <v>474</v>
      </c>
      <c r="T3376" t="s">
        <v>521</v>
      </c>
      <c r="U3376">
        <v>2.3597687640388606E-2</v>
      </c>
      <c r="V3376" t="s">
        <v>162</v>
      </c>
    </row>
    <row r="3377" spans="9:22" x14ac:dyDescent="0.45">
      <c r="I3377" t="s">
        <v>250</v>
      </c>
      <c r="J3377" t="s">
        <v>165</v>
      </c>
      <c r="K3377">
        <v>1.690463658264749E-2</v>
      </c>
      <c r="L3377" t="s">
        <v>162</v>
      </c>
      <c r="N3377" t="s">
        <v>362</v>
      </c>
      <c r="O3377" t="s">
        <v>165</v>
      </c>
      <c r="P3377">
        <v>5.4291809227925404E-2</v>
      </c>
      <c r="Q3377" t="s">
        <v>162</v>
      </c>
      <c r="S3377" t="s">
        <v>474</v>
      </c>
      <c r="T3377" t="s">
        <v>165</v>
      </c>
      <c r="U3377">
        <v>5.7471465373705732E-2</v>
      </c>
      <c r="V3377" t="s">
        <v>162</v>
      </c>
    </row>
    <row r="3378" spans="9:22" x14ac:dyDescent="0.45">
      <c r="I3378" t="s">
        <v>250</v>
      </c>
      <c r="J3378" t="s">
        <v>166</v>
      </c>
      <c r="K3378">
        <v>1.6060197316456408E-2</v>
      </c>
      <c r="L3378" t="s">
        <v>162</v>
      </c>
      <c r="N3378" t="s">
        <v>362</v>
      </c>
      <c r="O3378" t="s">
        <v>166</v>
      </c>
      <c r="P3378">
        <v>5.5218378445865864E-3</v>
      </c>
      <c r="Q3378" t="s">
        <v>162</v>
      </c>
      <c r="S3378" t="s">
        <v>474</v>
      </c>
      <c r="T3378" t="s">
        <v>166</v>
      </c>
      <c r="U3378">
        <v>6.3699057358820718E-3</v>
      </c>
      <c r="V3378" t="s">
        <v>162</v>
      </c>
    </row>
    <row r="3379" spans="9:22" x14ac:dyDescent="0.45">
      <c r="I3379" t="s">
        <v>250</v>
      </c>
      <c r="J3379" t="s">
        <v>167</v>
      </c>
      <c r="K3379">
        <v>3.8139881979992213E-2</v>
      </c>
      <c r="L3379" t="s">
        <v>162</v>
      </c>
      <c r="N3379" t="s">
        <v>362</v>
      </c>
      <c r="O3379" t="s">
        <v>167</v>
      </c>
      <c r="P3379">
        <v>9.8171538643409984E-3</v>
      </c>
      <c r="Q3379" t="s">
        <v>162</v>
      </c>
      <c r="S3379" t="s">
        <v>474</v>
      </c>
      <c r="T3379" t="s">
        <v>167</v>
      </c>
      <c r="U3379">
        <v>1.2534980215299179E-2</v>
      </c>
      <c r="V3379" t="s">
        <v>162</v>
      </c>
    </row>
    <row r="3380" spans="9:22" x14ac:dyDescent="0.45">
      <c r="I3380" t="s">
        <v>250</v>
      </c>
      <c r="J3380" t="s">
        <v>522</v>
      </c>
      <c r="K3380">
        <v>8.214964540059938E-2</v>
      </c>
      <c r="L3380" t="s">
        <v>162</v>
      </c>
      <c r="N3380" t="s">
        <v>362</v>
      </c>
      <c r="O3380" t="s">
        <v>522</v>
      </c>
      <c r="P3380">
        <v>2.5981292527433371E-2</v>
      </c>
      <c r="Q3380" t="s">
        <v>162</v>
      </c>
      <c r="S3380" t="s">
        <v>474</v>
      </c>
      <c r="T3380" t="s">
        <v>522</v>
      </c>
      <c r="U3380">
        <v>3.0876909246866823E-2</v>
      </c>
      <c r="V3380" t="s">
        <v>162</v>
      </c>
    </row>
    <row r="3381" spans="9:22" x14ac:dyDescent="0.45">
      <c r="I3381" t="s">
        <v>250</v>
      </c>
      <c r="J3381" t="s">
        <v>523</v>
      </c>
      <c r="K3381">
        <v>4.5332139124456784E-3</v>
      </c>
      <c r="L3381" t="s">
        <v>162</v>
      </c>
      <c r="N3381" t="s">
        <v>362</v>
      </c>
      <c r="O3381" t="s">
        <v>523</v>
      </c>
      <c r="P3381">
        <v>6.3060149878217042E-3</v>
      </c>
      <c r="Q3381" t="s">
        <v>162</v>
      </c>
      <c r="S3381" t="s">
        <v>474</v>
      </c>
      <c r="T3381" t="s">
        <v>523</v>
      </c>
      <c r="U3381">
        <v>6.3480299441169815E-3</v>
      </c>
      <c r="V3381" t="s">
        <v>162</v>
      </c>
    </row>
    <row r="3382" spans="9:22" x14ac:dyDescent="0.45">
      <c r="I3382" t="s">
        <v>250</v>
      </c>
      <c r="J3382" t="s">
        <v>524</v>
      </c>
      <c r="K3382">
        <v>5.2037429217349979E-4</v>
      </c>
      <c r="L3382" t="s">
        <v>162</v>
      </c>
      <c r="N3382" t="s">
        <v>362</v>
      </c>
      <c r="O3382" t="s">
        <v>524</v>
      </c>
      <c r="P3382">
        <v>4.1985417556343503E-2</v>
      </c>
      <c r="Q3382" t="s">
        <v>162</v>
      </c>
      <c r="S3382" t="s">
        <v>474</v>
      </c>
      <c r="T3382" t="s">
        <v>524</v>
      </c>
      <c r="U3382">
        <v>3.8982400607306095E-2</v>
      </c>
      <c r="V3382" t="s">
        <v>162</v>
      </c>
    </row>
    <row r="3383" spans="9:22" x14ac:dyDescent="0.45">
      <c r="I3383" t="s">
        <v>250</v>
      </c>
      <c r="J3383" t="s">
        <v>168</v>
      </c>
      <c r="K3383">
        <v>2.2572424659918881E-2</v>
      </c>
      <c r="L3383" t="s">
        <v>162</v>
      </c>
      <c r="N3383" t="s">
        <v>362</v>
      </c>
      <c r="O3383" t="s">
        <v>168</v>
      </c>
      <c r="P3383">
        <v>3.6540725453509434E-2</v>
      </c>
      <c r="Q3383" t="s">
        <v>162</v>
      </c>
      <c r="S3383" t="s">
        <v>474</v>
      </c>
      <c r="T3383" t="s">
        <v>168</v>
      </c>
      <c r="U3383">
        <v>2.9230228050585363E-2</v>
      </c>
      <c r="V3383" t="s">
        <v>162</v>
      </c>
    </row>
    <row r="3384" spans="9:22" x14ac:dyDescent="0.45">
      <c r="I3384" t="s">
        <v>250</v>
      </c>
      <c r="J3384" t="s">
        <v>169</v>
      </c>
      <c r="K3384">
        <v>1.1548804070574533E-2</v>
      </c>
      <c r="L3384" t="s">
        <v>162</v>
      </c>
      <c r="N3384" t="s">
        <v>362</v>
      </c>
      <c r="O3384" t="s">
        <v>169</v>
      </c>
      <c r="P3384">
        <v>3.5468527844572943E-3</v>
      </c>
      <c r="Q3384" t="s">
        <v>162</v>
      </c>
      <c r="S3384" t="s">
        <v>474</v>
      </c>
      <c r="T3384" t="s">
        <v>169</v>
      </c>
      <c r="U3384">
        <v>3.2182950546176194E-3</v>
      </c>
      <c r="V3384" t="s">
        <v>162</v>
      </c>
    </row>
    <row r="3385" spans="9:22" x14ac:dyDescent="0.45">
      <c r="I3385" t="s">
        <v>250</v>
      </c>
      <c r="J3385" t="s">
        <v>170</v>
      </c>
      <c r="K3385">
        <v>2.490861308991384E-2</v>
      </c>
      <c r="L3385" t="s">
        <v>162</v>
      </c>
      <c r="N3385" t="s">
        <v>362</v>
      </c>
      <c r="O3385" t="s">
        <v>170</v>
      </c>
      <c r="P3385">
        <v>7.3775502129909062E-3</v>
      </c>
      <c r="Q3385" t="s">
        <v>162</v>
      </c>
      <c r="S3385" t="s">
        <v>474</v>
      </c>
      <c r="T3385" t="s">
        <v>170</v>
      </c>
      <c r="U3385">
        <v>6.4738440491262745E-3</v>
      </c>
      <c r="V3385" t="s">
        <v>162</v>
      </c>
    </row>
    <row r="3386" spans="9:22" x14ac:dyDescent="0.45">
      <c r="I3386" t="s">
        <v>250</v>
      </c>
      <c r="J3386" t="s">
        <v>525</v>
      </c>
      <c r="K3386">
        <v>5.5761853201453805E-2</v>
      </c>
      <c r="L3386" t="s">
        <v>162</v>
      </c>
      <c r="N3386" t="s">
        <v>362</v>
      </c>
      <c r="O3386" t="s">
        <v>525</v>
      </c>
      <c r="P3386">
        <v>2.0626905346202463E-2</v>
      </c>
      <c r="Q3386" t="s">
        <v>162</v>
      </c>
      <c r="S3386" t="s">
        <v>474</v>
      </c>
      <c r="T3386" t="s">
        <v>525</v>
      </c>
      <c r="U3386">
        <v>1.6703643813925004E-2</v>
      </c>
      <c r="V3386" t="s">
        <v>162</v>
      </c>
    </row>
    <row r="3387" spans="9:22" x14ac:dyDescent="0.45">
      <c r="I3387" t="s">
        <v>250</v>
      </c>
      <c r="J3387" t="s">
        <v>526</v>
      </c>
      <c r="K3387">
        <v>6.01179354646108E-3</v>
      </c>
      <c r="L3387" t="s">
        <v>162</v>
      </c>
      <c r="N3387" t="s">
        <v>362</v>
      </c>
      <c r="O3387" t="s">
        <v>526</v>
      </c>
      <c r="P3387">
        <v>4.0660911381115734E-3</v>
      </c>
      <c r="Q3387" t="s">
        <v>162</v>
      </c>
      <c r="S3387" t="s">
        <v>474</v>
      </c>
      <c r="T3387" t="s">
        <v>526</v>
      </c>
      <c r="U3387">
        <v>3.3352562541209274E-3</v>
      </c>
      <c r="V3387" t="s">
        <v>162</v>
      </c>
    </row>
    <row r="3388" spans="9:22" x14ac:dyDescent="0.45">
      <c r="I3388" t="s">
        <v>250</v>
      </c>
      <c r="J3388" t="s">
        <v>527</v>
      </c>
      <c r="K3388">
        <v>3.407401822987835E-3</v>
      </c>
      <c r="L3388" t="s">
        <v>162</v>
      </c>
      <c r="N3388" t="s">
        <v>362</v>
      </c>
      <c r="O3388" t="s">
        <v>527</v>
      </c>
      <c r="P3388">
        <v>2.6164295874995309E-2</v>
      </c>
      <c r="Q3388" t="s">
        <v>162</v>
      </c>
      <c r="S3388" t="s">
        <v>474</v>
      </c>
      <c r="T3388" t="s">
        <v>527</v>
      </c>
      <c r="U3388">
        <v>1.920318995970724E-2</v>
      </c>
      <c r="V3388" t="s">
        <v>162</v>
      </c>
    </row>
    <row r="3389" spans="9:22" x14ac:dyDescent="0.45">
      <c r="I3389" t="s">
        <v>250</v>
      </c>
      <c r="J3389" t="s">
        <v>528</v>
      </c>
      <c r="K3389">
        <v>9.5709180149936221E-2</v>
      </c>
      <c r="L3389" t="s">
        <v>162</v>
      </c>
      <c r="N3389" t="s">
        <v>362</v>
      </c>
      <c r="O3389" t="s">
        <v>528</v>
      </c>
      <c r="P3389">
        <v>8.6399125107952446E-2</v>
      </c>
      <c r="Q3389" t="s">
        <v>162</v>
      </c>
      <c r="S3389" t="s">
        <v>474</v>
      </c>
      <c r="T3389" t="s">
        <v>528</v>
      </c>
      <c r="U3389">
        <v>8.1123296552708626E-2</v>
      </c>
      <c r="V3389" t="s">
        <v>162</v>
      </c>
    </row>
    <row r="3390" spans="9:22" x14ac:dyDescent="0.45">
      <c r="I3390" t="s">
        <v>250</v>
      </c>
      <c r="J3390" t="s">
        <v>529</v>
      </c>
      <c r="K3390">
        <v>3.4755225159640857E-2</v>
      </c>
      <c r="L3390" t="s">
        <v>162</v>
      </c>
      <c r="N3390" t="s">
        <v>362</v>
      </c>
      <c r="O3390" t="s">
        <v>529</v>
      </c>
      <c r="P3390">
        <v>8.2034817492650843E-3</v>
      </c>
      <c r="Q3390" t="s">
        <v>162</v>
      </c>
      <c r="S3390" t="s">
        <v>474</v>
      </c>
      <c r="T3390" t="s">
        <v>529</v>
      </c>
      <c r="U3390">
        <v>8.9762292589726372E-3</v>
      </c>
      <c r="V3390" t="s">
        <v>162</v>
      </c>
    </row>
    <row r="3391" spans="9:22" x14ac:dyDescent="0.45">
      <c r="I3391" t="s">
        <v>250</v>
      </c>
      <c r="J3391" t="s">
        <v>530</v>
      </c>
      <c r="K3391">
        <v>7.4146623716776633E-2</v>
      </c>
      <c r="L3391" t="s">
        <v>162</v>
      </c>
      <c r="N3391" t="s">
        <v>362</v>
      </c>
      <c r="O3391" t="s">
        <v>530</v>
      </c>
      <c r="P3391">
        <v>1.8593175620099295E-2</v>
      </c>
      <c r="Q3391" t="s">
        <v>162</v>
      </c>
      <c r="S3391" t="s">
        <v>474</v>
      </c>
      <c r="T3391" t="s">
        <v>530</v>
      </c>
      <c r="U3391">
        <v>1.7702887785341213E-2</v>
      </c>
      <c r="V3391" t="s">
        <v>162</v>
      </c>
    </row>
    <row r="3392" spans="9:22" x14ac:dyDescent="0.45">
      <c r="I3392" t="s">
        <v>250</v>
      </c>
      <c r="J3392" t="s">
        <v>531</v>
      </c>
      <c r="K3392">
        <v>0.17478703727946038</v>
      </c>
      <c r="L3392" t="s">
        <v>162</v>
      </c>
      <c r="N3392" t="s">
        <v>362</v>
      </c>
      <c r="O3392" t="s">
        <v>531</v>
      </c>
      <c r="P3392">
        <v>4.9605004924488293E-2</v>
      </c>
      <c r="Q3392" t="s">
        <v>162</v>
      </c>
      <c r="S3392" t="s">
        <v>474</v>
      </c>
      <c r="T3392" t="s">
        <v>531</v>
      </c>
      <c r="U3392">
        <v>4.2978657650659766E-2</v>
      </c>
      <c r="V3392" t="s">
        <v>162</v>
      </c>
    </row>
    <row r="3393" spans="9:22" x14ac:dyDescent="0.45">
      <c r="I3393" t="s">
        <v>250</v>
      </c>
      <c r="J3393" t="s">
        <v>532</v>
      </c>
      <c r="K3393">
        <v>2.5200950585950503E-2</v>
      </c>
      <c r="L3393" t="s">
        <v>162</v>
      </c>
      <c r="N3393" t="s">
        <v>362</v>
      </c>
      <c r="O3393" t="s">
        <v>532</v>
      </c>
      <c r="P3393">
        <v>9.4052820064879378E-3</v>
      </c>
      <c r="Q3393" t="s">
        <v>162</v>
      </c>
      <c r="S3393" t="s">
        <v>474</v>
      </c>
      <c r="T3393" t="s">
        <v>532</v>
      </c>
      <c r="U3393">
        <v>8.2253229239468446E-3</v>
      </c>
      <c r="V3393" t="s">
        <v>162</v>
      </c>
    </row>
    <row r="3394" spans="9:22" x14ac:dyDescent="0.45">
      <c r="I3394" t="s">
        <v>250</v>
      </c>
      <c r="J3394" t="s">
        <v>533</v>
      </c>
      <c r="K3394">
        <v>3.236893991528849E-2</v>
      </c>
      <c r="L3394" t="s">
        <v>162</v>
      </c>
      <c r="N3394" t="s">
        <v>362</v>
      </c>
      <c r="O3394" t="s">
        <v>533</v>
      </c>
      <c r="P3394">
        <v>6.3723148736081509E-2</v>
      </c>
      <c r="Q3394" t="s">
        <v>162</v>
      </c>
      <c r="S3394" t="s">
        <v>474</v>
      </c>
      <c r="T3394" t="s">
        <v>533</v>
      </c>
      <c r="U3394">
        <v>5.1051312584358341E-2</v>
      </c>
      <c r="V3394" t="s">
        <v>162</v>
      </c>
    </row>
    <row r="3395" spans="9:22" x14ac:dyDescent="0.45">
      <c r="I3395" t="s">
        <v>250</v>
      </c>
      <c r="J3395" t="s">
        <v>534</v>
      </c>
      <c r="K3395">
        <v>3.1073073026558044E-2</v>
      </c>
      <c r="L3395" t="s">
        <v>162</v>
      </c>
      <c r="N3395" t="s">
        <v>362</v>
      </c>
      <c r="O3395" t="s">
        <v>534</v>
      </c>
      <c r="P3395">
        <v>7.9160408255665463E-2</v>
      </c>
      <c r="Q3395" t="s">
        <v>162</v>
      </c>
      <c r="S3395" t="s">
        <v>474</v>
      </c>
      <c r="T3395" t="s">
        <v>534</v>
      </c>
      <c r="U3395">
        <v>0.10404003272579623</v>
      </c>
      <c r="V3395" t="s">
        <v>162</v>
      </c>
    </row>
    <row r="3396" spans="9:22" x14ac:dyDescent="0.45">
      <c r="I3396" t="s">
        <v>250</v>
      </c>
      <c r="J3396" t="s">
        <v>535</v>
      </c>
      <c r="K3396">
        <v>1.7956409234375192E-2</v>
      </c>
      <c r="L3396" t="s">
        <v>162</v>
      </c>
      <c r="N3396" t="s">
        <v>362</v>
      </c>
      <c r="O3396" t="s">
        <v>535</v>
      </c>
      <c r="P3396">
        <v>6.5955415750438007E-3</v>
      </c>
      <c r="Q3396" t="s">
        <v>162</v>
      </c>
      <c r="S3396" t="s">
        <v>474</v>
      </c>
      <c r="T3396" t="s">
        <v>535</v>
      </c>
      <c r="U3396">
        <v>1.1319658127386249E-2</v>
      </c>
      <c r="V3396" t="s">
        <v>162</v>
      </c>
    </row>
    <row r="3397" spans="9:22" x14ac:dyDescent="0.45">
      <c r="I3397" t="s">
        <v>250</v>
      </c>
      <c r="J3397" t="s">
        <v>536</v>
      </c>
      <c r="K3397">
        <v>4.0504069883765446E-2</v>
      </c>
      <c r="L3397" t="s">
        <v>162</v>
      </c>
      <c r="N3397" t="s">
        <v>362</v>
      </c>
      <c r="O3397" t="s">
        <v>536</v>
      </c>
      <c r="P3397">
        <v>1.4020835358021217E-2</v>
      </c>
      <c r="Q3397" t="s">
        <v>162</v>
      </c>
      <c r="S3397" t="s">
        <v>474</v>
      </c>
      <c r="T3397" t="s">
        <v>536</v>
      </c>
      <c r="U3397">
        <v>2.2986493809454753E-2</v>
      </c>
      <c r="V3397" t="s">
        <v>162</v>
      </c>
    </row>
    <row r="3398" spans="9:22" x14ac:dyDescent="0.45">
      <c r="I3398" t="s">
        <v>250</v>
      </c>
      <c r="J3398" t="s">
        <v>537</v>
      </c>
      <c r="K3398">
        <v>9.1380368172509385E-2</v>
      </c>
      <c r="L3398" t="s">
        <v>162</v>
      </c>
      <c r="N3398" t="s">
        <v>362</v>
      </c>
      <c r="O3398" t="s">
        <v>537</v>
      </c>
      <c r="P3398">
        <v>4.1860360378058938E-2</v>
      </c>
      <c r="Q3398" t="s">
        <v>162</v>
      </c>
      <c r="S3398" t="s">
        <v>474</v>
      </c>
      <c r="T3398" t="s">
        <v>537</v>
      </c>
      <c r="U3398">
        <v>5.7087585887589547E-2</v>
      </c>
      <c r="V3398" t="s">
        <v>162</v>
      </c>
    </row>
    <row r="3399" spans="9:22" x14ac:dyDescent="0.45">
      <c r="I3399" t="s">
        <v>250</v>
      </c>
      <c r="J3399" t="s">
        <v>538</v>
      </c>
      <c r="K3399">
        <v>8.4125188098942323E-3</v>
      </c>
      <c r="L3399" t="s">
        <v>162</v>
      </c>
      <c r="N3399" t="s">
        <v>362</v>
      </c>
      <c r="O3399" t="s">
        <v>538</v>
      </c>
      <c r="P3399">
        <v>8.2808125632724029E-3</v>
      </c>
      <c r="Q3399" t="s">
        <v>162</v>
      </c>
      <c r="S3399" t="s">
        <v>474</v>
      </c>
      <c r="T3399" t="s">
        <v>538</v>
      </c>
      <c r="U3399">
        <v>1.0772329271046431E-2</v>
      </c>
      <c r="V3399" t="s">
        <v>162</v>
      </c>
    </row>
    <row r="3400" spans="9:22" x14ac:dyDescent="0.45">
      <c r="I3400" t="s">
        <v>250</v>
      </c>
      <c r="J3400" t="s">
        <v>539</v>
      </c>
      <c r="K3400">
        <v>4.9800563365999329E-3</v>
      </c>
      <c r="L3400" t="s">
        <v>162</v>
      </c>
      <c r="N3400" t="s">
        <v>362</v>
      </c>
      <c r="O3400" t="s">
        <v>539</v>
      </c>
      <c r="P3400">
        <v>5.8076137250606501E-2</v>
      </c>
      <c r="Q3400" t="s">
        <v>162</v>
      </c>
      <c r="S3400" t="s">
        <v>474</v>
      </c>
      <c r="T3400" t="s">
        <v>539</v>
      </c>
      <c r="U3400">
        <v>6.8040992713769913E-2</v>
      </c>
      <c r="V3400" t="s">
        <v>162</v>
      </c>
    </row>
    <row r="3401" spans="9:22" x14ac:dyDescent="0.45">
      <c r="I3401" t="s">
        <v>250</v>
      </c>
      <c r="J3401" t="s">
        <v>540</v>
      </c>
      <c r="K3401">
        <v>1.7562248649663633E-3</v>
      </c>
      <c r="L3401" t="s">
        <v>162</v>
      </c>
      <c r="N3401" t="s">
        <v>362</v>
      </c>
      <c r="O3401" t="s">
        <v>540</v>
      </c>
      <c r="P3401">
        <v>4.1909936523847259E-2</v>
      </c>
      <c r="Q3401" t="s">
        <v>162</v>
      </c>
      <c r="S3401" t="s">
        <v>474</v>
      </c>
      <c r="T3401" t="s">
        <v>540</v>
      </c>
      <c r="U3401">
        <v>3.5277854985243752E-2</v>
      </c>
      <c r="V3401" t="s">
        <v>162</v>
      </c>
    </row>
    <row r="3402" spans="9:22" x14ac:dyDescent="0.45">
      <c r="I3402" t="s">
        <v>250</v>
      </c>
      <c r="J3402" t="s">
        <v>541</v>
      </c>
      <c r="K3402">
        <v>3.1046078691402195E-3</v>
      </c>
      <c r="L3402" t="s">
        <v>162</v>
      </c>
      <c r="N3402" t="s">
        <v>362</v>
      </c>
      <c r="O3402" t="s">
        <v>541</v>
      </c>
      <c r="P3402">
        <v>4.1761323161074379E-3</v>
      </c>
      <c r="Q3402" t="s">
        <v>162</v>
      </c>
      <c r="S3402" t="s">
        <v>474</v>
      </c>
      <c r="T3402" t="s">
        <v>541</v>
      </c>
      <c r="U3402">
        <v>3.8062579563219222E-3</v>
      </c>
      <c r="V3402" t="s">
        <v>162</v>
      </c>
    </row>
    <row r="3403" spans="9:22" x14ac:dyDescent="0.45">
      <c r="I3403" t="s">
        <v>250</v>
      </c>
      <c r="J3403" t="s">
        <v>542</v>
      </c>
      <c r="K3403">
        <v>7.9205037688196613E-3</v>
      </c>
      <c r="L3403" t="s">
        <v>162</v>
      </c>
      <c r="N3403" t="s">
        <v>362</v>
      </c>
      <c r="O3403" t="s">
        <v>542</v>
      </c>
      <c r="P3403">
        <v>7.4783787091036837E-3</v>
      </c>
      <c r="Q3403" t="s">
        <v>162</v>
      </c>
      <c r="S3403" t="s">
        <v>474</v>
      </c>
      <c r="T3403" t="s">
        <v>542</v>
      </c>
      <c r="U3403">
        <v>7.5569461957355226E-3</v>
      </c>
      <c r="V3403" t="s">
        <v>162</v>
      </c>
    </row>
    <row r="3404" spans="9:22" x14ac:dyDescent="0.45">
      <c r="I3404" t="s">
        <v>250</v>
      </c>
      <c r="J3404" t="s">
        <v>543</v>
      </c>
      <c r="K3404">
        <v>1.3516733447811376E-2</v>
      </c>
      <c r="L3404" t="s">
        <v>162</v>
      </c>
      <c r="N3404" t="s">
        <v>362</v>
      </c>
      <c r="O3404" t="s">
        <v>543</v>
      </c>
      <c r="P3404">
        <v>1.7722334239495909E-2</v>
      </c>
      <c r="Q3404" t="s">
        <v>162</v>
      </c>
      <c r="S3404" t="s">
        <v>474</v>
      </c>
      <c r="T3404" t="s">
        <v>543</v>
      </c>
      <c r="U3404">
        <v>1.8385990587736045E-2</v>
      </c>
      <c r="V3404" t="s">
        <v>162</v>
      </c>
    </row>
    <row r="3405" spans="9:22" x14ac:dyDescent="0.45">
      <c r="I3405" t="s">
        <v>250</v>
      </c>
      <c r="J3405" t="s">
        <v>544</v>
      </c>
      <c r="K3405">
        <v>0</v>
      </c>
      <c r="L3405" t="s">
        <v>162</v>
      </c>
      <c r="N3405" t="s">
        <v>362</v>
      </c>
      <c r="O3405" t="s">
        <v>544</v>
      </c>
      <c r="P3405">
        <v>4.0644524922981151E-3</v>
      </c>
      <c r="Q3405" t="s">
        <v>162</v>
      </c>
      <c r="S3405" t="s">
        <v>474</v>
      </c>
      <c r="T3405" t="s">
        <v>544</v>
      </c>
      <c r="U3405">
        <v>3.5866956490859412E-3</v>
      </c>
      <c r="V3405" t="s">
        <v>162</v>
      </c>
    </row>
    <row r="3406" spans="9:22" x14ac:dyDescent="0.45">
      <c r="I3406" t="s">
        <v>250</v>
      </c>
      <c r="J3406" t="s">
        <v>545</v>
      </c>
      <c r="K3406">
        <v>0</v>
      </c>
      <c r="L3406" t="s">
        <v>162</v>
      </c>
      <c r="N3406" t="s">
        <v>362</v>
      </c>
      <c r="O3406" t="s">
        <v>545</v>
      </c>
      <c r="P3406">
        <v>2.5971251579507797E-2</v>
      </c>
      <c r="Q3406" t="s">
        <v>162</v>
      </c>
      <c r="S3406" t="s">
        <v>474</v>
      </c>
      <c r="T3406" t="s">
        <v>545</v>
      </c>
      <c r="U3406">
        <v>2.3036479910990115E-2</v>
      </c>
      <c r="V3406" t="s">
        <v>162</v>
      </c>
    </row>
    <row r="3407" spans="9:22" x14ac:dyDescent="0.45">
      <c r="I3407" t="s">
        <v>250</v>
      </c>
      <c r="J3407" t="s">
        <v>546</v>
      </c>
      <c r="K3407">
        <v>5.6313653519810053E-5</v>
      </c>
      <c r="L3407" t="s">
        <v>162</v>
      </c>
      <c r="N3407" t="s">
        <v>362</v>
      </c>
      <c r="O3407" t="s">
        <v>546</v>
      </c>
      <c r="P3407">
        <v>3.776819810443717E-2</v>
      </c>
      <c r="Q3407" t="s">
        <v>162</v>
      </c>
      <c r="S3407" t="s">
        <v>474</v>
      </c>
      <c r="T3407" t="s">
        <v>546</v>
      </c>
      <c r="U3407">
        <v>3.6689170898603886E-2</v>
      </c>
      <c r="V3407" t="s">
        <v>162</v>
      </c>
    </row>
    <row r="3408" spans="9:22" x14ac:dyDescent="0.45">
      <c r="I3408" t="s">
        <v>250</v>
      </c>
      <c r="J3408" t="s">
        <v>547</v>
      </c>
      <c r="K3408">
        <v>2.3697157536399392E-3</v>
      </c>
      <c r="L3408" t="s">
        <v>162</v>
      </c>
      <c r="N3408" t="s">
        <v>362</v>
      </c>
      <c r="O3408" t="s">
        <v>547</v>
      </c>
      <c r="P3408">
        <v>3.6934189938941223E-3</v>
      </c>
      <c r="Q3408" t="s">
        <v>162</v>
      </c>
      <c r="S3408" t="s">
        <v>474</v>
      </c>
      <c r="T3408" t="s">
        <v>547</v>
      </c>
      <c r="U3408">
        <v>4.0876422019515283E-3</v>
      </c>
      <c r="V3408" t="s">
        <v>162</v>
      </c>
    </row>
    <row r="3409" spans="9:22" x14ac:dyDescent="0.45">
      <c r="I3409" t="s">
        <v>250</v>
      </c>
      <c r="J3409" t="s">
        <v>548</v>
      </c>
      <c r="K3409">
        <v>8.6707762314855389E-3</v>
      </c>
      <c r="L3409" t="s">
        <v>162</v>
      </c>
      <c r="N3409" t="s">
        <v>362</v>
      </c>
      <c r="O3409" t="s">
        <v>548</v>
      </c>
      <c r="P3409">
        <v>6.3807626805392516E-3</v>
      </c>
      <c r="Q3409" t="s">
        <v>162</v>
      </c>
      <c r="S3409" t="s">
        <v>474</v>
      </c>
      <c r="T3409" t="s">
        <v>548</v>
      </c>
      <c r="U3409">
        <v>8.2723820864000572E-3</v>
      </c>
      <c r="V3409" t="s">
        <v>162</v>
      </c>
    </row>
    <row r="3410" spans="9:22" x14ac:dyDescent="0.45">
      <c r="I3410" t="s">
        <v>250</v>
      </c>
      <c r="J3410" t="s">
        <v>549</v>
      </c>
      <c r="K3410">
        <v>1.3269431671140201E-2</v>
      </c>
      <c r="L3410" t="s">
        <v>162</v>
      </c>
      <c r="N3410" t="s">
        <v>362</v>
      </c>
      <c r="O3410" t="s">
        <v>549</v>
      </c>
      <c r="P3410">
        <v>1.6506571896292378E-2</v>
      </c>
      <c r="Q3410" t="s">
        <v>162</v>
      </c>
      <c r="S3410" t="s">
        <v>474</v>
      </c>
      <c r="T3410" t="s">
        <v>549</v>
      </c>
      <c r="U3410">
        <v>2.1091309153503702E-2</v>
      </c>
      <c r="V3410" t="s">
        <v>162</v>
      </c>
    </row>
    <row r="3411" spans="9:22" x14ac:dyDescent="0.45">
      <c r="I3411" t="s">
        <v>250</v>
      </c>
      <c r="J3411" t="s">
        <v>550</v>
      </c>
      <c r="K3411">
        <v>0</v>
      </c>
      <c r="L3411" t="s">
        <v>162</v>
      </c>
      <c r="N3411" t="s">
        <v>362</v>
      </c>
      <c r="O3411" t="s">
        <v>550</v>
      </c>
      <c r="P3411">
        <v>4.2659319529521501E-3</v>
      </c>
      <c r="Q3411" t="s">
        <v>162</v>
      </c>
      <c r="S3411" t="s">
        <v>474</v>
      </c>
      <c r="T3411" t="s">
        <v>550</v>
      </c>
      <c r="U3411">
        <v>4.146475147340508E-3</v>
      </c>
      <c r="V3411" t="s">
        <v>162</v>
      </c>
    </row>
    <row r="3412" spans="9:22" x14ac:dyDescent="0.45">
      <c r="I3412" t="s">
        <v>250</v>
      </c>
      <c r="J3412" t="s">
        <v>551</v>
      </c>
      <c r="K3412">
        <v>0</v>
      </c>
      <c r="L3412" t="s">
        <v>162</v>
      </c>
      <c r="N3412" t="s">
        <v>362</v>
      </c>
      <c r="O3412" t="s">
        <v>551</v>
      </c>
      <c r="P3412">
        <v>2.7599255378150458E-2</v>
      </c>
      <c r="Q3412" t="s">
        <v>162</v>
      </c>
      <c r="S3412" t="s">
        <v>474</v>
      </c>
      <c r="T3412" t="s">
        <v>551</v>
      </c>
      <c r="U3412">
        <v>2.4103109947743166E-2</v>
      </c>
      <c r="V3412" t="s">
        <v>162</v>
      </c>
    </row>
    <row r="3413" spans="9:22" x14ac:dyDescent="0.45">
      <c r="I3413" t="s">
        <v>251</v>
      </c>
      <c r="J3413" t="s">
        <v>161</v>
      </c>
      <c r="K3413">
        <v>1.604339619091986E-3</v>
      </c>
      <c r="L3413" t="s">
        <v>162</v>
      </c>
      <c r="N3413" t="s">
        <v>363</v>
      </c>
      <c r="O3413" t="s">
        <v>161</v>
      </c>
      <c r="P3413">
        <v>4.0597072138211218E-2</v>
      </c>
      <c r="Q3413" t="s">
        <v>162</v>
      </c>
      <c r="S3413" t="s">
        <v>475</v>
      </c>
      <c r="T3413" t="s">
        <v>161</v>
      </c>
      <c r="U3413">
        <v>3.674749366948464E-2</v>
      </c>
      <c r="V3413" t="s">
        <v>162</v>
      </c>
    </row>
    <row r="3414" spans="9:22" x14ac:dyDescent="0.45">
      <c r="I3414" t="s">
        <v>251</v>
      </c>
      <c r="J3414" t="s">
        <v>163</v>
      </c>
      <c r="K3414">
        <v>4.2800121644051775E-3</v>
      </c>
      <c r="L3414" t="s">
        <v>162</v>
      </c>
      <c r="N3414" t="s">
        <v>363</v>
      </c>
      <c r="O3414" t="s">
        <v>163</v>
      </c>
      <c r="P3414">
        <v>4.0652006722764825E-3</v>
      </c>
      <c r="Q3414" t="s">
        <v>162</v>
      </c>
      <c r="S3414" t="s">
        <v>475</v>
      </c>
      <c r="T3414" t="s">
        <v>163</v>
      </c>
      <c r="U3414">
        <v>4.2927030738000218E-3</v>
      </c>
      <c r="V3414" t="s">
        <v>162</v>
      </c>
    </row>
    <row r="3415" spans="9:22" x14ac:dyDescent="0.45">
      <c r="I3415" t="s">
        <v>251</v>
      </c>
      <c r="J3415" t="s">
        <v>164</v>
      </c>
      <c r="K3415">
        <v>1.2750230531175941E-2</v>
      </c>
      <c r="L3415" t="s">
        <v>162</v>
      </c>
      <c r="N3415" t="s">
        <v>363</v>
      </c>
      <c r="O3415" t="s">
        <v>164</v>
      </c>
      <c r="P3415">
        <v>6.9709484637175221E-3</v>
      </c>
      <c r="Q3415" t="s">
        <v>162</v>
      </c>
      <c r="S3415" t="s">
        <v>475</v>
      </c>
      <c r="T3415" t="s">
        <v>164</v>
      </c>
      <c r="U3415">
        <v>8.8272520197223234E-3</v>
      </c>
      <c r="V3415" t="s">
        <v>162</v>
      </c>
    </row>
    <row r="3416" spans="9:22" x14ac:dyDescent="0.45">
      <c r="I3416" t="s">
        <v>251</v>
      </c>
      <c r="J3416" t="s">
        <v>519</v>
      </c>
      <c r="K3416">
        <v>2.3067804129915916E-2</v>
      </c>
      <c r="L3416" t="s">
        <v>162</v>
      </c>
      <c r="N3416" t="s">
        <v>363</v>
      </c>
      <c r="O3416" t="s">
        <v>519</v>
      </c>
      <c r="P3416">
        <v>1.5391930309773001E-2</v>
      </c>
      <c r="Q3416" t="s">
        <v>162</v>
      </c>
      <c r="S3416" t="s">
        <v>475</v>
      </c>
      <c r="T3416" t="s">
        <v>519</v>
      </c>
      <c r="U3416">
        <v>2.2426971692316815E-2</v>
      </c>
      <c r="V3416" t="s">
        <v>162</v>
      </c>
    </row>
    <row r="3417" spans="9:22" x14ac:dyDescent="0.45">
      <c r="I3417" t="s">
        <v>251</v>
      </c>
      <c r="J3417" t="s">
        <v>520</v>
      </c>
      <c r="K3417">
        <v>0</v>
      </c>
      <c r="L3417" t="s">
        <v>162</v>
      </c>
      <c r="N3417" t="s">
        <v>363</v>
      </c>
      <c r="O3417" t="s">
        <v>520</v>
      </c>
      <c r="P3417">
        <v>3.9440031844311177E-3</v>
      </c>
      <c r="Q3417" t="s">
        <v>162</v>
      </c>
      <c r="S3417" t="s">
        <v>475</v>
      </c>
      <c r="T3417" t="s">
        <v>520</v>
      </c>
      <c r="U3417">
        <v>4.370602216267735E-3</v>
      </c>
      <c r="V3417" t="s">
        <v>162</v>
      </c>
    </row>
    <row r="3418" spans="9:22" x14ac:dyDescent="0.45">
      <c r="I3418" t="s">
        <v>251</v>
      </c>
      <c r="J3418" t="s">
        <v>521</v>
      </c>
      <c r="K3418">
        <v>0</v>
      </c>
      <c r="L3418" t="s">
        <v>162</v>
      </c>
      <c r="N3418" t="s">
        <v>363</v>
      </c>
      <c r="O3418" t="s">
        <v>521</v>
      </c>
      <c r="P3418">
        <v>2.5135034962903806E-2</v>
      </c>
      <c r="Q3418" t="s">
        <v>162</v>
      </c>
      <c r="S3418" t="s">
        <v>475</v>
      </c>
      <c r="T3418" t="s">
        <v>521</v>
      </c>
      <c r="U3418">
        <v>2.5781015974795225E-2</v>
      </c>
      <c r="V3418" t="s">
        <v>162</v>
      </c>
    </row>
    <row r="3419" spans="9:22" x14ac:dyDescent="0.45">
      <c r="I3419" t="s">
        <v>251</v>
      </c>
      <c r="J3419" t="s">
        <v>165</v>
      </c>
      <c r="K3419">
        <v>1.5345240191730719E-2</v>
      </c>
      <c r="L3419" t="s">
        <v>162</v>
      </c>
      <c r="N3419" t="s">
        <v>363</v>
      </c>
      <c r="O3419" t="s">
        <v>165</v>
      </c>
      <c r="P3419">
        <v>4.8501998034277016E-2</v>
      </c>
      <c r="Q3419" t="s">
        <v>162</v>
      </c>
      <c r="S3419" t="s">
        <v>475</v>
      </c>
      <c r="T3419" t="s">
        <v>165</v>
      </c>
      <c r="U3419">
        <v>5.5373686400835995E-2</v>
      </c>
      <c r="V3419" t="s">
        <v>162</v>
      </c>
    </row>
    <row r="3420" spans="9:22" x14ac:dyDescent="0.45">
      <c r="I3420" t="s">
        <v>251</v>
      </c>
      <c r="J3420" t="s">
        <v>166</v>
      </c>
      <c r="K3420">
        <v>1.4933355112112332E-2</v>
      </c>
      <c r="L3420" t="s">
        <v>162</v>
      </c>
      <c r="N3420" t="s">
        <v>363</v>
      </c>
      <c r="O3420" t="s">
        <v>166</v>
      </c>
      <c r="P3420">
        <v>4.665302194546638E-3</v>
      </c>
      <c r="Q3420" t="s">
        <v>162</v>
      </c>
      <c r="S3420" t="s">
        <v>475</v>
      </c>
      <c r="T3420" t="s">
        <v>166</v>
      </c>
      <c r="U3420">
        <v>5.7405558499502929E-3</v>
      </c>
      <c r="V3420" t="s">
        <v>162</v>
      </c>
    </row>
    <row r="3421" spans="9:22" x14ac:dyDescent="0.45">
      <c r="I3421" t="s">
        <v>251</v>
      </c>
      <c r="J3421" t="s">
        <v>167</v>
      </c>
      <c r="K3421">
        <v>3.6281112635649093E-2</v>
      </c>
      <c r="L3421" t="s">
        <v>162</v>
      </c>
      <c r="N3421" t="s">
        <v>363</v>
      </c>
      <c r="O3421" t="s">
        <v>167</v>
      </c>
      <c r="P3421">
        <v>8.1570734133863329E-3</v>
      </c>
      <c r="Q3421" t="s">
        <v>162</v>
      </c>
      <c r="S3421" t="s">
        <v>475</v>
      </c>
      <c r="T3421" t="s">
        <v>167</v>
      </c>
      <c r="U3421">
        <v>1.1317755413119563E-2</v>
      </c>
      <c r="V3421" t="s">
        <v>162</v>
      </c>
    </row>
    <row r="3422" spans="9:22" x14ac:dyDescent="0.45">
      <c r="I3422" t="s">
        <v>251</v>
      </c>
      <c r="J3422" t="s">
        <v>522</v>
      </c>
      <c r="K3422">
        <v>8.0957194482645864E-2</v>
      </c>
      <c r="L3422" t="s">
        <v>162</v>
      </c>
      <c r="N3422" t="s">
        <v>363</v>
      </c>
      <c r="O3422" t="s">
        <v>522</v>
      </c>
      <c r="P3422">
        <v>2.2585569239491853E-2</v>
      </c>
      <c r="Q3422" t="s">
        <v>162</v>
      </c>
      <c r="S3422" t="s">
        <v>475</v>
      </c>
      <c r="T3422" t="s">
        <v>522</v>
      </c>
      <c r="U3422">
        <v>2.9316464877013813E-2</v>
      </c>
      <c r="V3422" t="s">
        <v>162</v>
      </c>
    </row>
    <row r="3423" spans="9:22" x14ac:dyDescent="0.45">
      <c r="I3423" t="s">
        <v>251</v>
      </c>
      <c r="J3423" t="s">
        <v>523</v>
      </c>
      <c r="K3423">
        <v>4.7046395057971377E-3</v>
      </c>
      <c r="L3423" t="s">
        <v>162</v>
      </c>
      <c r="N3423" t="s">
        <v>363</v>
      </c>
      <c r="O3423" t="s">
        <v>523</v>
      </c>
      <c r="P3423">
        <v>5.9943766677367739E-3</v>
      </c>
      <c r="Q3423" t="s">
        <v>162</v>
      </c>
      <c r="S3423" t="s">
        <v>475</v>
      </c>
      <c r="T3423" t="s">
        <v>523</v>
      </c>
      <c r="U3423">
        <v>6.377316938688953E-3</v>
      </c>
      <c r="V3423" t="s">
        <v>162</v>
      </c>
    </row>
    <row r="3424" spans="9:22" x14ac:dyDescent="0.45">
      <c r="I3424" t="s">
        <v>251</v>
      </c>
      <c r="J3424" t="s">
        <v>524</v>
      </c>
      <c r="K3424">
        <v>5.3042772541641854E-4</v>
      </c>
      <c r="L3424" t="s">
        <v>162</v>
      </c>
      <c r="N3424" t="s">
        <v>363</v>
      </c>
      <c r="O3424" t="s">
        <v>524</v>
      </c>
      <c r="P3424">
        <v>3.8471464645090325E-2</v>
      </c>
      <c r="Q3424" t="s">
        <v>162</v>
      </c>
      <c r="S3424" t="s">
        <v>475</v>
      </c>
      <c r="T3424" t="s">
        <v>524</v>
      </c>
      <c r="U3424">
        <v>3.9143328100192228E-2</v>
      </c>
      <c r="V3424" t="s">
        <v>162</v>
      </c>
    </row>
    <row r="3425" spans="9:22" x14ac:dyDescent="0.45">
      <c r="I3425" t="s">
        <v>251</v>
      </c>
      <c r="J3425" t="s">
        <v>168</v>
      </c>
      <c r="K3425">
        <v>2.0661171871473854E-2</v>
      </c>
      <c r="L3425" t="s">
        <v>162</v>
      </c>
      <c r="N3425" t="s">
        <v>363</v>
      </c>
      <c r="O3425" t="s">
        <v>168</v>
      </c>
      <c r="P3425">
        <v>3.1324198935624381E-2</v>
      </c>
      <c r="Q3425" t="s">
        <v>162</v>
      </c>
      <c r="S3425" t="s">
        <v>475</v>
      </c>
      <c r="T3425" t="s">
        <v>168</v>
      </c>
      <c r="U3425">
        <v>3.0326138559686858E-2</v>
      </c>
      <c r="V3425" t="s">
        <v>162</v>
      </c>
    </row>
    <row r="3426" spans="9:22" x14ac:dyDescent="0.45">
      <c r="I3426" t="s">
        <v>251</v>
      </c>
      <c r="J3426" t="s">
        <v>169</v>
      </c>
      <c r="K3426">
        <v>1.0462382089850153E-2</v>
      </c>
      <c r="L3426" t="s">
        <v>162</v>
      </c>
      <c r="N3426" t="s">
        <v>363</v>
      </c>
      <c r="O3426" t="s">
        <v>169</v>
      </c>
      <c r="P3426">
        <v>2.7333442715643335E-3</v>
      </c>
      <c r="Q3426" t="s">
        <v>162</v>
      </c>
      <c r="S3426" t="s">
        <v>475</v>
      </c>
      <c r="T3426" t="s">
        <v>169</v>
      </c>
      <c r="U3426">
        <v>3.3508248401420042E-3</v>
      </c>
      <c r="V3426" t="s">
        <v>162</v>
      </c>
    </row>
    <row r="3427" spans="9:22" x14ac:dyDescent="0.45">
      <c r="I3427" t="s">
        <v>251</v>
      </c>
      <c r="J3427" t="s">
        <v>170</v>
      </c>
      <c r="K3427">
        <v>2.3282409594030114E-2</v>
      </c>
      <c r="L3427" t="s">
        <v>162</v>
      </c>
      <c r="N3427" t="s">
        <v>363</v>
      </c>
      <c r="O3427" t="s">
        <v>170</v>
      </c>
      <c r="P3427">
        <v>5.96300868539292E-3</v>
      </c>
      <c r="Q3427" t="s">
        <v>162</v>
      </c>
      <c r="S3427" t="s">
        <v>475</v>
      </c>
      <c r="T3427" t="s">
        <v>170</v>
      </c>
      <c r="U3427">
        <v>6.8332190976589571E-3</v>
      </c>
      <c r="V3427" t="s">
        <v>162</v>
      </c>
    </row>
    <row r="3428" spans="9:22" x14ac:dyDescent="0.45">
      <c r="I3428" t="s">
        <v>251</v>
      </c>
      <c r="J3428" t="s">
        <v>525</v>
      </c>
      <c r="K3428">
        <v>5.3450152392583147E-2</v>
      </c>
      <c r="L3428" t="s">
        <v>162</v>
      </c>
      <c r="N3428" t="s">
        <v>363</v>
      </c>
      <c r="O3428" t="s">
        <v>525</v>
      </c>
      <c r="P3428">
        <v>1.8342494001431772E-2</v>
      </c>
      <c r="Q3428" t="s">
        <v>162</v>
      </c>
      <c r="S3428" t="s">
        <v>475</v>
      </c>
      <c r="T3428" t="s">
        <v>525</v>
      </c>
      <c r="U3428">
        <v>1.7602439113957011E-2</v>
      </c>
      <c r="V3428" t="s">
        <v>162</v>
      </c>
    </row>
    <row r="3429" spans="9:22" x14ac:dyDescent="0.45">
      <c r="I3429" t="s">
        <v>251</v>
      </c>
      <c r="J3429" t="s">
        <v>526</v>
      </c>
      <c r="K3429">
        <v>6.0673043824295047E-3</v>
      </c>
      <c r="L3429" t="s">
        <v>162</v>
      </c>
      <c r="N3429" t="s">
        <v>363</v>
      </c>
      <c r="O3429" t="s">
        <v>526</v>
      </c>
      <c r="P3429">
        <v>3.9580208242063807E-3</v>
      </c>
      <c r="Q3429" t="s">
        <v>162</v>
      </c>
      <c r="S3429" t="s">
        <v>475</v>
      </c>
      <c r="T3429" t="s">
        <v>526</v>
      </c>
      <c r="U3429">
        <v>3.5530616021559273E-3</v>
      </c>
      <c r="V3429" t="s">
        <v>162</v>
      </c>
    </row>
    <row r="3430" spans="9:22" x14ac:dyDescent="0.45">
      <c r="I3430" t="s">
        <v>251</v>
      </c>
      <c r="J3430" t="s">
        <v>527</v>
      </c>
      <c r="K3430">
        <v>3.5700149859168541E-3</v>
      </c>
      <c r="L3430" t="s">
        <v>162</v>
      </c>
      <c r="N3430" t="s">
        <v>363</v>
      </c>
      <c r="O3430" t="s">
        <v>527</v>
      </c>
      <c r="P3430">
        <v>2.6578919164231881E-2</v>
      </c>
      <c r="Q3430" t="s">
        <v>162</v>
      </c>
      <c r="S3430" t="s">
        <v>475</v>
      </c>
      <c r="T3430" t="s">
        <v>527</v>
      </c>
      <c r="U3430">
        <v>2.1035478670676691E-2</v>
      </c>
      <c r="V3430" t="s">
        <v>162</v>
      </c>
    </row>
    <row r="3431" spans="9:22" x14ac:dyDescent="0.45">
      <c r="I3431" t="s">
        <v>251</v>
      </c>
      <c r="J3431" t="s">
        <v>528</v>
      </c>
      <c r="K3431">
        <v>9.165413180272293E-2</v>
      </c>
      <c r="L3431" t="s">
        <v>162</v>
      </c>
      <c r="N3431" t="s">
        <v>363</v>
      </c>
      <c r="O3431" t="s">
        <v>528</v>
      </c>
      <c r="P3431">
        <v>9.317227080609003E-2</v>
      </c>
      <c r="Q3431" t="s">
        <v>162</v>
      </c>
      <c r="S3431" t="s">
        <v>475</v>
      </c>
      <c r="T3431" t="s">
        <v>528</v>
      </c>
      <c r="U3431">
        <v>8.324273697472194E-2</v>
      </c>
      <c r="V3431" t="s">
        <v>162</v>
      </c>
    </row>
    <row r="3432" spans="9:22" x14ac:dyDescent="0.45">
      <c r="I3432" t="s">
        <v>251</v>
      </c>
      <c r="J3432" t="s">
        <v>529</v>
      </c>
      <c r="K3432">
        <v>3.3060080694258039E-2</v>
      </c>
      <c r="L3432" t="s">
        <v>162</v>
      </c>
      <c r="N3432" t="s">
        <v>363</v>
      </c>
      <c r="O3432" t="s">
        <v>529</v>
      </c>
      <c r="P3432">
        <v>8.6438768769319455E-3</v>
      </c>
      <c r="Q3432" t="s">
        <v>162</v>
      </c>
      <c r="S3432" t="s">
        <v>475</v>
      </c>
      <c r="T3432" t="s">
        <v>529</v>
      </c>
      <c r="U3432">
        <v>9.0073723529003353E-3</v>
      </c>
      <c r="V3432" t="s">
        <v>162</v>
      </c>
    </row>
    <row r="3433" spans="9:22" x14ac:dyDescent="0.45">
      <c r="I3433" t="s">
        <v>251</v>
      </c>
      <c r="J3433" t="s">
        <v>530</v>
      </c>
      <c r="K3433">
        <v>6.9429840891810604E-2</v>
      </c>
      <c r="L3433" t="s">
        <v>162</v>
      </c>
      <c r="N3433" t="s">
        <v>363</v>
      </c>
      <c r="O3433" t="s">
        <v>530</v>
      </c>
      <c r="P3433">
        <v>1.8685831511949275E-2</v>
      </c>
      <c r="Q3433" t="s">
        <v>162</v>
      </c>
      <c r="S3433" t="s">
        <v>475</v>
      </c>
      <c r="T3433" t="s">
        <v>530</v>
      </c>
      <c r="U3433">
        <v>1.8025753391927985E-2</v>
      </c>
      <c r="V3433" t="s">
        <v>162</v>
      </c>
    </row>
    <row r="3434" spans="9:22" x14ac:dyDescent="0.45">
      <c r="I3434" t="s">
        <v>251</v>
      </c>
      <c r="J3434" t="s">
        <v>531</v>
      </c>
      <c r="K3434">
        <v>0.16320495558766793</v>
      </c>
      <c r="L3434" t="s">
        <v>162</v>
      </c>
      <c r="N3434" t="s">
        <v>363</v>
      </c>
      <c r="O3434" t="s">
        <v>531</v>
      </c>
      <c r="P3434">
        <v>4.9194988588143751E-2</v>
      </c>
      <c r="Q3434" t="s">
        <v>162</v>
      </c>
      <c r="S3434" t="s">
        <v>475</v>
      </c>
      <c r="T3434" t="s">
        <v>531</v>
      </c>
      <c r="U3434">
        <v>4.5507277645249818E-2</v>
      </c>
      <c r="V3434" t="s">
        <v>162</v>
      </c>
    </row>
    <row r="3435" spans="9:22" x14ac:dyDescent="0.45">
      <c r="I3435" t="s">
        <v>251</v>
      </c>
      <c r="J3435" t="s">
        <v>532</v>
      </c>
      <c r="K3435">
        <v>2.3417194657364988E-2</v>
      </c>
      <c r="L3435" t="s">
        <v>162</v>
      </c>
      <c r="N3435" t="s">
        <v>363</v>
      </c>
      <c r="O3435" t="s">
        <v>532</v>
      </c>
      <c r="P3435">
        <v>9.1875860201505143E-3</v>
      </c>
      <c r="Q3435" t="s">
        <v>162</v>
      </c>
      <c r="S3435" t="s">
        <v>475</v>
      </c>
      <c r="T3435" t="s">
        <v>532</v>
      </c>
      <c r="U3435">
        <v>8.8841233152683365E-3</v>
      </c>
      <c r="V3435" t="s">
        <v>162</v>
      </c>
    </row>
    <row r="3436" spans="9:22" x14ac:dyDescent="0.45">
      <c r="I3436" t="s">
        <v>251</v>
      </c>
      <c r="J3436" t="s">
        <v>533</v>
      </c>
      <c r="K3436">
        <v>2.7512844670980183E-2</v>
      </c>
      <c r="L3436" t="s">
        <v>162</v>
      </c>
      <c r="N3436" t="s">
        <v>363</v>
      </c>
      <c r="O3436" t="s">
        <v>533</v>
      </c>
      <c r="P3436">
        <v>6.5619079431535596E-2</v>
      </c>
      <c r="Q3436" t="s">
        <v>162</v>
      </c>
      <c r="S3436" t="s">
        <v>475</v>
      </c>
      <c r="T3436" t="s">
        <v>533</v>
      </c>
      <c r="U3436">
        <v>5.3336515370584946E-2</v>
      </c>
      <c r="V3436" t="s">
        <v>162</v>
      </c>
    </row>
    <row r="3437" spans="9:22" x14ac:dyDescent="0.45">
      <c r="I3437" t="s">
        <v>251</v>
      </c>
      <c r="J3437" t="s">
        <v>534</v>
      </c>
      <c r="K3437">
        <v>4.1149866933394341E-2</v>
      </c>
      <c r="L3437" t="s">
        <v>162</v>
      </c>
      <c r="N3437" t="s">
        <v>363</v>
      </c>
      <c r="O3437" t="s">
        <v>534</v>
      </c>
      <c r="P3437">
        <v>9.9010404397537402E-2</v>
      </c>
      <c r="Q3437" t="s">
        <v>162</v>
      </c>
      <c r="S3437" t="s">
        <v>475</v>
      </c>
      <c r="T3437" t="s">
        <v>534</v>
      </c>
      <c r="U3437">
        <v>9.4420561479751378E-2</v>
      </c>
      <c r="V3437" t="s">
        <v>162</v>
      </c>
    </row>
    <row r="3438" spans="9:22" x14ac:dyDescent="0.45">
      <c r="I3438" t="s">
        <v>251</v>
      </c>
      <c r="J3438" t="s">
        <v>535</v>
      </c>
      <c r="K3438">
        <v>2.1331386990203028E-2</v>
      </c>
      <c r="L3438" t="s">
        <v>162</v>
      </c>
      <c r="N3438" t="s">
        <v>363</v>
      </c>
      <c r="O3438" t="s">
        <v>535</v>
      </c>
      <c r="P3438">
        <v>9.3856697151364129E-3</v>
      </c>
      <c r="Q3438" t="s">
        <v>162</v>
      </c>
      <c r="S3438" t="s">
        <v>475</v>
      </c>
      <c r="T3438" t="s">
        <v>535</v>
      </c>
      <c r="U3438">
        <v>1.0492780025866002E-2</v>
      </c>
      <c r="V3438" t="s">
        <v>162</v>
      </c>
    </row>
    <row r="3439" spans="9:22" x14ac:dyDescent="0.45">
      <c r="I3439" t="s">
        <v>251</v>
      </c>
      <c r="J3439" t="s">
        <v>536</v>
      </c>
      <c r="K3439">
        <v>4.5700366202409325E-2</v>
      </c>
      <c r="L3439" t="s">
        <v>162</v>
      </c>
      <c r="N3439" t="s">
        <v>363</v>
      </c>
      <c r="O3439" t="s">
        <v>536</v>
      </c>
      <c r="P3439">
        <v>1.8379584946051221E-2</v>
      </c>
      <c r="Q3439" t="s">
        <v>162</v>
      </c>
      <c r="S3439" t="s">
        <v>475</v>
      </c>
      <c r="T3439" t="s">
        <v>536</v>
      </c>
      <c r="U3439">
        <v>2.1467564882916651E-2</v>
      </c>
      <c r="V3439" t="s">
        <v>162</v>
      </c>
    </row>
    <row r="3440" spans="9:22" x14ac:dyDescent="0.45">
      <c r="I3440" t="s">
        <v>251</v>
      </c>
      <c r="J3440" t="s">
        <v>537</v>
      </c>
      <c r="K3440">
        <v>9.7149792033019614E-2</v>
      </c>
      <c r="L3440" t="s">
        <v>162</v>
      </c>
      <c r="N3440" t="s">
        <v>363</v>
      </c>
      <c r="O3440" t="s">
        <v>537</v>
      </c>
      <c r="P3440">
        <v>4.5878664053530298E-2</v>
      </c>
      <c r="Q3440" t="s">
        <v>162</v>
      </c>
      <c r="S3440" t="s">
        <v>475</v>
      </c>
      <c r="T3440" t="s">
        <v>537</v>
      </c>
      <c r="U3440">
        <v>5.3451199469545893E-2</v>
      </c>
      <c r="V3440" t="s">
        <v>162</v>
      </c>
    </row>
    <row r="3441" spans="9:22" x14ac:dyDescent="0.45">
      <c r="I3441" t="s">
        <v>251</v>
      </c>
      <c r="J3441" t="s">
        <v>538</v>
      </c>
      <c r="K3441">
        <v>9.0030603905566168E-3</v>
      </c>
      <c r="L3441" t="s">
        <v>162</v>
      </c>
      <c r="N3441" t="s">
        <v>363</v>
      </c>
      <c r="O3441" t="s">
        <v>538</v>
      </c>
      <c r="P3441">
        <v>9.1459704241139972E-3</v>
      </c>
      <c r="Q3441" t="s">
        <v>162</v>
      </c>
      <c r="S3441" t="s">
        <v>475</v>
      </c>
      <c r="T3441" t="s">
        <v>538</v>
      </c>
      <c r="U3441">
        <v>1.008926552157613E-2</v>
      </c>
      <c r="V3441" t="s">
        <v>162</v>
      </c>
    </row>
    <row r="3442" spans="9:22" x14ac:dyDescent="0.45">
      <c r="I3442" t="s">
        <v>251</v>
      </c>
      <c r="J3442" t="s">
        <v>539</v>
      </c>
      <c r="K3442">
        <v>4.6682892212605819E-3</v>
      </c>
      <c r="L3442" t="s">
        <v>162</v>
      </c>
      <c r="N3442" t="s">
        <v>363</v>
      </c>
      <c r="O3442" t="s">
        <v>539</v>
      </c>
      <c r="P3442">
        <v>6.603468272990333E-2</v>
      </c>
      <c r="Q3442" t="s">
        <v>162</v>
      </c>
      <c r="S3442" t="s">
        <v>475</v>
      </c>
      <c r="T3442" t="s">
        <v>539</v>
      </c>
      <c r="U3442">
        <v>6.3115122664836279E-2</v>
      </c>
      <c r="V3442" t="s">
        <v>162</v>
      </c>
    </row>
    <row r="3443" spans="9:22" x14ac:dyDescent="0.45">
      <c r="I3443" t="s">
        <v>251</v>
      </c>
      <c r="J3443" t="s">
        <v>540</v>
      </c>
      <c r="K3443">
        <v>2.520995888457321E-3</v>
      </c>
      <c r="L3443" t="s">
        <v>162</v>
      </c>
      <c r="N3443" t="s">
        <v>363</v>
      </c>
      <c r="O3443" t="s">
        <v>540</v>
      </c>
      <c r="P3443">
        <v>4.2500928496930254E-2</v>
      </c>
      <c r="Q3443" t="s">
        <v>162</v>
      </c>
      <c r="S3443" t="s">
        <v>475</v>
      </c>
      <c r="T3443" t="s">
        <v>540</v>
      </c>
      <c r="U3443">
        <v>3.3686978260810324E-2</v>
      </c>
      <c r="V3443" t="s">
        <v>162</v>
      </c>
    </row>
    <row r="3444" spans="9:22" x14ac:dyDescent="0.45">
      <c r="I3444" t="s">
        <v>251</v>
      </c>
      <c r="J3444" t="s">
        <v>541</v>
      </c>
      <c r="K3444">
        <v>3.3116071002060204E-3</v>
      </c>
      <c r="L3444" t="s">
        <v>162</v>
      </c>
      <c r="N3444" t="s">
        <v>363</v>
      </c>
      <c r="O3444" t="s">
        <v>541</v>
      </c>
      <c r="P3444">
        <v>3.7878976357541942E-3</v>
      </c>
      <c r="Q3444" t="s">
        <v>162</v>
      </c>
      <c r="S3444" t="s">
        <v>475</v>
      </c>
      <c r="T3444" t="s">
        <v>541</v>
      </c>
      <c r="U3444">
        <v>3.608781832055946E-3</v>
      </c>
      <c r="V3444" t="s">
        <v>162</v>
      </c>
    </row>
    <row r="3445" spans="9:22" x14ac:dyDescent="0.45">
      <c r="I3445" t="s">
        <v>251</v>
      </c>
      <c r="J3445" t="s">
        <v>542</v>
      </c>
      <c r="K3445">
        <v>8.0026293380201577E-3</v>
      </c>
      <c r="L3445" t="s">
        <v>162</v>
      </c>
      <c r="N3445" t="s">
        <v>363</v>
      </c>
      <c r="O3445" t="s">
        <v>542</v>
      </c>
      <c r="P3445">
        <v>6.641263246500868E-3</v>
      </c>
      <c r="Q3445" t="s">
        <v>162</v>
      </c>
      <c r="S3445" t="s">
        <v>475</v>
      </c>
      <c r="T3445" t="s">
        <v>542</v>
      </c>
      <c r="U3445">
        <v>7.2310048699436883E-3</v>
      </c>
      <c r="V3445" t="s">
        <v>162</v>
      </c>
    </row>
    <row r="3446" spans="9:22" x14ac:dyDescent="0.45">
      <c r="I3446" t="s">
        <v>251</v>
      </c>
      <c r="J3446" t="s">
        <v>543</v>
      </c>
      <c r="K3446">
        <v>1.4037293101247041E-2</v>
      </c>
      <c r="L3446" t="s">
        <v>162</v>
      </c>
      <c r="N3446" t="s">
        <v>363</v>
      </c>
      <c r="O3446" t="s">
        <v>543</v>
      </c>
      <c r="P3446">
        <v>1.7184192280754084E-2</v>
      </c>
      <c r="Q3446" t="s">
        <v>162</v>
      </c>
      <c r="S3446" t="s">
        <v>475</v>
      </c>
      <c r="T3446" t="s">
        <v>543</v>
      </c>
      <c r="U3446">
        <v>1.8452493389228546E-2</v>
      </c>
      <c r="V3446" t="s">
        <v>162</v>
      </c>
    </row>
    <row r="3447" spans="9:22" x14ac:dyDescent="0.45">
      <c r="I3447" t="s">
        <v>251</v>
      </c>
      <c r="J3447" t="s">
        <v>544</v>
      </c>
      <c r="K3447">
        <v>0</v>
      </c>
      <c r="L3447" t="s">
        <v>162</v>
      </c>
      <c r="N3447" t="s">
        <v>363</v>
      </c>
      <c r="O3447" t="s">
        <v>544</v>
      </c>
      <c r="P3447">
        <v>4.340361446175162E-3</v>
      </c>
      <c r="Q3447" t="s">
        <v>162</v>
      </c>
      <c r="S3447" t="s">
        <v>475</v>
      </c>
      <c r="T3447" t="s">
        <v>544</v>
      </c>
      <c r="U3447">
        <v>3.6775879350635153E-3</v>
      </c>
      <c r="V3447" t="s">
        <v>162</v>
      </c>
    </row>
    <row r="3448" spans="9:22" x14ac:dyDescent="0.45">
      <c r="I3448" t="s">
        <v>251</v>
      </c>
      <c r="J3448" t="s">
        <v>545</v>
      </c>
      <c r="K3448">
        <v>0</v>
      </c>
      <c r="L3448" t="s">
        <v>162</v>
      </c>
      <c r="N3448" t="s">
        <v>363</v>
      </c>
      <c r="O3448" t="s">
        <v>545</v>
      </c>
      <c r="P3448">
        <v>2.7332411049693525E-2</v>
      </c>
      <c r="Q3448" t="s">
        <v>162</v>
      </c>
      <c r="S3448" t="s">
        <v>475</v>
      </c>
      <c r="T3448" t="s">
        <v>545</v>
      </c>
      <c r="U3448">
        <v>2.1824893054560483E-2</v>
      </c>
      <c r="V3448" t="s">
        <v>162</v>
      </c>
    </row>
    <row r="3449" spans="9:22" x14ac:dyDescent="0.45">
      <c r="I3449" t="s">
        <v>251</v>
      </c>
      <c r="J3449" t="s">
        <v>546</v>
      </c>
      <c r="K3449">
        <v>6.5474499517592622E-4</v>
      </c>
      <c r="L3449" t="s">
        <v>162</v>
      </c>
      <c r="N3449" t="s">
        <v>363</v>
      </c>
      <c r="O3449" t="s">
        <v>546</v>
      </c>
      <c r="P3449">
        <v>3.5537914655239942E-2</v>
      </c>
      <c r="Q3449" t="s">
        <v>162</v>
      </c>
      <c r="S3449" t="s">
        <v>475</v>
      </c>
      <c r="T3449" t="s">
        <v>546</v>
      </c>
      <c r="U3449">
        <v>3.8766734324598269E-2</v>
      </c>
      <c r="V3449" t="s">
        <v>162</v>
      </c>
    </row>
    <row r="3450" spans="9:22" x14ac:dyDescent="0.45">
      <c r="I3450" t="s">
        <v>251</v>
      </c>
      <c r="J3450" t="s">
        <v>547</v>
      </c>
      <c r="K3450">
        <v>3.4642261454695773E-3</v>
      </c>
      <c r="L3450" t="s">
        <v>162</v>
      </c>
      <c r="N3450" t="s">
        <v>363</v>
      </c>
      <c r="O3450" t="s">
        <v>547</v>
      </c>
      <c r="P3450">
        <v>3.6427991486144618E-3</v>
      </c>
      <c r="Q3450" t="s">
        <v>162</v>
      </c>
      <c r="S3450" t="s">
        <v>475</v>
      </c>
      <c r="T3450" t="s">
        <v>547</v>
      </c>
      <c r="U3450">
        <v>4.4354248928812909E-3</v>
      </c>
      <c r="V3450" t="s">
        <v>162</v>
      </c>
    </row>
    <row r="3451" spans="9:22" x14ac:dyDescent="0.45">
      <c r="I3451" t="s">
        <v>251</v>
      </c>
      <c r="J3451" t="s">
        <v>548</v>
      </c>
      <c r="K3451">
        <v>1.0943672513787901E-2</v>
      </c>
      <c r="L3451" t="s">
        <v>162</v>
      </c>
      <c r="N3451" t="s">
        <v>363</v>
      </c>
      <c r="O3451" t="s">
        <v>548</v>
      </c>
      <c r="P3451">
        <v>6.437785428288316E-3</v>
      </c>
      <c r="Q3451" t="s">
        <v>162</v>
      </c>
      <c r="S3451" t="s">
        <v>475</v>
      </c>
      <c r="T3451" t="s">
        <v>548</v>
      </c>
      <c r="U3451">
        <v>9.2540825551632264E-3</v>
      </c>
      <c r="V3451" t="s">
        <v>162</v>
      </c>
    </row>
    <row r="3452" spans="9:22" x14ac:dyDescent="0.45">
      <c r="I3452" t="s">
        <v>251</v>
      </c>
      <c r="J3452" t="s">
        <v>549</v>
      </c>
      <c r="K3452">
        <v>1.7835229427763687E-2</v>
      </c>
      <c r="L3452" t="s">
        <v>162</v>
      </c>
      <c r="N3452" t="s">
        <v>363</v>
      </c>
      <c r="O3452" t="s">
        <v>549</v>
      </c>
      <c r="P3452">
        <v>1.6121815497065296E-2</v>
      </c>
      <c r="Q3452" t="s">
        <v>162</v>
      </c>
      <c r="S3452" t="s">
        <v>475</v>
      </c>
      <c r="T3452" t="s">
        <v>549</v>
      </c>
      <c r="U3452">
        <v>2.392864438486951E-2</v>
      </c>
      <c r="V3452" t="s">
        <v>162</v>
      </c>
    </row>
    <row r="3453" spans="9:22" x14ac:dyDescent="0.45">
      <c r="I3453" t="s">
        <v>251</v>
      </c>
      <c r="J3453" t="s">
        <v>550</v>
      </c>
      <c r="K3453">
        <v>0</v>
      </c>
      <c r="L3453" t="s">
        <v>162</v>
      </c>
      <c r="N3453" t="s">
        <v>363</v>
      </c>
      <c r="O3453" t="s">
        <v>550</v>
      </c>
      <c r="P3453">
        <v>4.2096351095409421E-3</v>
      </c>
      <c r="Q3453" t="s">
        <v>162</v>
      </c>
      <c r="S3453" t="s">
        <v>475</v>
      </c>
      <c r="T3453" t="s">
        <v>550</v>
      </c>
      <c r="U3453">
        <v>4.6660091708207304E-3</v>
      </c>
      <c r="V3453" t="s">
        <v>162</v>
      </c>
    </row>
    <row r="3454" spans="9:22" x14ac:dyDescent="0.45">
      <c r="I3454" t="s">
        <v>251</v>
      </c>
      <c r="J3454" t="s">
        <v>551</v>
      </c>
      <c r="K3454">
        <v>0</v>
      </c>
      <c r="L3454" t="s">
        <v>162</v>
      </c>
      <c r="N3454" t="s">
        <v>363</v>
      </c>
      <c r="O3454" t="s">
        <v>551</v>
      </c>
      <c r="P3454">
        <v>2.6544426696075662E-2</v>
      </c>
      <c r="Q3454" t="s">
        <v>162</v>
      </c>
      <c r="S3454" t="s">
        <v>475</v>
      </c>
      <c r="T3454" t="s">
        <v>551</v>
      </c>
      <c r="U3454">
        <v>2.7010784124394661E-2</v>
      </c>
      <c r="V3454" t="s">
        <v>162</v>
      </c>
    </row>
    <row r="3455" spans="9:22" x14ac:dyDescent="0.45">
      <c r="I3455" t="s">
        <v>252</v>
      </c>
      <c r="J3455" t="s">
        <v>161</v>
      </c>
      <c r="K3455">
        <v>6.1541553197627183E-7</v>
      </c>
      <c r="L3455" t="s">
        <v>162</v>
      </c>
      <c r="N3455" t="s">
        <v>364</v>
      </c>
      <c r="O3455" t="s">
        <v>161</v>
      </c>
      <c r="P3455">
        <v>3.1941854118954546E-2</v>
      </c>
      <c r="Q3455" t="s">
        <v>162</v>
      </c>
      <c r="S3455" t="s">
        <v>476</v>
      </c>
      <c r="T3455" t="s">
        <v>161</v>
      </c>
      <c r="U3455">
        <v>4.2341962985216738E-2</v>
      </c>
      <c r="V3455" t="s">
        <v>162</v>
      </c>
    </row>
    <row r="3456" spans="9:22" x14ac:dyDescent="0.45">
      <c r="I3456" t="s">
        <v>252</v>
      </c>
      <c r="J3456" t="s">
        <v>163</v>
      </c>
      <c r="K3456">
        <v>3.9535797381231239E-3</v>
      </c>
      <c r="L3456" t="s">
        <v>162</v>
      </c>
      <c r="N3456" t="s">
        <v>364</v>
      </c>
      <c r="O3456" t="s">
        <v>163</v>
      </c>
      <c r="P3456">
        <v>3.3937513910040898E-3</v>
      </c>
      <c r="Q3456" t="s">
        <v>162</v>
      </c>
      <c r="S3456" t="s">
        <v>476</v>
      </c>
      <c r="T3456" t="s">
        <v>163</v>
      </c>
      <c r="U3456">
        <v>4.8093471891469874E-3</v>
      </c>
      <c r="V3456" t="s">
        <v>162</v>
      </c>
    </row>
    <row r="3457" spans="9:22" x14ac:dyDescent="0.45">
      <c r="I3457" t="s">
        <v>252</v>
      </c>
      <c r="J3457" t="s">
        <v>164</v>
      </c>
      <c r="K3457">
        <v>1.3445021096298609E-2</v>
      </c>
      <c r="L3457" t="s">
        <v>162</v>
      </c>
      <c r="N3457" t="s">
        <v>364</v>
      </c>
      <c r="O3457" t="s">
        <v>164</v>
      </c>
      <c r="P3457">
        <v>6.7201959891516503E-3</v>
      </c>
      <c r="Q3457" t="s">
        <v>162</v>
      </c>
      <c r="S3457" t="s">
        <v>476</v>
      </c>
      <c r="T3457" t="s">
        <v>164</v>
      </c>
      <c r="U3457">
        <v>9.6924139555870023E-3</v>
      </c>
      <c r="V3457" t="s">
        <v>162</v>
      </c>
    </row>
    <row r="3458" spans="9:22" x14ac:dyDescent="0.45">
      <c r="I3458" t="s">
        <v>252</v>
      </c>
      <c r="J3458" t="s">
        <v>519</v>
      </c>
      <c r="K3458">
        <v>2.6248619229599115E-2</v>
      </c>
      <c r="L3458" t="s">
        <v>162</v>
      </c>
      <c r="N3458" t="s">
        <v>364</v>
      </c>
      <c r="O3458" t="s">
        <v>519</v>
      </c>
      <c r="P3458">
        <v>1.6773744670999742E-2</v>
      </c>
      <c r="Q3458" t="s">
        <v>162</v>
      </c>
      <c r="S3458" t="s">
        <v>476</v>
      </c>
      <c r="T3458" t="s">
        <v>519</v>
      </c>
      <c r="U3458">
        <v>2.4993624677161722E-2</v>
      </c>
      <c r="V3458" t="s">
        <v>162</v>
      </c>
    </row>
    <row r="3459" spans="9:22" x14ac:dyDescent="0.45">
      <c r="I3459" t="s">
        <v>252</v>
      </c>
      <c r="J3459" t="s">
        <v>520</v>
      </c>
      <c r="K3459">
        <v>0</v>
      </c>
      <c r="L3459" t="s">
        <v>162</v>
      </c>
      <c r="N3459" t="s">
        <v>364</v>
      </c>
      <c r="O3459" t="s">
        <v>520</v>
      </c>
      <c r="P3459">
        <v>3.5251152955367271E-3</v>
      </c>
      <c r="Q3459" t="s">
        <v>162</v>
      </c>
      <c r="S3459" t="s">
        <v>476</v>
      </c>
      <c r="T3459" t="s">
        <v>520</v>
      </c>
      <c r="U3459">
        <v>4.8884957483159236E-3</v>
      </c>
      <c r="V3459" t="s">
        <v>162</v>
      </c>
    </row>
    <row r="3460" spans="9:22" x14ac:dyDescent="0.45">
      <c r="I3460" t="s">
        <v>252</v>
      </c>
      <c r="J3460" t="s">
        <v>521</v>
      </c>
      <c r="K3460">
        <v>0</v>
      </c>
      <c r="L3460" t="s">
        <v>162</v>
      </c>
      <c r="N3460" t="s">
        <v>364</v>
      </c>
      <c r="O3460" t="s">
        <v>521</v>
      </c>
      <c r="P3460">
        <v>2.2952248899277557E-2</v>
      </c>
      <c r="Q3460" t="s">
        <v>162</v>
      </c>
      <c r="S3460" t="s">
        <v>476</v>
      </c>
      <c r="T3460" t="s">
        <v>521</v>
      </c>
      <c r="U3460">
        <v>2.8784861802261065E-2</v>
      </c>
      <c r="V3460" t="s">
        <v>162</v>
      </c>
    </row>
    <row r="3461" spans="9:22" x14ac:dyDescent="0.45">
      <c r="I3461" t="s">
        <v>252</v>
      </c>
      <c r="J3461" t="s">
        <v>165</v>
      </c>
      <c r="K3461">
        <v>1.2780199763098273E-2</v>
      </c>
      <c r="L3461" t="s">
        <v>162</v>
      </c>
      <c r="N3461" t="s">
        <v>364</v>
      </c>
      <c r="O3461" t="s">
        <v>165</v>
      </c>
      <c r="P3461">
        <v>5.9904984794426006E-2</v>
      </c>
      <c r="Q3461" t="s">
        <v>162</v>
      </c>
      <c r="S3461" t="s">
        <v>476</v>
      </c>
      <c r="T3461" t="s">
        <v>165</v>
      </c>
      <c r="U3461">
        <v>5.598783604419897E-2</v>
      </c>
      <c r="V3461" t="s">
        <v>162</v>
      </c>
    </row>
    <row r="3462" spans="9:22" x14ac:dyDescent="0.45">
      <c r="I3462" t="s">
        <v>252</v>
      </c>
      <c r="J3462" t="s">
        <v>166</v>
      </c>
      <c r="K3462">
        <v>1.4550611674601786E-2</v>
      </c>
      <c r="L3462" t="s">
        <v>162</v>
      </c>
      <c r="N3462" t="s">
        <v>364</v>
      </c>
      <c r="O3462" t="s">
        <v>166</v>
      </c>
      <c r="P3462">
        <v>5.8297421368749044E-3</v>
      </c>
      <c r="Q3462" t="s">
        <v>162</v>
      </c>
      <c r="S3462" t="s">
        <v>476</v>
      </c>
      <c r="T3462" t="s">
        <v>166</v>
      </c>
      <c r="U3462">
        <v>6.5369730455101032E-3</v>
      </c>
      <c r="V3462" t="s">
        <v>162</v>
      </c>
    </row>
    <row r="3463" spans="9:22" x14ac:dyDescent="0.45">
      <c r="I3463" t="s">
        <v>252</v>
      </c>
      <c r="J3463" t="s">
        <v>167</v>
      </c>
      <c r="K3463">
        <v>3.7562768376676721E-2</v>
      </c>
      <c r="L3463" t="s">
        <v>162</v>
      </c>
      <c r="N3463" t="s">
        <v>364</v>
      </c>
      <c r="O3463" t="s">
        <v>167</v>
      </c>
      <c r="P3463">
        <v>1.068915468868801E-2</v>
      </c>
      <c r="Q3463" t="s">
        <v>162</v>
      </c>
      <c r="S3463" t="s">
        <v>476</v>
      </c>
      <c r="T3463" t="s">
        <v>167</v>
      </c>
      <c r="U3463">
        <v>1.294807029623586E-2</v>
      </c>
      <c r="V3463" t="s">
        <v>162</v>
      </c>
    </row>
    <row r="3464" spans="9:22" x14ac:dyDescent="0.45">
      <c r="I3464" t="s">
        <v>252</v>
      </c>
      <c r="J3464" t="s">
        <v>522</v>
      </c>
      <c r="K3464">
        <v>8.5676328832960433E-2</v>
      </c>
      <c r="L3464" t="s">
        <v>162</v>
      </c>
      <c r="N3464" t="s">
        <v>364</v>
      </c>
      <c r="O3464" t="s">
        <v>522</v>
      </c>
      <c r="P3464">
        <v>2.7837929133609239E-2</v>
      </c>
      <c r="Q3464" t="s">
        <v>162</v>
      </c>
      <c r="S3464" t="s">
        <v>476</v>
      </c>
      <c r="T3464" t="s">
        <v>522</v>
      </c>
      <c r="U3464">
        <v>3.1825531757500733E-2</v>
      </c>
      <c r="V3464" t="s">
        <v>162</v>
      </c>
    </row>
    <row r="3465" spans="9:22" x14ac:dyDescent="0.45">
      <c r="I3465" t="s">
        <v>252</v>
      </c>
      <c r="J3465" t="s">
        <v>523</v>
      </c>
      <c r="K3465">
        <v>6.647385331345638E-3</v>
      </c>
      <c r="L3465" t="s">
        <v>162</v>
      </c>
      <c r="N3465" t="s">
        <v>364</v>
      </c>
      <c r="O3465" t="s">
        <v>523</v>
      </c>
      <c r="P3465">
        <v>6.9269086066693041E-3</v>
      </c>
      <c r="Q3465" t="s">
        <v>162</v>
      </c>
      <c r="S3465" t="s">
        <v>476</v>
      </c>
      <c r="T3465" t="s">
        <v>523</v>
      </c>
      <c r="U3465">
        <v>6.3624367027991947E-3</v>
      </c>
      <c r="V3465" t="s">
        <v>162</v>
      </c>
    </row>
    <row r="3466" spans="9:22" x14ac:dyDescent="0.45">
      <c r="I3466" t="s">
        <v>252</v>
      </c>
      <c r="J3466" t="s">
        <v>524</v>
      </c>
      <c r="K3466">
        <v>1.273306178006206E-3</v>
      </c>
      <c r="L3466" t="s">
        <v>162</v>
      </c>
      <c r="N3466" t="s">
        <v>364</v>
      </c>
      <c r="O3466" t="s">
        <v>524</v>
      </c>
      <c r="P3466">
        <v>4.417741427017597E-2</v>
      </c>
      <c r="Q3466" t="s">
        <v>162</v>
      </c>
      <c r="S3466" t="s">
        <v>476</v>
      </c>
      <c r="T3466" t="s">
        <v>524</v>
      </c>
      <c r="U3466">
        <v>3.8228597214718746E-2</v>
      </c>
      <c r="V3466" t="s">
        <v>162</v>
      </c>
    </row>
    <row r="3467" spans="9:22" x14ac:dyDescent="0.45">
      <c r="I3467" t="s">
        <v>252</v>
      </c>
      <c r="J3467" t="s">
        <v>168</v>
      </c>
      <c r="K3467">
        <v>2.1565995269104313E-2</v>
      </c>
      <c r="L3467" t="s">
        <v>162</v>
      </c>
      <c r="N3467" t="s">
        <v>364</v>
      </c>
      <c r="O3467" t="s">
        <v>168</v>
      </c>
      <c r="P3467">
        <v>3.1396413756469288E-2</v>
      </c>
      <c r="Q3467" t="s">
        <v>162</v>
      </c>
      <c r="S3467" t="s">
        <v>476</v>
      </c>
      <c r="T3467" t="s">
        <v>168</v>
      </c>
      <c r="U3467">
        <v>3.2331432133470263E-2</v>
      </c>
      <c r="V3467" t="s">
        <v>162</v>
      </c>
    </row>
    <row r="3468" spans="9:22" x14ac:dyDescent="0.45">
      <c r="I3468" t="s">
        <v>252</v>
      </c>
      <c r="J3468" t="s">
        <v>169</v>
      </c>
      <c r="K3468">
        <v>1.1661044012005092E-2</v>
      </c>
      <c r="L3468" t="s">
        <v>162</v>
      </c>
      <c r="N3468" t="s">
        <v>364</v>
      </c>
      <c r="O3468" t="s">
        <v>169</v>
      </c>
      <c r="P3468">
        <v>2.7895184600075056E-3</v>
      </c>
      <c r="Q3468" t="s">
        <v>162</v>
      </c>
      <c r="S3468" t="s">
        <v>476</v>
      </c>
      <c r="T3468" t="s">
        <v>169</v>
      </c>
      <c r="U3468">
        <v>3.4482489132076281E-3</v>
      </c>
      <c r="V3468" t="s">
        <v>162</v>
      </c>
    </row>
    <row r="3469" spans="9:22" x14ac:dyDescent="0.45">
      <c r="I3469" t="s">
        <v>252</v>
      </c>
      <c r="J3469" t="s">
        <v>170</v>
      </c>
      <c r="K3469">
        <v>2.5301959693975258E-2</v>
      </c>
      <c r="L3469" t="s">
        <v>162</v>
      </c>
      <c r="N3469" t="s">
        <v>364</v>
      </c>
      <c r="O3469" t="s">
        <v>170</v>
      </c>
      <c r="P3469">
        <v>5.4857360803051008E-3</v>
      </c>
      <c r="Q3469" t="s">
        <v>162</v>
      </c>
      <c r="S3469" t="s">
        <v>476</v>
      </c>
      <c r="T3469" t="s">
        <v>170</v>
      </c>
      <c r="U3469">
        <v>6.5920813074744206E-3</v>
      </c>
      <c r="V3469" t="s">
        <v>162</v>
      </c>
    </row>
    <row r="3470" spans="9:22" x14ac:dyDescent="0.45">
      <c r="I3470" t="s">
        <v>252</v>
      </c>
      <c r="J3470" t="s">
        <v>525</v>
      </c>
      <c r="K3470">
        <v>5.5715637020372216E-2</v>
      </c>
      <c r="L3470" t="s">
        <v>162</v>
      </c>
      <c r="N3470" t="s">
        <v>364</v>
      </c>
      <c r="O3470" t="s">
        <v>525</v>
      </c>
      <c r="P3470">
        <v>1.4841320788992078E-2</v>
      </c>
      <c r="Q3470" t="s">
        <v>162</v>
      </c>
      <c r="S3470" t="s">
        <v>476</v>
      </c>
      <c r="T3470" t="s">
        <v>525</v>
      </c>
      <c r="U3470">
        <v>1.5598165005272365E-2</v>
      </c>
      <c r="V3470" t="s">
        <v>162</v>
      </c>
    </row>
    <row r="3471" spans="9:22" x14ac:dyDescent="0.45">
      <c r="I3471" t="s">
        <v>252</v>
      </c>
      <c r="J3471" t="s">
        <v>526</v>
      </c>
      <c r="K3471">
        <v>6.0698594304773208E-3</v>
      </c>
      <c r="L3471" t="s">
        <v>162</v>
      </c>
      <c r="N3471" t="s">
        <v>364</v>
      </c>
      <c r="O3471" t="s">
        <v>526</v>
      </c>
      <c r="P3471">
        <v>3.16435628861434E-3</v>
      </c>
      <c r="Q3471" t="s">
        <v>162</v>
      </c>
      <c r="S3471" t="s">
        <v>476</v>
      </c>
      <c r="T3471" t="s">
        <v>526</v>
      </c>
      <c r="U3471">
        <v>3.0027914283823087E-3</v>
      </c>
      <c r="V3471" t="s">
        <v>162</v>
      </c>
    </row>
    <row r="3472" spans="9:22" x14ac:dyDescent="0.45">
      <c r="I3472" t="s">
        <v>252</v>
      </c>
      <c r="J3472" t="s">
        <v>527</v>
      </c>
      <c r="K3472">
        <v>4.289495734272346E-3</v>
      </c>
      <c r="L3472" t="s">
        <v>162</v>
      </c>
      <c r="N3472" t="s">
        <v>364</v>
      </c>
      <c r="O3472" t="s">
        <v>527</v>
      </c>
      <c r="P3472">
        <v>2.1362299974608822E-2</v>
      </c>
      <c r="Q3472" t="s">
        <v>162</v>
      </c>
      <c r="S3472" t="s">
        <v>476</v>
      </c>
      <c r="T3472" t="s">
        <v>527</v>
      </c>
      <c r="U3472">
        <v>2.0084152773415565E-2</v>
      </c>
      <c r="V3472" t="s">
        <v>162</v>
      </c>
    </row>
    <row r="3473" spans="9:22" x14ac:dyDescent="0.45">
      <c r="I3473" t="s">
        <v>252</v>
      </c>
      <c r="J3473" t="s">
        <v>528</v>
      </c>
      <c r="K3473">
        <v>9.082465975440418E-2</v>
      </c>
      <c r="L3473" t="s">
        <v>162</v>
      </c>
      <c r="N3473" t="s">
        <v>364</v>
      </c>
      <c r="O3473" t="s">
        <v>528</v>
      </c>
      <c r="P3473">
        <v>8.0395450348008463E-2</v>
      </c>
      <c r="Q3473" t="s">
        <v>162</v>
      </c>
      <c r="S3473" t="s">
        <v>476</v>
      </c>
      <c r="T3473" t="s">
        <v>528</v>
      </c>
      <c r="U3473">
        <v>7.6105883823118489E-2</v>
      </c>
      <c r="V3473" t="s">
        <v>162</v>
      </c>
    </row>
    <row r="3474" spans="9:22" x14ac:dyDescent="0.45">
      <c r="I3474" t="s">
        <v>252</v>
      </c>
      <c r="J3474" t="s">
        <v>529</v>
      </c>
      <c r="K3474">
        <v>3.4506113923301003E-2</v>
      </c>
      <c r="L3474" t="s">
        <v>162</v>
      </c>
      <c r="N3474" t="s">
        <v>364</v>
      </c>
      <c r="O3474" t="s">
        <v>529</v>
      </c>
      <c r="P3474">
        <v>6.9815961771663541E-3</v>
      </c>
      <c r="Q3474" t="s">
        <v>162</v>
      </c>
      <c r="S3474" t="s">
        <v>476</v>
      </c>
      <c r="T3474" t="s">
        <v>529</v>
      </c>
      <c r="U3474">
        <v>8.0648438941669353E-3</v>
      </c>
      <c r="V3474" t="s">
        <v>162</v>
      </c>
    </row>
    <row r="3475" spans="9:22" x14ac:dyDescent="0.45">
      <c r="I3475" t="s">
        <v>252</v>
      </c>
      <c r="J3475" t="s">
        <v>530</v>
      </c>
      <c r="K3475">
        <v>7.3311098699420457E-2</v>
      </c>
      <c r="L3475" t="s">
        <v>162</v>
      </c>
      <c r="N3475" t="s">
        <v>364</v>
      </c>
      <c r="O3475" t="s">
        <v>530</v>
      </c>
      <c r="P3475">
        <v>1.5277952905014242E-2</v>
      </c>
      <c r="Q3475" t="s">
        <v>162</v>
      </c>
      <c r="S3475" t="s">
        <v>476</v>
      </c>
      <c r="T3475" t="s">
        <v>530</v>
      </c>
      <c r="U3475">
        <v>1.580650582702604E-2</v>
      </c>
      <c r="V3475" t="s">
        <v>162</v>
      </c>
    </row>
    <row r="3476" spans="9:22" x14ac:dyDescent="0.45">
      <c r="I3476" t="s">
        <v>252</v>
      </c>
      <c r="J3476" t="s">
        <v>531</v>
      </c>
      <c r="K3476">
        <v>0.17048237289046342</v>
      </c>
      <c r="L3476" t="s">
        <v>162</v>
      </c>
      <c r="N3476" t="s">
        <v>364</v>
      </c>
      <c r="O3476" t="s">
        <v>531</v>
      </c>
      <c r="P3476">
        <v>4.2136636962810226E-2</v>
      </c>
      <c r="Q3476" t="s">
        <v>162</v>
      </c>
      <c r="S3476" t="s">
        <v>476</v>
      </c>
      <c r="T3476" t="s">
        <v>531</v>
      </c>
      <c r="U3476">
        <v>3.8734581713258408E-2</v>
      </c>
      <c r="V3476" t="s">
        <v>162</v>
      </c>
    </row>
    <row r="3477" spans="9:22" x14ac:dyDescent="0.45">
      <c r="I3477" t="s">
        <v>252</v>
      </c>
      <c r="J3477" t="s">
        <v>532</v>
      </c>
      <c r="K3477">
        <v>2.5707259874311123E-2</v>
      </c>
      <c r="L3477" t="s">
        <v>162</v>
      </c>
      <c r="N3477" t="s">
        <v>364</v>
      </c>
      <c r="O3477" t="s">
        <v>532</v>
      </c>
      <c r="P3477">
        <v>8.710045113736152E-3</v>
      </c>
      <c r="Q3477" t="s">
        <v>162</v>
      </c>
      <c r="S3477" t="s">
        <v>476</v>
      </c>
      <c r="T3477" t="s">
        <v>532</v>
      </c>
      <c r="U3477">
        <v>7.6886826537272222E-3</v>
      </c>
      <c r="V3477" t="s">
        <v>162</v>
      </c>
    </row>
    <row r="3478" spans="9:22" x14ac:dyDescent="0.45">
      <c r="I3478" t="s">
        <v>252</v>
      </c>
      <c r="J3478" t="s">
        <v>533</v>
      </c>
      <c r="K3478">
        <v>3.7914715711013507E-2</v>
      </c>
      <c r="L3478" t="s">
        <v>162</v>
      </c>
      <c r="N3478" t="s">
        <v>364</v>
      </c>
      <c r="O3478" t="s">
        <v>533</v>
      </c>
      <c r="P3478">
        <v>6.0423300934506208E-2</v>
      </c>
      <c r="Q3478" t="s">
        <v>162</v>
      </c>
      <c r="S3478" t="s">
        <v>476</v>
      </c>
      <c r="T3478" t="s">
        <v>533</v>
      </c>
      <c r="U3478">
        <v>4.7340814040185905E-2</v>
      </c>
      <c r="V3478" t="s">
        <v>162</v>
      </c>
    </row>
    <row r="3479" spans="9:22" x14ac:dyDescent="0.45">
      <c r="I3479" t="s">
        <v>252</v>
      </c>
      <c r="J3479" t="s">
        <v>534</v>
      </c>
      <c r="K3479">
        <v>2.7752308245696779E-2</v>
      </c>
      <c r="L3479" t="s">
        <v>162</v>
      </c>
      <c r="N3479" t="s">
        <v>364</v>
      </c>
      <c r="O3479" t="s">
        <v>534</v>
      </c>
      <c r="P3479">
        <v>0.10555958434238862</v>
      </c>
      <c r="Q3479" t="s">
        <v>162</v>
      </c>
      <c r="S3479" t="s">
        <v>476</v>
      </c>
      <c r="T3479" t="s">
        <v>534</v>
      </c>
      <c r="U3479">
        <v>9.0716882238850563E-2</v>
      </c>
      <c r="V3479" t="s">
        <v>162</v>
      </c>
    </row>
    <row r="3480" spans="9:22" x14ac:dyDescent="0.45">
      <c r="I3480" t="s">
        <v>252</v>
      </c>
      <c r="J3480" t="s">
        <v>535</v>
      </c>
      <c r="K3480">
        <v>1.7323049743669553E-2</v>
      </c>
      <c r="L3480" t="s">
        <v>162</v>
      </c>
      <c r="N3480" t="s">
        <v>364</v>
      </c>
      <c r="O3480" t="s">
        <v>535</v>
      </c>
      <c r="P3480">
        <v>1.1080524832103313E-2</v>
      </c>
      <c r="Q3480" t="s">
        <v>162</v>
      </c>
      <c r="S3480" t="s">
        <v>476</v>
      </c>
      <c r="T3480" t="s">
        <v>535</v>
      </c>
      <c r="U3480">
        <v>1.0117546430525032E-2</v>
      </c>
      <c r="V3480" t="s">
        <v>162</v>
      </c>
    </row>
    <row r="3481" spans="9:22" x14ac:dyDescent="0.45">
      <c r="I3481" t="s">
        <v>252</v>
      </c>
      <c r="J3481" t="s">
        <v>536</v>
      </c>
      <c r="K3481">
        <v>3.9133348257408364E-2</v>
      </c>
      <c r="L3481" t="s">
        <v>162</v>
      </c>
      <c r="N3481" t="s">
        <v>364</v>
      </c>
      <c r="O3481" t="s">
        <v>536</v>
      </c>
      <c r="P3481">
        <v>2.2233175956338988E-2</v>
      </c>
      <c r="Q3481" t="s">
        <v>162</v>
      </c>
      <c r="S3481" t="s">
        <v>476</v>
      </c>
      <c r="T3481" t="s">
        <v>536</v>
      </c>
      <c r="U3481">
        <v>2.048319382676413E-2</v>
      </c>
      <c r="V3481" t="s">
        <v>162</v>
      </c>
    </row>
    <row r="3482" spans="9:22" x14ac:dyDescent="0.45">
      <c r="I3482" t="s">
        <v>252</v>
      </c>
      <c r="J3482" t="s">
        <v>537</v>
      </c>
      <c r="K3482">
        <v>8.227864881015573E-2</v>
      </c>
      <c r="L3482" t="s">
        <v>162</v>
      </c>
      <c r="N3482" t="s">
        <v>364</v>
      </c>
      <c r="O3482" t="s">
        <v>537</v>
      </c>
      <c r="P3482">
        <v>5.7087285846845352E-2</v>
      </c>
      <c r="Q3482" t="s">
        <v>162</v>
      </c>
      <c r="S3482" t="s">
        <v>476</v>
      </c>
      <c r="T3482" t="s">
        <v>537</v>
      </c>
      <c r="U3482">
        <v>5.1348545040593295E-2</v>
      </c>
      <c r="V3482" t="s">
        <v>162</v>
      </c>
    </row>
    <row r="3483" spans="9:22" x14ac:dyDescent="0.45">
      <c r="I3483" t="s">
        <v>252</v>
      </c>
      <c r="J3483" t="s">
        <v>538</v>
      </c>
      <c r="K3483">
        <v>8.7693902775399946E-3</v>
      </c>
      <c r="L3483" t="s">
        <v>162</v>
      </c>
      <c r="N3483" t="s">
        <v>364</v>
      </c>
      <c r="O3483" t="s">
        <v>538</v>
      </c>
      <c r="P3483">
        <v>1.1531495234491538E-2</v>
      </c>
      <c r="Q3483" t="s">
        <v>162</v>
      </c>
      <c r="S3483" t="s">
        <v>476</v>
      </c>
      <c r="T3483" t="s">
        <v>538</v>
      </c>
      <c r="U3483">
        <v>9.9881916376236939E-3</v>
      </c>
      <c r="V3483" t="s">
        <v>162</v>
      </c>
    </row>
    <row r="3484" spans="9:22" x14ac:dyDescent="0.45">
      <c r="I3484" t="s">
        <v>252</v>
      </c>
      <c r="J3484" t="s">
        <v>539</v>
      </c>
      <c r="K3484">
        <v>6.9575552273024891E-3</v>
      </c>
      <c r="L3484" t="s">
        <v>162</v>
      </c>
      <c r="N3484" t="s">
        <v>364</v>
      </c>
      <c r="O3484" t="s">
        <v>539</v>
      </c>
      <c r="P3484">
        <v>7.258792447610446E-2</v>
      </c>
      <c r="Q3484" t="s">
        <v>162</v>
      </c>
      <c r="S3484" t="s">
        <v>476</v>
      </c>
      <c r="T3484" t="s">
        <v>539</v>
      </c>
      <c r="U3484">
        <v>6.0397633935371779E-2</v>
      </c>
      <c r="V3484" t="s">
        <v>162</v>
      </c>
    </row>
    <row r="3485" spans="9:22" x14ac:dyDescent="0.45">
      <c r="I3485" t="s">
        <v>252</v>
      </c>
      <c r="J3485" t="s">
        <v>540</v>
      </c>
      <c r="K3485">
        <v>1.101237488674452E-3</v>
      </c>
      <c r="L3485" t="s">
        <v>162</v>
      </c>
      <c r="N3485" t="s">
        <v>364</v>
      </c>
      <c r="O3485" t="s">
        <v>540</v>
      </c>
      <c r="P3485">
        <v>2.7337811564148221E-2</v>
      </c>
      <c r="Q3485" t="s">
        <v>162</v>
      </c>
      <c r="S3485" t="s">
        <v>476</v>
      </c>
      <c r="T3485" t="s">
        <v>540</v>
      </c>
      <c r="U3485">
        <v>3.9585877607644926E-2</v>
      </c>
      <c r="V3485" t="s">
        <v>162</v>
      </c>
    </row>
    <row r="3486" spans="9:22" x14ac:dyDescent="0.45">
      <c r="I3486" t="s">
        <v>252</v>
      </c>
      <c r="J3486" t="s">
        <v>541</v>
      </c>
      <c r="K3486">
        <v>2.8424636706430471E-3</v>
      </c>
      <c r="L3486" t="s">
        <v>162</v>
      </c>
      <c r="N3486" t="s">
        <v>364</v>
      </c>
      <c r="O3486" t="s">
        <v>541</v>
      </c>
      <c r="P3486">
        <v>2.6041465552455144E-3</v>
      </c>
      <c r="Q3486" t="s">
        <v>162</v>
      </c>
      <c r="S3486" t="s">
        <v>476</v>
      </c>
      <c r="T3486" t="s">
        <v>541</v>
      </c>
      <c r="U3486">
        <v>4.3778042070402451E-3</v>
      </c>
      <c r="V3486" t="s">
        <v>162</v>
      </c>
    </row>
    <row r="3487" spans="9:22" x14ac:dyDescent="0.45">
      <c r="I3487" t="s">
        <v>252</v>
      </c>
      <c r="J3487" t="s">
        <v>542</v>
      </c>
      <c r="K3487">
        <v>8.3717915016633514E-3</v>
      </c>
      <c r="L3487" t="s">
        <v>162</v>
      </c>
      <c r="N3487" t="s">
        <v>364</v>
      </c>
      <c r="O3487" t="s">
        <v>542</v>
      </c>
      <c r="P3487">
        <v>4.6654578218406325E-3</v>
      </c>
      <c r="Q3487" t="s">
        <v>162</v>
      </c>
      <c r="S3487" t="s">
        <v>476</v>
      </c>
      <c r="T3487" t="s">
        <v>542</v>
      </c>
      <c r="U3487">
        <v>9.1249944193409448E-3</v>
      </c>
      <c r="V3487" t="s">
        <v>162</v>
      </c>
    </row>
    <row r="3488" spans="9:22" x14ac:dyDescent="0.45">
      <c r="I3488" t="s">
        <v>252</v>
      </c>
      <c r="J3488" t="s">
        <v>543</v>
      </c>
      <c r="K3488">
        <v>1.5036682333298306E-2</v>
      </c>
      <c r="L3488" t="s">
        <v>162</v>
      </c>
      <c r="N3488" t="s">
        <v>364</v>
      </c>
      <c r="O3488" t="s">
        <v>543</v>
      </c>
      <c r="P3488">
        <v>1.1326675460502627E-2</v>
      </c>
      <c r="Q3488" t="s">
        <v>162</v>
      </c>
      <c r="S3488" t="s">
        <v>476</v>
      </c>
      <c r="T3488" t="s">
        <v>543</v>
      </c>
      <c r="U3488">
        <v>2.3258689925461519E-2</v>
      </c>
      <c r="V3488" t="s">
        <v>162</v>
      </c>
    </row>
    <row r="3489" spans="9:22" x14ac:dyDescent="0.45">
      <c r="I3489" t="s">
        <v>252</v>
      </c>
      <c r="J3489" t="s">
        <v>544</v>
      </c>
      <c r="K3489">
        <v>0</v>
      </c>
      <c r="L3489" t="s">
        <v>162</v>
      </c>
      <c r="N3489" t="s">
        <v>364</v>
      </c>
      <c r="O3489" t="s">
        <v>544</v>
      </c>
      <c r="P3489">
        <v>2.6207244728729661E-3</v>
      </c>
      <c r="Q3489" t="s">
        <v>162</v>
      </c>
      <c r="S3489" t="s">
        <v>476</v>
      </c>
      <c r="T3489" t="s">
        <v>544</v>
      </c>
      <c r="U3489">
        <v>4.394148545336928E-3</v>
      </c>
      <c r="V3489" t="s">
        <v>162</v>
      </c>
    </row>
    <row r="3490" spans="9:22" x14ac:dyDescent="0.45">
      <c r="I3490" t="s">
        <v>252</v>
      </c>
      <c r="J3490" t="s">
        <v>545</v>
      </c>
      <c r="K3490">
        <v>0</v>
      </c>
      <c r="L3490" t="s">
        <v>162</v>
      </c>
      <c r="N3490" t="s">
        <v>364</v>
      </c>
      <c r="O3490" t="s">
        <v>545</v>
      </c>
      <c r="P3490">
        <v>1.6168449222049651E-2</v>
      </c>
      <c r="Q3490" t="s">
        <v>162</v>
      </c>
      <c r="S3490" t="s">
        <v>476</v>
      </c>
      <c r="T3490" t="s">
        <v>545</v>
      </c>
      <c r="U3490">
        <v>2.6856083028385824E-2</v>
      </c>
      <c r="V3490" t="s">
        <v>162</v>
      </c>
    </row>
    <row r="3491" spans="9:22" x14ac:dyDescent="0.45">
      <c r="I3491" t="s">
        <v>252</v>
      </c>
      <c r="J3491" t="s">
        <v>546</v>
      </c>
      <c r="K3491">
        <v>0</v>
      </c>
      <c r="L3491" t="s">
        <v>162</v>
      </c>
      <c r="N3491" t="s">
        <v>364</v>
      </c>
      <c r="O3491" t="s">
        <v>546</v>
      </c>
      <c r="P3491">
        <v>4.6541801395763763E-2</v>
      </c>
      <c r="Q3491" t="s">
        <v>162</v>
      </c>
      <c r="S3491" t="s">
        <v>476</v>
      </c>
      <c r="T3491" t="s">
        <v>546</v>
      </c>
      <c r="U3491">
        <v>3.9968950113087286E-2</v>
      </c>
      <c r="V3491" t="s">
        <v>162</v>
      </c>
    </row>
    <row r="3492" spans="9:22" x14ac:dyDescent="0.45">
      <c r="I3492" t="s">
        <v>252</v>
      </c>
      <c r="J3492" t="s">
        <v>547</v>
      </c>
      <c r="K3492">
        <v>2.8358916190735798E-3</v>
      </c>
      <c r="L3492" t="s">
        <v>162</v>
      </c>
      <c r="N3492" t="s">
        <v>364</v>
      </c>
      <c r="O3492" t="s">
        <v>547</v>
      </c>
      <c r="P3492">
        <v>5.1289726571455349E-3</v>
      </c>
      <c r="Q3492" t="s">
        <v>162</v>
      </c>
      <c r="S3492" t="s">
        <v>476</v>
      </c>
      <c r="T3492" t="s">
        <v>547</v>
      </c>
      <c r="U3492">
        <v>4.4868121231536667E-3</v>
      </c>
      <c r="V3492" t="s">
        <v>162</v>
      </c>
    </row>
    <row r="3493" spans="9:22" x14ac:dyDescent="0.45">
      <c r="I3493" t="s">
        <v>252</v>
      </c>
      <c r="J3493" t="s">
        <v>548</v>
      </c>
      <c r="K3493">
        <v>1.0572403507392912E-2</v>
      </c>
      <c r="L3493" t="s">
        <v>162</v>
      </c>
      <c r="N3493" t="s">
        <v>364</v>
      </c>
      <c r="O3493" t="s">
        <v>548</v>
      </c>
      <c r="P3493">
        <v>9.9110490531039881E-3</v>
      </c>
      <c r="Q3493" t="s">
        <v>162</v>
      </c>
      <c r="S3493" t="s">
        <v>476</v>
      </c>
      <c r="T3493" t="s">
        <v>548</v>
      </c>
      <c r="U3493">
        <v>8.901345345254481E-3</v>
      </c>
      <c r="V3493" t="s">
        <v>162</v>
      </c>
    </row>
    <row r="3494" spans="9:22" x14ac:dyDescent="0.45">
      <c r="I3494" t="s">
        <v>252</v>
      </c>
      <c r="J3494" t="s">
        <v>549</v>
      </c>
      <c r="K3494">
        <v>1.7536581668118615E-2</v>
      </c>
      <c r="L3494" t="s">
        <v>162</v>
      </c>
      <c r="N3494" t="s">
        <v>364</v>
      </c>
      <c r="O3494" t="s">
        <v>549</v>
      </c>
      <c r="P3494">
        <v>2.4776498787911112E-2</v>
      </c>
      <c r="Q3494" t="s">
        <v>162</v>
      </c>
      <c r="S3494" t="s">
        <v>476</v>
      </c>
      <c r="T3494" t="s">
        <v>549</v>
      </c>
      <c r="U3494">
        <v>2.1979151308044845E-2</v>
      </c>
      <c r="V3494" t="s">
        <v>162</v>
      </c>
    </row>
    <row r="3495" spans="9:22" x14ac:dyDescent="0.45">
      <c r="I3495" t="s">
        <v>252</v>
      </c>
      <c r="J3495" t="s">
        <v>550</v>
      </c>
      <c r="K3495">
        <v>0</v>
      </c>
      <c r="L3495" t="s">
        <v>162</v>
      </c>
      <c r="N3495" t="s">
        <v>364</v>
      </c>
      <c r="O3495" t="s">
        <v>550</v>
      </c>
      <c r="P3495">
        <v>5.0346964112630297E-3</v>
      </c>
      <c r="Q3495" t="s">
        <v>162</v>
      </c>
      <c r="S3495" t="s">
        <v>476</v>
      </c>
      <c r="T3495" t="s">
        <v>550</v>
      </c>
      <c r="U3495">
        <v>4.4229223003047777E-3</v>
      </c>
      <c r="V3495" t="s">
        <v>162</v>
      </c>
    </row>
    <row r="3496" spans="9:22" x14ac:dyDescent="0.45">
      <c r="I3496" t="s">
        <v>252</v>
      </c>
      <c r="J3496" t="s">
        <v>551</v>
      </c>
      <c r="K3496">
        <v>0</v>
      </c>
      <c r="L3496" t="s">
        <v>162</v>
      </c>
      <c r="N3496" t="s">
        <v>364</v>
      </c>
      <c r="O3496" t="s">
        <v>551</v>
      </c>
      <c r="P3496">
        <v>3.0166054124274085E-2</v>
      </c>
      <c r="Q3496" t="s">
        <v>162</v>
      </c>
      <c r="S3496" t="s">
        <v>476</v>
      </c>
      <c r="T3496" t="s">
        <v>551</v>
      </c>
      <c r="U3496">
        <v>2.7392893035860798E-2</v>
      </c>
      <c r="V3496" t="s">
        <v>162</v>
      </c>
    </row>
    <row r="3497" spans="9:22" x14ac:dyDescent="0.45">
      <c r="I3497" t="s">
        <v>253</v>
      </c>
      <c r="J3497" t="s">
        <v>161</v>
      </c>
      <c r="K3497">
        <v>5.3784711618711168E-5</v>
      </c>
      <c r="L3497" t="s">
        <v>162</v>
      </c>
      <c r="N3497" t="s">
        <v>365</v>
      </c>
      <c r="O3497" t="s">
        <v>161</v>
      </c>
      <c r="P3497">
        <v>3.1854562585136685E-2</v>
      </c>
      <c r="Q3497" t="s">
        <v>162</v>
      </c>
      <c r="S3497" t="s">
        <v>477</v>
      </c>
      <c r="T3497" t="s">
        <v>161</v>
      </c>
      <c r="U3497">
        <v>4.3730740292630868E-2</v>
      </c>
      <c r="V3497" t="s">
        <v>162</v>
      </c>
    </row>
    <row r="3498" spans="9:22" x14ac:dyDescent="0.45">
      <c r="I3498" t="s">
        <v>253</v>
      </c>
      <c r="J3498" t="s">
        <v>163</v>
      </c>
      <c r="K3498">
        <v>4.570543383642202E-3</v>
      </c>
      <c r="L3498" t="s">
        <v>162</v>
      </c>
      <c r="N3498" t="s">
        <v>365</v>
      </c>
      <c r="O3498" t="s">
        <v>163</v>
      </c>
      <c r="P3498">
        <v>2.9547751140675729E-3</v>
      </c>
      <c r="Q3498" t="s">
        <v>162</v>
      </c>
      <c r="S3498" t="s">
        <v>477</v>
      </c>
      <c r="T3498" t="s">
        <v>163</v>
      </c>
      <c r="U3498">
        <v>5.007211564477464E-3</v>
      </c>
      <c r="V3498" t="s">
        <v>162</v>
      </c>
    </row>
    <row r="3499" spans="9:22" x14ac:dyDescent="0.45">
      <c r="I3499" t="s">
        <v>253</v>
      </c>
      <c r="J3499" t="s">
        <v>164</v>
      </c>
      <c r="K3499">
        <v>1.4183283499541025E-2</v>
      </c>
      <c r="L3499" t="s">
        <v>162</v>
      </c>
      <c r="N3499" t="s">
        <v>365</v>
      </c>
      <c r="O3499" t="s">
        <v>164</v>
      </c>
      <c r="P3499">
        <v>5.1136956231318115E-3</v>
      </c>
      <c r="Q3499" t="s">
        <v>162</v>
      </c>
      <c r="S3499" t="s">
        <v>477</v>
      </c>
      <c r="T3499" t="s">
        <v>164</v>
      </c>
      <c r="U3499">
        <v>1.0089226354516055E-2</v>
      </c>
      <c r="V3499" t="s">
        <v>162</v>
      </c>
    </row>
    <row r="3500" spans="9:22" x14ac:dyDescent="0.45">
      <c r="I3500" t="s">
        <v>253</v>
      </c>
      <c r="J3500" t="s">
        <v>519</v>
      </c>
      <c r="K3500">
        <v>2.9559328774359826E-2</v>
      </c>
      <c r="L3500" t="s">
        <v>162</v>
      </c>
      <c r="N3500" t="s">
        <v>365</v>
      </c>
      <c r="O3500" t="s">
        <v>519</v>
      </c>
      <c r="P3500">
        <v>1.3642698216895418E-2</v>
      </c>
      <c r="Q3500" t="s">
        <v>162</v>
      </c>
      <c r="S3500" t="s">
        <v>477</v>
      </c>
      <c r="T3500" t="s">
        <v>519</v>
      </c>
      <c r="U3500">
        <v>2.5258420174883535E-2</v>
      </c>
      <c r="V3500" t="s">
        <v>162</v>
      </c>
    </row>
    <row r="3501" spans="9:22" x14ac:dyDescent="0.45">
      <c r="I3501" t="s">
        <v>253</v>
      </c>
      <c r="J3501" t="s">
        <v>520</v>
      </c>
      <c r="K3501">
        <v>0</v>
      </c>
      <c r="L3501" t="s">
        <v>162</v>
      </c>
      <c r="N3501" t="s">
        <v>365</v>
      </c>
      <c r="O3501" t="s">
        <v>520</v>
      </c>
      <c r="P3501">
        <v>3.4966666413761968E-3</v>
      </c>
      <c r="Q3501" t="s">
        <v>162</v>
      </c>
      <c r="S3501" t="s">
        <v>477</v>
      </c>
      <c r="T3501" t="s">
        <v>520</v>
      </c>
      <c r="U3501">
        <v>4.8956260817827066E-3</v>
      </c>
      <c r="V3501" t="s">
        <v>162</v>
      </c>
    </row>
    <row r="3502" spans="9:22" x14ac:dyDescent="0.45">
      <c r="I3502" t="s">
        <v>253</v>
      </c>
      <c r="J3502" t="s">
        <v>521</v>
      </c>
      <c r="K3502">
        <v>0</v>
      </c>
      <c r="L3502" t="s">
        <v>162</v>
      </c>
      <c r="N3502" t="s">
        <v>365</v>
      </c>
      <c r="O3502" t="s">
        <v>521</v>
      </c>
      <c r="P3502">
        <v>2.2121095931771109E-2</v>
      </c>
      <c r="Q3502" t="s">
        <v>162</v>
      </c>
      <c r="S3502" t="s">
        <v>477</v>
      </c>
      <c r="T3502" t="s">
        <v>521</v>
      </c>
      <c r="U3502">
        <v>2.8359523707443924E-2</v>
      </c>
      <c r="V3502" t="s">
        <v>162</v>
      </c>
    </row>
    <row r="3503" spans="9:22" x14ac:dyDescent="0.45">
      <c r="I3503" t="s">
        <v>253</v>
      </c>
      <c r="J3503" t="s">
        <v>165</v>
      </c>
      <c r="K3503">
        <v>1.2073066938998962E-2</v>
      </c>
      <c r="L3503" t="s">
        <v>162</v>
      </c>
      <c r="N3503" t="s">
        <v>365</v>
      </c>
      <c r="O3503" t="s">
        <v>165</v>
      </c>
      <c r="P3503">
        <v>5.7615993748739498E-2</v>
      </c>
      <c r="Q3503" t="s">
        <v>162</v>
      </c>
      <c r="S3503" t="s">
        <v>477</v>
      </c>
      <c r="T3503" t="s">
        <v>165</v>
      </c>
      <c r="U3503">
        <v>6.3514171783814882E-2</v>
      </c>
      <c r="V3503" t="s">
        <v>162</v>
      </c>
    </row>
    <row r="3504" spans="9:22" x14ac:dyDescent="0.45">
      <c r="I3504" t="s">
        <v>253</v>
      </c>
      <c r="J3504" t="s">
        <v>166</v>
      </c>
      <c r="K3504">
        <v>1.4353263016637306E-2</v>
      </c>
      <c r="L3504" t="s">
        <v>162</v>
      </c>
      <c r="N3504" t="s">
        <v>365</v>
      </c>
      <c r="O3504" t="s">
        <v>166</v>
      </c>
      <c r="P3504">
        <v>5.0190997344536168E-3</v>
      </c>
      <c r="Q3504" t="s">
        <v>162</v>
      </c>
      <c r="S3504" t="s">
        <v>477</v>
      </c>
      <c r="T3504" t="s">
        <v>166</v>
      </c>
      <c r="U3504">
        <v>7.0665917238410137E-3</v>
      </c>
      <c r="V3504" t="s">
        <v>162</v>
      </c>
    </row>
    <row r="3505" spans="9:22" x14ac:dyDescent="0.45">
      <c r="I3505" t="s">
        <v>253</v>
      </c>
      <c r="J3505" t="s">
        <v>167</v>
      </c>
      <c r="K3505">
        <v>3.7098918906382131E-2</v>
      </c>
      <c r="L3505" t="s">
        <v>162</v>
      </c>
      <c r="N3505" t="s">
        <v>365</v>
      </c>
      <c r="O3505" t="s">
        <v>167</v>
      </c>
      <c r="P3505">
        <v>8.3767572858701612E-3</v>
      </c>
      <c r="Q3505" t="s">
        <v>162</v>
      </c>
      <c r="S3505" t="s">
        <v>477</v>
      </c>
      <c r="T3505" t="s">
        <v>167</v>
      </c>
      <c r="U3505">
        <v>1.3775262484840426E-2</v>
      </c>
      <c r="V3505" t="s">
        <v>162</v>
      </c>
    </row>
    <row r="3506" spans="9:22" x14ac:dyDescent="0.45">
      <c r="I3506" t="s">
        <v>253</v>
      </c>
      <c r="J3506" t="s">
        <v>522</v>
      </c>
      <c r="K3506">
        <v>8.7063297426556233E-2</v>
      </c>
      <c r="L3506" t="s">
        <v>162</v>
      </c>
      <c r="N3506" t="s">
        <v>365</v>
      </c>
      <c r="O3506" t="s">
        <v>522</v>
      </c>
      <c r="P3506">
        <v>2.3407064977251084E-2</v>
      </c>
      <c r="Q3506" t="s">
        <v>162</v>
      </c>
      <c r="S3506" t="s">
        <v>477</v>
      </c>
      <c r="T3506" t="s">
        <v>522</v>
      </c>
      <c r="U3506">
        <v>3.3373373639135007E-2</v>
      </c>
      <c r="V3506" t="s">
        <v>162</v>
      </c>
    </row>
    <row r="3507" spans="9:22" x14ac:dyDescent="0.45">
      <c r="I3507" t="s">
        <v>253</v>
      </c>
      <c r="J3507" t="s">
        <v>523</v>
      </c>
      <c r="K3507">
        <v>7.9078187098057685E-3</v>
      </c>
      <c r="L3507" t="s">
        <v>162</v>
      </c>
      <c r="N3507" t="s">
        <v>365</v>
      </c>
      <c r="O3507" t="s">
        <v>523</v>
      </c>
      <c r="P3507">
        <v>6.277086033081373E-3</v>
      </c>
      <c r="Q3507" t="s">
        <v>162</v>
      </c>
      <c r="S3507" t="s">
        <v>477</v>
      </c>
      <c r="T3507" t="s">
        <v>523</v>
      </c>
      <c r="U3507">
        <v>6.7031174264175937E-3</v>
      </c>
      <c r="V3507" t="s">
        <v>162</v>
      </c>
    </row>
    <row r="3508" spans="9:22" x14ac:dyDescent="0.45">
      <c r="I3508" t="s">
        <v>253</v>
      </c>
      <c r="J3508" t="s">
        <v>524</v>
      </c>
      <c r="K3508">
        <v>1.6842874940476227E-3</v>
      </c>
      <c r="L3508" t="s">
        <v>162</v>
      </c>
      <c r="N3508" t="s">
        <v>365</v>
      </c>
      <c r="O3508" t="s">
        <v>524</v>
      </c>
      <c r="P3508">
        <v>4.0687260995743608E-2</v>
      </c>
      <c r="Q3508" t="s">
        <v>162</v>
      </c>
      <c r="S3508" t="s">
        <v>477</v>
      </c>
      <c r="T3508" t="s">
        <v>524</v>
      </c>
      <c r="U3508">
        <v>4.072526156748095E-2</v>
      </c>
      <c r="V3508" t="s">
        <v>162</v>
      </c>
    </row>
    <row r="3509" spans="9:22" x14ac:dyDescent="0.45">
      <c r="I3509" t="s">
        <v>253</v>
      </c>
      <c r="J3509" t="s">
        <v>168</v>
      </c>
      <c r="K3509">
        <v>1.8536741549247733E-2</v>
      </c>
      <c r="L3509" t="s">
        <v>162</v>
      </c>
      <c r="N3509" t="s">
        <v>365</v>
      </c>
      <c r="O3509" t="s">
        <v>168</v>
      </c>
      <c r="P3509">
        <v>2.9544996493043579E-2</v>
      </c>
      <c r="Q3509" t="s">
        <v>162</v>
      </c>
      <c r="S3509" t="s">
        <v>477</v>
      </c>
      <c r="T3509" t="s">
        <v>168</v>
      </c>
      <c r="U3509">
        <v>3.3060574026615858E-2</v>
      </c>
      <c r="V3509" t="s">
        <v>162</v>
      </c>
    </row>
    <row r="3510" spans="9:22" x14ac:dyDescent="0.45">
      <c r="I3510" t="s">
        <v>253</v>
      </c>
      <c r="J3510" t="s">
        <v>169</v>
      </c>
      <c r="K3510">
        <v>1.0410115274287691E-2</v>
      </c>
      <c r="L3510" t="s">
        <v>162</v>
      </c>
      <c r="N3510" t="s">
        <v>365</v>
      </c>
      <c r="O3510" t="s">
        <v>169</v>
      </c>
      <c r="P3510">
        <v>2.2488505345893937E-3</v>
      </c>
      <c r="Q3510" t="s">
        <v>162</v>
      </c>
      <c r="S3510" t="s">
        <v>477</v>
      </c>
      <c r="T3510" t="s">
        <v>169</v>
      </c>
      <c r="U3510">
        <v>3.4483960934380735E-3</v>
      </c>
      <c r="V3510" t="s">
        <v>162</v>
      </c>
    </row>
    <row r="3511" spans="9:22" x14ac:dyDescent="0.45">
      <c r="I3511" t="s">
        <v>253</v>
      </c>
      <c r="J3511" t="s">
        <v>170</v>
      </c>
      <c r="K3511">
        <v>2.359109002927199E-2</v>
      </c>
      <c r="L3511" t="s">
        <v>162</v>
      </c>
      <c r="N3511" t="s">
        <v>365</v>
      </c>
      <c r="O3511" t="s">
        <v>170</v>
      </c>
      <c r="P3511">
        <v>4.6109161461112599E-3</v>
      </c>
      <c r="Q3511" t="s">
        <v>162</v>
      </c>
      <c r="S3511" t="s">
        <v>477</v>
      </c>
      <c r="T3511" t="s">
        <v>170</v>
      </c>
      <c r="U3511">
        <v>6.8096462351000288E-3</v>
      </c>
      <c r="V3511" t="s">
        <v>162</v>
      </c>
    </row>
    <row r="3512" spans="9:22" x14ac:dyDescent="0.45">
      <c r="I3512" t="s">
        <v>253</v>
      </c>
      <c r="J3512" t="s">
        <v>525</v>
      </c>
      <c r="K3512">
        <v>5.4143732789103366E-2</v>
      </c>
      <c r="L3512" t="s">
        <v>162</v>
      </c>
      <c r="N3512" t="s">
        <v>365</v>
      </c>
      <c r="O3512" t="s">
        <v>525</v>
      </c>
      <c r="P3512">
        <v>1.4797709044179512E-2</v>
      </c>
      <c r="Q3512" t="s">
        <v>162</v>
      </c>
      <c r="S3512" t="s">
        <v>477</v>
      </c>
      <c r="T3512" t="s">
        <v>525</v>
      </c>
      <c r="U3512">
        <v>1.6745069569840405E-2</v>
      </c>
      <c r="V3512" t="s">
        <v>162</v>
      </c>
    </row>
    <row r="3513" spans="9:22" x14ac:dyDescent="0.45">
      <c r="I3513" t="s">
        <v>253</v>
      </c>
      <c r="J3513" t="s">
        <v>526</v>
      </c>
      <c r="K3513">
        <v>6.6569015247203217E-3</v>
      </c>
      <c r="L3513" t="s">
        <v>162</v>
      </c>
      <c r="N3513" t="s">
        <v>365</v>
      </c>
      <c r="O3513" t="s">
        <v>526</v>
      </c>
      <c r="P3513">
        <v>3.270915664519244E-3</v>
      </c>
      <c r="Q3513" t="s">
        <v>162</v>
      </c>
      <c r="S3513" t="s">
        <v>477</v>
      </c>
      <c r="T3513" t="s">
        <v>526</v>
      </c>
      <c r="U3513">
        <v>3.4395892091684012E-3</v>
      </c>
      <c r="V3513" t="s">
        <v>162</v>
      </c>
    </row>
    <row r="3514" spans="9:22" x14ac:dyDescent="0.45">
      <c r="I3514" t="s">
        <v>253</v>
      </c>
      <c r="J3514" t="s">
        <v>527</v>
      </c>
      <c r="K3514">
        <v>5.2003287503803002E-3</v>
      </c>
      <c r="L3514" t="s">
        <v>162</v>
      </c>
      <c r="N3514" t="s">
        <v>365</v>
      </c>
      <c r="O3514" t="s">
        <v>527</v>
      </c>
      <c r="P3514">
        <v>2.4326766864737275E-2</v>
      </c>
      <c r="Q3514" t="s">
        <v>162</v>
      </c>
      <c r="S3514" t="s">
        <v>477</v>
      </c>
      <c r="T3514" t="s">
        <v>527</v>
      </c>
      <c r="U3514">
        <v>2.2123680604001217E-2</v>
      </c>
      <c r="V3514" t="s">
        <v>162</v>
      </c>
    </row>
    <row r="3515" spans="9:22" x14ac:dyDescent="0.45">
      <c r="I3515" t="s">
        <v>253</v>
      </c>
      <c r="J3515" t="s">
        <v>528</v>
      </c>
      <c r="K3515">
        <v>8.381191648467147E-2</v>
      </c>
      <c r="L3515" t="s">
        <v>162</v>
      </c>
      <c r="N3515" t="s">
        <v>365</v>
      </c>
      <c r="O3515" t="s">
        <v>528</v>
      </c>
      <c r="P3515">
        <v>8.29276447605167E-2</v>
      </c>
      <c r="Q3515" t="s">
        <v>162</v>
      </c>
      <c r="S3515" t="s">
        <v>477</v>
      </c>
      <c r="T3515" t="s">
        <v>528</v>
      </c>
      <c r="U3515">
        <v>7.445002995953226E-2</v>
      </c>
      <c r="V3515" t="s">
        <v>162</v>
      </c>
    </row>
    <row r="3516" spans="9:22" x14ac:dyDescent="0.45">
      <c r="I3516" t="s">
        <v>253</v>
      </c>
      <c r="J3516" t="s">
        <v>529</v>
      </c>
      <c r="K3516">
        <v>3.2199405780881082E-2</v>
      </c>
      <c r="L3516" t="s">
        <v>162</v>
      </c>
      <c r="N3516" t="s">
        <v>365</v>
      </c>
      <c r="O3516" t="s">
        <v>529</v>
      </c>
      <c r="P3516">
        <v>7.3086907280688436E-3</v>
      </c>
      <c r="Q3516" t="s">
        <v>162</v>
      </c>
      <c r="S3516" t="s">
        <v>477</v>
      </c>
      <c r="T3516" t="s">
        <v>529</v>
      </c>
      <c r="U3516">
        <v>8.016439313007941E-3</v>
      </c>
      <c r="V3516" t="s">
        <v>162</v>
      </c>
    </row>
    <row r="3517" spans="9:22" x14ac:dyDescent="0.45">
      <c r="I3517" t="s">
        <v>253</v>
      </c>
      <c r="J3517" t="s">
        <v>530</v>
      </c>
      <c r="K3517">
        <v>6.9353745235475078E-2</v>
      </c>
      <c r="L3517" t="s">
        <v>162</v>
      </c>
      <c r="N3517" t="s">
        <v>365</v>
      </c>
      <c r="O3517" t="s">
        <v>530</v>
      </c>
      <c r="P3517">
        <v>1.6632618126235926E-2</v>
      </c>
      <c r="Q3517" t="s">
        <v>162</v>
      </c>
      <c r="S3517" t="s">
        <v>477</v>
      </c>
      <c r="T3517" t="s">
        <v>530</v>
      </c>
      <c r="U3517">
        <v>1.6080459447902956E-2</v>
      </c>
      <c r="V3517" t="s">
        <v>162</v>
      </c>
    </row>
    <row r="3518" spans="9:22" x14ac:dyDescent="0.45">
      <c r="I3518" t="s">
        <v>253</v>
      </c>
      <c r="J3518" t="s">
        <v>531</v>
      </c>
      <c r="K3518">
        <v>0.15654949575601818</v>
      </c>
      <c r="L3518" t="s">
        <v>162</v>
      </c>
      <c r="N3518" t="s">
        <v>365</v>
      </c>
      <c r="O3518" t="s">
        <v>531</v>
      </c>
      <c r="P3518">
        <v>4.4066845124668907E-2</v>
      </c>
      <c r="Q3518" t="s">
        <v>162</v>
      </c>
      <c r="S3518" t="s">
        <v>477</v>
      </c>
      <c r="T3518" t="s">
        <v>531</v>
      </c>
      <c r="U3518">
        <v>4.0467193524434147E-2</v>
      </c>
      <c r="V3518" t="s">
        <v>162</v>
      </c>
    </row>
    <row r="3519" spans="9:22" x14ac:dyDescent="0.45">
      <c r="I3519" t="s">
        <v>253</v>
      </c>
      <c r="J3519" t="s">
        <v>532</v>
      </c>
      <c r="K3519">
        <v>2.2677659578192105E-2</v>
      </c>
      <c r="L3519" t="s">
        <v>162</v>
      </c>
      <c r="N3519" t="s">
        <v>365</v>
      </c>
      <c r="O3519" t="s">
        <v>532</v>
      </c>
      <c r="P3519">
        <v>7.8900966183725069E-3</v>
      </c>
      <c r="Q3519" t="s">
        <v>162</v>
      </c>
      <c r="S3519" t="s">
        <v>477</v>
      </c>
      <c r="T3519" t="s">
        <v>532</v>
      </c>
      <c r="U3519">
        <v>7.9659748078140542E-3</v>
      </c>
      <c r="V3519" t="s">
        <v>162</v>
      </c>
    </row>
    <row r="3520" spans="9:22" x14ac:dyDescent="0.45">
      <c r="I3520" t="s">
        <v>253</v>
      </c>
      <c r="J3520" t="s">
        <v>533</v>
      </c>
      <c r="K3520">
        <v>3.4388086424529458E-2</v>
      </c>
      <c r="L3520" t="s">
        <v>162</v>
      </c>
      <c r="N3520" t="s">
        <v>365</v>
      </c>
      <c r="O3520" t="s">
        <v>533</v>
      </c>
      <c r="P3520">
        <v>5.8446940416600451E-2</v>
      </c>
      <c r="Q3520" t="s">
        <v>162</v>
      </c>
      <c r="S3520" t="s">
        <v>477</v>
      </c>
      <c r="T3520" t="s">
        <v>533</v>
      </c>
      <c r="U3520">
        <v>4.7204338610447982E-2</v>
      </c>
      <c r="V3520" t="s">
        <v>162</v>
      </c>
    </row>
    <row r="3521" spans="9:22" x14ac:dyDescent="0.45">
      <c r="I3521" t="s">
        <v>253</v>
      </c>
      <c r="J3521" t="s">
        <v>534</v>
      </c>
      <c r="K3521">
        <v>3.5278673837646934E-2</v>
      </c>
      <c r="L3521" t="s">
        <v>162</v>
      </c>
      <c r="N3521" t="s">
        <v>365</v>
      </c>
      <c r="O3521" t="s">
        <v>534</v>
      </c>
      <c r="P3521">
        <v>0.11542637574212745</v>
      </c>
      <c r="Q3521" t="s">
        <v>162</v>
      </c>
      <c r="S3521" t="s">
        <v>477</v>
      </c>
      <c r="T3521" t="s">
        <v>534</v>
      </c>
      <c r="U3521">
        <v>8.6391233027123857E-2</v>
      </c>
      <c r="V3521" t="s">
        <v>162</v>
      </c>
    </row>
    <row r="3522" spans="9:22" x14ac:dyDescent="0.45">
      <c r="I3522" t="s">
        <v>253</v>
      </c>
      <c r="J3522" t="s">
        <v>535</v>
      </c>
      <c r="K3522">
        <v>2.0019640367382553E-2</v>
      </c>
      <c r="L3522" t="s">
        <v>162</v>
      </c>
      <c r="N3522" t="s">
        <v>365</v>
      </c>
      <c r="O3522" t="s">
        <v>535</v>
      </c>
      <c r="P3522">
        <v>1.1494513394973293E-2</v>
      </c>
      <c r="Q3522" t="s">
        <v>162</v>
      </c>
      <c r="S3522" t="s">
        <v>477</v>
      </c>
      <c r="T3522" t="s">
        <v>535</v>
      </c>
      <c r="U3522">
        <v>9.5171943293601968E-3</v>
      </c>
      <c r="V3522" t="s">
        <v>162</v>
      </c>
    </row>
    <row r="3523" spans="9:22" x14ac:dyDescent="0.45">
      <c r="I3523" t="s">
        <v>253</v>
      </c>
      <c r="J3523" t="s">
        <v>536</v>
      </c>
      <c r="K3523">
        <v>4.3225054328930972E-2</v>
      </c>
      <c r="L3523" t="s">
        <v>162</v>
      </c>
      <c r="N3523" t="s">
        <v>365</v>
      </c>
      <c r="O3523" t="s">
        <v>536</v>
      </c>
      <c r="P3523">
        <v>2.3383868217329382E-2</v>
      </c>
      <c r="Q3523" t="s">
        <v>162</v>
      </c>
      <c r="S3523" t="s">
        <v>477</v>
      </c>
      <c r="T3523" t="s">
        <v>536</v>
      </c>
      <c r="U3523">
        <v>1.9411936204746828E-2</v>
      </c>
      <c r="V3523" t="s">
        <v>162</v>
      </c>
    </row>
    <row r="3524" spans="9:22" x14ac:dyDescent="0.45">
      <c r="I3524" t="s">
        <v>253</v>
      </c>
      <c r="J3524" t="s">
        <v>537</v>
      </c>
      <c r="K3524">
        <v>9.3582999382032878E-2</v>
      </c>
      <c r="L3524" t="s">
        <v>162</v>
      </c>
      <c r="N3524" t="s">
        <v>365</v>
      </c>
      <c r="O3524" t="s">
        <v>537</v>
      </c>
      <c r="P3524">
        <v>5.9355736741143778E-2</v>
      </c>
      <c r="Q3524" t="s">
        <v>162</v>
      </c>
      <c r="S3524" t="s">
        <v>477</v>
      </c>
      <c r="T3524" t="s">
        <v>537</v>
      </c>
      <c r="U3524">
        <v>4.9375561802057676E-2</v>
      </c>
      <c r="V3524" t="s">
        <v>162</v>
      </c>
    </row>
    <row r="3525" spans="9:22" x14ac:dyDescent="0.45">
      <c r="I3525" t="s">
        <v>253</v>
      </c>
      <c r="J3525" t="s">
        <v>538</v>
      </c>
      <c r="K3525">
        <v>9.8310453547483072E-3</v>
      </c>
      <c r="L3525" t="s">
        <v>162</v>
      </c>
      <c r="N3525" t="s">
        <v>365</v>
      </c>
      <c r="O3525" t="s">
        <v>538</v>
      </c>
      <c r="P3525">
        <v>1.1676356714929113E-2</v>
      </c>
      <c r="Q3525" t="s">
        <v>162</v>
      </c>
      <c r="S3525" t="s">
        <v>477</v>
      </c>
      <c r="T3525" t="s">
        <v>538</v>
      </c>
      <c r="U3525">
        <v>9.7682613289821578E-3</v>
      </c>
      <c r="V3525" t="s">
        <v>162</v>
      </c>
    </row>
    <row r="3526" spans="9:22" x14ac:dyDescent="0.45">
      <c r="I3526" t="s">
        <v>253</v>
      </c>
      <c r="J3526" t="s">
        <v>539</v>
      </c>
      <c r="K3526">
        <v>6.6495588216854053E-3</v>
      </c>
      <c r="L3526" t="s">
        <v>162</v>
      </c>
      <c r="N3526" t="s">
        <v>365</v>
      </c>
      <c r="O3526" t="s">
        <v>539</v>
      </c>
      <c r="P3526">
        <v>7.8768762301645368E-2</v>
      </c>
      <c r="Q3526" t="s">
        <v>162</v>
      </c>
      <c r="S3526" t="s">
        <v>477</v>
      </c>
      <c r="T3526" t="s">
        <v>539</v>
      </c>
      <c r="U3526">
        <v>5.8562445569053559E-2</v>
      </c>
      <c r="V3526" t="s">
        <v>162</v>
      </c>
    </row>
    <row r="3527" spans="9:22" x14ac:dyDescent="0.45">
      <c r="I3527" t="s">
        <v>253</v>
      </c>
      <c r="J3527" t="s">
        <v>540</v>
      </c>
      <c r="K3527">
        <v>1.4383312780348921E-3</v>
      </c>
      <c r="L3527" t="s">
        <v>162</v>
      </c>
      <c r="N3527" t="s">
        <v>365</v>
      </c>
      <c r="O3527" t="s">
        <v>540</v>
      </c>
      <c r="P3527">
        <v>3.0189961601866329E-2</v>
      </c>
      <c r="Q3527" t="s">
        <v>162</v>
      </c>
      <c r="S3527" t="s">
        <v>477</v>
      </c>
      <c r="T3527" t="s">
        <v>540</v>
      </c>
      <c r="U3527">
        <v>3.710884994941932E-2</v>
      </c>
      <c r="V3527" t="s">
        <v>162</v>
      </c>
    </row>
    <row r="3528" spans="9:22" x14ac:dyDescent="0.45">
      <c r="I3528" t="s">
        <v>253</v>
      </c>
      <c r="J3528" t="s">
        <v>541</v>
      </c>
      <c r="K3528">
        <v>3.0656993249330734E-3</v>
      </c>
      <c r="L3528" t="s">
        <v>162</v>
      </c>
      <c r="N3528" t="s">
        <v>365</v>
      </c>
      <c r="O3528" t="s">
        <v>541</v>
      </c>
      <c r="P3528">
        <v>2.9961616284544545E-3</v>
      </c>
      <c r="Q3528" t="s">
        <v>162</v>
      </c>
      <c r="S3528" t="s">
        <v>477</v>
      </c>
      <c r="T3528" t="s">
        <v>541</v>
      </c>
      <c r="U3528">
        <v>4.3311569618743519E-3</v>
      </c>
      <c r="V3528" t="s">
        <v>162</v>
      </c>
    </row>
    <row r="3529" spans="9:22" x14ac:dyDescent="0.45">
      <c r="I3529" t="s">
        <v>253</v>
      </c>
      <c r="J3529" t="s">
        <v>542</v>
      </c>
      <c r="K3529">
        <v>8.7905642269523656E-3</v>
      </c>
      <c r="L3529" t="s">
        <v>162</v>
      </c>
      <c r="N3529" t="s">
        <v>365</v>
      </c>
      <c r="O3529" t="s">
        <v>542</v>
      </c>
      <c r="P3529">
        <v>5.3270535966934603E-3</v>
      </c>
      <c r="Q3529" t="s">
        <v>162</v>
      </c>
      <c r="S3529" t="s">
        <v>477</v>
      </c>
      <c r="T3529" t="s">
        <v>542</v>
      </c>
      <c r="U3529">
        <v>9.0640813575868645E-3</v>
      </c>
      <c r="V3529" t="s">
        <v>162</v>
      </c>
    </row>
    <row r="3530" spans="9:22" x14ac:dyDescent="0.45">
      <c r="I3530" t="s">
        <v>253</v>
      </c>
      <c r="J3530" t="s">
        <v>543</v>
      </c>
      <c r="K3530">
        <v>1.5519013687689423E-2</v>
      </c>
      <c r="L3530" t="s">
        <v>162</v>
      </c>
      <c r="N3530" t="s">
        <v>365</v>
      </c>
      <c r="O3530" t="s">
        <v>543</v>
      </c>
      <c r="P3530">
        <v>1.3620060006583007E-2</v>
      </c>
      <c r="Q3530" t="s">
        <v>162</v>
      </c>
      <c r="S3530" t="s">
        <v>477</v>
      </c>
      <c r="T3530" t="s">
        <v>543</v>
      </c>
      <c r="U3530">
        <v>2.308422996231423E-2</v>
      </c>
      <c r="V3530" t="s">
        <v>162</v>
      </c>
    </row>
    <row r="3531" spans="9:22" x14ac:dyDescent="0.45">
      <c r="I3531" t="s">
        <v>253</v>
      </c>
      <c r="J3531" t="s">
        <v>544</v>
      </c>
      <c r="K3531">
        <v>0</v>
      </c>
      <c r="L3531" t="s">
        <v>162</v>
      </c>
      <c r="N3531" t="s">
        <v>365</v>
      </c>
      <c r="O3531" t="s">
        <v>544</v>
      </c>
      <c r="P3531">
        <v>3.2643777442483341E-3</v>
      </c>
      <c r="Q3531" t="s">
        <v>162</v>
      </c>
      <c r="S3531" t="s">
        <v>477</v>
      </c>
      <c r="T3531" t="s">
        <v>544</v>
      </c>
      <c r="U3531">
        <v>4.6021102662812136E-3</v>
      </c>
      <c r="V3531" t="s">
        <v>162</v>
      </c>
    </row>
    <row r="3532" spans="9:22" x14ac:dyDescent="0.45">
      <c r="I3532" t="s">
        <v>253</v>
      </c>
      <c r="J3532" t="s">
        <v>545</v>
      </c>
      <c r="K3532">
        <v>0</v>
      </c>
      <c r="L3532" t="s">
        <v>162</v>
      </c>
      <c r="N3532" t="s">
        <v>365</v>
      </c>
      <c r="O3532" t="s">
        <v>545</v>
      </c>
      <c r="P3532">
        <v>1.9162002989084791E-2</v>
      </c>
      <c r="Q3532" t="s">
        <v>162</v>
      </c>
      <c r="S3532" t="s">
        <v>477</v>
      </c>
      <c r="T3532" t="s">
        <v>545</v>
      </c>
      <c r="U3532">
        <v>2.7068832421915053E-2</v>
      </c>
      <c r="V3532" t="s">
        <v>162</v>
      </c>
    </row>
    <row r="3533" spans="9:22" x14ac:dyDescent="0.45">
      <c r="I3533" t="s">
        <v>253</v>
      </c>
      <c r="J3533" t="s">
        <v>546</v>
      </c>
      <c r="K3533">
        <v>6.2453732338048593E-6</v>
      </c>
      <c r="L3533" t="s">
        <v>162</v>
      </c>
      <c r="N3533" t="s">
        <v>365</v>
      </c>
      <c r="O3533" t="s">
        <v>546</v>
      </c>
      <c r="P3533">
        <v>4.1071517123228179E-2</v>
      </c>
      <c r="Q3533" t="s">
        <v>162</v>
      </c>
      <c r="S3533" t="s">
        <v>477</v>
      </c>
      <c r="T3533" t="s">
        <v>546</v>
      </c>
      <c r="U3533">
        <v>3.5946796014226672E-2</v>
      </c>
      <c r="V3533" t="s">
        <v>162</v>
      </c>
    </row>
    <row r="3534" spans="9:22" x14ac:dyDescent="0.45">
      <c r="I3534" t="s">
        <v>253</v>
      </c>
      <c r="J3534" t="s">
        <v>547</v>
      </c>
      <c r="K3534">
        <v>3.409456171165429E-3</v>
      </c>
      <c r="L3534" t="s">
        <v>162</v>
      </c>
      <c r="N3534" t="s">
        <v>365</v>
      </c>
      <c r="O3534" t="s">
        <v>547</v>
      </c>
      <c r="P3534">
        <v>4.5056676684895273E-3</v>
      </c>
      <c r="Q3534" t="s">
        <v>162</v>
      </c>
      <c r="S3534" t="s">
        <v>477</v>
      </c>
      <c r="T3534" t="s">
        <v>547</v>
      </c>
      <c r="U3534">
        <v>3.9963723654958703E-3</v>
      </c>
      <c r="V3534" t="s">
        <v>162</v>
      </c>
    </row>
    <row r="3535" spans="9:22" x14ac:dyDescent="0.45">
      <c r="I3535" t="s">
        <v>253</v>
      </c>
      <c r="J3535" t="s">
        <v>548</v>
      </c>
      <c r="K3535">
        <v>1.1931588346784067E-2</v>
      </c>
      <c r="L3535" t="s">
        <v>162</v>
      </c>
      <c r="N3535" t="s">
        <v>365</v>
      </c>
      <c r="O3535" t="s">
        <v>548</v>
      </c>
      <c r="P3535">
        <v>8.4042565061752499E-3</v>
      </c>
      <c r="Q3535" t="s">
        <v>162</v>
      </c>
      <c r="S3535" t="s">
        <v>477</v>
      </c>
      <c r="T3535" t="s">
        <v>548</v>
      </c>
      <c r="U3535">
        <v>8.1348158705142008E-3</v>
      </c>
      <c r="V3535" t="s">
        <v>162</v>
      </c>
    </row>
    <row r="3536" spans="9:22" x14ac:dyDescent="0.45">
      <c r="I3536" t="s">
        <v>253</v>
      </c>
      <c r="J3536" t="s">
        <v>549</v>
      </c>
      <c r="K3536">
        <v>2.1185317460410632E-2</v>
      </c>
      <c r="L3536" t="s">
        <v>162</v>
      </c>
      <c r="N3536" t="s">
        <v>365</v>
      </c>
      <c r="O3536" t="s">
        <v>549</v>
      </c>
      <c r="P3536">
        <v>2.1436785678117524E-2</v>
      </c>
      <c r="Q3536" t="s">
        <v>162</v>
      </c>
      <c r="S3536" t="s">
        <v>477</v>
      </c>
      <c r="T3536" t="s">
        <v>549</v>
      </c>
      <c r="U3536">
        <v>2.1138585599161486E-2</v>
      </c>
      <c r="V3536" t="s">
        <v>162</v>
      </c>
    </row>
    <row r="3537" spans="9:22" x14ac:dyDescent="0.45">
      <c r="I3537" t="s">
        <v>253</v>
      </c>
      <c r="J3537" t="s">
        <v>550</v>
      </c>
      <c r="K3537">
        <v>0</v>
      </c>
      <c r="L3537" t="s">
        <v>162</v>
      </c>
      <c r="N3537" t="s">
        <v>365</v>
      </c>
      <c r="O3537" t="s">
        <v>550</v>
      </c>
      <c r="P3537">
        <v>4.771793212380868E-3</v>
      </c>
      <c r="Q3537" t="s">
        <v>162</v>
      </c>
      <c r="S3537" t="s">
        <v>477</v>
      </c>
      <c r="T3537" t="s">
        <v>550</v>
      </c>
      <c r="U3537">
        <v>4.25806643264935E-3</v>
      </c>
      <c r="V3537" t="s">
        <v>162</v>
      </c>
    </row>
    <row r="3538" spans="9:22" x14ac:dyDescent="0.45">
      <c r="I3538" t="s">
        <v>253</v>
      </c>
      <c r="J3538" t="s">
        <v>551</v>
      </c>
      <c r="K3538">
        <v>0</v>
      </c>
      <c r="L3538" t="s">
        <v>162</v>
      </c>
      <c r="N3538" t="s">
        <v>365</v>
      </c>
      <c r="O3538" t="s">
        <v>551</v>
      </c>
      <c r="P3538">
        <v>2.8505001723367517E-2</v>
      </c>
      <c r="Q3538" t="s">
        <v>162</v>
      </c>
      <c r="S3538" t="s">
        <v>477</v>
      </c>
      <c r="T3538" t="s">
        <v>551</v>
      </c>
      <c r="U3538">
        <v>2.5929552334670057E-2</v>
      </c>
      <c r="V3538" t="s">
        <v>162</v>
      </c>
    </row>
    <row r="3539" spans="9:22" x14ac:dyDescent="0.45">
      <c r="I3539" t="s">
        <v>254</v>
      </c>
      <c r="J3539" t="s">
        <v>161</v>
      </c>
      <c r="K3539">
        <v>0</v>
      </c>
      <c r="L3539" t="s">
        <v>162</v>
      </c>
      <c r="N3539" t="s">
        <v>366</v>
      </c>
      <c r="O3539" t="s">
        <v>161</v>
      </c>
      <c r="P3539">
        <v>3.5735863050103421E-2</v>
      </c>
      <c r="Q3539" t="s">
        <v>162</v>
      </c>
      <c r="S3539" t="s">
        <v>478</v>
      </c>
      <c r="T3539" t="s">
        <v>161</v>
      </c>
      <c r="U3539">
        <v>2.7872831416273579E-2</v>
      </c>
      <c r="V3539" t="s">
        <v>162</v>
      </c>
    </row>
    <row r="3540" spans="9:22" x14ac:dyDescent="0.45">
      <c r="I3540" t="s">
        <v>254</v>
      </c>
      <c r="J3540" t="s">
        <v>163</v>
      </c>
      <c r="K3540">
        <v>1.8500374221838033E-4</v>
      </c>
      <c r="L3540" t="s">
        <v>162</v>
      </c>
      <c r="N3540" t="s">
        <v>366</v>
      </c>
      <c r="O3540" t="s">
        <v>163</v>
      </c>
      <c r="P3540">
        <v>3.6751974661096047E-3</v>
      </c>
      <c r="Q3540" t="s">
        <v>162</v>
      </c>
      <c r="S3540" t="s">
        <v>478</v>
      </c>
      <c r="T3540" t="s">
        <v>163</v>
      </c>
      <c r="U3540">
        <v>2.7251360916538082E-3</v>
      </c>
      <c r="V3540" t="s">
        <v>162</v>
      </c>
    </row>
    <row r="3541" spans="9:22" x14ac:dyDescent="0.45">
      <c r="I3541" t="s">
        <v>254</v>
      </c>
      <c r="J3541" t="s">
        <v>164</v>
      </c>
      <c r="K3541">
        <v>9.6979006047487604E-3</v>
      </c>
      <c r="L3541" t="s">
        <v>162</v>
      </c>
      <c r="N3541" t="s">
        <v>366</v>
      </c>
      <c r="O3541" t="s">
        <v>164</v>
      </c>
      <c r="P3541">
        <v>7.2023593648607373E-3</v>
      </c>
      <c r="Q3541" t="s">
        <v>162</v>
      </c>
      <c r="S3541" t="s">
        <v>478</v>
      </c>
      <c r="T3541" t="s">
        <v>164</v>
      </c>
      <c r="U3541">
        <v>5.4248399660378919E-3</v>
      </c>
      <c r="V3541" t="s">
        <v>162</v>
      </c>
    </row>
    <row r="3542" spans="9:22" x14ac:dyDescent="0.45">
      <c r="I3542" t="s">
        <v>254</v>
      </c>
      <c r="J3542" t="s">
        <v>519</v>
      </c>
      <c r="K3542">
        <v>2.6354004159196687E-2</v>
      </c>
      <c r="L3542" t="s">
        <v>162</v>
      </c>
      <c r="N3542" t="s">
        <v>366</v>
      </c>
      <c r="O3542" t="s">
        <v>519</v>
      </c>
      <c r="P3542">
        <v>1.8908257930240202E-2</v>
      </c>
      <c r="Q3542" t="s">
        <v>162</v>
      </c>
      <c r="S3542" t="s">
        <v>478</v>
      </c>
      <c r="T3542" t="s">
        <v>519</v>
      </c>
      <c r="U3542">
        <v>1.3756568871677487E-2</v>
      </c>
      <c r="V3542" t="s">
        <v>162</v>
      </c>
    </row>
    <row r="3543" spans="9:22" x14ac:dyDescent="0.45">
      <c r="I3543" t="s">
        <v>254</v>
      </c>
      <c r="J3543" t="s">
        <v>520</v>
      </c>
      <c r="K3543">
        <v>2.1807287815149788E-5</v>
      </c>
      <c r="L3543" t="s">
        <v>162</v>
      </c>
      <c r="N3543" t="s">
        <v>366</v>
      </c>
      <c r="O3543" t="s">
        <v>520</v>
      </c>
      <c r="P3543">
        <v>3.9457926485054967E-3</v>
      </c>
      <c r="Q3543" t="s">
        <v>162</v>
      </c>
      <c r="S3543" t="s">
        <v>478</v>
      </c>
      <c r="T3543" t="s">
        <v>520</v>
      </c>
      <c r="U3543">
        <v>2.8860875681469339E-3</v>
      </c>
      <c r="V3543" t="s">
        <v>162</v>
      </c>
    </row>
    <row r="3544" spans="9:22" x14ac:dyDescent="0.45">
      <c r="I3544" t="s">
        <v>254</v>
      </c>
      <c r="J3544" t="s">
        <v>521</v>
      </c>
      <c r="K3544">
        <v>0</v>
      </c>
      <c r="L3544" t="s">
        <v>162</v>
      </c>
      <c r="N3544" t="s">
        <v>366</v>
      </c>
      <c r="O3544" t="s">
        <v>521</v>
      </c>
      <c r="P3544">
        <v>2.441121970212622E-2</v>
      </c>
      <c r="Q3544" t="s">
        <v>162</v>
      </c>
      <c r="S3544" t="s">
        <v>478</v>
      </c>
      <c r="T3544" t="s">
        <v>521</v>
      </c>
      <c r="U3544">
        <v>1.9682923647280554E-2</v>
      </c>
      <c r="V3544" t="s">
        <v>162</v>
      </c>
    </row>
    <row r="3545" spans="9:22" x14ac:dyDescent="0.45">
      <c r="I3545" t="s">
        <v>254</v>
      </c>
      <c r="J3545" t="s">
        <v>165</v>
      </c>
      <c r="K3545">
        <v>6.1682976966560632E-3</v>
      </c>
      <c r="L3545" t="s">
        <v>162</v>
      </c>
      <c r="N3545" t="s">
        <v>366</v>
      </c>
      <c r="O3545" t="s">
        <v>165</v>
      </c>
      <c r="P3545">
        <v>6.7176240404376295E-2</v>
      </c>
      <c r="Q3545" t="s">
        <v>162</v>
      </c>
      <c r="S3545" t="s">
        <v>478</v>
      </c>
      <c r="T3545" t="s">
        <v>165</v>
      </c>
      <c r="U3545">
        <v>4.6750789996503603E-2</v>
      </c>
      <c r="V3545" t="s">
        <v>162</v>
      </c>
    </row>
    <row r="3546" spans="9:22" x14ac:dyDescent="0.45">
      <c r="I3546" t="s">
        <v>254</v>
      </c>
      <c r="J3546" t="s">
        <v>166</v>
      </c>
      <c r="K3546">
        <v>1.1901601812679505E-2</v>
      </c>
      <c r="L3546" t="s">
        <v>162</v>
      </c>
      <c r="N3546" t="s">
        <v>366</v>
      </c>
      <c r="O3546" t="s">
        <v>166</v>
      </c>
      <c r="P3546">
        <v>6.8527409587500459E-3</v>
      </c>
      <c r="Q3546" t="s">
        <v>162</v>
      </c>
      <c r="S3546" t="s">
        <v>478</v>
      </c>
      <c r="T3546" t="s">
        <v>166</v>
      </c>
      <c r="U3546">
        <v>5.2623330268321174E-3</v>
      </c>
      <c r="V3546" t="s">
        <v>162</v>
      </c>
    </row>
    <row r="3547" spans="9:22" x14ac:dyDescent="0.45">
      <c r="I3547" t="s">
        <v>254</v>
      </c>
      <c r="J3547" t="s">
        <v>167</v>
      </c>
      <c r="K3547">
        <v>3.5757154274165592E-2</v>
      </c>
      <c r="L3547" t="s">
        <v>162</v>
      </c>
      <c r="N3547" t="s">
        <v>366</v>
      </c>
      <c r="O3547" t="s">
        <v>167</v>
      </c>
      <c r="P3547">
        <v>1.2589939055112576E-2</v>
      </c>
      <c r="Q3547" t="s">
        <v>162</v>
      </c>
      <c r="S3547" t="s">
        <v>478</v>
      </c>
      <c r="T3547" t="s">
        <v>167</v>
      </c>
      <c r="U3547">
        <v>1.0552851644919547E-2</v>
      </c>
      <c r="V3547" t="s">
        <v>162</v>
      </c>
    </row>
    <row r="3548" spans="9:22" x14ac:dyDescent="0.45">
      <c r="I3548" t="s">
        <v>254</v>
      </c>
      <c r="J3548" t="s">
        <v>522</v>
      </c>
      <c r="K3548">
        <v>9.1746069296008703E-2</v>
      </c>
      <c r="L3548" t="s">
        <v>162</v>
      </c>
      <c r="N3548" t="s">
        <v>366</v>
      </c>
      <c r="O3548" t="s">
        <v>522</v>
      </c>
      <c r="P3548">
        <v>3.0821867603741018E-2</v>
      </c>
      <c r="Q3548" t="s">
        <v>162</v>
      </c>
      <c r="S3548" t="s">
        <v>478</v>
      </c>
      <c r="T3548" t="s">
        <v>522</v>
      </c>
      <c r="U3548">
        <v>2.6219170687321543E-2</v>
      </c>
      <c r="V3548" t="s">
        <v>162</v>
      </c>
    </row>
    <row r="3549" spans="9:22" x14ac:dyDescent="0.45">
      <c r="I3549" t="s">
        <v>254</v>
      </c>
      <c r="J3549" t="s">
        <v>523</v>
      </c>
      <c r="K3549">
        <v>1.1037399586937476E-2</v>
      </c>
      <c r="L3549" t="s">
        <v>162</v>
      </c>
      <c r="N3549" t="s">
        <v>366</v>
      </c>
      <c r="O3549" t="s">
        <v>523</v>
      </c>
      <c r="P3549">
        <v>6.8833212477321729E-3</v>
      </c>
      <c r="Q3549" t="s">
        <v>162</v>
      </c>
      <c r="S3549" t="s">
        <v>478</v>
      </c>
      <c r="T3549" t="s">
        <v>523</v>
      </c>
      <c r="U3549">
        <v>5.3956188700155878E-3</v>
      </c>
      <c r="V3549" t="s">
        <v>162</v>
      </c>
    </row>
    <row r="3550" spans="9:22" x14ac:dyDescent="0.45">
      <c r="I3550" t="s">
        <v>254</v>
      </c>
      <c r="J3550" t="s">
        <v>524</v>
      </c>
      <c r="K3550">
        <v>3.9362340916285895E-3</v>
      </c>
      <c r="L3550" t="s">
        <v>162</v>
      </c>
      <c r="N3550" t="s">
        <v>366</v>
      </c>
      <c r="O3550" t="s">
        <v>524</v>
      </c>
      <c r="P3550">
        <v>4.3874815872655223E-2</v>
      </c>
      <c r="Q3550" t="s">
        <v>162</v>
      </c>
      <c r="S3550" t="s">
        <v>478</v>
      </c>
      <c r="T3550" t="s">
        <v>524</v>
      </c>
      <c r="U3550">
        <v>3.3624991155938977E-2</v>
      </c>
      <c r="V3550" t="s">
        <v>162</v>
      </c>
    </row>
    <row r="3551" spans="9:22" x14ac:dyDescent="0.45">
      <c r="I3551" t="s">
        <v>254</v>
      </c>
      <c r="J3551" t="s">
        <v>168</v>
      </c>
      <c r="K3551">
        <v>1.731305754296095E-2</v>
      </c>
      <c r="L3551" t="s">
        <v>162</v>
      </c>
      <c r="N3551" t="s">
        <v>366</v>
      </c>
      <c r="O3551" t="s">
        <v>168</v>
      </c>
      <c r="P3551">
        <v>3.4719978533654321E-2</v>
      </c>
      <c r="Q3551" t="s">
        <v>162</v>
      </c>
      <c r="S3551" t="s">
        <v>478</v>
      </c>
      <c r="T3551" t="s">
        <v>168</v>
      </c>
      <c r="U3551">
        <v>2.7765054396517139E-2</v>
      </c>
      <c r="V3551" t="s">
        <v>162</v>
      </c>
    </row>
    <row r="3552" spans="9:22" x14ac:dyDescent="0.45">
      <c r="I3552" t="s">
        <v>254</v>
      </c>
      <c r="J3552" t="s">
        <v>169</v>
      </c>
      <c r="K3552">
        <v>1.1290423913163171E-2</v>
      </c>
      <c r="L3552" t="s">
        <v>162</v>
      </c>
      <c r="N3552" t="s">
        <v>366</v>
      </c>
      <c r="O3552" t="s">
        <v>169</v>
      </c>
      <c r="P3552">
        <v>3.1575470976808778E-3</v>
      </c>
      <c r="Q3552" t="s">
        <v>162</v>
      </c>
      <c r="S3552" t="s">
        <v>478</v>
      </c>
      <c r="T3552" t="s">
        <v>169</v>
      </c>
      <c r="U3552">
        <v>3.2422342862313621E-3</v>
      </c>
      <c r="V3552" t="s">
        <v>162</v>
      </c>
    </row>
    <row r="3553" spans="9:22" x14ac:dyDescent="0.45">
      <c r="I3553" t="s">
        <v>254</v>
      </c>
      <c r="J3553" t="s">
        <v>170</v>
      </c>
      <c r="K3553">
        <v>2.5663237766945683E-2</v>
      </c>
      <c r="L3553" t="s">
        <v>162</v>
      </c>
      <c r="N3553" t="s">
        <v>366</v>
      </c>
      <c r="O3553" t="s">
        <v>170</v>
      </c>
      <c r="P3553">
        <v>6.0339736418934392E-3</v>
      </c>
      <c r="Q3553" t="s">
        <v>162</v>
      </c>
      <c r="S3553" t="s">
        <v>478</v>
      </c>
      <c r="T3553" t="s">
        <v>170</v>
      </c>
      <c r="U3553">
        <v>6.853429163433138E-3</v>
      </c>
      <c r="V3553" t="s">
        <v>162</v>
      </c>
    </row>
    <row r="3554" spans="9:22" x14ac:dyDescent="0.45">
      <c r="I3554" t="s">
        <v>254</v>
      </c>
      <c r="J3554" t="s">
        <v>525</v>
      </c>
      <c r="K3554">
        <v>6.0712917771778251E-2</v>
      </c>
      <c r="L3554" t="s">
        <v>162</v>
      </c>
      <c r="N3554" t="s">
        <v>366</v>
      </c>
      <c r="O3554" t="s">
        <v>525</v>
      </c>
      <c r="P3554">
        <v>1.6317767880198005E-2</v>
      </c>
      <c r="Q3554" t="s">
        <v>162</v>
      </c>
      <c r="S3554" t="s">
        <v>478</v>
      </c>
      <c r="T3554" t="s">
        <v>525</v>
      </c>
      <c r="U3554">
        <v>1.8322431955667323E-2</v>
      </c>
      <c r="V3554" t="s">
        <v>162</v>
      </c>
    </row>
    <row r="3555" spans="9:22" x14ac:dyDescent="0.45">
      <c r="I3555" t="s">
        <v>254</v>
      </c>
      <c r="J3555" t="s">
        <v>526</v>
      </c>
      <c r="K3555">
        <v>8.6969227153687739E-3</v>
      </c>
      <c r="L3555" t="s">
        <v>162</v>
      </c>
      <c r="N3555" t="s">
        <v>366</v>
      </c>
      <c r="O3555" t="s">
        <v>526</v>
      </c>
      <c r="P3555">
        <v>3.4769754112071055E-3</v>
      </c>
      <c r="Q3555" t="s">
        <v>162</v>
      </c>
      <c r="S3555" t="s">
        <v>478</v>
      </c>
      <c r="T3555" t="s">
        <v>526</v>
      </c>
      <c r="U3555">
        <v>3.6049869872721262E-3</v>
      </c>
      <c r="V3555" t="s">
        <v>162</v>
      </c>
    </row>
    <row r="3556" spans="9:22" x14ac:dyDescent="0.45">
      <c r="I3556" t="s">
        <v>254</v>
      </c>
      <c r="J3556" t="s">
        <v>527</v>
      </c>
      <c r="K3556">
        <v>9.3382269910668621E-3</v>
      </c>
      <c r="L3556" t="s">
        <v>162</v>
      </c>
      <c r="N3556" t="s">
        <v>366</v>
      </c>
      <c r="O3556" t="s">
        <v>527</v>
      </c>
      <c r="P3556">
        <v>2.191032627397874E-2</v>
      </c>
      <c r="Q3556" t="s">
        <v>162</v>
      </c>
      <c r="S3556" t="s">
        <v>478</v>
      </c>
      <c r="T3556" t="s">
        <v>527</v>
      </c>
      <c r="U3556">
        <v>2.0202235363840609E-2</v>
      </c>
      <c r="V3556" t="s">
        <v>162</v>
      </c>
    </row>
    <row r="3557" spans="9:22" x14ac:dyDescent="0.45">
      <c r="I3557" t="s">
        <v>254</v>
      </c>
      <c r="J3557" t="s">
        <v>528</v>
      </c>
      <c r="K3557">
        <v>7.6289916919769843E-2</v>
      </c>
      <c r="L3557" t="s">
        <v>162</v>
      </c>
      <c r="N3557" t="s">
        <v>366</v>
      </c>
      <c r="O3557" t="s">
        <v>528</v>
      </c>
      <c r="P3557">
        <v>7.4417925509160696E-2</v>
      </c>
      <c r="Q3557" t="s">
        <v>162</v>
      </c>
      <c r="S3557" t="s">
        <v>478</v>
      </c>
      <c r="T3557" t="s">
        <v>528</v>
      </c>
      <c r="U3557">
        <v>8.829921010735102E-2</v>
      </c>
      <c r="V3557" t="s">
        <v>162</v>
      </c>
    </row>
    <row r="3558" spans="9:22" x14ac:dyDescent="0.45">
      <c r="I3558" t="s">
        <v>254</v>
      </c>
      <c r="J3558" t="s">
        <v>529</v>
      </c>
      <c r="K3558">
        <v>3.2099305065683328E-2</v>
      </c>
      <c r="L3558" t="s">
        <v>162</v>
      </c>
      <c r="N3558" t="s">
        <v>366</v>
      </c>
      <c r="O3558" t="s">
        <v>529</v>
      </c>
      <c r="P3558">
        <v>6.7773058545664688E-3</v>
      </c>
      <c r="Q3558" t="s">
        <v>162</v>
      </c>
      <c r="S3558" t="s">
        <v>478</v>
      </c>
      <c r="T3558" t="s">
        <v>529</v>
      </c>
      <c r="U3558">
        <v>8.5437298825361656E-3</v>
      </c>
      <c r="V3558" t="s">
        <v>162</v>
      </c>
    </row>
    <row r="3559" spans="9:22" x14ac:dyDescent="0.45">
      <c r="I3559" t="s">
        <v>254</v>
      </c>
      <c r="J3559" t="s">
        <v>530</v>
      </c>
      <c r="K3559">
        <v>7.0520214652697644E-2</v>
      </c>
      <c r="L3559" t="s">
        <v>162</v>
      </c>
      <c r="N3559" t="s">
        <v>366</v>
      </c>
      <c r="O3559" t="s">
        <v>530</v>
      </c>
      <c r="P3559">
        <v>1.373385840402859E-2</v>
      </c>
      <c r="Q3559" t="s">
        <v>162</v>
      </c>
      <c r="S3559" t="s">
        <v>478</v>
      </c>
      <c r="T3559" t="s">
        <v>530</v>
      </c>
      <c r="U3559">
        <v>1.6919840159138218E-2</v>
      </c>
      <c r="V3559" t="s">
        <v>162</v>
      </c>
    </row>
    <row r="3560" spans="9:22" x14ac:dyDescent="0.45">
      <c r="I3560" t="s">
        <v>254</v>
      </c>
      <c r="J3560" t="s">
        <v>531</v>
      </c>
      <c r="K3560">
        <v>0.16876746247038946</v>
      </c>
      <c r="L3560" t="s">
        <v>162</v>
      </c>
      <c r="N3560" t="s">
        <v>366</v>
      </c>
      <c r="O3560" t="s">
        <v>531</v>
      </c>
      <c r="P3560">
        <v>3.5051111612675233E-2</v>
      </c>
      <c r="Q3560" t="s">
        <v>162</v>
      </c>
      <c r="S3560" t="s">
        <v>478</v>
      </c>
      <c r="T3560" t="s">
        <v>531</v>
      </c>
      <c r="U3560">
        <v>4.6187813116384542E-2</v>
      </c>
      <c r="V3560" t="s">
        <v>162</v>
      </c>
    </row>
    <row r="3561" spans="9:22" x14ac:dyDescent="0.45">
      <c r="I3561" t="s">
        <v>254</v>
      </c>
      <c r="J3561" t="s">
        <v>532</v>
      </c>
      <c r="K3561">
        <v>2.8564899177405168E-2</v>
      </c>
      <c r="L3561" t="s">
        <v>162</v>
      </c>
      <c r="N3561" t="s">
        <v>366</v>
      </c>
      <c r="O3561" t="s">
        <v>532</v>
      </c>
      <c r="P3561">
        <v>6.9392411159637729E-3</v>
      </c>
      <c r="Q3561" t="s">
        <v>162</v>
      </c>
      <c r="S3561" t="s">
        <v>478</v>
      </c>
      <c r="T3561" t="s">
        <v>532</v>
      </c>
      <c r="U3561">
        <v>9.7489329607890786E-3</v>
      </c>
      <c r="V3561" t="s">
        <v>162</v>
      </c>
    </row>
    <row r="3562" spans="9:22" x14ac:dyDescent="0.45">
      <c r="I3562" t="s">
        <v>254</v>
      </c>
      <c r="J3562" t="s">
        <v>533</v>
      </c>
      <c r="K3562">
        <v>5.7576747548349627E-2</v>
      </c>
      <c r="L3562" t="s">
        <v>162</v>
      </c>
      <c r="N3562" t="s">
        <v>366</v>
      </c>
      <c r="O3562" t="s">
        <v>533</v>
      </c>
      <c r="P3562">
        <v>4.9235002328318352E-2</v>
      </c>
      <c r="Q3562" t="s">
        <v>162</v>
      </c>
      <c r="S3562" t="s">
        <v>478</v>
      </c>
      <c r="T3562" t="s">
        <v>533</v>
      </c>
      <c r="U3562">
        <v>6.1643437703342283E-2</v>
      </c>
      <c r="V3562" t="s">
        <v>162</v>
      </c>
    </row>
    <row r="3563" spans="9:22" x14ac:dyDescent="0.45">
      <c r="I3563" t="s">
        <v>254</v>
      </c>
      <c r="J3563" t="s">
        <v>534</v>
      </c>
      <c r="K3563">
        <v>1.9951275583976996E-2</v>
      </c>
      <c r="L3563" t="s">
        <v>162</v>
      </c>
      <c r="N3563" t="s">
        <v>366</v>
      </c>
      <c r="O3563" t="s">
        <v>534</v>
      </c>
      <c r="P3563">
        <v>0.10189415004813553</v>
      </c>
      <c r="Q3563" t="s">
        <v>162</v>
      </c>
      <c r="S3563" t="s">
        <v>478</v>
      </c>
      <c r="T3563" t="s">
        <v>534</v>
      </c>
      <c r="U3563">
        <v>0.1038055690963757</v>
      </c>
      <c r="V3563" t="s">
        <v>162</v>
      </c>
    </row>
    <row r="3564" spans="9:22" x14ac:dyDescent="0.45">
      <c r="I3564" t="s">
        <v>254</v>
      </c>
      <c r="J3564" t="s">
        <v>535</v>
      </c>
      <c r="K3564">
        <v>1.4834745149911229E-2</v>
      </c>
      <c r="L3564" t="s">
        <v>162</v>
      </c>
      <c r="N3564" t="s">
        <v>366</v>
      </c>
      <c r="O3564" t="s">
        <v>535</v>
      </c>
      <c r="P3564">
        <v>1.0330928117415369E-2</v>
      </c>
      <c r="Q3564" t="s">
        <v>162</v>
      </c>
      <c r="S3564" t="s">
        <v>478</v>
      </c>
      <c r="T3564" t="s">
        <v>535</v>
      </c>
      <c r="U3564">
        <v>1.1023866390164287E-2</v>
      </c>
      <c r="V3564" t="s">
        <v>162</v>
      </c>
    </row>
    <row r="3565" spans="9:22" x14ac:dyDescent="0.45">
      <c r="I3565" t="s">
        <v>254</v>
      </c>
      <c r="J3565" t="s">
        <v>536</v>
      </c>
      <c r="K3565">
        <v>3.7684199652198248E-2</v>
      </c>
      <c r="L3565" t="s">
        <v>162</v>
      </c>
      <c r="N3565" t="s">
        <v>366</v>
      </c>
      <c r="O3565" t="s">
        <v>536</v>
      </c>
      <c r="P3565">
        <v>2.06041401910706E-2</v>
      </c>
      <c r="Q3565" t="s">
        <v>162</v>
      </c>
      <c r="S3565" t="s">
        <v>478</v>
      </c>
      <c r="T3565" t="s">
        <v>536</v>
      </c>
      <c r="U3565">
        <v>2.181647856077323E-2</v>
      </c>
      <c r="V3565" t="s">
        <v>162</v>
      </c>
    </row>
    <row r="3566" spans="9:22" x14ac:dyDescent="0.45">
      <c r="I3566" t="s">
        <v>254</v>
      </c>
      <c r="J3566" t="s">
        <v>537</v>
      </c>
      <c r="K3566">
        <v>8.5126066571137235E-2</v>
      </c>
      <c r="L3566" t="s">
        <v>162</v>
      </c>
      <c r="N3566" t="s">
        <v>366</v>
      </c>
      <c r="O3566" t="s">
        <v>537</v>
      </c>
      <c r="P3566">
        <v>5.0993345741940595E-2</v>
      </c>
      <c r="Q3566" t="s">
        <v>162</v>
      </c>
      <c r="S3566" t="s">
        <v>478</v>
      </c>
      <c r="T3566" t="s">
        <v>537</v>
      </c>
      <c r="U3566">
        <v>5.4365696478301744E-2</v>
      </c>
      <c r="V3566" t="s">
        <v>162</v>
      </c>
    </row>
    <row r="3567" spans="9:22" x14ac:dyDescent="0.45">
      <c r="I3567" t="s">
        <v>254</v>
      </c>
      <c r="J3567" t="s">
        <v>538</v>
      </c>
      <c r="K3567">
        <v>1.1250177484531282E-2</v>
      </c>
      <c r="L3567" t="s">
        <v>162</v>
      </c>
      <c r="N3567" t="s">
        <v>366</v>
      </c>
      <c r="O3567" t="s">
        <v>538</v>
      </c>
      <c r="P3567">
        <v>1.0266135626263335E-2</v>
      </c>
      <c r="Q3567" t="s">
        <v>162</v>
      </c>
      <c r="S3567" t="s">
        <v>478</v>
      </c>
      <c r="T3567" t="s">
        <v>538</v>
      </c>
      <c r="U3567">
        <v>1.0830006564094587E-2</v>
      </c>
      <c r="V3567" t="s">
        <v>162</v>
      </c>
    </row>
    <row r="3568" spans="9:22" x14ac:dyDescent="0.45">
      <c r="I3568" t="s">
        <v>254</v>
      </c>
      <c r="J3568" t="s">
        <v>539</v>
      </c>
      <c r="K3568">
        <v>1.3124782338614516E-2</v>
      </c>
      <c r="L3568" t="s">
        <v>162</v>
      </c>
      <c r="N3568" t="s">
        <v>366</v>
      </c>
      <c r="O3568" t="s">
        <v>539</v>
      </c>
      <c r="P3568">
        <v>6.7406263377864151E-2</v>
      </c>
      <c r="Q3568" t="s">
        <v>162</v>
      </c>
      <c r="S3568" t="s">
        <v>478</v>
      </c>
      <c r="T3568" t="s">
        <v>539</v>
      </c>
      <c r="U3568">
        <v>6.8847289146040686E-2</v>
      </c>
      <c r="V3568" t="s">
        <v>162</v>
      </c>
    </row>
    <row r="3569" spans="9:22" x14ac:dyDescent="0.45">
      <c r="I3569" t="s">
        <v>254</v>
      </c>
      <c r="J3569" t="s">
        <v>540</v>
      </c>
      <c r="K3569">
        <v>1.3643405458307814E-6</v>
      </c>
      <c r="L3569" t="s">
        <v>162</v>
      </c>
      <c r="N3569" t="s">
        <v>366</v>
      </c>
      <c r="O3569" t="s">
        <v>540</v>
      </c>
      <c r="P3569">
        <v>3.3550525119586193E-2</v>
      </c>
      <c r="Q3569" t="s">
        <v>162</v>
      </c>
      <c r="S3569" t="s">
        <v>478</v>
      </c>
      <c r="T3569" t="s">
        <v>540</v>
      </c>
      <c r="U3569">
        <v>4.7977310469429268E-2</v>
      </c>
      <c r="V3569" t="s">
        <v>162</v>
      </c>
    </row>
    <row r="3570" spans="9:22" x14ac:dyDescent="0.45">
      <c r="I3570" t="s">
        <v>254</v>
      </c>
      <c r="J3570" t="s">
        <v>541</v>
      </c>
      <c r="K3570">
        <v>1.8949077818965464E-3</v>
      </c>
      <c r="L3570" t="s">
        <v>162</v>
      </c>
      <c r="N3570" t="s">
        <v>366</v>
      </c>
      <c r="O3570" t="s">
        <v>541</v>
      </c>
      <c r="P3570">
        <v>3.3421971678324219E-3</v>
      </c>
      <c r="Q3570" t="s">
        <v>162</v>
      </c>
      <c r="S3570" t="s">
        <v>478</v>
      </c>
      <c r="T3570" t="s">
        <v>541</v>
      </c>
      <c r="U3570">
        <v>5.6348566411596433E-3</v>
      </c>
      <c r="V3570" t="s">
        <v>162</v>
      </c>
    </row>
    <row r="3571" spans="9:22" x14ac:dyDescent="0.45">
      <c r="I3571" t="s">
        <v>254</v>
      </c>
      <c r="J3571" t="s">
        <v>542</v>
      </c>
      <c r="K3571">
        <v>8.4939047664834861E-3</v>
      </c>
      <c r="L3571" t="s">
        <v>162</v>
      </c>
      <c r="N3571" t="s">
        <v>366</v>
      </c>
      <c r="O3571" t="s">
        <v>542</v>
      </c>
      <c r="P3571">
        <v>6.2241544240017902E-3</v>
      </c>
      <c r="Q3571" t="s">
        <v>162</v>
      </c>
      <c r="S3571" t="s">
        <v>478</v>
      </c>
      <c r="T3571" t="s">
        <v>542</v>
      </c>
      <c r="U3571">
        <v>1.0936658232945517E-2</v>
      </c>
      <c r="V3571" t="s">
        <v>162</v>
      </c>
    </row>
    <row r="3572" spans="9:22" x14ac:dyDescent="0.45">
      <c r="I3572" t="s">
        <v>254</v>
      </c>
      <c r="J3572" t="s">
        <v>543</v>
      </c>
      <c r="K3572">
        <v>1.7935846235149475E-2</v>
      </c>
      <c r="L3572" t="s">
        <v>162</v>
      </c>
      <c r="N3572" t="s">
        <v>366</v>
      </c>
      <c r="O3572" t="s">
        <v>543</v>
      </c>
      <c r="P3572">
        <v>1.4815996941331065E-2</v>
      </c>
      <c r="Q3572" t="s">
        <v>162</v>
      </c>
      <c r="S3572" t="s">
        <v>478</v>
      </c>
      <c r="T3572" t="s">
        <v>543</v>
      </c>
      <c r="U3572">
        <v>2.6124822873261105E-2</v>
      </c>
      <c r="V3572" t="s">
        <v>162</v>
      </c>
    </row>
    <row r="3573" spans="9:22" x14ac:dyDescent="0.45">
      <c r="I3573" t="s">
        <v>254</v>
      </c>
      <c r="J3573" t="s">
        <v>544</v>
      </c>
      <c r="K3573">
        <v>0</v>
      </c>
      <c r="L3573" t="s">
        <v>162</v>
      </c>
      <c r="N3573" t="s">
        <v>366</v>
      </c>
      <c r="O3573" t="s">
        <v>544</v>
      </c>
      <c r="P3573">
        <v>2.9309689479107407E-3</v>
      </c>
      <c r="Q3573" t="s">
        <v>162</v>
      </c>
      <c r="S3573" t="s">
        <v>478</v>
      </c>
      <c r="T3573" t="s">
        <v>544</v>
      </c>
      <c r="U3573">
        <v>5.0521271232185881E-3</v>
      </c>
      <c r="V3573" t="s">
        <v>162</v>
      </c>
    </row>
    <row r="3574" spans="9:22" x14ac:dyDescent="0.45">
      <c r="I3574" t="s">
        <v>254</v>
      </c>
      <c r="J3574" t="s">
        <v>545</v>
      </c>
      <c r="K3574">
        <v>0</v>
      </c>
      <c r="L3574" t="s">
        <v>162</v>
      </c>
      <c r="N3574" t="s">
        <v>366</v>
      </c>
      <c r="O3574" t="s">
        <v>545</v>
      </c>
      <c r="P3574">
        <v>1.8742581692716392E-2</v>
      </c>
      <c r="Q3574" t="s">
        <v>162</v>
      </c>
      <c r="S3574" t="s">
        <v>478</v>
      </c>
      <c r="T3574" t="s">
        <v>545</v>
      </c>
      <c r="U3574">
        <v>3.0330968386658184E-2</v>
      </c>
      <c r="V3574" t="s">
        <v>162</v>
      </c>
    </row>
    <row r="3575" spans="9:22" x14ac:dyDescent="0.45">
      <c r="I3575" t="s">
        <v>254</v>
      </c>
      <c r="J3575" t="s">
        <v>546</v>
      </c>
      <c r="K3575">
        <v>0</v>
      </c>
      <c r="L3575" t="s">
        <v>162</v>
      </c>
      <c r="N3575" t="s">
        <v>366</v>
      </c>
      <c r="O3575" t="s">
        <v>546</v>
      </c>
      <c r="P3575">
        <v>4.7314820325525517E-2</v>
      </c>
      <c r="Q3575" t="s">
        <v>162</v>
      </c>
      <c r="S3575" t="s">
        <v>478</v>
      </c>
      <c r="T3575" t="s">
        <v>546</v>
      </c>
      <c r="U3575">
        <v>3.5380141951913177E-2</v>
      </c>
      <c r="V3575" t="s">
        <v>162</v>
      </c>
    </row>
    <row r="3576" spans="9:22" x14ac:dyDescent="0.45">
      <c r="I3576" t="s">
        <v>254</v>
      </c>
      <c r="J3576" t="s">
        <v>547</v>
      </c>
      <c r="K3576">
        <v>0</v>
      </c>
      <c r="L3576" t="s">
        <v>162</v>
      </c>
      <c r="N3576" t="s">
        <v>366</v>
      </c>
      <c r="O3576" t="s">
        <v>547</v>
      </c>
      <c r="P3576">
        <v>5.3328697595193455E-3</v>
      </c>
      <c r="Q3576" t="s">
        <v>162</v>
      </c>
      <c r="S3576" t="s">
        <v>478</v>
      </c>
      <c r="T3576" t="s">
        <v>547</v>
      </c>
      <c r="U3576">
        <v>3.8553635593430993E-3</v>
      </c>
      <c r="V3576" t="s">
        <v>162</v>
      </c>
    </row>
    <row r="3577" spans="9:22" x14ac:dyDescent="0.45">
      <c r="I3577" t="s">
        <v>254</v>
      </c>
      <c r="J3577" t="s">
        <v>548</v>
      </c>
      <c r="K3577">
        <v>7.5816796351568213E-3</v>
      </c>
      <c r="L3577" t="s">
        <v>162</v>
      </c>
      <c r="N3577" t="s">
        <v>366</v>
      </c>
      <c r="O3577" t="s">
        <v>548</v>
      </c>
      <c r="P3577">
        <v>1.0441481509408247E-2</v>
      </c>
      <c r="Q3577" t="s">
        <v>162</v>
      </c>
      <c r="S3577" t="s">
        <v>478</v>
      </c>
      <c r="T3577" t="s">
        <v>548</v>
      </c>
      <c r="U3577">
        <v>7.698541436484004E-3</v>
      </c>
      <c r="V3577" t="s">
        <v>162</v>
      </c>
    </row>
    <row r="3578" spans="9:22" x14ac:dyDescent="0.45">
      <c r="I3578" t="s">
        <v>254</v>
      </c>
      <c r="J3578" t="s">
        <v>549</v>
      </c>
      <c r="K3578">
        <v>1.8482245372768113E-2</v>
      </c>
      <c r="L3578" t="s">
        <v>162</v>
      </c>
      <c r="N3578" t="s">
        <v>366</v>
      </c>
      <c r="O3578" t="s">
        <v>549</v>
      </c>
      <c r="P3578">
        <v>2.5660160293985282E-2</v>
      </c>
      <c r="Q3578" t="s">
        <v>162</v>
      </c>
      <c r="S3578" t="s">
        <v>478</v>
      </c>
      <c r="T3578" t="s">
        <v>549</v>
      </c>
      <c r="U3578">
        <v>1.8869726123215549E-2</v>
      </c>
      <c r="V3578" t="s">
        <v>162</v>
      </c>
    </row>
    <row r="3579" spans="9:22" x14ac:dyDescent="0.45">
      <c r="I3579" t="s">
        <v>254</v>
      </c>
      <c r="J3579" t="s">
        <v>550</v>
      </c>
      <c r="K3579">
        <v>0</v>
      </c>
      <c r="L3579" t="s">
        <v>162</v>
      </c>
      <c r="N3579" t="s">
        <v>366</v>
      </c>
      <c r="O3579" t="s">
        <v>550</v>
      </c>
      <c r="P3579">
        <v>5.1567471631905172E-3</v>
      </c>
      <c r="Q3579" t="s">
        <v>162</v>
      </c>
      <c r="S3579" t="s">
        <v>478</v>
      </c>
      <c r="T3579" t="s">
        <v>550</v>
      </c>
      <c r="U3579">
        <v>3.5458138268207292E-3</v>
      </c>
      <c r="V3579" t="s">
        <v>162</v>
      </c>
    </row>
    <row r="3580" spans="9:22" x14ac:dyDescent="0.45">
      <c r="I3580" t="s">
        <v>254</v>
      </c>
      <c r="J3580" t="s">
        <v>551</v>
      </c>
      <c r="K3580">
        <v>0</v>
      </c>
      <c r="L3580" t="s">
        <v>162</v>
      </c>
      <c r="N3580" t="s">
        <v>366</v>
      </c>
      <c r="O3580" t="s">
        <v>551</v>
      </c>
      <c r="P3580">
        <v>3.1143904584663335E-2</v>
      </c>
      <c r="Q3580" t="s">
        <v>162</v>
      </c>
      <c r="S3580" t="s">
        <v>478</v>
      </c>
      <c r="T3580" t="s">
        <v>551</v>
      </c>
      <c r="U3580">
        <v>2.2417284114698895E-2</v>
      </c>
      <c r="V3580" t="s">
        <v>162</v>
      </c>
    </row>
    <row r="3581" spans="9:22" x14ac:dyDescent="0.45">
      <c r="I3581" t="s">
        <v>255</v>
      </c>
      <c r="J3581" t="s">
        <v>161</v>
      </c>
      <c r="K3581">
        <v>0</v>
      </c>
      <c r="L3581" t="s">
        <v>162</v>
      </c>
      <c r="N3581" t="s">
        <v>367</v>
      </c>
      <c r="O3581" t="s">
        <v>161</v>
      </c>
      <c r="P3581">
        <v>3.5129037297770338E-2</v>
      </c>
      <c r="Q3581" t="s">
        <v>162</v>
      </c>
      <c r="S3581" t="s">
        <v>479</v>
      </c>
      <c r="T3581" t="s">
        <v>161</v>
      </c>
      <c r="U3581">
        <v>3.7403274868014529E-2</v>
      </c>
      <c r="V3581" t="s">
        <v>162</v>
      </c>
    </row>
    <row r="3582" spans="9:22" x14ac:dyDescent="0.45">
      <c r="I3582" t="s">
        <v>255</v>
      </c>
      <c r="J3582" t="s">
        <v>163</v>
      </c>
      <c r="K3582">
        <v>2.8125591140830586E-3</v>
      </c>
      <c r="L3582" t="s">
        <v>162</v>
      </c>
      <c r="N3582" t="s">
        <v>367</v>
      </c>
      <c r="O3582" t="s">
        <v>163</v>
      </c>
      <c r="P3582">
        <v>3.8832919740600992E-3</v>
      </c>
      <c r="Q3582" t="s">
        <v>162</v>
      </c>
      <c r="S3582" t="s">
        <v>479</v>
      </c>
      <c r="T3582" t="s">
        <v>163</v>
      </c>
      <c r="U3582">
        <v>3.9688308617504683E-3</v>
      </c>
      <c r="V3582" t="s">
        <v>162</v>
      </c>
    </row>
    <row r="3583" spans="9:22" x14ac:dyDescent="0.45">
      <c r="I3583" t="s">
        <v>255</v>
      </c>
      <c r="J3583" t="s">
        <v>164</v>
      </c>
      <c r="K3583">
        <v>1.2319574515150544E-2</v>
      </c>
      <c r="L3583" t="s">
        <v>162</v>
      </c>
      <c r="N3583" t="s">
        <v>367</v>
      </c>
      <c r="O3583" t="s">
        <v>164</v>
      </c>
      <c r="P3583">
        <v>7.6949986282414846E-3</v>
      </c>
      <c r="Q3583" t="s">
        <v>162</v>
      </c>
      <c r="S3583" t="s">
        <v>479</v>
      </c>
      <c r="T3583" t="s">
        <v>164</v>
      </c>
      <c r="U3583">
        <v>7.8911090247788789E-3</v>
      </c>
      <c r="V3583" t="s">
        <v>162</v>
      </c>
    </row>
    <row r="3584" spans="9:22" x14ac:dyDescent="0.45">
      <c r="I3584" t="s">
        <v>255</v>
      </c>
      <c r="J3584" t="s">
        <v>519</v>
      </c>
      <c r="K3584">
        <v>2.6195146965113394E-2</v>
      </c>
      <c r="L3584" t="s">
        <v>162</v>
      </c>
      <c r="N3584" t="s">
        <v>367</v>
      </c>
      <c r="O3584" t="s">
        <v>519</v>
      </c>
      <c r="P3584">
        <v>1.8141401100738665E-2</v>
      </c>
      <c r="Q3584" t="s">
        <v>162</v>
      </c>
      <c r="S3584" t="s">
        <v>479</v>
      </c>
      <c r="T3584" t="s">
        <v>519</v>
      </c>
      <c r="U3584">
        <v>2.0541212181352162E-2</v>
      </c>
      <c r="V3584" t="s">
        <v>162</v>
      </c>
    </row>
    <row r="3585" spans="9:22" x14ac:dyDescent="0.45">
      <c r="I3585" t="s">
        <v>255</v>
      </c>
      <c r="J3585" t="s">
        <v>520</v>
      </c>
      <c r="K3585">
        <v>0</v>
      </c>
      <c r="L3585" t="s">
        <v>162</v>
      </c>
      <c r="N3585" t="s">
        <v>367</v>
      </c>
      <c r="O3585" t="s">
        <v>520</v>
      </c>
      <c r="P3585">
        <v>3.7104054553426472E-3</v>
      </c>
      <c r="Q3585" t="s">
        <v>162</v>
      </c>
      <c r="S3585" t="s">
        <v>479</v>
      </c>
      <c r="T3585" t="s">
        <v>520</v>
      </c>
      <c r="U3585">
        <v>4.3046539374244595E-3</v>
      </c>
      <c r="V3585" t="s">
        <v>162</v>
      </c>
    </row>
    <row r="3586" spans="9:22" x14ac:dyDescent="0.45">
      <c r="I3586" t="s">
        <v>255</v>
      </c>
      <c r="J3586" t="s">
        <v>521</v>
      </c>
      <c r="K3586">
        <v>0</v>
      </c>
      <c r="L3586" t="s">
        <v>162</v>
      </c>
      <c r="N3586" t="s">
        <v>367</v>
      </c>
      <c r="O3586" t="s">
        <v>521</v>
      </c>
      <c r="P3586">
        <v>2.3258132983384888E-2</v>
      </c>
      <c r="Q3586" t="s">
        <v>162</v>
      </c>
      <c r="S3586" t="s">
        <v>479</v>
      </c>
      <c r="T3586" t="s">
        <v>521</v>
      </c>
      <c r="U3586">
        <v>2.6346723366224092E-2</v>
      </c>
      <c r="V3586" t="s">
        <v>162</v>
      </c>
    </row>
    <row r="3587" spans="9:22" x14ac:dyDescent="0.45">
      <c r="I3587" t="s">
        <v>255</v>
      </c>
      <c r="J3587" t="s">
        <v>165</v>
      </c>
      <c r="K3587">
        <v>1.0168470307560611E-2</v>
      </c>
      <c r="L3587" t="s">
        <v>162</v>
      </c>
      <c r="N3587" t="s">
        <v>367</v>
      </c>
      <c r="O3587" t="s">
        <v>165</v>
      </c>
      <c r="P3587">
        <v>6.067678512359885E-2</v>
      </c>
      <c r="Q3587" t="s">
        <v>162</v>
      </c>
      <c r="S3587" t="s">
        <v>479</v>
      </c>
      <c r="T3587" t="s">
        <v>165</v>
      </c>
      <c r="U3587">
        <v>5.509863826576427E-2</v>
      </c>
      <c r="V3587" t="s">
        <v>162</v>
      </c>
    </row>
    <row r="3588" spans="9:22" x14ac:dyDescent="0.45">
      <c r="I3588" t="s">
        <v>255</v>
      </c>
      <c r="J3588" t="s">
        <v>166</v>
      </c>
      <c r="K3588">
        <v>1.3958995657698009E-2</v>
      </c>
      <c r="L3588" t="s">
        <v>162</v>
      </c>
      <c r="N3588" t="s">
        <v>367</v>
      </c>
      <c r="O3588" t="s">
        <v>166</v>
      </c>
      <c r="P3588">
        <v>6.5405479114687328E-3</v>
      </c>
      <c r="Q3588" t="s">
        <v>162</v>
      </c>
      <c r="S3588" t="s">
        <v>479</v>
      </c>
      <c r="T3588" t="s">
        <v>166</v>
      </c>
      <c r="U3588">
        <v>6.043292853353731E-3</v>
      </c>
      <c r="V3588" t="s">
        <v>162</v>
      </c>
    </row>
    <row r="3589" spans="9:22" x14ac:dyDescent="0.45">
      <c r="I3589" t="s">
        <v>255</v>
      </c>
      <c r="J3589" t="s">
        <v>167</v>
      </c>
      <c r="K3589">
        <v>3.7980548819810424E-2</v>
      </c>
      <c r="L3589" t="s">
        <v>162</v>
      </c>
      <c r="N3589" t="s">
        <v>367</v>
      </c>
      <c r="O3589" t="s">
        <v>167</v>
      </c>
      <c r="P3589">
        <v>1.2172130959221403E-2</v>
      </c>
      <c r="Q3589" t="s">
        <v>162</v>
      </c>
      <c r="S3589" t="s">
        <v>479</v>
      </c>
      <c r="T3589" t="s">
        <v>167</v>
      </c>
      <c r="U3589">
        <v>1.1664295325900598E-2</v>
      </c>
      <c r="V3589" t="s">
        <v>162</v>
      </c>
    </row>
    <row r="3590" spans="9:22" x14ac:dyDescent="0.45">
      <c r="I3590" t="s">
        <v>255</v>
      </c>
      <c r="J3590" t="s">
        <v>522</v>
      </c>
      <c r="K3590">
        <v>8.7996073330210617E-2</v>
      </c>
      <c r="L3590" t="s">
        <v>162</v>
      </c>
      <c r="N3590" t="s">
        <v>367</v>
      </c>
      <c r="O3590" t="s">
        <v>522</v>
      </c>
      <c r="P3590">
        <v>2.9127363193087112E-2</v>
      </c>
      <c r="Q3590" t="s">
        <v>162</v>
      </c>
      <c r="S3590" t="s">
        <v>479</v>
      </c>
      <c r="T3590" t="s">
        <v>522</v>
      </c>
      <c r="U3590">
        <v>2.8163757946633467E-2</v>
      </c>
      <c r="V3590" t="s">
        <v>162</v>
      </c>
    </row>
    <row r="3591" spans="9:22" x14ac:dyDescent="0.45">
      <c r="I3591" t="s">
        <v>255</v>
      </c>
      <c r="J3591" t="s">
        <v>523</v>
      </c>
      <c r="K3591">
        <v>7.9650205085713705E-3</v>
      </c>
      <c r="L3591" t="s">
        <v>162</v>
      </c>
      <c r="N3591" t="s">
        <v>367</v>
      </c>
      <c r="O3591" t="s">
        <v>523</v>
      </c>
      <c r="P3591">
        <v>6.5419173556947527E-3</v>
      </c>
      <c r="Q3591" t="s">
        <v>162</v>
      </c>
      <c r="S3591" t="s">
        <v>479</v>
      </c>
      <c r="T3591" t="s">
        <v>523</v>
      </c>
      <c r="U3591">
        <v>5.781355943700636E-3</v>
      </c>
      <c r="V3591" t="s">
        <v>162</v>
      </c>
    </row>
    <row r="3592" spans="9:22" x14ac:dyDescent="0.45">
      <c r="I3592" t="s">
        <v>255</v>
      </c>
      <c r="J3592" t="s">
        <v>524</v>
      </c>
      <c r="K3592">
        <v>1.8060399749673692E-3</v>
      </c>
      <c r="L3592" t="s">
        <v>162</v>
      </c>
      <c r="N3592" t="s">
        <v>367</v>
      </c>
      <c r="O3592" t="s">
        <v>524</v>
      </c>
      <c r="P3592">
        <v>4.1995487786814313E-2</v>
      </c>
      <c r="Q3592" t="s">
        <v>162</v>
      </c>
      <c r="S3592" t="s">
        <v>479</v>
      </c>
      <c r="T3592" t="s">
        <v>524</v>
      </c>
      <c r="U3592">
        <v>3.5541567172176103E-2</v>
      </c>
      <c r="V3592" t="s">
        <v>162</v>
      </c>
    </row>
    <row r="3593" spans="9:22" x14ac:dyDescent="0.45">
      <c r="I3593" t="s">
        <v>255</v>
      </c>
      <c r="J3593" t="s">
        <v>168</v>
      </c>
      <c r="K3593">
        <v>1.8332828634852558E-2</v>
      </c>
      <c r="L3593" t="s">
        <v>162</v>
      </c>
      <c r="N3593" t="s">
        <v>367</v>
      </c>
      <c r="O3593" t="s">
        <v>168</v>
      </c>
      <c r="P3593">
        <v>3.1576149768875517E-2</v>
      </c>
      <c r="Q3593" t="s">
        <v>162</v>
      </c>
      <c r="S3593" t="s">
        <v>479</v>
      </c>
      <c r="T3593" t="s">
        <v>168</v>
      </c>
      <c r="U3593">
        <v>3.2802175957642142E-2</v>
      </c>
      <c r="V3593" t="s">
        <v>162</v>
      </c>
    </row>
    <row r="3594" spans="9:22" x14ac:dyDescent="0.45">
      <c r="I3594" t="s">
        <v>255</v>
      </c>
      <c r="J3594" t="s">
        <v>169</v>
      </c>
      <c r="K3594">
        <v>1.0425150141418335E-2</v>
      </c>
      <c r="L3594" t="s">
        <v>162</v>
      </c>
      <c r="N3594" t="s">
        <v>367</v>
      </c>
      <c r="O3594" t="s">
        <v>169</v>
      </c>
      <c r="P3594">
        <v>3.2074576085560661E-3</v>
      </c>
      <c r="Q3594" t="s">
        <v>162</v>
      </c>
      <c r="S3594" t="s">
        <v>479</v>
      </c>
      <c r="T3594" t="s">
        <v>169</v>
      </c>
      <c r="U3594">
        <v>3.648496208895278E-3</v>
      </c>
      <c r="V3594" t="s">
        <v>162</v>
      </c>
    </row>
    <row r="3595" spans="9:22" x14ac:dyDescent="0.45">
      <c r="I3595" t="s">
        <v>255</v>
      </c>
      <c r="J3595" t="s">
        <v>170</v>
      </c>
      <c r="K3595">
        <v>2.395688320177668E-2</v>
      </c>
      <c r="L3595" t="s">
        <v>162</v>
      </c>
      <c r="N3595" t="s">
        <v>367</v>
      </c>
      <c r="O3595" t="s">
        <v>170</v>
      </c>
      <c r="P3595">
        <v>6.1930776502194104E-3</v>
      </c>
      <c r="Q3595" t="s">
        <v>162</v>
      </c>
      <c r="S3595" t="s">
        <v>479</v>
      </c>
      <c r="T3595" t="s">
        <v>170</v>
      </c>
      <c r="U3595">
        <v>7.312765902928741E-3</v>
      </c>
      <c r="V3595" t="s">
        <v>162</v>
      </c>
    </row>
    <row r="3596" spans="9:22" x14ac:dyDescent="0.45">
      <c r="I3596" t="s">
        <v>255</v>
      </c>
      <c r="J3596" t="s">
        <v>525</v>
      </c>
      <c r="K3596">
        <v>5.8222807203078888E-2</v>
      </c>
      <c r="L3596" t="s">
        <v>162</v>
      </c>
      <c r="N3596" t="s">
        <v>367</v>
      </c>
      <c r="O3596" t="s">
        <v>525</v>
      </c>
      <c r="P3596">
        <v>1.6132411600571016E-2</v>
      </c>
      <c r="Q3596" t="s">
        <v>162</v>
      </c>
      <c r="S3596" t="s">
        <v>479</v>
      </c>
      <c r="T3596" t="s">
        <v>525</v>
      </c>
      <c r="U3596">
        <v>1.8065111906208551E-2</v>
      </c>
      <c r="V3596" t="s">
        <v>162</v>
      </c>
    </row>
    <row r="3597" spans="9:22" x14ac:dyDescent="0.45">
      <c r="I3597" t="s">
        <v>255</v>
      </c>
      <c r="J3597" t="s">
        <v>526</v>
      </c>
      <c r="K3597">
        <v>7.6651934545865783E-3</v>
      </c>
      <c r="L3597" t="s">
        <v>162</v>
      </c>
      <c r="N3597" t="s">
        <v>367</v>
      </c>
      <c r="O3597" t="s">
        <v>526</v>
      </c>
      <c r="P3597">
        <v>3.1036004800359274E-3</v>
      </c>
      <c r="Q3597" t="s">
        <v>162</v>
      </c>
      <c r="S3597" t="s">
        <v>479</v>
      </c>
      <c r="T3597" t="s">
        <v>526</v>
      </c>
      <c r="U3597">
        <v>3.5853913242048113E-3</v>
      </c>
      <c r="V3597" t="s">
        <v>162</v>
      </c>
    </row>
    <row r="3598" spans="9:22" x14ac:dyDescent="0.45">
      <c r="I3598" t="s">
        <v>255</v>
      </c>
      <c r="J3598" t="s">
        <v>527</v>
      </c>
      <c r="K3598">
        <v>6.7710271752070552E-3</v>
      </c>
      <c r="L3598" t="s">
        <v>162</v>
      </c>
      <c r="N3598" t="s">
        <v>367</v>
      </c>
      <c r="O3598" t="s">
        <v>527</v>
      </c>
      <c r="P3598">
        <v>2.0098741896175287E-2</v>
      </c>
      <c r="Q3598" t="s">
        <v>162</v>
      </c>
      <c r="S3598" t="s">
        <v>479</v>
      </c>
      <c r="T3598" t="s">
        <v>527</v>
      </c>
      <c r="U3598">
        <v>2.2066942161550734E-2</v>
      </c>
      <c r="V3598" t="s">
        <v>162</v>
      </c>
    </row>
    <row r="3599" spans="9:22" x14ac:dyDescent="0.45">
      <c r="I3599" t="s">
        <v>255</v>
      </c>
      <c r="J3599" t="s">
        <v>528</v>
      </c>
      <c r="K3599">
        <v>8.5330251119225986E-2</v>
      </c>
      <c r="L3599" t="s">
        <v>162</v>
      </c>
      <c r="N3599" t="s">
        <v>367</v>
      </c>
      <c r="O3599" t="s">
        <v>528</v>
      </c>
      <c r="P3599">
        <v>7.5039490694801064E-2</v>
      </c>
      <c r="Q3599" t="s">
        <v>162</v>
      </c>
      <c r="S3599" t="s">
        <v>479</v>
      </c>
      <c r="T3599" t="s">
        <v>528</v>
      </c>
      <c r="U3599">
        <v>8.3813251026220004E-2</v>
      </c>
      <c r="V3599" t="s">
        <v>162</v>
      </c>
    </row>
    <row r="3600" spans="9:22" x14ac:dyDescent="0.45">
      <c r="I3600" t="s">
        <v>255</v>
      </c>
      <c r="J3600" t="s">
        <v>529</v>
      </c>
      <c r="K3600">
        <v>3.3919716656476702E-2</v>
      </c>
      <c r="L3600" t="s">
        <v>162</v>
      </c>
      <c r="N3600" t="s">
        <v>367</v>
      </c>
      <c r="O3600" t="s">
        <v>529</v>
      </c>
      <c r="P3600">
        <v>7.1230085756716086E-3</v>
      </c>
      <c r="Q3600" t="s">
        <v>162</v>
      </c>
      <c r="S3600" t="s">
        <v>479</v>
      </c>
      <c r="T3600" t="s">
        <v>529</v>
      </c>
      <c r="U3600">
        <v>9.0520469225619984E-3</v>
      </c>
      <c r="V3600" t="s">
        <v>162</v>
      </c>
    </row>
    <row r="3601" spans="9:22" x14ac:dyDescent="0.45">
      <c r="I3601" t="s">
        <v>255</v>
      </c>
      <c r="J3601" t="s">
        <v>530</v>
      </c>
      <c r="K3601">
        <v>7.3139901928278808E-2</v>
      </c>
      <c r="L3601" t="s">
        <v>162</v>
      </c>
      <c r="N3601" t="s">
        <v>367</v>
      </c>
      <c r="O3601" t="s">
        <v>530</v>
      </c>
      <c r="P3601">
        <v>1.466226389692844E-2</v>
      </c>
      <c r="Q3601" t="s">
        <v>162</v>
      </c>
      <c r="S3601" t="s">
        <v>479</v>
      </c>
      <c r="T3601" t="s">
        <v>530</v>
      </c>
      <c r="U3601">
        <v>1.8043712333063667E-2</v>
      </c>
      <c r="V3601" t="s">
        <v>162</v>
      </c>
    </row>
    <row r="3602" spans="9:22" x14ac:dyDescent="0.45">
      <c r="I3602" t="s">
        <v>255</v>
      </c>
      <c r="J3602" t="s">
        <v>531</v>
      </c>
      <c r="K3602">
        <v>0.17222379265471474</v>
      </c>
      <c r="L3602" t="s">
        <v>162</v>
      </c>
      <c r="N3602" t="s">
        <v>367</v>
      </c>
      <c r="O3602" t="s">
        <v>531</v>
      </c>
      <c r="P3602">
        <v>3.8942375179458616E-2</v>
      </c>
      <c r="Q3602" t="s">
        <v>162</v>
      </c>
      <c r="S3602" t="s">
        <v>479</v>
      </c>
      <c r="T3602" t="s">
        <v>531</v>
      </c>
      <c r="U3602">
        <v>4.4447074071010763E-2</v>
      </c>
      <c r="V3602" t="s">
        <v>162</v>
      </c>
    </row>
    <row r="3603" spans="9:22" x14ac:dyDescent="0.45">
      <c r="I3603" t="s">
        <v>255</v>
      </c>
      <c r="J3603" t="s">
        <v>532</v>
      </c>
      <c r="K3603">
        <v>2.716023774283563E-2</v>
      </c>
      <c r="L3603" t="s">
        <v>162</v>
      </c>
      <c r="N3603" t="s">
        <v>367</v>
      </c>
      <c r="O3603" t="s">
        <v>532</v>
      </c>
      <c r="P3603">
        <v>7.557762011951177E-3</v>
      </c>
      <c r="Q3603" t="s">
        <v>162</v>
      </c>
      <c r="S3603" t="s">
        <v>479</v>
      </c>
      <c r="T3603" t="s">
        <v>532</v>
      </c>
      <c r="U3603">
        <v>8.9384426223116271E-3</v>
      </c>
      <c r="V3603" t="s">
        <v>162</v>
      </c>
    </row>
    <row r="3604" spans="9:22" x14ac:dyDescent="0.45">
      <c r="I3604" t="s">
        <v>255</v>
      </c>
      <c r="J3604" t="s">
        <v>533</v>
      </c>
      <c r="K3604">
        <v>4.5298780462416373E-2</v>
      </c>
      <c r="L3604" t="s">
        <v>162</v>
      </c>
      <c r="N3604" t="s">
        <v>367</v>
      </c>
      <c r="O3604" t="s">
        <v>533</v>
      </c>
      <c r="P3604">
        <v>4.7038759326336069E-2</v>
      </c>
      <c r="Q3604" t="s">
        <v>162</v>
      </c>
      <c r="S3604" t="s">
        <v>479</v>
      </c>
      <c r="T3604" t="s">
        <v>533</v>
      </c>
      <c r="U3604">
        <v>5.5840909207817653E-2</v>
      </c>
      <c r="V3604" t="s">
        <v>162</v>
      </c>
    </row>
    <row r="3605" spans="9:22" x14ac:dyDescent="0.45">
      <c r="I3605" t="s">
        <v>255</v>
      </c>
      <c r="J3605" t="s">
        <v>534</v>
      </c>
      <c r="K3605">
        <v>2.4224394807002152E-2</v>
      </c>
      <c r="L3605" t="s">
        <v>162</v>
      </c>
      <c r="N3605" t="s">
        <v>367</v>
      </c>
      <c r="O3605" t="s">
        <v>534</v>
      </c>
      <c r="P3605">
        <v>0.11024374391219248</v>
      </c>
      <c r="Q3605" t="s">
        <v>162</v>
      </c>
      <c r="S3605" t="s">
        <v>479</v>
      </c>
      <c r="T3605" t="s">
        <v>534</v>
      </c>
      <c r="U3605">
        <v>8.8277511238773518E-2</v>
      </c>
      <c r="V3605" t="s">
        <v>162</v>
      </c>
    </row>
    <row r="3606" spans="9:22" x14ac:dyDescent="0.45">
      <c r="I3606" t="s">
        <v>255</v>
      </c>
      <c r="J3606" t="s">
        <v>535</v>
      </c>
      <c r="K3606">
        <v>1.6033438453705657E-2</v>
      </c>
      <c r="L3606" t="s">
        <v>162</v>
      </c>
      <c r="N3606" t="s">
        <v>367</v>
      </c>
      <c r="O3606" t="s">
        <v>535</v>
      </c>
      <c r="P3606">
        <v>1.1544257501390745E-2</v>
      </c>
      <c r="Q3606" t="s">
        <v>162</v>
      </c>
      <c r="S3606" t="s">
        <v>479</v>
      </c>
      <c r="T3606" t="s">
        <v>535</v>
      </c>
      <c r="U3606">
        <v>9.7847388117799899E-3</v>
      </c>
      <c r="V3606" t="s">
        <v>162</v>
      </c>
    </row>
    <row r="3607" spans="9:22" x14ac:dyDescent="0.45">
      <c r="I3607" t="s">
        <v>255</v>
      </c>
      <c r="J3607" t="s">
        <v>536</v>
      </c>
      <c r="K3607">
        <v>3.7448443151443273E-2</v>
      </c>
      <c r="L3607" t="s">
        <v>162</v>
      </c>
      <c r="N3607" t="s">
        <v>367</v>
      </c>
      <c r="O3607" t="s">
        <v>536</v>
      </c>
      <c r="P3607">
        <v>2.2485893137687358E-2</v>
      </c>
      <c r="Q3607" t="s">
        <v>162</v>
      </c>
      <c r="S3607" t="s">
        <v>479</v>
      </c>
      <c r="T3607" t="s">
        <v>536</v>
      </c>
      <c r="U3607">
        <v>1.9453373411131854E-2</v>
      </c>
      <c r="V3607" t="s">
        <v>162</v>
      </c>
    </row>
    <row r="3608" spans="9:22" x14ac:dyDescent="0.45">
      <c r="I3608" t="s">
        <v>255</v>
      </c>
      <c r="J3608" t="s">
        <v>537</v>
      </c>
      <c r="K3608">
        <v>8.4491106419443587E-2</v>
      </c>
      <c r="L3608" t="s">
        <v>162</v>
      </c>
      <c r="N3608" t="s">
        <v>367</v>
      </c>
      <c r="O3608" t="s">
        <v>537</v>
      </c>
      <c r="P3608">
        <v>5.4361588555065066E-2</v>
      </c>
      <c r="Q3608" t="s">
        <v>162</v>
      </c>
      <c r="S3608" t="s">
        <v>479</v>
      </c>
      <c r="T3608" t="s">
        <v>537</v>
      </c>
      <c r="U3608">
        <v>4.7376412461533624E-2</v>
      </c>
      <c r="V3608" t="s">
        <v>162</v>
      </c>
    </row>
    <row r="3609" spans="9:22" x14ac:dyDescent="0.45">
      <c r="I3609" t="s">
        <v>255</v>
      </c>
      <c r="J3609" t="s">
        <v>538</v>
      </c>
      <c r="K3609">
        <v>1.029271775975724E-2</v>
      </c>
      <c r="L3609" t="s">
        <v>162</v>
      </c>
      <c r="N3609" t="s">
        <v>367</v>
      </c>
      <c r="O3609" t="s">
        <v>538</v>
      </c>
      <c r="P3609">
        <v>1.0299432235996537E-2</v>
      </c>
      <c r="Q3609" t="s">
        <v>162</v>
      </c>
      <c r="S3609" t="s">
        <v>479</v>
      </c>
      <c r="T3609" t="s">
        <v>538</v>
      </c>
      <c r="U3609">
        <v>9.2908115071719047E-3</v>
      </c>
      <c r="V3609" t="s">
        <v>162</v>
      </c>
    </row>
    <row r="3610" spans="9:22" x14ac:dyDescent="0.45">
      <c r="I3610" t="s">
        <v>255</v>
      </c>
      <c r="J3610" t="s">
        <v>539</v>
      </c>
      <c r="K3610">
        <v>9.5635531634601523E-3</v>
      </c>
      <c r="L3610" t="s">
        <v>162</v>
      </c>
      <c r="N3610" t="s">
        <v>367</v>
      </c>
      <c r="O3610" t="s">
        <v>539</v>
      </c>
      <c r="P3610">
        <v>6.6926579488853125E-2</v>
      </c>
      <c r="Q3610" t="s">
        <v>162</v>
      </c>
      <c r="S3610" t="s">
        <v>479</v>
      </c>
      <c r="T3610" t="s">
        <v>539</v>
      </c>
      <c r="U3610">
        <v>5.7123220508860317E-2</v>
      </c>
      <c r="V3610" t="s">
        <v>162</v>
      </c>
    </row>
    <row r="3611" spans="9:22" x14ac:dyDescent="0.45">
      <c r="I3611" t="s">
        <v>255</v>
      </c>
      <c r="J3611" t="s">
        <v>540</v>
      </c>
      <c r="K3611">
        <v>6.2657677881109938E-4</v>
      </c>
      <c r="L3611" t="s">
        <v>162</v>
      </c>
      <c r="N3611" t="s">
        <v>367</v>
      </c>
      <c r="O3611" t="s">
        <v>540</v>
      </c>
      <c r="P3611">
        <v>3.5806956085841543E-2</v>
      </c>
      <c r="Q3611" t="s">
        <v>162</v>
      </c>
      <c r="S3611" t="s">
        <v>479</v>
      </c>
      <c r="T3611" t="s">
        <v>540</v>
      </c>
      <c r="U3611">
        <v>4.2726941530958552E-2</v>
      </c>
      <c r="V3611" t="s">
        <v>162</v>
      </c>
    </row>
    <row r="3612" spans="9:22" x14ac:dyDescent="0.45">
      <c r="I3612" t="s">
        <v>255</v>
      </c>
      <c r="J3612" t="s">
        <v>541</v>
      </c>
      <c r="K3612">
        <v>2.558481068441231E-3</v>
      </c>
      <c r="L3612" t="s">
        <v>162</v>
      </c>
      <c r="N3612" t="s">
        <v>367</v>
      </c>
      <c r="O3612" t="s">
        <v>541</v>
      </c>
      <c r="P3612">
        <v>3.9284150512993955E-3</v>
      </c>
      <c r="Q3612" t="s">
        <v>162</v>
      </c>
      <c r="S3612" t="s">
        <v>479</v>
      </c>
      <c r="T3612" t="s">
        <v>541</v>
      </c>
      <c r="U3612">
        <v>4.7104601539505846E-3</v>
      </c>
      <c r="V3612" t="s">
        <v>162</v>
      </c>
    </row>
    <row r="3613" spans="9:22" x14ac:dyDescent="0.45">
      <c r="I3613" t="s">
        <v>255</v>
      </c>
      <c r="J3613" t="s">
        <v>542</v>
      </c>
      <c r="K3613">
        <v>8.6200640702361452E-3</v>
      </c>
      <c r="L3613" t="s">
        <v>162</v>
      </c>
      <c r="N3613" t="s">
        <v>367</v>
      </c>
      <c r="O3613" t="s">
        <v>542</v>
      </c>
      <c r="P3613">
        <v>7.710311907653011E-3</v>
      </c>
      <c r="Q3613" t="s">
        <v>162</v>
      </c>
      <c r="S3613" t="s">
        <v>479</v>
      </c>
      <c r="T3613" t="s">
        <v>542</v>
      </c>
      <c r="U3613">
        <v>9.3569695193690509E-3</v>
      </c>
      <c r="V3613" t="s">
        <v>162</v>
      </c>
    </row>
    <row r="3614" spans="9:22" x14ac:dyDescent="0.45">
      <c r="I3614" t="s">
        <v>255</v>
      </c>
      <c r="J3614" t="s">
        <v>543</v>
      </c>
      <c r="K3614">
        <v>1.6025154407351052E-2</v>
      </c>
      <c r="L3614" t="s">
        <v>162</v>
      </c>
      <c r="N3614" t="s">
        <v>367</v>
      </c>
      <c r="O3614" t="s">
        <v>543</v>
      </c>
      <c r="P3614">
        <v>1.8897391152639369E-2</v>
      </c>
      <c r="Q3614" t="s">
        <v>162</v>
      </c>
      <c r="S3614" t="s">
        <v>479</v>
      </c>
      <c r="T3614" t="s">
        <v>543</v>
      </c>
      <c r="U3614">
        <v>2.2807102181556384E-2</v>
      </c>
      <c r="V3614" t="s">
        <v>162</v>
      </c>
    </row>
    <row r="3615" spans="9:22" x14ac:dyDescent="0.45">
      <c r="I3615" t="s">
        <v>255</v>
      </c>
      <c r="J3615" t="s">
        <v>544</v>
      </c>
      <c r="K3615">
        <v>0</v>
      </c>
      <c r="L3615" t="s">
        <v>162</v>
      </c>
      <c r="N3615" t="s">
        <v>367</v>
      </c>
      <c r="O3615" t="s">
        <v>544</v>
      </c>
      <c r="P3615">
        <v>3.7699271221180875E-3</v>
      </c>
      <c r="Q3615" t="s">
        <v>162</v>
      </c>
      <c r="S3615" t="s">
        <v>479</v>
      </c>
      <c r="T3615" t="s">
        <v>544</v>
      </c>
      <c r="U3615">
        <v>4.4733967817745558E-3</v>
      </c>
      <c r="V3615" t="s">
        <v>162</v>
      </c>
    </row>
    <row r="3616" spans="9:22" x14ac:dyDescent="0.45">
      <c r="I3616" t="s">
        <v>255</v>
      </c>
      <c r="J3616" t="s">
        <v>545</v>
      </c>
      <c r="K3616">
        <v>0</v>
      </c>
      <c r="L3616" t="s">
        <v>162</v>
      </c>
      <c r="N3616" t="s">
        <v>367</v>
      </c>
      <c r="O3616" t="s">
        <v>545</v>
      </c>
      <c r="P3616">
        <v>2.2704758786248176E-2</v>
      </c>
      <c r="Q3616" t="s">
        <v>162</v>
      </c>
      <c r="S3616" t="s">
        <v>479</v>
      </c>
      <c r="T3616" t="s">
        <v>545</v>
      </c>
      <c r="U3616">
        <v>2.7407625088148823E-2</v>
      </c>
      <c r="V3616" t="s">
        <v>162</v>
      </c>
    </row>
    <row r="3617" spans="9:22" x14ac:dyDescent="0.45">
      <c r="I3617" t="s">
        <v>255</v>
      </c>
      <c r="J3617" t="s">
        <v>546</v>
      </c>
      <c r="K3617">
        <v>0</v>
      </c>
      <c r="L3617" t="s">
        <v>162</v>
      </c>
      <c r="N3617" t="s">
        <v>367</v>
      </c>
      <c r="O3617" t="s">
        <v>546</v>
      </c>
      <c r="P3617">
        <v>4.1545262144778321E-2</v>
      </c>
      <c r="Q3617" t="s">
        <v>162</v>
      </c>
      <c r="S3617" t="s">
        <v>479</v>
      </c>
      <c r="T3617" t="s">
        <v>546</v>
      </c>
      <c r="U3617">
        <v>3.9163282904167956E-2</v>
      </c>
      <c r="V3617" t="s">
        <v>162</v>
      </c>
    </row>
    <row r="3618" spans="9:22" x14ac:dyDescent="0.45">
      <c r="I3618" t="s">
        <v>255</v>
      </c>
      <c r="J3618" t="s">
        <v>547</v>
      </c>
      <c r="K3618">
        <v>9.6727080805293544E-4</v>
      </c>
      <c r="L3618" t="s">
        <v>162</v>
      </c>
      <c r="N3618" t="s">
        <v>367</v>
      </c>
      <c r="O3618" t="s">
        <v>547</v>
      </c>
      <c r="P3618">
        <v>4.7704868117852189E-3</v>
      </c>
      <c r="Q3618" t="s">
        <v>162</v>
      </c>
      <c r="S3618" t="s">
        <v>479</v>
      </c>
      <c r="T3618" t="s">
        <v>547</v>
      </c>
      <c r="U3618">
        <v>4.6308282788002529E-3</v>
      </c>
      <c r="V3618" t="s">
        <v>162</v>
      </c>
    </row>
    <row r="3619" spans="9:22" x14ac:dyDescent="0.45">
      <c r="I3619" t="s">
        <v>255</v>
      </c>
      <c r="J3619" t="s">
        <v>548</v>
      </c>
      <c r="K3619">
        <v>8.798177530921724E-3</v>
      </c>
      <c r="L3619" t="s">
        <v>162</v>
      </c>
      <c r="N3619" t="s">
        <v>367</v>
      </c>
      <c r="O3619" t="s">
        <v>548</v>
      </c>
      <c r="P3619">
        <v>9.5188019808571771E-3</v>
      </c>
      <c r="Q3619" t="s">
        <v>162</v>
      </c>
      <c r="S3619" t="s">
        <v>479</v>
      </c>
      <c r="T3619" t="s">
        <v>548</v>
      </c>
      <c r="U3619">
        <v>9.293299088070273E-3</v>
      </c>
      <c r="V3619" t="s">
        <v>162</v>
      </c>
    </row>
    <row r="3620" spans="9:22" x14ac:dyDescent="0.45">
      <c r="I3620" t="s">
        <v>255</v>
      </c>
      <c r="J3620" t="s">
        <v>549</v>
      </c>
      <c r="K3620">
        <v>1.6701622013337705E-2</v>
      </c>
      <c r="L3620" t="s">
        <v>162</v>
      </c>
      <c r="N3620" t="s">
        <v>367</v>
      </c>
      <c r="O3620" t="s">
        <v>549</v>
      </c>
      <c r="P3620">
        <v>2.3244432091862631E-2</v>
      </c>
      <c r="Q3620" t="s">
        <v>162</v>
      </c>
      <c r="S3620" t="s">
        <v>479</v>
      </c>
      <c r="T3620" t="s">
        <v>549</v>
      </c>
      <c r="U3620">
        <v>2.3065703000915001E-2</v>
      </c>
      <c r="V3620" t="s">
        <v>162</v>
      </c>
    </row>
    <row r="3621" spans="9:22" x14ac:dyDescent="0.45">
      <c r="I3621" t="s">
        <v>255</v>
      </c>
      <c r="J3621" t="s">
        <v>550</v>
      </c>
      <c r="K3621">
        <v>0</v>
      </c>
      <c r="L3621" t="s">
        <v>162</v>
      </c>
      <c r="N3621" t="s">
        <v>367</v>
      </c>
      <c r="O3621" t="s">
        <v>550</v>
      </c>
      <c r="P3621">
        <v>4.7029392919728788E-3</v>
      </c>
      <c r="Q3621" t="s">
        <v>162</v>
      </c>
      <c r="S3621" t="s">
        <v>479</v>
      </c>
      <c r="T3621" t="s">
        <v>550</v>
      </c>
      <c r="U3621">
        <v>4.4767751741195206E-3</v>
      </c>
      <c r="V3621" t="s">
        <v>162</v>
      </c>
    </row>
    <row r="3622" spans="9:22" x14ac:dyDescent="0.45">
      <c r="I3622" t="s">
        <v>255</v>
      </c>
      <c r="J3622" t="s">
        <v>551</v>
      </c>
      <c r="K3622">
        <v>0</v>
      </c>
      <c r="L3622" t="s">
        <v>162</v>
      </c>
      <c r="N3622" t="s">
        <v>367</v>
      </c>
      <c r="O3622" t="s">
        <v>551</v>
      </c>
      <c r="P3622">
        <v>2.7992224282757987E-2</v>
      </c>
      <c r="Q3622" t="s">
        <v>162</v>
      </c>
      <c r="S3622" t="s">
        <v>479</v>
      </c>
      <c r="T3622" t="s">
        <v>551</v>
      </c>
      <c r="U3622">
        <v>2.6216516967426787E-2</v>
      </c>
      <c r="V3622" t="s">
        <v>162</v>
      </c>
    </row>
    <row r="3623" spans="9:22" x14ac:dyDescent="0.45">
      <c r="I3623" t="s">
        <v>256</v>
      </c>
      <c r="J3623" t="s">
        <v>161</v>
      </c>
      <c r="K3623">
        <v>0</v>
      </c>
      <c r="L3623" t="s">
        <v>162</v>
      </c>
      <c r="N3623" t="s">
        <v>368</v>
      </c>
      <c r="O3623" t="s">
        <v>161</v>
      </c>
      <c r="P3623">
        <v>3.5106898430907765E-2</v>
      </c>
      <c r="Q3623" t="s">
        <v>162</v>
      </c>
      <c r="S3623" t="s">
        <v>480</v>
      </c>
      <c r="T3623" t="s">
        <v>161</v>
      </c>
      <c r="U3623">
        <v>3.8719189815851471E-2</v>
      </c>
      <c r="V3623" t="s">
        <v>162</v>
      </c>
    </row>
    <row r="3624" spans="9:22" x14ac:dyDescent="0.45">
      <c r="I3624" t="s">
        <v>256</v>
      </c>
      <c r="J3624" t="s">
        <v>163</v>
      </c>
      <c r="K3624">
        <v>1.347503023160865E-3</v>
      </c>
      <c r="L3624" t="s">
        <v>162</v>
      </c>
      <c r="N3624" t="s">
        <v>368</v>
      </c>
      <c r="O3624" t="s">
        <v>163</v>
      </c>
      <c r="P3624">
        <v>4.5072368852461025E-3</v>
      </c>
      <c r="Q3624" t="s">
        <v>162</v>
      </c>
      <c r="S3624" t="s">
        <v>480</v>
      </c>
      <c r="T3624" t="s">
        <v>163</v>
      </c>
      <c r="U3624">
        <v>4.1947115618767936E-3</v>
      </c>
      <c r="V3624" t="s">
        <v>162</v>
      </c>
    </row>
    <row r="3625" spans="9:22" x14ac:dyDescent="0.45">
      <c r="I3625" t="s">
        <v>256</v>
      </c>
      <c r="J3625" t="s">
        <v>164</v>
      </c>
      <c r="K3625">
        <v>1.0823076278746227E-2</v>
      </c>
      <c r="L3625" t="s">
        <v>162</v>
      </c>
      <c r="N3625" t="s">
        <v>368</v>
      </c>
      <c r="O3625" t="s">
        <v>164</v>
      </c>
      <c r="P3625">
        <v>8.0398773761395509E-3</v>
      </c>
      <c r="Q3625" t="s">
        <v>162</v>
      </c>
      <c r="S3625" t="s">
        <v>480</v>
      </c>
      <c r="T3625" t="s">
        <v>164</v>
      </c>
      <c r="U3625">
        <v>8.2933583123163297E-3</v>
      </c>
      <c r="V3625" t="s">
        <v>162</v>
      </c>
    </row>
    <row r="3626" spans="9:22" x14ac:dyDescent="0.45">
      <c r="I3626" t="s">
        <v>256</v>
      </c>
      <c r="J3626" t="s">
        <v>519</v>
      </c>
      <c r="K3626">
        <v>2.6988487251674506E-2</v>
      </c>
      <c r="L3626" t="s">
        <v>162</v>
      </c>
      <c r="N3626" t="s">
        <v>368</v>
      </c>
      <c r="O3626" t="s">
        <v>519</v>
      </c>
      <c r="P3626">
        <v>1.7314179404733641E-2</v>
      </c>
      <c r="Q3626" t="s">
        <v>162</v>
      </c>
      <c r="S3626" t="s">
        <v>480</v>
      </c>
      <c r="T3626" t="s">
        <v>519</v>
      </c>
      <c r="U3626">
        <v>2.0812442390748035E-2</v>
      </c>
      <c r="V3626" t="s">
        <v>162</v>
      </c>
    </row>
    <row r="3627" spans="9:22" x14ac:dyDescent="0.45">
      <c r="I3627" t="s">
        <v>256</v>
      </c>
      <c r="J3627" t="s">
        <v>520</v>
      </c>
      <c r="K3627">
        <v>0</v>
      </c>
      <c r="L3627" t="s">
        <v>162</v>
      </c>
      <c r="N3627" t="s">
        <v>368</v>
      </c>
      <c r="O3627" t="s">
        <v>520</v>
      </c>
      <c r="P3627">
        <v>3.982735155349592E-3</v>
      </c>
      <c r="Q3627" t="s">
        <v>162</v>
      </c>
      <c r="S3627" t="s">
        <v>480</v>
      </c>
      <c r="T3627" t="s">
        <v>520</v>
      </c>
      <c r="U3627">
        <v>4.2611283050383447E-3</v>
      </c>
      <c r="V3627" t="s">
        <v>162</v>
      </c>
    </row>
    <row r="3628" spans="9:22" x14ac:dyDescent="0.45">
      <c r="I3628" t="s">
        <v>256</v>
      </c>
      <c r="J3628" t="s">
        <v>521</v>
      </c>
      <c r="K3628">
        <v>0</v>
      </c>
      <c r="L3628" t="s">
        <v>162</v>
      </c>
      <c r="N3628" t="s">
        <v>368</v>
      </c>
      <c r="O3628" t="s">
        <v>521</v>
      </c>
      <c r="P3628">
        <v>2.2643211566581372E-2</v>
      </c>
      <c r="Q3628" t="s">
        <v>162</v>
      </c>
      <c r="S3628" t="s">
        <v>480</v>
      </c>
      <c r="T3628" t="s">
        <v>521</v>
      </c>
      <c r="U3628">
        <v>2.4648138208859523E-2</v>
      </c>
      <c r="V3628" t="s">
        <v>162</v>
      </c>
    </row>
    <row r="3629" spans="9:22" x14ac:dyDescent="0.45">
      <c r="I3629" t="s">
        <v>256</v>
      </c>
      <c r="J3629" t="s">
        <v>165</v>
      </c>
      <c r="K3629">
        <v>8.7107210116621394E-3</v>
      </c>
      <c r="L3629" t="s">
        <v>162</v>
      </c>
      <c r="N3629" t="s">
        <v>368</v>
      </c>
      <c r="O3629" t="s">
        <v>165</v>
      </c>
      <c r="P3629">
        <v>5.1593814333154721E-2</v>
      </c>
      <c r="Q3629" t="s">
        <v>162</v>
      </c>
      <c r="S3629" t="s">
        <v>480</v>
      </c>
      <c r="T3629" t="s">
        <v>165</v>
      </c>
      <c r="U3629">
        <v>5.6489842958779631E-2</v>
      </c>
      <c r="V3629" t="s">
        <v>162</v>
      </c>
    </row>
    <row r="3630" spans="9:22" x14ac:dyDescent="0.45">
      <c r="I3630" t="s">
        <v>256</v>
      </c>
      <c r="J3630" t="s">
        <v>166</v>
      </c>
      <c r="K3630">
        <v>1.3326137860410956E-2</v>
      </c>
      <c r="L3630" t="s">
        <v>162</v>
      </c>
      <c r="N3630" t="s">
        <v>368</v>
      </c>
      <c r="O3630" t="s">
        <v>166</v>
      </c>
      <c r="P3630">
        <v>4.3410689791449474E-3</v>
      </c>
      <c r="Q3630" t="s">
        <v>162</v>
      </c>
      <c r="S3630" t="s">
        <v>480</v>
      </c>
      <c r="T3630" t="s">
        <v>166</v>
      </c>
      <c r="U3630">
        <v>6.1986564511213281E-3</v>
      </c>
      <c r="V3630" t="s">
        <v>162</v>
      </c>
    </row>
    <row r="3631" spans="9:22" x14ac:dyDescent="0.45">
      <c r="I3631" t="s">
        <v>256</v>
      </c>
      <c r="J3631" t="s">
        <v>167</v>
      </c>
      <c r="K3631">
        <v>3.6945810240458843E-2</v>
      </c>
      <c r="L3631" t="s">
        <v>162</v>
      </c>
      <c r="N3631" t="s">
        <v>368</v>
      </c>
      <c r="O3631" t="s">
        <v>167</v>
      </c>
      <c r="P3631">
        <v>6.8179270101902398E-3</v>
      </c>
      <c r="Q3631" t="s">
        <v>162</v>
      </c>
      <c r="S3631" t="s">
        <v>480</v>
      </c>
      <c r="T3631" t="s">
        <v>167</v>
      </c>
      <c r="U3631">
        <v>1.1667478144578802E-2</v>
      </c>
      <c r="V3631" t="s">
        <v>162</v>
      </c>
    </row>
    <row r="3632" spans="9:22" x14ac:dyDescent="0.45">
      <c r="I3632" t="s">
        <v>256</v>
      </c>
      <c r="J3632" t="s">
        <v>522</v>
      </c>
      <c r="K3632">
        <v>8.9680090181875768E-2</v>
      </c>
      <c r="L3632" t="s">
        <v>162</v>
      </c>
      <c r="N3632" t="s">
        <v>368</v>
      </c>
      <c r="O3632" t="s">
        <v>522</v>
      </c>
      <c r="P3632">
        <v>1.7784097670486158E-2</v>
      </c>
      <c r="Q3632" t="s">
        <v>162</v>
      </c>
      <c r="S3632" t="s">
        <v>480</v>
      </c>
      <c r="T3632" t="s">
        <v>522</v>
      </c>
      <c r="U3632">
        <v>2.7912441901606005E-2</v>
      </c>
      <c r="V3632" t="s">
        <v>162</v>
      </c>
    </row>
    <row r="3633" spans="9:22" x14ac:dyDescent="0.45">
      <c r="I3633" t="s">
        <v>256</v>
      </c>
      <c r="J3633" t="s">
        <v>523</v>
      </c>
      <c r="K3633">
        <v>9.6992104066250147E-3</v>
      </c>
      <c r="L3633" t="s">
        <v>162</v>
      </c>
      <c r="N3633" t="s">
        <v>368</v>
      </c>
      <c r="O3633" t="s">
        <v>523</v>
      </c>
      <c r="P3633">
        <v>4.5171338940568932E-3</v>
      </c>
      <c r="Q3633" t="s">
        <v>162</v>
      </c>
      <c r="S3633" t="s">
        <v>480</v>
      </c>
      <c r="T3633" t="s">
        <v>523</v>
      </c>
      <c r="U3633">
        <v>5.599763668673422E-3</v>
      </c>
      <c r="V3633" t="s">
        <v>162</v>
      </c>
    </row>
    <row r="3634" spans="9:22" x14ac:dyDescent="0.45">
      <c r="I3634" t="s">
        <v>256</v>
      </c>
      <c r="J3634" t="s">
        <v>524</v>
      </c>
      <c r="K3634">
        <v>2.8014994392984442E-3</v>
      </c>
      <c r="L3634" t="s">
        <v>162</v>
      </c>
      <c r="N3634" t="s">
        <v>368</v>
      </c>
      <c r="O3634" t="s">
        <v>524</v>
      </c>
      <c r="P3634">
        <v>3.8903897381992632E-2</v>
      </c>
      <c r="Q3634" t="s">
        <v>162</v>
      </c>
      <c r="S3634" t="s">
        <v>480</v>
      </c>
      <c r="T3634" t="s">
        <v>524</v>
      </c>
      <c r="U3634">
        <v>3.4731403290362915E-2</v>
      </c>
      <c r="V3634" t="s">
        <v>162</v>
      </c>
    </row>
    <row r="3635" spans="9:22" x14ac:dyDescent="0.45">
      <c r="I3635" t="s">
        <v>256</v>
      </c>
      <c r="J3635" t="s">
        <v>168</v>
      </c>
      <c r="K3635">
        <v>1.6234307437396716E-2</v>
      </c>
      <c r="L3635" t="s">
        <v>162</v>
      </c>
      <c r="N3635" t="s">
        <v>368</v>
      </c>
      <c r="O3635" t="s">
        <v>168</v>
      </c>
      <c r="P3635">
        <v>3.4952775482008321E-2</v>
      </c>
      <c r="Q3635" t="s">
        <v>162</v>
      </c>
      <c r="S3635" t="s">
        <v>480</v>
      </c>
      <c r="T3635" t="s">
        <v>168</v>
      </c>
      <c r="U3635">
        <v>3.1783630328668468E-2</v>
      </c>
      <c r="V3635" t="s">
        <v>162</v>
      </c>
    </row>
    <row r="3636" spans="9:22" x14ac:dyDescent="0.45">
      <c r="I3636" t="s">
        <v>256</v>
      </c>
      <c r="J3636" t="s">
        <v>169</v>
      </c>
      <c r="K3636">
        <v>1.0055077735968282E-2</v>
      </c>
      <c r="L3636" t="s">
        <v>162</v>
      </c>
      <c r="N3636" t="s">
        <v>368</v>
      </c>
      <c r="O3636" t="s">
        <v>169</v>
      </c>
      <c r="P3636">
        <v>2.9947836848870611E-3</v>
      </c>
      <c r="Q3636" t="s">
        <v>162</v>
      </c>
      <c r="S3636" t="s">
        <v>480</v>
      </c>
      <c r="T3636" t="s">
        <v>169</v>
      </c>
      <c r="U3636">
        <v>3.2268231262917182E-3</v>
      </c>
      <c r="V3636" t="s">
        <v>162</v>
      </c>
    </row>
    <row r="3637" spans="9:22" x14ac:dyDescent="0.45">
      <c r="I3637" t="s">
        <v>256</v>
      </c>
      <c r="J3637" t="s">
        <v>170</v>
      </c>
      <c r="K3637">
        <v>2.4092680917004342E-2</v>
      </c>
      <c r="L3637" t="s">
        <v>162</v>
      </c>
      <c r="N3637" t="s">
        <v>368</v>
      </c>
      <c r="O3637" t="s">
        <v>170</v>
      </c>
      <c r="P3637">
        <v>6.0860061093669727E-3</v>
      </c>
      <c r="Q3637" t="s">
        <v>162</v>
      </c>
      <c r="S3637" t="s">
        <v>480</v>
      </c>
      <c r="T3637" t="s">
        <v>170</v>
      </c>
      <c r="U3637">
        <v>6.5641488306769982E-3</v>
      </c>
      <c r="V3637" t="s">
        <v>162</v>
      </c>
    </row>
    <row r="3638" spans="9:22" x14ac:dyDescent="0.45">
      <c r="I3638" t="s">
        <v>256</v>
      </c>
      <c r="J3638" t="s">
        <v>525</v>
      </c>
      <c r="K3638">
        <v>5.9501619812939263E-2</v>
      </c>
      <c r="L3638" t="s">
        <v>162</v>
      </c>
      <c r="N3638" t="s">
        <v>368</v>
      </c>
      <c r="O3638" t="s">
        <v>525</v>
      </c>
      <c r="P3638">
        <v>1.7957243828442271E-2</v>
      </c>
      <c r="Q3638" t="s">
        <v>162</v>
      </c>
      <c r="S3638" t="s">
        <v>480</v>
      </c>
      <c r="T3638" t="s">
        <v>525</v>
      </c>
      <c r="U3638">
        <v>1.7827399745678953E-2</v>
      </c>
      <c r="V3638" t="s">
        <v>162</v>
      </c>
    </row>
    <row r="3639" spans="9:22" x14ac:dyDescent="0.45">
      <c r="I3639" t="s">
        <v>256</v>
      </c>
      <c r="J3639" t="s">
        <v>526</v>
      </c>
      <c r="K3639">
        <v>8.6182340672672931E-3</v>
      </c>
      <c r="L3639" t="s">
        <v>162</v>
      </c>
      <c r="N3639" t="s">
        <v>368</v>
      </c>
      <c r="O3639" t="s">
        <v>526</v>
      </c>
      <c r="P3639">
        <v>3.6301645319976898E-3</v>
      </c>
      <c r="Q3639" t="s">
        <v>162</v>
      </c>
      <c r="S3639" t="s">
        <v>480</v>
      </c>
      <c r="T3639" t="s">
        <v>526</v>
      </c>
      <c r="U3639">
        <v>3.9009140261903694E-3</v>
      </c>
      <c r="V3639" t="s">
        <v>162</v>
      </c>
    </row>
    <row r="3640" spans="9:22" x14ac:dyDescent="0.45">
      <c r="I3640" t="s">
        <v>256</v>
      </c>
      <c r="J3640" t="s">
        <v>527</v>
      </c>
      <c r="K3640">
        <v>8.5925674125376834E-3</v>
      </c>
      <c r="L3640" t="s">
        <v>162</v>
      </c>
      <c r="N3640" t="s">
        <v>368</v>
      </c>
      <c r="O3640" t="s">
        <v>527</v>
      </c>
      <c r="P3640">
        <v>2.470907822456651E-2</v>
      </c>
      <c r="Q3640" t="s">
        <v>162</v>
      </c>
      <c r="S3640" t="s">
        <v>480</v>
      </c>
      <c r="T3640" t="s">
        <v>527</v>
      </c>
      <c r="U3640">
        <v>2.448417907460913E-2</v>
      </c>
      <c r="V3640" t="s">
        <v>162</v>
      </c>
    </row>
    <row r="3641" spans="9:22" x14ac:dyDescent="0.45">
      <c r="I3641" t="s">
        <v>256</v>
      </c>
      <c r="J3641" t="s">
        <v>528</v>
      </c>
      <c r="K3641">
        <v>8.1807035447126752E-2</v>
      </c>
      <c r="L3641" t="s">
        <v>162</v>
      </c>
      <c r="N3641" t="s">
        <v>368</v>
      </c>
      <c r="O3641" t="s">
        <v>528</v>
      </c>
      <c r="P3641">
        <v>9.0436503234624169E-2</v>
      </c>
      <c r="Q3641" t="s">
        <v>162</v>
      </c>
      <c r="S3641" t="s">
        <v>480</v>
      </c>
      <c r="T3641" t="s">
        <v>528</v>
      </c>
      <c r="U3641">
        <v>8.2305028961889612E-2</v>
      </c>
      <c r="V3641" t="s">
        <v>162</v>
      </c>
    </row>
    <row r="3642" spans="9:22" x14ac:dyDescent="0.45">
      <c r="I3642" t="s">
        <v>256</v>
      </c>
      <c r="J3642" t="s">
        <v>529</v>
      </c>
      <c r="K3642">
        <v>3.2543606170466137E-2</v>
      </c>
      <c r="L3642" t="s">
        <v>162</v>
      </c>
      <c r="N3642" t="s">
        <v>368</v>
      </c>
      <c r="O3642" t="s">
        <v>529</v>
      </c>
      <c r="P3642">
        <v>7.769664409678443E-3</v>
      </c>
      <c r="Q3642" t="s">
        <v>162</v>
      </c>
      <c r="S3642" t="s">
        <v>480</v>
      </c>
      <c r="T3642" t="s">
        <v>529</v>
      </c>
      <c r="U3642">
        <v>8.6454562797784185E-3</v>
      </c>
      <c r="V3642" t="s">
        <v>162</v>
      </c>
    </row>
    <row r="3643" spans="9:22" x14ac:dyDescent="0.45">
      <c r="I3643" t="s">
        <v>256</v>
      </c>
      <c r="J3643" t="s">
        <v>530</v>
      </c>
      <c r="K3643">
        <v>7.0545613207898206E-2</v>
      </c>
      <c r="L3643" t="s">
        <v>162</v>
      </c>
      <c r="N3643" t="s">
        <v>368</v>
      </c>
      <c r="O3643" t="s">
        <v>530</v>
      </c>
      <c r="P3643">
        <v>1.71705363072952E-2</v>
      </c>
      <c r="Q3643" t="s">
        <v>162</v>
      </c>
      <c r="S3643" t="s">
        <v>480</v>
      </c>
      <c r="T3643" t="s">
        <v>530</v>
      </c>
      <c r="U3643">
        <v>1.6937630355909623E-2</v>
      </c>
      <c r="V3643" t="s">
        <v>162</v>
      </c>
    </row>
    <row r="3644" spans="9:22" x14ac:dyDescent="0.45">
      <c r="I3644" t="s">
        <v>256</v>
      </c>
      <c r="J3644" t="s">
        <v>531</v>
      </c>
      <c r="K3644">
        <v>0.16753557333046659</v>
      </c>
      <c r="L3644" t="s">
        <v>162</v>
      </c>
      <c r="N3644" t="s">
        <v>368</v>
      </c>
      <c r="O3644" t="s">
        <v>531</v>
      </c>
      <c r="P3644">
        <v>4.5947568122865275E-2</v>
      </c>
      <c r="Q3644" t="s">
        <v>162</v>
      </c>
      <c r="S3644" t="s">
        <v>480</v>
      </c>
      <c r="T3644" t="s">
        <v>531</v>
      </c>
      <c r="U3644">
        <v>4.139358990302508E-2</v>
      </c>
      <c r="V3644" t="s">
        <v>162</v>
      </c>
    </row>
    <row r="3645" spans="9:22" x14ac:dyDescent="0.45">
      <c r="I3645" t="s">
        <v>256</v>
      </c>
      <c r="J3645" t="s">
        <v>532</v>
      </c>
      <c r="K3645">
        <v>2.7271382951387167E-2</v>
      </c>
      <c r="L3645" t="s">
        <v>162</v>
      </c>
      <c r="N3645" t="s">
        <v>368</v>
      </c>
      <c r="O3645" t="s">
        <v>532</v>
      </c>
      <c r="P3645">
        <v>8.3575953354079278E-3</v>
      </c>
      <c r="Q3645" t="s">
        <v>162</v>
      </c>
      <c r="S3645" t="s">
        <v>480</v>
      </c>
      <c r="T3645" t="s">
        <v>532</v>
      </c>
      <c r="U3645">
        <v>8.3394214072871203E-3</v>
      </c>
      <c r="V3645" t="s">
        <v>162</v>
      </c>
    </row>
    <row r="3646" spans="9:22" x14ac:dyDescent="0.45">
      <c r="I3646" t="s">
        <v>256</v>
      </c>
      <c r="J3646" t="s">
        <v>533</v>
      </c>
      <c r="K3646">
        <v>5.023239913769402E-2</v>
      </c>
      <c r="L3646" t="s">
        <v>162</v>
      </c>
      <c r="N3646" t="s">
        <v>368</v>
      </c>
      <c r="O3646" t="s">
        <v>533</v>
      </c>
      <c r="P3646">
        <v>6.049165973617901E-2</v>
      </c>
      <c r="Q3646" t="s">
        <v>162</v>
      </c>
      <c r="S3646" t="s">
        <v>480</v>
      </c>
      <c r="T3646" t="s">
        <v>533</v>
      </c>
      <c r="U3646">
        <v>5.061288600193297E-2</v>
      </c>
      <c r="V3646" t="s">
        <v>162</v>
      </c>
    </row>
    <row r="3647" spans="9:22" x14ac:dyDescent="0.45">
      <c r="I3647" t="s">
        <v>256</v>
      </c>
      <c r="J3647" t="s">
        <v>534</v>
      </c>
      <c r="K3647">
        <v>2.3680875147226079E-2</v>
      </c>
      <c r="L3647" t="s">
        <v>162</v>
      </c>
      <c r="N3647" t="s">
        <v>368</v>
      </c>
      <c r="O3647" t="s">
        <v>534</v>
      </c>
      <c r="P3647">
        <v>0.10424919109342122</v>
      </c>
      <c r="Q3647" t="s">
        <v>162</v>
      </c>
      <c r="S3647" t="s">
        <v>480</v>
      </c>
      <c r="T3647" t="s">
        <v>534</v>
      </c>
      <c r="U3647">
        <v>9.4548643197104099E-2</v>
      </c>
      <c r="V3647" t="s">
        <v>162</v>
      </c>
    </row>
    <row r="3648" spans="9:22" x14ac:dyDescent="0.45">
      <c r="I3648" t="s">
        <v>256</v>
      </c>
      <c r="J3648" t="s">
        <v>535</v>
      </c>
      <c r="K3648">
        <v>1.5814996322619693E-2</v>
      </c>
      <c r="L3648" t="s">
        <v>162</v>
      </c>
      <c r="N3648" t="s">
        <v>368</v>
      </c>
      <c r="O3648" t="s">
        <v>535</v>
      </c>
      <c r="P3648">
        <v>1.0166811158286914E-2</v>
      </c>
      <c r="Q3648" t="s">
        <v>162</v>
      </c>
      <c r="S3648" t="s">
        <v>480</v>
      </c>
      <c r="T3648" t="s">
        <v>535</v>
      </c>
      <c r="U3648">
        <v>1.1035394053210799E-2</v>
      </c>
      <c r="V3648" t="s">
        <v>162</v>
      </c>
    </row>
    <row r="3649" spans="9:22" x14ac:dyDescent="0.45">
      <c r="I3649" t="s">
        <v>256</v>
      </c>
      <c r="J3649" t="s">
        <v>536</v>
      </c>
      <c r="K3649">
        <v>3.7686897438566472E-2</v>
      </c>
      <c r="L3649" t="s">
        <v>162</v>
      </c>
      <c r="N3649" t="s">
        <v>368</v>
      </c>
      <c r="O3649" t="s">
        <v>536</v>
      </c>
      <c r="P3649">
        <v>2.0911316994452714E-2</v>
      </c>
      <c r="Q3649" t="s">
        <v>162</v>
      </c>
      <c r="S3649" t="s">
        <v>480</v>
      </c>
      <c r="T3649" t="s">
        <v>536</v>
      </c>
      <c r="U3649">
        <v>2.2469486858013119E-2</v>
      </c>
      <c r="V3649" t="s">
        <v>162</v>
      </c>
    </row>
    <row r="3650" spans="9:22" x14ac:dyDescent="0.45">
      <c r="I3650" t="s">
        <v>256</v>
      </c>
      <c r="J3650" t="s">
        <v>537</v>
      </c>
      <c r="K3650">
        <v>8.6765474666699774E-2</v>
      </c>
      <c r="L3650" t="s">
        <v>162</v>
      </c>
      <c r="N3650" t="s">
        <v>368</v>
      </c>
      <c r="O3650" t="s">
        <v>537</v>
      </c>
      <c r="P3650">
        <v>5.7556458427758139E-2</v>
      </c>
      <c r="Q3650" t="s">
        <v>162</v>
      </c>
      <c r="S3650" t="s">
        <v>480</v>
      </c>
      <c r="T3650" t="s">
        <v>537</v>
      </c>
      <c r="U3650">
        <v>5.641947907795429E-2</v>
      </c>
      <c r="V3650" t="s">
        <v>162</v>
      </c>
    </row>
    <row r="3651" spans="9:22" x14ac:dyDescent="0.45">
      <c r="I3651" t="s">
        <v>256</v>
      </c>
      <c r="J3651" t="s">
        <v>538</v>
      </c>
      <c r="K3651">
        <v>1.1192977616266407E-2</v>
      </c>
      <c r="L3651" t="s">
        <v>162</v>
      </c>
      <c r="N3651" t="s">
        <v>368</v>
      </c>
      <c r="O3651" t="s">
        <v>538</v>
      </c>
      <c r="P3651">
        <v>1.0907008313645702E-2</v>
      </c>
      <c r="Q3651" t="s">
        <v>162</v>
      </c>
      <c r="S3651" t="s">
        <v>480</v>
      </c>
      <c r="T3651" t="s">
        <v>538</v>
      </c>
      <c r="U3651">
        <v>1.1301519498067014E-2</v>
      </c>
      <c r="V3651" t="s">
        <v>162</v>
      </c>
    </row>
    <row r="3652" spans="9:22" x14ac:dyDescent="0.45">
      <c r="I3652" t="s">
        <v>256</v>
      </c>
      <c r="J3652" t="s">
        <v>539</v>
      </c>
      <c r="K3652">
        <v>1.1632764886732122E-2</v>
      </c>
      <c r="L3652" t="s">
        <v>162</v>
      </c>
      <c r="N3652" t="s">
        <v>368</v>
      </c>
      <c r="O3652" t="s">
        <v>539</v>
      </c>
      <c r="P3652">
        <v>7.3117418382676047E-2</v>
      </c>
      <c r="Q3652" t="s">
        <v>162</v>
      </c>
      <c r="S3652" t="s">
        <v>480</v>
      </c>
      <c r="T3652" t="s">
        <v>539</v>
      </c>
      <c r="U3652">
        <v>6.5674968774556391E-2</v>
      </c>
      <c r="V3652" t="s">
        <v>162</v>
      </c>
    </row>
    <row r="3653" spans="9:22" x14ac:dyDescent="0.45">
      <c r="I3653" t="s">
        <v>256</v>
      </c>
      <c r="J3653" t="s">
        <v>540</v>
      </c>
      <c r="K3653">
        <v>4.3307459669078633E-4</v>
      </c>
      <c r="L3653" t="s">
        <v>162</v>
      </c>
      <c r="N3653" t="s">
        <v>368</v>
      </c>
      <c r="O3653" t="s">
        <v>540</v>
      </c>
      <c r="P3653">
        <v>3.6558954806442633E-2</v>
      </c>
      <c r="Q3653" t="s">
        <v>162</v>
      </c>
      <c r="S3653" t="s">
        <v>480</v>
      </c>
      <c r="T3653" t="s">
        <v>540</v>
      </c>
      <c r="U3653">
        <v>3.8787375395350022E-2</v>
      </c>
      <c r="V3653" t="s">
        <v>162</v>
      </c>
    </row>
    <row r="3654" spans="9:22" x14ac:dyDescent="0.45">
      <c r="I3654" t="s">
        <v>256</v>
      </c>
      <c r="J3654" t="s">
        <v>541</v>
      </c>
      <c r="K3654">
        <v>2.4817114612570804E-3</v>
      </c>
      <c r="L3654" t="s">
        <v>162</v>
      </c>
      <c r="N3654" t="s">
        <v>368</v>
      </c>
      <c r="O3654" t="s">
        <v>541</v>
      </c>
      <c r="P3654">
        <v>4.3189353700726317E-3</v>
      </c>
      <c r="Q3654" t="s">
        <v>162</v>
      </c>
      <c r="S3654" t="s">
        <v>480</v>
      </c>
      <c r="T3654" t="s">
        <v>541</v>
      </c>
      <c r="U3654">
        <v>4.3592849987607743E-3</v>
      </c>
      <c r="V3654" t="s">
        <v>162</v>
      </c>
    </row>
    <row r="3655" spans="9:22" x14ac:dyDescent="0.45">
      <c r="I3655" t="s">
        <v>256</v>
      </c>
      <c r="J3655" t="s">
        <v>542</v>
      </c>
      <c r="K3655">
        <v>8.7111227078500199E-3</v>
      </c>
      <c r="L3655" t="s">
        <v>162</v>
      </c>
      <c r="N3655" t="s">
        <v>368</v>
      </c>
      <c r="O3655" t="s">
        <v>542</v>
      </c>
      <c r="P3655">
        <v>8.0339807608907077E-3</v>
      </c>
      <c r="Q3655" t="s">
        <v>162</v>
      </c>
      <c r="S3655" t="s">
        <v>480</v>
      </c>
      <c r="T3655" t="s">
        <v>542</v>
      </c>
      <c r="U3655">
        <v>8.8827334411296921E-3</v>
      </c>
      <c r="V3655" t="s">
        <v>162</v>
      </c>
    </row>
    <row r="3656" spans="9:22" x14ac:dyDescent="0.45">
      <c r="I3656" t="s">
        <v>256</v>
      </c>
      <c r="J3656" t="s">
        <v>543</v>
      </c>
      <c r="K3656">
        <v>1.8482754042396795E-2</v>
      </c>
      <c r="L3656" t="s">
        <v>162</v>
      </c>
      <c r="N3656" t="s">
        <v>368</v>
      </c>
      <c r="O3656" t="s">
        <v>543</v>
      </c>
      <c r="P3656">
        <v>2.0231941904703628E-2</v>
      </c>
      <c r="Q3656" t="s">
        <v>162</v>
      </c>
      <c r="S3656" t="s">
        <v>480</v>
      </c>
      <c r="T3656" t="s">
        <v>543</v>
      </c>
      <c r="U3656">
        <v>2.3642314577134126E-2</v>
      </c>
      <c r="V3656" t="s">
        <v>162</v>
      </c>
    </row>
    <row r="3657" spans="9:22" x14ac:dyDescent="0.45">
      <c r="I3657" t="s">
        <v>256</v>
      </c>
      <c r="J3657" t="s">
        <v>544</v>
      </c>
      <c r="K3657">
        <v>0</v>
      </c>
      <c r="L3657" t="s">
        <v>162</v>
      </c>
      <c r="N3657" t="s">
        <v>368</v>
      </c>
      <c r="O3657" t="s">
        <v>544</v>
      </c>
      <c r="P3657">
        <v>4.4408098355400187E-3</v>
      </c>
      <c r="Q3657" t="s">
        <v>162</v>
      </c>
      <c r="S3657" t="s">
        <v>480</v>
      </c>
      <c r="T3657" t="s">
        <v>544</v>
      </c>
      <c r="U3657">
        <v>4.7837528177215941E-3</v>
      </c>
      <c r="V3657" t="s">
        <v>162</v>
      </c>
    </row>
    <row r="3658" spans="9:22" x14ac:dyDescent="0.45">
      <c r="I3658" t="s">
        <v>256</v>
      </c>
      <c r="J3658" t="s">
        <v>545</v>
      </c>
      <c r="K3658">
        <v>0</v>
      </c>
      <c r="L3658" t="s">
        <v>162</v>
      </c>
      <c r="N3658" t="s">
        <v>368</v>
      </c>
      <c r="O3658" t="s">
        <v>545</v>
      </c>
      <c r="P3658">
        <v>2.5352192191199316E-2</v>
      </c>
      <c r="Q3658" t="s">
        <v>162</v>
      </c>
      <c r="S3658" t="s">
        <v>480</v>
      </c>
      <c r="T3658" t="s">
        <v>545</v>
      </c>
      <c r="U3658">
        <v>2.7292582027224909E-2</v>
      </c>
      <c r="V3658" t="s">
        <v>162</v>
      </c>
    </row>
    <row r="3659" spans="9:22" x14ac:dyDescent="0.45">
      <c r="I3659" t="s">
        <v>256</v>
      </c>
      <c r="J3659" t="s">
        <v>546</v>
      </c>
      <c r="K3659">
        <v>0</v>
      </c>
      <c r="L3659" t="s">
        <v>162</v>
      </c>
      <c r="N3659" t="s">
        <v>368</v>
      </c>
      <c r="O3659" t="s">
        <v>546</v>
      </c>
      <c r="P3659">
        <v>3.5154229424221271E-2</v>
      </c>
      <c r="Q3659" t="s">
        <v>162</v>
      </c>
      <c r="S3659" t="s">
        <v>480</v>
      </c>
      <c r="T3659" t="s">
        <v>546</v>
      </c>
      <c r="U3659">
        <v>3.1856396886717368E-2</v>
      </c>
      <c r="V3659" t="s">
        <v>162</v>
      </c>
    </row>
    <row r="3660" spans="9:22" x14ac:dyDescent="0.45">
      <c r="I3660" t="s">
        <v>256</v>
      </c>
      <c r="J3660" t="s">
        <v>547</v>
      </c>
      <c r="K3660">
        <v>1.2255417396745443E-4</v>
      </c>
      <c r="L3660" t="s">
        <v>162</v>
      </c>
      <c r="N3660" t="s">
        <v>368</v>
      </c>
      <c r="O3660" t="s">
        <v>547</v>
      </c>
      <c r="P3660">
        <v>3.9324056519407348E-3</v>
      </c>
      <c r="Q3660" t="s">
        <v>162</v>
      </c>
      <c r="S3660" t="s">
        <v>480</v>
      </c>
      <c r="T3660" t="s">
        <v>547</v>
      </c>
      <c r="U3660">
        <v>3.8538893368605682E-3</v>
      </c>
      <c r="V3660" t="s">
        <v>162</v>
      </c>
    </row>
    <row r="3661" spans="9:22" x14ac:dyDescent="0.45">
      <c r="I3661" t="s">
        <v>256</v>
      </c>
      <c r="J3661" t="s">
        <v>548</v>
      </c>
      <c r="K3661">
        <v>7.7970128746569119E-3</v>
      </c>
      <c r="L3661" t="s">
        <v>162</v>
      </c>
      <c r="N3661" t="s">
        <v>368</v>
      </c>
      <c r="O3661" t="s">
        <v>548</v>
      </c>
      <c r="P3661">
        <v>6.6893834868126867E-3</v>
      </c>
      <c r="Q3661" t="s">
        <v>162</v>
      </c>
      <c r="S3661" t="s">
        <v>480</v>
      </c>
      <c r="T3661" t="s">
        <v>548</v>
      </c>
      <c r="U3661">
        <v>7.7982650757171422E-3</v>
      </c>
      <c r="V3661" t="s">
        <v>162</v>
      </c>
    </row>
    <row r="3662" spans="9:22" x14ac:dyDescent="0.45">
      <c r="I3662" t="s">
        <v>256</v>
      </c>
      <c r="J3662" t="s">
        <v>549</v>
      </c>
      <c r="K3662">
        <v>1.7845150743005581E-2</v>
      </c>
      <c r="L3662" t="s">
        <v>162</v>
      </c>
      <c r="N3662" t="s">
        <v>368</v>
      </c>
      <c r="O3662" t="s">
        <v>549</v>
      </c>
      <c r="P3662">
        <v>1.4113985132949173E-2</v>
      </c>
      <c r="Q3662" t="s">
        <v>162</v>
      </c>
      <c r="S3662" t="s">
        <v>480</v>
      </c>
      <c r="T3662" t="s">
        <v>549</v>
      </c>
      <c r="U3662">
        <v>2.043188773293456E-2</v>
      </c>
      <c r="V3662" t="s">
        <v>162</v>
      </c>
    </row>
    <row r="3663" spans="9:22" x14ac:dyDescent="0.45">
      <c r="I3663" t="s">
        <v>256</v>
      </c>
      <c r="J3663" t="s">
        <v>550</v>
      </c>
      <c r="K3663">
        <v>0</v>
      </c>
      <c r="L3663" t="s">
        <v>162</v>
      </c>
      <c r="N3663" t="s">
        <v>368</v>
      </c>
      <c r="O3663" t="s">
        <v>550</v>
      </c>
      <c r="P3663">
        <v>3.852930015450378E-3</v>
      </c>
      <c r="Q3663" t="s">
        <v>162</v>
      </c>
      <c r="S3663" t="s">
        <v>480</v>
      </c>
      <c r="T3663" t="s">
        <v>550</v>
      </c>
      <c r="U3663">
        <v>4.0662472376805084E-3</v>
      </c>
      <c r="V3663" t="s">
        <v>162</v>
      </c>
    </row>
    <row r="3664" spans="9:22" x14ac:dyDescent="0.45">
      <c r="I3664" t="s">
        <v>256</v>
      </c>
      <c r="J3664" t="s">
        <v>551</v>
      </c>
      <c r="K3664">
        <v>0</v>
      </c>
      <c r="L3664" t="s">
        <v>162</v>
      </c>
      <c r="N3664" t="s">
        <v>368</v>
      </c>
      <c r="O3664" t="s">
        <v>551</v>
      </c>
      <c r="P3664">
        <v>2.4356389954231849E-2</v>
      </c>
      <c r="Q3664" t="s">
        <v>162</v>
      </c>
      <c r="S3664" t="s">
        <v>480</v>
      </c>
      <c r="T3664" t="s">
        <v>551</v>
      </c>
      <c r="U3664">
        <v>2.324611596210667E-2</v>
      </c>
      <c r="V3664" t="s">
        <v>162</v>
      </c>
    </row>
    <row r="3665" spans="9:22" x14ac:dyDescent="0.45">
      <c r="I3665" t="s">
        <v>257</v>
      </c>
      <c r="J3665" t="s">
        <v>161</v>
      </c>
      <c r="K3665">
        <v>0</v>
      </c>
      <c r="L3665" t="s">
        <v>162</v>
      </c>
      <c r="N3665" t="s">
        <v>369</v>
      </c>
      <c r="O3665" t="s">
        <v>161</v>
      </c>
      <c r="P3665">
        <v>3.5057227204167291E-2</v>
      </c>
      <c r="Q3665" t="s">
        <v>162</v>
      </c>
      <c r="S3665" t="s">
        <v>481</v>
      </c>
      <c r="T3665" t="s">
        <v>161</v>
      </c>
      <c r="U3665">
        <v>3.5768837481199002E-2</v>
      </c>
      <c r="V3665" t="s">
        <v>162</v>
      </c>
    </row>
    <row r="3666" spans="9:22" x14ac:dyDescent="0.45">
      <c r="I3666" t="s">
        <v>257</v>
      </c>
      <c r="J3666" t="s">
        <v>163</v>
      </c>
      <c r="K3666">
        <v>1.2900014994709536E-3</v>
      </c>
      <c r="L3666" t="s">
        <v>162</v>
      </c>
      <c r="N3666" t="s">
        <v>369</v>
      </c>
      <c r="O3666" t="s">
        <v>163</v>
      </c>
      <c r="P3666">
        <v>4.1330472781857834E-3</v>
      </c>
      <c r="Q3666" t="s">
        <v>162</v>
      </c>
      <c r="S3666" t="s">
        <v>481</v>
      </c>
      <c r="T3666" t="s">
        <v>163</v>
      </c>
      <c r="U3666">
        <v>4.0409631793987058E-3</v>
      </c>
      <c r="V3666" t="s">
        <v>162</v>
      </c>
    </row>
    <row r="3667" spans="9:22" x14ac:dyDescent="0.45">
      <c r="I3667" t="s">
        <v>257</v>
      </c>
      <c r="J3667" t="s">
        <v>164</v>
      </c>
      <c r="K3667">
        <v>1.0721268092675906E-2</v>
      </c>
      <c r="L3667" t="s">
        <v>162</v>
      </c>
      <c r="N3667" t="s">
        <v>369</v>
      </c>
      <c r="O3667" t="s">
        <v>164</v>
      </c>
      <c r="P3667">
        <v>6.8238104371188815E-3</v>
      </c>
      <c r="Q3667" t="s">
        <v>162</v>
      </c>
      <c r="S3667" t="s">
        <v>481</v>
      </c>
      <c r="T3667" t="s">
        <v>164</v>
      </c>
      <c r="U3667">
        <v>8.3182841424725464E-3</v>
      </c>
      <c r="V3667" t="s">
        <v>162</v>
      </c>
    </row>
    <row r="3668" spans="9:22" x14ac:dyDescent="0.45">
      <c r="I3668" t="s">
        <v>257</v>
      </c>
      <c r="J3668" t="s">
        <v>519</v>
      </c>
      <c r="K3668">
        <v>2.7971268732397511E-2</v>
      </c>
      <c r="L3668" t="s">
        <v>162</v>
      </c>
      <c r="N3668" t="s">
        <v>369</v>
      </c>
      <c r="O3668" t="s">
        <v>519</v>
      </c>
      <c r="P3668">
        <v>1.3731965289428326E-2</v>
      </c>
      <c r="Q3668" t="s">
        <v>162</v>
      </c>
      <c r="S3668" t="s">
        <v>481</v>
      </c>
      <c r="T3668" t="s">
        <v>519</v>
      </c>
      <c r="U3668">
        <v>2.2859418250866848E-2</v>
      </c>
      <c r="V3668" t="s">
        <v>162</v>
      </c>
    </row>
    <row r="3669" spans="9:22" x14ac:dyDescent="0.45">
      <c r="I3669" t="s">
        <v>257</v>
      </c>
      <c r="J3669" t="s">
        <v>520</v>
      </c>
      <c r="K3669">
        <v>3.2040036897917706E-4</v>
      </c>
      <c r="L3669" t="s">
        <v>162</v>
      </c>
      <c r="N3669" t="s">
        <v>369</v>
      </c>
      <c r="O3669" t="s">
        <v>520</v>
      </c>
      <c r="P3669">
        <v>3.5158829429750306E-3</v>
      </c>
      <c r="Q3669" t="s">
        <v>162</v>
      </c>
      <c r="S3669" t="s">
        <v>481</v>
      </c>
      <c r="T3669" t="s">
        <v>520</v>
      </c>
      <c r="U3669">
        <v>4.7179212266972885E-3</v>
      </c>
      <c r="V3669" t="s">
        <v>162</v>
      </c>
    </row>
    <row r="3670" spans="9:22" x14ac:dyDescent="0.45">
      <c r="I3670" t="s">
        <v>257</v>
      </c>
      <c r="J3670" t="s">
        <v>521</v>
      </c>
      <c r="K3670">
        <v>0</v>
      </c>
      <c r="L3670" t="s">
        <v>162</v>
      </c>
      <c r="N3670" t="s">
        <v>369</v>
      </c>
      <c r="O3670" t="s">
        <v>521</v>
      </c>
      <c r="P3670">
        <v>2.1886749179687113E-2</v>
      </c>
      <c r="Q3670" t="s">
        <v>162</v>
      </c>
      <c r="S3670" t="s">
        <v>481</v>
      </c>
      <c r="T3670" t="s">
        <v>521</v>
      </c>
      <c r="U3670">
        <v>2.7259284567954876E-2</v>
      </c>
      <c r="V3670" t="s">
        <v>162</v>
      </c>
    </row>
    <row r="3671" spans="9:22" x14ac:dyDescent="0.45">
      <c r="I3671" t="s">
        <v>257</v>
      </c>
      <c r="J3671" t="s">
        <v>165</v>
      </c>
      <c r="K3671">
        <v>6.6664682194292934E-3</v>
      </c>
      <c r="L3671" t="s">
        <v>162</v>
      </c>
      <c r="N3671" t="s">
        <v>369</v>
      </c>
      <c r="O3671" t="s">
        <v>165</v>
      </c>
      <c r="P3671">
        <v>5.1534454241436309E-2</v>
      </c>
      <c r="Q3671" t="s">
        <v>162</v>
      </c>
      <c r="S3671" t="s">
        <v>481</v>
      </c>
      <c r="T3671" t="s">
        <v>165</v>
      </c>
      <c r="U3671">
        <v>5.2096660797068123E-2</v>
      </c>
      <c r="V3671" t="s">
        <v>162</v>
      </c>
    </row>
    <row r="3672" spans="9:22" x14ac:dyDescent="0.45">
      <c r="I3672" t="s">
        <v>257</v>
      </c>
      <c r="J3672" t="s">
        <v>166</v>
      </c>
      <c r="K3672">
        <v>1.2410271253851163E-2</v>
      </c>
      <c r="L3672" t="s">
        <v>162</v>
      </c>
      <c r="N3672" t="s">
        <v>369</v>
      </c>
      <c r="O3672" t="s">
        <v>166</v>
      </c>
      <c r="P3672">
        <v>4.3085344500713814E-3</v>
      </c>
      <c r="Q3672" t="s">
        <v>162</v>
      </c>
      <c r="S3672" t="s">
        <v>481</v>
      </c>
      <c r="T3672" t="s">
        <v>166</v>
      </c>
      <c r="U3672">
        <v>4.9967764154870871E-3</v>
      </c>
      <c r="V3672" t="s">
        <v>162</v>
      </c>
    </row>
    <row r="3673" spans="9:22" x14ac:dyDescent="0.45">
      <c r="I3673" t="s">
        <v>257</v>
      </c>
      <c r="J3673" t="s">
        <v>167</v>
      </c>
      <c r="K3673">
        <v>3.5930822978424787E-2</v>
      </c>
      <c r="L3673" t="s">
        <v>162</v>
      </c>
      <c r="N3673" t="s">
        <v>369</v>
      </c>
      <c r="O3673" t="s">
        <v>167</v>
      </c>
      <c r="P3673">
        <v>6.8267416987773362E-3</v>
      </c>
      <c r="Q3673" t="s">
        <v>162</v>
      </c>
      <c r="S3673" t="s">
        <v>481</v>
      </c>
      <c r="T3673" t="s">
        <v>167</v>
      </c>
      <c r="U3673">
        <v>9.6412003959493835E-3</v>
      </c>
      <c r="V3673" t="s">
        <v>162</v>
      </c>
    </row>
    <row r="3674" spans="9:22" x14ac:dyDescent="0.45">
      <c r="I3674" t="s">
        <v>257</v>
      </c>
      <c r="J3674" t="s">
        <v>522</v>
      </c>
      <c r="K3674">
        <v>9.164029402399386E-2</v>
      </c>
      <c r="L3674" t="s">
        <v>162</v>
      </c>
      <c r="N3674" t="s">
        <v>369</v>
      </c>
      <c r="O3674" t="s">
        <v>522</v>
      </c>
      <c r="P3674">
        <v>1.8586235552605277E-2</v>
      </c>
      <c r="Q3674" t="s">
        <v>162</v>
      </c>
      <c r="S3674" t="s">
        <v>481</v>
      </c>
      <c r="T3674" t="s">
        <v>522</v>
      </c>
      <c r="U3674">
        <v>2.4707576814454641E-2</v>
      </c>
      <c r="V3674" t="s">
        <v>162</v>
      </c>
    </row>
    <row r="3675" spans="9:22" x14ac:dyDescent="0.45">
      <c r="I3675" t="s">
        <v>257</v>
      </c>
      <c r="J3675" t="s">
        <v>523</v>
      </c>
      <c r="K3675">
        <v>1.2308774735198298E-2</v>
      </c>
      <c r="L3675" t="s">
        <v>162</v>
      </c>
      <c r="N3675" t="s">
        <v>369</v>
      </c>
      <c r="O3675" t="s">
        <v>523</v>
      </c>
      <c r="P3675">
        <v>5.2818053919995835E-3</v>
      </c>
      <c r="Q3675" t="s">
        <v>162</v>
      </c>
      <c r="S3675" t="s">
        <v>481</v>
      </c>
      <c r="T3675" t="s">
        <v>523</v>
      </c>
      <c r="U3675">
        <v>5.1151999874263126E-3</v>
      </c>
      <c r="V3675" t="s">
        <v>162</v>
      </c>
    </row>
    <row r="3676" spans="9:22" x14ac:dyDescent="0.45">
      <c r="I3676" t="s">
        <v>257</v>
      </c>
      <c r="J3676" t="s">
        <v>524</v>
      </c>
      <c r="K3676">
        <v>4.7209277129599738E-3</v>
      </c>
      <c r="L3676" t="s">
        <v>162</v>
      </c>
      <c r="N3676" t="s">
        <v>369</v>
      </c>
      <c r="O3676" t="s">
        <v>524</v>
      </c>
      <c r="P3676">
        <v>4.1382939069918669E-2</v>
      </c>
      <c r="Q3676" t="s">
        <v>162</v>
      </c>
      <c r="S3676" t="s">
        <v>481</v>
      </c>
      <c r="T3676" t="s">
        <v>524</v>
      </c>
      <c r="U3676">
        <v>3.1873662696071725E-2</v>
      </c>
      <c r="V3676" t="s">
        <v>162</v>
      </c>
    </row>
    <row r="3677" spans="9:22" x14ac:dyDescent="0.45">
      <c r="I3677" t="s">
        <v>257</v>
      </c>
      <c r="J3677" t="s">
        <v>168</v>
      </c>
      <c r="K3677">
        <v>1.514233326735212E-2</v>
      </c>
      <c r="L3677" t="s">
        <v>162</v>
      </c>
      <c r="N3677" t="s">
        <v>369</v>
      </c>
      <c r="O3677" t="s">
        <v>168</v>
      </c>
      <c r="P3677">
        <v>3.4374233143477269E-2</v>
      </c>
      <c r="Q3677" t="s">
        <v>162</v>
      </c>
      <c r="S3677" t="s">
        <v>481</v>
      </c>
      <c r="T3677" t="s">
        <v>168</v>
      </c>
      <c r="U3677">
        <v>3.0586383247144907E-2</v>
      </c>
      <c r="V3677" t="s">
        <v>162</v>
      </c>
    </row>
    <row r="3678" spans="9:22" x14ac:dyDescent="0.45">
      <c r="I3678" t="s">
        <v>257</v>
      </c>
      <c r="J3678" t="s">
        <v>169</v>
      </c>
      <c r="K3678">
        <v>9.8809793663522088E-3</v>
      </c>
      <c r="L3678" t="s">
        <v>162</v>
      </c>
      <c r="N3678" t="s">
        <v>369</v>
      </c>
      <c r="O3678" t="s">
        <v>169</v>
      </c>
      <c r="P3678">
        <v>2.712186254357291E-3</v>
      </c>
      <c r="Q3678" t="s">
        <v>162</v>
      </c>
      <c r="S3678" t="s">
        <v>481</v>
      </c>
      <c r="T3678" t="s">
        <v>169</v>
      </c>
      <c r="U3678">
        <v>3.464831521408156E-3</v>
      </c>
      <c r="V3678" t="s">
        <v>162</v>
      </c>
    </row>
    <row r="3679" spans="9:22" x14ac:dyDescent="0.45">
      <c r="I3679" t="s">
        <v>257</v>
      </c>
      <c r="J3679" t="s">
        <v>170</v>
      </c>
      <c r="K3679">
        <v>2.388934433750534E-2</v>
      </c>
      <c r="L3679" t="s">
        <v>162</v>
      </c>
      <c r="N3679" t="s">
        <v>369</v>
      </c>
      <c r="O3679" t="s">
        <v>170</v>
      </c>
      <c r="P3679">
        <v>5.3041854023330136E-3</v>
      </c>
      <c r="Q3679" t="s">
        <v>162</v>
      </c>
      <c r="S3679" t="s">
        <v>481</v>
      </c>
      <c r="T3679" t="s">
        <v>170</v>
      </c>
      <c r="U3679">
        <v>6.6416303008946017E-3</v>
      </c>
      <c r="V3679" t="s">
        <v>162</v>
      </c>
    </row>
    <row r="3680" spans="9:22" x14ac:dyDescent="0.45">
      <c r="I3680" t="s">
        <v>257</v>
      </c>
      <c r="J3680" t="s">
        <v>525</v>
      </c>
      <c r="K3680">
        <v>5.98207774380013E-2</v>
      </c>
      <c r="L3680" t="s">
        <v>162</v>
      </c>
      <c r="N3680" t="s">
        <v>369</v>
      </c>
      <c r="O3680" t="s">
        <v>525</v>
      </c>
      <c r="P3680">
        <v>1.6052429924919776E-2</v>
      </c>
      <c r="Q3680" t="s">
        <v>162</v>
      </c>
      <c r="S3680" t="s">
        <v>481</v>
      </c>
      <c r="T3680" t="s">
        <v>525</v>
      </c>
      <c r="U3680">
        <v>1.5795751443857434E-2</v>
      </c>
      <c r="V3680" t="s">
        <v>162</v>
      </c>
    </row>
    <row r="3681" spans="9:22" x14ac:dyDescent="0.45">
      <c r="I3681" t="s">
        <v>257</v>
      </c>
      <c r="J3681" t="s">
        <v>526</v>
      </c>
      <c r="K3681">
        <v>9.312378344791556E-3</v>
      </c>
      <c r="L3681" t="s">
        <v>162</v>
      </c>
      <c r="N3681" t="s">
        <v>369</v>
      </c>
      <c r="O3681" t="s">
        <v>526</v>
      </c>
      <c r="P3681">
        <v>3.1492961662245209E-3</v>
      </c>
      <c r="Q3681" t="s">
        <v>162</v>
      </c>
      <c r="S3681" t="s">
        <v>481</v>
      </c>
      <c r="T3681" t="s">
        <v>526</v>
      </c>
      <c r="U3681">
        <v>3.1988219753946194E-3</v>
      </c>
      <c r="V3681" t="s">
        <v>162</v>
      </c>
    </row>
    <row r="3682" spans="9:22" x14ac:dyDescent="0.45">
      <c r="I3682" t="s">
        <v>257</v>
      </c>
      <c r="J3682" t="s">
        <v>527</v>
      </c>
      <c r="K3682">
        <v>1.0975403353077043E-2</v>
      </c>
      <c r="L3682" t="s">
        <v>162</v>
      </c>
      <c r="N3682" t="s">
        <v>369</v>
      </c>
      <c r="O3682" t="s">
        <v>527</v>
      </c>
      <c r="P3682">
        <v>2.337530162625219E-2</v>
      </c>
      <c r="Q3682" t="s">
        <v>162</v>
      </c>
      <c r="S3682" t="s">
        <v>481</v>
      </c>
      <c r="T3682" t="s">
        <v>527</v>
      </c>
      <c r="U3682">
        <v>2.2035973931441261E-2</v>
      </c>
      <c r="V3682" t="s">
        <v>162</v>
      </c>
    </row>
    <row r="3683" spans="9:22" x14ac:dyDescent="0.45">
      <c r="I3683" t="s">
        <v>257</v>
      </c>
      <c r="J3683" t="s">
        <v>528</v>
      </c>
      <c r="K3683">
        <v>7.2942601614569211E-2</v>
      </c>
      <c r="L3683" t="s">
        <v>162</v>
      </c>
      <c r="N3683" t="s">
        <v>369</v>
      </c>
      <c r="O3683" t="s">
        <v>528</v>
      </c>
      <c r="P3683">
        <v>8.8012016182190789E-2</v>
      </c>
      <c r="Q3683" t="s">
        <v>162</v>
      </c>
      <c r="S3683" t="s">
        <v>481</v>
      </c>
      <c r="T3683" t="s">
        <v>528</v>
      </c>
      <c r="U3683">
        <v>8.7542504859767903E-2</v>
      </c>
      <c r="V3683" t="s">
        <v>162</v>
      </c>
    </row>
    <row r="3684" spans="9:22" x14ac:dyDescent="0.45">
      <c r="I3684" t="s">
        <v>257</v>
      </c>
      <c r="J3684" t="s">
        <v>529</v>
      </c>
      <c r="K3684">
        <v>3.1059806994150323E-2</v>
      </c>
      <c r="L3684" t="s">
        <v>162</v>
      </c>
      <c r="N3684" t="s">
        <v>369</v>
      </c>
      <c r="O3684" t="s">
        <v>529</v>
      </c>
      <c r="P3684">
        <v>6.3641263366342737E-3</v>
      </c>
      <c r="Q3684" t="s">
        <v>162</v>
      </c>
      <c r="S3684" t="s">
        <v>481</v>
      </c>
      <c r="T3684" t="s">
        <v>529</v>
      </c>
      <c r="U3684">
        <v>9.4138509456490604E-3</v>
      </c>
      <c r="V3684" t="s">
        <v>162</v>
      </c>
    </row>
    <row r="3685" spans="9:22" x14ac:dyDescent="0.45">
      <c r="I3685" t="s">
        <v>257</v>
      </c>
      <c r="J3685" t="s">
        <v>530</v>
      </c>
      <c r="K3685">
        <v>6.7810205609016808E-2</v>
      </c>
      <c r="L3685" t="s">
        <v>162</v>
      </c>
      <c r="N3685" t="s">
        <v>369</v>
      </c>
      <c r="O3685" t="s">
        <v>530</v>
      </c>
      <c r="P3685">
        <v>1.4561183853262497E-2</v>
      </c>
      <c r="Q3685" t="s">
        <v>162</v>
      </c>
      <c r="S3685" t="s">
        <v>481</v>
      </c>
      <c r="T3685" t="s">
        <v>530</v>
      </c>
      <c r="U3685">
        <v>1.8981985271296548E-2</v>
      </c>
      <c r="V3685" t="s">
        <v>162</v>
      </c>
    </row>
    <row r="3686" spans="9:22" x14ac:dyDescent="0.45">
      <c r="I3686" t="s">
        <v>257</v>
      </c>
      <c r="J3686" t="s">
        <v>531</v>
      </c>
      <c r="K3686">
        <v>0.16004914183972543</v>
      </c>
      <c r="L3686" t="s">
        <v>162</v>
      </c>
      <c r="N3686" t="s">
        <v>369</v>
      </c>
      <c r="O3686" t="s">
        <v>531</v>
      </c>
      <c r="P3686">
        <v>4.2802365234462035E-2</v>
      </c>
      <c r="Q3686" t="s">
        <v>162</v>
      </c>
      <c r="S3686" t="s">
        <v>481</v>
      </c>
      <c r="T3686" t="s">
        <v>531</v>
      </c>
      <c r="U3686">
        <v>4.7773672056664329E-2</v>
      </c>
      <c r="V3686" t="s">
        <v>162</v>
      </c>
    </row>
    <row r="3687" spans="9:22" x14ac:dyDescent="0.45">
      <c r="I3687" t="s">
        <v>257</v>
      </c>
      <c r="J3687" t="s">
        <v>532</v>
      </c>
      <c r="K3687">
        <v>2.625555604709931E-2</v>
      </c>
      <c r="L3687" t="s">
        <v>162</v>
      </c>
      <c r="N3687" t="s">
        <v>369</v>
      </c>
      <c r="O3687" t="s">
        <v>532</v>
      </c>
      <c r="P3687">
        <v>8.4979148934485778E-3</v>
      </c>
      <c r="Q3687" t="s">
        <v>162</v>
      </c>
      <c r="S3687" t="s">
        <v>481</v>
      </c>
      <c r="T3687" t="s">
        <v>532</v>
      </c>
      <c r="U3687">
        <v>9.191015827884761E-3</v>
      </c>
      <c r="V3687" t="s">
        <v>162</v>
      </c>
    </row>
    <row r="3688" spans="9:22" x14ac:dyDescent="0.45">
      <c r="I3688" t="s">
        <v>257</v>
      </c>
      <c r="J3688" t="s">
        <v>533</v>
      </c>
      <c r="K3688">
        <v>5.0123915162629915E-2</v>
      </c>
      <c r="L3688" t="s">
        <v>162</v>
      </c>
      <c r="N3688" t="s">
        <v>369</v>
      </c>
      <c r="O3688" t="s">
        <v>533</v>
      </c>
      <c r="P3688">
        <v>6.2209744359032232E-2</v>
      </c>
      <c r="Q3688" t="s">
        <v>162</v>
      </c>
      <c r="S3688" t="s">
        <v>481</v>
      </c>
      <c r="T3688" t="s">
        <v>533</v>
      </c>
      <c r="U3688">
        <v>5.6596116208819811E-2</v>
      </c>
      <c r="V3688" t="s">
        <v>162</v>
      </c>
    </row>
    <row r="3689" spans="9:22" x14ac:dyDescent="0.45">
      <c r="I3689" t="s">
        <v>257</v>
      </c>
      <c r="J3689" t="s">
        <v>534</v>
      </c>
      <c r="K3689">
        <v>2.5379563569081044E-2</v>
      </c>
      <c r="L3689" t="s">
        <v>162</v>
      </c>
      <c r="N3689" t="s">
        <v>369</v>
      </c>
      <c r="O3689" t="s">
        <v>534</v>
      </c>
      <c r="P3689">
        <v>0.11437438194034978</v>
      </c>
      <c r="Q3689" t="s">
        <v>162</v>
      </c>
      <c r="S3689" t="s">
        <v>481</v>
      </c>
      <c r="T3689" t="s">
        <v>534</v>
      </c>
      <c r="U3689">
        <v>9.238696964630129E-2</v>
      </c>
      <c r="V3689" t="s">
        <v>162</v>
      </c>
    </row>
    <row r="3690" spans="9:22" x14ac:dyDescent="0.45">
      <c r="I3690" t="s">
        <v>257</v>
      </c>
      <c r="J3690" t="s">
        <v>535</v>
      </c>
      <c r="K3690">
        <v>1.7416197337858978E-2</v>
      </c>
      <c r="L3690" t="s">
        <v>162</v>
      </c>
      <c r="N3690" t="s">
        <v>369</v>
      </c>
      <c r="O3690" t="s">
        <v>535</v>
      </c>
      <c r="P3690">
        <v>1.1702467393991415E-2</v>
      </c>
      <c r="Q3690" t="s">
        <v>162</v>
      </c>
      <c r="S3690" t="s">
        <v>481</v>
      </c>
      <c r="T3690" t="s">
        <v>535</v>
      </c>
      <c r="U3690">
        <v>1.0361181548374544E-2</v>
      </c>
      <c r="V3690" t="s">
        <v>162</v>
      </c>
    </row>
    <row r="3691" spans="9:22" x14ac:dyDescent="0.45">
      <c r="I3691" t="s">
        <v>257</v>
      </c>
      <c r="J3691" t="s">
        <v>536</v>
      </c>
      <c r="K3691">
        <v>4.0020549208540403E-2</v>
      </c>
      <c r="L3691" t="s">
        <v>162</v>
      </c>
      <c r="N3691" t="s">
        <v>369</v>
      </c>
      <c r="O3691" t="s">
        <v>536</v>
      </c>
      <c r="P3691">
        <v>2.3501044845031915E-2</v>
      </c>
      <c r="Q3691" t="s">
        <v>162</v>
      </c>
      <c r="S3691" t="s">
        <v>481</v>
      </c>
      <c r="T3691" t="s">
        <v>536</v>
      </c>
      <c r="U3691">
        <v>2.1270759795583391E-2</v>
      </c>
      <c r="V3691" t="s">
        <v>162</v>
      </c>
    </row>
    <row r="3692" spans="9:22" x14ac:dyDescent="0.45">
      <c r="I3692" t="s">
        <v>257</v>
      </c>
      <c r="J3692" t="s">
        <v>537</v>
      </c>
      <c r="K3692">
        <v>9.2900953052366245E-2</v>
      </c>
      <c r="L3692" t="s">
        <v>162</v>
      </c>
      <c r="N3692" t="s">
        <v>369</v>
      </c>
      <c r="O3692" t="s">
        <v>537</v>
      </c>
      <c r="P3692">
        <v>6.2388011919645971E-2</v>
      </c>
      <c r="Q3692" t="s">
        <v>162</v>
      </c>
      <c r="S3692" t="s">
        <v>481</v>
      </c>
      <c r="T3692" t="s">
        <v>537</v>
      </c>
      <c r="U3692">
        <v>5.4436683603785931E-2</v>
      </c>
      <c r="V3692" t="s">
        <v>162</v>
      </c>
    </row>
    <row r="3693" spans="9:22" x14ac:dyDescent="0.45">
      <c r="I3693" t="s">
        <v>257</v>
      </c>
      <c r="J3693" t="s">
        <v>538</v>
      </c>
      <c r="K3693">
        <v>1.3098053580008685E-2</v>
      </c>
      <c r="L3693" t="s">
        <v>162</v>
      </c>
      <c r="N3693" t="s">
        <v>369</v>
      </c>
      <c r="O3693" t="s">
        <v>538</v>
      </c>
      <c r="P3693">
        <v>1.1524139229363871E-2</v>
      </c>
      <c r="Q3693" t="s">
        <v>162</v>
      </c>
      <c r="S3693" t="s">
        <v>481</v>
      </c>
      <c r="T3693" t="s">
        <v>538</v>
      </c>
      <c r="U3693">
        <v>1.0605451533313083E-2</v>
      </c>
      <c r="V3693" t="s">
        <v>162</v>
      </c>
    </row>
    <row r="3694" spans="9:22" x14ac:dyDescent="0.45">
      <c r="I3694" t="s">
        <v>257</v>
      </c>
      <c r="J3694" t="s">
        <v>539</v>
      </c>
      <c r="K3694">
        <v>1.4222205248661059E-2</v>
      </c>
      <c r="L3694" t="s">
        <v>162</v>
      </c>
      <c r="N3694" t="s">
        <v>369</v>
      </c>
      <c r="O3694" t="s">
        <v>539</v>
      </c>
      <c r="P3694">
        <v>7.3134430267671066E-2</v>
      </c>
      <c r="Q3694" t="s">
        <v>162</v>
      </c>
      <c r="S3694" t="s">
        <v>481</v>
      </c>
      <c r="T3694" t="s">
        <v>539</v>
      </c>
      <c r="U3694">
        <v>6.5428092865905993E-2</v>
      </c>
      <c r="V3694" t="s">
        <v>162</v>
      </c>
    </row>
    <row r="3695" spans="9:22" x14ac:dyDescent="0.45">
      <c r="I3695" t="s">
        <v>257</v>
      </c>
      <c r="J3695" t="s">
        <v>540</v>
      </c>
      <c r="K3695">
        <v>1.6057588302360304E-4</v>
      </c>
      <c r="L3695" t="s">
        <v>162</v>
      </c>
      <c r="N3695" t="s">
        <v>369</v>
      </c>
      <c r="O3695" t="s">
        <v>540</v>
      </c>
      <c r="P3695">
        <v>3.1944486668583925E-2</v>
      </c>
      <c r="Q3695" t="s">
        <v>162</v>
      </c>
      <c r="S3695" t="s">
        <v>481</v>
      </c>
      <c r="T3695" t="s">
        <v>540</v>
      </c>
      <c r="U3695">
        <v>3.9774905321290757E-2</v>
      </c>
      <c r="V3695" t="s">
        <v>162</v>
      </c>
    </row>
    <row r="3696" spans="9:22" x14ac:dyDescent="0.45">
      <c r="I3696" t="s">
        <v>257</v>
      </c>
      <c r="J3696" t="s">
        <v>541</v>
      </c>
      <c r="K3696">
        <v>1.6944642648905408E-3</v>
      </c>
      <c r="L3696" t="s">
        <v>162</v>
      </c>
      <c r="N3696" t="s">
        <v>369</v>
      </c>
      <c r="O3696" t="s">
        <v>541</v>
      </c>
      <c r="P3696">
        <v>3.5825507234217139E-3</v>
      </c>
      <c r="Q3696" t="s">
        <v>162</v>
      </c>
      <c r="S3696" t="s">
        <v>481</v>
      </c>
      <c r="T3696" t="s">
        <v>541</v>
      </c>
      <c r="U3696">
        <v>4.1770848154306971E-3</v>
      </c>
      <c r="V3696" t="s">
        <v>162</v>
      </c>
    </row>
    <row r="3697" spans="9:22" x14ac:dyDescent="0.45">
      <c r="I3697" t="s">
        <v>257</v>
      </c>
      <c r="J3697" t="s">
        <v>542</v>
      </c>
      <c r="K3697">
        <v>6.8774395410525126E-3</v>
      </c>
      <c r="L3697" t="s">
        <v>162</v>
      </c>
      <c r="N3697" t="s">
        <v>369</v>
      </c>
      <c r="O3697" t="s">
        <v>542</v>
      </c>
      <c r="P3697">
        <v>6.5828994332075451E-3</v>
      </c>
      <c r="Q3697" t="s">
        <v>162</v>
      </c>
      <c r="S3697" t="s">
        <v>481</v>
      </c>
      <c r="T3697" t="s">
        <v>542</v>
      </c>
      <c r="U3697">
        <v>8.2902153016561342E-3</v>
      </c>
      <c r="V3697" t="s">
        <v>162</v>
      </c>
    </row>
    <row r="3698" spans="9:22" x14ac:dyDescent="0.45">
      <c r="I3698" t="s">
        <v>257</v>
      </c>
      <c r="J3698" t="s">
        <v>543</v>
      </c>
      <c r="K3698">
        <v>1.5954430890777683E-2</v>
      </c>
      <c r="L3698" t="s">
        <v>162</v>
      </c>
      <c r="N3698" t="s">
        <v>369</v>
      </c>
      <c r="O3698" t="s">
        <v>543</v>
      </c>
      <c r="P3698">
        <v>1.7104623757623529E-2</v>
      </c>
      <c r="Q3698" t="s">
        <v>162</v>
      </c>
      <c r="S3698" t="s">
        <v>481</v>
      </c>
      <c r="T3698" t="s">
        <v>543</v>
      </c>
      <c r="U3698">
        <v>2.0826208953505874E-2</v>
      </c>
      <c r="V3698" t="s">
        <v>162</v>
      </c>
    </row>
    <row r="3699" spans="9:22" x14ac:dyDescent="0.45">
      <c r="I3699" t="s">
        <v>257</v>
      </c>
      <c r="J3699" t="s">
        <v>544</v>
      </c>
      <c r="K3699">
        <v>2.545013846017433E-8</v>
      </c>
      <c r="L3699" t="s">
        <v>162</v>
      </c>
      <c r="N3699" t="s">
        <v>369</v>
      </c>
      <c r="O3699" t="s">
        <v>544</v>
      </c>
      <c r="P3699">
        <v>4.1140050701993901E-3</v>
      </c>
      <c r="Q3699" t="s">
        <v>162</v>
      </c>
      <c r="S3699" t="s">
        <v>481</v>
      </c>
      <c r="T3699" t="s">
        <v>544</v>
      </c>
      <c r="U3699">
        <v>4.335509816455467E-3</v>
      </c>
      <c r="V3699" t="s">
        <v>162</v>
      </c>
    </row>
    <row r="3700" spans="9:22" x14ac:dyDescent="0.45">
      <c r="I3700" t="s">
        <v>257</v>
      </c>
      <c r="J3700" t="s">
        <v>545</v>
      </c>
      <c r="K3700">
        <v>0</v>
      </c>
      <c r="L3700" t="s">
        <v>162</v>
      </c>
      <c r="N3700" t="s">
        <v>369</v>
      </c>
      <c r="O3700" t="s">
        <v>545</v>
      </c>
      <c r="P3700">
        <v>2.2857863487648275E-2</v>
      </c>
      <c r="Q3700" t="s">
        <v>162</v>
      </c>
      <c r="S3700" t="s">
        <v>481</v>
      </c>
      <c r="T3700" t="s">
        <v>545</v>
      </c>
      <c r="U3700">
        <v>2.7838925060675944E-2</v>
      </c>
      <c r="V3700" t="s">
        <v>162</v>
      </c>
    </row>
    <row r="3701" spans="9:22" x14ac:dyDescent="0.45">
      <c r="I3701" t="s">
        <v>257</v>
      </c>
      <c r="J3701" t="s">
        <v>546</v>
      </c>
      <c r="K3701">
        <v>0</v>
      </c>
      <c r="L3701" t="s">
        <v>162</v>
      </c>
      <c r="N3701" t="s">
        <v>369</v>
      </c>
      <c r="O3701" t="s">
        <v>546</v>
      </c>
      <c r="P3701">
        <v>3.8367516301265357E-2</v>
      </c>
      <c r="Q3701" t="s">
        <v>162</v>
      </c>
      <c r="S3701" t="s">
        <v>481</v>
      </c>
      <c r="T3701" t="s">
        <v>546</v>
      </c>
      <c r="U3701">
        <v>3.4092170511164643E-2</v>
      </c>
      <c r="V3701" t="s">
        <v>162</v>
      </c>
    </row>
    <row r="3702" spans="9:22" x14ac:dyDescent="0.45">
      <c r="I3702" t="s">
        <v>257</v>
      </c>
      <c r="J3702" t="s">
        <v>547</v>
      </c>
      <c r="K3702">
        <v>1.4610159073001313E-4</v>
      </c>
      <c r="L3702" t="s">
        <v>162</v>
      </c>
      <c r="N3702" t="s">
        <v>369</v>
      </c>
      <c r="O3702" t="s">
        <v>547</v>
      </c>
      <c r="P3702">
        <v>4.3073906386169513E-3</v>
      </c>
      <c r="Q3702" t="s">
        <v>162</v>
      </c>
      <c r="S3702" t="s">
        <v>481</v>
      </c>
      <c r="T3702" t="s">
        <v>547</v>
      </c>
      <c r="U3702">
        <v>4.1705777470204776E-3</v>
      </c>
      <c r="V3702" t="s">
        <v>162</v>
      </c>
    </row>
    <row r="3703" spans="9:22" x14ac:dyDescent="0.45">
      <c r="I3703" t="s">
        <v>257</v>
      </c>
      <c r="J3703" t="s">
        <v>548</v>
      </c>
      <c r="K3703">
        <v>8.565145876977695E-3</v>
      </c>
      <c r="L3703" t="s">
        <v>162</v>
      </c>
      <c r="N3703" t="s">
        <v>369</v>
      </c>
      <c r="O3703" t="s">
        <v>548</v>
      </c>
      <c r="P3703">
        <v>7.617246309491725E-3</v>
      </c>
      <c r="Q3703" t="s">
        <v>162</v>
      </c>
      <c r="S3703" t="s">
        <v>481</v>
      </c>
      <c r="T3703" t="s">
        <v>548</v>
      </c>
      <c r="U3703">
        <v>8.5142635933181336E-3</v>
      </c>
      <c r="V3703" t="s">
        <v>162</v>
      </c>
    </row>
    <row r="3704" spans="9:22" x14ac:dyDescent="0.45">
      <c r="I3704" t="s">
        <v>257</v>
      </c>
      <c r="J3704" t="s">
        <v>549</v>
      </c>
      <c r="K3704">
        <v>2.2321353514239726E-2</v>
      </c>
      <c r="L3704" t="s">
        <v>162</v>
      </c>
      <c r="N3704" t="s">
        <v>369</v>
      </c>
      <c r="O3704" t="s">
        <v>549</v>
      </c>
      <c r="P3704">
        <v>1.6000144699694317E-2</v>
      </c>
      <c r="Q3704" t="s">
        <v>162</v>
      </c>
      <c r="S3704" t="s">
        <v>481</v>
      </c>
      <c r="T3704" t="s">
        <v>549</v>
      </c>
      <c r="U3704">
        <v>2.1478997788799799E-2</v>
      </c>
      <c r="V3704" t="s">
        <v>162</v>
      </c>
    </row>
    <row r="3705" spans="9:22" x14ac:dyDescent="0.45">
      <c r="I3705" t="s">
        <v>257</v>
      </c>
      <c r="J3705" t="s">
        <v>550</v>
      </c>
      <c r="K3705">
        <v>0</v>
      </c>
      <c r="L3705" t="s">
        <v>162</v>
      </c>
      <c r="N3705" t="s">
        <v>369</v>
      </c>
      <c r="O3705" t="s">
        <v>550</v>
      </c>
      <c r="P3705">
        <v>4.1579634904547937E-3</v>
      </c>
      <c r="Q3705" t="s">
        <v>162</v>
      </c>
      <c r="S3705" t="s">
        <v>481</v>
      </c>
      <c r="T3705" t="s">
        <v>550</v>
      </c>
      <c r="U3705">
        <v>4.2973209615517127E-3</v>
      </c>
      <c r="V3705" t="s">
        <v>162</v>
      </c>
    </row>
    <row r="3706" spans="9:22" x14ac:dyDescent="0.45">
      <c r="I3706" t="s">
        <v>257</v>
      </c>
      <c r="J3706" t="s">
        <v>551</v>
      </c>
      <c r="K3706">
        <v>0</v>
      </c>
      <c r="L3706" t="s">
        <v>162</v>
      </c>
      <c r="N3706" t="s">
        <v>369</v>
      </c>
      <c r="O3706" t="s">
        <v>551</v>
      </c>
      <c r="P3706">
        <v>2.6254457710775069E-2</v>
      </c>
      <c r="Q3706" t="s">
        <v>162</v>
      </c>
      <c r="S3706" t="s">
        <v>481</v>
      </c>
      <c r="T3706" t="s">
        <v>551</v>
      </c>
      <c r="U3706">
        <v>2.5096357590599014E-2</v>
      </c>
      <c r="V3706" t="s">
        <v>162</v>
      </c>
    </row>
    <row r="3707" spans="9:22" x14ac:dyDescent="0.45">
      <c r="I3707" t="s">
        <v>258</v>
      </c>
      <c r="J3707" t="s">
        <v>161</v>
      </c>
      <c r="K3707">
        <v>0</v>
      </c>
      <c r="L3707" t="s">
        <v>162</v>
      </c>
      <c r="N3707" t="s">
        <v>370</v>
      </c>
      <c r="O3707" t="s">
        <v>161</v>
      </c>
      <c r="P3707">
        <v>3.2425498311401686E-2</v>
      </c>
      <c r="Q3707" t="s">
        <v>162</v>
      </c>
      <c r="S3707" t="s">
        <v>482</v>
      </c>
      <c r="T3707" t="s">
        <v>161</v>
      </c>
      <c r="U3707">
        <v>4.1812713099206325E-2</v>
      </c>
      <c r="V3707" t="s">
        <v>162</v>
      </c>
    </row>
    <row r="3708" spans="9:22" x14ac:dyDescent="0.45">
      <c r="I3708" t="s">
        <v>258</v>
      </c>
      <c r="J3708" t="s">
        <v>163</v>
      </c>
      <c r="K3708">
        <v>4.264434544365113E-3</v>
      </c>
      <c r="L3708" t="s">
        <v>162</v>
      </c>
      <c r="N3708" t="s">
        <v>370</v>
      </c>
      <c r="O3708" t="s">
        <v>163</v>
      </c>
      <c r="P3708">
        <v>3.0125360153131636E-3</v>
      </c>
      <c r="Q3708" t="s">
        <v>162</v>
      </c>
      <c r="S3708" t="s">
        <v>482</v>
      </c>
      <c r="T3708" t="s">
        <v>163</v>
      </c>
      <c r="U3708">
        <v>4.6878379436854087E-3</v>
      </c>
      <c r="V3708" t="s">
        <v>162</v>
      </c>
    </row>
    <row r="3709" spans="9:22" x14ac:dyDescent="0.45">
      <c r="I3709" t="s">
        <v>258</v>
      </c>
      <c r="J3709" t="s">
        <v>164</v>
      </c>
      <c r="K3709">
        <v>1.4362707125615066E-2</v>
      </c>
      <c r="L3709" t="s">
        <v>162</v>
      </c>
      <c r="N3709" t="s">
        <v>370</v>
      </c>
      <c r="O3709" t="s">
        <v>164</v>
      </c>
      <c r="P3709">
        <v>4.4704842406805443E-3</v>
      </c>
      <c r="Q3709" t="s">
        <v>162</v>
      </c>
      <c r="S3709" t="s">
        <v>482</v>
      </c>
      <c r="T3709" t="s">
        <v>164</v>
      </c>
      <c r="U3709">
        <v>9.3540834974305265E-3</v>
      </c>
      <c r="V3709" t="s">
        <v>162</v>
      </c>
    </row>
    <row r="3710" spans="9:22" x14ac:dyDescent="0.45">
      <c r="I3710" t="s">
        <v>258</v>
      </c>
      <c r="J3710" t="s">
        <v>519</v>
      </c>
      <c r="K3710">
        <v>3.0322552438386281E-2</v>
      </c>
      <c r="L3710" t="s">
        <v>162</v>
      </c>
      <c r="N3710" t="s">
        <v>370</v>
      </c>
      <c r="O3710" t="s">
        <v>519</v>
      </c>
      <c r="P3710">
        <v>1.0898949910617267E-2</v>
      </c>
      <c r="Q3710" t="s">
        <v>162</v>
      </c>
      <c r="S3710" t="s">
        <v>482</v>
      </c>
      <c r="T3710" t="s">
        <v>519</v>
      </c>
      <c r="U3710">
        <v>2.3821922901933107E-2</v>
      </c>
      <c r="V3710" t="s">
        <v>162</v>
      </c>
    </row>
    <row r="3711" spans="9:22" x14ac:dyDescent="0.45">
      <c r="I3711" t="s">
        <v>258</v>
      </c>
      <c r="J3711" t="s">
        <v>520</v>
      </c>
      <c r="K3711">
        <v>0</v>
      </c>
      <c r="L3711" t="s">
        <v>162</v>
      </c>
      <c r="N3711" t="s">
        <v>370</v>
      </c>
      <c r="O3711" t="s">
        <v>520</v>
      </c>
      <c r="P3711">
        <v>3.2743316073789372E-3</v>
      </c>
      <c r="Q3711" t="s">
        <v>162</v>
      </c>
      <c r="S3711" t="s">
        <v>482</v>
      </c>
      <c r="T3711" t="s">
        <v>520</v>
      </c>
      <c r="U3711">
        <v>4.8609901946043256E-3</v>
      </c>
      <c r="V3711" t="s">
        <v>162</v>
      </c>
    </row>
    <row r="3712" spans="9:22" x14ac:dyDescent="0.45">
      <c r="I3712" t="s">
        <v>258</v>
      </c>
      <c r="J3712" t="s">
        <v>521</v>
      </c>
      <c r="K3712">
        <v>0</v>
      </c>
      <c r="L3712" t="s">
        <v>162</v>
      </c>
      <c r="N3712" t="s">
        <v>370</v>
      </c>
      <c r="O3712" t="s">
        <v>521</v>
      </c>
      <c r="P3712">
        <v>2.099738025348977E-2</v>
      </c>
      <c r="Q3712" t="s">
        <v>162</v>
      </c>
      <c r="S3712" t="s">
        <v>482</v>
      </c>
      <c r="T3712" t="s">
        <v>521</v>
      </c>
      <c r="U3712">
        <v>2.8419877395692787E-2</v>
      </c>
      <c r="V3712" t="s">
        <v>162</v>
      </c>
    </row>
    <row r="3713" spans="9:22" x14ac:dyDescent="0.45">
      <c r="I3713" t="s">
        <v>258</v>
      </c>
      <c r="J3713" t="s">
        <v>165</v>
      </c>
      <c r="K3713">
        <v>1.0265279511279047E-2</v>
      </c>
      <c r="L3713" t="s">
        <v>162</v>
      </c>
      <c r="N3713" t="s">
        <v>370</v>
      </c>
      <c r="O3713" t="s">
        <v>165</v>
      </c>
      <c r="P3713">
        <v>5.1026341988201399E-2</v>
      </c>
      <c r="Q3713" t="s">
        <v>162</v>
      </c>
      <c r="S3713" t="s">
        <v>482</v>
      </c>
      <c r="T3713" t="s">
        <v>165</v>
      </c>
      <c r="U3713">
        <v>6.1275339066863874E-2</v>
      </c>
      <c r="V3713" t="s">
        <v>162</v>
      </c>
    </row>
    <row r="3714" spans="9:22" x14ac:dyDescent="0.45">
      <c r="I3714" t="s">
        <v>258</v>
      </c>
      <c r="J3714" t="s">
        <v>166</v>
      </c>
      <c r="K3714">
        <v>1.365283981100018E-2</v>
      </c>
      <c r="L3714" t="s">
        <v>162</v>
      </c>
      <c r="N3714" t="s">
        <v>370</v>
      </c>
      <c r="O3714" t="s">
        <v>166</v>
      </c>
      <c r="P3714">
        <v>4.0043013318980681E-3</v>
      </c>
      <c r="Q3714" t="s">
        <v>162</v>
      </c>
      <c r="S3714" t="s">
        <v>482</v>
      </c>
      <c r="T3714" t="s">
        <v>166</v>
      </c>
      <c r="U3714">
        <v>6.4596031546403556E-3</v>
      </c>
      <c r="V3714" t="s">
        <v>162</v>
      </c>
    </row>
    <row r="3715" spans="9:22" x14ac:dyDescent="0.45">
      <c r="I3715" t="s">
        <v>258</v>
      </c>
      <c r="J3715" t="s">
        <v>167</v>
      </c>
      <c r="K3715">
        <v>3.6923216786803999E-2</v>
      </c>
      <c r="L3715" t="s">
        <v>162</v>
      </c>
      <c r="N3715" t="s">
        <v>370</v>
      </c>
      <c r="O3715" t="s">
        <v>167</v>
      </c>
      <c r="P3715">
        <v>6.6132051105237373E-3</v>
      </c>
      <c r="Q3715" t="s">
        <v>162</v>
      </c>
      <c r="S3715" t="s">
        <v>482</v>
      </c>
      <c r="T3715" t="s">
        <v>167</v>
      </c>
      <c r="U3715">
        <v>1.2381296076836863E-2</v>
      </c>
      <c r="V3715" t="s">
        <v>162</v>
      </c>
    </row>
    <row r="3716" spans="9:22" x14ac:dyDescent="0.45">
      <c r="I3716" t="s">
        <v>258</v>
      </c>
      <c r="J3716" t="s">
        <v>522</v>
      </c>
      <c r="K3716">
        <v>9.1041224467056051E-2</v>
      </c>
      <c r="L3716" t="s">
        <v>162</v>
      </c>
      <c r="N3716" t="s">
        <v>370</v>
      </c>
      <c r="O3716" t="s">
        <v>522</v>
      </c>
      <c r="P3716">
        <v>2.1017442397427661E-2</v>
      </c>
      <c r="Q3716" t="s">
        <v>162</v>
      </c>
      <c r="S3716" t="s">
        <v>482</v>
      </c>
      <c r="T3716" t="s">
        <v>522</v>
      </c>
      <c r="U3716">
        <v>3.0374958622129324E-2</v>
      </c>
      <c r="V3716" t="s">
        <v>162</v>
      </c>
    </row>
    <row r="3717" spans="9:22" x14ac:dyDescent="0.45">
      <c r="I3717" t="s">
        <v>258</v>
      </c>
      <c r="J3717" t="s">
        <v>523</v>
      </c>
      <c r="K3717">
        <v>9.3514982629906013E-3</v>
      </c>
      <c r="L3717" t="s">
        <v>162</v>
      </c>
      <c r="N3717" t="s">
        <v>370</v>
      </c>
      <c r="O3717" t="s">
        <v>523</v>
      </c>
      <c r="P3717">
        <v>6.2027214645148411E-3</v>
      </c>
      <c r="Q3717" t="s">
        <v>162</v>
      </c>
      <c r="S3717" t="s">
        <v>482</v>
      </c>
      <c r="T3717" t="s">
        <v>523</v>
      </c>
      <c r="U3717">
        <v>6.3061041289186872E-3</v>
      </c>
      <c r="V3717" t="s">
        <v>162</v>
      </c>
    </row>
    <row r="3718" spans="9:22" x14ac:dyDescent="0.45">
      <c r="I3718" t="s">
        <v>258</v>
      </c>
      <c r="J3718" t="s">
        <v>524</v>
      </c>
      <c r="K3718">
        <v>2.2982654644029656E-3</v>
      </c>
      <c r="L3718" t="s">
        <v>162</v>
      </c>
      <c r="N3718" t="s">
        <v>370</v>
      </c>
      <c r="O3718" t="s">
        <v>524</v>
      </c>
      <c r="P3718">
        <v>4.1108030583514393E-2</v>
      </c>
      <c r="Q3718" t="s">
        <v>162</v>
      </c>
      <c r="S3718" t="s">
        <v>482</v>
      </c>
      <c r="T3718" t="s">
        <v>524</v>
      </c>
      <c r="U3718">
        <v>3.9776522576347395E-2</v>
      </c>
      <c r="V3718" t="s">
        <v>162</v>
      </c>
    </row>
    <row r="3719" spans="9:22" x14ac:dyDescent="0.45">
      <c r="I3719" t="s">
        <v>258</v>
      </c>
      <c r="J3719" t="s">
        <v>168</v>
      </c>
      <c r="K3719">
        <v>1.727576026987666E-2</v>
      </c>
      <c r="L3719" t="s">
        <v>162</v>
      </c>
      <c r="N3719" t="s">
        <v>370</v>
      </c>
      <c r="O3719" t="s">
        <v>168</v>
      </c>
      <c r="P3719">
        <v>3.2210002031902787E-2</v>
      </c>
      <c r="Q3719" t="s">
        <v>162</v>
      </c>
      <c r="S3719" t="s">
        <v>482</v>
      </c>
      <c r="T3719" t="s">
        <v>168</v>
      </c>
      <c r="U3719">
        <v>3.5076366111244955E-2</v>
      </c>
      <c r="V3719" t="s">
        <v>162</v>
      </c>
    </row>
    <row r="3720" spans="9:22" x14ac:dyDescent="0.45">
      <c r="I3720" t="s">
        <v>258</v>
      </c>
      <c r="J3720" t="s">
        <v>169</v>
      </c>
      <c r="K3720">
        <v>1.0236296446730075E-2</v>
      </c>
      <c r="L3720" t="s">
        <v>162</v>
      </c>
      <c r="N3720" t="s">
        <v>370</v>
      </c>
      <c r="O3720" t="s">
        <v>169</v>
      </c>
      <c r="P3720">
        <v>2.1738833863088128E-3</v>
      </c>
      <c r="Q3720" t="s">
        <v>162</v>
      </c>
      <c r="S3720" t="s">
        <v>482</v>
      </c>
      <c r="T3720" t="s">
        <v>169</v>
      </c>
      <c r="U3720">
        <v>3.6193413726287467E-3</v>
      </c>
      <c r="V3720" t="s">
        <v>162</v>
      </c>
    </row>
    <row r="3721" spans="9:22" x14ac:dyDescent="0.45">
      <c r="I3721" t="s">
        <v>258</v>
      </c>
      <c r="J3721" t="s">
        <v>170</v>
      </c>
      <c r="K3721">
        <v>2.4053841334443427E-2</v>
      </c>
      <c r="L3721" t="s">
        <v>162</v>
      </c>
      <c r="N3721" t="s">
        <v>370</v>
      </c>
      <c r="O3721" t="s">
        <v>170</v>
      </c>
      <c r="P3721">
        <v>4.7765454273581472E-3</v>
      </c>
      <c r="Q3721" t="s">
        <v>162</v>
      </c>
      <c r="S3721" t="s">
        <v>482</v>
      </c>
      <c r="T3721" t="s">
        <v>170</v>
      </c>
      <c r="U3721">
        <v>7.2047638793768477E-3</v>
      </c>
      <c r="V3721" t="s">
        <v>162</v>
      </c>
    </row>
    <row r="3722" spans="9:22" x14ac:dyDescent="0.45">
      <c r="I3722" t="s">
        <v>258</v>
      </c>
      <c r="J3722" t="s">
        <v>525</v>
      </c>
      <c r="K3722">
        <v>5.6834366009288678E-2</v>
      </c>
      <c r="L3722" t="s">
        <v>162</v>
      </c>
      <c r="N3722" t="s">
        <v>370</v>
      </c>
      <c r="O3722" t="s">
        <v>525</v>
      </c>
      <c r="P3722">
        <v>1.5771035877606466E-2</v>
      </c>
      <c r="Q3722" t="s">
        <v>162</v>
      </c>
      <c r="S3722" t="s">
        <v>482</v>
      </c>
      <c r="T3722" t="s">
        <v>525</v>
      </c>
      <c r="U3722">
        <v>1.8087030705583453E-2</v>
      </c>
      <c r="V3722" t="s">
        <v>162</v>
      </c>
    </row>
    <row r="3723" spans="9:22" x14ac:dyDescent="0.45">
      <c r="I3723" t="s">
        <v>258</v>
      </c>
      <c r="J3723" t="s">
        <v>526</v>
      </c>
      <c r="K3723">
        <v>7.2480735636647649E-3</v>
      </c>
      <c r="L3723" t="s">
        <v>162</v>
      </c>
      <c r="N3723" t="s">
        <v>370</v>
      </c>
      <c r="O3723" t="s">
        <v>526</v>
      </c>
      <c r="P3723">
        <v>3.4246676135748829E-3</v>
      </c>
      <c r="Q3723" t="s">
        <v>162</v>
      </c>
      <c r="S3723" t="s">
        <v>482</v>
      </c>
      <c r="T3723" t="s">
        <v>526</v>
      </c>
      <c r="U3723">
        <v>3.7067333098670329E-3</v>
      </c>
      <c r="V3723" t="s">
        <v>162</v>
      </c>
    </row>
    <row r="3724" spans="9:22" x14ac:dyDescent="0.45">
      <c r="I3724" t="s">
        <v>258</v>
      </c>
      <c r="J3724" t="s">
        <v>527</v>
      </c>
      <c r="K3724">
        <v>6.3825397047618743E-3</v>
      </c>
      <c r="L3724" t="s">
        <v>162</v>
      </c>
      <c r="N3724" t="s">
        <v>370</v>
      </c>
      <c r="O3724" t="s">
        <v>527</v>
      </c>
      <c r="P3724">
        <v>2.882733138940401E-2</v>
      </c>
      <c r="Q3724" t="s">
        <v>162</v>
      </c>
      <c r="S3724" t="s">
        <v>482</v>
      </c>
      <c r="T3724" t="s">
        <v>527</v>
      </c>
      <c r="U3724">
        <v>2.3485075085292274E-2</v>
      </c>
      <c r="V3724" t="s">
        <v>162</v>
      </c>
    </row>
    <row r="3725" spans="9:22" x14ac:dyDescent="0.45">
      <c r="I3725" t="s">
        <v>258</v>
      </c>
      <c r="J3725" t="s">
        <v>528</v>
      </c>
      <c r="K3725">
        <v>8.4318970290868017E-2</v>
      </c>
      <c r="L3725" t="s">
        <v>162</v>
      </c>
      <c r="N3725" t="s">
        <v>370</v>
      </c>
      <c r="O3725" t="s">
        <v>528</v>
      </c>
      <c r="P3725">
        <v>8.8664751303418041E-2</v>
      </c>
      <c r="Q3725" t="s">
        <v>162</v>
      </c>
      <c r="S3725" t="s">
        <v>482</v>
      </c>
      <c r="T3725" t="s">
        <v>528</v>
      </c>
      <c r="U3725">
        <v>7.9851550000493488E-2</v>
      </c>
      <c r="V3725" t="s">
        <v>162</v>
      </c>
    </row>
    <row r="3726" spans="9:22" x14ac:dyDescent="0.45">
      <c r="I3726" t="s">
        <v>258</v>
      </c>
      <c r="J3726" t="s">
        <v>529</v>
      </c>
      <c r="K3726">
        <v>3.2876221346378826E-2</v>
      </c>
      <c r="L3726" t="s">
        <v>162</v>
      </c>
      <c r="N3726" t="s">
        <v>370</v>
      </c>
      <c r="O3726" t="s">
        <v>529</v>
      </c>
      <c r="P3726">
        <v>7.6486900560956278E-3</v>
      </c>
      <c r="Q3726" t="s">
        <v>162</v>
      </c>
      <c r="S3726" t="s">
        <v>482</v>
      </c>
      <c r="T3726" t="s">
        <v>529</v>
      </c>
      <c r="U3726">
        <v>8.8008708145090805E-3</v>
      </c>
      <c r="V3726" t="s">
        <v>162</v>
      </c>
    </row>
    <row r="3727" spans="9:22" x14ac:dyDescent="0.45">
      <c r="I3727" t="s">
        <v>258</v>
      </c>
      <c r="J3727" t="s">
        <v>530</v>
      </c>
      <c r="K3727">
        <v>7.1061479470728689E-2</v>
      </c>
      <c r="L3727" t="s">
        <v>162</v>
      </c>
      <c r="N3727" t="s">
        <v>370</v>
      </c>
      <c r="O3727" t="s">
        <v>530</v>
      </c>
      <c r="P3727">
        <v>1.7411255788325461E-2</v>
      </c>
      <c r="Q3727" t="s">
        <v>162</v>
      </c>
      <c r="S3727" t="s">
        <v>482</v>
      </c>
      <c r="T3727" t="s">
        <v>530</v>
      </c>
      <c r="U3727">
        <v>1.7879159612399304E-2</v>
      </c>
      <c r="V3727" t="s">
        <v>162</v>
      </c>
    </row>
    <row r="3728" spans="9:22" x14ac:dyDescent="0.45">
      <c r="I3728" t="s">
        <v>258</v>
      </c>
      <c r="J3728" t="s">
        <v>531</v>
      </c>
      <c r="K3728">
        <v>0.16288134402513099</v>
      </c>
      <c r="L3728" t="s">
        <v>162</v>
      </c>
      <c r="N3728" t="s">
        <v>370</v>
      </c>
      <c r="O3728" t="s">
        <v>531</v>
      </c>
      <c r="P3728">
        <v>4.8310458899987821E-2</v>
      </c>
      <c r="Q3728" t="s">
        <v>162</v>
      </c>
      <c r="S3728" t="s">
        <v>482</v>
      </c>
      <c r="T3728" t="s">
        <v>531</v>
      </c>
      <c r="U3728">
        <v>4.5500772799750684E-2</v>
      </c>
      <c r="V3728" t="s">
        <v>162</v>
      </c>
    </row>
    <row r="3729" spans="9:22" x14ac:dyDescent="0.45">
      <c r="I3729" t="s">
        <v>258</v>
      </c>
      <c r="J3729" t="s">
        <v>532</v>
      </c>
      <c r="K3729">
        <v>2.4343952401624392E-2</v>
      </c>
      <c r="L3729" t="s">
        <v>162</v>
      </c>
      <c r="N3729" t="s">
        <v>370</v>
      </c>
      <c r="O3729" t="s">
        <v>532</v>
      </c>
      <c r="P3729">
        <v>8.8780116762895815E-3</v>
      </c>
      <c r="Q3729" t="s">
        <v>162</v>
      </c>
      <c r="S3729" t="s">
        <v>482</v>
      </c>
      <c r="T3729" t="s">
        <v>532</v>
      </c>
      <c r="U3729">
        <v>9.0425729657707399E-3</v>
      </c>
      <c r="V3729" t="s">
        <v>162</v>
      </c>
    </row>
    <row r="3730" spans="9:22" x14ac:dyDescent="0.45">
      <c r="I3730" t="s">
        <v>258</v>
      </c>
      <c r="J3730" t="s">
        <v>533</v>
      </c>
      <c r="K3730">
        <v>4.004290887683435E-2</v>
      </c>
      <c r="L3730" t="s">
        <v>162</v>
      </c>
      <c r="N3730" t="s">
        <v>370</v>
      </c>
      <c r="O3730" t="s">
        <v>533</v>
      </c>
      <c r="P3730">
        <v>6.5257017651694033E-2</v>
      </c>
      <c r="Q3730" t="s">
        <v>162</v>
      </c>
      <c r="S3730" t="s">
        <v>482</v>
      </c>
      <c r="T3730" t="s">
        <v>533</v>
      </c>
      <c r="U3730">
        <v>5.2476730601644352E-2</v>
      </c>
      <c r="V3730" t="s">
        <v>162</v>
      </c>
    </row>
    <row r="3731" spans="9:22" x14ac:dyDescent="0.45">
      <c r="I3731" t="s">
        <v>258</v>
      </c>
      <c r="J3731" t="s">
        <v>534</v>
      </c>
      <c r="K3731">
        <v>2.8323820794252986E-2</v>
      </c>
      <c r="L3731" t="s">
        <v>162</v>
      </c>
      <c r="N3731" t="s">
        <v>370</v>
      </c>
      <c r="O3731" t="s">
        <v>534</v>
      </c>
      <c r="P3731">
        <v>0.11921583776656416</v>
      </c>
      <c r="Q3731" t="s">
        <v>162</v>
      </c>
      <c r="S3731" t="s">
        <v>482</v>
      </c>
      <c r="T3731" t="s">
        <v>534</v>
      </c>
      <c r="U3731">
        <v>8.2953315993177582E-2</v>
      </c>
      <c r="V3731" t="s">
        <v>162</v>
      </c>
    </row>
    <row r="3732" spans="9:22" x14ac:dyDescent="0.45">
      <c r="I3732" t="s">
        <v>258</v>
      </c>
      <c r="J3732" t="s">
        <v>535</v>
      </c>
      <c r="K3732">
        <v>1.7037087367663975E-2</v>
      </c>
      <c r="L3732" t="s">
        <v>162</v>
      </c>
      <c r="N3732" t="s">
        <v>370</v>
      </c>
      <c r="O3732" t="s">
        <v>535</v>
      </c>
      <c r="P3732">
        <v>1.1254845477900842E-2</v>
      </c>
      <c r="Q3732" t="s">
        <v>162</v>
      </c>
      <c r="S3732" t="s">
        <v>482</v>
      </c>
      <c r="T3732" t="s">
        <v>535</v>
      </c>
      <c r="U3732">
        <v>9.3256178354266007E-3</v>
      </c>
      <c r="V3732" t="s">
        <v>162</v>
      </c>
    </row>
    <row r="3733" spans="9:22" x14ac:dyDescent="0.45">
      <c r="I3733" t="s">
        <v>258</v>
      </c>
      <c r="J3733" t="s">
        <v>536</v>
      </c>
      <c r="K3733">
        <v>3.8108411385019837E-2</v>
      </c>
      <c r="L3733" t="s">
        <v>162</v>
      </c>
      <c r="N3733" t="s">
        <v>370</v>
      </c>
      <c r="O3733" t="s">
        <v>536</v>
      </c>
      <c r="P3733">
        <v>2.2538124166257022E-2</v>
      </c>
      <c r="Q3733" t="s">
        <v>162</v>
      </c>
      <c r="S3733" t="s">
        <v>482</v>
      </c>
      <c r="T3733" t="s">
        <v>536</v>
      </c>
      <c r="U3733">
        <v>1.8877473078665961E-2</v>
      </c>
      <c r="V3733" t="s">
        <v>162</v>
      </c>
    </row>
    <row r="3734" spans="9:22" x14ac:dyDescent="0.45">
      <c r="I3734" t="s">
        <v>258</v>
      </c>
      <c r="J3734" t="s">
        <v>537</v>
      </c>
      <c r="K3734">
        <v>8.7816063485685658E-2</v>
      </c>
      <c r="L3734" t="s">
        <v>162</v>
      </c>
      <c r="N3734" t="s">
        <v>370</v>
      </c>
      <c r="O3734" t="s">
        <v>537</v>
      </c>
      <c r="P3734">
        <v>5.7370773086330207E-2</v>
      </c>
      <c r="Q3734" t="s">
        <v>162</v>
      </c>
      <c r="S3734" t="s">
        <v>482</v>
      </c>
      <c r="T3734" t="s">
        <v>537</v>
      </c>
      <c r="U3734">
        <v>4.7398103856060081E-2</v>
      </c>
      <c r="V3734" t="s">
        <v>162</v>
      </c>
    </row>
    <row r="3735" spans="9:22" x14ac:dyDescent="0.45">
      <c r="I3735" t="s">
        <v>258</v>
      </c>
      <c r="J3735" t="s">
        <v>538</v>
      </c>
      <c r="K3735">
        <v>1.0799461826528318E-2</v>
      </c>
      <c r="L3735" t="s">
        <v>162</v>
      </c>
      <c r="N3735" t="s">
        <v>370</v>
      </c>
      <c r="O3735" t="s">
        <v>538</v>
      </c>
      <c r="P3735">
        <v>1.1322979194037604E-2</v>
      </c>
      <c r="Q3735" t="s">
        <v>162</v>
      </c>
      <c r="S3735" t="s">
        <v>482</v>
      </c>
      <c r="T3735" t="s">
        <v>538</v>
      </c>
      <c r="U3735">
        <v>9.4986734139874997E-3</v>
      </c>
      <c r="V3735" t="s">
        <v>162</v>
      </c>
    </row>
    <row r="3736" spans="9:22" x14ac:dyDescent="0.45">
      <c r="I3736" t="s">
        <v>258</v>
      </c>
      <c r="J3736" t="s">
        <v>539</v>
      </c>
      <c r="K3736">
        <v>9.075607605569894E-3</v>
      </c>
      <c r="L3736" t="s">
        <v>162</v>
      </c>
      <c r="N3736" t="s">
        <v>370</v>
      </c>
      <c r="O3736" t="s">
        <v>539</v>
      </c>
      <c r="P3736">
        <v>7.6003210134857627E-2</v>
      </c>
      <c r="Q3736" t="s">
        <v>162</v>
      </c>
      <c r="S3736" t="s">
        <v>482</v>
      </c>
      <c r="T3736" t="s">
        <v>539</v>
      </c>
      <c r="U3736">
        <v>5.6281247455211139E-2</v>
      </c>
      <c r="V3736" t="s">
        <v>162</v>
      </c>
    </row>
    <row r="3737" spans="9:22" x14ac:dyDescent="0.45">
      <c r="I3737" t="s">
        <v>258</v>
      </c>
      <c r="J3737" t="s">
        <v>540</v>
      </c>
      <c r="K3737">
        <v>6.5483122694056717E-4</v>
      </c>
      <c r="L3737" t="s">
        <v>162</v>
      </c>
      <c r="N3737" t="s">
        <v>370</v>
      </c>
      <c r="O3737" t="s">
        <v>540</v>
      </c>
      <c r="P3737">
        <v>3.0969446455238161E-2</v>
      </c>
      <c r="Q3737" t="s">
        <v>162</v>
      </c>
      <c r="S3737" t="s">
        <v>482</v>
      </c>
      <c r="T3737" t="s">
        <v>540</v>
      </c>
      <c r="U3737">
        <v>3.4657444435657561E-2</v>
      </c>
      <c r="V3737" t="s">
        <v>162</v>
      </c>
    </row>
    <row r="3738" spans="9:22" x14ac:dyDescent="0.45">
      <c r="I3738" t="s">
        <v>258</v>
      </c>
      <c r="J3738" t="s">
        <v>541</v>
      </c>
      <c r="K3738">
        <v>2.3156819492661167E-3</v>
      </c>
      <c r="L3738" t="s">
        <v>162</v>
      </c>
      <c r="N3738" t="s">
        <v>370</v>
      </c>
      <c r="O3738" t="s">
        <v>541</v>
      </c>
      <c r="P3738">
        <v>3.1919530004308498E-3</v>
      </c>
      <c r="Q3738" t="s">
        <v>162</v>
      </c>
      <c r="S3738" t="s">
        <v>482</v>
      </c>
      <c r="T3738" t="s">
        <v>541</v>
      </c>
      <c r="U3738">
        <v>4.0628560479337361E-3</v>
      </c>
      <c r="V3738" t="s">
        <v>162</v>
      </c>
    </row>
    <row r="3739" spans="9:22" x14ac:dyDescent="0.45">
      <c r="I3739" t="s">
        <v>258</v>
      </c>
      <c r="J3739" t="s">
        <v>542</v>
      </c>
      <c r="K3739">
        <v>7.245786334171795E-3</v>
      </c>
      <c r="L3739" t="s">
        <v>162</v>
      </c>
      <c r="N3739" t="s">
        <v>370</v>
      </c>
      <c r="O3739" t="s">
        <v>542</v>
      </c>
      <c r="P3739">
        <v>5.4265888023849263E-3</v>
      </c>
      <c r="Q3739" t="s">
        <v>162</v>
      </c>
      <c r="S3739" t="s">
        <v>482</v>
      </c>
      <c r="T3739" t="s">
        <v>542</v>
      </c>
      <c r="U3739">
        <v>8.1270426555688554E-3</v>
      </c>
      <c r="V3739" t="s">
        <v>162</v>
      </c>
    </row>
    <row r="3740" spans="9:22" x14ac:dyDescent="0.45">
      <c r="I3740" t="s">
        <v>258</v>
      </c>
      <c r="J3740" t="s">
        <v>543</v>
      </c>
      <c r="K3740">
        <v>1.2840506119352947E-2</v>
      </c>
      <c r="L3740" t="s">
        <v>162</v>
      </c>
      <c r="N3740" t="s">
        <v>370</v>
      </c>
      <c r="O3740" t="s">
        <v>543</v>
      </c>
      <c r="P3740">
        <v>1.3912027511584867E-2</v>
      </c>
      <c r="Q3740" t="s">
        <v>162</v>
      </c>
      <c r="S3740" t="s">
        <v>482</v>
      </c>
      <c r="T3740" t="s">
        <v>543</v>
      </c>
      <c r="U3740">
        <v>2.0628012474070624E-2</v>
      </c>
      <c r="V3740" t="s">
        <v>162</v>
      </c>
    </row>
    <row r="3741" spans="9:22" x14ac:dyDescent="0.45">
      <c r="I3741" t="s">
        <v>258</v>
      </c>
      <c r="J3741" t="s">
        <v>544</v>
      </c>
      <c r="K3741">
        <v>0</v>
      </c>
      <c r="L3741" t="s">
        <v>162</v>
      </c>
      <c r="N3741" t="s">
        <v>370</v>
      </c>
      <c r="O3741" t="s">
        <v>544</v>
      </c>
      <c r="P3741">
        <v>3.6329751113384993E-3</v>
      </c>
      <c r="Q3741" t="s">
        <v>162</v>
      </c>
      <c r="S3741" t="s">
        <v>482</v>
      </c>
      <c r="T3741" t="s">
        <v>544</v>
      </c>
      <c r="U3741">
        <v>4.0448810624544125E-3</v>
      </c>
      <c r="V3741" t="s">
        <v>162</v>
      </c>
    </row>
    <row r="3742" spans="9:22" x14ac:dyDescent="0.45">
      <c r="I3742" t="s">
        <v>258</v>
      </c>
      <c r="J3742" t="s">
        <v>545</v>
      </c>
      <c r="K3742">
        <v>0</v>
      </c>
      <c r="L3742" t="s">
        <v>162</v>
      </c>
      <c r="N3742" t="s">
        <v>370</v>
      </c>
      <c r="O3742" t="s">
        <v>545</v>
      </c>
      <c r="P3742">
        <v>2.1209876179043619E-2</v>
      </c>
      <c r="Q3742" t="s">
        <v>162</v>
      </c>
      <c r="S3742" t="s">
        <v>482</v>
      </c>
      <c r="T3742" t="s">
        <v>545</v>
      </c>
      <c r="U3742">
        <v>2.3788345894513386E-2</v>
      </c>
      <c r="V3742" t="s">
        <v>162</v>
      </c>
    </row>
    <row r="3743" spans="9:22" x14ac:dyDescent="0.45">
      <c r="I3743" t="s">
        <v>258</v>
      </c>
      <c r="J3743" t="s">
        <v>546</v>
      </c>
      <c r="K3743">
        <v>0</v>
      </c>
      <c r="L3743" t="s">
        <v>162</v>
      </c>
      <c r="N3743" t="s">
        <v>370</v>
      </c>
      <c r="O3743" t="s">
        <v>546</v>
      </c>
      <c r="P3743">
        <v>3.68053639570513E-2</v>
      </c>
      <c r="Q3743" t="s">
        <v>162</v>
      </c>
      <c r="S3743" t="s">
        <v>482</v>
      </c>
      <c r="T3743" t="s">
        <v>546</v>
      </c>
      <c r="U3743">
        <v>3.9281762642471678E-2</v>
      </c>
      <c r="V3743" t="s">
        <v>162</v>
      </c>
    </row>
    <row r="3744" spans="9:22" x14ac:dyDescent="0.45">
      <c r="I3744" t="s">
        <v>258</v>
      </c>
      <c r="J3744" t="s">
        <v>547</v>
      </c>
      <c r="K3744">
        <v>3.1536063866704233E-3</v>
      </c>
      <c r="L3744" t="s">
        <v>162</v>
      </c>
      <c r="N3744" t="s">
        <v>370</v>
      </c>
      <c r="O3744" t="s">
        <v>547</v>
      </c>
      <c r="P3744">
        <v>3.7521245659684053E-3</v>
      </c>
      <c r="Q3744" t="s">
        <v>162</v>
      </c>
      <c r="S3744" t="s">
        <v>482</v>
      </c>
      <c r="T3744" t="s">
        <v>547</v>
      </c>
      <c r="U3744">
        <v>4.4110202943560438E-3</v>
      </c>
      <c r="V3744" t="s">
        <v>162</v>
      </c>
    </row>
    <row r="3745" spans="9:22" x14ac:dyDescent="0.45">
      <c r="I3745" t="s">
        <v>258</v>
      </c>
      <c r="J3745" t="s">
        <v>548</v>
      </c>
      <c r="K3745">
        <v>1.1697633790677141E-2</v>
      </c>
      <c r="L3745" t="s">
        <v>162</v>
      </c>
      <c r="N3745" t="s">
        <v>370</v>
      </c>
      <c r="O3745" t="s">
        <v>548</v>
      </c>
      <c r="P3745">
        <v>6.3669763838330867E-3</v>
      </c>
      <c r="Q3745" t="s">
        <v>162</v>
      </c>
      <c r="S3745" t="s">
        <v>482</v>
      </c>
      <c r="T3745" t="s">
        <v>548</v>
      </c>
      <c r="U3745">
        <v>8.8654617772660014E-3</v>
      </c>
      <c r="V3745" t="s">
        <v>162</v>
      </c>
    </row>
    <row r="3746" spans="9:22" x14ac:dyDescent="0.45">
      <c r="I3746" t="s">
        <v>258</v>
      </c>
      <c r="J3746" t="s">
        <v>549</v>
      </c>
      <c r="K3746">
        <v>2.0893729575969307E-2</v>
      </c>
      <c r="L3746" t="s">
        <v>162</v>
      </c>
      <c r="N3746" t="s">
        <v>370</v>
      </c>
      <c r="O3746" t="s">
        <v>549</v>
      </c>
      <c r="P3746">
        <v>1.6934315650593057E-2</v>
      </c>
      <c r="Q3746" t="s">
        <v>162</v>
      </c>
      <c r="S3746" t="s">
        <v>482</v>
      </c>
      <c r="T3746" t="s">
        <v>549</v>
      </c>
      <c r="U3746">
        <v>2.2320953133882125E-2</v>
      </c>
      <c r="V3746" t="s">
        <v>162</v>
      </c>
    </row>
    <row r="3747" spans="9:22" x14ac:dyDescent="0.45">
      <c r="I3747" t="s">
        <v>258</v>
      </c>
      <c r="J3747" t="s">
        <v>550</v>
      </c>
      <c r="K3747">
        <v>0</v>
      </c>
      <c r="L3747" t="s">
        <v>162</v>
      </c>
      <c r="N3747" t="s">
        <v>370</v>
      </c>
      <c r="O3747" t="s">
        <v>550</v>
      </c>
      <c r="P3747">
        <v>4.6305100554202691E-3</v>
      </c>
      <c r="Q3747" t="s">
        <v>162</v>
      </c>
      <c r="S3747" t="s">
        <v>482</v>
      </c>
      <c r="T3747" t="s">
        <v>550</v>
      </c>
      <c r="U3747">
        <v>4.3471727294912494E-3</v>
      </c>
      <c r="V3747" t="s">
        <v>162</v>
      </c>
    </row>
    <row r="3748" spans="9:22" x14ac:dyDescent="0.45">
      <c r="I3748" t="s">
        <v>258</v>
      </c>
      <c r="J3748" t="s">
        <v>551</v>
      </c>
      <c r="K3748">
        <v>0</v>
      </c>
      <c r="L3748" t="s">
        <v>162</v>
      </c>
      <c r="N3748" t="s">
        <v>370</v>
      </c>
      <c r="O3748" t="s">
        <v>551</v>
      </c>
      <c r="P3748">
        <v>2.7057198184241373E-2</v>
      </c>
      <c r="Q3748" t="s">
        <v>162</v>
      </c>
      <c r="S3748" t="s">
        <v>482</v>
      </c>
      <c r="T3748" t="s">
        <v>551</v>
      </c>
      <c r="U3748">
        <v>2.6868399302957726E-2</v>
      </c>
      <c r="V3748" t="s">
        <v>162</v>
      </c>
    </row>
    <row r="3749" spans="9:22" x14ac:dyDescent="0.45">
      <c r="I3749" t="s">
        <v>259</v>
      </c>
      <c r="J3749" t="s">
        <v>161</v>
      </c>
      <c r="K3749">
        <v>0</v>
      </c>
      <c r="L3749" t="s">
        <v>162</v>
      </c>
      <c r="N3749" t="s">
        <v>371</v>
      </c>
      <c r="O3749" t="s">
        <v>161</v>
      </c>
      <c r="P3749">
        <v>3.7557170876039943E-2</v>
      </c>
      <c r="Q3749" t="s">
        <v>162</v>
      </c>
      <c r="S3749" t="s">
        <v>483</v>
      </c>
      <c r="T3749" t="s">
        <v>161</v>
      </c>
      <c r="U3749">
        <v>3.3068429265449936E-2</v>
      </c>
      <c r="V3749" t="s">
        <v>162</v>
      </c>
    </row>
    <row r="3750" spans="9:22" x14ac:dyDescent="0.45">
      <c r="I3750" t="s">
        <v>259</v>
      </c>
      <c r="J3750" t="s">
        <v>163</v>
      </c>
      <c r="K3750">
        <v>3.1229536065409211E-3</v>
      </c>
      <c r="L3750" t="s">
        <v>162</v>
      </c>
      <c r="N3750" t="s">
        <v>371</v>
      </c>
      <c r="O3750" t="s">
        <v>163</v>
      </c>
      <c r="P3750">
        <v>3.9797155278472633E-3</v>
      </c>
      <c r="Q3750" t="s">
        <v>162</v>
      </c>
      <c r="S3750" t="s">
        <v>483</v>
      </c>
      <c r="T3750" t="s">
        <v>163</v>
      </c>
      <c r="U3750">
        <v>4.2081141436097367E-3</v>
      </c>
      <c r="V3750" t="s">
        <v>162</v>
      </c>
    </row>
    <row r="3751" spans="9:22" x14ac:dyDescent="0.45">
      <c r="I3751" t="s">
        <v>259</v>
      </c>
      <c r="J3751" t="s">
        <v>164</v>
      </c>
      <c r="K3751">
        <v>1.243272667592195E-2</v>
      </c>
      <c r="L3751" t="s">
        <v>162</v>
      </c>
      <c r="N3751" t="s">
        <v>371</v>
      </c>
      <c r="O3751" t="s">
        <v>164</v>
      </c>
      <c r="P3751">
        <v>6.6960932539965445E-3</v>
      </c>
      <c r="Q3751" t="s">
        <v>162</v>
      </c>
      <c r="S3751" t="s">
        <v>483</v>
      </c>
      <c r="T3751" t="s">
        <v>164</v>
      </c>
      <c r="U3751">
        <v>8.8256257523279657E-3</v>
      </c>
      <c r="V3751" t="s">
        <v>162</v>
      </c>
    </row>
    <row r="3752" spans="9:22" x14ac:dyDescent="0.45">
      <c r="I3752" t="s">
        <v>259</v>
      </c>
      <c r="J3752" t="s">
        <v>519</v>
      </c>
      <c r="K3752">
        <v>2.9097639451813803E-2</v>
      </c>
      <c r="L3752" t="s">
        <v>162</v>
      </c>
      <c r="N3752" t="s">
        <v>371</v>
      </c>
      <c r="O3752" t="s">
        <v>519</v>
      </c>
      <c r="P3752">
        <v>1.4582723475270556E-2</v>
      </c>
      <c r="Q3752" t="s">
        <v>162</v>
      </c>
      <c r="S3752" t="s">
        <v>483</v>
      </c>
      <c r="T3752" t="s">
        <v>519</v>
      </c>
      <c r="U3752">
        <v>2.2455075129450108E-2</v>
      </c>
      <c r="V3752" t="s">
        <v>162</v>
      </c>
    </row>
    <row r="3753" spans="9:22" x14ac:dyDescent="0.45">
      <c r="I3753" t="s">
        <v>259</v>
      </c>
      <c r="J3753" t="s">
        <v>520</v>
      </c>
      <c r="K3753">
        <v>3.3968442625818556E-5</v>
      </c>
      <c r="L3753" t="s">
        <v>162</v>
      </c>
      <c r="N3753" t="s">
        <v>371</v>
      </c>
      <c r="O3753" t="s">
        <v>520</v>
      </c>
      <c r="P3753">
        <v>3.504900964014884E-3</v>
      </c>
      <c r="Q3753" t="s">
        <v>162</v>
      </c>
      <c r="S3753" t="s">
        <v>483</v>
      </c>
      <c r="T3753" t="s">
        <v>520</v>
      </c>
      <c r="U3753">
        <v>4.351151640416915E-3</v>
      </c>
      <c r="V3753" t="s">
        <v>162</v>
      </c>
    </row>
    <row r="3754" spans="9:22" x14ac:dyDescent="0.45">
      <c r="I3754" t="s">
        <v>259</v>
      </c>
      <c r="J3754" t="s">
        <v>521</v>
      </c>
      <c r="K3754">
        <v>0</v>
      </c>
      <c r="L3754" t="s">
        <v>162</v>
      </c>
      <c r="N3754" t="s">
        <v>371</v>
      </c>
      <c r="O3754" t="s">
        <v>521</v>
      </c>
      <c r="P3754">
        <v>1.944742446429459E-2</v>
      </c>
      <c r="Q3754" t="s">
        <v>162</v>
      </c>
      <c r="S3754" t="s">
        <v>483</v>
      </c>
      <c r="T3754" t="s">
        <v>521</v>
      </c>
      <c r="U3754">
        <v>2.4021042404772291E-2</v>
      </c>
      <c r="V3754" t="s">
        <v>162</v>
      </c>
    </row>
    <row r="3755" spans="9:22" x14ac:dyDescent="0.45">
      <c r="I3755" t="s">
        <v>259</v>
      </c>
      <c r="J3755" t="s">
        <v>165</v>
      </c>
      <c r="K3755">
        <v>8.7663991310424835E-3</v>
      </c>
      <c r="L3755" t="s">
        <v>162</v>
      </c>
      <c r="N3755" t="s">
        <v>371</v>
      </c>
      <c r="O3755" t="s">
        <v>165</v>
      </c>
      <c r="P3755">
        <v>5.197703616534325E-2</v>
      </c>
      <c r="Q3755" t="s">
        <v>162</v>
      </c>
      <c r="S3755" t="s">
        <v>483</v>
      </c>
      <c r="T3755" t="s">
        <v>165</v>
      </c>
      <c r="U3755">
        <v>6.6062091214340354E-2</v>
      </c>
      <c r="V3755" t="s">
        <v>162</v>
      </c>
    </row>
    <row r="3756" spans="9:22" x14ac:dyDescent="0.45">
      <c r="I3756" t="s">
        <v>259</v>
      </c>
      <c r="J3756" t="s">
        <v>166</v>
      </c>
      <c r="K3756">
        <v>1.3080274696799316E-2</v>
      </c>
      <c r="L3756" t="s">
        <v>162</v>
      </c>
      <c r="N3756" t="s">
        <v>371</v>
      </c>
      <c r="O3756" t="s">
        <v>166</v>
      </c>
      <c r="P3756">
        <v>3.5692488333652342E-3</v>
      </c>
      <c r="Q3756" t="s">
        <v>162</v>
      </c>
      <c r="S3756" t="s">
        <v>483</v>
      </c>
      <c r="T3756" t="s">
        <v>166</v>
      </c>
      <c r="U3756">
        <v>7.939298416660261E-3</v>
      </c>
      <c r="V3756" t="s">
        <v>162</v>
      </c>
    </row>
    <row r="3757" spans="9:22" x14ac:dyDescent="0.45">
      <c r="I3757" t="s">
        <v>259</v>
      </c>
      <c r="J3757" t="s">
        <v>167</v>
      </c>
      <c r="K3757">
        <v>3.6844064302602203E-2</v>
      </c>
      <c r="L3757" t="s">
        <v>162</v>
      </c>
      <c r="N3757" t="s">
        <v>371</v>
      </c>
      <c r="O3757" t="s">
        <v>167</v>
      </c>
      <c r="P3757">
        <v>6.1451096468809899E-3</v>
      </c>
      <c r="Q3757" t="s">
        <v>162</v>
      </c>
      <c r="S3757" t="s">
        <v>483</v>
      </c>
      <c r="T3757" t="s">
        <v>167</v>
      </c>
      <c r="U3757">
        <v>1.6302386615618027E-2</v>
      </c>
      <c r="V3757" t="s">
        <v>162</v>
      </c>
    </row>
    <row r="3758" spans="9:22" x14ac:dyDescent="0.45">
      <c r="I3758" t="s">
        <v>259</v>
      </c>
      <c r="J3758" t="s">
        <v>522</v>
      </c>
      <c r="K3758">
        <v>9.2264039143893334E-2</v>
      </c>
      <c r="L3758" t="s">
        <v>162</v>
      </c>
      <c r="N3758" t="s">
        <v>371</v>
      </c>
      <c r="O3758" t="s">
        <v>522</v>
      </c>
      <c r="P3758">
        <v>1.9294606670390419E-2</v>
      </c>
      <c r="Q3758" t="s">
        <v>162</v>
      </c>
      <c r="S3758" t="s">
        <v>483</v>
      </c>
      <c r="T3758" t="s">
        <v>522</v>
      </c>
      <c r="U3758">
        <v>4.0217340802442714E-2</v>
      </c>
      <c r="V3758" t="s">
        <v>162</v>
      </c>
    </row>
    <row r="3759" spans="9:22" x14ac:dyDescent="0.45">
      <c r="I3759" t="s">
        <v>259</v>
      </c>
      <c r="J3759" t="s">
        <v>523</v>
      </c>
      <c r="K3759">
        <v>1.1323527234060823E-2</v>
      </c>
      <c r="L3759" t="s">
        <v>162</v>
      </c>
      <c r="N3759" t="s">
        <v>371</v>
      </c>
      <c r="O3759" t="s">
        <v>523</v>
      </c>
      <c r="P3759">
        <v>6.3833057142310334E-3</v>
      </c>
      <c r="Q3759" t="s">
        <v>162</v>
      </c>
      <c r="S3759" t="s">
        <v>483</v>
      </c>
      <c r="T3759" t="s">
        <v>523</v>
      </c>
      <c r="U3759">
        <v>7.8638073444253845E-3</v>
      </c>
      <c r="V3759" t="s">
        <v>162</v>
      </c>
    </row>
    <row r="3760" spans="9:22" x14ac:dyDescent="0.45">
      <c r="I3760" t="s">
        <v>259</v>
      </c>
      <c r="J3760" t="s">
        <v>524</v>
      </c>
      <c r="K3760">
        <v>3.2261079224609949E-3</v>
      </c>
      <c r="L3760" t="s">
        <v>162</v>
      </c>
      <c r="N3760" t="s">
        <v>371</v>
      </c>
      <c r="O3760" t="s">
        <v>524</v>
      </c>
      <c r="P3760">
        <v>4.4694179994838781E-2</v>
      </c>
      <c r="Q3760" t="s">
        <v>162</v>
      </c>
      <c r="S3760" t="s">
        <v>483</v>
      </c>
      <c r="T3760" t="s">
        <v>524</v>
      </c>
      <c r="U3760">
        <v>4.5050724892258871E-2</v>
      </c>
      <c r="V3760" t="s">
        <v>162</v>
      </c>
    </row>
    <row r="3761" spans="9:22" x14ac:dyDescent="0.45">
      <c r="I3761" t="s">
        <v>259</v>
      </c>
      <c r="J3761" t="s">
        <v>168</v>
      </c>
      <c r="K3761">
        <v>1.5198052674624306E-2</v>
      </c>
      <c r="L3761" t="s">
        <v>162</v>
      </c>
      <c r="N3761" t="s">
        <v>371</v>
      </c>
      <c r="O3761" t="s">
        <v>168</v>
      </c>
      <c r="P3761">
        <v>3.6112772598416908E-2</v>
      </c>
      <c r="Q3761" t="s">
        <v>162</v>
      </c>
      <c r="S3761" t="s">
        <v>483</v>
      </c>
      <c r="T3761" t="s">
        <v>168</v>
      </c>
      <c r="U3761">
        <v>3.4191864867841357E-2</v>
      </c>
      <c r="V3761" t="s">
        <v>162</v>
      </c>
    </row>
    <row r="3762" spans="9:22" x14ac:dyDescent="0.45">
      <c r="I3762" t="s">
        <v>259</v>
      </c>
      <c r="J3762" t="s">
        <v>169</v>
      </c>
      <c r="K3762">
        <v>9.6256490176412982E-3</v>
      </c>
      <c r="L3762" t="s">
        <v>162</v>
      </c>
      <c r="N3762" t="s">
        <v>371</v>
      </c>
      <c r="O3762" t="s">
        <v>169</v>
      </c>
      <c r="P3762">
        <v>2.5881229261253383E-3</v>
      </c>
      <c r="Q3762" t="s">
        <v>162</v>
      </c>
      <c r="S3762" t="s">
        <v>483</v>
      </c>
      <c r="T3762" t="s">
        <v>169</v>
      </c>
      <c r="U3762">
        <v>3.9383716781418859E-3</v>
      </c>
      <c r="V3762" t="s">
        <v>162</v>
      </c>
    </row>
    <row r="3763" spans="9:22" x14ac:dyDescent="0.45">
      <c r="I3763" t="s">
        <v>259</v>
      </c>
      <c r="J3763" t="s">
        <v>170</v>
      </c>
      <c r="K3763">
        <v>2.382388239693202E-2</v>
      </c>
      <c r="L3763" t="s">
        <v>162</v>
      </c>
      <c r="N3763" t="s">
        <v>371</v>
      </c>
      <c r="O3763" t="s">
        <v>170</v>
      </c>
      <c r="P3763">
        <v>5.728038168187741E-3</v>
      </c>
      <c r="Q3763" t="s">
        <v>162</v>
      </c>
      <c r="S3763" t="s">
        <v>483</v>
      </c>
      <c r="T3763" t="s">
        <v>170</v>
      </c>
      <c r="U3763">
        <v>8.4738539138413047E-3</v>
      </c>
      <c r="V3763" t="s">
        <v>162</v>
      </c>
    </row>
    <row r="3764" spans="9:22" x14ac:dyDescent="0.45">
      <c r="I3764" t="s">
        <v>259</v>
      </c>
      <c r="J3764" t="s">
        <v>525</v>
      </c>
      <c r="K3764">
        <v>5.9684540052994894E-2</v>
      </c>
      <c r="L3764" t="s">
        <v>162</v>
      </c>
      <c r="N3764" t="s">
        <v>371</v>
      </c>
      <c r="O3764" t="s">
        <v>525</v>
      </c>
      <c r="P3764">
        <v>1.6593157151591514E-2</v>
      </c>
      <c r="Q3764" t="s">
        <v>162</v>
      </c>
      <c r="S3764" t="s">
        <v>483</v>
      </c>
      <c r="T3764" t="s">
        <v>525</v>
      </c>
      <c r="U3764">
        <v>2.3439954903887183E-2</v>
      </c>
      <c r="V3764" t="s">
        <v>162</v>
      </c>
    </row>
    <row r="3765" spans="9:22" x14ac:dyDescent="0.45">
      <c r="I3765" t="s">
        <v>259</v>
      </c>
      <c r="J3765" t="s">
        <v>526</v>
      </c>
      <c r="K3765">
        <v>8.6490926533596794E-3</v>
      </c>
      <c r="L3765" t="s">
        <v>162</v>
      </c>
      <c r="N3765" t="s">
        <v>371</v>
      </c>
      <c r="O3765" t="s">
        <v>526</v>
      </c>
      <c r="P3765">
        <v>3.5361983293012125E-3</v>
      </c>
      <c r="Q3765" t="s">
        <v>162</v>
      </c>
      <c r="S3765" t="s">
        <v>483</v>
      </c>
      <c r="T3765" t="s">
        <v>526</v>
      </c>
      <c r="U3765">
        <v>4.6643877094025357E-3</v>
      </c>
      <c r="V3765" t="s">
        <v>162</v>
      </c>
    </row>
    <row r="3766" spans="9:22" x14ac:dyDescent="0.45">
      <c r="I3766" t="s">
        <v>259</v>
      </c>
      <c r="J3766" t="s">
        <v>527</v>
      </c>
      <c r="K3766">
        <v>9.2854052824269638E-3</v>
      </c>
      <c r="L3766" t="s">
        <v>162</v>
      </c>
      <c r="N3766" t="s">
        <v>371</v>
      </c>
      <c r="O3766" t="s">
        <v>527</v>
      </c>
      <c r="P3766">
        <v>2.9722226365934582E-2</v>
      </c>
      <c r="Q3766" t="s">
        <v>162</v>
      </c>
      <c r="S3766" t="s">
        <v>483</v>
      </c>
      <c r="T3766" t="s">
        <v>527</v>
      </c>
      <c r="U3766">
        <v>2.5032524208175526E-2</v>
      </c>
      <c r="V3766" t="s">
        <v>162</v>
      </c>
    </row>
    <row r="3767" spans="9:22" x14ac:dyDescent="0.45">
      <c r="I3767" t="s">
        <v>259</v>
      </c>
      <c r="J3767" t="s">
        <v>528</v>
      </c>
      <c r="K3767">
        <v>7.87022401434464E-2</v>
      </c>
      <c r="L3767" t="s">
        <v>162</v>
      </c>
      <c r="N3767" t="s">
        <v>371</v>
      </c>
      <c r="O3767" t="s">
        <v>528</v>
      </c>
      <c r="P3767">
        <v>9.5431716504893876E-2</v>
      </c>
      <c r="Q3767" t="s">
        <v>162</v>
      </c>
      <c r="S3767" t="s">
        <v>483</v>
      </c>
      <c r="T3767" t="s">
        <v>528</v>
      </c>
      <c r="U3767">
        <v>8.4998002133794923E-2</v>
      </c>
      <c r="V3767" t="s">
        <v>162</v>
      </c>
    </row>
    <row r="3768" spans="9:22" x14ac:dyDescent="0.45">
      <c r="I3768" t="s">
        <v>259</v>
      </c>
      <c r="J3768" t="s">
        <v>529</v>
      </c>
      <c r="K3768">
        <v>3.1781790401516248E-2</v>
      </c>
      <c r="L3768" t="s">
        <v>162</v>
      </c>
      <c r="N3768" t="s">
        <v>371</v>
      </c>
      <c r="O3768" t="s">
        <v>529</v>
      </c>
      <c r="P3768">
        <v>8.2021121285328433E-3</v>
      </c>
      <c r="Q3768" t="s">
        <v>162</v>
      </c>
      <c r="S3768" t="s">
        <v>483</v>
      </c>
      <c r="T3768" t="s">
        <v>529</v>
      </c>
      <c r="U3768">
        <v>8.7901825401827827E-3</v>
      </c>
      <c r="V3768" t="s">
        <v>162</v>
      </c>
    </row>
    <row r="3769" spans="9:22" x14ac:dyDescent="0.45">
      <c r="I3769" t="s">
        <v>259</v>
      </c>
      <c r="J3769" t="s">
        <v>530</v>
      </c>
      <c r="K3769">
        <v>6.9600649085653013E-2</v>
      </c>
      <c r="L3769" t="s">
        <v>162</v>
      </c>
      <c r="N3769" t="s">
        <v>371</v>
      </c>
      <c r="O3769" t="s">
        <v>530</v>
      </c>
      <c r="P3769">
        <v>1.8453581697149786E-2</v>
      </c>
      <c r="Q3769" t="s">
        <v>162</v>
      </c>
      <c r="S3769" t="s">
        <v>483</v>
      </c>
      <c r="T3769" t="s">
        <v>530</v>
      </c>
      <c r="U3769">
        <v>1.8774149411312224E-2</v>
      </c>
      <c r="V3769" t="s">
        <v>162</v>
      </c>
    </row>
    <row r="3770" spans="9:22" x14ac:dyDescent="0.45">
      <c r="I3770" t="s">
        <v>259</v>
      </c>
      <c r="J3770" t="s">
        <v>531</v>
      </c>
      <c r="K3770">
        <v>0.16175917560953487</v>
      </c>
      <c r="L3770" t="s">
        <v>162</v>
      </c>
      <c r="N3770" t="s">
        <v>371</v>
      </c>
      <c r="O3770" t="s">
        <v>531</v>
      </c>
      <c r="P3770">
        <v>4.9185947081385462E-2</v>
      </c>
      <c r="Q3770" t="s">
        <v>162</v>
      </c>
      <c r="S3770" t="s">
        <v>483</v>
      </c>
      <c r="T3770" t="s">
        <v>531</v>
      </c>
      <c r="U3770">
        <v>5.2564680151712992E-2</v>
      </c>
      <c r="V3770" t="s">
        <v>162</v>
      </c>
    </row>
    <row r="3771" spans="9:22" x14ac:dyDescent="0.45">
      <c r="I3771" t="s">
        <v>259</v>
      </c>
      <c r="J3771" t="s">
        <v>532</v>
      </c>
      <c r="K3771">
        <v>2.5223866566601822E-2</v>
      </c>
      <c r="L3771" t="s">
        <v>162</v>
      </c>
      <c r="N3771" t="s">
        <v>371</v>
      </c>
      <c r="O3771" t="s">
        <v>532</v>
      </c>
      <c r="P3771">
        <v>8.7873974890631517E-3</v>
      </c>
      <c r="Q3771" t="s">
        <v>162</v>
      </c>
      <c r="S3771" t="s">
        <v>483</v>
      </c>
      <c r="T3771" t="s">
        <v>532</v>
      </c>
      <c r="U3771">
        <v>1.1648111555858501E-2</v>
      </c>
      <c r="V3771" t="s">
        <v>162</v>
      </c>
    </row>
    <row r="3772" spans="9:22" x14ac:dyDescent="0.45">
      <c r="I3772" t="s">
        <v>259</v>
      </c>
      <c r="J3772" t="s">
        <v>533</v>
      </c>
      <c r="K3772">
        <v>4.4064972543133629E-2</v>
      </c>
      <c r="L3772" t="s">
        <v>162</v>
      </c>
      <c r="N3772" t="s">
        <v>371</v>
      </c>
      <c r="O3772" t="s">
        <v>533</v>
      </c>
      <c r="P3772">
        <v>6.7766053219644157E-2</v>
      </c>
      <c r="Q3772" t="s">
        <v>162</v>
      </c>
      <c r="S3772" t="s">
        <v>483</v>
      </c>
      <c r="T3772" t="s">
        <v>533</v>
      </c>
      <c r="U3772">
        <v>6.6124448254123419E-2</v>
      </c>
      <c r="V3772" t="s">
        <v>162</v>
      </c>
    </row>
    <row r="3773" spans="9:22" x14ac:dyDescent="0.45">
      <c r="I3773" t="s">
        <v>259</v>
      </c>
      <c r="J3773" t="s">
        <v>534</v>
      </c>
      <c r="K3773">
        <v>2.5666976370767123E-2</v>
      </c>
      <c r="L3773" t="s">
        <v>162</v>
      </c>
      <c r="N3773" t="s">
        <v>371</v>
      </c>
      <c r="O3773" t="s">
        <v>534</v>
      </c>
      <c r="P3773">
        <v>9.6178358865569871E-2</v>
      </c>
      <c r="Q3773" t="s">
        <v>162</v>
      </c>
      <c r="S3773" t="s">
        <v>483</v>
      </c>
      <c r="T3773" t="s">
        <v>534</v>
      </c>
      <c r="U3773">
        <v>6.871734412139574E-2</v>
      </c>
      <c r="V3773" t="s">
        <v>162</v>
      </c>
    </row>
    <row r="3774" spans="9:22" x14ac:dyDescent="0.45">
      <c r="I3774" t="s">
        <v>259</v>
      </c>
      <c r="J3774" t="s">
        <v>535</v>
      </c>
      <c r="K3774">
        <v>1.7161007081279968E-2</v>
      </c>
      <c r="L3774" t="s">
        <v>162</v>
      </c>
      <c r="N3774" t="s">
        <v>371</v>
      </c>
      <c r="O3774" t="s">
        <v>535</v>
      </c>
      <c r="P3774">
        <v>9.2576737330100998E-3</v>
      </c>
      <c r="Q3774" t="s">
        <v>162</v>
      </c>
      <c r="S3774" t="s">
        <v>483</v>
      </c>
      <c r="T3774" t="s">
        <v>535</v>
      </c>
      <c r="U3774">
        <v>7.3089420170979651E-3</v>
      </c>
      <c r="V3774" t="s">
        <v>162</v>
      </c>
    </row>
    <row r="3775" spans="9:22" x14ac:dyDescent="0.45">
      <c r="I3775" t="s">
        <v>259</v>
      </c>
      <c r="J3775" t="s">
        <v>536</v>
      </c>
      <c r="K3775">
        <v>3.9482424886007804E-2</v>
      </c>
      <c r="L3775" t="s">
        <v>162</v>
      </c>
      <c r="N3775" t="s">
        <v>371</v>
      </c>
      <c r="O3775" t="s">
        <v>536</v>
      </c>
      <c r="P3775">
        <v>1.9919830012759297E-2</v>
      </c>
      <c r="Q3775" t="s">
        <v>162</v>
      </c>
      <c r="S3775" t="s">
        <v>483</v>
      </c>
      <c r="T3775" t="s">
        <v>536</v>
      </c>
      <c r="U3775">
        <v>1.5063946009493052E-2</v>
      </c>
      <c r="V3775" t="s">
        <v>162</v>
      </c>
    </row>
    <row r="3776" spans="9:22" x14ac:dyDescent="0.45">
      <c r="I3776" t="s">
        <v>259</v>
      </c>
      <c r="J3776" t="s">
        <v>537</v>
      </c>
      <c r="K3776">
        <v>9.2608990198450328E-2</v>
      </c>
      <c r="L3776" t="s">
        <v>162</v>
      </c>
      <c r="N3776" t="s">
        <v>371</v>
      </c>
      <c r="O3776" t="s">
        <v>537</v>
      </c>
      <c r="P3776">
        <v>5.5276062013982726E-2</v>
      </c>
      <c r="Q3776" t="s">
        <v>162</v>
      </c>
      <c r="S3776" t="s">
        <v>483</v>
      </c>
      <c r="T3776" t="s">
        <v>537</v>
      </c>
      <c r="U3776">
        <v>4.0355813571705069E-2</v>
      </c>
      <c r="V3776" t="s">
        <v>162</v>
      </c>
    </row>
    <row r="3777" spans="9:22" x14ac:dyDescent="0.45">
      <c r="I3777" t="s">
        <v>259</v>
      </c>
      <c r="J3777" t="s">
        <v>538</v>
      </c>
      <c r="K3777">
        <v>1.2358548815417253E-2</v>
      </c>
      <c r="L3777" t="s">
        <v>162</v>
      </c>
      <c r="N3777" t="s">
        <v>371</v>
      </c>
      <c r="O3777" t="s">
        <v>538</v>
      </c>
      <c r="P3777">
        <v>1.0780729253741283E-2</v>
      </c>
      <c r="Q3777" t="s">
        <v>162</v>
      </c>
      <c r="S3777" t="s">
        <v>483</v>
      </c>
      <c r="T3777" t="s">
        <v>538</v>
      </c>
      <c r="U3777">
        <v>8.6313312817138024E-3</v>
      </c>
      <c r="V3777" t="s">
        <v>162</v>
      </c>
    </row>
    <row r="3778" spans="9:22" x14ac:dyDescent="0.45">
      <c r="I3778" t="s">
        <v>259</v>
      </c>
      <c r="J3778" t="s">
        <v>539</v>
      </c>
      <c r="K3778">
        <v>1.1646806371368702E-2</v>
      </c>
      <c r="L3778" t="s">
        <v>162</v>
      </c>
      <c r="N3778" t="s">
        <v>371</v>
      </c>
      <c r="O3778" t="s">
        <v>539</v>
      </c>
      <c r="P3778">
        <v>6.9876665783904474E-2</v>
      </c>
      <c r="Q3778" t="s">
        <v>162</v>
      </c>
      <c r="S3778" t="s">
        <v>483</v>
      </c>
      <c r="T3778" t="s">
        <v>539</v>
      </c>
      <c r="U3778">
        <v>5.0958128117702818E-2</v>
      </c>
      <c r="V3778" t="s">
        <v>162</v>
      </c>
    </row>
    <row r="3779" spans="9:22" x14ac:dyDescent="0.45">
      <c r="I3779" t="s">
        <v>259</v>
      </c>
      <c r="J3779" t="s">
        <v>540</v>
      </c>
      <c r="K3779">
        <v>4.0593102328646965E-4</v>
      </c>
      <c r="L3779" t="s">
        <v>162</v>
      </c>
      <c r="N3779" t="s">
        <v>371</v>
      </c>
      <c r="O3779" t="s">
        <v>540</v>
      </c>
      <c r="P3779">
        <v>3.8514836353563883E-2</v>
      </c>
      <c r="Q3779" t="s">
        <v>162</v>
      </c>
      <c r="S3779" t="s">
        <v>483</v>
      </c>
      <c r="T3779" t="s">
        <v>540</v>
      </c>
      <c r="U3779">
        <v>3.5085445686166498E-2</v>
      </c>
      <c r="V3779" t="s">
        <v>162</v>
      </c>
    </row>
    <row r="3780" spans="9:22" x14ac:dyDescent="0.45">
      <c r="I3780" t="s">
        <v>259</v>
      </c>
      <c r="J3780" t="s">
        <v>541</v>
      </c>
      <c r="K3780">
        <v>1.6327510735136166E-3</v>
      </c>
      <c r="L3780" t="s">
        <v>162</v>
      </c>
      <c r="N3780" t="s">
        <v>371</v>
      </c>
      <c r="O3780" t="s">
        <v>541</v>
      </c>
      <c r="P3780">
        <v>4.1324024708615011E-3</v>
      </c>
      <c r="Q3780" t="s">
        <v>162</v>
      </c>
      <c r="S3780" t="s">
        <v>483</v>
      </c>
      <c r="T3780" t="s">
        <v>541</v>
      </c>
      <c r="U3780">
        <v>3.9322428563581752E-3</v>
      </c>
      <c r="V3780" t="s">
        <v>162</v>
      </c>
    </row>
    <row r="3781" spans="9:22" x14ac:dyDescent="0.45">
      <c r="I3781" t="s">
        <v>259</v>
      </c>
      <c r="J3781" t="s">
        <v>542</v>
      </c>
      <c r="K3781">
        <v>6.1499541518535367E-3</v>
      </c>
      <c r="L3781" t="s">
        <v>162</v>
      </c>
      <c r="N3781" t="s">
        <v>371</v>
      </c>
      <c r="O3781" t="s">
        <v>542</v>
      </c>
      <c r="P3781">
        <v>7.3557673197859469E-3</v>
      </c>
      <c r="Q3781" t="s">
        <v>162</v>
      </c>
      <c r="S3781" t="s">
        <v>483</v>
      </c>
      <c r="T3781" t="s">
        <v>542</v>
      </c>
      <c r="U3781">
        <v>8.1980774940924438E-3</v>
      </c>
      <c r="V3781" t="s">
        <v>162</v>
      </c>
    </row>
    <row r="3782" spans="9:22" x14ac:dyDescent="0.45">
      <c r="I3782" t="s">
        <v>259</v>
      </c>
      <c r="J3782" t="s">
        <v>543</v>
      </c>
      <c r="K3782">
        <v>1.3251296315301952E-2</v>
      </c>
      <c r="L3782" t="s">
        <v>162</v>
      </c>
      <c r="N3782" t="s">
        <v>371</v>
      </c>
      <c r="O3782" t="s">
        <v>543</v>
      </c>
      <c r="P3782">
        <v>1.7243698800364023E-2</v>
      </c>
      <c r="Q3782" t="s">
        <v>162</v>
      </c>
      <c r="S3782" t="s">
        <v>483</v>
      </c>
      <c r="T3782" t="s">
        <v>543</v>
      </c>
      <c r="U3782">
        <v>2.1587113100592387E-2</v>
      </c>
      <c r="V3782" t="s">
        <v>162</v>
      </c>
    </row>
    <row r="3783" spans="9:22" x14ac:dyDescent="0.45">
      <c r="I3783" t="s">
        <v>259</v>
      </c>
      <c r="J3783" t="s">
        <v>544</v>
      </c>
      <c r="K3783">
        <v>0</v>
      </c>
      <c r="L3783" t="s">
        <v>162</v>
      </c>
      <c r="N3783" t="s">
        <v>371</v>
      </c>
      <c r="O3783" t="s">
        <v>544</v>
      </c>
      <c r="P3783">
        <v>3.8125771998237861E-3</v>
      </c>
      <c r="Q3783" t="s">
        <v>162</v>
      </c>
      <c r="S3783" t="s">
        <v>483</v>
      </c>
      <c r="T3783" t="s">
        <v>544</v>
      </c>
      <c r="U3783">
        <v>4.3601668025263513E-3</v>
      </c>
      <c r="V3783" t="s">
        <v>162</v>
      </c>
    </row>
    <row r="3784" spans="9:22" x14ac:dyDescent="0.45">
      <c r="I3784" t="s">
        <v>259</v>
      </c>
      <c r="J3784" t="s">
        <v>545</v>
      </c>
      <c r="K3784">
        <v>0</v>
      </c>
      <c r="L3784" t="s">
        <v>162</v>
      </c>
      <c r="N3784" t="s">
        <v>371</v>
      </c>
      <c r="O3784" t="s">
        <v>545</v>
      </c>
      <c r="P3784">
        <v>2.2105159837991026E-2</v>
      </c>
      <c r="Q3784" t="s">
        <v>162</v>
      </c>
      <c r="S3784" t="s">
        <v>483</v>
      </c>
      <c r="T3784" t="s">
        <v>545</v>
      </c>
      <c r="U3784">
        <v>2.620069895299949E-2</v>
      </c>
      <c r="V3784" t="s">
        <v>162</v>
      </c>
    </row>
    <row r="3785" spans="9:22" x14ac:dyDescent="0.45">
      <c r="I3785" t="s">
        <v>259</v>
      </c>
      <c r="J3785" t="s">
        <v>546</v>
      </c>
      <c r="K3785">
        <v>0</v>
      </c>
      <c r="L3785" t="s">
        <v>162</v>
      </c>
      <c r="N3785" t="s">
        <v>371</v>
      </c>
      <c r="O3785" t="s">
        <v>546</v>
      </c>
      <c r="P3785">
        <v>3.5322419801140405E-2</v>
      </c>
      <c r="Q3785" t="s">
        <v>162</v>
      </c>
      <c r="S3785" t="s">
        <v>483</v>
      </c>
      <c r="T3785" t="s">
        <v>546</v>
      </c>
      <c r="U3785">
        <v>3.2811506352442857E-2</v>
      </c>
      <c r="V3785" t="s">
        <v>162</v>
      </c>
    </row>
    <row r="3786" spans="9:22" x14ac:dyDescent="0.45">
      <c r="I3786" t="s">
        <v>259</v>
      </c>
      <c r="J3786" t="s">
        <v>547</v>
      </c>
      <c r="K3786">
        <v>1.5020763938346832E-3</v>
      </c>
      <c r="L3786" t="s">
        <v>162</v>
      </c>
      <c r="N3786" t="s">
        <v>371</v>
      </c>
      <c r="O3786" t="s">
        <v>547</v>
      </c>
      <c r="P3786">
        <v>3.3445469424213167E-3</v>
      </c>
      <c r="Q3786" t="s">
        <v>162</v>
      </c>
      <c r="S3786" t="s">
        <v>483</v>
      </c>
      <c r="T3786" t="s">
        <v>547</v>
      </c>
      <c r="U3786">
        <v>3.4328142273319455E-3</v>
      </c>
      <c r="V3786" t="s">
        <v>162</v>
      </c>
    </row>
    <row r="3787" spans="9:22" x14ac:dyDescent="0.45">
      <c r="I3787" t="s">
        <v>259</v>
      </c>
      <c r="J3787" t="s">
        <v>548</v>
      </c>
      <c r="K3787">
        <v>9.7257328583140422E-3</v>
      </c>
      <c r="L3787" t="s">
        <v>162</v>
      </c>
      <c r="N3787" t="s">
        <v>371</v>
      </c>
      <c r="O3787" t="s">
        <v>548</v>
      </c>
      <c r="P3787">
        <v>5.0485834828324239E-3</v>
      </c>
      <c r="Q3787" t="s">
        <v>162</v>
      </c>
      <c r="S3787" t="s">
        <v>483</v>
      </c>
      <c r="T3787" t="s">
        <v>548</v>
      </c>
      <c r="U3787">
        <v>6.8771410930391812E-3</v>
      </c>
      <c r="V3787" t="s">
        <v>162</v>
      </c>
    </row>
    <row r="3788" spans="9:22" x14ac:dyDescent="0.45">
      <c r="I3788" t="s">
        <v>259</v>
      </c>
      <c r="J3788" t="s">
        <v>549</v>
      </c>
      <c r="K3788">
        <v>2.0816487424974602E-2</v>
      </c>
      <c r="L3788" t="s">
        <v>162</v>
      </c>
      <c r="N3788" t="s">
        <v>371</v>
      </c>
      <c r="O3788" t="s">
        <v>549</v>
      </c>
      <c r="P3788">
        <v>1.3005035311101141E-2</v>
      </c>
      <c r="Q3788" t="s">
        <v>162</v>
      </c>
      <c r="S3788" t="s">
        <v>483</v>
      </c>
      <c r="T3788" t="s">
        <v>549</v>
      </c>
      <c r="U3788">
        <v>1.7194363039889332E-2</v>
      </c>
      <c r="V3788" t="s">
        <v>162</v>
      </c>
    </row>
    <row r="3789" spans="9:22" x14ac:dyDescent="0.45">
      <c r="I3789" t="s">
        <v>259</v>
      </c>
      <c r="J3789" t="s">
        <v>550</v>
      </c>
      <c r="K3789">
        <v>0</v>
      </c>
      <c r="L3789" t="s">
        <v>162</v>
      </c>
      <c r="N3789" t="s">
        <v>371</v>
      </c>
      <c r="O3789" t="s">
        <v>550</v>
      </c>
      <c r="P3789">
        <v>4.0253770041890789E-3</v>
      </c>
      <c r="Q3789" t="s">
        <v>162</v>
      </c>
      <c r="S3789" t="s">
        <v>483</v>
      </c>
      <c r="T3789" t="s">
        <v>550</v>
      </c>
      <c r="U3789">
        <v>3.6444724372835594E-3</v>
      </c>
      <c r="V3789" t="s">
        <v>162</v>
      </c>
    </row>
    <row r="3790" spans="9:22" x14ac:dyDescent="0.45">
      <c r="I3790" t="s">
        <v>259</v>
      </c>
      <c r="J3790" t="s">
        <v>551</v>
      </c>
      <c r="K3790">
        <v>0</v>
      </c>
      <c r="L3790" t="s">
        <v>162</v>
      </c>
      <c r="N3790" t="s">
        <v>371</v>
      </c>
      <c r="O3790" t="s">
        <v>551</v>
      </c>
      <c r="P3790">
        <v>2.4861436566215814E-2</v>
      </c>
      <c r="Q3790" t="s">
        <v>162</v>
      </c>
      <c r="S3790" t="s">
        <v>483</v>
      </c>
      <c r="T3790" t="s">
        <v>551</v>
      </c>
      <c r="U3790">
        <v>2.2634833888118409E-2</v>
      </c>
      <c r="V3790" t="s">
        <v>162</v>
      </c>
    </row>
    <row r="3791" spans="9:22" x14ac:dyDescent="0.45">
      <c r="I3791" t="s">
        <v>260</v>
      </c>
      <c r="J3791" t="s">
        <v>161</v>
      </c>
      <c r="K3791">
        <v>0</v>
      </c>
      <c r="L3791" t="s">
        <v>162</v>
      </c>
      <c r="N3791" t="s">
        <v>372</v>
      </c>
      <c r="O3791" t="s">
        <v>161</v>
      </c>
      <c r="P3791">
        <v>3.5279455187720674E-2</v>
      </c>
      <c r="Q3791" t="s">
        <v>162</v>
      </c>
      <c r="S3791" t="s">
        <v>484</v>
      </c>
      <c r="T3791" t="s">
        <v>161</v>
      </c>
      <c r="U3791">
        <v>4.0443671371085017E-2</v>
      </c>
      <c r="V3791" t="s">
        <v>162</v>
      </c>
    </row>
    <row r="3792" spans="9:22" x14ac:dyDescent="0.45">
      <c r="I3792" t="s">
        <v>260</v>
      </c>
      <c r="J3792" t="s">
        <v>163</v>
      </c>
      <c r="K3792">
        <v>2.4049348134791413E-3</v>
      </c>
      <c r="L3792" t="s">
        <v>162</v>
      </c>
      <c r="N3792" t="s">
        <v>372</v>
      </c>
      <c r="O3792" t="s">
        <v>163</v>
      </c>
      <c r="P3792">
        <v>3.535748281007126E-3</v>
      </c>
      <c r="Q3792" t="s">
        <v>162</v>
      </c>
      <c r="S3792" t="s">
        <v>484</v>
      </c>
      <c r="T3792" t="s">
        <v>163</v>
      </c>
      <c r="U3792">
        <v>5.0223376403317685E-3</v>
      </c>
      <c r="V3792" t="s">
        <v>162</v>
      </c>
    </row>
    <row r="3793" spans="9:22" x14ac:dyDescent="0.45">
      <c r="I3793" t="s">
        <v>260</v>
      </c>
      <c r="J3793" t="s">
        <v>164</v>
      </c>
      <c r="K3793">
        <v>1.0957263310054609E-2</v>
      </c>
      <c r="L3793" t="s">
        <v>162</v>
      </c>
      <c r="N3793" t="s">
        <v>372</v>
      </c>
      <c r="O3793" t="s">
        <v>164</v>
      </c>
      <c r="P3793">
        <v>5.5765328916128013E-3</v>
      </c>
      <c r="Q3793" t="s">
        <v>162</v>
      </c>
      <c r="S3793" t="s">
        <v>484</v>
      </c>
      <c r="T3793" t="s">
        <v>164</v>
      </c>
      <c r="U3793">
        <v>1.0530421795557379E-2</v>
      </c>
      <c r="V3793" t="s">
        <v>162</v>
      </c>
    </row>
    <row r="3794" spans="9:22" x14ac:dyDescent="0.45">
      <c r="I3794" t="s">
        <v>260</v>
      </c>
      <c r="J3794" t="s">
        <v>519</v>
      </c>
      <c r="K3794">
        <v>2.8189206423489533E-2</v>
      </c>
      <c r="L3794" t="s">
        <v>162</v>
      </c>
      <c r="N3794" t="s">
        <v>372</v>
      </c>
      <c r="O3794" t="s">
        <v>519</v>
      </c>
      <c r="P3794">
        <v>1.1698693364386531E-2</v>
      </c>
      <c r="Q3794" t="s">
        <v>162</v>
      </c>
      <c r="S3794" t="s">
        <v>484</v>
      </c>
      <c r="T3794" t="s">
        <v>519</v>
      </c>
      <c r="U3794">
        <v>2.5425821868066998E-2</v>
      </c>
      <c r="V3794" t="s">
        <v>162</v>
      </c>
    </row>
    <row r="3795" spans="9:22" x14ac:dyDescent="0.45">
      <c r="I3795" t="s">
        <v>260</v>
      </c>
      <c r="J3795" t="s">
        <v>520</v>
      </c>
      <c r="K3795">
        <v>8.8332020491781746E-4</v>
      </c>
      <c r="L3795" t="s">
        <v>162</v>
      </c>
      <c r="N3795" t="s">
        <v>372</v>
      </c>
      <c r="O3795" t="s">
        <v>520</v>
      </c>
      <c r="P3795">
        <v>3.2634913332667214E-3</v>
      </c>
      <c r="Q3795" t="s">
        <v>162</v>
      </c>
      <c r="S3795" t="s">
        <v>484</v>
      </c>
      <c r="T3795" t="s">
        <v>520</v>
      </c>
      <c r="U3795">
        <v>4.8690913879010879E-3</v>
      </c>
      <c r="V3795" t="s">
        <v>162</v>
      </c>
    </row>
    <row r="3796" spans="9:22" x14ac:dyDescent="0.45">
      <c r="I3796" t="s">
        <v>260</v>
      </c>
      <c r="J3796" t="s">
        <v>521</v>
      </c>
      <c r="K3796">
        <v>0</v>
      </c>
      <c r="L3796" t="s">
        <v>162</v>
      </c>
      <c r="N3796" t="s">
        <v>372</v>
      </c>
      <c r="O3796" t="s">
        <v>521</v>
      </c>
      <c r="P3796">
        <v>2.0510972565347532E-2</v>
      </c>
      <c r="Q3796" t="s">
        <v>162</v>
      </c>
      <c r="S3796" t="s">
        <v>484</v>
      </c>
      <c r="T3796" t="s">
        <v>521</v>
      </c>
      <c r="U3796">
        <v>2.8167196879685701E-2</v>
      </c>
      <c r="V3796" t="s">
        <v>162</v>
      </c>
    </row>
    <row r="3797" spans="9:22" x14ac:dyDescent="0.45">
      <c r="I3797" t="s">
        <v>260</v>
      </c>
      <c r="J3797" t="s">
        <v>165</v>
      </c>
      <c r="K3797">
        <v>7.8650809048811162E-3</v>
      </c>
      <c r="L3797" t="s">
        <v>162</v>
      </c>
      <c r="N3797" t="s">
        <v>372</v>
      </c>
      <c r="O3797" t="s">
        <v>165</v>
      </c>
      <c r="P3797">
        <v>5.253432012272425E-2</v>
      </c>
      <c r="Q3797" t="s">
        <v>162</v>
      </c>
      <c r="S3797" t="s">
        <v>484</v>
      </c>
      <c r="T3797" t="s">
        <v>165</v>
      </c>
      <c r="U3797">
        <v>7.1566442249322446E-2</v>
      </c>
      <c r="V3797" t="s">
        <v>162</v>
      </c>
    </row>
    <row r="3798" spans="9:22" x14ac:dyDescent="0.45">
      <c r="I3798" t="s">
        <v>260</v>
      </c>
      <c r="J3798" t="s">
        <v>166</v>
      </c>
      <c r="K3798">
        <v>1.3044966705753572E-2</v>
      </c>
      <c r="L3798" t="s">
        <v>162</v>
      </c>
      <c r="N3798" t="s">
        <v>372</v>
      </c>
      <c r="O3798" t="s">
        <v>166</v>
      </c>
      <c r="P3798">
        <v>4.167971131840289E-3</v>
      </c>
      <c r="Q3798" t="s">
        <v>162</v>
      </c>
      <c r="S3798" t="s">
        <v>484</v>
      </c>
      <c r="T3798" t="s">
        <v>166</v>
      </c>
      <c r="U3798">
        <v>8.0572383175311468E-3</v>
      </c>
      <c r="V3798" t="s">
        <v>162</v>
      </c>
    </row>
    <row r="3799" spans="9:22" x14ac:dyDescent="0.45">
      <c r="I3799" t="s">
        <v>260</v>
      </c>
      <c r="J3799" t="s">
        <v>167</v>
      </c>
      <c r="K3799">
        <v>3.6938821659428092E-2</v>
      </c>
      <c r="L3799" t="s">
        <v>162</v>
      </c>
      <c r="N3799" t="s">
        <v>372</v>
      </c>
      <c r="O3799" t="s">
        <v>167</v>
      </c>
      <c r="P3799">
        <v>7.1119922358386803E-3</v>
      </c>
      <c r="Q3799" t="s">
        <v>162</v>
      </c>
      <c r="S3799" t="s">
        <v>484</v>
      </c>
      <c r="T3799" t="s">
        <v>167</v>
      </c>
      <c r="U3799">
        <v>1.6215798031727489E-2</v>
      </c>
      <c r="V3799" t="s">
        <v>162</v>
      </c>
    </row>
    <row r="3800" spans="9:22" x14ac:dyDescent="0.45">
      <c r="I3800" t="s">
        <v>260</v>
      </c>
      <c r="J3800" t="s">
        <v>522</v>
      </c>
      <c r="K3800">
        <v>8.9685683058900498E-2</v>
      </c>
      <c r="L3800" t="s">
        <v>162</v>
      </c>
      <c r="N3800" t="s">
        <v>372</v>
      </c>
      <c r="O3800" t="s">
        <v>522</v>
      </c>
      <c r="P3800">
        <v>2.0979663080332497E-2</v>
      </c>
      <c r="Q3800" t="s">
        <v>162</v>
      </c>
      <c r="S3800" t="s">
        <v>484</v>
      </c>
      <c r="T3800" t="s">
        <v>522</v>
      </c>
      <c r="U3800">
        <v>3.8664675680337116E-2</v>
      </c>
      <c r="V3800" t="s">
        <v>162</v>
      </c>
    </row>
    <row r="3801" spans="9:22" x14ac:dyDescent="0.45">
      <c r="I3801" t="s">
        <v>260</v>
      </c>
      <c r="J3801" t="s">
        <v>523</v>
      </c>
      <c r="K3801">
        <v>1.1946766638604951E-2</v>
      </c>
      <c r="L3801" t="s">
        <v>162</v>
      </c>
      <c r="N3801" t="s">
        <v>372</v>
      </c>
      <c r="O3801" t="s">
        <v>523</v>
      </c>
      <c r="P3801">
        <v>6.3922266459149344E-3</v>
      </c>
      <c r="Q3801" t="s">
        <v>162</v>
      </c>
      <c r="S3801" t="s">
        <v>484</v>
      </c>
      <c r="T3801" t="s">
        <v>523</v>
      </c>
      <c r="U3801">
        <v>7.7524333910774391E-3</v>
      </c>
      <c r="V3801" t="s">
        <v>162</v>
      </c>
    </row>
    <row r="3802" spans="9:22" x14ac:dyDescent="0.45">
      <c r="I3802" t="s">
        <v>260</v>
      </c>
      <c r="J3802" t="s">
        <v>524</v>
      </c>
      <c r="K3802">
        <v>4.8393547814093805E-3</v>
      </c>
      <c r="L3802" t="s">
        <v>162</v>
      </c>
      <c r="N3802" t="s">
        <v>372</v>
      </c>
      <c r="O3802" t="s">
        <v>524</v>
      </c>
      <c r="P3802">
        <v>4.332324135227747E-2</v>
      </c>
      <c r="Q3802" t="s">
        <v>162</v>
      </c>
      <c r="S3802" t="s">
        <v>484</v>
      </c>
      <c r="T3802" t="s">
        <v>524</v>
      </c>
      <c r="U3802">
        <v>4.6488456823784136E-2</v>
      </c>
      <c r="V3802" t="s">
        <v>162</v>
      </c>
    </row>
    <row r="3803" spans="9:22" x14ac:dyDescent="0.45">
      <c r="I3803" t="s">
        <v>260</v>
      </c>
      <c r="J3803" t="s">
        <v>168</v>
      </c>
      <c r="K3803">
        <v>1.6020463575367849E-2</v>
      </c>
      <c r="L3803" t="s">
        <v>162</v>
      </c>
      <c r="N3803" t="s">
        <v>372</v>
      </c>
      <c r="O3803" t="s">
        <v>168</v>
      </c>
      <c r="P3803">
        <v>3.4593481314738474E-2</v>
      </c>
      <c r="Q3803" t="s">
        <v>162</v>
      </c>
      <c r="S3803" t="s">
        <v>484</v>
      </c>
      <c r="T3803" t="s">
        <v>168</v>
      </c>
      <c r="U3803">
        <v>3.1046333058702646E-2</v>
      </c>
      <c r="V3803" t="s">
        <v>162</v>
      </c>
    </row>
    <row r="3804" spans="9:22" x14ac:dyDescent="0.45">
      <c r="I3804" t="s">
        <v>260</v>
      </c>
      <c r="J3804" t="s">
        <v>169</v>
      </c>
      <c r="K3804">
        <v>9.9573922259333161E-3</v>
      </c>
      <c r="L3804" t="s">
        <v>162</v>
      </c>
      <c r="N3804" t="s">
        <v>372</v>
      </c>
      <c r="O3804" t="s">
        <v>169</v>
      </c>
      <c r="P3804">
        <v>2.3336347942315579E-3</v>
      </c>
      <c r="Q3804" t="s">
        <v>162</v>
      </c>
      <c r="S3804" t="s">
        <v>484</v>
      </c>
      <c r="T3804" t="s">
        <v>169</v>
      </c>
      <c r="U3804">
        <v>3.4324471678601918E-3</v>
      </c>
      <c r="V3804" t="s">
        <v>162</v>
      </c>
    </row>
    <row r="3805" spans="9:22" x14ac:dyDescent="0.45">
      <c r="I3805" t="s">
        <v>260</v>
      </c>
      <c r="J3805" t="s">
        <v>170</v>
      </c>
      <c r="K3805">
        <v>2.3216184343798064E-2</v>
      </c>
      <c r="L3805" t="s">
        <v>162</v>
      </c>
      <c r="N3805" t="s">
        <v>372</v>
      </c>
      <c r="O3805" t="s">
        <v>170</v>
      </c>
      <c r="P3805">
        <v>5.0742872592354537E-3</v>
      </c>
      <c r="Q3805" t="s">
        <v>162</v>
      </c>
      <c r="S3805" t="s">
        <v>484</v>
      </c>
      <c r="T3805" t="s">
        <v>170</v>
      </c>
      <c r="U3805">
        <v>7.0139010986156056E-3</v>
      </c>
      <c r="V3805" t="s">
        <v>162</v>
      </c>
    </row>
    <row r="3806" spans="9:22" x14ac:dyDescent="0.45">
      <c r="I3806" t="s">
        <v>260</v>
      </c>
      <c r="J3806" t="s">
        <v>525</v>
      </c>
      <c r="K3806">
        <v>5.4911527249367889E-2</v>
      </c>
      <c r="L3806" t="s">
        <v>162</v>
      </c>
      <c r="N3806" t="s">
        <v>372</v>
      </c>
      <c r="O3806" t="s">
        <v>525</v>
      </c>
      <c r="P3806">
        <v>1.5239348166958318E-2</v>
      </c>
      <c r="Q3806" t="s">
        <v>162</v>
      </c>
      <c r="S3806" t="s">
        <v>484</v>
      </c>
      <c r="T3806" t="s">
        <v>525</v>
      </c>
      <c r="U3806">
        <v>1.8177691501026716E-2</v>
      </c>
      <c r="V3806" t="s">
        <v>162</v>
      </c>
    </row>
    <row r="3807" spans="9:22" x14ac:dyDescent="0.45">
      <c r="I3807" t="s">
        <v>260</v>
      </c>
      <c r="J3807" t="s">
        <v>526</v>
      </c>
      <c r="K3807">
        <v>8.0335072372545481E-3</v>
      </c>
      <c r="L3807" t="s">
        <v>162</v>
      </c>
      <c r="N3807" t="s">
        <v>372</v>
      </c>
      <c r="O3807" t="s">
        <v>526</v>
      </c>
      <c r="P3807">
        <v>3.3761689834750294E-3</v>
      </c>
      <c r="Q3807" t="s">
        <v>162</v>
      </c>
      <c r="S3807" t="s">
        <v>484</v>
      </c>
      <c r="T3807" t="s">
        <v>526</v>
      </c>
      <c r="U3807">
        <v>3.8498385678026759E-3</v>
      </c>
      <c r="V3807" t="s">
        <v>162</v>
      </c>
    </row>
    <row r="3808" spans="9:22" x14ac:dyDescent="0.45">
      <c r="I3808" t="s">
        <v>260</v>
      </c>
      <c r="J3808" t="s">
        <v>527</v>
      </c>
      <c r="K3808">
        <v>9.1055572023825831E-3</v>
      </c>
      <c r="L3808" t="s">
        <v>162</v>
      </c>
      <c r="N3808" t="s">
        <v>372</v>
      </c>
      <c r="O3808" t="s">
        <v>527</v>
      </c>
      <c r="P3808">
        <v>2.9726935340550049E-2</v>
      </c>
      <c r="Q3808" t="s">
        <v>162</v>
      </c>
      <c r="S3808" t="s">
        <v>484</v>
      </c>
      <c r="T3808" t="s">
        <v>527</v>
      </c>
      <c r="U3808">
        <v>2.3471712632993618E-2</v>
      </c>
      <c r="V3808" t="s">
        <v>162</v>
      </c>
    </row>
    <row r="3809" spans="9:22" x14ac:dyDescent="0.45">
      <c r="I3809" t="s">
        <v>260</v>
      </c>
      <c r="J3809" t="s">
        <v>528</v>
      </c>
      <c r="K3809">
        <v>6.7071134268112564E-2</v>
      </c>
      <c r="L3809" t="s">
        <v>162</v>
      </c>
      <c r="N3809" t="s">
        <v>372</v>
      </c>
      <c r="O3809" t="s">
        <v>528</v>
      </c>
      <c r="P3809">
        <v>9.4112573851924813E-2</v>
      </c>
      <c r="Q3809" t="s">
        <v>162</v>
      </c>
      <c r="S3809" t="s">
        <v>484</v>
      </c>
      <c r="T3809" t="s">
        <v>528</v>
      </c>
      <c r="U3809">
        <v>6.1108490780655993E-2</v>
      </c>
      <c r="V3809" t="s">
        <v>162</v>
      </c>
    </row>
    <row r="3810" spans="9:22" x14ac:dyDescent="0.45">
      <c r="I3810" t="s">
        <v>260</v>
      </c>
      <c r="J3810" t="s">
        <v>529</v>
      </c>
      <c r="K3810">
        <v>2.9333314949800848E-2</v>
      </c>
      <c r="L3810" t="s">
        <v>162</v>
      </c>
      <c r="N3810" t="s">
        <v>372</v>
      </c>
      <c r="O3810" t="s">
        <v>529</v>
      </c>
      <c r="P3810">
        <v>7.7882937988424982E-3</v>
      </c>
      <c r="Q3810" t="s">
        <v>162</v>
      </c>
      <c r="S3810" t="s">
        <v>484</v>
      </c>
      <c r="T3810" t="s">
        <v>529</v>
      </c>
      <c r="U3810">
        <v>6.8669185694983804E-3</v>
      </c>
      <c r="V3810" t="s">
        <v>162</v>
      </c>
    </row>
    <row r="3811" spans="9:22" x14ac:dyDescent="0.45">
      <c r="I3811" t="s">
        <v>260</v>
      </c>
      <c r="J3811" t="s">
        <v>530</v>
      </c>
      <c r="K3811">
        <v>6.3542738620997644E-2</v>
      </c>
      <c r="L3811" t="s">
        <v>162</v>
      </c>
      <c r="N3811" t="s">
        <v>372</v>
      </c>
      <c r="O3811" t="s">
        <v>530</v>
      </c>
      <c r="P3811">
        <v>1.7152496786604507E-2</v>
      </c>
      <c r="Q3811" t="s">
        <v>162</v>
      </c>
      <c r="S3811" t="s">
        <v>484</v>
      </c>
      <c r="T3811" t="s">
        <v>530</v>
      </c>
      <c r="U3811">
        <v>1.4456377131255721E-2</v>
      </c>
      <c r="V3811" t="s">
        <v>162</v>
      </c>
    </row>
    <row r="3812" spans="9:22" x14ac:dyDescent="0.45">
      <c r="I3812" t="s">
        <v>260</v>
      </c>
      <c r="J3812" t="s">
        <v>531</v>
      </c>
      <c r="K3812">
        <v>0.14661877828644562</v>
      </c>
      <c r="L3812" t="s">
        <v>162</v>
      </c>
      <c r="N3812" t="s">
        <v>372</v>
      </c>
      <c r="O3812" t="s">
        <v>531</v>
      </c>
      <c r="P3812">
        <v>4.6575551098956787E-2</v>
      </c>
      <c r="Q3812" t="s">
        <v>162</v>
      </c>
      <c r="S3812" t="s">
        <v>484</v>
      </c>
      <c r="T3812" t="s">
        <v>531</v>
      </c>
      <c r="U3812">
        <v>3.8359801694782168E-2</v>
      </c>
      <c r="V3812" t="s">
        <v>162</v>
      </c>
    </row>
    <row r="3813" spans="9:22" x14ac:dyDescent="0.45">
      <c r="I3813" t="s">
        <v>260</v>
      </c>
      <c r="J3813" t="s">
        <v>532</v>
      </c>
      <c r="K3813">
        <v>2.3871209080147605E-2</v>
      </c>
      <c r="L3813" t="s">
        <v>162</v>
      </c>
      <c r="N3813" t="s">
        <v>372</v>
      </c>
      <c r="O3813" t="s">
        <v>532</v>
      </c>
      <c r="P3813">
        <v>8.9521145912905588E-3</v>
      </c>
      <c r="Q3813" t="s">
        <v>162</v>
      </c>
      <c r="S3813" t="s">
        <v>484</v>
      </c>
      <c r="T3813" t="s">
        <v>532</v>
      </c>
      <c r="U3813">
        <v>8.0594637740427251E-3</v>
      </c>
      <c r="V3813" t="s">
        <v>162</v>
      </c>
    </row>
    <row r="3814" spans="9:22" x14ac:dyDescent="0.45">
      <c r="I3814" t="s">
        <v>260</v>
      </c>
      <c r="J3814" t="s">
        <v>533</v>
      </c>
      <c r="K3814">
        <v>4.4985960315509235E-2</v>
      </c>
      <c r="L3814" t="s">
        <v>162</v>
      </c>
      <c r="N3814" t="s">
        <v>372</v>
      </c>
      <c r="O3814" t="s">
        <v>533</v>
      </c>
      <c r="P3814">
        <v>6.9590174107406547E-2</v>
      </c>
      <c r="Q3814" t="s">
        <v>162</v>
      </c>
      <c r="S3814" t="s">
        <v>484</v>
      </c>
      <c r="T3814" t="s">
        <v>533</v>
      </c>
      <c r="U3814">
        <v>4.617776312609119E-2</v>
      </c>
      <c r="V3814" t="s">
        <v>162</v>
      </c>
    </row>
    <row r="3815" spans="9:22" x14ac:dyDescent="0.45">
      <c r="I3815" t="s">
        <v>260</v>
      </c>
      <c r="J3815" t="s">
        <v>534</v>
      </c>
      <c r="K3815">
        <v>2.8619036814378589E-2</v>
      </c>
      <c r="L3815" t="s">
        <v>162</v>
      </c>
      <c r="N3815" t="s">
        <v>372</v>
      </c>
      <c r="O3815" t="s">
        <v>534</v>
      </c>
      <c r="P3815">
        <v>0.10820362388545197</v>
      </c>
      <c r="Q3815" t="s">
        <v>162</v>
      </c>
      <c r="S3815" t="s">
        <v>484</v>
      </c>
      <c r="T3815" t="s">
        <v>534</v>
      </c>
      <c r="U3815">
        <v>7.4836641094535139E-2</v>
      </c>
      <c r="V3815" t="s">
        <v>162</v>
      </c>
    </row>
    <row r="3816" spans="9:22" x14ac:dyDescent="0.45">
      <c r="I3816" t="s">
        <v>260</v>
      </c>
      <c r="J3816" t="s">
        <v>535</v>
      </c>
      <c r="K3816">
        <v>2.0191022194249456E-2</v>
      </c>
      <c r="L3816" t="s">
        <v>162</v>
      </c>
      <c r="N3816" t="s">
        <v>372</v>
      </c>
      <c r="O3816" t="s">
        <v>535</v>
      </c>
      <c r="P3816">
        <v>1.0568342189994456E-2</v>
      </c>
      <c r="Q3816" t="s">
        <v>162</v>
      </c>
      <c r="S3816" t="s">
        <v>484</v>
      </c>
      <c r="T3816" t="s">
        <v>535</v>
      </c>
      <c r="U3816">
        <v>8.4928334424459843E-3</v>
      </c>
      <c r="V3816" t="s">
        <v>162</v>
      </c>
    </row>
    <row r="3817" spans="9:22" x14ac:dyDescent="0.45">
      <c r="I3817" t="s">
        <v>260</v>
      </c>
      <c r="J3817" t="s">
        <v>536</v>
      </c>
      <c r="K3817">
        <v>4.666284879349044E-2</v>
      </c>
      <c r="L3817" t="s">
        <v>162</v>
      </c>
      <c r="N3817" t="s">
        <v>372</v>
      </c>
      <c r="O3817" t="s">
        <v>536</v>
      </c>
      <c r="P3817">
        <v>2.2098931939294048E-2</v>
      </c>
      <c r="Q3817" t="s">
        <v>162</v>
      </c>
      <c r="S3817" t="s">
        <v>484</v>
      </c>
      <c r="T3817" t="s">
        <v>536</v>
      </c>
      <c r="U3817">
        <v>1.7555835201223235E-2</v>
      </c>
      <c r="V3817" t="s">
        <v>162</v>
      </c>
    </row>
    <row r="3818" spans="9:22" x14ac:dyDescent="0.45">
      <c r="I3818" t="s">
        <v>260</v>
      </c>
      <c r="J3818" t="s">
        <v>537</v>
      </c>
      <c r="K3818">
        <v>0.10739847436612704</v>
      </c>
      <c r="L3818" t="s">
        <v>162</v>
      </c>
      <c r="N3818" t="s">
        <v>372</v>
      </c>
      <c r="O3818" t="s">
        <v>537</v>
      </c>
      <c r="P3818">
        <v>5.7204954582488914E-2</v>
      </c>
      <c r="Q3818" t="s">
        <v>162</v>
      </c>
      <c r="S3818" t="s">
        <v>484</v>
      </c>
      <c r="T3818" t="s">
        <v>537</v>
      </c>
      <c r="U3818">
        <v>4.4106895156812514E-2</v>
      </c>
      <c r="V3818" t="s">
        <v>162</v>
      </c>
    </row>
    <row r="3819" spans="9:22" x14ac:dyDescent="0.45">
      <c r="I3819" t="s">
        <v>260</v>
      </c>
      <c r="J3819" t="s">
        <v>538</v>
      </c>
      <c r="K3819">
        <v>1.5355649174455279E-2</v>
      </c>
      <c r="L3819" t="s">
        <v>162</v>
      </c>
      <c r="N3819" t="s">
        <v>372</v>
      </c>
      <c r="O3819" t="s">
        <v>538</v>
      </c>
      <c r="P3819">
        <v>1.0890753316630123E-2</v>
      </c>
      <c r="Q3819" t="s">
        <v>162</v>
      </c>
      <c r="S3819" t="s">
        <v>484</v>
      </c>
      <c r="T3819" t="s">
        <v>538</v>
      </c>
      <c r="U3819">
        <v>8.6459795902964747E-3</v>
      </c>
      <c r="V3819" t="s">
        <v>162</v>
      </c>
    </row>
    <row r="3820" spans="9:22" x14ac:dyDescent="0.45">
      <c r="I3820" t="s">
        <v>260</v>
      </c>
      <c r="J3820" t="s">
        <v>539</v>
      </c>
      <c r="K3820">
        <v>1.418551855120676E-2</v>
      </c>
      <c r="L3820" t="s">
        <v>162</v>
      </c>
      <c r="N3820" t="s">
        <v>372</v>
      </c>
      <c r="O3820" t="s">
        <v>539</v>
      </c>
      <c r="P3820">
        <v>7.1053373478335791E-2</v>
      </c>
      <c r="Q3820" t="s">
        <v>162</v>
      </c>
      <c r="S3820" t="s">
        <v>484</v>
      </c>
      <c r="T3820" t="s">
        <v>539</v>
      </c>
      <c r="U3820">
        <v>5.1304679083564578E-2</v>
      </c>
      <c r="V3820" t="s">
        <v>162</v>
      </c>
    </row>
    <row r="3821" spans="9:22" x14ac:dyDescent="0.45">
      <c r="I3821" t="s">
        <v>260</v>
      </c>
      <c r="J3821" t="s">
        <v>540</v>
      </c>
      <c r="K3821">
        <v>2.9633580957172151E-4</v>
      </c>
      <c r="L3821" t="s">
        <v>162</v>
      </c>
      <c r="N3821" t="s">
        <v>372</v>
      </c>
      <c r="O3821" t="s">
        <v>540</v>
      </c>
      <c r="P3821">
        <v>3.4767374818050832E-2</v>
      </c>
      <c r="Q3821" t="s">
        <v>162</v>
      </c>
      <c r="S3821" t="s">
        <v>484</v>
      </c>
      <c r="T3821" t="s">
        <v>540</v>
      </c>
      <c r="U3821">
        <v>3.9429333801243027E-2</v>
      </c>
      <c r="V3821" t="s">
        <v>162</v>
      </c>
    </row>
    <row r="3822" spans="9:22" x14ac:dyDescent="0.45">
      <c r="I3822" t="s">
        <v>260</v>
      </c>
      <c r="J3822" t="s">
        <v>541</v>
      </c>
      <c r="K3822">
        <v>1.852982812050665E-3</v>
      </c>
      <c r="L3822" t="s">
        <v>162</v>
      </c>
      <c r="N3822" t="s">
        <v>372</v>
      </c>
      <c r="O3822" t="s">
        <v>541</v>
      </c>
      <c r="P3822">
        <v>3.4598339368511356E-3</v>
      </c>
      <c r="Q3822" t="s">
        <v>162</v>
      </c>
      <c r="S3822" t="s">
        <v>484</v>
      </c>
      <c r="T3822" t="s">
        <v>541</v>
      </c>
      <c r="U3822">
        <v>4.4503062588519869E-3</v>
      </c>
      <c r="V3822" t="s">
        <v>162</v>
      </c>
    </row>
    <row r="3823" spans="9:22" x14ac:dyDescent="0.45">
      <c r="I3823" t="s">
        <v>260</v>
      </c>
      <c r="J3823" t="s">
        <v>542</v>
      </c>
      <c r="K3823">
        <v>7.0013561216468768E-3</v>
      </c>
      <c r="L3823" t="s">
        <v>162</v>
      </c>
      <c r="N3823" t="s">
        <v>372</v>
      </c>
      <c r="O3823" t="s">
        <v>542</v>
      </c>
      <c r="P3823">
        <v>5.909796028904085E-3</v>
      </c>
      <c r="Q3823" t="s">
        <v>162</v>
      </c>
      <c r="S3823" t="s">
        <v>484</v>
      </c>
      <c r="T3823" t="s">
        <v>542</v>
      </c>
      <c r="U3823">
        <v>9.2134404573895098E-3</v>
      </c>
      <c r="V3823" t="s">
        <v>162</v>
      </c>
    </row>
    <row r="3824" spans="9:22" x14ac:dyDescent="0.45">
      <c r="I3824" t="s">
        <v>260</v>
      </c>
      <c r="J3824" t="s">
        <v>543</v>
      </c>
      <c r="K3824">
        <v>1.6855525279066599E-2</v>
      </c>
      <c r="L3824" t="s">
        <v>162</v>
      </c>
      <c r="N3824" t="s">
        <v>372</v>
      </c>
      <c r="O3824" t="s">
        <v>543</v>
      </c>
      <c r="P3824">
        <v>1.4284537758002201E-2</v>
      </c>
      <c r="Q3824" t="s">
        <v>162</v>
      </c>
      <c r="S3824" t="s">
        <v>484</v>
      </c>
      <c r="T3824" t="s">
        <v>543</v>
      </c>
      <c r="U3824">
        <v>2.3261784182956553E-2</v>
      </c>
      <c r="V3824" t="s">
        <v>162</v>
      </c>
    </row>
    <row r="3825" spans="9:22" x14ac:dyDescent="0.45">
      <c r="I3825" t="s">
        <v>260</v>
      </c>
      <c r="J3825" t="s">
        <v>544</v>
      </c>
      <c r="K3825">
        <v>2.7357127871405724E-5</v>
      </c>
      <c r="L3825" t="s">
        <v>162</v>
      </c>
      <c r="N3825" t="s">
        <v>372</v>
      </c>
      <c r="O3825" t="s">
        <v>544</v>
      </c>
      <c r="P3825">
        <v>3.6092747897598161E-3</v>
      </c>
      <c r="Q3825" t="s">
        <v>162</v>
      </c>
      <c r="S3825" t="s">
        <v>484</v>
      </c>
      <c r="T3825" t="s">
        <v>544</v>
      </c>
      <c r="U3825">
        <v>4.4235464182793864E-3</v>
      </c>
      <c r="V3825" t="s">
        <v>162</v>
      </c>
    </row>
    <row r="3826" spans="9:22" x14ac:dyDescent="0.45">
      <c r="I3826" t="s">
        <v>260</v>
      </c>
      <c r="J3826" t="s">
        <v>545</v>
      </c>
      <c r="K3826">
        <v>0</v>
      </c>
      <c r="L3826" t="s">
        <v>162</v>
      </c>
      <c r="N3826" t="s">
        <v>372</v>
      </c>
      <c r="O3826" t="s">
        <v>545</v>
      </c>
      <c r="P3826">
        <v>2.0855542183438519E-2</v>
      </c>
      <c r="Q3826" t="s">
        <v>162</v>
      </c>
      <c r="S3826" t="s">
        <v>484</v>
      </c>
      <c r="T3826" t="s">
        <v>545</v>
      </c>
      <c r="U3826">
        <v>2.7321513909183914E-2</v>
      </c>
      <c r="V3826" t="s">
        <v>162</v>
      </c>
    </row>
    <row r="3827" spans="9:22" x14ac:dyDescent="0.45">
      <c r="I3827" t="s">
        <v>260</v>
      </c>
      <c r="J3827" t="s">
        <v>546</v>
      </c>
      <c r="K3827">
        <v>0</v>
      </c>
      <c r="L3827" t="s">
        <v>162</v>
      </c>
      <c r="N3827" t="s">
        <v>372</v>
      </c>
      <c r="O3827" t="s">
        <v>546</v>
      </c>
      <c r="P3827">
        <v>3.4467886074636189E-2</v>
      </c>
      <c r="Q3827" t="s">
        <v>162</v>
      </c>
      <c r="S3827" t="s">
        <v>484</v>
      </c>
      <c r="T3827" t="s">
        <v>546</v>
      </c>
      <c r="U3827">
        <v>4.4005234274189897E-2</v>
      </c>
      <c r="V3827" t="s">
        <v>162</v>
      </c>
    </row>
    <row r="3828" spans="9:22" x14ac:dyDescent="0.45">
      <c r="I3828" t="s">
        <v>260</v>
      </c>
      <c r="J3828" t="s">
        <v>547</v>
      </c>
      <c r="K3828">
        <v>1.7834142078563819E-3</v>
      </c>
      <c r="L3828" t="s">
        <v>162</v>
      </c>
      <c r="N3828" t="s">
        <v>372</v>
      </c>
      <c r="O3828" t="s">
        <v>547</v>
      </c>
      <c r="P3828">
        <v>3.3154698324676106E-3</v>
      </c>
      <c r="Q3828" t="s">
        <v>162</v>
      </c>
      <c r="S3828" t="s">
        <v>484</v>
      </c>
      <c r="T3828" t="s">
        <v>547</v>
      </c>
      <c r="U3828">
        <v>5.0998595430561764E-3</v>
      </c>
      <c r="V3828" t="s">
        <v>162</v>
      </c>
    </row>
    <row r="3829" spans="9:22" x14ac:dyDescent="0.45">
      <c r="I3829" t="s">
        <v>260</v>
      </c>
      <c r="J3829" t="s">
        <v>548</v>
      </c>
      <c r="K3829">
        <v>1.0364744542786066E-2</v>
      </c>
      <c r="L3829" t="s">
        <v>162</v>
      </c>
      <c r="N3829" t="s">
        <v>372</v>
      </c>
      <c r="O3829" t="s">
        <v>548</v>
      </c>
      <c r="P3829">
        <v>5.3013748288741015E-3</v>
      </c>
      <c r="Q3829" t="s">
        <v>162</v>
      </c>
      <c r="S3829" t="s">
        <v>484</v>
      </c>
      <c r="T3829" t="s">
        <v>548</v>
      </c>
      <c r="U3829">
        <v>1.0502010403031616E-2</v>
      </c>
      <c r="V3829" t="s">
        <v>162</v>
      </c>
    </row>
    <row r="3830" spans="9:22" x14ac:dyDescent="0.45">
      <c r="I3830" t="s">
        <v>260</v>
      </c>
      <c r="J3830" t="s">
        <v>549</v>
      </c>
      <c r="K3830">
        <v>2.5982568349203698E-2</v>
      </c>
      <c r="L3830" t="s">
        <v>162</v>
      </c>
      <c r="N3830" t="s">
        <v>372</v>
      </c>
      <c r="O3830" t="s">
        <v>549</v>
      </c>
      <c r="P3830">
        <v>1.4233953325836943E-2</v>
      </c>
      <c r="Q3830" t="s">
        <v>162</v>
      </c>
      <c r="S3830" t="s">
        <v>484</v>
      </c>
      <c r="T3830" t="s">
        <v>549</v>
      </c>
      <c r="U3830">
        <v>2.5647606407219529E-2</v>
      </c>
      <c r="V3830" t="s">
        <v>162</v>
      </c>
    </row>
    <row r="3831" spans="9:22" x14ac:dyDescent="0.45">
      <c r="I3831" t="s">
        <v>260</v>
      </c>
      <c r="J3831" t="s">
        <v>550</v>
      </c>
      <c r="K3831">
        <v>0</v>
      </c>
      <c r="L3831" t="s">
        <v>162</v>
      </c>
      <c r="N3831" t="s">
        <v>372</v>
      </c>
      <c r="O3831" t="s">
        <v>550</v>
      </c>
      <c r="P3831">
        <v>4.3083260502914224E-3</v>
      </c>
      <c r="Q3831" t="s">
        <v>162</v>
      </c>
      <c r="S3831" t="s">
        <v>484</v>
      </c>
      <c r="T3831" t="s">
        <v>550</v>
      </c>
      <c r="U3831">
        <v>5.1158916687159264E-3</v>
      </c>
      <c r="V3831" t="s">
        <v>162</v>
      </c>
    </row>
    <row r="3832" spans="9:22" x14ac:dyDescent="0.45">
      <c r="I3832" t="s">
        <v>260</v>
      </c>
      <c r="J3832" t="s">
        <v>551</v>
      </c>
      <c r="K3832">
        <v>0</v>
      </c>
      <c r="L3832" t="s">
        <v>162</v>
      </c>
      <c r="N3832" t="s">
        <v>372</v>
      </c>
      <c r="O3832" t="s">
        <v>551</v>
      </c>
      <c r="P3832">
        <v>2.6577282694207928E-2</v>
      </c>
      <c r="Q3832" t="s">
        <v>162</v>
      </c>
      <c r="S3832" t="s">
        <v>484</v>
      </c>
      <c r="T3832" t="s">
        <v>551</v>
      </c>
      <c r="U3832">
        <v>3.1362284567267536E-2</v>
      </c>
      <c r="V3832" t="s">
        <v>162</v>
      </c>
    </row>
    <row r="3833" spans="9:22" x14ac:dyDescent="0.45">
      <c r="I3833" t="s">
        <v>261</v>
      </c>
      <c r="J3833" t="s">
        <v>161</v>
      </c>
      <c r="K3833">
        <v>0</v>
      </c>
      <c r="L3833" t="s">
        <v>162</v>
      </c>
      <c r="N3833" t="s">
        <v>373</v>
      </c>
      <c r="O3833" t="s">
        <v>161</v>
      </c>
      <c r="P3833">
        <v>4.1706910678757279E-2</v>
      </c>
      <c r="Q3833" t="s">
        <v>162</v>
      </c>
      <c r="S3833" t="s">
        <v>485</v>
      </c>
      <c r="T3833" t="s">
        <v>161</v>
      </c>
      <c r="U3833">
        <v>3.6513747822500268E-2</v>
      </c>
      <c r="V3833" t="s">
        <v>162</v>
      </c>
    </row>
    <row r="3834" spans="9:22" x14ac:dyDescent="0.45">
      <c r="I3834" t="s">
        <v>261</v>
      </c>
      <c r="J3834" t="s">
        <v>163</v>
      </c>
      <c r="K3834">
        <v>3.4566135498368513E-3</v>
      </c>
      <c r="L3834" t="s">
        <v>162</v>
      </c>
      <c r="N3834" t="s">
        <v>373</v>
      </c>
      <c r="O3834" t="s">
        <v>163</v>
      </c>
      <c r="P3834">
        <v>4.7519672082276107E-3</v>
      </c>
      <c r="Q3834" t="s">
        <v>162</v>
      </c>
      <c r="S3834" t="s">
        <v>485</v>
      </c>
      <c r="T3834" t="s">
        <v>163</v>
      </c>
      <c r="U3834">
        <v>4.7031686272741386E-3</v>
      </c>
      <c r="V3834" t="s">
        <v>162</v>
      </c>
    </row>
    <row r="3835" spans="9:22" x14ac:dyDescent="0.45">
      <c r="I3835" t="s">
        <v>261</v>
      </c>
      <c r="J3835" t="s">
        <v>164</v>
      </c>
      <c r="K3835">
        <v>1.2565829315853297E-2</v>
      </c>
      <c r="L3835" t="s">
        <v>162</v>
      </c>
      <c r="N3835" t="s">
        <v>373</v>
      </c>
      <c r="O3835" t="s">
        <v>164</v>
      </c>
      <c r="P3835">
        <v>9.2489012473035322E-3</v>
      </c>
      <c r="Q3835" t="s">
        <v>162</v>
      </c>
      <c r="S3835" t="s">
        <v>485</v>
      </c>
      <c r="T3835" t="s">
        <v>164</v>
      </c>
      <c r="U3835">
        <v>9.6446804015342721E-3</v>
      </c>
      <c r="V3835" t="s">
        <v>162</v>
      </c>
    </row>
    <row r="3836" spans="9:22" x14ac:dyDescent="0.45">
      <c r="I3836" t="s">
        <v>261</v>
      </c>
      <c r="J3836" t="s">
        <v>519</v>
      </c>
      <c r="K3836">
        <v>3.0144880894946196E-2</v>
      </c>
      <c r="L3836" t="s">
        <v>162</v>
      </c>
      <c r="N3836" t="s">
        <v>373</v>
      </c>
      <c r="O3836" t="s">
        <v>519</v>
      </c>
      <c r="P3836">
        <v>2.2610996123556389E-2</v>
      </c>
      <c r="Q3836" t="s">
        <v>162</v>
      </c>
      <c r="S3836" t="s">
        <v>485</v>
      </c>
      <c r="T3836" t="s">
        <v>519</v>
      </c>
      <c r="U3836">
        <v>2.4185643449343076E-2</v>
      </c>
      <c r="V3836" t="s">
        <v>162</v>
      </c>
    </row>
    <row r="3837" spans="9:22" x14ac:dyDescent="0.45">
      <c r="I3837" t="s">
        <v>261</v>
      </c>
      <c r="J3837" t="s">
        <v>520</v>
      </c>
      <c r="K3837">
        <v>1.1394569196529315E-4</v>
      </c>
      <c r="L3837" t="s">
        <v>162</v>
      </c>
      <c r="N3837" t="s">
        <v>373</v>
      </c>
      <c r="O3837" t="s">
        <v>520</v>
      </c>
      <c r="P3837">
        <v>4.5507730362655766E-3</v>
      </c>
      <c r="Q3837" t="s">
        <v>162</v>
      </c>
      <c r="S3837" t="s">
        <v>485</v>
      </c>
      <c r="T3837" t="s">
        <v>520</v>
      </c>
      <c r="U3837">
        <v>4.949045386255113E-3</v>
      </c>
      <c r="V3837" t="s">
        <v>162</v>
      </c>
    </row>
    <row r="3838" spans="9:22" x14ac:dyDescent="0.45">
      <c r="I3838" t="s">
        <v>261</v>
      </c>
      <c r="J3838" t="s">
        <v>521</v>
      </c>
      <c r="K3838">
        <v>0</v>
      </c>
      <c r="L3838" t="s">
        <v>162</v>
      </c>
      <c r="N3838" t="s">
        <v>373</v>
      </c>
      <c r="O3838" t="s">
        <v>521</v>
      </c>
      <c r="P3838">
        <v>2.7927425593772589E-2</v>
      </c>
      <c r="Q3838" t="s">
        <v>162</v>
      </c>
      <c r="S3838" t="s">
        <v>485</v>
      </c>
      <c r="T3838" t="s">
        <v>521</v>
      </c>
      <c r="U3838">
        <v>2.7956208194299823E-2</v>
      </c>
      <c r="V3838" t="s">
        <v>162</v>
      </c>
    </row>
    <row r="3839" spans="9:22" x14ac:dyDescent="0.45">
      <c r="I3839" t="s">
        <v>261</v>
      </c>
      <c r="J3839" t="s">
        <v>165</v>
      </c>
      <c r="K3839">
        <v>9.7631146008078963E-3</v>
      </c>
      <c r="L3839" t="s">
        <v>162</v>
      </c>
      <c r="N3839" t="s">
        <v>373</v>
      </c>
      <c r="O3839" t="s">
        <v>165</v>
      </c>
      <c r="P3839">
        <v>6.1669622592010323E-2</v>
      </c>
      <c r="Q3839" t="s">
        <v>162</v>
      </c>
      <c r="S3839" t="s">
        <v>485</v>
      </c>
      <c r="T3839" t="s">
        <v>165</v>
      </c>
      <c r="U3839">
        <v>7.4984143441164067E-2</v>
      </c>
      <c r="V3839" t="s">
        <v>162</v>
      </c>
    </row>
    <row r="3840" spans="9:22" x14ac:dyDescent="0.45">
      <c r="I3840" t="s">
        <v>261</v>
      </c>
      <c r="J3840" t="s">
        <v>166</v>
      </c>
      <c r="K3840">
        <v>1.4051823102924431E-2</v>
      </c>
      <c r="L3840" t="s">
        <v>162</v>
      </c>
      <c r="N3840" t="s">
        <v>373</v>
      </c>
      <c r="O3840" t="s">
        <v>166</v>
      </c>
      <c r="P3840">
        <v>6.3815628900921219E-3</v>
      </c>
      <c r="Q3840" t="s">
        <v>162</v>
      </c>
      <c r="S3840" t="s">
        <v>485</v>
      </c>
      <c r="T3840" t="s">
        <v>166</v>
      </c>
      <c r="U3840">
        <v>8.5817582122568407E-3</v>
      </c>
      <c r="V3840" t="s">
        <v>162</v>
      </c>
    </row>
    <row r="3841" spans="9:22" x14ac:dyDescent="0.45">
      <c r="I3841" t="s">
        <v>261</v>
      </c>
      <c r="J3841" t="s">
        <v>167</v>
      </c>
      <c r="K3841">
        <v>3.7565575779380543E-2</v>
      </c>
      <c r="L3841" t="s">
        <v>162</v>
      </c>
      <c r="N3841" t="s">
        <v>373</v>
      </c>
      <c r="O3841" t="s">
        <v>167</v>
      </c>
      <c r="P3841">
        <v>1.2142665446483689E-2</v>
      </c>
      <c r="Q3841" t="s">
        <v>162</v>
      </c>
      <c r="S3841" t="s">
        <v>485</v>
      </c>
      <c r="T3841" t="s">
        <v>167</v>
      </c>
      <c r="U3841">
        <v>1.7366694674692221E-2</v>
      </c>
      <c r="V3841" t="s">
        <v>162</v>
      </c>
    </row>
    <row r="3842" spans="9:22" x14ac:dyDescent="0.45">
      <c r="I3842" t="s">
        <v>261</v>
      </c>
      <c r="J3842" t="s">
        <v>522</v>
      </c>
      <c r="K3842">
        <v>9.2230941785967163E-2</v>
      </c>
      <c r="L3842" t="s">
        <v>162</v>
      </c>
      <c r="N3842" t="s">
        <v>373</v>
      </c>
      <c r="O3842" t="s">
        <v>522</v>
      </c>
      <c r="P3842">
        <v>3.0111548413144475E-2</v>
      </c>
      <c r="Q3842" t="s">
        <v>162</v>
      </c>
      <c r="S3842" t="s">
        <v>485</v>
      </c>
      <c r="T3842" t="s">
        <v>522</v>
      </c>
      <c r="U3842">
        <v>4.1616039393061174E-2</v>
      </c>
      <c r="V3842" t="s">
        <v>162</v>
      </c>
    </row>
    <row r="3843" spans="9:22" x14ac:dyDescent="0.45">
      <c r="I3843" t="s">
        <v>261</v>
      </c>
      <c r="J3843" t="s">
        <v>523</v>
      </c>
      <c r="K3843">
        <v>1.1551909315130249E-2</v>
      </c>
      <c r="L3843" t="s">
        <v>162</v>
      </c>
      <c r="N3843" t="s">
        <v>373</v>
      </c>
      <c r="O3843" t="s">
        <v>523</v>
      </c>
      <c r="P3843">
        <v>6.0892053699028977E-3</v>
      </c>
      <c r="Q3843" t="s">
        <v>162</v>
      </c>
      <c r="S3843" t="s">
        <v>485</v>
      </c>
      <c r="T3843" t="s">
        <v>523</v>
      </c>
      <c r="U3843">
        <v>8.3667322493565233E-3</v>
      </c>
      <c r="V3843" t="s">
        <v>162</v>
      </c>
    </row>
    <row r="3844" spans="9:22" x14ac:dyDescent="0.45">
      <c r="I3844" t="s">
        <v>261</v>
      </c>
      <c r="J3844" t="s">
        <v>524</v>
      </c>
      <c r="K3844">
        <v>3.3600205981121232E-3</v>
      </c>
      <c r="L3844" t="s">
        <v>162</v>
      </c>
      <c r="N3844" t="s">
        <v>373</v>
      </c>
      <c r="O3844" t="s">
        <v>524</v>
      </c>
      <c r="P3844">
        <v>4.1473313012185022E-2</v>
      </c>
      <c r="Q3844" t="s">
        <v>162</v>
      </c>
      <c r="S3844" t="s">
        <v>485</v>
      </c>
      <c r="T3844" t="s">
        <v>524</v>
      </c>
      <c r="U3844">
        <v>4.9806561372950628E-2</v>
      </c>
      <c r="V3844" t="s">
        <v>162</v>
      </c>
    </row>
    <row r="3845" spans="9:22" x14ac:dyDescent="0.45">
      <c r="I3845" t="s">
        <v>261</v>
      </c>
      <c r="J3845" t="s">
        <v>168</v>
      </c>
      <c r="K3845">
        <v>1.7540987801549977E-2</v>
      </c>
      <c r="L3845" t="s">
        <v>162</v>
      </c>
      <c r="N3845" t="s">
        <v>373</v>
      </c>
      <c r="O3845" t="s">
        <v>168</v>
      </c>
      <c r="P3845">
        <v>4.0488092633443606E-2</v>
      </c>
      <c r="Q3845" t="s">
        <v>162</v>
      </c>
      <c r="S3845" t="s">
        <v>485</v>
      </c>
      <c r="T3845" t="s">
        <v>168</v>
      </c>
      <c r="U3845">
        <v>3.2036957259703604E-2</v>
      </c>
      <c r="V3845" t="s">
        <v>162</v>
      </c>
    </row>
    <row r="3846" spans="9:22" x14ac:dyDescent="0.45">
      <c r="I3846" t="s">
        <v>261</v>
      </c>
      <c r="J3846" t="s">
        <v>169</v>
      </c>
      <c r="K3846">
        <v>1.0024877638020185E-2</v>
      </c>
      <c r="L3846" t="s">
        <v>162</v>
      </c>
      <c r="N3846" t="s">
        <v>373</v>
      </c>
      <c r="O3846" t="s">
        <v>169</v>
      </c>
      <c r="P3846">
        <v>4.0272181875982745E-3</v>
      </c>
      <c r="Q3846" t="s">
        <v>162</v>
      </c>
      <c r="S3846" t="s">
        <v>485</v>
      </c>
      <c r="T3846" t="s">
        <v>169</v>
      </c>
      <c r="U3846">
        <v>3.5816473062863052E-3</v>
      </c>
      <c r="V3846" t="s">
        <v>162</v>
      </c>
    </row>
    <row r="3847" spans="9:22" x14ac:dyDescent="0.45">
      <c r="I3847" t="s">
        <v>261</v>
      </c>
      <c r="J3847" t="s">
        <v>170</v>
      </c>
      <c r="K3847">
        <v>2.3139042306271417E-2</v>
      </c>
      <c r="L3847" t="s">
        <v>162</v>
      </c>
      <c r="N3847" t="s">
        <v>373</v>
      </c>
      <c r="O3847" t="s">
        <v>170</v>
      </c>
      <c r="P3847">
        <v>8.1562625430414287E-3</v>
      </c>
      <c r="Q3847" t="s">
        <v>162</v>
      </c>
      <c r="S3847" t="s">
        <v>485</v>
      </c>
      <c r="T3847" t="s">
        <v>170</v>
      </c>
      <c r="U3847">
        <v>7.4848195162856099E-3</v>
      </c>
      <c r="V3847" t="s">
        <v>162</v>
      </c>
    </row>
    <row r="3848" spans="9:22" x14ac:dyDescent="0.45">
      <c r="I3848" t="s">
        <v>261</v>
      </c>
      <c r="J3848" t="s">
        <v>525</v>
      </c>
      <c r="K3848">
        <v>5.6545546308537455E-2</v>
      </c>
      <c r="L3848" t="s">
        <v>162</v>
      </c>
      <c r="N3848" t="s">
        <v>373</v>
      </c>
      <c r="O3848" t="s">
        <v>525</v>
      </c>
      <c r="P3848">
        <v>2.1064963717665058E-2</v>
      </c>
      <c r="Q3848" t="s">
        <v>162</v>
      </c>
      <c r="S3848" t="s">
        <v>485</v>
      </c>
      <c r="T3848" t="s">
        <v>525</v>
      </c>
      <c r="U3848">
        <v>2.0356976571227498E-2</v>
      </c>
      <c r="V3848" t="s">
        <v>162</v>
      </c>
    </row>
    <row r="3849" spans="9:22" x14ac:dyDescent="0.45">
      <c r="I3849" t="s">
        <v>261</v>
      </c>
      <c r="J3849" t="s">
        <v>526</v>
      </c>
      <c r="K3849">
        <v>7.8747025972746056E-3</v>
      </c>
      <c r="L3849" t="s">
        <v>162</v>
      </c>
      <c r="N3849" t="s">
        <v>373</v>
      </c>
      <c r="O3849" t="s">
        <v>526</v>
      </c>
      <c r="P3849">
        <v>4.0126070124034191E-3</v>
      </c>
      <c r="Q3849" t="s">
        <v>162</v>
      </c>
      <c r="S3849" t="s">
        <v>485</v>
      </c>
      <c r="T3849" t="s">
        <v>526</v>
      </c>
      <c r="U3849">
        <v>4.1851229589740394E-3</v>
      </c>
      <c r="V3849" t="s">
        <v>162</v>
      </c>
    </row>
    <row r="3850" spans="9:22" x14ac:dyDescent="0.45">
      <c r="I3850" t="s">
        <v>261</v>
      </c>
      <c r="J3850" t="s">
        <v>527</v>
      </c>
      <c r="K3850">
        <v>7.9910127850204536E-3</v>
      </c>
      <c r="L3850" t="s">
        <v>162</v>
      </c>
      <c r="N3850" t="s">
        <v>373</v>
      </c>
      <c r="O3850" t="s">
        <v>527</v>
      </c>
      <c r="P3850">
        <v>2.5283969942990696E-2</v>
      </c>
      <c r="Q3850" t="s">
        <v>162</v>
      </c>
      <c r="S3850" t="s">
        <v>485</v>
      </c>
      <c r="T3850" t="s">
        <v>527</v>
      </c>
      <c r="U3850">
        <v>2.2498199395207159E-2</v>
      </c>
      <c r="V3850" t="s">
        <v>162</v>
      </c>
    </row>
    <row r="3851" spans="9:22" x14ac:dyDescent="0.45">
      <c r="I3851" t="s">
        <v>261</v>
      </c>
      <c r="J3851" t="s">
        <v>528</v>
      </c>
      <c r="K3851">
        <v>7.3925608250031069E-2</v>
      </c>
      <c r="L3851" t="s">
        <v>162</v>
      </c>
      <c r="N3851" t="s">
        <v>373</v>
      </c>
      <c r="O3851" t="s">
        <v>528</v>
      </c>
      <c r="P3851">
        <v>7.9300115740800994E-2</v>
      </c>
      <c r="Q3851" t="s">
        <v>162</v>
      </c>
      <c r="S3851" t="s">
        <v>485</v>
      </c>
      <c r="T3851" t="s">
        <v>528</v>
      </c>
      <c r="U3851">
        <v>6.493331462336191E-2</v>
      </c>
      <c r="V3851" t="s">
        <v>162</v>
      </c>
    </row>
    <row r="3852" spans="9:22" x14ac:dyDescent="0.45">
      <c r="I3852" t="s">
        <v>261</v>
      </c>
      <c r="J3852" t="s">
        <v>529</v>
      </c>
      <c r="K3852">
        <v>3.0708125042789632E-2</v>
      </c>
      <c r="L3852" t="s">
        <v>162</v>
      </c>
      <c r="N3852" t="s">
        <v>373</v>
      </c>
      <c r="O3852" t="s">
        <v>529</v>
      </c>
      <c r="P3852">
        <v>7.6302595658087604E-3</v>
      </c>
      <c r="Q3852" t="s">
        <v>162</v>
      </c>
      <c r="S3852" t="s">
        <v>485</v>
      </c>
      <c r="T3852" t="s">
        <v>529</v>
      </c>
      <c r="U3852">
        <v>6.8027278624315703E-3</v>
      </c>
      <c r="V3852" t="s">
        <v>162</v>
      </c>
    </row>
    <row r="3853" spans="9:22" x14ac:dyDescent="0.45">
      <c r="I3853" t="s">
        <v>261</v>
      </c>
      <c r="J3853" t="s">
        <v>530</v>
      </c>
      <c r="K3853">
        <v>6.6200605489457651E-2</v>
      </c>
      <c r="L3853" t="s">
        <v>162</v>
      </c>
      <c r="N3853" t="s">
        <v>373</v>
      </c>
      <c r="O3853" t="s">
        <v>530</v>
      </c>
      <c r="P3853">
        <v>1.6120075656104321E-2</v>
      </c>
      <c r="Q3853" t="s">
        <v>162</v>
      </c>
      <c r="S3853" t="s">
        <v>485</v>
      </c>
      <c r="T3853" t="s">
        <v>530</v>
      </c>
      <c r="U3853">
        <v>1.432050094843019E-2</v>
      </c>
      <c r="V3853" t="s">
        <v>162</v>
      </c>
    </row>
    <row r="3854" spans="9:22" x14ac:dyDescent="0.45">
      <c r="I3854" t="s">
        <v>261</v>
      </c>
      <c r="J3854" t="s">
        <v>531</v>
      </c>
      <c r="K3854">
        <v>0.14847995919791454</v>
      </c>
      <c r="L3854" t="s">
        <v>162</v>
      </c>
      <c r="N3854" t="s">
        <v>373</v>
      </c>
      <c r="O3854" t="s">
        <v>531</v>
      </c>
      <c r="P3854">
        <v>4.3657554693929859E-2</v>
      </c>
      <c r="Q3854" t="s">
        <v>162</v>
      </c>
      <c r="S3854" t="s">
        <v>485</v>
      </c>
      <c r="T3854" t="s">
        <v>531</v>
      </c>
      <c r="U3854">
        <v>3.9462376397608259E-2</v>
      </c>
      <c r="V3854" t="s">
        <v>162</v>
      </c>
    </row>
    <row r="3855" spans="9:22" x14ac:dyDescent="0.45">
      <c r="I3855" t="s">
        <v>261</v>
      </c>
      <c r="J3855" t="s">
        <v>532</v>
      </c>
      <c r="K3855">
        <v>2.279590426299383E-2</v>
      </c>
      <c r="L3855" t="s">
        <v>162</v>
      </c>
      <c r="N3855" t="s">
        <v>373</v>
      </c>
      <c r="O3855" t="s">
        <v>532</v>
      </c>
      <c r="P3855">
        <v>7.656703715044017E-3</v>
      </c>
      <c r="Q3855" t="s">
        <v>162</v>
      </c>
      <c r="S3855" t="s">
        <v>485</v>
      </c>
      <c r="T3855" t="s">
        <v>532</v>
      </c>
      <c r="U3855">
        <v>8.5531801233277843E-3</v>
      </c>
      <c r="V3855" t="s">
        <v>162</v>
      </c>
    </row>
    <row r="3856" spans="9:22" x14ac:dyDescent="0.45">
      <c r="I3856" t="s">
        <v>261</v>
      </c>
      <c r="J3856" t="s">
        <v>533</v>
      </c>
      <c r="K3856">
        <v>3.9269580172786776E-2</v>
      </c>
      <c r="L3856" t="s">
        <v>162</v>
      </c>
      <c r="N3856" t="s">
        <v>373</v>
      </c>
      <c r="O3856" t="s">
        <v>533</v>
      </c>
      <c r="P3856">
        <v>4.9560086807306732E-2</v>
      </c>
      <c r="Q3856" t="s">
        <v>162</v>
      </c>
      <c r="S3856" t="s">
        <v>485</v>
      </c>
      <c r="T3856" t="s">
        <v>533</v>
      </c>
      <c r="U3856">
        <v>4.9417221065236293E-2</v>
      </c>
      <c r="V3856" t="s">
        <v>162</v>
      </c>
    </row>
    <row r="3857" spans="9:22" x14ac:dyDescent="0.45">
      <c r="I3857" t="s">
        <v>261</v>
      </c>
      <c r="J3857" t="s">
        <v>534</v>
      </c>
      <c r="K3857">
        <v>3.0508038010024198E-2</v>
      </c>
      <c r="L3857" t="s">
        <v>162</v>
      </c>
      <c r="N3857" t="s">
        <v>373</v>
      </c>
      <c r="O3857" t="s">
        <v>534</v>
      </c>
      <c r="P3857">
        <v>8.7092243728959087E-2</v>
      </c>
      <c r="Q3857" t="s">
        <v>162</v>
      </c>
      <c r="S3857" t="s">
        <v>485</v>
      </c>
      <c r="T3857" t="s">
        <v>534</v>
      </c>
      <c r="U3857">
        <v>6.894952474887206E-2</v>
      </c>
      <c r="V3857" t="s">
        <v>162</v>
      </c>
    </row>
    <row r="3858" spans="9:22" x14ac:dyDescent="0.45">
      <c r="I3858" t="s">
        <v>261</v>
      </c>
      <c r="J3858" t="s">
        <v>535</v>
      </c>
      <c r="K3858">
        <v>1.9516608402645557E-2</v>
      </c>
      <c r="L3858" t="s">
        <v>162</v>
      </c>
      <c r="N3858" t="s">
        <v>373</v>
      </c>
      <c r="O3858" t="s">
        <v>535</v>
      </c>
      <c r="P3858">
        <v>8.959684444839985E-3</v>
      </c>
      <c r="Q3858" t="s">
        <v>162</v>
      </c>
      <c r="S3858" t="s">
        <v>485</v>
      </c>
      <c r="T3858" t="s">
        <v>535</v>
      </c>
      <c r="U3858">
        <v>7.6236032615206225E-3</v>
      </c>
      <c r="V3858" t="s">
        <v>162</v>
      </c>
    </row>
    <row r="3859" spans="9:22" x14ac:dyDescent="0.45">
      <c r="I3859" t="s">
        <v>261</v>
      </c>
      <c r="J3859" t="s">
        <v>536</v>
      </c>
      <c r="K3859">
        <v>4.4055701438913797E-2</v>
      </c>
      <c r="L3859" t="s">
        <v>162</v>
      </c>
      <c r="N3859" t="s">
        <v>373</v>
      </c>
      <c r="O3859" t="s">
        <v>536</v>
      </c>
      <c r="P3859">
        <v>1.813197894377027E-2</v>
      </c>
      <c r="Q3859" t="s">
        <v>162</v>
      </c>
      <c r="S3859" t="s">
        <v>485</v>
      </c>
      <c r="T3859" t="s">
        <v>536</v>
      </c>
      <c r="U3859">
        <v>1.5807756823904229E-2</v>
      </c>
      <c r="V3859" t="s">
        <v>162</v>
      </c>
    </row>
    <row r="3860" spans="9:22" x14ac:dyDescent="0.45">
      <c r="I3860" t="s">
        <v>261</v>
      </c>
      <c r="J3860" t="s">
        <v>537</v>
      </c>
      <c r="K3860">
        <v>0.10149788971822953</v>
      </c>
      <c r="L3860" t="s">
        <v>162</v>
      </c>
      <c r="N3860" t="s">
        <v>373</v>
      </c>
      <c r="O3860" t="s">
        <v>537</v>
      </c>
      <c r="P3860">
        <v>4.8838632100427645E-2</v>
      </c>
      <c r="Q3860" t="s">
        <v>162</v>
      </c>
      <c r="S3860" t="s">
        <v>485</v>
      </c>
      <c r="T3860" t="s">
        <v>537</v>
      </c>
      <c r="U3860">
        <v>4.2043677444570368E-2</v>
      </c>
      <c r="V3860" t="s">
        <v>162</v>
      </c>
    </row>
    <row r="3861" spans="9:22" x14ac:dyDescent="0.45">
      <c r="I3861" t="s">
        <v>261</v>
      </c>
      <c r="J3861" t="s">
        <v>538</v>
      </c>
      <c r="K3861">
        <v>1.299000217345167E-2</v>
      </c>
      <c r="L3861" t="s">
        <v>162</v>
      </c>
      <c r="N3861" t="s">
        <v>373</v>
      </c>
      <c r="O3861" t="s">
        <v>538</v>
      </c>
      <c r="P3861">
        <v>9.2270203796547823E-3</v>
      </c>
      <c r="Q3861" t="s">
        <v>162</v>
      </c>
      <c r="S3861" t="s">
        <v>485</v>
      </c>
      <c r="T3861" t="s">
        <v>538</v>
      </c>
      <c r="U3861">
        <v>8.9879788415960157E-3</v>
      </c>
      <c r="V3861" t="s">
        <v>162</v>
      </c>
    </row>
    <row r="3862" spans="9:22" x14ac:dyDescent="0.45">
      <c r="I3862" t="s">
        <v>261</v>
      </c>
      <c r="J3862" t="s">
        <v>539</v>
      </c>
      <c r="K3862">
        <v>1.0651603715666608E-2</v>
      </c>
      <c r="L3862" t="s">
        <v>162</v>
      </c>
      <c r="N3862" t="s">
        <v>373</v>
      </c>
      <c r="O3862" t="s">
        <v>539</v>
      </c>
      <c r="P3862">
        <v>5.9060860448104061E-2</v>
      </c>
      <c r="Q3862" t="s">
        <v>162</v>
      </c>
      <c r="S3862" t="s">
        <v>485</v>
      </c>
      <c r="T3862" t="s">
        <v>539</v>
      </c>
      <c r="U3862">
        <v>5.3136204575764297E-2</v>
      </c>
      <c r="V3862" t="s">
        <v>162</v>
      </c>
    </row>
    <row r="3863" spans="9:22" x14ac:dyDescent="0.45">
      <c r="I3863" t="s">
        <v>261</v>
      </c>
      <c r="J3863" t="s">
        <v>540</v>
      </c>
      <c r="K3863">
        <v>6.218185361128233E-4</v>
      </c>
      <c r="L3863" t="s">
        <v>162</v>
      </c>
      <c r="N3863" t="s">
        <v>373</v>
      </c>
      <c r="O3863" t="s">
        <v>540</v>
      </c>
      <c r="P3863">
        <v>3.7992780681306015E-2</v>
      </c>
      <c r="Q3863" t="s">
        <v>162</v>
      </c>
      <c r="S3863" t="s">
        <v>485</v>
      </c>
      <c r="T3863" t="s">
        <v>540</v>
      </c>
      <c r="U3863">
        <v>3.9907499716257309E-2</v>
      </c>
      <c r="V3863" t="s">
        <v>162</v>
      </c>
    </row>
    <row r="3864" spans="9:22" x14ac:dyDescent="0.45">
      <c r="I3864" t="s">
        <v>261</v>
      </c>
      <c r="J3864" t="s">
        <v>541</v>
      </c>
      <c r="K3864">
        <v>1.8746465872277458E-3</v>
      </c>
      <c r="L3864" t="s">
        <v>162</v>
      </c>
      <c r="N3864" t="s">
        <v>373</v>
      </c>
      <c r="O3864" t="s">
        <v>541</v>
      </c>
      <c r="P3864">
        <v>4.2416582059896131E-3</v>
      </c>
      <c r="Q3864" t="s">
        <v>162</v>
      </c>
      <c r="S3864" t="s">
        <v>485</v>
      </c>
      <c r="T3864" t="s">
        <v>541</v>
      </c>
      <c r="U3864">
        <v>4.6534958123395928E-3</v>
      </c>
      <c r="V3864" t="s">
        <v>162</v>
      </c>
    </row>
    <row r="3865" spans="9:22" x14ac:dyDescent="0.45">
      <c r="I3865" t="s">
        <v>261</v>
      </c>
      <c r="J3865" t="s">
        <v>542</v>
      </c>
      <c r="K3865">
        <v>6.7009908196930239E-3</v>
      </c>
      <c r="L3865" t="s">
        <v>162</v>
      </c>
      <c r="N3865" t="s">
        <v>373</v>
      </c>
      <c r="O3865" t="s">
        <v>542</v>
      </c>
      <c r="P3865">
        <v>8.4765445251643572E-3</v>
      </c>
      <c r="Q3865" t="s">
        <v>162</v>
      </c>
      <c r="S3865" t="s">
        <v>485</v>
      </c>
      <c r="T3865" t="s">
        <v>542</v>
      </c>
      <c r="U3865">
        <v>9.4353125714028759E-3</v>
      </c>
      <c r="V3865" t="s">
        <v>162</v>
      </c>
    </row>
    <row r="3866" spans="9:22" x14ac:dyDescent="0.45">
      <c r="I3866" t="s">
        <v>261</v>
      </c>
      <c r="J3866" t="s">
        <v>543</v>
      </c>
      <c r="K3866">
        <v>1.3831968405095143E-2</v>
      </c>
      <c r="L3866" t="s">
        <v>162</v>
      </c>
      <c r="N3866" t="s">
        <v>373</v>
      </c>
      <c r="O3866" t="s">
        <v>543</v>
      </c>
      <c r="P3866">
        <v>2.259422306316208E-2</v>
      </c>
      <c r="Q3866" t="s">
        <v>162</v>
      </c>
      <c r="S3866" t="s">
        <v>485</v>
      </c>
      <c r="T3866" t="s">
        <v>543</v>
      </c>
      <c r="U3866">
        <v>2.2990884852683514E-2</v>
      </c>
      <c r="V3866" t="s">
        <v>162</v>
      </c>
    </row>
    <row r="3867" spans="9:22" x14ac:dyDescent="0.45">
      <c r="I3867" t="s">
        <v>261</v>
      </c>
      <c r="J3867" t="s">
        <v>544</v>
      </c>
      <c r="K3867">
        <v>0</v>
      </c>
      <c r="L3867" t="s">
        <v>162</v>
      </c>
      <c r="N3867" t="s">
        <v>373</v>
      </c>
      <c r="O3867" t="s">
        <v>544</v>
      </c>
      <c r="P3867">
        <v>4.7245588774672293E-3</v>
      </c>
      <c r="Q3867" t="s">
        <v>162</v>
      </c>
      <c r="S3867" t="s">
        <v>485</v>
      </c>
      <c r="T3867" t="s">
        <v>544</v>
      </c>
      <c r="U3867">
        <v>4.3897810879826504E-3</v>
      </c>
      <c r="V3867" t="s">
        <v>162</v>
      </c>
    </row>
    <row r="3868" spans="9:22" x14ac:dyDescent="0.45">
      <c r="I3868" t="s">
        <v>261</v>
      </c>
      <c r="J3868" t="s">
        <v>545</v>
      </c>
      <c r="K3868">
        <v>0</v>
      </c>
      <c r="L3868" t="s">
        <v>162</v>
      </c>
      <c r="N3868" t="s">
        <v>373</v>
      </c>
      <c r="O3868" t="s">
        <v>545</v>
      </c>
      <c r="P3868">
        <v>2.8969863995727745E-2</v>
      </c>
      <c r="Q3868" t="s">
        <v>162</v>
      </c>
      <c r="S3868" t="s">
        <v>485</v>
      </c>
      <c r="T3868" t="s">
        <v>545</v>
      </c>
      <c r="U3868">
        <v>2.7058949919730117E-2</v>
      </c>
      <c r="V3868" t="s">
        <v>162</v>
      </c>
    </row>
    <row r="3869" spans="9:22" x14ac:dyDescent="0.45">
      <c r="I3869" t="s">
        <v>261</v>
      </c>
      <c r="J3869" t="s">
        <v>546</v>
      </c>
      <c r="K3869">
        <v>0</v>
      </c>
      <c r="L3869" t="s">
        <v>162</v>
      </c>
      <c r="N3869" t="s">
        <v>373</v>
      </c>
      <c r="O3869" t="s">
        <v>546</v>
      </c>
      <c r="P3869">
        <v>3.0797702831428016E-2</v>
      </c>
      <c r="Q3869" t="s">
        <v>162</v>
      </c>
      <c r="S3869" t="s">
        <v>485</v>
      </c>
      <c r="T3869" t="s">
        <v>546</v>
      </c>
      <c r="U3869">
        <v>3.8514981252697658E-2</v>
      </c>
      <c r="V3869" t="s">
        <v>162</v>
      </c>
    </row>
    <row r="3870" spans="9:22" x14ac:dyDescent="0.45">
      <c r="I3870" t="s">
        <v>261</v>
      </c>
      <c r="J3870" t="s">
        <v>547</v>
      </c>
      <c r="K3870">
        <v>3.1973637204759479E-3</v>
      </c>
      <c r="L3870" t="s">
        <v>162</v>
      </c>
      <c r="N3870" t="s">
        <v>373</v>
      </c>
      <c r="O3870" t="s">
        <v>547</v>
      </c>
      <c r="P3870">
        <v>3.4890949113649448E-3</v>
      </c>
      <c r="Q3870" t="s">
        <v>162</v>
      </c>
      <c r="S3870" t="s">
        <v>485</v>
      </c>
      <c r="T3870" t="s">
        <v>547</v>
      </c>
      <c r="U3870">
        <v>4.1444791343095014E-3</v>
      </c>
      <c r="V3870" t="s">
        <v>162</v>
      </c>
    </row>
    <row r="3871" spans="9:22" x14ac:dyDescent="0.45">
      <c r="I3871" t="s">
        <v>261</v>
      </c>
      <c r="J3871" t="s">
        <v>548</v>
      </c>
      <c r="K3871">
        <v>1.1492177399242125E-2</v>
      </c>
      <c r="L3871" t="s">
        <v>162</v>
      </c>
      <c r="N3871" t="s">
        <v>373</v>
      </c>
      <c r="O3871" t="s">
        <v>548</v>
      </c>
      <c r="P3871">
        <v>6.9332469809498419E-3</v>
      </c>
      <c r="Q3871" t="s">
        <v>162</v>
      </c>
      <c r="S3871" t="s">
        <v>485</v>
      </c>
      <c r="T3871" t="s">
        <v>548</v>
      </c>
      <c r="U3871">
        <v>9.2637276882866649E-3</v>
      </c>
      <c r="V3871" t="s">
        <v>162</v>
      </c>
    </row>
    <row r="3872" spans="9:22" x14ac:dyDescent="0.45">
      <c r="I3872" t="s">
        <v>261</v>
      </c>
      <c r="J3872" t="s">
        <v>549</v>
      </c>
      <c r="K3872">
        <v>2.3760584585648455E-2</v>
      </c>
      <c r="L3872" t="s">
        <v>162</v>
      </c>
      <c r="N3872" t="s">
        <v>373</v>
      </c>
      <c r="O3872" t="s">
        <v>549</v>
      </c>
      <c r="P3872">
        <v>1.7645763930910163E-2</v>
      </c>
      <c r="Q3872" t="s">
        <v>162</v>
      </c>
      <c r="S3872" t="s">
        <v>485</v>
      </c>
      <c r="T3872" t="s">
        <v>549</v>
      </c>
      <c r="U3872">
        <v>2.5302720653467576E-2</v>
      </c>
      <c r="V3872" t="s">
        <v>162</v>
      </c>
    </row>
    <row r="3873" spans="9:22" x14ac:dyDescent="0.45">
      <c r="I3873" t="s">
        <v>261</v>
      </c>
      <c r="J3873" t="s">
        <v>550</v>
      </c>
      <c r="K3873">
        <v>0</v>
      </c>
      <c r="L3873" t="s">
        <v>162</v>
      </c>
      <c r="N3873" t="s">
        <v>373</v>
      </c>
      <c r="O3873" t="s">
        <v>550</v>
      </c>
      <c r="P3873">
        <v>3.9469468540360535E-3</v>
      </c>
      <c r="Q3873" t="s">
        <v>162</v>
      </c>
      <c r="S3873" t="s">
        <v>485</v>
      </c>
      <c r="T3873" t="s">
        <v>550</v>
      </c>
      <c r="U3873">
        <v>5.1734607749979542E-3</v>
      </c>
      <c r="V3873" t="s">
        <v>162</v>
      </c>
    </row>
    <row r="3874" spans="9:22" x14ac:dyDescent="0.45">
      <c r="I3874" t="s">
        <v>261</v>
      </c>
      <c r="J3874" t="s">
        <v>551</v>
      </c>
      <c r="K3874">
        <v>0</v>
      </c>
      <c r="L3874" t="s">
        <v>162</v>
      </c>
      <c r="N3874" t="s">
        <v>373</v>
      </c>
      <c r="O3874" t="s">
        <v>551</v>
      </c>
      <c r="P3874">
        <v>2.3254393268899973E-2</v>
      </c>
      <c r="Q3874" t="s">
        <v>162</v>
      </c>
      <c r="S3874" t="s">
        <v>485</v>
      </c>
      <c r="T3874" t="s">
        <v>551</v>
      </c>
      <c r="U3874">
        <v>3.0308493586851046E-2</v>
      </c>
      <c r="V3874" t="s">
        <v>162</v>
      </c>
    </row>
    <row r="3875" spans="9:22" x14ac:dyDescent="0.45">
      <c r="I3875" t="s">
        <v>262</v>
      </c>
      <c r="J3875" t="s">
        <v>161</v>
      </c>
      <c r="K3875">
        <v>0</v>
      </c>
      <c r="L3875" t="s">
        <v>162</v>
      </c>
      <c r="N3875" t="s">
        <v>374</v>
      </c>
      <c r="O3875" t="s">
        <v>161</v>
      </c>
      <c r="P3875">
        <v>4.2234125425716772E-2</v>
      </c>
      <c r="Q3875" t="s">
        <v>162</v>
      </c>
      <c r="S3875" t="s">
        <v>486</v>
      </c>
      <c r="T3875" t="s">
        <v>161</v>
      </c>
      <c r="U3875">
        <v>3.8885720064317911E-2</v>
      </c>
      <c r="V3875" t="s">
        <v>162</v>
      </c>
    </row>
    <row r="3876" spans="9:22" x14ac:dyDescent="0.45">
      <c r="I3876" t="s">
        <v>262</v>
      </c>
      <c r="J3876" t="s">
        <v>163</v>
      </c>
      <c r="K3876">
        <v>3.1478057550627428E-3</v>
      </c>
      <c r="L3876" t="s">
        <v>162</v>
      </c>
      <c r="N3876" t="s">
        <v>374</v>
      </c>
      <c r="O3876" t="s">
        <v>163</v>
      </c>
      <c r="P3876">
        <v>4.5280211882061262E-3</v>
      </c>
      <c r="Q3876" t="s">
        <v>162</v>
      </c>
      <c r="S3876" t="s">
        <v>486</v>
      </c>
      <c r="T3876" t="s">
        <v>163</v>
      </c>
      <c r="U3876">
        <v>4.6457907861402557E-3</v>
      </c>
      <c r="V3876" t="s">
        <v>162</v>
      </c>
    </row>
    <row r="3877" spans="9:22" x14ac:dyDescent="0.45">
      <c r="I3877" t="s">
        <v>262</v>
      </c>
      <c r="J3877" t="s">
        <v>164</v>
      </c>
      <c r="K3877">
        <v>1.169042875701921E-2</v>
      </c>
      <c r="L3877" t="s">
        <v>162</v>
      </c>
      <c r="N3877" t="s">
        <v>374</v>
      </c>
      <c r="O3877" t="s">
        <v>164</v>
      </c>
      <c r="P3877">
        <v>8.6805669063282995E-3</v>
      </c>
      <c r="Q3877" t="s">
        <v>162</v>
      </c>
      <c r="S3877" t="s">
        <v>486</v>
      </c>
      <c r="T3877" t="s">
        <v>164</v>
      </c>
      <c r="U3877">
        <v>9.4113347379032614E-3</v>
      </c>
      <c r="V3877" t="s">
        <v>162</v>
      </c>
    </row>
    <row r="3878" spans="9:22" x14ac:dyDescent="0.45">
      <c r="I3878" t="s">
        <v>262</v>
      </c>
      <c r="J3878" t="s">
        <v>519</v>
      </c>
      <c r="K3878">
        <v>3.0860568314390137E-2</v>
      </c>
      <c r="L3878" t="s">
        <v>162</v>
      </c>
      <c r="N3878" t="s">
        <v>374</v>
      </c>
      <c r="O3878" t="s">
        <v>519</v>
      </c>
      <c r="P3878">
        <v>2.1432515172220928E-2</v>
      </c>
      <c r="Q3878" t="s">
        <v>162</v>
      </c>
      <c r="S3878" t="s">
        <v>486</v>
      </c>
      <c r="T3878" t="s">
        <v>519</v>
      </c>
      <c r="U3878">
        <v>2.405006070518554E-2</v>
      </c>
      <c r="V3878" t="s">
        <v>162</v>
      </c>
    </row>
    <row r="3879" spans="9:22" x14ac:dyDescent="0.45">
      <c r="I3879" t="s">
        <v>262</v>
      </c>
      <c r="J3879" t="s">
        <v>520</v>
      </c>
      <c r="K3879">
        <v>1.1375243279223702E-3</v>
      </c>
      <c r="L3879" t="s">
        <v>162</v>
      </c>
      <c r="N3879" t="s">
        <v>374</v>
      </c>
      <c r="O3879" t="s">
        <v>520</v>
      </c>
      <c r="P3879">
        <v>4.457240304269988E-3</v>
      </c>
      <c r="Q3879" t="s">
        <v>162</v>
      </c>
      <c r="S3879" t="s">
        <v>486</v>
      </c>
      <c r="T3879" t="s">
        <v>520</v>
      </c>
      <c r="U3879">
        <v>4.8402498048380725E-3</v>
      </c>
      <c r="V3879" t="s">
        <v>162</v>
      </c>
    </row>
    <row r="3880" spans="9:22" x14ac:dyDescent="0.45">
      <c r="I3880" t="s">
        <v>262</v>
      </c>
      <c r="J3880" t="s">
        <v>521</v>
      </c>
      <c r="K3880">
        <v>0</v>
      </c>
      <c r="L3880" t="s">
        <v>162</v>
      </c>
      <c r="N3880" t="s">
        <v>374</v>
      </c>
      <c r="O3880" t="s">
        <v>521</v>
      </c>
      <c r="P3880">
        <v>2.8344286781452035E-2</v>
      </c>
      <c r="Q3880" t="s">
        <v>162</v>
      </c>
      <c r="S3880" t="s">
        <v>486</v>
      </c>
      <c r="T3880" t="s">
        <v>521</v>
      </c>
      <c r="U3880">
        <v>2.7521730277715119E-2</v>
      </c>
      <c r="V3880" t="s">
        <v>162</v>
      </c>
    </row>
    <row r="3881" spans="9:22" x14ac:dyDescent="0.45">
      <c r="I3881" t="s">
        <v>262</v>
      </c>
      <c r="J3881" t="s">
        <v>165</v>
      </c>
      <c r="K3881">
        <v>9.9340658978598374E-3</v>
      </c>
      <c r="L3881" t="s">
        <v>162</v>
      </c>
      <c r="N3881" t="s">
        <v>374</v>
      </c>
      <c r="O3881" t="s">
        <v>165</v>
      </c>
      <c r="P3881">
        <v>5.0885556730970692E-2</v>
      </c>
      <c r="Q3881" t="s">
        <v>162</v>
      </c>
      <c r="S3881" t="s">
        <v>486</v>
      </c>
      <c r="T3881" t="s">
        <v>165</v>
      </c>
      <c r="U3881">
        <v>7.3287679182827956E-2</v>
      </c>
      <c r="V3881" t="s">
        <v>162</v>
      </c>
    </row>
    <row r="3882" spans="9:22" x14ac:dyDescent="0.45">
      <c r="I3882" t="s">
        <v>262</v>
      </c>
      <c r="J3882" t="s">
        <v>166</v>
      </c>
      <c r="K3882">
        <v>1.4569907545885056E-2</v>
      </c>
      <c r="L3882" t="s">
        <v>162</v>
      </c>
      <c r="N3882" t="s">
        <v>374</v>
      </c>
      <c r="O3882" t="s">
        <v>166</v>
      </c>
      <c r="P3882">
        <v>4.9974516370025488E-3</v>
      </c>
      <c r="Q3882" t="s">
        <v>162</v>
      </c>
      <c r="S3882" t="s">
        <v>486</v>
      </c>
      <c r="T3882" t="s">
        <v>166</v>
      </c>
      <c r="U3882">
        <v>8.1298540148057822E-3</v>
      </c>
      <c r="V3882" t="s">
        <v>162</v>
      </c>
    </row>
    <row r="3883" spans="9:22" x14ac:dyDescent="0.45">
      <c r="I3883" t="s">
        <v>262</v>
      </c>
      <c r="J3883" t="s">
        <v>167</v>
      </c>
      <c r="K3883">
        <v>3.9037243523937004E-2</v>
      </c>
      <c r="L3883" t="s">
        <v>162</v>
      </c>
      <c r="N3883" t="s">
        <v>374</v>
      </c>
      <c r="O3883" t="s">
        <v>167</v>
      </c>
      <c r="P3883">
        <v>9.3138614065391753E-3</v>
      </c>
      <c r="Q3883" t="s">
        <v>162</v>
      </c>
      <c r="S3883" t="s">
        <v>486</v>
      </c>
      <c r="T3883" t="s">
        <v>167</v>
      </c>
      <c r="U3883">
        <v>1.6420457081609916E-2</v>
      </c>
      <c r="V3883" t="s">
        <v>162</v>
      </c>
    </row>
    <row r="3884" spans="9:22" x14ac:dyDescent="0.45">
      <c r="I3884" t="s">
        <v>262</v>
      </c>
      <c r="J3884" t="s">
        <v>522</v>
      </c>
      <c r="K3884">
        <v>9.2899209621888287E-2</v>
      </c>
      <c r="L3884" t="s">
        <v>162</v>
      </c>
      <c r="N3884" t="s">
        <v>374</v>
      </c>
      <c r="O3884" t="s">
        <v>522</v>
      </c>
      <c r="P3884">
        <v>2.3366988381508972E-2</v>
      </c>
      <c r="Q3884" t="s">
        <v>162</v>
      </c>
      <c r="S3884" t="s">
        <v>486</v>
      </c>
      <c r="T3884" t="s">
        <v>522</v>
      </c>
      <c r="U3884">
        <v>3.9351589335581819E-2</v>
      </c>
      <c r="V3884" t="s">
        <v>162</v>
      </c>
    </row>
    <row r="3885" spans="9:22" x14ac:dyDescent="0.45">
      <c r="I3885" t="s">
        <v>262</v>
      </c>
      <c r="J3885" t="s">
        <v>523</v>
      </c>
      <c r="K3885">
        <v>1.1886887937666867E-2</v>
      </c>
      <c r="L3885" t="s">
        <v>162</v>
      </c>
      <c r="N3885" t="s">
        <v>374</v>
      </c>
      <c r="O3885" t="s">
        <v>523</v>
      </c>
      <c r="P3885">
        <v>4.9979418751491924E-3</v>
      </c>
      <c r="Q3885" t="s">
        <v>162</v>
      </c>
      <c r="S3885" t="s">
        <v>486</v>
      </c>
      <c r="T3885" t="s">
        <v>523</v>
      </c>
      <c r="U3885">
        <v>7.7816820581755684E-3</v>
      </c>
      <c r="V3885" t="s">
        <v>162</v>
      </c>
    </row>
    <row r="3886" spans="9:22" x14ac:dyDescent="0.45">
      <c r="I3886" t="s">
        <v>262</v>
      </c>
      <c r="J3886" t="s">
        <v>524</v>
      </c>
      <c r="K3886">
        <v>4.8887631759965142E-3</v>
      </c>
      <c r="L3886" t="s">
        <v>162</v>
      </c>
      <c r="N3886" t="s">
        <v>374</v>
      </c>
      <c r="O3886" t="s">
        <v>524</v>
      </c>
      <c r="P3886">
        <v>3.7334673848646041E-2</v>
      </c>
      <c r="Q3886" t="s">
        <v>162</v>
      </c>
      <c r="S3886" t="s">
        <v>486</v>
      </c>
      <c r="T3886" t="s">
        <v>524</v>
      </c>
      <c r="U3886">
        <v>4.6768310648736884E-2</v>
      </c>
      <c r="V3886" t="s">
        <v>162</v>
      </c>
    </row>
    <row r="3887" spans="9:22" x14ac:dyDescent="0.45">
      <c r="I3887" t="s">
        <v>262</v>
      </c>
      <c r="J3887" t="s">
        <v>168</v>
      </c>
      <c r="K3887">
        <v>1.5086126226347423E-2</v>
      </c>
      <c r="L3887" t="s">
        <v>162</v>
      </c>
      <c r="N3887" t="s">
        <v>374</v>
      </c>
      <c r="O3887" t="s">
        <v>168</v>
      </c>
      <c r="P3887">
        <v>4.2700753131685948E-2</v>
      </c>
      <c r="Q3887" t="s">
        <v>162</v>
      </c>
      <c r="S3887" t="s">
        <v>486</v>
      </c>
      <c r="T3887" t="s">
        <v>168</v>
      </c>
      <c r="U3887">
        <v>3.340114560522256E-2</v>
      </c>
      <c r="V3887" t="s">
        <v>162</v>
      </c>
    </row>
    <row r="3888" spans="9:22" x14ac:dyDescent="0.45">
      <c r="I3888" t="s">
        <v>262</v>
      </c>
      <c r="J3888" t="s">
        <v>169</v>
      </c>
      <c r="K3888">
        <v>9.2608385311003256E-3</v>
      </c>
      <c r="L3888" t="s">
        <v>162</v>
      </c>
      <c r="N3888" t="s">
        <v>374</v>
      </c>
      <c r="O3888" t="s">
        <v>169</v>
      </c>
      <c r="P3888">
        <v>4.1581454722434096E-3</v>
      </c>
      <c r="Q3888" t="s">
        <v>162</v>
      </c>
      <c r="S3888" t="s">
        <v>486</v>
      </c>
      <c r="T3888" t="s">
        <v>169</v>
      </c>
      <c r="U3888">
        <v>3.4249647169505276E-3</v>
      </c>
      <c r="V3888" t="s">
        <v>162</v>
      </c>
    </row>
    <row r="3889" spans="9:22" x14ac:dyDescent="0.45">
      <c r="I3889" t="s">
        <v>262</v>
      </c>
      <c r="J3889" t="s">
        <v>170</v>
      </c>
      <c r="K3889">
        <v>2.1379047411127595E-2</v>
      </c>
      <c r="L3889" t="s">
        <v>162</v>
      </c>
      <c r="N3889" t="s">
        <v>374</v>
      </c>
      <c r="O3889" t="s">
        <v>170</v>
      </c>
      <c r="P3889">
        <v>8.3052516413384056E-3</v>
      </c>
      <c r="Q3889" t="s">
        <v>162</v>
      </c>
      <c r="S3889" t="s">
        <v>486</v>
      </c>
      <c r="T3889" t="s">
        <v>170</v>
      </c>
      <c r="U3889">
        <v>6.8306624626340955E-3</v>
      </c>
      <c r="V3889" t="s">
        <v>162</v>
      </c>
    </row>
    <row r="3890" spans="9:22" x14ac:dyDescent="0.45">
      <c r="I3890" t="s">
        <v>262</v>
      </c>
      <c r="J3890" t="s">
        <v>525</v>
      </c>
      <c r="K3890">
        <v>5.0310941690312923E-2</v>
      </c>
      <c r="L3890" t="s">
        <v>162</v>
      </c>
      <c r="N3890" t="s">
        <v>374</v>
      </c>
      <c r="O3890" t="s">
        <v>525</v>
      </c>
      <c r="P3890">
        <v>2.1918743338208951E-2</v>
      </c>
      <c r="Q3890" t="s">
        <v>162</v>
      </c>
      <c r="S3890" t="s">
        <v>486</v>
      </c>
      <c r="T3890" t="s">
        <v>525</v>
      </c>
      <c r="U3890">
        <v>1.8589743856512866E-2</v>
      </c>
      <c r="V3890" t="s">
        <v>162</v>
      </c>
    </row>
    <row r="3891" spans="9:22" x14ac:dyDescent="0.45">
      <c r="I3891" t="s">
        <v>262</v>
      </c>
      <c r="J3891" t="s">
        <v>526</v>
      </c>
      <c r="K3891">
        <v>6.5781650608432978E-3</v>
      </c>
      <c r="L3891" t="s">
        <v>162</v>
      </c>
      <c r="N3891" t="s">
        <v>374</v>
      </c>
      <c r="O3891" t="s">
        <v>526</v>
      </c>
      <c r="P3891">
        <v>4.1720155004579696E-3</v>
      </c>
      <c r="Q3891" t="s">
        <v>162</v>
      </c>
      <c r="S3891" t="s">
        <v>486</v>
      </c>
      <c r="T3891" t="s">
        <v>526</v>
      </c>
      <c r="U3891">
        <v>3.9533238282915576E-3</v>
      </c>
      <c r="V3891" t="s">
        <v>162</v>
      </c>
    </row>
    <row r="3892" spans="9:22" x14ac:dyDescent="0.45">
      <c r="I3892" t="s">
        <v>262</v>
      </c>
      <c r="J3892" t="s">
        <v>527</v>
      </c>
      <c r="K3892">
        <v>7.3232685376754987E-3</v>
      </c>
      <c r="L3892" t="s">
        <v>162</v>
      </c>
      <c r="N3892" t="s">
        <v>374</v>
      </c>
      <c r="O3892" t="s">
        <v>527</v>
      </c>
      <c r="P3892">
        <v>2.8490318151445072E-2</v>
      </c>
      <c r="Q3892" t="s">
        <v>162</v>
      </c>
      <c r="S3892" t="s">
        <v>486</v>
      </c>
      <c r="T3892" t="s">
        <v>527</v>
      </c>
      <c r="U3892">
        <v>2.327216256707787E-2</v>
      </c>
      <c r="V3892" t="s">
        <v>162</v>
      </c>
    </row>
    <row r="3893" spans="9:22" x14ac:dyDescent="0.45">
      <c r="I3893" t="s">
        <v>262</v>
      </c>
      <c r="J3893" t="s">
        <v>528</v>
      </c>
      <c r="K3893">
        <v>6.050138928990869E-2</v>
      </c>
      <c r="L3893" t="s">
        <v>162</v>
      </c>
      <c r="N3893" t="s">
        <v>374</v>
      </c>
      <c r="O3893" t="s">
        <v>528</v>
      </c>
      <c r="P3893">
        <v>7.4254819796089652E-2</v>
      </c>
      <c r="Q3893" t="s">
        <v>162</v>
      </c>
      <c r="S3893" t="s">
        <v>486</v>
      </c>
      <c r="T3893" t="s">
        <v>528</v>
      </c>
      <c r="U3893">
        <v>6.7112773149272179E-2</v>
      </c>
      <c r="V3893" t="s">
        <v>162</v>
      </c>
    </row>
    <row r="3894" spans="9:22" x14ac:dyDescent="0.45">
      <c r="I3894" t="s">
        <v>262</v>
      </c>
      <c r="J3894" t="s">
        <v>529</v>
      </c>
      <c r="K3894">
        <v>2.7534044448955686E-2</v>
      </c>
      <c r="L3894" t="s">
        <v>162</v>
      </c>
      <c r="N3894" t="s">
        <v>374</v>
      </c>
      <c r="O3894" t="s">
        <v>529</v>
      </c>
      <c r="P3894">
        <v>6.4618666982314199E-3</v>
      </c>
      <c r="Q3894" t="s">
        <v>162</v>
      </c>
      <c r="S3894" t="s">
        <v>486</v>
      </c>
      <c r="T3894" t="s">
        <v>529</v>
      </c>
      <c r="U3894">
        <v>7.2305697527058517E-3</v>
      </c>
      <c r="V3894" t="s">
        <v>162</v>
      </c>
    </row>
    <row r="3895" spans="9:22" x14ac:dyDescent="0.45">
      <c r="I3895" t="s">
        <v>262</v>
      </c>
      <c r="J3895" t="s">
        <v>530</v>
      </c>
      <c r="K3895">
        <v>6.0907656193827001E-2</v>
      </c>
      <c r="L3895" t="s">
        <v>162</v>
      </c>
      <c r="N3895" t="s">
        <v>374</v>
      </c>
      <c r="O3895" t="s">
        <v>530</v>
      </c>
      <c r="P3895">
        <v>1.4295249757836505E-2</v>
      </c>
      <c r="Q3895" t="s">
        <v>162</v>
      </c>
      <c r="S3895" t="s">
        <v>486</v>
      </c>
      <c r="T3895" t="s">
        <v>530</v>
      </c>
      <c r="U3895">
        <v>1.4772221975709789E-2</v>
      </c>
      <c r="V3895" t="s">
        <v>162</v>
      </c>
    </row>
    <row r="3896" spans="9:22" x14ac:dyDescent="0.45">
      <c r="I3896" t="s">
        <v>262</v>
      </c>
      <c r="J3896" t="s">
        <v>531</v>
      </c>
      <c r="K3896">
        <v>0.13837044055769807</v>
      </c>
      <c r="L3896" t="s">
        <v>162</v>
      </c>
      <c r="N3896" t="s">
        <v>374</v>
      </c>
      <c r="O3896" t="s">
        <v>531</v>
      </c>
      <c r="P3896">
        <v>4.1107214317326543E-2</v>
      </c>
      <c r="Q3896" t="s">
        <v>162</v>
      </c>
      <c r="S3896" t="s">
        <v>486</v>
      </c>
      <c r="T3896" t="s">
        <v>531</v>
      </c>
      <c r="U3896">
        <v>3.7700300749583658E-2</v>
      </c>
      <c r="V3896" t="s">
        <v>162</v>
      </c>
    </row>
    <row r="3897" spans="9:22" x14ac:dyDescent="0.45">
      <c r="I3897" t="s">
        <v>262</v>
      </c>
      <c r="J3897" t="s">
        <v>532</v>
      </c>
      <c r="K3897">
        <v>2.0793873836968277E-2</v>
      </c>
      <c r="L3897" t="s">
        <v>162</v>
      </c>
      <c r="N3897" t="s">
        <v>374</v>
      </c>
      <c r="O3897" t="s">
        <v>532</v>
      </c>
      <c r="P3897">
        <v>7.1057964534201748E-3</v>
      </c>
      <c r="Q3897" t="s">
        <v>162</v>
      </c>
      <c r="S3897" t="s">
        <v>486</v>
      </c>
      <c r="T3897" t="s">
        <v>532</v>
      </c>
      <c r="U3897">
        <v>8.0540849615281986E-3</v>
      </c>
      <c r="V3897" t="s">
        <v>162</v>
      </c>
    </row>
    <row r="3898" spans="9:22" x14ac:dyDescent="0.45">
      <c r="I3898" t="s">
        <v>262</v>
      </c>
      <c r="J3898" t="s">
        <v>533</v>
      </c>
      <c r="K3898">
        <v>3.6497078833164803E-2</v>
      </c>
      <c r="L3898" t="s">
        <v>162</v>
      </c>
      <c r="N3898" t="s">
        <v>374</v>
      </c>
      <c r="O3898" t="s">
        <v>533</v>
      </c>
      <c r="P3898">
        <v>4.8420165124327522E-2</v>
      </c>
      <c r="Q3898" t="s">
        <v>162</v>
      </c>
      <c r="S3898" t="s">
        <v>486</v>
      </c>
      <c r="T3898" t="s">
        <v>533</v>
      </c>
      <c r="U3898">
        <v>4.8275589723719932E-2</v>
      </c>
      <c r="V3898" t="s">
        <v>162</v>
      </c>
    </row>
    <row r="3899" spans="9:22" x14ac:dyDescent="0.45">
      <c r="I3899" t="s">
        <v>262</v>
      </c>
      <c r="J3899" t="s">
        <v>534</v>
      </c>
      <c r="K3899">
        <v>3.1525129005544342E-2</v>
      </c>
      <c r="L3899" t="s">
        <v>162</v>
      </c>
      <c r="N3899" t="s">
        <v>374</v>
      </c>
      <c r="O3899" t="s">
        <v>534</v>
      </c>
      <c r="P3899">
        <v>9.6909123659193033E-2</v>
      </c>
      <c r="Q3899" t="s">
        <v>162</v>
      </c>
      <c r="S3899" t="s">
        <v>486</v>
      </c>
      <c r="T3899" t="s">
        <v>534</v>
      </c>
      <c r="U3899">
        <v>7.2904022593636764E-2</v>
      </c>
      <c r="V3899" t="s">
        <v>162</v>
      </c>
    </row>
    <row r="3900" spans="9:22" x14ac:dyDescent="0.45">
      <c r="I3900" t="s">
        <v>262</v>
      </c>
      <c r="J3900" t="s">
        <v>535</v>
      </c>
      <c r="K3900">
        <v>2.2323027046469431E-2</v>
      </c>
      <c r="L3900" t="s">
        <v>162</v>
      </c>
      <c r="N3900" t="s">
        <v>374</v>
      </c>
      <c r="O3900" t="s">
        <v>535</v>
      </c>
      <c r="P3900">
        <v>1.039878364521807E-2</v>
      </c>
      <c r="Q3900" t="s">
        <v>162</v>
      </c>
      <c r="S3900" t="s">
        <v>486</v>
      </c>
      <c r="T3900" t="s">
        <v>535</v>
      </c>
      <c r="U3900">
        <v>8.0567313921610668E-3</v>
      </c>
      <c r="V3900" t="s">
        <v>162</v>
      </c>
    </row>
    <row r="3901" spans="9:22" x14ac:dyDescent="0.45">
      <c r="I3901" t="s">
        <v>262</v>
      </c>
      <c r="J3901" t="s">
        <v>536</v>
      </c>
      <c r="K3901">
        <v>5.1319281247479934E-2</v>
      </c>
      <c r="L3901" t="s">
        <v>162</v>
      </c>
      <c r="N3901" t="s">
        <v>374</v>
      </c>
      <c r="O3901" t="s">
        <v>536</v>
      </c>
      <c r="P3901">
        <v>2.1132317083318523E-2</v>
      </c>
      <c r="Q3901" t="s">
        <v>162</v>
      </c>
      <c r="S3901" t="s">
        <v>486</v>
      </c>
      <c r="T3901" t="s">
        <v>536</v>
      </c>
      <c r="U3901">
        <v>1.6580634789472377E-2</v>
      </c>
      <c r="V3901" t="s">
        <v>162</v>
      </c>
    </row>
    <row r="3902" spans="9:22" x14ac:dyDescent="0.45">
      <c r="I3902" t="s">
        <v>262</v>
      </c>
      <c r="J3902" t="s">
        <v>537</v>
      </c>
      <c r="K3902">
        <v>0.1168008860379232</v>
      </c>
      <c r="L3902" t="s">
        <v>162</v>
      </c>
      <c r="N3902" t="s">
        <v>374</v>
      </c>
      <c r="O3902" t="s">
        <v>537</v>
      </c>
      <c r="P3902">
        <v>5.5706584169557948E-2</v>
      </c>
      <c r="Q3902" t="s">
        <v>162</v>
      </c>
      <c r="S3902" t="s">
        <v>486</v>
      </c>
      <c r="T3902" t="s">
        <v>537</v>
      </c>
      <c r="U3902">
        <v>4.1525476546876793E-2</v>
      </c>
      <c r="V3902" t="s">
        <v>162</v>
      </c>
    </row>
    <row r="3903" spans="9:22" x14ac:dyDescent="0.45">
      <c r="I3903" t="s">
        <v>262</v>
      </c>
      <c r="J3903" t="s">
        <v>538</v>
      </c>
      <c r="K3903">
        <v>1.6688379432239196E-2</v>
      </c>
      <c r="L3903" t="s">
        <v>162</v>
      </c>
      <c r="N3903" t="s">
        <v>374</v>
      </c>
      <c r="O3903" t="s">
        <v>538</v>
      </c>
      <c r="P3903">
        <v>1.0425293923716258E-2</v>
      </c>
      <c r="Q3903" t="s">
        <v>162</v>
      </c>
      <c r="S3903" t="s">
        <v>486</v>
      </c>
      <c r="T3903" t="s">
        <v>538</v>
      </c>
      <c r="U3903">
        <v>8.3226030634012682E-3</v>
      </c>
      <c r="V3903" t="s">
        <v>162</v>
      </c>
    </row>
    <row r="3904" spans="9:22" x14ac:dyDescent="0.45">
      <c r="I3904" t="s">
        <v>262</v>
      </c>
      <c r="J3904" t="s">
        <v>539</v>
      </c>
      <c r="K3904">
        <v>1.451104687758132E-2</v>
      </c>
      <c r="L3904" t="s">
        <v>162</v>
      </c>
      <c r="N3904" t="s">
        <v>374</v>
      </c>
      <c r="O3904" t="s">
        <v>539</v>
      </c>
      <c r="P3904">
        <v>6.4784173200790704E-2</v>
      </c>
      <c r="Q3904" t="s">
        <v>162</v>
      </c>
      <c r="S3904" t="s">
        <v>486</v>
      </c>
      <c r="T3904" t="s">
        <v>539</v>
      </c>
      <c r="U3904">
        <v>4.9755843494295113E-2</v>
      </c>
      <c r="V3904" t="s">
        <v>162</v>
      </c>
    </row>
    <row r="3905" spans="9:22" x14ac:dyDescent="0.45">
      <c r="I3905" t="s">
        <v>262</v>
      </c>
      <c r="J3905" t="s">
        <v>540</v>
      </c>
      <c r="K3905">
        <v>8.4367653810446758E-4</v>
      </c>
      <c r="L3905" t="s">
        <v>162</v>
      </c>
      <c r="N3905" t="s">
        <v>374</v>
      </c>
      <c r="O3905" t="s">
        <v>540</v>
      </c>
      <c r="P3905">
        <v>4.1914907110612978E-2</v>
      </c>
      <c r="Q3905" t="s">
        <v>162</v>
      </c>
      <c r="S3905" t="s">
        <v>486</v>
      </c>
      <c r="T3905" t="s">
        <v>540</v>
      </c>
      <c r="U3905">
        <v>4.1208697351420534E-2</v>
      </c>
      <c r="V3905" t="s">
        <v>162</v>
      </c>
    </row>
    <row r="3906" spans="9:22" x14ac:dyDescent="0.45">
      <c r="I3906" t="s">
        <v>262</v>
      </c>
      <c r="J3906" t="s">
        <v>541</v>
      </c>
      <c r="K3906">
        <v>2.5045901973379352E-3</v>
      </c>
      <c r="L3906" t="s">
        <v>162</v>
      </c>
      <c r="N3906" t="s">
        <v>374</v>
      </c>
      <c r="O3906" t="s">
        <v>541</v>
      </c>
      <c r="P3906">
        <v>4.8402380494166342E-3</v>
      </c>
      <c r="Q3906" t="s">
        <v>162</v>
      </c>
      <c r="S3906" t="s">
        <v>486</v>
      </c>
      <c r="T3906" t="s">
        <v>541</v>
      </c>
      <c r="U3906">
        <v>4.7023348997712331E-3</v>
      </c>
      <c r="V3906" t="s">
        <v>162</v>
      </c>
    </row>
    <row r="3907" spans="9:22" x14ac:dyDescent="0.45">
      <c r="I3907" t="s">
        <v>262</v>
      </c>
      <c r="J3907" t="s">
        <v>542</v>
      </c>
      <c r="K3907">
        <v>8.5819586265294834E-3</v>
      </c>
      <c r="L3907" t="s">
        <v>162</v>
      </c>
      <c r="N3907" t="s">
        <v>374</v>
      </c>
      <c r="O3907" t="s">
        <v>542</v>
      </c>
      <c r="P3907">
        <v>9.9554641423002226E-3</v>
      </c>
      <c r="Q3907" t="s">
        <v>162</v>
      </c>
      <c r="S3907" t="s">
        <v>486</v>
      </c>
      <c r="T3907" t="s">
        <v>542</v>
      </c>
      <c r="U3907">
        <v>9.407116080121054E-3</v>
      </c>
      <c r="V3907" t="s">
        <v>162</v>
      </c>
    </row>
    <row r="3908" spans="9:22" x14ac:dyDescent="0.45">
      <c r="I3908" t="s">
        <v>262</v>
      </c>
      <c r="J3908" t="s">
        <v>543</v>
      </c>
      <c r="K3908">
        <v>1.7779902297705912E-2</v>
      </c>
      <c r="L3908" t="s">
        <v>162</v>
      </c>
      <c r="N3908" t="s">
        <v>374</v>
      </c>
      <c r="O3908" t="s">
        <v>543</v>
      </c>
      <c r="P3908">
        <v>2.6742901135454075E-2</v>
      </c>
      <c r="Q3908" t="s">
        <v>162</v>
      </c>
      <c r="S3908" t="s">
        <v>486</v>
      </c>
      <c r="T3908" t="s">
        <v>543</v>
      </c>
      <c r="U3908">
        <v>2.2737855724184981E-2</v>
      </c>
      <c r="V3908" t="s">
        <v>162</v>
      </c>
    </row>
    <row r="3909" spans="9:22" x14ac:dyDescent="0.45">
      <c r="I3909" t="s">
        <v>262</v>
      </c>
      <c r="J3909" t="s">
        <v>544</v>
      </c>
      <c r="K3909">
        <v>8.799951828027343E-5</v>
      </c>
      <c r="L3909" t="s">
        <v>162</v>
      </c>
      <c r="N3909" t="s">
        <v>374</v>
      </c>
      <c r="O3909" t="s">
        <v>544</v>
      </c>
      <c r="P3909">
        <v>5.5853535501352476E-3</v>
      </c>
      <c r="Q3909" t="s">
        <v>162</v>
      </c>
      <c r="S3909" t="s">
        <v>486</v>
      </c>
      <c r="T3909" t="s">
        <v>544</v>
      </c>
      <c r="U3909">
        <v>4.3709470055601461E-3</v>
      </c>
      <c r="V3909" t="s">
        <v>162</v>
      </c>
    </row>
    <row r="3910" spans="9:22" x14ac:dyDescent="0.45">
      <c r="I3910" t="s">
        <v>262</v>
      </c>
      <c r="J3910" t="s">
        <v>545</v>
      </c>
      <c r="K3910">
        <v>0</v>
      </c>
      <c r="L3910" t="s">
        <v>162</v>
      </c>
      <c r="N3910" t="s">
        <v>374</v>
      </c>
      <c r="O3910" t="s">
        <v>545</v>
      </c>
      <c r="P3910">
        <v>3.2881009649314993E-2</v>
      </c>
      <c r="Q3910" t="s">
        <v>162</v>
      </c>
      <c r="S3910" t="s">
        <v>486</v>
      </c>
      <c r="T3910" t="s">
        <v>545</v>
      </c>
      <c r="U3910">
        <v>2.7251025442274646E-2</v>
      </c>
      <c r="V3910" t="s">
        <v>162</v>
      </c>
    </row>
    <row r="3911" spans="9:22" x14ac:dyDescent="0.45">
      <c r="I3911" t="s">
        <v>262</v>
      </c>
      <c r="J3911" t="s">
        <v>546</v>
      </c>
      <c r="K3911">
        <v>0</v>
      </c>
      <c r="L3911" t="s">
        <v>162</v>
      </c>
      <c r="N3911" t="s">
        <v>374</v>
      </c>
      <c r="O3911" t="s">
        <v>546</v>
      </c>
      <c r="P3911">
        <v>2.8197629583512455E-2</v>
      </c>
      <c r="Q3911" t="s">
        <v>162</v>
      </c>
      <c r="S3911" t="s">
        <v>486</v>
      </c>
      <c r="T3911" t="s">
        <v>546</v>
      </c>
      <c r="U3911">
        <v>4.1829960561173482E-2</v>
      </c>
      <c r="V3911" t="s">
        <v>162</v>
      </c>
    </row>
    <row r="3912" spans="9:22" x14ac:dyDescent="0.45">
      <c r="I3912" t="s">
        <v>262</v>
      </c>
      <c r="J3912" t="s">
        <v>547</v>
      </c>
      <c r="K3912">
        <v>3.0835792081481579E-3</v>
      </c>
      <c r="L3912" t="s">
        <v>162</v>
      </c>
      <c r="N3912" t="s">
        <v>374</v>
      </c>
      <c r="O3912" t="s">
        <v>547</v>
      </c>
      <c r="P3912">
        <v>3.5322306019137844E-3</v>
      </c>
      <c r="Q3912" t="s">
        <v>162</v>
      </c>
      <c r="S3912" t="s">
        <v>486</v>
      </c>
      <c r="T3912" t="s">
        <v>547</v>
      </c>
      <c r="U3912">
        <v>4.8747218379378747E-3</v>
      </c>
      <c r="V3912" t="s">
        <v>162</v>
      </c>
    </row>
    <row r="3913" spans="9:22" x14ac:dyDescent="0.45">
      <c r="I3913" t="s">
        <v>262</v>
      </c>
      <c r="J3913" t="s">
        <v>548</v>
      </c>
      <c r="K3913">
        <v>1.2003476433510098E-2</v>
      </c>
      <c r="L3913" t="s">
        <v>162</v>
      </c>
      <c r="N3913" t="s">
        <v>374</v>
      </c>
      <c r="O3913" t="s">
        <v>548</v>
      </c>
      <c r="P3913">
        <v>6.567724718362887E-3</v>
      </c>
      <c r="Q3913" t="s">
        <v>162</v>
      </c>
      <c r="S3913" t="s">
        <v>486</v>
      </c>
      <c r="T3913" t="s">
        <v>548</v>
      </c>
      <c r="U3913">
        <v>1.0360341143287774E-2</v>
      </c>
      <c r="V3913" t="s">
        <v>162</v>
      </c>
    </row>
    <row r="3914" spans="9:22" x14ac:dyDescent="0.45">
      <c r="I3914" t="s">
        <v>262</v>
      </c>
      <c r="J3914" t="s">
        <v>549</v>
      </c>
      <c r="K3914">
        <v>2.7351792057588028E-2</v>
      </c>
      <c r="L3914" t="s">
        <v>162</v>
      </c>
      <c r="N3914" t="s">
        <v>374</v>
      </c>
      <c r="O3914" t="s">
        <v>549</v>
      </c>
      <c r="P3914">
        <v>1.5311925291850421E-2</v>
      </c>
      <c r="Q3914" t="s">
        <v>162</v>
      </c>
      <c r="S3914" t="s">
        <v>486</v>
      </c>
      <c r="T3914" t="s">
        <v>549</v>
      </c>
      <c r="U3914">
        <v>2.6221808448926985E-2</v>
      </c>
      <c r="V3914" t="s">
        <v>162</v>
      </c>
    </row>
    <row r="3915" spans="9:22" x14ac:dyDescent="0.45">
      <c r="I3915" t="s">
        <v>262</v>
      </c>
      <c r="J3915" t="s">
        <v>550</v>
      </c>
      <c r="K3915">
        <v>0</v>
      </c>
      <c r="L3915" t="s">
        <v>162</v>
      </c>
      <c r="N3915" t="s">
        <v>374</v>
      </c>
      <c r="O3915" t="s">
        <v>550</v>
      </c>
      <c r="P3915">
        <v>3.4263955262419381E-3</v>
      </c>
      <c r="Q3915" t="s">
        <v>162</v>
      </c>
      <c r="S3915" t="s">
        <v>486</v>
      </c>
      <c r="T3915" t="s">
        <v>550</v>
      </c>
      <c r="U3915">
        <v>5.2242968447929724E-3</v>
      </c>
      <c r="V3915" t="s">
        <v>162</v>
      </c>
    </row>
    <row r="3916" spans="9:22" x14ac:dyDescent="0.45">
      <c r="I3916" t="s">
        <v>262</v>
      </c>
      <c r="J3916" t="s">
        <v>551</v>
      </c>
      <c r="K3916">
        <v>0</v>
      </c>
      <c r="L3916" t="s">
        <v>162</v>
      </c>
      <c r="N3916" t="s">
        <v>374</v>
      </c>
      <c r="O3916" t="s">
        <v>551</v>
      </c>
      <c r="P3916">
        <v>1.9724375918470552E-2</v>
      </c>
      <c r="Q3916" t="s">
        <v>162</v>
      </c>
      <c r="S3916" t="s">
        <v>486</v>
      </c>
      <c r="T3916" t="s">
        <v>551</v>
      </c>
      <c r="U3916">
        <v>3.0953580733655461E-2</v>
      </c>
      <c r="V3916" t="s">
        <v>162</v>
      </c>
    </row>
    <row r="3917" spans="9:22" x14ac:dyDescent="0.45">
      <c r="I3917" t="s">
        <v>263</v>
      </c>
      <c r="J3917" t="s">
        <v>161</v>
      </c>
      <c r="K3917">
        <v>3.4272185492988748E-7</v>
      </c>
      <c r="L3917" t="s">
        <v>162</v>
      </c>
      <c r="N3917" t="s">
        <v>375</v>
      </c>
      <c r="O3917" t="s">
        <v>161</v>
      </c>
      <c r="P3917">
        <v>4.4000248716253569E-2</v>
      </c>
      <c r="Q3917" t="s">
        <v>162</v>
      </c>
      <c r="S3917" t="s">
        <v>487</v>
      </c>
      <c r="T3917" t="s">
        <v>161</v>
      </c>
      <c r="U3917">
        <v>3.6690304844180482E-2</v>
      </c>
      <c r="V3917" t="s">
        <v>162</v>
      </c>
    </row>
    <row r="3918" spans="9:22" x14ac:dyDescent="0.45">
      <c r="I3918" t="s">
        <v>263</v>
      </c>
      <c r="J3918" t="s">
        <v>163</v>
      </c>
      <c r="K3918">
        <v>3.6948553612079623E-3</v>
      </c>
      <c r="L3918" t="s">
        <v>162</v>
      </c>
      <c r="N3918" t="s">
        <v>375</v>
      </c>
      <c r="O3918" t="s">
        <v>163</v>
      </c>
      <c r="P3918">
        <v>4.7733803819658546E-3</v>
      </c>
      <c r="Q3918" t="s">
        <v>162</v>
      </c>
      <c r="S3918" t="s">
        <v>487</v>
      </c>
      <c r="T3918" t="s">
        <v>163</v>
      </c>
      <c r="U3918">
        <v>4.0086857773642135E-3</v>
      </c>
      <c r="V3918" t="s">
        <v>162</v>
      </c>
    </row>
    <row r="3919" spans="9:22" x14ac:dyDescent="0.45">
      <c r="I3919" t="s">
        <v>263</v>
      </c>
      <c r="J3919" t="s">
        <v>164</v>
      </c>
      <c r="K3919">
        <v>1.2380718711790124E-2</v>
      </c>
      <c r="L3919" t="s">
        <v>162</v>
      </c>
      <c r="N3919" t="s">
        <v>375</v>
      </c>
      <c r="O3919" t="s">
        <v>164</v>
      </c>
      <c r="P3919">
        <v>8.8363579441735115E-3</v>
      </c>
      <c r="Q3919" t="s">
        <v>162</v>
      </c>
      <c r="S3919" t="s">
        <v>487</v>
      </c>
      <c r="T3919" t="s">
        <v>164</v>
      </c>
      <c r="U3919">
        <v>7.9449445990946166E-3</v>
      </c>
      <c r="V3919" t="s">
        <v>162</v>
      </c>
    </row>
    <row r="3920" spans="9:22" x14ac:dyDescent="0.45">
      <c r="I3920" t="s">
        <v>263</v>
      </c>
      <c r="J3920" t="s">
        <v>519</v>
      </c>
      <c r="K3920">
        <v>3.0442554970542272E-2</v>
      </c>
      <c r="L3920" t="s">
        <v>162</v>
      </c>
      <c r="N3920" t="s">
        <v>375</v>
      </c>
      <c r="O3920" t="s">
        <v>519</v>
      </c>
      <c r="P3920">
        <v>2.1690359745698669E-2</v>
      </c>
      <c r="Q3920" t="s">
        <v>162</v>
      </c>
      <c r="S3920" t="s">
        <v>487</v>
      </c>
      <c r="T3920" t="s">
        <v>519</v>
      </c>
      <c r="U3920">
        <v>2.0115844172337662E-2</v>
      </c>
      <c r="V3920" t="s">
        <v>162</v>
      </c>
    </row>
    <row r="3921" spans="9:22" x14ac:dyDescent="0.45">
      <c r="I3921" t="s">
        <v>263</v>
      </c>
      <c r="J3921" t="s">
        <v>520</v>
      </c>
      <c r="K3921">
        <v>1.0668153140165642E-4</v>
      </c>
      <c r="L3921" t="s">
        <v>162</v>
      </c>
      <c r="N3921" t="s">
        <v>375</v>
      </c>
      <c r="O3921" t="s">
        <v>520</v>
      </c>
      <c r="P3921">
        <v>4.6168922050264429E-3</v>
      </c>
      <c r="Q3921" t="s">
        <v>162</v>
      </c>
      <c r="S3921" t="s">
        <v>487</v>
      </c>
      <c r="T3921" t="s">
        <v>520</v>
      </c>
      <c r="U3921">
        <v>4.272320455535686E-3</v>
      </c>
      <c r="V3921" t="s">
        <v>162</v>
      </c>
    </row>
    <row r="3922" spans="9:22" x14ac:dyDescent="0.45">
      <c r="I3922" t="s">
        <v>263</v>
      </c>
      <c r="J3922" t="s">
        <v>521</v>
      </c>
      <c r="K3922">
        <v>0</v>
      </c>
      <c r="L3922" t="s">
        <v>162</v>
      </c>
      <c r="N3922" t="s">
        <v>375</v>
      </c>
      <c r="O3922" t="s">
        <v>521</v>
      </c>
      <c r="P3922">
        <v>2.9745070038736887E-2</v>
      </c>
      <c r="Q3922" t="s">
        <v>162</v>
      </c>
      <c r="S3922" t="s">
        <v>487</v>
      </c>
      <c r="T3922" t="s">
        <v>521</v>
      </c>
      <c r="U3922">
        <v>2.5054832160727444E-2</v>
      </c>
      <c r="V3922" t="s">
        <v>162</v>
      </c>
    </row>
    <row r="3923" spans="9:22" x14ac:dyDescent="0.45">
      <c r="I3923" t="s">
        <v>263</v>
      </c>
      <c r="J3923" t="s">
        <v>165</v>
      </c>
      <c r="K3923">
        <v>1.2798362347088093E-2</v>
      </c>
      <c r="L3923" t="s">
        <v>162</v>
      </c>
      <c r="N3923" t="s">
        <v>375</v>
      </c>
      <c r="O3923" t="s">
        <v>165</v>
      </c>
      <c r="P3923">
        <v>5.3064272836964556E-2</v>
      </c>
      <c r="Q3923" t="s">
        <v>162</v>
      </c>
      <c r="S3923" t="s">
        <v>487</v>
      </c>
      <c r="T3923" t="s">
        <v>165</v>
      </c>
      <c r="U3923">
        <v>7.2367429647989076E-2</v>
      </c>
      <c r="V3923" t="s">
        <v>162</v>
      </c>
    </row>
    <row r="3924" spans="9:22" x14ac:dyDescent="0.45">
      <c r="I3924" t="s">
        <v>263</v>
      </c>
      <c r="J3924" t="s">
        <v>166</v>
      </c>
      <c r="K3924">
        <v>1.5517515256245324E-2</v>
      </c>
      <c r="L3924" t="s">
        <v>162</v>
      </c>
      <c r="N3924" t="s">
        <v>375</v>
      </c>
      <c r="O3924" t="s">
        <v>166</v>
      </c>
      <c r="P3924">
        <v>5.0247695312391752E-3</v>
      </c>
      <c r="Q3924" t="s">
        <v>162</v>
      </c>
      <c r="S3924" t="s">
        <v>487</v>
      </c>
      <c r="T3924" t="s">
        <v>166</v>
      </c>
      <c r="U3924">
        <v>8.35376929275858E-3</v>
      </c>
      <c r="V3924" t="s">
        <v>162</v>
      </c>
    </row>
    <row r="3925" spans="9:22" x14ac:dyDescent="0.45">
      <c r="I3925" t="s">
        <v>263</v>
      </c>
      <c r="J3925" t="s">
        <v>167</v>
      </c>
      <c r="K3925">
        <v>3.9594399641801815E-2</v>
      </c>
      <c r="L3925" t="s">
        <v>162</v>
      </c>
      <c r="N3925" t="s">
        <v>375</v>
      </c>
      <c r="O3925" t="s">
        <v>167</v>
      </c>
      <c r="P3925">
        <v>9.556487245014806E-3</v>
      </c>
      <c r="Q3925" t="s">
        <v>162</v>
      </c>
      <c r="S3925" t="s">
        <v>487</v>
      </c>
      <c r="T3925" t="s">
        <v>167</v>
      </c>
      <c r="U3925">
        <v>1.656815263995234E-2</v>
      </c>
      <c r="V3925" t="s">
        <v>162</v>
      </c>
    </row>
    <row r="3926" spans="9:22" x14ac:dyDescent="0.45">
      <c r="I3926" t="s">
        <v>263</v>
      </c>
      <c r="J3926" t="s">
        <v>522</v>
      </c>
      <c r="K3926">
        <v>9.4596300789953375E-2</v>
      </c>
      <c r="L3926" t="s">
        <v>162</v>
      </c>
      <c r="N3926" t="s">
        <v>375</v>
      </c>
      <c r="O3926" t="s">
        <v>522</v>
      </c>
      <c r="P3926">
        <v>2.5821909076008728E-2</v>
      </c>
      <c r="Q3926" t="s">
        <v>162</v>
      </c>
      <c r="S3926" t="s">
        <v>487</v>
      </c>
      <c r="T3926" t="s">
        <v>522</v>
      </c>
      <c r="U3926">
        <v>4.0297976675535502E-2</v>
      </c>
      <c r="V3926" t="s">
        <v>162</v>
      </c>
    </row>
    <row r="3927" spans="9:22" x14ac:dyDescent="0.45">
      <c r="I3927" t="s">
        <v>263</v>
      </c>
      <c r="J3927" t="s">
        <v>523</v>
      </c>
      <c r="K3927">
        <v>1.1603952153844275E-2</v>
      </c>
      <c r="L3927" t="s">
        <v>162</v>
      </c>
      <c r="N3927" t="s">
        <v>375</v>
      </c>
      <c r="O3927" t="s">
        <v>523</v>
      </c>
      <c r="P3927">
        <v>5.0204423027994877E-3</v>
      </c>
      <c r="Q3927" t="s">
        <v>162</v>
      </c>
      <c r="S3927" t="s">
        <v>487</v>
      </c>
      <c r="T3927" t="s">
        <v>523</v>
      </c>
      <c r="U3927">
        <v>7.9331801982055281E-3</v>
      </c>
      <c r="V3927" t="s">
        <v>162</v>
      </c>
    </row>
    <row r="3928" spans="9:22" x14ac:dyDescent="0.45">
      <c r="I3928" t="s">
        <v>263</v>
      </c>
      <c r="J3928" t="s">
        <v>524</v>
      </c>
      <c r="K3928">
        <v>3.2639453511070292E-3</v>
      </c>
      <c r="L3928" t="s">
        <v>162</v>
      </c>
      <c r="N3928" t="s">
        <v>375</v>
      </c>
      <c r="O3928" t="s">
        <v>524</v>
      </c>
      <c r="P3928">
        <v>3.8943089390213161E-2</v>
      </c>
      <c r="Q3928" t="s">
        <v>162</v>
      </c>
      <c r="S3928" t="s">
        <v>487</v>
      </c>
      <c r="T3928" t="s">
        <v>524</v>
      </c>
      <c r="U3928">
        <v>4.7888178495316187E-2</v>
      </c>
      <c r="V3928" t="s">
        <v>162</v>
      </c>
    </row>
    <row r="3929" spans="9:22" x14ac:dyDescent="0.45">
      <c r="I3929" t="s">
        <v>263</v>
      </c>
      <c r="J3929" t="s">
        <v>168</v>
      </c>
      <c r="K3929">
        <v>1.687425841055587E-2</v>
      </c>
      <c r="L3929" t="s">
        <v>162</v>
      </c>
      <c r="N3929" t="s">
        <v>375</v>
      </c>
      <c r="O3929" t="s">
        <v>168</v>
      </c>
      <c r="P3929">
        <v>3.9707663483546242E-2</v>
      </c>
      <c r="Q3929" t="s">
        <v>162</v>
      </c>
      <c r="S3929" t="s">
        <v>487</v>
      </c>
      <c r="T3929" t="s">
        <v>168</v>
      </c>
      <c r="U3929">
        <v>3.0542523993318749E-2</v>
      </c>
      <c r="V3929" t="s">
        <v>162</v>
      </c>
    </row>
    <row r="3930" spans="9:22" x14ac:dyDescent="0.45">
      <c r="I3930" t="s">
        <v>263</v>
      </c>
      <c r="J3930" t="s">
        <v>169</v>
      </c>
      <c r="K3930">
        <v>9.6420485346933715E-3</v>
      </c>
      <c r="L3930" t="s">
        <v>162</v>
      </c>
      <c r="N3930" t="s">
        <v>375</v>
      </c>
      <c r="O3930" t="s">
        <v>169</v>
      </c>
      <c r="P3930">
        <v>4.0452368320286871E-3</v>
      </c>
      <c r="Q3930" t="s">
        <v>162</v>
      </c>
      <c r="S3930" t="s">
        <v>487</v>
      </c>
      <c r="T3930" t="s">
        <v>169</v>
      </c>
      <c r="U3930">
        <v>3.5533061767883951E-3</v>
      </c>
      <c r="V3930" t="s">
        <v>162</v>
      </c>
    </row>
    <row r="3931" spans="9:22" x14ac:dyDescent="0.45">
      <c r="I3931" t="s">
        <v>263</v>
      </c>
      <c r="J3931" t="s">
        <v>170</v>
      </c>
      <c r="K3931">
        <v>2.1994443624504246E-2</v>
      </c>
      <c r="L3931" t="s">
        <v>162</v>
      </c>
      <c r="N3931" t="s">
        <v>375</v>
      </c>
      <c r="O3931" t="s">
        <v>170</v>
      </c>
      <c r="P3931">
        <v>8.5289965104026911E-3</v>
      </c>
      <c r="Q3931" t="s">
        <v>162</v>
      </c>
      <c r="S3931" t="s">
        <v>487</v>
      </c>
      <c r="T3931" t="s">
        <v>170</v>
      </c>
      <c r="U3931">
        <v>7.1220657354935466E-3</v>
      </c>
      <c r="V3931" t="s">
        <v>162</v>
      </c>
    </row>
    <row r="3932" spans="9:22" x14ac:dyDescent="0.45">
      <c r="I3932" t="s">
        <v>263</v>
      </c>
      <c r="J3932" t="s">
        <v>525</v>
      </c>
      <c r="K3932">
        <v>5.2461256086936921E-2</v>
      </c>
      <c r="L3932" t="s">
        <v>162</v>
      </c>
      <c r="N3932" t="s">
        <v>375</v>
      </c>
      <c r="O3932" t="s">
        <v>525</v>
      </c>
      <c r="P3932">
        <v>2.2895568715071174E-2</v>
      </c>
      <c r="Q3932" t="s">
        <v>162</v>
      </c>
      <c r="S3932" t="s">
        <v>487</v>
      </c>
      <c r="T3932" t="s">
        <v>525</v>
      </c>
      <c r="U3932">
        <v>1.7988080524306168E-2</v>
      </c>
      <c r="V3932" t="s">
        <v>162</v>
      </c>
    </row>
    <row r="3933" spans="9:22" x14ac:dyDescent="0.45">
      <c r="I3933" t="s">
        <v>263</v>
      </c>
      <c r="J3933" t="s">
        <v>526</v>
      </c>
      <c r="K3933">
        <v>7.3889363553497319E-3</v>
      </c>
      <c r="L3933" t="s">
        <v>162</v>
      </c>
      <c r="N3933" t="s">
        <v>375</v>
      </c>
      <c r="O3933" t="s">
        <v>526</v>
      </c>
      <c r="P3933">
        <v>4.1905640011484354E-3</v>
      </c>
      <c r="Q3933" t="s">
        <v>162</v>
      </c>
      <c r="S3933" t="s">
        <v>487</v>
      </c>
      <c r="T3933" t="s">
        <v>526</v>
      </c>
      <c r="U3933">
        <v>3.5804123657694883E-3</v>
      </c>
      <c r="V3933" t="s">
        <v>162</v>
      </c>
    </row>
    <row r="3934" spans="9:22" x14ac:dyDescent="0.45">
      <c r="I3934" t="s">
        <v>263</v>
      </c>
      <c r="J3934" t="s">
        <v>527</v>
      </c>
      <c r="K3934">
        <v>6.6941296271249935E-3</v>
      </c>
      <c r="L3934" t="s">
        <v>162</v>
      </c>
      <c r="N3934" t="s">
        <v>375</v>
      </c>
      <c r="O3934" t="s">
        <v>527</v>
      </c>
      <c r="P3934">
        <v>2.8844397386269805E-2</v>
      </c>
      <c r="Q3934" t="s">
        <v>162</v>
      </c>
      <c r="S3934" t="s">
        <v>487</v>
      </c>
      <c r="T3934" t="s">
        <v>527</v>
      </c>
      <c r="U3934">
        <v>2.1353768675372746E-2</v>
      </c>
      <c r="V3934" t="s">
        <v>162</v>
      </c>
    </row>
    <row r="3935" spans="9:22" x14ac:dyDescent="0.45">
      <c r="I3935" t="s">
        <v>263</v>
      </c>
      <c r="J3935" t="s">
        <v>528</v>
      </c>
      <c r="K3935">
        <v>6.6177979102921322E-2</v>
      </c>
      <c r="L3935" t="s">
        <v>162</v>
      </c>
      <c r="N3935" t="s">
        <v>375</v>
      </c>
      <c r="O3935" t="s">
        <v>528</v>
      </c>
      <c r="P3935">
        <v>6.9359336602003885E-2</v>
      </c>
      <c r="Q3935" t="s">
        <v>162</v>
      </c>
      <c r="S3935" t="s">
        <v>487</v>
      </c>
      <c r="T3935" t="s">
        <v>528</v>
      </c>
      <c r="U3935">
        <v>8.1192301580079312E-2</v>
      </c>
      <c r="V3935" t="s">
        <v>162</v>
      </c>
    </row>
    <row r="3936" spans="9:22" x14ac:dyDescent="0.45">
      <c r="I3936" t="s">
        <v>263</v>
      </c>
      <c r="J3936" t="s">
        <v>529</v>
      </c>
      <c r="K3936">
        <v>2.8071600351382998E-2</v>
      </c>
      <c r="L3936" t="s">
        <v>162</v>
      </c>
      <c r="N3936" t="s">
        <v>375</v>
      </c>
      <c r="O3936" t="s">
        <v>529</v>
      </c>
      <c r="P3936">
        <v>5.8187458097275612E-3</v>
      </c>
      <c r="Q3936" t="s">
        <v>162</v>
      </c>
      <c r="S3936" t="s">
        <v>487</v>
      </c>
      <c r="T3936" t="s">
        <v>529</v>
      </c>
      <c r="U3936">
        <v>8.7084686621374131E-3</v>
      </c>
      <c r="V3936" t="s">
        <v>162</v>
      </c>
    </row>
    <row r="3937" spans="9:22" x14ac:dyDescent="0.45">
      <c r="I3937" t="s">
        <v>263</v>
      </c>
      <c r="J3937" t="s">
        <v>530</v>
      </c>
      <c r="K3937">
        <v>6.1673230025008186E-2</v>
      </c>
      <c r="L3937" t="s">
        <v>162</v>
      </c>
      <c r="N3937" t="s">
        <v>375</v>
      </c>
      <c r="O3937" t="s">
        <v>530</v>
      </c>
      <c r="P3937">
        <v>1.362773141582958E-2</v>
      </c>
      <c r="Q3937" t="s">
        <v>162</v>
      </c>
      <c r="S3937" t="s">
        <v>487</v>
      </c>
      <c r="T3937" t="s">
        <v>530</v>
      </c>
      <c r="U3937">
        <v>1.7169802570208479E-2</v>
      </c>
      <c r="V3937" t="s">
        <v>162</v>
      </c>
    </row>
    <row r="3938" spans="9:22" x14ac:dyDescent="0.45">
      <c r="I3938" t="s">
        <v>263</v>
      </c>
      <c r="J3938" t="s">
        <v>531</v>
      </c>
      <c r="K3938">
        <v>0.14238198428511323</v>
      </c>
      <c r="L3938" t="s">
        <v>162</v>
      </c>
      <c r="N3938" t="s">
        <v>375</v>
      </c>
      <c r="O3938" t="s">
        <v>531</v>
      </c>
      <c r="P3938">
        <v>4.3096748019938028E-2</v>
      </c>
      <c r="Q3938" t="s">
        <v>162</v>
      </c>
      <c r="S3938" t="s">
        <v>487</v>
      </c>
      <c r="T3938" t="s">
        <v>531</v>
      </c>
      <c r="U3938">
        <v>4.1749745624435189E-2</v>
      </c>
      <c r="V3938" t="s">
        <v>162</v>
      </c>
    </row>
    <row r="3939" spans="9:22" x14ac:dyDescent="0.45">
      <c r="I3939" t="s">
        <v>263</v>
      </c>
      <c r="J3939" t="s">
        <v>532</v>
      </c>
      <c r="K3939">
        <v>2.0955756192051755E-2</v>
      </c>
      <c r="L3939" t="s">
        <v>162</v>
      </c>
      <c r="N3939" t="s">
        <v>375</v>
      </c>
      <c r="O3939" t="s">
        <v>532</v>
      </c>
      <c r="P3939">
        <v>7.0813146722598667E-3</v>
      </c>
      <c r="Q3939" t="s">
        <v>162</v>
      </c>
      <c r="S3939" t="s">
        <v>487</v>
      </c>
      <c r="T3939" t="s">
        <v>532</v>
      </c>
      <c r="U3939">
        <v>8.2184387872878354E-3</v>
      </c>
      <c r="V3939" t="s">
        <v>162</v>
      </c>
    </row>
    <row r="3940" spans="9:22" x14ac:dyDescent="0.45">
      <c r="I3940" t="s">
        <v>263</v>
      </c>
      <c r="J3940" t="s">
        <v>533</v>
      </c>
      <c r="K3940">
        <v>3.218936420666095E-2</v>
      </c>
      <c r="L3940" t="s">
        <v>162</v>
      </c>
      <c r="N3940" t="s">
        <v>375</v>
      </c>
      <c r="O3940" t="s">
        <v>533</v>
      </c>
      <c r="P3940">
        <v>5.1168937276507689E-2</v>
      </c>
      <c r="Q3940" t="s">
        <v>162</v>
      </c>
      <c r="S3940" t="s">
        <v>487</v>
      </c>
      <c r="T3940" t="s">
        <v>533</v>
      </c>
      <c r="U3940">
        <v>5.012971905075083E-2</v>
      </c>
      <c r="V3940" t="s">
        <v>162</v>
      </c>
    </row>
    <row r="3941" spans="9:22" x14ac:dyDescent="0.45">
      <c r="I3941" t="s">
        <v>263</v>
      </c>
      <c r="J3941" t="s">
        <v>534</v>
      </c>
      <c r="K3941">
        <v>3.4033746592637144E-2</v>
      </c>
      <c r="L3941" t="s">
        <v>162</v>
      </c>
      <c r="N3941" t="s">
        <v>375</v>
      </c>
      <c r="O3941" t="s">
        <v>534</v>
      </c>
      <c r="P3941">
        <v>8.9535044970888628E-2</v>
      </c>
      <c r="Q3941" t="s">
        <v>162</v>
      </c>
      <c r="S3941" t="s">
        <v>487</v>
      </c>
      <c r="T3941" t="s">
        <v>534</v>
      </c>
      <c r="U3941">
        <v>8.9076584391113989E-2</v>
      </c>
      <c r="V3941" t="s">
        <v>162</v>
      </c>
    </row>
    <row r="3942" spans="9:22" x14ac:dyDescent="0.45">
      <c r="I3942" t="s">
        <v>263</v>
      </c>
      <c r="J3942" t="s">
        <v>535</v>
      </c>
      <c r="K3942">
        <v>2.1774864232973777E-2</v>
      </c>
      <c r="L3942" t="s">
        <v>162</v>
      </c>
      <c r="N3942" t="s">
        <v>375</v>
      </c>
      <c r="O3942" t="s">
        <v>535</v>
      </c>
      <c r="P3942">
        <v>9.3677555220463751E-3</v>
      </c>
      <c r="Q3942" t="s">
        <v>162</v>
      </c>
      <c r="S3942" t="s">
        <v>487</v>
      </c>
      <c r="T3942" t="s">
        <v>535</v>
      </c>
      <c r="U3942">
        <v>9.2823882286078869E-3</v>
      </c>
      <c r="V3942" t="s">
        <v>162</v>
      </c>
    </row>
    <row r="3943" spans="9:22" x14ac:dyDescent="0.45">
      <c r="I3943" t="s">
        <v>263</v>
      </c>
      <c r="J3943" t="s">
        <v>536</v>
      </c>
      <c r="K3943">
        <v>4.8994209361872577E-2</v>
      </c>
      <c r="L3943" t="s">
        <v>162</v>
      </c>
      <c r="N3943" t="s">
        <v>375</v>
      </c>
      <c r="O3943" t="s">
        <v>536</v>
      </c>
      <c r="P3943">
        <v>1.9934914493285032E-2</v>
      </c>
      <c r="Q3943" t="s">
        <v>162</v>
      </c>
      <c r="S3943" t="s">
        <v>487</v>
      </c>
      <c r="T3943" t="s">
        <v>536</v>
      </c>
      <c r="U3943">
        <v>1.8430759484035521E-2</v>
      </c>
      <c r="V3943" t="s">
        <v>162</v>
      </c>
    </row>
    <row r="3944" spans="9:22" x14ac:dyDescent="0.45">
      <c r="I3944" t="s">
        <v>263</v>
      </c>
      <c r="J3944" t="s">
        <v>537</v>
      </c>
      <c r="K3944">
        <v>0.11191818702428137</v>
      </c>
      <c r="L3944" t="s">
        <v>162</v>
      </c>
      <c r="N3944" t="s">
        <v>375</v>
      </c>
      <c r="O3944" t="s">
        <v>537</v>
      </c>
      <c r="P3944">
        <v>5.5100909261847693E-2</v>
      </c>
      <c r="Q3944" t="s">
        <v>162</v>
      </c>
      <c r="S3944" t="s">
        <v>487</v>
      </c>
      <c r="T3944" t="s">
        <v>537</v>
      </c>
      <c r="U3944">
        <v>4.654611424377586E-2</v>
      </c>
      <c r="V3944" t="s">
        <v>162</v>
      </c>
    </row>
    <row r="3945" spans="9:22" x14ac:dyDescent="0.45">
      <c r="I3945" t="s">
        <v>263</v>
      </c>
      <c r="J3945" t="s">
        <v>538</v>
      </c>
      <c r="K3945">
        <v>1.4886572599845816E-2</v>
      </c>
      <c r="L3945" t="s">
        <v>162</v>
      </c>
      <c r="N3945" t="s">
        <v>375</v>
      </c>
      <c r="O3945" t="s">
        <v>538</v>
      </c>
      <c r="P3945">
        <v>9.9649798596609749E-3</v>
      </c>
      <c r="Q3945" t="s">
        <v>162</v>
      </c>
      <c r="S3945" t="s">
        <v>487</v>
      </c>
      <c r="T3945" t="s">
        <v>538</v>
      </c>
      <c r="U3945">
        <v>9.3038865977733698E-3</v>
      </c>
      <c r="V3945" t="s">
        <v>162</v>
      </c>
    </row>
    <row r="3946" spans="9:22" x14ac:dyDescent="0.45">
      <c r="I3946" t="s">
        <v>263</v>
      </c>
      <c r="J3946" t="s">
        <v>539</v>
      </c>
      <c r="K3946">
        <v>1.1074785468017788E-2</v>
      </c>
      <c r="L3946" t="s">
        <v>162</v>
      </c>
      <c r="N3946" t="s">
        <v>375</v>
      </c>
      <c r="O3946" t="s">
        <v>539</v>
      </c>
      <c r="P3946">
        <v>6.6614445133630726E-2</v>
      </c>
      <c r="Q3946" t="s">
        <v>162</v>
      </c>
      <c r="S3946" t="s">
        <v>487</v>
      </c>
      <c r="T3946" t="s">
        <v>539</v>
      </c>
      <c r="U3946">
        <v>5.5112924551809044E-2</v>
      </c>
      <c r="V3946" t="s">
        <v>162</v>
      </c>
    </row>
    <row r="3947" spans="9:22" x14ac:dyDescent="0.45">
      <c r="I3947" t="s">
        <v>263</v>
      </c>
      <c r="J3947" t="s">
        <v>540</v>
      </c>
      <c r="K3947">
        <v>1.322580543205024E-3</v>
      </c>
      <c r="L3947" t="s">
        <v>162</v>
      </c>
      <c r="N3947" t="s">
        <v>375</v>
      </c>
      <c r="O3947" t="s">
        <v>540</v>
      </c>
      <c r="P3947">
        <v>4.722661844013791E-2</v>
      </c>
      <c r="Q3947" t="s">
        <v>162</v>
      </c>
      <c r="S3947" t="s">
        <v>487</v>
      </c>
      <c r="T3947" t="s">
        <v>540</v>
      </c>
      <c r="U3947">
        <v>3.5830381079740264E-2</v>
      </c>
      <c r="V3947" t="s">
        <v>162</v>
      </c>
    </row>
    <row r="3948" spans="9:22" x14ac:dyDescent="0.45">
      <c r="I3948" t="s">
        <v>263</v>
      </c>
      <c r="J3948" t="s">
        <v>541</v>
      </c>
      <c r="K3948">
        <v>2.8097188816678365E-3</v>
      </c>
      <c r="L3948" t="s">
        <v>162</v>
      </c>
      <c r="N3948" t="s">
        <v>375</v>
      </c>
      <c r="O3948" t="s">
        <v>541</v>
      </c>
      <c r="P3948">
        <v>4.876722459224072E-3</v>
      </c>
      <c r="Q3948" t="s">
        <v>162</v>
      </c>
      <c r="S3948" t="s">
        <v>487</v>
      </c>
      <c r="T3948" t="s">
        <v>541</v>
      </c>
      <c r="U3948">
        <v>3.7848933036029103E-3</v>
      </c>
      <c r="V3948" t="s">
        <v>162</v>
      </c>
    </row>
    <row r="3949" spans="9:22" x14ac:dyDescent="0.45">
      <c r="I3949" t="s">
        <v>263</v>
      </c>
      <c r="J3949" t="s">
        <v>542</v>
      </c>
      <c r="K3949">
        <v>8.1554308439916474E-3</v>
      </c>
      <c r="L3949" t="s">
        <v>162</v>
      </c>
      <c r="N3949" t="s">
        <v>375</v>
      </c>
      <c r="O3949" t="s">
        <v>542</v>
      </c>
      <c r="P3949">
        <v>9.5712743957615636E-3</v>
      </c>
      <c r="Q3949" t="s">
        <v>162</v>
      </c>
      <c r="S3949" t="s">
        <v>487</v>
      </c>
      <c r="T3949" t="s">
        <v>542</v>
      </c>
      <c r="U3949">
        <v>7.4415539251518267E-3</v>
      </c>
      <c r="V3949" t="s">
        <v>162</v>
      </c>
    </row>
    <row r="3950" spans="9:22" x14ac:dyDescent="0.45">
      <c r="I3950" t="s">
        <v>263</v>
      </c>
      <c r="J3950" t="s">
        <v>543</v>
      </c>
      <c r="K3950">
        <v>1.5870811389257014E-2</v>
      </c>
      <c r="L3950" t="s">
        <v>162</v>
      </c>
      <c r="N3950" t="s">
        <v>375</v>
      </c>
      <c r="O3950" t="s">
        <v>543</v>
      </c>
      <c r="P3950">
        <v>2.5837240418516757E-2</v>
      </c>
      <c r="Q3950" t="s">
        <v>162</v>
      </c>
      <c r="S3950" t="s">
        <v>487</v>
      </c>
      <c r="T3950" t="s">
        <v>543</v>
      </c>
      <c r="U3950">
        <v>1.8113557274800331E-2</v>
      </c>
      <c r="V3950" t="s">
        <v>162</v>
      </c>
    </row>
    <row r="3951" spans="9:22" x14ac:dyDescent="0.45">
      <c r="I3951" t="s">
        <v>263</v>
      </c>
      <c r="J3951" t="s">
        <v>544</v>
      </c>
      <c r="K3951">
        <v>0</v>
      </c>
      <c r="L3951" t="s">
        <v>162</v>
      </c>
      <c r="N3951" t="s">
        <v>375</v>
      </c>
      <c r="O3951" t="s">
        <v>544</v>
      </c>
      <c r="P3951">
        <v>5.4806423409387147E-3</v>
      </c>
      <c r="Q3951" t="s">
        <v>162</v>
      </c>
      <c r="S3951" t="s">
        <v>487</v>
      </c>
      <c r="T3951" t="s">
        <v>544</v>
      </c>
      <c r="U3951">
        <v>3.6269611264915743E-3</v>
      </c>
      <c r="V3951" t="s">
        <v>162</v>
      </c>
    </row>
    <row r="3952" spans="9:22" x14ac:dyDescent="0.45">
      <c r="I3952" t="s">
        <v>263</v>
      </c>
      <c r="J3952" t="s">
        <v>545</v>
      </c>
      <c r="K3952">
        <v>0</v>
      </c>
      <c r="L3952" t="s">
        <v>162</v>
      </c>
      <c r="N3952" t="s">
        <v>375</v>
      </c>
      <c r="O3952" t="s">
        <v>545</v>
      </c>
      <c r="P3952">
        <v>3.4423368116808149E-2</v>
      </c>
      <c r="Q3952" t="s">
        <v>162</v>
      </c>
      <c r="S3952" t="s">
        <v>487</v>
      </c>
      <c r="T3952" t="s">
        <v>545</v>
      </c>
      <c r="U3952">
        <v>2.4306987556975811E-2</v>
      </c>
      <c r="V3952" t="s">
        <v>162</v>
      </c>
    </row>
    <row r="3953" spans="9:22" x14ac:dyDescent="0.45">
      <c r="I3953" t="s">
        <v>263</v>
      </c>
      <c r="J3953" t="s">
        <v>546</v>
      </c>
      <c r="K3953">
        <v>4.7057938832193556E-8</v>
      </c>
      <c r="L3953" t="s">
        <v>162</v>
      </c>
      <c r="N3953" t="s">
        <v>375</v>
      </c>
      <c r="O3953" t="s">
        <v>546</v>
      </c>
      <c r="P3953">
        <v>2.6828901856894658E-2</v>
      </c>
      <c r="Q3953" t="s">
        <v>162</v>
      </c>
      <c r="S3953" t="s">
        <v>487</v>
      </c>
      <c r="T3953" t="s">
        <v>546</v>
      </c>
      <c r="U3953">
        <v>3.5730823615407414E-2</v>
      </c>
      <c r="V3953" t="s">
        <v>162</v>
      </c>
    </row>
    <row r="3954" spans="9:22" x14ac:dyDescent="0.45">
      <c r="I3954" t="s">
        <v>263</v>
      </c>
      <c r="J3954" t="s">
        <v>547</v>
      </c>
      <c r="K3954">
        <v>3.3127785427675654E-3</v>
      </c>
      <c r="L3954" t="s">
        <v>162</v>
      </c>
      <c r="N3954" t="s">
        <v>375</v>
      </c>
      <c r="O3954" t="s">
        <v>547</v>
      </c>
      <c r="P3954">
        <v>3.3903727903621546E-3</v>
      </c>
      <c r="Q3954" t="s">
        <v>162</v>
      </c>
      <c r="S3954" t="s">
        <v>487</v>
      </c>
      <c r="T3954" t="s">
        <v>547</v>
      </c>
      <c r="U3954">
        <v>4.1311589305577136E-3</v>
      </c>
      <c r="V3954" t="s">
        <v>162</v>
      </c>
    </row>
    <row r="3955" spans="9:22" x14ac:dyDescent="0.45">
      <c r="I3955" t="s">
        <v>263</v>
      </c>
      <c r="J3955" t="s">
        <v>548</v>
      </c>
      <c r="K3955">
        <v>1.1471289045831192E-2</v>
      </c>
      <c r="L3955" t="s">
        <v>162</v>
      </c>
      <c r="N3955" t="s">
        <v>375</v>
      </c>
      <c r="O3955" t="s">
        <v>548</v>
      </c>
      <c r="P3955">
        <v>6.0344521317433949E-3</v>
      </c>
      <c r="Q3955" t="s">
        <v>162</v>
      </c>
      <c r="S3955" t="s">
        <v>487</v>
      </c>
      <c r="T3955" t="s">
        <v>548</v>
      </c>
      <c r="U3955">
        <v>8.3344555023188091E-3</v>
      </c>
      <c r="V3955" t="s">
        <v>162</v>
      </c>
    </row>
    <row r="3956" spans="9:22" x14ac:dyDescent="0.45">
      <c r="I3956" t="s">
        <v>263</v>
      </c>
      <c r="J3956" t="s">
        <v>549</v>
      </c>
      <c r="K3956">
        <v>2.3870362776570796E-2</v>
      </c>
      <c r="L3956" t="s">
        <v>162</v>
      </c>
      <c r="N3956" t="s">
        <v>375</v>
      </c>
      <c r="O3956" t="s">
        <v>549</v>
      </c>
      <c r="P3956">
        <v>1.4430848532200188E-2</v>
      </c>
      <c r="Q3956" t="s">
        <v>162</v>
      </c>
      <c r="S3956" t="s">
        <v>487</v>
      </c>
      <c r="T3956" t="s">
        <v>549</v>
      </c>
      <c r="U3956">
        <v>2.0472943612104784E-2</v>
      </c>
      <c r="V3956" t="s">
        <v>162</v>
      </c>
    </row>
    <row r="3957" spans="9:22" x14ac:dyDescent="0.45">
      <c r="I3957" t="s">
        <v>263</v>
      </c>
      <c r="J3957" t="s">
        <v>550</v>
      </c>
      <c r="K3957">
        <v>0</v>
      </c>
      <c r="L3957" t="s">
        <v>162</v>
      </c>
      <c r="N3957" t="s">
        <v>375</v>
      </c>
      <c r="O3957" t="s">
        <v>550</v>
      </c>
      <c r="P3957">
        <v>3.0501706215803185E-3</v>
      </c>
      <c r="Q3957" t="s">
        <v>162</v>
      </c>
      <c r="S3957" t="s">
        <v>487</v>
      </c>
      <c r="T3957" t="s">
        <v>550</v>
      </c>
      <c r="U3957">
        <v>4.0304070234117549E-3</v>
      </c>
      <c r="V3957" t="s">
        <v>162</v>
      </c>
    </row>
    <row r="3958" spans="9:22" x14ac:dyDescent="0.45">
      <c r="I3958" t="s">
        <v>263</v>
      </c>
      <c r="J3958" t="s">
        <v>551</v>
      </c>
      <c r="K3958">
        <v>0</v>
      </c>
      <c r="L3958" t="s">
        <v>162</v>
      </c>
      <c r="N3958" t="s">
        <v>375</v>
      </c>
      <c r="O3958" t="s">
        <v>551</v>
      </c>
      <c r="P3958">
        <v>1.8872818515644357E-2</v>
      </c>
      <c r="Q3958" t="s">
        <v>162</v>
      </c>
      <c r="S3958" t="s">
        <v>487</v>
      </c>
      <c r="T3958" t="s">
        <v>551</v>
      </c>
      <c r="U3958">
        <v>2.3638966847373891E-2</v>
      </c>
      <c r="V3958" t="s">
        <v>162</v>
      </c>
    </row>
    <row r="3959" spans="9:22" x14ac:dyDescent="0.45">
      <c r="I3959" t="s">
        <v>264</v>
      </c>
      <c r="J3959" t="s">
        <v>161</v>
      </c>
      <c r="K3959">
        <v>2.8201708425025077E-3</v>
      </c>
      <c r="L3959" t="s">
        <v>162</v>
      </c>
      <c r="N3959" t="s">
        <v>376</v>
      </c>
      <c r="O3959" t="s">
        <v>161</v>
      </c>
      <c r="P3959">
        <v>4.1234473196226688E-2</v>
      </c>
      <c r="Q3959" t="s">
        <v>162</v>
      </c>
      <c r="S3959" t="s">
        <v>488</v>
      </c>
      <c r="T3959" t="s">
        <v>161</v>
      </c>
      <c r="U3959">
        <v>3.8346560115235677E-2</v>
      </c>
      <c r="V3959" t="s">
        <v>162</v>
      </c>
    </row>
    <row r="3960" spans="9:22" x14ac:dyDescent="0.45">
      <c r="I3960" t="s">
        <v>264</v>
      </c>
      <c r="J3960" t="s">
        <v>163</v>
      </c>
      <c r="K3960">
        <v>4.7885287595396571E-3</v>
      </c>
      <c r="L3960" t="s">
        <v>162</v>
      </c>
      <c r="N3960" t="s">
        <v>376</v>
      </c>
      <c r="O3960" t="s">
        <v>163</v>
      </c>
      <c r="P3960">
        <v>4.2950510227958844E-3</v>
      </c>
      <c r="Q3960" t="s">
        <v>162</v>
      </c>
      <c r="S3960" t="s">
        <v>488</v>
      </c>
      <c r="T3960" t="s">
        <v>163</v>
      </c>
      <c r="U3960">
        <v>4.0096704485913541E-3</v>
      </c>
      <c r="V3960" t="s">
        <v>162</v>
      </c>
    </row>
    <row r="3961" spans="9:22" x14ac:dyDescent="0.45">
      <c r="I3961" t="s">
        <v>264</v>
      </c>
      <c r="J3961" t="s">
        <v>164</v>
      </c>
      <c r="K3961">
        <v>1.2448329778608802E-2</v>
      </c>
      <c r="L3961" t="s">
        <v>162</v>
      </c>
      <c r="N3961" t="s">
        <v>376</v>
      </c>
      <c r="O3961" t="s">
        <v>164</v>
      </c>
      <c r="P3961">
        <v>7.8349885819554554E-3</v>
      </c>
      <c r="Q3961" t="s">
        <v>162</v>
      </c>
      <c r="S3961" t="s">
        <v>488</v>
      </c>
      <c r="T3961" t="s">
        <v>164</v>
      </c>
      <c r="U3961">
        <v>7.9153398606335214E-3</v>
      </c>
      <c r="V3961" t="s">
        <v>162</v>
      </c>
    </row>
    <row r="3962" spans="9:22" x14ac:dyDescent="0.45">
      <c r="I3962" t="s">
        <v>264</v>
      </c>
      <c r="J3962" t="s">
        <v>519</v>
      </c>
      <c r="K3962">
        <v>2.3244491473078641E-2</v>
      </c>
      <c r="L3962" t="s">
        <v>162</v>
      </c>
      <c r="N3962" t="s">
        <v>376</v>
      </c>
      <c r="O3962" t="s">
        <v>519</v>
      </c>
      <c r="P3962">
        <v>2.0349250099302527E-2</v>
      </c>
      <c r="Q3962" t="s">
        <v>162</v>
      </c>
      <c r="S3962" t="s">
        <v>488</v>
      </c>
      <c r="T3962" t="s">
        <v>519</v>
      </c>
      <c r="U3962">
        <v>1.9965869145312676E-2</v>
      </c>
      <c r="V3962" t="s">
        <v>162</v>
      </c>
    </row>
    <row r="3963" spans="9:22" x14ac:dyDescent="0.45">
      <c r="I3963" t="s">
        <v>264</v>
      </c>
      <c r="J3963" t="s">
        <v>520</v>
      </c>
      <c r="K3963">
        <v>1.3807289354970901E-5</v>
      </c>
      <c r="L3963" t="s">
        <v>162</v>
      </c>
      <c r="N3963" t="s">
        <v>376</v>
      </c>
      <c r="O3963" t="s">
        <v>520</v>
      </c>
      <c r="P3963">
        <v>4.3324099563154623E-3</v>
      </c>
      <c r="Q3963" t="s">
        <v>162</v>
      </c>
      <c r="S3963" t="s">
        <v>488</v>
      </c>
      <c r="T3963" t="s">
        <v>520</v>
      </c>
      <c r="U3963">
        <v>4.1666572926302133E-3</v>
      </c>
      <c r="V3963" t="s">
        <v>162</v>
      </c>
    </row>
    <row r="3964" spans="9:22" x14ac:dyDescent="0.45">
      <c r="I3964" t="s">
        <v>264</v>
      </c>
      <c r="J3964" t="s">
        <v>521</v>
      </c>
      <c r="K3964">
        <v>0</v>
      </c>
      <c r="L3964" t="s">
        <v>162</v>
      </c>
      <c r="N3964" t="s">
        <v>376</v>
      </c>
      <c r="O3964" t="s">
        <v>521</v>
      </c>
      <c r="P3964">
        <v>2.9219068464809997E-2</v>
      </c>
      <c r="Q3964" t="s">
        <v>162</v>
      </c>
      <c r="S3964" t="s">
        <v>488</v>
      </c>
      <c r="T3964" t="s">
        <v>521</v>
      </c>
      <c r="U3964">
        <v>2.5954975020934985E-2</v>
      </c>
      <c r="V3964" t="s">
        <v>162</v>
      </c>
    </row>
    <row r="3965" spans="9:22" x14ac:dyDescent="0.45">
      <c r="I3965" t="s">
        <v>264</v>
      </c>
      <c r="J3965" t="s">
        <v>165</v>
      </c>
      <c r="K3965">
        <v>1.9913482139724339E-2</v>
      </c>
      <c r="L3965" t="s">
        <v>162</v>
      </c>
      <c r="N3965" t="s">
        <v>376</v>
      </c>
      <c r="O3965" t="s">
        <v>165</v>
      </c>
      <c r="P3965">
        <v>5.0647686357494504E-2</v>
      </c>
      <c r="Q3965" t="s">
        <v>162</v>
      </c>
      <c r="S3965" t="s">
        <v>488</v>
      </c>
      <c r="T3965" t="s">
        <v>165</v>
      </c>
      <c r="U3965">
        <v>7.1447144636058973E-2</v>
      </c>
      <c r="V3965" t="s">
        <v>162</v>
      </c>
    </row>
    <row r="3966" spans="9:22" x14ac:dyDescent="0.45">
      <c r="I3966" t="s">
        <v>264</v>
      </c>
      <c r="J3966" t="s">
        <v>166</v>
      </c>
      <c r="K3966">
        <v>1.5821677658025009E-2</v>
      </c>
      <c r="L3966" t="s">
        <v>162</v>
      </c>
      <c r="N3966" t="s">
        <v>376</v>
      </c>
      <c r="O3966" t="s">
        <v>166</v>
      </c>
      <c r="P3966">
        <v>5.1490610317477753E-3</v>
      </c>
      <c r="Q3966" t="s">
        <v>162</v>
      </c>
      <c r="S3966" t="s">
        <v>488</v>
      </c>
      <c r="T3966" t="s">
        <v>166</v>
      </c>
      <c r="U3966">
        <v>7.7213848866413476E-3</v>
      </c>
      <c r="V3966" t="s">
        <v>162</v>
      </c>
    </row>
    <row r="3967" spans="9:22" x14ac:dyDescent="0.45">
      <c r="I3967" t="s">
        <v>264</v>
      </c>
      <c r="J3967" t="s">
        <v>167</v>
      </c>
      <c r="K3967">
        <v>3.6044030987289234E-2</v>
      </c>
      <c r="L3967" t="s">
        <v>162</v>
      </c>
      <c r="N3967" t="s">
        <v>376</v>
      </c>
      <c r="O3967" t="s">
        <v>167</v>
      </c>
      <c r="P3967">
        <v>9.4402006973134285E-3</v>
      </c>
      <c r="Q3967" t="s">
        <v>162</v>
      </c>
      <c r="S3967" t="s">
        <v>488</v>
      </c>
      <c r="T3967" t="s">
        <v>167</v>
      </c>
      <c r="U3967">
        <v>1.508646908440173E-2</v>
      </c>
      <c r="V3967" t="s">
        <v>162</v>
      </c>
    </row>
    <row r="3968" spans="9:22" x14ac:dyDescent="0.45">
      <c r="I3968" t="s">
        <v>264</v>
      </c>
      <c r="J3968" t="s">
        <v>522</v>
      </c>
      <c r="K3968">
        <v>7.6100357200254806E-2</v>
      </c>
      <c r="L3968" t="s">
        <v>162</v>
      </c>
      <c r="N3968" t="s">
        <v>376</v>
      </c>
      <c r="O3968" t="s">
        <v>522</v>
      </c>
      <c r="P3968">
        <v>2.4866917915247741E-2</v>
      </c>
      <c r="Q3968" t="s">
        <v>162</v>
      </c>
      <c r="S3968" t="s">
        <v>488</v>
      </c>
      <c r="T3968" t="s">
        <v>522</v>
      </c>
      <c r="U3968">
        <v>3.7181982136451235E-2</v>
      </c>
      <c r="V3968" t="s">
        <v>162</v>
      </c>
    </row>
    <row r="3969" spans="9:22" x14ac:dyDescent="0.45">
      <c r="I3969" t="s">
        <v>264</v>
      </c>
      <c r="J3969" t="s">
        <v>523</v>
      </c>
      <c r="K3969">
        <v>6.7753427042039427E-3</v>
      </c>
      <c r="L3969" t="s">
        <v>162</v>
      </c>
      <c r="N3969" t="s">
        <v>376</v>
      </c>
      <c r="O3969" t="s">
        <v>523</v>
      </c>
      <c r="P3969">
        <v>4.4827808147402575E-3</v>
      </c>
      <c r="Q3969" t="s">
        <v>162</v>
      </c>
      <c r="S3969" t="s">
        <v>488</v>
      </c>
      <c r="T3969" t="s">
        <v>523</v>
      </c>
      <c r="U3969">
        <v>7.6013952693676249E-3</v>
      </c>
      <c r="V3969" t="s">
        <v>162</v>
      </c>
    </row>
    <row r="3970" spans="9:22" x14ac:dyDescent="0.45">
      <c r="I3970" t="s">
        <v>264</v>
      </c>
      <c r="J3970" t="s">
        <v>524</v>
      </c>
      <c r="K3970">
        <v>9.0246826499541756E-4</v>
      </c>
      <c r="L3970" t="s">
        <v>162</v>
      </c>
      <c r="N3970" t="s">
        <v>376</v>
      </c>
      <c r="O3970" t="s">
        <v>524</v>
      </c>
      <c r="P3970">
        <v>3.7012039367838798E-2</v>
      </c>
      <c r="Q3970" t="s">
        <v>162</v>
      </c>
      <c r="S3970" t="s">
        <v>488</v>
      </c>
      <c r="T3970" t="s">
        <v>524</v>
      </c>
      <c r="U3970">
        <v>4.6603714900928815E-2</v>
      </c>
      <c r="V3970" t="s">
        <v>162</v>
      </c>
    </row>
    <row r="3971" spans="9:22" x14ac:dyDescent="0.45">
      <c r="I3971" t="s">
        <v>264</v>
      </c>
      <c r="J3971" t="s">
        <v>168</v>
      </c>
      <c r="K3971">
        <v>2.0167985436749723E-2</v>
      </c>
      <c r="L3971" t="s">
        <v>162</v>
      </c>
      <c r="N3971" t="s">
        <v>376</v>
      </c>
      <c r="O3971" t="s">
        <v>168</v>
      </c>
      <c r="P3971">
        <v>4.2210858948965597E-2</v>
      </c>
      <c r="Q3971" t="s">
        <v>162</v>
      </c>
      <c r="S3971" t="s">
        <v>488</v>
      </c>
      <c r="T3971" t="s">
        <v>168</v>
      </c>
      <c r="U3971">
        <v>2.9599142992179358E-2</v>
      </c>
      <c r="V3971" t="s">
        <v>162</v>
      </c>
    </row>
    <row r="3972" spans="9:22" x14ac:dyDescent="0.45">
      <c r="I3972" t="s">
        <v>264</v>
      </c>
      <c r="J3972" t="s">
        <v>169</v>
      </c>
      <c r="K3972">
        <v>9.0967342482133288E-3</v>
      </c>
      <c r="L3972" t="s">
        <v>162</v>
      </c>
      <c r="N3972" t="s">
        <v>376</v>
      </c>
      <c r="O3972" t="s">
        <v>169</v>
      </c>
      <c r="P3972">
        <v>3.8850435968039573E-3</v>
      </c>
      <c r="Q3972" t="s">
        <v>162</v>
      </c>
      <c r="S3972" t="s">
        <v>488</v>
      </c>
      <c r="T3972" t="s">
        <v>169</v>
      </c>
      <c r="U3972">
        <v>3.2841025434509172E-3</v>
      </c>
      <c r="V3972" t="s">
        <v>162</v>
      </c>
    </row>
    <row r="3973" spans="9:22" x14ac:dyDescent="0.45">
      <c r="I3973" t="s">
        <v>264</v>
      </c>
      <c r="J3973" t="s">
        <v>170</v>
      </c>
      <c r="K3973">
        <v>1.9344192134050409E-2</v>
      </c>
      <c r="L3973" t="s">
        <v>162</v>
      </c>
      <c r="N3973" t="s">
        <v>376</v>
      </c>
      <c r="O3973" t="s">
        <v>170</v>
      </c>
      <c r="P3973">
        <v>7.8516443155345061E-3</v>
      </c>
      <c r="Q3973" t="s">
        <v>162</v>
      </c>
      <c r="S3973" t="s">
        <v>488</v>
      </c>
      <c r="T3973" t="s">
        <v>170</v>
      </c>
      <c r="U3973">
        <v>6.5075540522739964E-3</v>
      </c>
      <c r="V3973" t="s">
        <v>162</v>
      </c>
    </row>
    <row r="3974" spans="9:22" x14ac:dyDescent="0.45">
      <c r="I3974" t="s">
        <v>264</v>
      </c>
      <c r="J3974" t="s">
        <v>525</v>
      </c>
      <c r="K3974">
        <v>4.3402153126123513E-2</v>
      </c>
      <c r="L3974" t="s">
        <v>162</v>
      </c>
      <c r="N3974" t="s">
        <v>376</v>
      </c>
      <c r="O3974" t="s">
        <v>525</v>
      </c>
      <c r="P3974">
        <v>2.1928788112578618E-2</v>
      </c>
      <c r="Q3974" t="s">
        <v>162</v>
      </c>
      <c r="S3974" t="s">
        <v>488</v>
      </c>
      <c r="T3974" t="s">
        <v>525</v>
      </c>
      <c r="U3974">
        <v>1.6776986995423154E-2</v>
      </c>
      <c r="V3974" t="s">
        <v>162</v>
      </c>
    </row>
    <row r="3975" spans="9:22" x14ac:dyDescent="0.45">
      <c r="I3975" t="s">
        <v>264</v>
      </c>
      <c r="J3975" t="s">
        <v>526</v>
      </c>
      <c r="K3975">
        <v>5.1830421863164229E-3</v>
      </c>
      <c r="L3975" t="s">
        <v>162</v>
      </c>
      <c r="N3975" t="s">
        <v>376</v>
      </c>
      <c r="O3975" t="s">
        <v>526</v>
      </c>
      <c r="P3975">
        <v>4.274907447480927E-3</v>
      </c>
      <c r="Q3975" t="s">
        <v>162</v>
      </c>
      <c r="S3975" t="s">
        <v>488</v>
      </c>
      <c r="T3975" t="s">
        <v>526</v>
      </c>
      <c r="U3975">
        <v>3.3534536599367695E-3</v>
      </c>
      <c r="V3975" t="s">
        <v>162</v>
      </c>
    </row>
    <row r="3976" spans="9:22" x14ac:dyDescent="0.45">
      <c r="I3976" t="s">
        <v>264</v>
      </c>
      <c r="J3976" t="s">
        <v>527</v>
      </c>
      <c r="K3976">
        <v>3.2562221044442293E-3</v>
      </c>
      <c r="L3976" t="s">
        <v>162</v>
      </c>
      <c r="N3976" t="s">
        <v>376</v>
      </c>
      <c r="O3976" t="s">
        <v>527</v>
      </c>
      <c r="P3976">
        <v>3.1089417010059406E-2</v>
      </c>
      <c r="Q3976" t="s">
        <v>162</v>
      </c>
      <c r="S3976" t="s">
        <v>488</v>
      </c>
      <c r="T3976" t="s">
        <v>527</v>
      </c>
      <c r="U3976">
        <v>1.9569511994408057E-2</v>
      </c>
      <c r="V3976" t="s">
        <v>162</v>
      </c>
    </row>
    <row r="3977" spans="9:22" x14ac:dyDescent="0.45">
      <c r="I3977" t="s">
        <v>264</v>
      </c>
      <c r="J3977" t="s">
        <v>528</v>
      </c>
      <c r="K3977">
        <v>7.0497922384993708E-2</v>
      </c>
      <c r="L3977" t="s">
        <v>162</v>
      </c>
      <c r="N3977" t="s">
        <v>376</v>
      </c>
      <c r="O3977" t="s">
        <v>528</v>
      </c>
      <c r="P3977">
        <v>7.3386852971276686E-2</v>
      </c>
      <c r="Q3977" t="s">
        <v>162</v>
      </c>
      <c r="S3977" t="s">
        <v>488</v>
      </c>
      <c r="T3977" t="s">
        <v>528</v>
      </c>
      <c r="U3977">
        <v>8.3401753591084538E-2</v>
      </c>
      <c r="V3977" t="s">
        <v>162</v>
      </c>
    </row>
    <row r="3978" spans="9:22" x14ac:dyDescent="0.45">
      <c r="I3978" t="s">
        <v>264</v>
      </c>
      <c r="J3978" t="s">
        <v>529</v>
      </c>
      <c r="K3978">
        <v>2.9361971788866029E-2</v>
      </c>
      <c r="L3978" t="s">
        <v>162</v>
      </c>
      <c r="N3978" t="s">
        <v>376</v>
      </c>
      <c r="O3978" t="s">
        <v>529</v>
      </c>
      <c r="P3978">
        <v>5.8954202080227589E-3</v>
      </c>
      <c r="Q3978" t="s">
        <v>162</v>
      </c>
      <c r="S3978" t="s">
        <v>488</v>
      </c>
      <c r="T3978" t="s">
        <v>529</v>
      </c>
      <c r="U3978">
        <v>9.1442882825701084E-3</v>
      </c>
      <c r="V3978" t="s">
        <v>162</v>
      </c>
    </row>
    <row r="3979" spans="9:22" x14ac:dyDescent="0.45">
      <c r="I3979" t="s">
        <v>264</v>
      </c>
      <c r="J3979" t="s">
        <v>530</v>
      </c>
      <c r="K3979">
        <v>6.3358217351803706E-2</v>
      </c>
      <c r="L3979" t="s">
        <v>162</v>
      </c>
      <c r="N3979" t="s">
        <v>376</v>
      </c>
      <c r="O3979" t="s">
        <v>530</v>
      </c>
      <c r="P3979">
        <v>1.3964328613703073E-2</v>
      </c>
      <c r="Q3979" t="s">
        <v>162</v>
      </c>
      <c r="S3979" t="s">
        <v>488</v>
      </c>
      <c r="T3979" t="s">
        <v>530</v>
      </c>
      <c r="U3979">
        <v>1.8362581922357825E-2</v>
      </c>
      <c r="V3979" t="s">
        <v>162</v>
      </c>
    </row>
    <row r="3980" spans="9:22" x14ac:dyDescent="0.45">
      <c r="I3980" t="s">
        <v>264</v>
      </c>
      <c r="J3980" t="s">
        <v>531</v>
      </c>
      <c r="K3980">
        <v>0.14814514707914045</v>
      </c>
      <c r="L3980" t="s">
        <v>162</v>
      </c>
      <c r="N3980" t="s">
        <v>376</v>
      </c>
      <c r="O3980" t="s">
        <v>531</v>
      </c>
      <c r="P3980">
        <v>4.3161603489007515E-2</v>
      </c>
      <c r="Q3980" t="s">
        <v>162</v>
      </c>
      <c r="S3980" t="s">
        <v>488</v>
      </c>
      <c r="T3980" t="s">
        <v>531</v>
      </c>
      <c r="U3980">
        <v>4.4572100576802429E-2</v>
      </c>
      <c r="V3980" t="s">
        <v>162</v>
      </c>
    </row>
    <row r="3981" spans="9:22" x14ac:dyDescent="0.45">
      <c r="I3981" t="s">
        <v>264</v>
      </c>
      <c r="J3981" t="s">
        <v>532</v>
      </c>
      <c r="K3981">
        <v>2.058155176052082E-2</v>
      </c>
      <c r="L3981" t="s">
        <v>162</v>
      </c>
      <c r="N3981" t="s">
        <v>376</v>
      </c>
      <c r="O3981" t="s">
        <v>532</v>
      </c>
      <c r="P3981">
        <v>7.1799402814520397E-3</v>
      </c>
      <c r="Q3981" t="s">
        <v>162</v>
      </c>
      <c r="S3981" t="s">
        <v>488</v>
      </c>
      <c r="T3981" t="s">
        <v>532</v>
      </c>
      <c r="U3981">
        <v>8.8228968207267975E-3</v>
      </c>
      <c r="V3981" t="s">
        <v>162</v>
      </c>
    </row>
    <row r="3982" spans="9:22" x14ac:dyDescent="0.45">
      <c r="I3982" t="s">
        <v>264</v>
      </c>
      <c r="J3982" t="s">
        <v>533</v>
      </c>
      <c r="K3982">
        <v>2.0216857316346724E-2</v>
      </c>
      <c r="L3982" t="s">
        <v>162</v>
      </c>
      <c r="N3982" t="s">
        <v>376</v>
      </c>
      <c r="O3982" t="s">
        <v>533</v>
      </c>
      <c r="P3982">
        <v>5.1311371565183214E-2</v>
      </c>
      <c r="Q3982" t="s">
        <v>162</v>
      </c>
      <c r="S3982" t="s">
        <v>488</v>
      </c>
      <c r="T3982" t="s">
        <v>533</v>
      </c>
      <c r="U3982">
        <v>5.3119680836305694E-2</v>
      </c>
      <c r="V3982" t="s">
        <v>162</v>
      </c>
    </row>
    <row r="3983" spans="9:22" x14ac:dyDescent="0.45">
      <c r="I3983" t="s">
        <v>264</v>
      </c>
      <c r="J3983" t="s">
        <v>534</v>
      </c>
      <c r="K3983">
        <v>4.9070467874460802E-2</v>
      </c>
      <c r="L3983" t="s">
        <v>162</v>
      </c>
      <c r="N3983" t="s">
        <v>376</v>
      </c>
      <c r="O3983" t="s">
        <v>534</v>
      </c>
      <c r="P3983">
        <v>9.2243477780479852E-2</v>
      </c>
      <c r="Q3983" t="s">
        <v>162</v>
      </c>
      <c r="S3983" t="s">
        <v>488</v>
      </c>
      <c r="T3983" t="s">
        <v>534</v>
      </c>
      <c r="U3983">
        <v>8.9482661050162601E-2</v>
      </c>
      <c r="V3983" t="s">
        <v>162</v>
      </c>
    </row>
    <row r="3984" spans="9:22" x14ac:dyDescent="0.45">
      <c r="I3984" t="s">
        <v>264</v>
      </c>
      <c r="J3984" t="s">
        <v>535</v>
      </c>
      <c r="K3984">
        <v>2.6371929660193385E-2</v>
      </c>
      <c r="L3984" t="s">
        <v>162</v>
      </c>
      <c r="N3984" t="s">
        <v>376</v>
      </c>
      <c r="O3984" t="s">
        <v>535</v>
      </c>
      <c r="P3984">
        <v>9.4908146282507988E-3</v>
      </c>
      <c r="Q3984" t="s">
        <v>162</v>
      </c>
      <c r="S3984" t="s">
        <v>488</v>
      </c>
      <c r="T3984" t="s">
        <v>535</v>
      </c>
      <c r="U3984">
        <v>9.6465962271449334E-3</v>
      </c>
      <c r="V3984" t="s">
        <v>162</v>
      </c>
    </row>
    <row r="3985" spans="9:22" x14ac:dyDescent="0.45">
      <c r="I3985" t="s">
        <v>264</v>
      </c>
      <c r="J3985" t="s">
        <v>536</v>
      </c>
      <c r="K3985">
        <v>5.5150070341196546E-2</v>
      </c>
      <c r="L3985" t="s">
        <v>162</v>
      </c>
      <c r="N3985" t="s">
        <v>376</v>
      </c>
      <c r="O3985" t="s">
        <v>536</v>
      </c>
      <c r="P3985">
        <v>1.9906622292181476E-2</v>
      </c>
      <c r="Q3985" t="s">
        <v>162</v>
      </c>
      <c r="S3985" t="s">
        <v>488</v>
      </c>
      <c r="T3985" t="s">
        <v>536</v>
      </c>
      <c r="U3985">
        <v>1.9578237268737829E-2</v>
      </c>
      <c r="V3985" t="s">
        <v>162</v>
      </c>
    </row>
    <row r="3986" spans="9:22" x14ac:dyDescent="0.45">
      <c r="I3986" t="s">
        <v>264</v>
      </c>
      <c r="J3986" t="s">
        <v>537</v>
      </c>
      <c r="K3986">
        <v>0.12217535988277879</v>
      </c>
      <c r="L3986" t="s">
        <v>162</v>
      </c>
      <c r="N3986" t="s">
        <v>376</v>
      </c>
      <c r="O3986" t="s">
        <v>537</v>
      </c>
      <c r="P3986">
        <v>5.5755653835157751E-2</v>
      </c>
      <c r="Q3986" t="s">
        <v>162</v>
      </c>
      <c r="S3986" t="s">
        <v>488</v>
      </c>
      <c r="T3986" t="s">
        <v>537</v>
      </c>
      <c r="U3986">
        <v>4.9304974978379858E-2</v>
      </c>
      <c r="V3986" t="s">
        <v>162</v>
      </c>
    </row>
    <row r="3987" spans="9:22" x14ac:dyDescent="0.45">
      <c r="I3987" t="s">
        <v>264</v>
      </c>
      <c r="J3987" t="s">
        <v>538</v>
      </c>
      <c r="K3987">
        <v>1.3376817762552491E-2</v>
      </c>
      <c r="L3987" t="s">
        <v>162</v>
      </c>
      <c r="N3987" t="s">
        <v>376</v>
      </c>
      <c r="O3987" t="s">
        <v>538</v>
      </c>
      <c r="P3987">
        <v>1.0051299207711162E-2</v>
      </c>
      <c r="Q3987" t="s">
        <v>162</v>
      </c>
      <c r="S3987" t="s">
        <v>488</v>
      </c>
      <c r="T3987" t="s">
        <v>538</v>
      </c>
      <c r="U3987">
        <v>9.8238481497030603E-3</v>
      </c>
      <c r="V3987" t="s">
        <v>162</v>
      </c>
    </row>
    <row r="3988" spans="9:22" x14ac:dyDescent="0.45">
      <c r="I3988" t="s">
        <v>264</v>
      </c>
      <c r="J3988" t="s">
        <v>539</v>
      </c>
      <c r="K3988">
        <v>5.5705807452765587E-3</v>
      </c>
      <c r="L3988" t="s">
        <v>162</v>
      </c>
      <c r="N3988" t="s">
        <v>376</v>
      </c>
      <c r="O3988" t="s">
        <v>539</v>
      </c>
      <c r="P3988">
        <v>6.6692387801080055E-2</v>
      </c>
      <c r="Q3988" t="s">
        <v>162</v>
      </c>
      <c r="S3988" t="s">
        <v>488</v>
      </c>
      <c r="T3988" t="s">
        <v>539</v>
      </c>
      <c r="U3988">
        <v>5.9957670396454055E-2</v>
      </c>
      <c r="V3988" t="s">
        <v>162</v>
      </c>
    </row>
    <row r="3989" spans="9:22" x14ac:dyDescent="0.45">
      <c r="I3989" t="s">
        <v>264</v>
      </c>
      <c r="J3989" t="s">
        <v>540</v>
      </c>
      <c r="K3989">
        <v>5.6953546038606244E-3</v>
      </c>
      <c r="L3989" t="s">
        <v>162</v>
      </c>
      <c r="N3989" t="s">
        <v>376</v>
      </c>
      <c r="O3989" t="s">
        <v>540</v>
      </c>
      <c r="P3989">
        <v>4.5431357856075397E-2</v>
      </c>
      <c r="Q3989" t="s">
        <v>162</v>
      </c>
      <c r="S3989" t="s">
        <v>488</v>
      </c>
      <c r="T3989" t="s">
        <v>540</v>
      </c>
      <c r="U3989">
        <v>3.1638140107762072E-2</v>
      </c>
      <c r="V3989" t="s">
        <v>162</v>
      </c>
    </row>
    <row r="3990" spans="9:22" x14ac:dyDescent="0.45">
      <c r="I3990" t="s">
        <v>264</v>
      </c>
      <c r="J3990" t="s">
        <v>541</v>
      </c>
      <c r="K3990">
        <v>5.5884459611577749E-3</v>
      </c>
      <c r="L3990" t="s">
        <v>162</v>
      </c>
      <c r="N3990" t="s">
        <v>376</v>
      </c>
      <c r="O3990" t="s">
        <v>541</v>
      </c>
      <c r="P3990">
        <v>4.9566819845778525E-3</v>
      </c>
      <c r="Q3990" t="s">
        <v>162</v>
      </c>
      <c r="S3990" t="s">
        <v>488</v>
      </c>
      <c r="T3990" t="s">
        <v>541</v>
      </c>
      <c r="U3990">
        <v>3.4710210994123676E-3</v>
      </c>
      <c r="V3990" t="s">
        <v>162</v>
      </c>
    </row>
    <row r="3991" spans="9:22" x14ac:dyDescent="0.45">
      <c r="I3991" t="s">
        <v>264</v>
      </c>
      <c r="J3991" t="s">
        <v>542</v>
      </c>
      <c r="K3991">
        <v>1.20345674391527E-2</v>
      </c>
      <c r="L3991" t="s">
        <v>162</v>
      </c>
      <c r="N3991" t="s">
        <v>376</v>
      </c>
      <c r="O3991" t="s">
        <v>542</v>
      </c>
      <c r="P3991">
        <v>9.8466216765857543E-3</v>
      </c>
      <c r="Q3991" t="s">
        <v>162</v>
      </c>
      <c r="S3991" t="s">
        <v>488</v>
      </c>
      <c r="T3991" t="s">
        <v>542</v>
      </c>
      <c r="U3991">
        <v>7.0093724264460484E-3</v>
      </c>
      <c r="V3991" t="s">
        <v>162</v>
      </c>
    </row>
    <row r="3992" spans="9:22" x14ac:dyDescent="0.45">
      <c r="I3992" t="s">
        <v>264</v>
      </c>
      <c r="J3992" t="s">
        <v>543</v>
      </c>
      <c r="K3992">
        <v>2.2324937954913745E-2</v>
      </c>
      <c r="L3992" t="s">
        <v>162</v>
      </c>
      <c r="N3992" t="s">
        <v>376</v>
      </c>
      <c r="O3992" t="s">
        <v>543</v>
      </c>
      <c r="P3992">
        <v>2.7888036485937785E-2</v>
      </c>
      <c r="Q3992" t="s">
        <v>162</v>
      </c>
      <c r="S3992" t="s">
        <v>488</v>
      </c>
      <c r="T3992" t="s">
        <v>543</v>
      </c>
      <c r="U3992">
        <v>1.758541282759081E-2</v>
      </c>
      <c r="V3992" t="s">
        <v>162</v>
      </c>
    </row>
    <row r="3993" spans="9:22" x14ac:dyDescent="0.45">
      <c r="I3993" t="s">
        <v>264</v>
      </c>
      <c r="J3993" t="s">
        <v>544</v>
      </c>
      <c r="K3993">
        <v>0</v>
      </c>
      <c r="L3993" t="s">
        <v>162</v>
      </c>
      <c r="N3993" t="s">
        <v>376</v>
      </c>
      <c r="O3993" t="s">
        <v>544</v>
      </c>
      <c r="P3993">
        <v>6.0211675357399012E-3</v>
      </c>
      <c r="Q3993" t="s">
        <v>162</v>
      </c>
      <c r="S3993" t="s">
        <v>488</v>
      </c>
      <c r="T3993" t="s">
        <v>544</v>
      </c>
      <c r="U3993">
        <v>3.5592815406693783E-3</v>
      </c>
      <c r="V3993" t="s">
        <v>162</v>
      </c>
    </row>
    <row r="3994" spans="9:22" x14ac:dyDescent="0.45">
      <c r="I3994" t="s">
        <v>264</v>
      </c>
      <c r="J3994" t="s">
        <v>545</v>
      </c>
      <c r="K3994">
        <v>0</v>
      </c>
      <c r="L3994" t="s">
        <v>162</v>
      </c>
      <c r="N3994" t="s">
        <v>376</v>
      </c>
      <c r="O3994" t="s">
        <v>545</v>
      </c>
      <c r="P3994">
        <v>3.647965139975471E-2</v>
      </c>
      <c r="Q3994" t="s">
        <v>162</v>
      </c>
      <c r="S3994" t="s">
        <v>488</v>
      </c>
      <c r="T3994" t="s">
        <v>545</v>
      </c>
      <c r="U3994">
        <v>2.2033439291077195E-2</v>
      </c>
      <c r="V3994" t="s">
        <v>162</v>
      </c>
    </row>
    <row r="3995" spans="9:22" x14ac:dyDescent="0.45">
      <c r="I3995" t="s">
        <v>264</v>
      </c>
      <c r="J3995" t="s">
        <v>546</v>
      </c>
      <c r="K3995">
        <v>1.7915675111160067E-3</v>
      </c>
      <c r="L3995" t="s">
        <v>162</v>
      </c>
      <c r="N3995" t="s">
        <v>376</v>
      </c>
      <c r="O3995" t="s">
        <v>546</v>
      </c>
      <c r="P3995">
        <v>2.9206582592808578E-2</v>
      </c>
      <c r="Q3995" t="s">
        <v>162</v>
      </c>
      <c r="S3995" t="s">
        <v>488</v>
      </c>
      <c r="T3995" t="s">
        <v>546</v>
      </c>
      <c r="U3995">
        <v>3.545674609655005E-2</v>
      </c>
      <c r="V3995" t="s">
        <v>162</v>
      </c>
    </row>
    <row r="3996" spans="9:22" x14ac:dyDescent="0.45">
      <c r="I3996" t="s">
        <v>264</v>
      </c>
      <c r="J3996" t="s">
        <v>547</v>
      </c>
      <c r="K3996">
        <v>3.4005884073217379E-3</v>
      </c>
      <c r="L3996" t="s">
        <v>162</v>
      </c>
      <c r="N3996" t="s">
        <v>376</v>
      </c>
      <c r="O3996" t="s">
        <v>547</v>
      </c>
      <c r="P3996">
        <v>3.3395752619077494E-3</v>
      </c>
      <c r="Q3996" t="s">
        <v>162</v>
      </c>
      <c r="S3996" t="s">
        <v>488</v>
      </c>
      <c r="T3996" t="s">
        <v>547</v>
      </c>
      <c r="U3996">
        <v>4.0340984779196152E-3</v>
      </c>
      <c r="V3996" t="s">
        <v>162</v>
      </c>
    </row>
    <row r="3997" spans="9:22" x14ac:dyDescent="0.45">
      <c r="I3997" t="s">
        <v>264</v>
      </c>
      <c r="J3997" t="s">
        <v>548</v>
      </c>
      <c r="K3997">
        <v>9.5914064535819413E-3</v>
      </c>
      <c r="L3997" t="s">
        <v>162</v>
      </c>
      <c r="N3997" t="s">
        <v>376</v>
      </c>
      <c r="O3997" t="s">
        <v>548</v>
      </c>
      <c r="P3997">
        <v>5.284151525251489E-3</v>
      </c>
      <c r="Q3997" t="s">
        <v>162</v>
      </c>
      <c r="S3997" t="s">
        <v>488</v>
      </c>
      <c r="T3997" t="s">
        <v>548</v>
      </c>
      <c r="U3997">
        <v>8.0102338794143472E-3</v>
      </c>
      <c r="V3997" t="s">
        <v>162</v>
      </c>
    </row>
    <row r="3998" spans="9:22" x14ac:dyDescent="0.45">
      <c r="I3998" t="s">
        <v>264</v>
      </c>
      <c r="J3998" t="s">
        <v>549</v>
      </c>
      <c r="K3998">
        <v>1.6373221387291442E-2</v>
      </c>
      <c r="L3998" t="s">
        <v>162</v>
      </c>
      <c r="N3998" t="s">
        <v>376</v>
      </c>
      <c r="O3998" t="s">
        <v>549</v>
      </c>
      <c r="P3998">
        <v>1.1188654776260411E-2</v>
      </c>
      <c r="Q3998" t="s">
        <v>162</v>
      </c>
      <c r="S3998" t="s">
        <v>488</v>
      </c>
      <c r="T3998" t="s">
        <v>549</v>
      </c>
      <c r="U3998">
        <v>1.985087317390458E-2</v>
      </c>
      <c r="V3998" t="s">
        <v>162</v>
      </c>
    </row>
    <row r="3999" spans="9:22" x14ac:dyDescent="0.45">
      <c r="I3999" t="s">
        <v>264</v>
      </c>
      <c r="J3999" t="s">
        <v>550</v>
      </c>
      <c r="K3999">
        <v>0</v>
      </c>
      <c r="L3999" t="s">
        <v>162</v>
      </c>
      <c r="N3999" t="s">
        <v>376</v>
      </c>
      <c r="O3999" t="s">
        <v>550</v>
      </c>
      <c r="P3999">
        <v>2.5141593678545382E-3</v>
      </c>
      <c r="Q3999" t="s">
        <v>162</v>
      </c>
      <c r="S3999" t="s">
        <v>488</v>
      </c>
      <c r="T3999" t="s">
        <v>550</v>
      </c>
      <c r="U3999">
        <v>3.8566443148023029E-3</v>
      </c>
      <c r="V3999" t="s">
        <v>162</v>
      </c>
    </row>
    <row r="4000" spans="9:22" x14ac:dyDescent="0.45">
      <c r="I4000" t="s">
        <v>264</v>
      </c>
      <c r="J4000" t="s">
        <v>551</v>
      </c>
      <c r="K4000">
        <v>0</v>
      </c>
      <c r="L4000" t="s">
        <v>162</v>
      </c>
      <c r="N4000" t="s">
        <v>376</v>
      </c>
      <c r="O4000" t="s">
        <v>551</v>
      </c>
      <c r="P4000">
        <v>1.8698999926529222E-2</v>
      </c>
      <c r="Q4000" t="s">
        <v>162</v>
      </c>
      <c r="S4000" t="s">
        <v>488</v>
      </c>
      <c r="T4000" t="s">
        <v>551</v>
      </c>
      <c r="U4000">
        <v>2.3185531629159976E-2</v>
      </c>
      <c r="V4000" t="s">
        <v>162</v>
      </c>
    </row>
    <row r="4001" spans="9:22" x14ac:dyDescent="0.45">
      <c r="I4001" t="s">
        <v>265</v>
      </c>
      <c r="J4001" t="s">
        <v>161</v>
      </c>
      <c r="K4001">
        <v>2.72980981751255E-3</v>
      </c>
      <c r="L4001" t="s">
        <v>162</v>
      </c>
      <c r="N4001" t="s">
        <v>377</v>
      </c>
      <c r="O4001" t="s">
        <v>161</v>
      </c>
      <c r="P4001">
        <v>3.8860124920496682E-2</v>
      </c>
      <c r="Q4001" t="s">
        <v>162</v>
      </c>
      <c r="S4001" t="s">
        <v>489</v>
      </c>
      <c r="T4001" t="s">
        <v>161</v>
      </c>
      <c r="U4001">
        <v>3.9643434414640522E-2</v>
      </c>
      <c r="V4001" t="s">
        <v>162</v>
      </c>
    </row>
    <row r="4002" spans="9:22" x14ac:dyDescent="0.45">
      <c r="I4002" t="s">
        <v>265</v>
      </c>
      <c r="J4002" t="s">
        <v>163</v>
      </c>
      <c r="K4002">
        <v>4.7051387491915805E-3</v>
      </c>
      <c r="L4002" t="s">
        <v>162</v>
      </c>
      <c r="N4002" t="s">
        <v>377</v>
      </c>
      <c r="O4002" t="s">
        <v>163</v>
      </c>
      <c r="P4002">
        <v>4.3373177294204479E-3</v>
      </c>
      <c r="Q4002" t="s">
        <v>162</v>
      </c>
      <c r="S4002" t="s">
        <v>489</v>
      </c>
      <c r="T4002" t="s">
        <v>163</v>
      </c>
      <c r="U4002">
        <v>4.0371281937397778E-3</v>
      </c>
      <c r="V4002" t="s">
        <v>162</v>
      </c>
    </row>
    <row r="4003" spans="9:22" x14ac:dyDescent="0.45">
      <c r="I4003" t="s">
        <v>265</v>
      </c>
      <c r="J4003" t="s">
        <v>164</v>
      </c>
      <c r="K4003">
        <v>1.2712514751699027E-2</v>
      </c>
      <c r="L4003" t="s">
        <v>162</v>
      </c>
      <c r="N4003" t="s">
        <v>377</v>
      </c>
      <c r="O4003" t="s">
        <v>164</v>
      </c>
      <c r="P4003">
        <v>8.0034475582032409E-3</v>
      </c>
      <c r="Q4003" t="s">
        <v>162</v>
      </c>
      <c r="S4003" t="s">
        <v>489</v>
      </c>
      <c r="T4003" t="s">
        <v>164</v>
      </c>
      <c r="U4003">
        <v>7.9663676179794786E-3</v>
      </c>
      <c r="V4003" t="s">
        <v>162</v>
      </c>
    </row>
    <row r="4004" spans="9:22" x14ac:dyDescent="0.45">
      <c r="I4004" t="s">
        <v>265</v>
      </c>
      <c r="J4004" t="s">
        <v>519</v>
      </c>
      <c r="K4004">
        <v>2.4933579169071539E-2</v>
      </c>
      <c r="L4004" t="s">
        <v>162</v>
      </c>
      <c r="N4004" t="s">
        <v>377</v>
      </c>
      <c r="O4004" t="s">
        <v>519</v>
      </c>
      <c r="P4004">
        <v>1.9655455018362442E-2</v>
      </c>
      <c r="Q4004" t="s">
        <v>162</v>
      </c>
      <c r="S4004" t="s">
        <v>489</v>
      </c>
      <c r="T4004" t="s">
        <v>519</v>
      </c>
      <c r="U4004">
        <v>2.0170301347000614E-2</v>
      </c>
      <c r="V4004" t="s">
        <v>162</v>
      </c>
    </row>
    <row r="4005" spans="9:22" x14ac:dyDescent="0.45">
      <c r="I4005" t="s">
        <v>265</v>
      </c>
      <c r="J4005" t="s">
        <v>520</v>
      </c>
      <c r="K4005">
        <v>2.6160035646887888E-7</v>
      </c>
      <c r="L4005" t="s">
        <v>162</v>
      </c>
      <c r="N4005" t="s">
        <v>377</v>
      </c>
      <c r="O4005" t="s">
        <v>520</v>
      </c>
      <c r="P4005">
        <v>4.0598837701621522E-3</v>
      </c>
      <c r="Q4005" t="s">
        <v>162</v>
      </c>
      <c r="S4005" t="s">
        <v>489</v>
      </c>
      <c r="T4005" t="s">
        <v>520</v>
      </c>
      <c r="U4005">
        <v>4.1354088599588864E-3</v>
      </c>
      <c r="V4005" t="s">
        <v>162</v>
      </c>
    </row>
    <row r="4006" spans="9:22" x14ac:dyDescent="0.45">
      <c r="I4006" t="s">
        <v>265</v>
      </c>
      <c r="J4006" t="s">
        <v>521</v>
      </c>
      <c r="K4006">
        <v>0</v>
      </c>
      <c r="L4006" t="s">
        <v>162</v>
      </c>
      <c r="N4006" t="s">
        <v>377</v>
      </c>
      <c r="O4006" t="s">
        <v>521</v>
      </c>
      <c r="P4006">
        <v>2.8747768231065701E-2</v>
      </c>
      <c r="Q4006" t="s">
        <v>162</v>
      </c>
      <c r="S4006" t="s">
        <v>489</v>
      </c>
      <c r="T4006" t="s">
        <v>521</v>
      </c>
      <c r="U4006">
        <v>2.6682976403069041E-2</v>
      </c>
      <c r="V4006" t="s">
        <v>162</v>
      </c>
    </row>
    <row r="4007" spans="9:22" x14ac:dyDescent="0.45">
      <c r="I4007" t="s">
        <v>265</v>
      </c>
      <c r="J4007" t="s">
        <v>165</v>
      </c>
      <c r="K4007">
        <v>1.6722930286466452E-2</v>
      </c>
      <c r="L4007" t="s">
        <v>162</v>
      </c>
      <c r="N4007" t="s">
        <v>377</v>
      </c>
      <c r="O4007" t="s">
        <v>165</v>
      </c>
      <c r="P4007">
        <v>5.4010584993901871E-2</v>
      </c>
      <c r="Q4007" t="s">
        <v>162</v>
      </c>
      <c r="S4007" t="s">
        <v>489</v>
      </c>
      <c r="T4007" t="s">
        <v>165</v>
      </c>
      <c r="U4007">
        <v>6.6735375235543515E-2</v>
      </c>
      <c r="V4007" t="s">
        <v>162</v>
      </c>
    </row>
    <row r="4008" spans="9:22" x14ac:dyDescent="0.45">
      <c r="I4008" t="s">
        <v>265</v>
      </c>
      <c r="J4008" t="s">
        <v>166</v>
      </c>
      <c r="K4008">
        <v>1.5110690315708115E-2</v>
      </c>
      <c r="L4008" t="s">
        <v>162</v>
      </c>
      <c r="N4008" t="s">
        <v>377</v>
      </c>
      <c r="O4008" t="s">
        <v>166</v>
      </c>
      <c r="P4008">
        <v>5.6719514670542821E-3</v>
      </c>
      <c r="Q4008" t="s">
        <v>162</v>
      </c>
      <c r="S4008" t="s">
        <v>489</v>
      </c>
      <c r="T4008" t="s">
        <v>166</v>
      </c>
      <c r="U4008">
        <v>7.3349655804215274E-3</v>
      </c>
      <c r="V4008" t="s">
        <v>162</v>
      </c>
    </row>
    <row r="4009" spans="9:22" x14ac:dyDescent="0.45">
      <c r="I4009" t="s">
        <v>265</v>
      </c>
      <c r="J4009" t="s">
        <v>167</v>
      </c>
      <c r="K4009">
        <v>3.6486134159628196E-2</v>
      </c>
      <c r="L4009" t="s">
        <v>162</v>
      </c>
      <c r="N4009" t="s">
        <v>377</v>
      </c>
      <c r="O4009" t="s">
        <v>167</v>
      </c>
      <c r="P4009">
        <v>9.8863043324243782E-3</v>
      </c>
      <c r="Q4009" t="s">
        <v>162</v>
      </c>
      <c r="S4009" t="s">
        <v>489</v>
      </c>
      <c r="T4009" t="s">
        <v>167</v>
      </c>
      <c r="U4009">
        <v>1.4741074343473232E-2</v>
      </c>
      <c r="V4009" t="s">
        <v>162</v>
      </c>
    </row>
    <row r="4010" spans="9:22" x14ac:dyDescent="0.45">
      <c r="I4010" t="s">
        <v>265</v>
      </c>
      <c r="J4010" t="s">
        <v>522</v>
      </c>
      <c r="K4010">
        <v>8.1493176608967113E-2</v>
      </c>
      <c r="L4010" t="s">
        <v>162</v>
      </c>
      <c r="N4010" t="s">
        <v>377</v>
      </c>
      <c r="O4010" t="s">
        <v>522</v>
      </c>
      <c r="P4010">
        <v>2.5540330216384691E-2</v>
      </c>
      <c r="Q4010" t="s">
        <v>162</v>
      </c>
      <c r="S4010" t="s">
        <v>489</v>
      </c>
      <c r="T4010" t="s">
        <v>522</v>
      </c>
      <c r="U4010">
        <v>3.8342641377320866E-2</v>
      </c>
      <c r="V4010" t="s">
        <v>162</v>
      </c>
    </row>
    <row r="4011" spans="9:22" x14ac:dyDescent="0.45">
      <c r="I4011" t="s">
        <v>265</v>
      </c>
      <c r="J4011" t="s">
        <v>523</v>
      </c>
      <c r="K4011">
        <v>7.0467362267207807E-3</v>
      </c>
      <c r="L4011" t="s">
        <v>162</v>
      </c>
      <c r="N4011" t="s">
        <v>377</v>
      </c>
      <c r="O4011" t="s">
        <v>523</v>
      </c>
      <c r="P4011">
        <v>4.6750620773954848E-3</v>
      </c>
      <c r="Q4011" t="s">
        <v>162</v>
      </c>
      <c r="S4011" t="s">
        <v>489</v>
      </c>
      <c r="T4011" t="s">
        <v>523</v>
      </c>
      <c r="U4011">
        <v>7.9360652578328948E-3</v>
      </c>
      <c r="V4011" t="s">
        <v>162</v>
      </c>
    </row>
    <row r="4012" spans="9:22" x14ac:dyDescent="0.45">
      <c r="I4012" t="s">
        <v>265</v>
      </c>
      <c r="J4012" t="s">
        <v>524</v>
      </c>
      <c r="K4012">
        <v>1.0327225620367626E-3</v>
      </c>
      <c r="L4012" t="s">
        <v>162</v>
      </c>
      <c r="N4012" t="s">
        <v>377</v>
      </c>
      <c r="O4012" t="s">
        <v>524</v>
      </c>
      <c r="P4012">
        <v>3.6490097287350878E-2</v>
      </c>
      <c r="Q4012" t="s">
        <v>162</v>
      </c>
      <c r="S4012" t="s">
        <v>489</v>
      </c>
      <c r="T4012" t="s">
        <v>524</v>
      </c>
      <c r="U4012">
        <v>4.668511521064516E-2</v>
      </c>
      <c r="V4012" t="s">
        <v>162</v>
      </c>
    </row>
    <row r="4013" spans="9:22" x14ac:dyDescent="0.45">
      <c r="I4013" t="s">
        <v>265</v>
      </c>
      <c r="J4013" t="s">
        <v>168</v>
      </c>
      <c r="K4013">
        <v>1.7904415241937619E-2</v>
      </c>
      <c r="L4013" t="s">
        <v>162</v>
      </c>
      <c r="N4013" t="s">
        <v>377</v>
      </c>
      <c r="O4013" t="s">
        <v>168</v>
      </c>
      <c r="P4013">
        <v>3.9089928119226014E-2</v>
      </c>
      <c r="Q4013" t="s">
        <v>162</v>
      </c>
      <c r="S4013" t="s">
        <v>489</v>
      </c>
      <c r="T4013" t="s">
        <v>168</v>
      </c>
      <c r="U4013">
        <v>2.9912429273853347E-2</v>
      </c>
      <c r="V4013" t="s">
        <v>162</v>
      </c>
    </row>
    <row r="4014" spans="9:22" x14ac:dyDescent="0.45">
      <c r="I4014" t="s">
        <v>265</v>
      </c>
      <c r="J4014" t="s">
        <v>169</v>
      </c>
      <c r="K4014">
        <v>9.0212597294955198E-3</v>
      </c>
      <c r="L4014" t="s">
        <v>162</v>
      </c>
      <c r="N4014" t="s">
        <v>377</v>
      </c>
      <c r="O4014" t="s">
        <v>169</v>
      </c>
      <c r="P4014">
        <v>3.5016277222796495E-3</v>
      </c>
      <c r="Q4014" t="s">
        <v>162</v>
      </c>
      <c r="S4014" t="s">
        <v>489</v>
      </c>
      <c r="T4014" t="s">
        <v>169</v>
      </c>
      <c r="U4014">
        <v>3.0238409686287331E-3</v>
      </c>
      <c r="V4014" t="s">
        <v>162</v>
      </c>
    </row>
    <row r="4015" spans="9:22" x14ac:dyDescent="0.45">
      <c r="I4015" t="s">
        <v>265</v>
      </c>
      <c r="J4015" t="s">
        <v>170</v>
      </c>
      <c r="K4015">
        <v>2.0252330295240314E-2</v>
      </c>
      <c r="L4015" t="s">
        <v>162</v>
      </c>
      <c r="N4015" t="s">
        <v>377</v>
      </c>
      <c r="O4015" t="s">
        <v>170</v>
      </c>
      <c r="P4015">
        <v>7.451503119957203E-3</v>
      </c>
      <c r="Q4015" t="s">
        <v>162</v>
      </c>
      <c r="S4015" t="s">
        <v>489</v>
      </c>
      <c r="T4015" t="s">
        <v>170</v>
      </c>
      <c r="U4015">
        <v>6.1070668603516644E-3</v>
      </c>
      <c r="V4015" t="s">
        <v>162</v>
      </c>
    </row>
    <row r="4016" spans="9:22" x14ac:dyDescent="0.45">
      <c r="I4016" t="s">
        <v>265</v>
      </c>
      <c r="J4016" t="s">
        <v>525</v>
      </c>
      <c r="K4016">
        <v>4.3000742705347962E-2</v>
      </c>
      <c r="L4016" t="s">
        <v>162</v>
      </c>
      <c r="N4016" t="s">
        <v>377</v>
      </c>
      <c r="O4016" t="s">
        <v>525</v>
      </c>
      <c r="P4016">
        <v>2.2824525850700314E-2</v>
      </c>
      <c r="Q4016" t="s">
        <v>162</v>
      </c>
      <c r="S4016" t="s">
        <v>489</v>
      </c>
      <c r="T4016" t="s">
        <v>525</v>
      </c>
      <c r="U4016">
        <v>1.5971584212474878E-2</v>
      </c>
      <c r="V4016" t="s">
        <v>162</v>
      </c>
    </row>
    <row r="4017" spans="9:22" x14ac:dyDescent="0.45">
      <c r="I4017" t="s">
        <v>265</v>
      </c>
      <c r="J4017" t="s">
        <v>526</v>
      </c>
      <c r="K4017">
        <v>4.8598970100457717E-3</v>
      </c>
      <c r="L4017" t="s">
        <v>162</v>
      </c>
      <c r="N4017" t="s">
        <v>377</v>
      </c>
      <c r="O4017" t="s">
        <v>526</v>
      </c>
      <c r="P4017">
        <v>4.4205128353972346E-3</v>
      </c>
      <c r="Q4017" t="s">
        <v>162</v>
      </c>
      <c r="S4017" t="s">
        <v>489</v>
      </c>
      <c r="T4017" t="s">
        <v>526</v>
      </c>
      <c r="U4017">
        <v>3.2388332311591257E-3</v>
      </c>
      <c r="V4017" t="s">
        <v>162</v>
      </c>
    </row>
    <row r="4018" spans="9:22" x14ac:dyDescent="0.45">
      <c r="I4018" t="s">
        <v>265</v>
      </c>
      <c r="J4018" t="s">
        <v>527</v>
      </c>
      <c r="K4018">
        <v>3.0452009898792303E-3</v>
      </c>
      <c r="L4018" t="s">
        <v>162</v>
      </c>
      <c r="N4018" t="s">
        <v>377</v>
      </c>
      <c r="O4018" t="s">
        <v>527</v>
      </c>
      <c r="P4018">
        <v>3.176212597439327E-2</v>
      </c>
      <c r="Q4018" t="s">
        <v>162</v>
      </c>
      <c r="S4018" t="s">
        <v>489</v>
      </c>
      <c r="T4018" t="s">
        <v>527</v>
      </c>
      <c r="U4018">
        <v>1.9225687033876841E-2</v>
      </c>
      <c r="V4018" t="s">
        <v>162</v>
      </c>
    </row>
    <row r="4019" spans="9:22" x14ac:dyDescent="0.45">
      <c r="I4019" t="s">
        <v>265</v>
      </c>
      <c r="J4019" t="s">
        <v>528</v>
      </c>
      <c r="K4019">
        <v>7.3007164478414641E-2</v>
      </c>
      <c r="L4019" t="s">
        <v>162</v>
      </c>
      <c r="N4019" t="s">
        <v>377</v>
      </c>
      <c r="O4019" t="s">
        <v>528</v>
      </c>
      <c r="P4019">
        <v>7.5785184000129818E-2</v>
      </c>
      <c r="Q4019" t="s">
        <v>162</v>
      </c>
      <c r="S4019" t="s">
        <v>489</v>
      </c>
      <c r="T4019" t="s">
        <v>528</v>
      </c>
      <c r="U4019">
        <v>8.3579579646377217E-2</v>
      </c>
      <c r="V4019" t="s">
        <v>162</v>
      </c>
    </row>
    <row r="4020" spans="9:22" x14ac:dyDescent="0.45">
      <c r="I4020" t="s">
        <v>265</v>
      </c>
      <c r="J4020" t="s">
        <v>529</v>
      </c>
      <c r="K4020">
        <v>2.962976966652256E-2</v>
      </c>
      <c r="L4020" t="s">
        <v>162</v>
      </c>
      <c r="N4020" t="s">
        <v>377</v>
      </c>
      <c r="O4020" t="s">
        <v>529</v>
      </c>
      <c r="P4020">
        <v>5.9365040974524615E-3</v>
      </c>
      <c r="Q4020" t="s">
        <v>162</v>
      </c>
      <c r="S4020" t="s">
        <v>489</v>
      </c>
      <c r="T4020" t="s">
        <v>529</v>
      </c>
      <c r="U4020">
        <v>8.7482856559019124E-3</v>
      </c>
      <c r="V4020" t="s">
        <v>162</v>
      </c>
    </row>
    <row r="4021" spans="9:22" x14ac:dyDescent="0.45">
      <c r="I4021" t="s">
        <v>265</v>
      </c>
      <c r="J4021" t="s">
        <v>530</v>
      </c>
      <c r="K4021">
        <v>6.3925082884283779E-2</v>
      </c>
      <c r="L4021" t="s">
        <v>162</v>
      </c>
      <c r="N4021" t="s">
        <v>377</v>
      </c>
      <c r="O4021" t="s">
        <v>530</v>
      </c>
      <c r="P4021">
        <v>1.3468822249134241E-2</v>
      </c>
      <c r="Q4021" t="s">
        <v>162</v>
      </c>
      <c r="S4021" t="s">
        <v>489</v>
      </c>
      <c r="T4021" t="s">
        <v>530</v>
      </c>
      <c r="U4021">
        <v>1.7931038476540803E-2</v>
      </c>
      <c r="V4021" t="s">
        <v>162</v>
      </c>
    </row>
    <row r="4022" spans="9:22" x14ac:dyDescent="0.45">
      <c r="I4022" t="s">
        <v>265</v>
      </c>
      <c r="J4022" t="s">
        <v>531</v>
      </c>
      <c r="K4022">
        <v>0.15030679347402059</v>
      </c>
      <c r="L4022" t="s">
        <v>162</v>
      </c>
      <c r="N4022" t="s">
        <v>377</v>
      </c>
      <c r="O4022" t="s">
        <v>531</v>
      </c>
      <c r="P4022">
        <v>4.0398188314658329E-2</v>
      </c>
      <c r="Q4022" t="s">
        <v>162</v>
      </c>
      <c r="S4022" t="s">
        <v>489</v>
      </c>
      <c r="T4022" t="s">
        <v>531</v>
      </c>
      <c r="U4022">
        <v>4.7702187197664024E-2</v>
      </c>
      <c r="V4022" t="s">
        <v>162</v>
      </c>
    </row>
    <row r="4023" spans="9:22" x14ac:dyDescent="0.45">
      <c r="I4023" t="s">
        <v>265</v>
      </c>
      <c r="J4023" t="s">
        <v>532</v>
      </c>
      <c r="K4023">
        <v>2.1774394430682978E-2</v>
      </c>
      <c r="L4023" t="s">
        <v>162</v>
      </c>
      <c r="N4023" t="s">
        <v>377</v>
      </c>
      <c r="O4023" t="s">
        <v>532</v>
      </c>
      <c r="P4023">
        <v>7.2711052293030504E-3</v>
      </c>
      <c r="Q4023" t="s">
        <v>162</v>
      </c>
      <c r="S4023" t="s">
        <v>489</v>
      </c>
      <c r="T4023" t="s">
        <v>532</v>
      </c>
      <c r="U4023">
        <v>9.7083132414932712E-3</v>
      </c>
      <c r="V4023" t="s">
        <v>162</v>
      </c>
    </row>
    <row r="4024" spans="9:22" x14ac:dyDescent="0.45">
      <c r="I4024" t="s">
        <v>265</v>
      </c>
      <c r="J4024" t="s">
        <v>533</v>
      </c>
      <c r="K4024">
        <v>2.4316540507533933E-2</v>
      </c>
      <c r="L4024" t="s">
        <v>162</v>
      </c>
      <c r="N4024" t="s">
        <v>377</v>
      </c>
      <c r="O4024" t="s">
        <v>533</v>
      </c>
      <c r="P4024">
        <v>5.3523315016742574E-2</v>
      </c>
      <c r="Q4024" t="s">
        <v>162</v>
      </c>
      <c r="S4024" t="s">
        <v>489</v>
      </c>
      <c r="T4024" t="s">
        <v>533</v>
      </c>
      <c r="U4024">
        <v>5.6127276954678965E-2</v>
      </c>
      <c r="V4024" t="s">
        <v>162</v>
      </c>
    </row>
    <row r="4025" spans="9:22" x14ac:dyDescent="0.45">
      <c r="I4025" t="s">
        <v>265</v>
      </c>
      <c r="J4025" t="s">
        <v>534</v>
      </c>
      <c r="K4025">
        <v>4.6401119247073942E-2</v>
      </c>
      <c r="L4025" t="s">
        <v>162</v>
      </c>
      <c r="N4025" t="s">
        <v>377</v>
      </c>
      <c r="O4025" t="s">
        <v>534</v>
      </c>
      <c r="P4025">
        <v>9.5236078738752089E-2</v>
      </c>
      <c r="Q4025" t="s">
        <v>162</v>
      </c>
      <c r="S4025" t="s">
        <v>489</v>
      </c>
      <c r="T4025" t="s">
        <v>534</v>
      </c>
      <c r="U4025">
        <v>8.3299560611285683E-2</v>
      </c>
      <c r="V4025" t="s">
        <v>162</v>
      </c>
    </row>
    <row r="4026" spans="9:22" x14ac:dyDescent="0.45">
      <c r="I4026" t="s">
        <v>265</v>
      </c>
      <c r="J4026" t="s">
        <v>535</v>
      </c>
      <c r="K4026">
        <v>2.5433341890143169E-2</v>
      </c>
      <c r="L4026" t="s">
        <v>162</v>
      </c>
      <c r="N4026" t="s">
        <v>377</v>
      </c>
      <c r="O4026" t="s">
        <v>535</v>
      </c>
      <c r="P4026">
        <v>9.5575036528370242E-3</v>
      </c>
      <c r="Q4026" t="s">
        <v>162</v>
      </c>
      <c r="S4026" t="s">
        <v>489</v>
      </c>
      <c r="T4026" t="s">
        <v>535</v>
      </c>
      <c r="U4026">
        <v>8.938712425781474E-3</v>
      </c>
      <c r="V4026" t="s">
        <v>162</v>
      </c>
    </row>
    <row r="4027" spans="9:22" x14ac:dyDescent="0.45">
      <c r="I4027" t="s">
        <v>265</v>
      </c>
      <c r="J4027" t="s">
        <v>536</v>
      </c>
      <c r="K4027">
        <v>5.3071820348143707E-2</v>
      </c>
      <c r="L4027" t="s">
        <v>162</v>
      </c>
      <c r="N4027" t="s">
        <v>377</v>
      </c>
      <c r="O4027" t="s">
        <v>536</v>
      </c>
      <c r="P4027">
        <v>2.00276481015144E-2</v>
      </c>
      <c r="Q4027" t="s">
        <v>162</v>
      </c>
      <c r="S4027" t="s">
        <v>489</v>
      </c>
      <c r="T4027" t="s">
        <v>536</v>
      </c>
      <c r="U4027">
        <v>1.876387964616039E-2</v>
      </c>
      <c r="V4027" t="s">
        <v>162</v>
      </c>
    </row>
    <row r="4028" spans="9:22" x14ac:dyDescent="0.45">
      <c r="I4028" t="s">
        <v>265</v>
      </c>
      <c r="J4028" t="s">
        <v>537</v>
      </c>
      <c r="K4028">
        <v>0.11953967543386991</v>
      </c>
      <c r="L4028" t="s">
        <v>162</v>
      </c>
      <c r="N4028" t="s">
        <v>377</v>
      </c>
      <c r="O4028" t="s">
        <v>537</v>
      </c>
      <c r="P4028">
        <v>5.3791727987553821E-2</v>
      </c>
      <c r="Q4028" t="s">
        <v>162</v>
      </c>
      <c r="S4028" t="s">
        <v>489</v>
      </c>
      <c r="T4028" t="s">
        <v>537</v>
      </c>
      <c r="U4028">
        <v>5.0792790087517581E-2</v>
      </c>
      <c r="V4028" t="s">
        <v>162</v>
      </c>
    </row>
    <row r="4029" spans="9:22" x14ac:dyDescent="0.45">
      <c r="I4029" t="s">
        <v>265</v>
      </c>
      <c r="J4029" t="s">
        <v>538</v>
      </c>
      <c r="K4029">
        <v>1.3570195279567673E-2</v>
      </c>
      <c r="L4029" t="s">
        <v>162</v>
      </c>
      <c r="N4029" t="s">
        <v>377</v>
      </c>
      <c r="O4029" t="s">
        <v>538</v>
      </c>
      <c r="P4029">
        <v>9.5249887872252692E-3</v>
      </c>
      <c r="Q4029" t="s">
        <v>162</v>
      </c>
      <c r="S4029" t="s">
        <v>489</v>
      </c>
      <c r="T4029" t="s">
        <v>538</v>
      </c>
      <c r="U4029">
        <v>1.0348369288708779E-2</v>
      </c>
      <c r="V4029" t="s">
        <v>162</v>
      </c>
    </row>
    <row r="4030" spans="9:22" x14ac:dyDescent="0.45">
      <c r="I4030" t="s">
        <v>265</v>
      </c>
      <c r="J4030" t="s">
        <v>539</v>
      </c>
      <c r="K4030">
        <v>7.4308092497239117E-3</v>
      </c>
      <c r="L4030" t="s">
        <v>162</v>
      </c>
      <c r="N4030" t="s">
        <v>377</v>
      </c>
      <c r="O4030" t="s">
        <v>539</v>
      </c>
      <c r="P4030">
        <v>6.4905124845885898E-2</v>
      </c>
      <c r="Q4030" t="s">
        <v>162</v>
      </c>
      <c r="S4030" t="s">
        <v>489</v>
      </c>
      <c r="T4030" t="s">
        <v>539</v>
      </c>
      <c r="U4030">
        <v>6.0209994388387297E-2</v>
      </c>
      <c r="V4030" t="s">
        <v>162</v>
      </c>
    </row>
    <row r="4031" spans="9:22" x14ac:dyDescent="0.45">
      <c r="I4031" t="s">
        <v>265</v>
      </c>
      <c r="J4031" t="s">
        <v>540</v>
      </c>
      <c r="K4031">
        <v>3.2534293264550578E-3</v>
      </c>
      <c r="L4031" t="s">
        <v>162</v>
      </c>
      <c r="N4031" t="s">
        <v>377</v>
      </c>
      <c r="O4031" t="s">
        <v>540</v>
      </c>
      <c r="P4031">
        <v>4.5372292568716228E-2</v>
      </c>
      <c r="Q4031" t="s">
        <v>162</v>
      </c>
      <c r="S4031" t="s">
        <v>489</v>
      </c>
      <c r="T4031" t="s">
        <v>540</v>
      </c>
      <c r="U4031">
        <v>3.1414206389857889E-2</v>
      </c>
      <c r="V4031" t="s">
        <v>162</v>
      </c>
    </row>
    <row r="4032" spans="9:22" x14ac:dyDescent="0.45">
      <c r="I4032" t="s">
        <v>265</v>
      </c>
      <c r="J4032" t="s">
        <v>541</v>
      </c>
      <c r="K4032">
        <v>4.2782943842874796E-3</v>
      </c>
      <c r="L4032" t="s">
        <v>162</v>
      </c>
      <c r="N4032" t="s">
        <v>377</v>
      </c>
      <c r="O4032" t="s">
        <v>541</v>
      </c>
      <c r="P4032">
        <v>5.6385244119172276E-3</v>
      </c>
      <c r="Q4032" t="s">
        <v>162</v>
      </c>
      <c r="S4032" t="s">
        <v>489</v>
      </c>
      <c r="T4032" t="s">
        <v>541</v>
      </c>
      <c r="U4032">
        <v>3.3587466561148358E-3</v>
      </c>
      <c r="V4032" t="s">
        <v>162</v>
      </c>
    </row>
    <row r="4033" spans="9:22" x14ac:dyDescent="0.45">
      <c r="I4033" t="s">
        <v>265</v>
      </c>
      <c r="J4033" t="s">
        <v>542</v>
      </c>
      <c r="K4033">
        <v>9.9986269822401781E-3</v>
      </c>
      <c r="L4033" t="s">
        <v>162</v>
      </c>
      <c r="N4033" t="s">
        <v>377</v>
      </c>
      <c r="O4033" t="s">
        <v>542</v>
      </c>
      <c r="P4033">
        <v>1.1189218256060677E-2</v>
      </c>
      <c r="Q4033" t="s">
        <v>162</v>
      </c>
      <c r="S4033" t="s">
        <v>489</v>
      </c>
      <c r="T4033" t="s">
        <v>542</v>
      </c>
      <c r="U4033">
        <v>6.7974538243824566E-3</v>
      </c>
      <c r="V4033" t="s">
        <v>162</v>
      </c>
    </row>
    <row r="4034" spans="9:22" x14ac:dyDescent="0.45">
      <c r="I4034" t="s">
        <v>265</v>
      </c>
      <c r="J4034" t="s">
        <v>543</v>
      </c>
      <c r="K4034">
        <v>1.9344444480422593E-2</v>
      </c>
      <c r="L4034" t="s">
        <v>162</v>
      </c>
      <c r="N4034" t="s">
        <v>377</v>
      </c>
      <c r="O4034" t="s">
        <v>543</v>
      </c>
      <c r="P4034">
        <v>2.9578879759326993E-2</v>
      </c>
      <c r="Q4034" t="s">
        <v>162</v>
      </c>
      <c r="S4034" t="s">
        <v>489</v>
      </c>
      <c r="T4034" t="s">
        <v>543</v>
      </c>
      <c r="U4034">
        <v>1.7163014502551328E-2</v>
      </c>
      <c r="V4034" t="s">
        <v>162</v>
      </c>
    </row>
    <row r="4035" spans="9:22" x14ac:dyDescent="0.45">
      <c r="I4035" t="s">
        <v>265</v>
      </c>
      <c r="J4035" t="s">
        <v>544</v>
      </c>
      <c r="K4035">
        <v>0</v>
      </c>
      <c r="L4035" t="s">
        <v>162</v>
      </c>
      <c r="N4035" t="s">
        <v>377</v>
      </c>
      <c r="O4035" t="s">
        <v>544</v>
      </c>
      <c r="P4035">
        <v>5.8056384767742643E-3</v>
      </c>
      <c r="Q4035" t="s">
        <v>162</v>
      </c>
      <c r="S4035" t="s">
        <v>489</v>
      </c>
      <c r="T4035" t="s">
        <v>544</v>
      </c>
      <c r="U4035">
        <v>3.4814062201874527E-3</v>
      </c>
      <c r="V4035" t="s">
        <v>162</v>
      </c>
    </row>
    <row r="4036" spans="9:22" x14ac:dyDescent="0.45">
      <c r="I4036" t="s">
        <v>265</v>
      </c>
      <c r="J4036" t="s">
        <v>545</v>
      </c>
      <c r="K4036">
        <v>0</v>
      </c>
      <c r="L4036" t="s">
        <v>162</v>
      </c>
      <c r="N4036" t="s">
        <v>377</v>
      </c>
      <c r="O4036" t="s">
        <v>545</v>
      </c>
      <c r="P4036">
        <v>3.3182548342126979E-2</v>
      </c>
      <c r="Q4036" t="s">
        <v>162</v>
      </c>
      <c r="S4036" t="s">
        <v>489</v>
      </c>
      <c r="T4036" t="s">
        <v>545</v>
      </c>
      <c r="U4036">
        <v>2.1358957205805735E-2</v>
      </c>
      <c r="V4036" t="s">
        <v>162</v>
      </c>
    </row>
    <row r="4037" spans="9:22" x14ac:dyDescent="0.45">
      <c r="I4037" t="s">
        <v>265</v>
      </c>
      <c r="J4037" t="s">
        <v>546</v>
      </c>
      <c r="K4037">
        <v>1.8123622845554284E-3</v>
      </c>
      <c r="L4037" t="s">
        <v>162</v>
      </c>
      <c r="N4037" t="s">
        <v>377</v>
      </c>
      <c r="O4037" t="s">
        <v>546</v>
      </c>
      <c r="P4037">
        <v>2.9645906402098077E-2</v>
      </c>
      <c r="Q4037" t="s">
        <v>162</v>
      </c>
      <c r="S4037" t="s">
        <v>489</v>
      </c>
      <c r="T4037" t="s">
        <v>546</v>
      </c>
      <c r="U4037">
        <v>3.612667518486911E-2</v>
      </c>
      <c r="V4037" t="s">
        <v>162</v>
      </c>
    </row>
    <row r="4038" spans="9:22" x14ac:dyDescent="0.45">
      <c r="I4038" t="s">
        <v>265</v>
      </c>
      <c r="J4038" t="s">
        <v>547</v>
      </c>
      <c r="K4038">
        <v>3.5700673390399863E-3</v>
      </c>
      <c r="L4038" t="s">
        <v>162</v>
      </c>
      <c r="N4038" t="s">
        <v>377</v>
      </c>
      <c r="O4038" t="s">
        <v>547</v>
      </c>
      <c r="P4038">
        <v>3.0607365621817544E-3</v>
      </c>
      <c r="Q4038" t="s">
        <v>162</v>
      </c>
      <c r="S4038" t="s">
        <v>489</v>
      </c>
      <c r="T4038" t="s">
        <v>547</v>
      </c>
      <c r="U4038">
        <v>3.8517576250484829E-3</v>
      </c>
      <c r="V4038" t="s">
        <v>162</v>
      </c>
    </row>
    <row r="4039" spans="9:22" x14ac:dyDescent="0.45">
      <c r="I4039" t="s">
        <v>265</v>
      </c>
      <c r="J4039" t="s">
        <v>548</v>
      </c>
      <c r="K4039">
        <v>1.0406515678266436E-2</v>
      </c>
      <c r="L4039" t="s">
        <v>162</v>
      </c>
      <c r="N4039" t="s">
        <v>377</v>
      </c>
      <c r="O4039" t="s">
        <v>548</v>
      </c>
      <c r="P4039">
        <v>4.9043811188493984E-3</v>
      </c>
      <c r="Q4039" t="s">
        <v>162</v>
      </c>
      <c r="S4039" t="s">
        <v>489</v>
      </c>
      <c r="T4039" t="s">
        <v>548</v>
      </c>
      <c r="U4039">
        <v>7.7788144876668351E-3</v>
      </c>
      <c r="V4039" t="s">
        <v>162</v>
      </c>
    </row>
    <row r="4040" spans="9:22" x14ac:dyDescent="0.45">
      <c r="I4040" t="s">
        <v>265</v>
      </c>
      <c r="J4040" t="s">
        <v>549</v>
      </c>
      <c r="K4040">
        <v>1.7872012415442486E-2</v>
      </c>
      <c r="L4040" t="s">
        <v>162</v>
      </c>
      <c r="N4040" t="s">
        <v>377</v>
      </c>
      <c r="O4040" t="s">
        <v>549</v>
      </c>
      <c r="P4040">
        <v>1.0664925373429824E-2</v>
      </c>
      <c r="Q4040" t="s">
        <v>162</v>
      </c>
      <c r="S4040" t="s">
        <v>489</v>
      </c>
      <c r="T4040" t="s">
        <v>549</v>
      </c>
      <c r="U4040">
        <v>2.0630137343789837E-2</v>
      </c>
      <c r="V4040" t="s">
        <v>162</v>
      </c>
    </row>
    <row r="4041" spans="9:22" x14ac:dyDescent="0.45">
      <c r="I4041" t="s">
        <v>265</v>
      </c>
      <c r="J4041" t="s">
        <v>550</v>
      </c>
      <c r="K4041">
        <v>0</v>
      </c>
      <c r="L4041" t="s">
        <v>162</v>
      </c>
      <c r="N4041" t="s">
        <v>377</v>
      </c>
      <c r="O4041" t="s">
        <v>550</v>
      </c>
      <c r="P4041">
        <v>2.6914245145719146E-3</v>
      </c>
      <c r="Q4041" t="s">
        <v>162</v>
      </c>
      <c r="S4041" t="s">
        <v>489</v>
      </c>
      <c r="T4041" t="s">
        <v>550</v>
      </c>
      <c r="U4041">
        <v>4.2294725767392082E-3</v>
      </c>
      <c r="V4041" t="s">
        <v>162</v>
      </c>
    </row>
    <row r="4042" spans="9:22" x14ac:dyDescent="0.45">
      <c r="I4042" t="s">
        <v>265</v>
      </c>
      <c r="J4042" t="s">
        <v>551</v>
      </c>
      <c r="K4042">
        <v>0</v>
      </c>
      <c r="L4042" t="s">
        <v>162</v>
      </c>
      <c r="N4042" t="s">
        <v>377</v>
      </c>
      <c r="O4042" t="s">
        <v>551</v>
      </c>
      <c r="P4042">
        <v>1.9850781968583739E-2</v>
      </c>
      <c r="Q4042" t="s">
        <v>162</v>
      </c>
      <c r="S4042" t="s">
        <v>489</v>
      </c>
      <c r="T4042" t="s">
        <v>551</v>
      </c>
      <c r="U4042">
        <v>2.5769074940518066E-2</v>
      </c>
      <c r="V4042" t="s">
        <v>162</v>
      </c>
    </row>
    <row r="4043" spans="9:22" x14ac:dyDescent="0.45">
      <c r="I4043" t="s">
        <v>266</v>
      </c>
      <c r="J4043" t="s">
        <v>161</v>
      </c>
      <c r="K4043">
        <v>2.4849112702478907E-3</v>
      </c>
      <c r="L4043" t="s">
        <v>162</v>
      </c>
      <c r="N4043" t="s">
        <v>378</v>
      </c>
      <c r="O4043" t="s">
        <v>161</v>
      </c>
      <c r="P4043">
        <v>4.2280727951265029E-2</v>
      </c>
      <c r="Q4043" t="s">
        <v>162</v>
      </c>
      <c r="S4043" t="s">
        <v>490</v>
      </c>
      <c r="T4043" t="s">
        <v>161</v>
      </c>
      <c r="U4043">
        <v>3.8722052318417265E-2</v>
      </c>
      <c r="V4043" t="s">
        <v>162</v>
      </c>
    </row>
    <row r="4044" spans="9:22" x14ac:dyDescent="0.45">
      <c r="I4044" t="s">
        <v>266</v>
      </c>
      <c r="J4044" t="s">
        <v>163</v>
      </c>
      <c r="K4044">
        <v>4.7323455082984222E-3</v>
      </c>
      <c r="L4044" t="s">
        <v>162</v>
      </c>
      <c r="N4044" t="s">
        <v>378</v>
      </c>
      <c r="O4044" t="s">
        <v>163</v>
      </c>
      <c r="P4044">
        <v>4.2342553865972986E-3</v>
      </c>
      <c r="Q4044" t="s">
        <v>162</v>
      </c>
      <c r="S4044" t="s">
        <v>490</v>
      </c>
      <c r="T4044" t="s">
        <v>163</v>
      </c>
      <c r="U4044">
        <v>3.7634187289827363E-3</v>
      </c>
      <c r="V4044" t="s">
        <v>162</v>
      </c>
    </row>
    <row r="4045" spans="9:22" x14ac:dyDescent="0.45">
      <c r="I4045" t="s">
        <v>266</v>
      </c>
      <c r="J4045" t="s">
        <v>164</v>
      </c>
      <c r="K4045">
        <v>1.329742500135148E-2</v>
      </c>
      <c r="L4045" t="s">
        <v>162</v>
      </c>
      <c r="N4045" t="s">
        <v>378</v>
      </c>
      <c r="O4045" t="s">
        <v>164</v>
      </c>
      <c r="P4045">
        <v>8.492994746854745E-3</v>
      </c>
      <c r="Q4045" t="s">
        <v>162</v>
      </c>
      <c r="S4045" t="s">
        <v>490</v>
      </c>
      <c r="T4045" t="s">
        <v>164</v>
      </c>
      <c r="U4045">
        <v>7.6216759481036404E-3</v>
      </c>
      <c r="V4045" t="s">
        <v>162</v>
      </c>
    </row>
    <row r="4046" spans="9:22" x14ac:dyDescent="0.45">
      <c r="I4046" t="s">
        <v>266</v>
      </c>
      <c r="J4046" t="s">
        <v>519</v>
      </c>
      <c r="K4046">
        <v>2.7966207491258541E-2</v>
      </c>
      <c r="L4046" t="s">
        <v>162</v>
      </c>
      <c r="N4046" t="s">
        <v>378</v>
      </c>
      <c r="O4046" t="s">
        <v>519</v>
      </c>
      <c r="P4046">
        <v>2.2942649786219634E-2</v>
      </c>
      <c r="Q4046" t="s">
        <v>162</v>
      </c>
      <c r="S4046" t="s">
        <v>490</v>
      </c>
      <c r="T4046" t="s">
        <v>519</v>
      </c>
      <c r="U4046">
        <v>2.0354700773348111E-2</v>
      </c>
      <c r="V4046" t="s">
        <v>162</v>
      </c>
    </row>
    <row r="4047" spans="9:22" x14ac:dyDescent="0.45">
      <c r="I4047" t="s">
        <v>266</v>
      </c>
      <c r="J4047" t="s">
        <v>520</v>
      </c>
      <c r="K4047">
        <v>0</v>
      </c>
      <c r="L4047" t="s">
        <v>162</v>
      </c>
      <c r="N4047" t="s">
        <v>378</v>
      </c>
      <c r="O4047" t="s">
        <v>520</v>
      </c>
      <c r="P4047">
        <v>4.6834412742059392E-3</v>
      </c>
      <c r="Q4047" t="s">
        <v>162</v>
      </c>
      <c r="S4047" t="s">
        <v>490</v>
      </c>
      <c r="T4047" t="s">
        <v>520</v>
      </c>
      <c r="U4047">
        <v>4.2865364402627764E-3</v>
      </c>
      <c r="V4047" t="s">
        <v>162</v>
      </c>
    </row>
    <row r="4048" spans="9:22" x14ac:dyDescent="0.45">
      <c r="I4048" t="s">
        <v>266</v>
      </c>
      <c r="J4048" t="s">
        <v>521</v>
      </c>
      <c r="K4048">
        <v>0</v>
      </c>
      <c r="L4048" t="s">
        <v>162</v>
      </c>
      <c r="N4048" t="s">
        <v>378</v>
      </c>
      <c r="O4048" t="s">
        <v>521</v>
      </c>
      <c r="P4048">
        <v>2.9767944205175891E-2</v>
      </c>
      <c r="Q4048" t="s">
        <v>162</v>
      </c>
      <c r="S4048" t="s">
        <v>490</v>
      </c>
      <c r="T4048" t="s">
        <v>521</v>
      </c>
      <c r="U4048">
        <v>2.8321624987397539E-2</v>
      </c>
      <c r="V4048" t="s">
        <v>162</v>
      </c>
    </row>
    <row r="4049" spans="9:22" x14ac:dyDescent="0.45">
      <c r="I4049" t="s">
        <v>266</v>
      </c>
      <c r="J4049" t="s">
        <v>165</v>
      </c>
      <c r="K4049">
        <v>1.3897169896886996E-2</v>
      </c>
      <c r="L4049" t="s">
        <v>162</v>
      </c>
      <c r="N4049" t="s">
        <v>378</v>
      </c>
      <c r="O4049" t="s">
        <v>165</v>
      </c>
      <c r="P4049">
        <v>7.153961961025862E-2</v>
      </c>
      <c r="Q4049" t="s">
        <v>162</v>
      </c>
      <c r="S4049" t="s">
        <v>490</v>
      </c>
      <c r="T4049" t="s">
        <v>165</v>
      </c>
      <c r="U4049">
        <v>7.5949631618971891E-2</v>
      </c>
      <c r="V4049" t="s">
        <v>162</v>
      </c>
    </row>
    <row r="4050" spans="9:22" x14ac:dyDescent="0.45">
      <c r="I4050" t="s">
        <v>266</v>
      </c>
      <c r="J4050" t="s">
        <v>166</v>
      </c>
      <c r="K4050">
        <v>1.422758962422984E-2</v>
      </c>
      <c r="L4050" t="s">
        <v>162</v>
      </c>
      <c r="N4050" t="s">
        <v>378</v>
      </c>
      <c r="O4050" t="s">
        <v>166</v>
      </c>
      <c r="P4050">
        <v>7.528395677765547E-3</v>
      </c>
      <c r="Q4050" t="s">
        <v>162</v>
      </c>
      <c r="S4050" t="s">
        <v>490</v>
      </c>
      <c r="T4050" t="s">
        <v>166</v>
      </c>
      <c r="U4050">
        <v>8.0835999940225192E-3</v>
      </c>
      <c r="V4050" t="s">
        <v>162</v>
      </c>
    </row>
    <row r="4051" spans="9:22" x14ac:dyDescent="0.45">
      <c r="I4051" t="s">
        <v>266</v>
      </c>
      <c r="J4051" t="s">
        <v>167</v>
      </c>
      <c r="K4051">
        <v>3.6430824297576526E-2</v>
      </c>
      <c r="L4051" t="s">
        <v>162</v>
      </c>
      <c r="N4051" t="s">
        <v>378</v>
      </c>
      <c r="O4051" t="s">
        <v>167</v>
      </c>
      <c r="P4051">
        <v>1.4655624920744586E-2</v>
      </c>
      <c r="Q4051" t="s">
        <v>162</v>
      </c>
      <c r="S4051" t="s">
        <v>490</v>
      </c>
      <c r="T4051" t="s">
        <v>167</v>
      </c>
      <c r="U4051">
        <v>1.6093759649193053E-2</v>
      </c>
      <c r="V4051" t="s">
        <v>162</v>
      </c>
    </row>
    <row r="4052" spans="9:22" x14ac:dyDescent="0.45">
      <c r="I4052" t="s">
        <v>266</v>
      </c>
      <c r="J4052" t="s">
        <v>522</v>
      </c>
      <c r="K4052">
        <v>8.168702181885501E-2</v>
      </c>
      <c r="L4052" t="s">
        <v>162</v>
      </c>
      <c r="N4052" t="s">
        <v>378</v>
      </c>
      <c r="O4052" t="s">
        <v>522</v>
      </c>
      <c r="P4052">
        <v>3.589280932589213E-2</v>
      </c>
      <c r="Q4052" t="s">
        <v>162</v>
      </c>
      <c r="S4052" t="s">
        <v>490</v>
      </c>
      <c r="T4052" t="s">
        <v>522</v>
      </c>
      <c r="U4052">
        <v>4.1670835249836544E-2</v>
      </c>
      <c r="V4052" t="s">
        <v>162</v>
      </c>
    </row>
    <row r="4053" spans="9:22" x14ac:dyDescent="0.45">
      <c r="I4053" t="s">
        <v>266</v>
      </c>
      <c r="J4053" t="s">
        <v>523</v>
      </c>
      <c r="K4053">
        <v>5.6581053362021305E-3</v>
      </c>
      <c r="L4053" t="s">
        <v>162</v>
      </c>
      <c r="N4053" t="s">
        <v>378</v>
      </c>
      <c r="O4053" t="s">
        <v>523</v>
      </c>
      <c r="P4053">
        <v>6.6502901671113774E-3</v>
      </c>
      <c r="Q4053" t="s">
        <v>162</v>
      </c>
      <c r="S4053" t="s">
        <v>490</v>
      </c>
      <c r="T4053" t="s">
        <v>523</v>
      </c>
      <c r="U4053">
        <v>8.8246966060480277E-3</v>
      </c>
      <c r="V4053" t="s">
        <v>162</v>
      </c>
    </row>
    <row r="4054" spans="9:22" x14ac:dyDescent="0.45">
      <c r="I4054" t="s">
        <v>266</v>
      </c>
      <c r="J4054" t="s">
        <v>524</v>
      </c>
      <c r="K4054">
        <v>7.0723781024331308E-4</v>
      </c>
      <c r="L4054" t="s">
        <v>162</v>
      </c>
      <c r="N4054" t="s">
        <v>378</v>
      </c>
      <c r="O4054" t="s">
        <v>524</v>
      </c>
      <c r="P4054">
        <v>4.6345734210749751E-2</v>
      </c>
      <c r="Q4054" t="s">
        <v>162</v>
      </c>
      <c r="S4054" t="s">
        <v>490</v>
      </c>
      <c r="T4054" t="s">
        <v>524</v>
      </c>
      <c r="U4054">
        <v>5.3653392573082971E-2</v>
      </c>
      <c r="V4054" t="s">
        <v>162</v>
      </c>
    </row>
    <row r="4055" spans="9:22" x14ac:dyDescent="0.45">
      <c r="I4055" t="s">
        <v>266</v>
      </c>
      <c r="J4055" t="s">
        <v>168</v>
      </c>
      <c r="K4055">
        <v>1.8677551500440044E-2</v>
      </c>
      <c r="L4055" t="s">
        <v>162</v>
      </c>
      <c r="N4055" t="s">
        <v>378</v>
      </c>
      <c r="O4055" t="s">
        <v>168</v>
      </c>
      <c r="P4055">
        <v>3.858082372623485E-2</v>
      </c>
      <c r="Q4055" t="s">
        <v>162</v>
      </c>
      <c r="S4055" t="s">
        <v>490</v>
      </c>
      <c r="T4055" t="s">
        <v>168</v>
      </c>
      <c r="U4055">
        <v>2.6741427130768807E-2</v>
      </c>
      <c r="V4055" t="s">
        <v>162</v>
      </c>
    </row>
    <row r="4056" spans="9:22" x14ac:dyDescent="0.45">
      <c r="I4056" t="s">
        <v>266</v>
      </c>
      <c r="J4056" t="s">
        <v>169</v>
      </c>
      <c r="K4056">
        <v>9.3855635685065209E-3</v>
      </c>
      <c r="L4056" t="s">
        <v>162</v>
      </c>
      <c r="N4056" t="s">
        <v>378</v>
      </c>
      <c r="O4056" t="s">
        <v>169</v>
      </c>
      <c r="P4056">
        <v>3.917703840715066E-3</v>
      </c>
      <c r="Q4056" t="s">
        <v>162</v>
      </c>
      <c r="S4056" t="s">
        <v>490</v>
      </c>
      <c r="T4056" t="s">
        <v>169</v>
      </c>
      <c r="U4056">
        <v>2.86162457263991E-3</v>
      </c>
      <c r="V4056" t="s">
        <v>162</v>
      </c>
    </row>
    <row r="4057" spans="9:22" x14ac:dyDescent="0.45">
      <c r="I4057" t="s">
        <v>266</v>
      </c>
      <c r="J4057" t="s">
        <v>170</v>
      </c>
      <c r="K4057">
        <v>2.0802959152060273E-2</v>
      </c>
      <c r="L4057" t="s">
        <v>162</v>
      </c>
      <c r="N4057" t="s">
        <v>378</v>
      </c>
      <c r="O4057" t="s">
        <v>170</v>
      </c>
      <c r="P4057">
        <v>8.163574310840211E-3</v>
      </c>
      <c r="Q4057" t="s">
        <v>162</v>
      </c>
      <c r="S4057" t="s">
        <v>490</v>
      </c>
      <c r="T4057" t="s">
        <v>170</v>
      </c>
      <c r="U4057">
        <v>6.0321378190973446E-3</v>
      </c>
      <c r="V4057" t="s">
        <v>162</v>
      </c>
    </row>
    <row r="4058" spans="9:22" x14ac:dyDescent="0.45">
      <c r="I4058" t="s">
        <v>266</v>
      </c>
      <c r="J4058" t="s">
        <v>525</v>
      </c>
      <c r="K4058">
        <v>4.487152815539578E-2</v>
      </c>
      <c r="L4058" t="s">
        <v>162</v>
      </c>
      <c r="N4058" t="s">
        <v>378</v>
      </c>
      <c r="O4058" t="s">
        <v>525</v>
      </c>
      <c r="P4058">
        <v>2.1228809007051635E-2</v>
      </c>
      <c r="Q4058" t="s">
        <v>162</v>
      </c>
      <c r="S4058" t="s">
        <v>490</v>
      </c>
      <c r="T4058" t="s">
        <v>525</v>
      </c>
      <c r="U4058">
        <v>1.6598510183558363E-2</v>
      </c>
      <c r="V4058" t="s">
        <v>162</v>
      </c>
    </row>
    <row r="4059" spans="9:22" x14ac:dyDescent="0.45">
      <c r="I4059" t="s">
        <v>266</v>
      </c>
      <c r="J4059" t="s">
        <v>526</v>
      </c>
      <c r="K4059">
        <v>4.5914744060583023E-3</v>
      </c>
      <c r="L4059" t="s">
        <v>162</v>
      </c>
      <c r="N4059" t="s">
        <v>378</v>
      </c>
      <c r="O4059" t="s">
        <v>526</v>
      </c>
      <c r="P4059">
        <v>4.111331450151353E-3</v>
      </c>
      <c r="Q4059" t="s">
        <v>162</v>
      </c>
      <c r="S4059" t="s">
        <v>490</v>
      </c>
      <c r="T4059" t="s">
        <v>526</v>
      </c>
      <c r="U4059">
        <v>3.185161002242279E-3</v>
      </c>
      <c r="V4059" t="s">
        <v>162</v>
      </c>
    </row>
    <row r="4060" spans="9:22" x14ac:dyDescent="0.45">
      <c r="I4060" t="s">
        <v>266</v>
      </c>
      <c r="J4060" t="s">
        <v>527</v>
      </c>
      <c r="K4060">
        <v>2.9278759956975556E-3</v>
      </c>
      <c r="L4060" t="s">
        <v>162</v>
      </c>
      <c r="N4060" t="s">
        <v>378</v>
      </c>
      <c r="O4060" t="s">
        <v>527</v>
      </c>
      <c r="P4060">
        <v>2.7130820813597578E-2</v>
      </c>
      <c r="Q4060" t="s">
        <v>162</v>
      </c>
      <c r="S4060" t="s">
        <v>490</v>
      </c>
      <c r="T4060" t="s">
        <v>527</v>
      </c>
      <c r="U4060">
        <v>1.8245911912604447E-2</v>
      </c>
      <c r="V4060" t="s">
        <v>162</v>
      </c>
    </row>
    <row r="4061" spans="9:22" x14ac:dyDescent="0.45">
      <c r="I4061" t="s">
        <v>266</v>
      </c>
      <c r="J4061" t="s">
        <v>528</v>
      </c>
      <c r="K4061">
        <v>8.021297453603253E-2</v>
      </c>
      <c r="L4061" t="s">
        <v>162</v>
      </c>
      <c r="N4061" t="s">
        <v>378</v>
      </c>
      <c r="O4061" t="s">
        <v>528</v>
      </c>
      <c r="P4061">
        <v>7.0830341715480333E-2</v>
      </c>
      <c r="Q4061" t="s">
        <v>162</v>
      </c>
      <c r="S4061" t="s">
        <v>490</v>
      </c>
      <c r="T4061" t="s">
        <v>528</v>
      </c>
      <c r="U4061">
        <v>7.2529078806026839E-2</v>
      </c>
      <c r="V4061" t="s">
        <v>162</v>
      </c>
    </row>
    <row r="4062" spans="9:22" x14ac:dyDescent="0.45">
      <c r="I4062" t="s">
        <v>266</v>
      </c>
      <c r="J4062" t="s">
        <v>529</v>
      </c>
      <c r="K4062">
        <v>3.1344862189441366E-2</v>
      </c>
      <c r="L4062" t="s">
        <v>162</v>
      </c>
      <c r="N4062" t="s">
        <v>378</v>
      </c>
      <c r="O4062" t="s">
        <v>529</v>
      </c>
      <c r="P4062">
        <v>6.8146323269559815E-3</v>
      </c>
      <c r="Q4062" t="s">
        <v>162</v>
      </c>
      <c r="S4062" t="s">
        <v>490</v>
      </c>
      <c r="T4062" t="s">
        <v>529</v>
      </c>
      <c r="U4062">
        <v>7.5928355422460536E-3</v>
      </c>
      <c r="V4062" t="s">
        <v>162</v>
      </c>
    </row>
    <row r="4063" spans="9:22" x14ac:dyDescent="0.45">
      <c r="I4063" t="s">
        <v>266</v>
      </c>
      <c r="J4063" t="s">
        <v>530</v>
      </c>
      <c r="K4063">
        <v>6.6213318296608356E-2</v>
      </c>
      <c r="L4063" t="s">
        <v>162</v>
      </c>
      <c r="N4063" t="s">
        <v>378</v>
      </c>
      <c r="O4063" t="s">
        <v>530</v>
      </c>
      <c r="P4063">
        <v>1.4368621950588077E-2</v>
      </c>
      <c r="Q4063" t="s">
        <v>162</v>
      </c>
      <c r="S4063" t="s">
        <v>490</v>
      </c>
      <c r="T4063" t="s">
        <v>530</v>
      </c>
      <c r="U4063">
        <v>1.6103086581139354E-2</v>
      </c>
      <c r="V4063" t="s">
        <v>162</v>
      </c>
    </row>
    <row r="4064" spans="9:22" x14ac:dyDescent="0.45">
      <c r="I4064" t="s">
        <v>266</v>
      </c>
      <c r="J4064" t="s">
        <v>531</v>
      </c>
      <c r="K4064">
        <v>0.14864198408922549</v>
      </c>
      <c r="L4064" t="s">
        <v>162</v>
      </c>
      <c r="N4064" t="s">
        <v>378</v>
      </c>
      <c r="O4064" t="s">
        <v>531</v>
      </c>
      <c r="P4064">
        <v>3.7488220529414425E-2</v>
      </c>
      <c r="Q4064" t="s">
        <v>162</v>
      </c>
      <c r="S4064" t="s">
        <v>490</v>
      </c>
      <c r="T4064" t="s">
        <v>531</v>
      </c>
      <c r="U4064">
        <v>4.5710708708027112E-2</v>
      </c>
      <c r="V4064" t="s">
        <v>162</v>
      </c>
    </row>
    <row r="4065" spans="9:22" x14ac:dyDescent="0.45">
      <c r="I4065" t="s">
        <v>266</v>
      </c>
      <c r="J4065" t="s">
        <v>532</v>
      </c>
      <c r="K4065">
        <v>2.0590248763071695E-2</v>
      </c>
      <c r="L4065" t="s">
        <v>162</v>
      </c>
      <c r="N4065" t="s">
        <v>378</v>
      </c>
      <c r="O4065" t="s">
        <v>532</v>
      </c>
      <c r="P4065">
        <v>6.3878516077164162E-3</v>
      </c>
      <c r="Q4065" t="s">
        <v>162</v>
      </c>
      <c r="S4065" t="s">
        <v>490</v>
      </c>
      <c r="T4065" t="s">
        <v>532</v>
      </c>
      <c r="U4065">
        <v>9.4547558043334579E-3</v>
      </c>
      <c r="V4065" t="s">
        <v>162</v>
      </c>
    </row>
    <row r="4066" spans="9:22" x14ac:dyDescent="0.45">
      <c r="I4066" t="s">
        <v>266</v>
      </c>
      <c r="J4066" t="s">
        <v>533</v>
      </c>
      <c r="K4066">
        <v>2.4371483625785655E-2</v>
      </c>
      <c r="L4066" t="s">
        <v>162</v>
      </c>
      <c r="N4066" t="s">
        <v>378</v>
      </c>
      <c r="O4066" t="s">
        <v>533</v>
      </c>
      <c r="P4066">
        <v>4.8541285668099426E-2</v>
      </c>
      <c r="Q4066" t="s">
        <v>162</v>
      </c>
      <c r="S4066" t="s">
        <v>490</v>
      </c>
      <c r="T4066" t="s">
        <v>533</v>
      </c>
      <c r="U4066">
        <v>5.4064850647319522E-2</v>
      </c>
      <c r="V4066" t="s">
        <v>162</v>
      </c>
    </row>
    <row r="4067" spans="9:22" x14ac:dyDescent="0.45">
      <c r="I4067" t="s">
        <v>266</v>
      </c>
      <c r="J4067" t="s">
        <v>534</v>
      </c>
      <c r="K4067">
        <v>4.4836858457890871E-2</v>
      </c>
      <c r="L4067" t="s">
        <v>162</v>
      </c>
      <c r="N4067" t="s">
        <v>378</v>
      </c>
      <c r="O4067" t="s">
        <v>534</v>
      </c>
      <c r="P4067">
        <v>6.9283058854108015E-2</v>
      </c>
      <c r="Q4067" t="s">
        <v>162</v>
      </c>
      <c r="S4067" t="s">
        <v>490</v>
      </c>
      <c r="T4067" t="s">
        <v>534</v>
      </c>
      <c r="U4067">
        <v>8.0134608471098101E-2</v>
      </c>
      <c r="V4067" t="s">
        <v>162</v>
      </c>
    </row>
    <row r="4068" spans="9:22" x14ac:dyDescent="0.45">
      <c r="I4068" t="s">
        <v>266</v>
      </c>
      <c r="J4068" t="s">
        <v>535</v>
      </c>
      <c r="K4068">
        <v>2.4613909237908321E-2</v>
      </c>
      <c r="L4068" t="s">
        <v>162</v>
      </c>
      <c r="N4068" t="s">
        <v>378</v>
      </c>
      <c r="O4068" t="s">
        <v>535</v>
      </c>
      <c r="P4068">
        <v>6.8434521751845308E-3</v>
      </c>
      <c r="Q4068" t="s">
        <v>162</v>
      </c>
      <c r="S4068" t="s">
        <v>490</v>
      </c>
      <c r="T4068" t="s">
        <v>535</v>
      </c>
      <c r="U4068">
        <v>9.0382246326712375E-3</v>
      </c>
      <c r="V4068" t="s">
        <v>162</v>
      </c>
    </row>
    <row r="4069" spans="9:22" x14ac:dyDescent="0.45">
      <c r="I4069" t="s">
        <v>266</v>
      </c>
      <c r="J4069" t="s">
        <v>536</v>
      </c>
      <c r="K4069">
        <v>5.1459906283329769E-2</v>
      </c>
      <c r="L4069" t="s">
        <v>162</v>
      </c>
      <c r="N4069" t="s">
        <v>378</v>
      </c>
      <c r="O4069" t="s">
        <v>536</v>
      </c>
      <c r="P4069">
        <v>1.4230950923789173E-2</v>
      </c>
      <c r="Q4069" t="s">
        <v>162</v>
      </c>
      <c r="S4069" t="s">
        <v>490</v>
      </c>
      <c r="T4069" t="s">
        <v>536</v>
      </c>
      <c r="U4069">
        <v>1.9323860224625879E-2</v>
      </c>
      <c r="V4069" t="s">
        <v>162</v>
      </c>
    </row>
    <row r="4070" spans="9:22" x14ac:dyDescent="0.45">
      <c r="I4070" t="s">
        <v>266</v>
      </c>
      <c r="J4070" t="s">
        <v>537</v>
      </c>
      <c r="K4070">
        <v>0.11196475790884321</v>
      </c>
      <c r="L4070" t="s">
        <v>162</v>
      </c>
      <c r="N4070" t="s">
        <v>378</v>
      </c>
      <c r="O4070" t="s">
        <v>537</v>
      </c>
      <c r="P4070">
        <v>3.6839538462855245E-2</v>
      </c>
      <c r="Q4070" t="s">
        <v>162</v>
      </c>
      <c r="S4070" t="s">
        <v>490</v>
      </c>
      <c r="T4070" t="s">
        <v>537</v>
      </c>
      <c r="U4070">
        <v>5.2671406132270303E-2</v>
      </c>
      <c r="V4070" t="s">
        <v>162</v>
      </c>
    </row>
    <row r="4071" spans="9:22" x14ac:dyDescent="0.45">
      <c r="I4071" t="s">
        <v>266</v>
      </c>
      <c r="J4071" t="s">
        <v>538</v>
      </c>
      <c r="K4071">
        <v>1.2561764526750506E-2</v>
      </c>
      <c r="L4071" t="s">
        <v>162</v>
      </c>
      <c r="N4071" t="s">
        <v>378</v>
      </c>
      <c r="O4071" t="s">
        <v>538</v>
      </c>
      <c r="P4071">
        <v>6.81063289981084E-3</v>
      </c>
      <c r="Q4071" t="s">
        <v>162</v>
      </c>
      <c r="S4071" t="s">
        <v>490</v>
      </c>
      <c r="T4071" t="s">
        <v>538</v>
      </c>
      <c r="U4071">
        <v>1.0477701381028529E-2</v>
      </c>
      <c r="V4071" t="s">
        <v>162</v>
      </c>
    </row>
    <row r="4072" spans="9:22" x14ac:dyDescent="0.45">
      <c r="I4072" t="s">
        <v>266</v>
      </c>
      <c r="J4072" t="s">
        <v>539</v>
      </c>
      <c r="K4072">
        <v>7.0714623208856849E-3</v>
      </c>
      <c r="L4072" t="s">
        <v>162</v>
      </c>
      <c r="N4072" t="s">
        <v>378</v>
      </c>
      <c r="O4072" t="s">
        <v>539</v>
      </c>
      <c r="P4072">
        <v>5.0876950166401952E-2</v>
      </c>
      <c r="Q4072" t="s">
        <v>162</v>
      </c>
      <c r="S4072" t="s">
        <v>490</v>
      </c>
      <c r="T4072" t="s">
        <v>539</v>
      </c>
      <c r="U4072">
        <v>6.1027287966794248E-2</v>
      </c>
      <c r="V4072" t="s">
        <v>162</v>
      </c>
    </row>
    <row r="4073" spans="9:22" x14ac:dyDescent="0.45">
      <c r="I4073" t="s">
        <v>266</v>
      </c>
      <c r="J4073" t="s">
        <v>540</v>
      </c>
      <c r="K4073">
        <v>2.3783924319233912E-3</v>
      </c>
      <c r="L4073" t="s">
        <v>162</v>
      </c>
      <c r="N4073" t="s">
        <v>378</v>
      </c>
      <c r="O4073" t="s">
        <v>540</v>
      </c>
      <c r="P4073">
        <v>4.6879648489728032E-2</v>
      </c>
      <c r="Q4073" t="s">
        <v>162</v>
      </c>
      <c r="S4073" t="s">
        <v>490</v>
      </c>
      <c r="T4073" t="s">
        <v>540</v>
      </c>
      <c r="U4073">
        <v>3.1129164973838802E-2</v>
      </c>
      <c r="V4073" t="s">
        <v>162</v>
      </c>
    </row>
    <row r="4074" spans="9:22" x14ac:dyDescent="0.45">
      <c r="I4074" t="s">
        <v>266</v>
      </c>
      <c r="J4074" t="s">
        <v>541</v>
      </c>
      <c r="K4074">
        <v>3.3247372686882868E-3</v>
      </c>
      <c r="L4074" t="s">
        <v>162</v>
      </c>
      <c r="N4074" t="s">
        <v>378</v>
      </c>
      <c r="O4074" t="s">
        <v>541</v>
      </c>
      <c r="P4074">
        <v>5.3251373455999521E-3</v>
      </c>
      <c r="Q4074" t="s">
        <v>162</v>
      </c>
      <c r="S4074" t="s">
        <v>490</v>
      </c>
      <c r="T4074" t="s">
        <v>541</v>
      </c>
      <c r="U4074">
        <v>3.4927819691749707E-3</v>
      </c>
      <c r="V4074" t="s">
        <v>162</v>
      </c>
    </row>
    <row r="4075" spans="9:22" x14ac:dyDescent="0.45">
      <c r="I4075" t="s">
        <v>266</v>
      </c>
      <c r="J4075" t="s">
        <v>542</v>
      </c>
      <c r="K4075">
        <v>8.8666351856961159E-3</v>
      </c>
      <c r="L4075" t="s">
        <v>162</v>
      </c>
      <c r="N4075" t="s">
        <v>378</v>
      </c>
      <c r="O4075" t="s">
        <v>542</v>
      </c>
      <c r="P4075">
        <v>1.0899719593941726E-2</v>
      </c>
      <c r="Q4075" t="s">
        <v>162</v>
      </c>
      <c r="S4075" t="s">
        <v>490</v>
      </c>
      <c r="T4075" t="s">
        <v>542</v>
      </c>
      <c r="U4075">
        <v>7.3501527056134882E-3</v>
      </c>
      <c r="V4075" t="s">
        <v>162</v>
      </c>
    </row>
    <row r="4076" spans="9:22" x14ac:dyDescent="0.45">
      <c r="I4076" t="s">
        <v>266</v>
      </c>
      <c r="J4076" t="s">
        <v>543</v>
      </c>
      <c r="K4076">
        <v>1.8203329887789527E-2</v>
      </c>
      <c r="L4076" t="s">
        <v>162</v>
      </c>
      <c r="N4076" t="s">
        <v>378</v>
      </c>
      <c r="O4076" t="s">
        <v>543</v>
      </c>
      <c r="P4076">
        <v>2.7219676525293002E-2</v>
      </c>
      <c r="Q4076" t="s">
        <v>162</v>
      </c>
      <c r="S4076" t="s">
        <v>490</v>
      </c>
      <c r="T4076" t="s">
        <v>543</v>
      </c>
      <c r="U4076">
        <v>1.8541871992981216E-2</v>
      </c>
      <c r="V4076" t="s">
        <v>162</v>
      </c>
    </row>
    <row r="4077" spans="9:22" x14ac:dyDescent="0.45">
      <c r="I4077" t="s">
        <v>266</v>
      </c>
      <c r="J4077" t="s">
        <v>544</v>
      </c>
      <c r="K4077">
        <v>0</v>
      </c>
      <c r="L4077" t="s">
        <v>162</v>
      </c>
      <c r="N4077" t="s">
        <v>378</v>
      </c>
      <c r="O4077" t="s">
        <v>544</v>
      </c>
      <c r="P4077">
        <v>5.2018606704330736E-3</v>
      </c>
      <c r="Q4077" t="s">
        <v>162</v>
      </c>
      <c r="S4077" t="s">
        <v>490</v>
      </c>
      <c r="T4077" t="s">
        <v>544</v>
      </c>
      <c r="U4077">
        <v>3.5043686625929617E-3</v>
      </c>
      <c r="V4077" t="s">
        <v>162</v>
      </c>
    </row>
    <row r="4078" spans="9:22" x14ac:dyDescent="0.45">
      <c r="I4078" t="s">
        <v>266</v>
      </c>
      <c r="J4078" t="s">
        <v>545</v>
      </c>
      <c r="K4078">
        <v>0</v>
      </c>
      <c r="L4078" t="s">
        <v>162</v>
      </c>
      <c r="N4078" t="s">
        <v>378</v>
      </c>
      <c r="O4078" t="s">
        <v>545</v>
      </c>
      <c r="P4078">
        <v>3.1614360730078825E-2</v>
      </c>
      <c r="Q4078" t="s">
        <v>162</v>
      </c>
      <c r="S4078" t="s">
        <v>490</v>
      </c>
      <c r="T4078" t="s">
        <v>545</v>
      </c>
      <c r="U4078">
        <v>2.1211569224271115E-2</v>
      </c>
      <c r="V4078" t="s">
        <v>162</v>
      </c>
    </row>
    <row r="4079" spans="9:22" x14ac:dyDescent="0.45">
      <c r="I4079" t="s">
        <v>266</v>
      </c>
      <c r="J4079" t="s">
        <v>546</v>
      </c>
      <c r="K4079">
        <v>2.0374938556175009E-3</v>
      </c>
      <c r="L4079" t="s">
        <v>162</v>
      </c>
      <c r="N4079" t="s">
        <v>378</v>
      </c>
      <c r="O4079" t="s">
        <v>546</v>
      </c>
      <c r="P4079">
        <v>3.9563720914919102E-2</v>
      </c>
      <c r="Q4079" t="s">
        <v>162</v>
      </c>
      <c r="S4079" t="s">
        <v>490</v>
      </c>
      <c r="T4079" t="s">
        <v>546</v>
      </c>
      <c r="U4079">
        <v>3.4300145428343393E-2</v>
      </c>
      <c r="V4079" t="s">
        <v>162</v>
      </c>
    </row>
    <row r="4080" spans="9:22" x14ac:dyDescent="0.45">
      <c r="I4080" t="s">
        <v>266</v>
      </c>
      <c r="J4080" t="s">
        <v>547</v>
      </c>
      <c r="K4080">
        <v>4.4199193335024171E-3</v>
      </c>
      <c r="L4080" t="s">
        <v>162</v>
      </c>
      <c r="N4080" t="s">
        <v>378</v>
      </c>
      <c r="O4080" t="s">
        <v>547</v>
      </c>
      <c r="P4080">
        <v>4.2642777871483911E-3</v>
      </c>
      <c r="Q4080" t="s">
        <v>162</v>
      </c>
      <c r="S4080" t="s">
        <v>490</v>
      </c>
      <c r="T4080" t="s">
        <v>547</v>
      </c>
      <c r="U4080">
        <v>3.9945078871631203E-3</v>
      </c>
      <c r="V4080" t="s">
        <v>162</v>
      </c>
    </row>
    <row r="4081" spans="9:22" x14ac:dyDescent="0.45">
      <c r="I4081" t="s">
        <v>266</v>
      </c>
      <c r="J4081" t="s">
        <v>548</v>
      </c>
      <c r="K4081">
        <v>1.2855804634740056E-2</v>
      </c>
      <c r="L4081" t="s">
        <v>162</v>
      </c>
      <c r="N4081" t="s">
        <v>378</v>
      </c>
      <c r="O4081" t="s">
        <v>548</v>
      </c>
      <c r="P4081">
        <v>8.3791860031497811E-3</v>
      </c>
      <c r="Q4081" t="s">
        <v>162</v>
      </c>
      <c r="S4081" t="s">
        <v>490</v>
      </c>
      <c r="T4081" t="s">
        <v>548</v>
      </c>
      <c r="U4081">
        <v>8.245227402220931E-3</v>
      </c>
      <c r="V4081" t="s">
        <v>162</v>
      </c>
    </row>
    <row r="4082" spans="9:22" x14ac:dyDescent="0.45">
      <c r="I4082" t="s">
        <v>266</v>
      </c>
      <c r="J4082" t="s">
        <v>549</v>
      </c>
      <c r="K4082">
        <v>2.1684366332961856E-2</v>
      </c>
      <c r="L4082" t="s">
        <v>162</v>
      </c>
      <c r="N4082" t="s">
        <v>378</v>
      </c>
      <c r="O4082" t="s">
        <v>549</v>
      </c>
      <c r="P4082">
        <v>2.1449195259675202E-2</v>
      </c>
      <c r="Q4082" t="s">
        <v>162</v>
      </c>
      <c r="S4082" t="s">
        <v>490</v>
      </c>
      <c r="T4082" t="s">
        <v>549</v>
      </c>
      <c r="U4082">
        <v>2.0110749027372601E-2</v>
      </c>
      <c r="V4082" t="s">
        <v>162</v>
      </c>
    </row>
    <row r="4083" spans="9:22" x14ac:dyDescent="0.45">
      <c r="I4083" t="s">
        <v>266</v>
      </c>
      <c r="J4083" t="s">
        <v>550</v>
      </c>
      <c r="K4083">
        <v>0</v>
      </c>
      <c r="L4083" t="s">
        <v>162</v>
      </c>
      <c r="N4083" t="s">
        <v>378</v>
      </c>
      <c r="O4083" t="s">
        <v>550</v>
      </c>
      <c r="P4083">
        <v>4.2437867110058994E-3</v>
      </c>
      <c r="Q4083" t="s">
        <v>162</v>
      </c>
      <c r="S4083" t="s">
        <v>490</v>
      </c>
      <c r="T4083" t="s">
        <v>550</v>
      </c>
      <c r="U4083">
        <v>3.8940277363103096E-3</v>
      </c>
      <c r="V4083" t="s">
        <v>162</v>
      </c>
    </row>
    <row r="4084" spans="9:22" x14ac:dyDescent="0.45">
      <c r="I4084" t="s">
        <v>266</v>
      </c>
      <c r="J4084" t="s">
        <v>551</v>
      </c>
      <c r="K4084">
        <v>0</v>
      </c>
      <c r="L4084" t="s">
        <v>162</v>
      </c>
      <c r="N4084" t="s">
        <v>378</v>
      </c>
      <c r="O4084" t="s">
        <v>551</v>
      </c>
      <c r="P4084">
        <v>2.7496342277190566E-2</v>
      </c>
      <c r="Q4084" t="s">
        <v>162</v>
      </c>
      <c r="S4084" t="s">
        <v>490</v>
      </c>
      <c r="T4084" t="s">
        <v>551</v>
      </c>
      <c r="U4084">
        <v>2.5086330583959406E-2</v>
      </c>
      <c r="V4084" t="s">
        <v>162</v>
      </c>
    </row>
    <row r="4085" spans="9:22" x14ac:dyDescent="0.45">
      <c r="I4085" t="s">
        <v>267</v>
      </c>
      <c r="J4085" t="s">
        <v>161</v>
      </c>
      <c r="K4085">
        <v>0</v>
      </c>
      <c r="L4085" t="s">
        <v>162</v>
      </c>
      <c r="N4085" t="s">
        <v>379</v>
      </c>
      <c r="O4085" t="s">
        <v>161</v>
      </c>
      <c r="P4085">
        <v>4.126017176614253E-2</v>
      </c>
      <c r="Q4085" t="s">
        <v>162</v>
      </c>
      <c r="S4085" t="s">
        <v>491</v>
      </c>
      <c r="T4085" t="s">
        <v>161</v>
      </c>
      <c r="U4085">
        <v>4.2181368733351654E-2</v>
      </c>
      <c r="V4085" t="s">
        <v>162</v>
      </c>
    </row>
    <row r="4086" spans="9:22" x14ac:dyDescent="0.45">
      <c r="I4086" t="s">
        <v>267</v>
      </c>
      <c r="J4086" t="s">
        <v>163</v>
      </c>
      <c r="K4086">
        <v>3.4842622981208372E-3</v>
      </c>
      <c r="L4086" t="s">
        <v>162</v>
      </c>
      <c r="N4086" t="s">
        <v>379</v>
      </c>
      <c r="O4086" t="s">
        <v>163</v>
      </c>
      <c r="P4086">
        <v>4.300982641791744E-3</v>
      </c>
      <c r="Q4086" t="s">
        <v>162</v>
      </c>
      <c r="S4086" t="s">
        <v>491</v>
      </c>
      <c r="T4086" t="s">
        <v>163</v>
      </c>
      <c r="U4086">
        <v>4.4299599557732147E-3</v>
      </c>
      <c r="V4086" t="s">
        <v>162</v>
      </c>
    </row>
    <row r="4087" spans="9:22" x14ac:dyDescent="0.45">
      <c r="I4087" t="s">
        <v>267</v>
      </c>
      <c r="J4087" t="s">
        <v>164</v>
      </c>
      <c r="K4087">
        <v>1.2588534036639672E-2</v>
      </c>
      <c r="L4087" t="s">
        <v>162</v>
      </c>
      <c r="N4087" t="s">
        <v>379</v>
      </c>
      <c r="O4087" t="s">
        <v>164</v>
      </c>
      <c r="P4087">
        <v>7.9837472785446971E-3</v>
      </c>
      <c r="Q4087" t="s">
        <v>162</v>
      </c>
      <c r="S4087" t="s">
        <v>491</v>
      </c>
      <c r="T4087" t="s">
        <v>164</v>
      </c>
      <c r="U4087">
        <v>8.8211140470235271E-3</v>
      </c>
      <c r="V4087" t="s">
        <v>162</v>
      </c>
    </row>
    <row r="4088" spans="9:22" x14ac:dyDescent="0.45">
      <c r="I4088" t="s">
        <v>267</v>
      </c>
      <c r="J4088" t="s">
        <v>519</v>
      </c>
      <c r="K4088">
        <v>3.0307337164517823E-2</v>
      </c>
      <c r="L4088" t="s">
        <v>162</v>
      </c>
      <c r="N4088" t="s">
        <v>379</v>
      </c>
      <c r="O4088" t="s">
        <v>519</v>
      </c>
      <c r="P4088">
        <v>1.973142922632885E-2</v>
      </c>
      <c r="Q4088" t="s">
        <v>162</v>
      </c>
      <c r="S4088" t="s">
        <v>491</v>
      </c>
      <c r="T4088" t="s">
        <v>519</v>
      </c>
      <c r="U4088">
        <v>2.3201040394530546E-2</v>
      </c>
      <c r="V4088" t="s">
        <v>162</v>
      </c>
    </row>
    <row r="4089" spans="9:22" x14ac:dyDescent="0.45">
      <c r="I4089" t="s">
        <v>267</v>
      </c>
      <c r="J4089" t="s">
        <v>520</v>
      </c>
      <c r="K4089">
        <v>3.199216408540657E-4</v>
      </c>
      <c r="L4089" t="s">
        <v>162</v>
      </c>
      <c r="N4089" t="s">
        <v>379</v>
      </c>
      <c r="O4089" t="s">
        <v>520</v>
      </c>
      <c r="P4089">
        <v>4.3178866404695749E-3</v>
      </c>
      <c r="Q4089" t="s">
        <v>162</v>
      </c>
      <c r="S4089" t="s">
        <v>491</v>
      </c>
      <c r="T4089" t="s">
        <v>520</v>
      </c>
      <c r="U4089">
        <v>4.8727015490492298E-3</v>
      </c>
      <c r="V4089" t="s">
        <v>162</v>
      </c>
    </row>
    <row r="4090" spans="9:22" x14ac:dyDescent="0.45">
      <c r="I4090" t="s">
        <v>267</v>
      </c>
      <c r="J4090" t="s">
        <v>521</v>
      </c>
      <c r="K4090">
        <v>0</v>
      </c>
      <c r="L4090" t="s">
        <v>162</v>
      </c>
      <c r="N4090" t="s">
        <v>379</v>
      </c>
      <c r="O4090" t="s">
        <v>521</v>
      </c>
      <c r="P4090">
        <v>2.8297248194137998E-2</v>
      </c>
      <c r="Q4090" t="s">
        <v>162</v>
      </c>
      <c r="S4090" t="s">
        <v>491</v>
      </c>
      <c r="T4090" t="s">
        <v>521</v>
      </c>
      <c r="U4090">
        <v>2.9065230185063774E-2</v>
      </c>
      <c r="V4090" t="s">
        <v>162</v>
      </c>
    </row>
    <row r="4091" spans="9:22" x14ac:dyDescent="0.45">
      <c r="I4091" t="s">
        <v>267</v>
      </c>
      <c r="J4091" t="s">
        <v>165</v>
      </c>
      <c r="K4091">
        <v>1.1001199351753085E-2</v>
      </c>
      <c r="L4091" t="s">
        <v>162</v>
      </c>
      <c r="N4091" t="s">
        <v>379</v>
      </c>
      <c r="O4091" t="s">
        <v>165</v>
      </c>
      <c r="P4091">
        <v>6.8852346219901731E-2</v>
      </c>
      <c r="Q4091" t="s">
        <v>162</v>
      </c>
      <c r="S4091" t="s">
        <v>491</v>
      </c>
      <c r="T4091" t="s">
        <v>165</v>
      </c>
      <c r="U4091">
        <v>6.3256239526430391E-2</v>
      </c>
      <c r="V4091" t="s">
        <v>162</v>
      </c>
    </row>
    <row r="4092" spans="9:22" x14ac:dyDescent="0.45">
      <c r="I4092" t="s">
        <v>267</v>
      </c>
      <c r="J4092" t="s">
        <v>166</v>
      </c>
      <c r="K4092">
        <v>1.4441139979612281E-2</v>
      </c>
      <c r="L4092" t="s">
        <v>162</v>
      </c>
      <c r="N4092" t="s">
        <v>379</v>
      </c>
      <c r="O4092" t="s">
        <v>166</v>
      </c>
      <c r="P4092">
        <v>6.8011808737599606E-3</v>
      </c>
      <c r="Q4092" t="s">
        <v>162</v>
      </c>
      <c r="S4092" t="s">
        <v>491</v>
      </c>
      <c r="T4092" t="s">
        <v>166</v>
      </c>
      <c r="U4092">
        <v>7.2303610507653557E-3</v>
      </c>
      <c r="V4092" t="s">
        <v>162</v>
      </c>
    </row>
    <row r="4093" spans="9:22" x14ac:dyDescent="0.45">
      <c r="I4093" t="s">
        <v>267</v>
      </c>
      <c r="J4093" t="s">
        <v>167</v>
      </c>
      <c r="K4093">
        <v>3.8085676939297063E-2</v>
      </c>
      <c r="L4093" t="s">
        <v>162</v>
      </c>
      <c r="N4093" t="s">
        <v>379</v>
      </c>
      <c r="O4093" t="s">
        <v>167</v>
      </c>
      <c r="P4093">
        <v>1.3047562953832234E-2</v>
      </c>
      <c r="Q4093" t="s">
        <v>162</v>
      </c>
      <c r="S4093" t="s">
        <v>491</v>
      </c>
      <c r="T4093" t="s">
        <v>167</v>
      </c>
      <c r="U4093">
        <v>1.4553192958421418E-2</v>
      </c>
      <c r="V4093" t="s">
        <v>162</v>
      </c>
    </row>
    <row r="4094" spans="9:22" x14ac:dyDescent="0.45">
      <c r="I4094" t="s">
        <v>267</v>
      </c>
      <c r="J4094" t="s">
        <v>522</v>
      </c>
      <c r="K4094">
        <v>8.8412618232701773E-2</v>
      </c>
      <c r="L4094" t="s">
        <v>162</v>
      </c>
      <c r="N4094" t="s">
        <v>379</v>
      </c>
      <c r="O4094" t="s">
        <v>522</v>
      </c>
      <c r="P4094">
        <v>3.3595026143802678E-2</v>
      </c>
      <c r="Q4094" t="s">
        <v>162</v>
      </c>
      <c r="S4094" t="s">
        <v>491</v>
      </c>
      <c r="T4094" t="s">
        <v>522</v>
      </c>
      <c r="U4094">
        <v>3.6443341026813042E-2</v>
      </c>
      <c r="V4094" t="s">
        <v>162</v>
      </c>
    </row>
    <row r="4095" spans="9:22" x14ac:dyDescent="0.45">
      <c r="I4095" t="s">
        <v>267</v>
      </c>
      <c r="J4095" t="s">
        <v>523</v>
      </c>
      <c r="K4095">
        <v>1.0159246767406942E-2</v>
      </c>
      <c r="L4095" t="s">
        <v>162</v>
      </c>
      <c r="N4095" t="s">
        <v>379</v>
      </c>
      <c r="O4095" t="s">
        <v>523</v>
      </c>
      <c r="P4095">
        <v>6.6561876869423173E-3</v>
      </c>
      <c r="Q4095" t="s">
        <v>162</v>
      </c>
      <c r="S4095" t="s">
        <v>491</v>
      </c>
      <c r="T4095" t="s">
        <v>523</v>
      </c>
      <c r="U4095">
        <v>7.358550305558321E-3</v>
      </c>
      <c r="V4095" t="s">
        <v>162</v>
      </c>
    </row>
    <row r="4096" spans="9:22" x14ac:dyDescent="0.45">
      <c r="I4096" t="s">
        <v>267</v>
      </c>
      <c r="J4096" t="s">
        <v>524</v>
      </c>
      <c r="K4096">
        <v>3.0786284899835636E-3</v>
      </c>
      <c r="L4096" t="s">
        <v>162</v>
      </c>
      <c r="N4096" t="s">
        <v>379</v>
      </c>
      <c r="O4096" t="s">
        <v>524</v>
      </c>
      <c r="P4096">
        <v>4.763388618662534E-2</v>
      </c>
      <c r="Q4096" t="s">
        <v>162</v>
      </c>
      <c r="S4096" t="s">
        <v>491</v>
      </c>
      <c r="T4096" t="s">
        <v>524</v>
      </c>
      <c r="U4096">
        <v>4.4454268051724005E-2</v>
      </c>
      <c r="V4096" t="s">
        <v>162</v>
      </c>
    </row>
    <row r="4097" spans="9:22" x14ac:dyDescent="0.45">
      <c r="I4097" t="s">
        <v>267</v>
      </c>
      <c r="J4097" t="s">
        <v>168</v>
      </c>
      <c r="K4097">
        <v>1.4612923661054777E-2</v>
      </c>
      <c r="L4097" t="s">
        <v>162</v>
      </c>
      <c r="N4097" t="s">
        <v>379</v>
      </c>
      <c r="O4097" t="s">
        <v>168</v>
      </c>
      <c r="P4097">
        <v>4.1795329964570069E-2</v>
      </c>
      <c r="Q4097" t="s">
        <v>162</v>
      </c>
      <c r="S4097" t="s">
        <v>491</v>
      </c>
      <c r="T4097" t="s">
        <v>168</v>
      </c>
      <c r="U4097">
        <v>2.8761429133881525E-2</v>
      </c>
      <c r="V4097" t="s">
        <v>162</v>
      </c>
    </row>
    <row r="4098" spans="9:22" x14ac:dyDescent="0.45">
      <c r="I4098" t="s">
        <v>267</v>
      </c>
      <c r="J4098" t="s">
        <v>169</v>
      </c>
      <c r="K4098">
        <v>9.4197694367128791E-3</v>
      </c>
      <c r="L4098" t="s">
        <v>162</v>
      </c>
      <c r="N4098" t="s">
        <v>379</v>
      </c>
      <c r="O4098" t="s">
        <v>169</v>
      </c>
      <c r="P4098">
        <v>4.1728327028856781E-3</v>
      </c>
      <c r="Q4098" t="s">
        <v>162</v>
      </c>
      <c r="S4098" t="s">
        <v>491</v>
      </c>
      <c r="T4098" t="s">
        <v>169</v>
      </c>
      <c r="U4098">
        <v>3.2100952018173359E-3</v>
      </c>
      <c r="V4098" t="s">
        <v>162</v>
      </c>
    </row>
    <row r="4099" spans="9:22" x14ac:dyDescent="0.45">
      <c r="I4099" t="s">
        <v>267</v>
      </c>
      <c r="J4099" t="s">
        <v>170</v>
      </c>
      <c r="K4099">
        <v>2.1970447429930602E-2</v>
      </c>
      <c r="L4099" t="s">
        <v>162</v>
      </c>
      <c r="N4099" t="s">
        <v>379</v>
      </c>
      <c r="O4099" t="s">
        <v>170</v>
      </c>
      <c r="P4099">
        <v>8.5859865349715049E-3</v>
      </c>
      <c r="Q4099" t="s">
        <v>162</v>
      </c>
      <c r="S4099" t="s">
        <v>491</v>
      </c>
      <c r="T4099" t="s">
        <v>170</v>
      </c>
      <c r="U4099">
        <v>6.5232405167144477E-3</v>
      </c>
      <c r="V4099" t="s">
        <v>162</v>
      </c>
    </row>
    <row r="4100" spans="9:22" x14ac:dyDescent="0.45">
      <c r="I4100" t="s">
        <v>267</v>
      </c>
      <c r="J4100" t="s">
        <v>525</v>
      </c>
      <c r="K4100">
        <v>5.0669809876265924E-2</v>
      </c>
      <c r="L4100" t="s">
        <v>162</v>
      </c>
      <c r="N4100" t="s">
        <v>379</v>
      </c>
      <c r="O4100" t="s">
        <v>525</v>
      </c>
      <c r="P4100">
        <v>2.3856152788037245E-2</v>
      </c>
      <c r="Q4100" t="s">
        <v>162</v>
      </c>
      <c r="S4100" t="s">
        <v>491</v>
      </c>
      <c r="T4100" t="s">
        <v>525</v>
      </c>
      <c r="U4100">
        <v>1.7261798491603697E-2</v>
      </c>
      <c r="V4100" t="s">
        <v>162</v>
      </c>
    </row>
    <row r="4101" spans="9:22" x14ac:dyDescent="0.45">
      <c r="I4101" t="s">
        <v>267</v>
      </c>
      <c r="J4101" t="s">
        <v>526</v>
      </c>
      <c r="K4101">
        <v>6.632719280750602E-3</v>
      </c>
      <c r="L4101" t="s">
        <v>162</v>
      </c>
      <c r="N4101" t="s">
        <v>379</v>
      </c>
      <c r="O4101" t="s">
        <v>526</v>
      </c>
      <c r="P4101">
        <v>4.1844564741102186E-3</v>
      </c>
      <c r="Q4101" t="s">
        <v>162</v>
      </c>
      <c r="S4101" t="s">
        <v>491</v>
      </c>
      <c r="T4101" t="s">
        <v>526</v>
      </c>
      <c r="U4101">
        <v>3.5701786092374992E-3</v>
      </c>
      <c r="V4101" t="s">
        <v>162</v>
      </c>
    </row>
    <row r="4102" spans="9:22" x14ac:dyDescent="0.45">
      <c r="I4102" t="s">
        <v>267</v>
      </c>
      <c r="J4102" t="s">
        <v>527</v>
      </c>
      <c r="K4102">
        <v>6.6965683765916285E-3</v>
      </c>
      <c r="L4102" t="s">
        <v>162</v>
      </c>
      <c r="N4102" t="s">
        <v>379</v>
      </c>
      <c r="O4102" t="s">
        <v>527</v>
      </c>
      <c r="P4102">
        <v>2.8455539476642474E-2</v>
      </c>
      <c r="Q4102" t="s">
        <v>162</v>
      </c>
      <c r="S4102" t="s">
        <v>491</v>
      </c>
      <c r="T4102" t="s">
        <v>527</v>
      </c>
      <c r="U4102">
        <v>1.959825544483617E-2</v>
      </c>
      <c r="V4102" t="s">
        <v>162</v>
      </c>
    </row>
    <row r="4103" spans="9:22" x14ac:dyDescent="0.45">
      <c r="I4103" t="s">
        <v>267</v>
      </c>
      <c r="J4103" t="s">
        <v>528</v>
      </c>
      <c r="K4103">
        <v>7.0178048932729137E-2</v>
      </c>
      <c r="L4103" t="s">
        <v>162</v>
      </c>
      <c r="N4103" t="s">
        <v>379</v>
      </c>
      <c r="O4103" t="s">
        <v>528</v>
      </c>
      <c r="P4103">
        <v>6.6840830468303594E-2</v>
      </c>
      <c r="Q4103" t="s">
        <v>162</v>
      </c>
      <c r="S4103" t="s">
        <v>491</v>
      </c>
      <c r="T4103" t="s">
        <v>528</v>
      </c>
      <c r="U4103">
        <v>7.7761004664698319E-2</v>
      </c>
      <c r="V4103" t="s">
        <v>162</v>
      </c>
    </row>
    <row r="4104" spans="9:22" x14ac:dyDescent="0.45">
      <c r="I4104" t="s">
        <v>267</v>
      </c>
      <c r="J4104" t="s">
        <v>529</v>
      </c>
      <c r="K4104">
        <v>3.1514277166364048E-2</v>
      </c>
      <c r="L4104" t="s">
        <v>162</v>
      </c>
      <c r="N4104" t="s">
        <v>379</v>
      </c>
      <c r="O4104" t="s">
        <v>529</v>
      </c>
      <c r="P4104">
        <v>6.5922903525033015E-3</v>
      </c>
      <c r="Q4104" t="s">
        <v>162</v>
      </c>
      <c r="S4104" t="s">
        <v>491</v>
      </c>
      <c r="T4104" t="s">
        <v>529</v>
      </c>
      <c r="U4104">
        <v>8.2932514271530106E-3</v>
      </c>
      <c r="V4104" t="s">
        <v>162</v>
      </c>
    </row>
    <row r="4105" spans="9:22" x14ac:dyDescent="0.45">
      <c r="I4105" t="s">
        <v>267</v>
      </c>
      <c r="J4105" t="s">
        <v>530</v>
      </c>
      <c r="K4105">
        <v>6.7561634419031819E-2</v>
      </c>
      <c r="L4105" t="s">
        <v>162</v>
      </c>
      <c r="N4105" t="s">
        <v>379</v>
      </c>
      <c r="O4105" t="s">
        <v>530</v>
      </c>
      <c r="P4105">
        <v>1.3995933832364539E-2</v>
      </c>
      <c r="Q4105" t="s">
        <v>162</v>
      </c>
      <c r="S4105" t="s">
        <v>491</v>
      </c>
      <c r="T4105" t="s">
        <v>530</v>
      </c>
      <c r="U4105">
        <v>1.7059908372532712E-2</v>
      </c>
      <c r="V4105" t="s">
        <v>162</v>
      </c>
    </row>
    <row r="4106" spans="9:22" x14ac:dyDescent="0.45">
      <c r="I4106" t="s">
        <v>267</v>
      </c>
      <c r="J4106" t="s">
        <v>531</v>
      </c>
      <c r="K4106">
        <v>0.15288157729599</v>
      </c>
      <c r="L4106" t="s">
        <v>162</v>
      </c>
      <c r="N4106" t="s">
        <v>379</v>
      </c>
      <c r="O4106" t="s">
        <v>531</v>
      </c>
      <c r="P4106">
        <v>3.9282383126521228E-2</v>
      </c>
      <c r="Q4106" t="s">
        <v>162</v>
      </c>
      <c r="S4106" t="s">
        <v>491</v>
      </c>
      <c r="T4106" t="s">
        <v>531</v>
      </c>
      <c r="U4106">
        <v>4.6193122837437421E-2</v>
      </c>
      <c r="V4106" t="s">
        <v>162</v>
      </c>
    </row>
    <row r="4107" spans="9:22" x14ac:dyDescent="0.45">
      <c r="I4107" t="s">
        <v>267</v>
      </c>
      <c r="J4107" t="s">
        <v>532</v>
      </c>
      <c r="K4107">
        <v>2.2667098882911279E-2</v>
      </c>
      <c r="L4107" t="s">
        <v>162</v>
      </c>
      <c r="N4107" t="s">
        <v>379</v>
      </c>
      <c r="O4107" t="s">
        <v>532</v>
      </c>
      <c r="P4107">
        <v>6.9093314698688204E-3</v>
      </c>
      <c r="Q4107" t="s">
        <v>162</v>
      </c>
      <c r="S4107" t="s">
        <v>491</v>
      </c>
      <c r="T4107" t="s">
        <v>532</v>
      </c>
      <c r="U4107">
        <v>9.597343502492299E-3</v>
      </c>
      <c r="V4107" t="s">
        <v>162</v>
      </c>
    </row>
    <row r="4108" spans="9:22" x14ac:dyDescent="0.45">
      <c r="I4108" t="s">
        <v>267</v>
      </c>
      <c r="J4108" t="s">
        <v>533</v>
      </c>
      <c r="K4108">
        <v>3.6152551050127893E-2</v>
      </c>
      <c r="L4108" t="s">
        <v>162</v>
      </c>
      <c r="N4108" t="s">
        <v>379</v>
      </c>
      <c r="O4108" t="s">
        <v>533</v>
      </c>
      <c r="P4108">
        <v>4.9228564631529317E-2</v>
      </c>
      <c r="Q4108" t="s">
        <v>162</v>
      </c>
      <c r="S4108" t="s">
        <v>491</v>
      </c>
      <c r="T4108" t="s">
        <v>533</v>
      </c>
      <c r="U4108">
        <v>5.3797672896915692E-2</v>
      </c>
      <c r="V4108" t="s">
        <v>162</v>
      </c>
    </row>
    <row r="4109" spans="9:22" x14ac:dyDescent="0.45">
      <c r="I4109" t="s">
        <v>267</v>
      </c>
      <c r="J4109" t="s">
        <v>534</v>
      </c>
      <c r="K4109">
        <v>3.0237895156320135E-2</v>
      </c>
      <c r="L4109" t="s">
        <v>162</v>
      </c>
      <c r="N4109" t="s">
        <v>379</v>
      </c>
      <c r="O4109" t="s">
        <v>534</v>
      </c>
      <c r="P4109">
        <v>7.5744298425061418E-2</v>
      </c>
      <c r="Q4109" t="s">
        <v>162</v>
      </c>
      <c r="S4109" t="s">
        <v>491</v>
      </c>
      <c r="T4109" t="s">
        <v>534</v>
      </c>
      <c r="U4109">
        <v>8.2710531761478939E-2</v>
      </c>
      <c r="V4109" t="s">
        <v>162</v>
      </c>
    </row>
    <row r="4110" spans="9:22" x14ac:dyDescent="0.45">
      <c r="I4110" t="s">
        <v>267</v>
      </c>
      <c r="J4110" t="s">
        <v>535</v>
      </c>
      <c r="K4110">
        <v>2.1189574152524409E-2</v>
      </c>
      <c r="L4110" t="s">
        <v>162</v>
      </c>
      <c r="N4110" t="s">
        <v>379</v>
      </c>
      <c r="O4110" t="s">
        <v>535</v>
      </c>
      <c r="P4110">
        <v>7.4250225852193303E-3</v>
      </c>
      <c r="Q4110" t="s">
        <v>162</v>
      </c>
      <c r="S4110" t="s">
        <v>491</v>
      </c>
      <c r="T4110" t="s">
        <v>535</v>
      </c>
      <c r="U4110">
        <v>9.3182931150529707E-3</v>
      </c>
      <c r="V4110" t="s">
        <v>162</v>
      </c>
    </row>
    <row r="4111" spans="9:22" x14ac:dyDescent="0.45">
      <c r="I4111" t="s">
        <v>267</v>
      </c>
      <c r="J4111" t="s">
        <v>536</v>
      </c>
      <c r="K4111">
        <v>4.8642472020208154E-2</v>
      </c>
      <c r="L4111" t="s">
        <v>162</v>
      </c>
      <c r="N4111" t="s">
        <v>379</v>
      </c>
      <c r="O4111" t="s">
        <v>536</v>
      </c>
      <c r="P4111">
        <v>1.5219134370448362E-2</v>
      </c>
      <c r="Q4111" t="s">
        <v>162</v>
      </c>
      <c r="S4111" t="s">
        <v>491</v>
      </c>
      <c r="T4111" t="s">
        <v>536</v>
      </c>
      <c r="U4111">
        <v>1.923851151366102E-2</v>
      </c>
      <c r="V4111" t="s">
        <v>162</v>
      </c>
    </row>
    <row r="4112" spans="9:22" x14ac:dyDescent="0.45">
      <c r="I4112" t="s">
        <v>267</v>
      </c>
      <c r="J4112" t="s">
        <v>537</v>
      </c>
      <c r="K4112">
        <v>0.10954822638220119</v>
      </c>
      <c r="L4112" t="s">
        <v>162</v>
      </c>
      <c r="N4112" t="s">
        <v>379</v>
      </c>
      <c r="O4112" t="s">
        <v>537</v>
      </c>
      <c r="P4112">
        <v>4.2072850003158815E-2</v>
      </c>
      <c r="Q4112" t="s">
        <v>162</v>
      </c>
      <c r="S4112" t="s">
        <v>491</v>
      </c>
      <c r="T4112" t="s">
        <v>537</v>
      </c>
      <c r="U4112">
        <v>5.1048715481061609E-2</v>
      </c>
      <c r="V4112" t="s">
        <v>162</v>
      </c>
    </row>
    <row r="4113" spans="9:22" x14ac:dyDescent="0.45">
      <c r="I4113" t="s">
        <v>267</v>
      </c>
      <c r="J4113" t="s">
        <v>538</v>
      </c>
      <c r="K4113">
        <v>1.3523281771305098E-2</v>
      </c>
      <c r="L4113" t="s">
        <v>162</v>
      </c>
      <c r="N4113" t="s">
        <v>379</v>
      </c>
      <c r="O4113" t="s">
        <v>538</v>
      </c>
      <c r="P4113">
        <v>8.0326154236396892E-3</v>
      </c>
      <c r="Q4113" t="s">
        <v>162</v>
      </c>
      <c r="S4113" t="s">
        <v>491</v>
      </c>
      <c r="T4113" t="s">
        <v>538</v>
      </c>
      <c r="U4113">
        <v>1.0263699184880329E-2</v>
      </c>
      <c r="V4113" t="s">
        <v>162</v>
      </c>
    </row>
    <row r="4114" spans="9:22" x14ac:dyDescent="0.45">
      <c r="I4114" t="s">
        <v>267</v>
      </c>
      <c r="J4114" t="s">
        <v>539</v>
      </c>
      <c r="K4114">
        <v>1.0065592739704409E-2</v>
      </c>
      <c r="L4114" t="s">
        <v>162</v>
      </c>
      <c r="N4114" t="s">
        <v>379</v>
      </c>
      <c r="O4114" t="s">
        <v>539</v>
      </c>
      <c r="P4114">
        <v>5.7228921763713032E-2</v>
      </c>
      <c r="Q4114" t="s">
        <v>162</v>
      </c>
      <c r="S4114" t="s">
        <v>491</v>
      </c>
      <c r="T4114" t="s">
        <v>539</v>
      </c>
      <c r="U4114">
        <v>5.8125419923650362E-2</v>
      </c>
      <c r="V4114" t="s">
        <v>162</v>
      </c>
    </row>
    <row r="4115" spans="9:22" x14ac:dyDescent="0.45">
      <c r="I4115" t="s">
        <v>267</v>
      </c>
      <c r="J4115" t="s">
        <v>540</v>
      </c>
      <c r="K4115">
        <v>1.1844821640785747E-3</v>
      </c>
      <c r="L4115" t="s">
        <v>162</v>
      </c>
      <c r="N4115" t="s">
        <v>379</v>
      </c>
      <c r="O4115" t="s">
        <v>540</v>
      </c>
      <c r="P4115">
        <v>4.7158985249045625E-2</v>
      </c>
      <c r="Q4115" t="s">
        <v>162</v>
      </c>
      <c r="S4115" t="s">
        <v>491</v>
      </c>
      <c r="T4115" t="s">
        <v>540</v>
      </c>
      <c r="U4115">
        <v>3.232162824069959E-2</v>
      </c>
      <c r="V4115" t="s">
        <v>162</v>
      </c>
    </row>
    <row r="4116" spans="9:22" x14ac:dyDescent="0.45">
      <c r="I4116" t="s">
        <v>267</v>
      </c>
      <c r="J4116" t="s">
        <v>541</v>
      </c>
      <c r="K4116">
        <v>2.6891423501707815E-3</v>
      </c>
      <c r="L4116" t="s">
        <v>162</v>
      </c>
      <c r="N4116" t="s">
        <v>379</v>
      </c>
      <c r="O4116" t="s">
        <v>541</v>
      </c>
      <c r="P4116">
        <v>5.556542053914937E-3</v>
      </c>
      <c r="Q4116" t="s">
        <v>162</v>
      </c>
      <c r="S4116" t="s">
        <v>491</v>
      </c>
      <c r="T4116" t="s">
        <v>541</v>
      </c>
      <c r="U4116">
        <v>3.4978158393317864E-3</v>
      </c>
      <c r="V4116" t="s">
        <v>162</v>
      </c>
    </row>
    <row r="4117" spans="9:22" x14ac:dyDescent="0.45">
      <c r="I4117" t="s">
        <v>267</v>
      </c>
      <c r="J4117" t="s">
        <v>542</v>
      </c>
      <c r="K4117">
        <v>7.7296921905119767E-3</v>
      </c>
      <c r="L4117" t="s">
        <v>162</v>
      </c>
      <c r="N4117" t="s">
        <v>379</v>
      </c>
      <c r="O4117" t="s">
        <v>542</v>
      </c>
      <c r="P4117">
        <v>1.149571816946152E-2</v>
      </c>
      <c r="Q4117" t="s">
        <v>162</v>
      </c>
      <c r="S4117" t="s">
        <v>491</v>
      </c>
      <c r="T4117" t="s">
        <v>542</v>
      </c>
      <c r="U4117">
        <v>7.1386620222802285E-3</v>
      </c>
      <c r="V4117" t="s">
        <v>162</v>
      </c>
    </row>
    <row r="4118" spans="9:22" x14ac:dyDescent="0.45">
      <c r="I4118" t="s">
        <v>267</v>
      </c>
      <c r="J4118" t="s">
        <v>543</v>
      </c>
      <c r="K4118">
        <v>1.5153842827802919E-2</v>
      </c>
      <c r="L4118" t="s">
        <v>162</v>
      </c>
      <c r="N4118" t="s">
        <v>379</v>
      </c>
      <c r="O4118" t="s">
        <v>543</v>
      </c>
      <c r="P4118">
        <v>2.8608739197013563E-2</v>
      </c>
      <c r="Q4118" t="s">
        <v>162</v>
      </c>
      <c r="S4118" t="s">
        <v>491</v>
      </c>
      <c r="T4118" t="s">
        <v>543</v>
      </c>
      <c r="U4118">
        <v>1.8745827712809311E-2</v>
      </c>
      <c r="V4118" t="s">
        <v>162</v>
      </c>
    </row>
    <row r="4119" spans="9:22" x14ac:dyDescent="0.45">
      <c r="I4119" t="s">
        <v>267</v>
      </c>
      <c r="J4119" t="s">
        <v>544</v>
      </c>
      <c r="K4119">
        <v>0</v>
      </c>
      <c r="L4119" t="s">
        <v>162</v>
      </c>
      <c r="N4119" t="s">
        <v>379</v>
      </c>
      <c r="O4119" t="s">
        <v>544</v>
      </c>
      <c r="P4119">
        <v>5.4481335679223602E-3</v>
      </c>
      <c r="Q4119" t="s">
        <v>162</v>
      </c>
      <c r="S4119" t="s">
        <v>491</v>
      </c>
      <c r="T4119" t="s">
        <v>544</v>
      </c>
      <c r="U4119">
        <v>3.8763399729487779E-3</v>
      </c>
      <c r="V4119" t="s">
        <v>162</v>
      </c>
    </row>
    <row r="4120" spans="9:22" x14ac:dyDescent="0.45">
      <c r="I4120" t="s">
        <v>267</v>
      </c>
      <c r="J4120" t="s">
        <v>545</v>
      </c>
      <c r="K4120">
        <v>0</v>
      </c>
      <c r="L4120" t="s">
        <v>162</v>
      </c>
      <c r="N4120" t="s">
        <v>379</v>
      </c>
      <c r="O4120" t="s">
        <v>545</v>
      </c>
      <c r="P4120">
        <v>3.1505414260009135E-2</v>
      </c>
      <c r="Q4120" t="s">
        <v>162</v>
      </c>
      <c r="S4120" t="s">
        <v>491</v>
      </c>
      <c r="T4120" t="s">
        <v>545</v>
      </c>
      <c r="U4120">
        <v>2.3010366757184611E-2</v>
      </c>
      <c r="V4120" t="s">
        <v>162</v>
      </c>
    </row>
    <row r="4121" spans="9:22" x14ac:dyDescent="0.45">
      <c r="I4121" t="s">
        <v>267</v>
      </c>
      <c r="J4121" t="s">
        <v>546</v>
      </c>
      <c r="K4121">
        <v>0</v>
      </c>
      <c r="L4121" t="s">
        <v>162</v>
      </c>
      <c r="N4121" t="s">
        <v>379</v>
      </c>
      <c r="O4121" t="s">
        <v>546</v>
      </c>
      <c r="P4121">
        <v>3.434183039447096E-2</v>
      </c>
      <c r="Q4121" t="s">
        <v>162</v>
      </c>
      <c r="S4121" t="s">
        <v>491</v>
      </c>
      <c r="T4121" t="s">
        <v>546</v>
      </c>
      <c r="U4121">
        <v>3.924668512626487E-2</v>
      </c>
      <c r="V4121" t="s">
        <v>162</v>
      </c>
    </row>
    <row r="4122" spans="9:22" x14ac:dyDescent="0.45">
      <c r="I4122" t="s">
        <v>267</v>
      </c>
      <c r="J4122" t="s">
        <v>547</v>
      </c>
      <c r="K4122">
        <v>2.3844582336311712E-3</v>
      </c>
      <c r="L4122" t="s">
        <v>162</v>
      </c>
      <c r="N4122" t="s">
        <v>379</v>
      </c>
      <c r="O4122" t="s">
        <v>547</v>
      </c>
      <c r="P4122">
        <v>3.0686610512968252E-3</v>
      </c>
      <c r="Q4122" t="s">
        <v>162</v>
      </c>
      <c r="S4122" t="s">
        <v>491</v>
      </c>
      <c r="T4122" t="s">
        <v>547</v>
      </c>
      <c r="U4122">
        <v>4.5177596080667858E-3</v>
      </c>
      <c r="V4122" t="s">
        <v>162</v>
      </c>
    </row>
    <row r="4123" spans="9:22" x14ac:dyDescent="0.45">
      <c r="I4123" t="s">
        <v>267</v>
      </c>
      <c r="J4123" t="s">
        <v>548</v>
      </c>
      <c r="K4123">
        <v>9.9318546604758202E-3</v>
      </c>
      <c r="L4123" t="s">
        <v>162</v>
      </c>
      <c r="N4123" t="s">
        <v>379</v>
      </c>
      <c r="O4123" t="s">
        <v>548</v>
      </c>
      <c r="P4123">
        <v>5.85135552772067E-3</v>
      </c>
      <c r="Q4123" t="s">
        <v>162</v>
      </c>
      <c r="S4123" t="s">
        <v>491</v>
      </c>
      <c r="T4123" t="s">
        <v>548</v>
      </c>
      <c r="U4123">
        <v>8.9938789958834888E-3</v>
      </c>
      <c r="V4123" t="s">
        <v>162</v>
      </c>
    </row>
    <row r="4124" spans="9:22" x14ac:dyDescent="0.45">
      <c r="I4124" t="s">
        <v>267</v>
      </c>
      <c r="J4124" t="s">
        <v>549</v>
      </c>
      <c r="K4124">
        <v>2.4883494641717237E-2</v>
      </c>
      <c r="L4124" t="s">
        <v>162</v>
      </c>
      <c r="N4124" t="s">
        <v>379</v>
      </c>
      <c r="O4124" t="s">
        <v>549</v>
      </c>
      <c r="P4124">
        <v>1.6049408830947343E-2</v>
      </c>
      <c r="Q4124" t="s">
        <v>162</v>
      </c>
      <c r="S4124" t="s">
        <v>491</v>
      </c>
      <c r="T4124" t="s">
        <v>549</v>
      </c>
      <c r="U4124">
        <v>2.1442081502820377E-2</v>
      </c>
      <c r="V4124" t="s">
        <v>162</v>
      </c>
    </row>
    <row r="4125" spans="9:22" x14ac:dyDescent="0.45">
      <c r="I4125" t="s">
        <v>267</v>
      </c>
      <c r="J4125" t="s">
        <v>550</v>
      </c>
      <c r="K4125">
        <v>0</v>
      </c>
      <c r="L4125" t="s">
        <v>162</v>
      </c>
      <c r="N4125" t="s">
        <v>379</v>
      </c>
      <c r="O4125" t="s">
        <v>550</v>
      </c>
      <c r="P4125">
        <v>3.6123472495028595E-3</v>
      </c>
      <c r="Q4125" t="s">
        <v>162</v>
      </c>
      <c r="S4125" t="s">
        <v>491</v>
      </c>
      <c r="T4125" t="s">
        <v>550</v>
      </c>
      <c r="U4125">
        <v>4.0707293768056582E-3</v>
      </c>
      <c r="V4125" t="s">
        <v>162</v>
      </c>
    </row>
    <row r="4126" spans="9:22" x14ac:dyDescent="0.45">
      <c r="I4126" t="s">
        <v>267</v>
      </c>
      <c r="J4126" t="s">
        <v>551</v>
      </c>
      <c r="K4126">
        <v>0</v>
      </c>
      <c r="L4126" t="s">
        <v>162</v>
      </c>
      <c r="N4126" t="s">
        <v>379</v>
      </c>
      <c r="O4126" t="s">
        <v>551</v>
      </c>
      <c r="P4126">
        <v>2.5202734242863602E-2</v>
      </c>
      <c r="Q4126" t="s">
        <v>162</v>
      </c>
      <c r="S4126" t="s">
        <v>491</v>
      </c>
      <c r="T4126" t="s">
        <v>551</v>
      </c>
      <c r="U4126">
        <v>2.493838498129055E-2</v>
      </c>
      <c r="V4126" t="s">
        <v>162</v>
      </c>
    </row>
    <row r="4127" spans="9:22" x14ac:dyDescent="0.45">
      <c r="I4127" t="s">
        <v>268</v>
      </c>
      <c r="J4127" t="s">
        <v>161</v>
      </c>
      <c r="K4127">
        <v>0</v>
      </c>
      <c r="L4127" t="s">
        <v>162</v>
      </c>
      <c r="N4127" t="s">
        <v>380</v>
      </c>
      <c r="O4127" t="s">
        <v>161</v>
      </c>
      <c r="P4127">
        <v>4.2638255010203935E-2</v>
      </c>
      <c r="Q4127" t="s">
        <v>162</v>
      </c>
      <c r="S4127" t="s">
        <v>492</v>
      </c>
      <c r="T4127" t="s">
        <v>161</v>
      </c>
      <c r="U4127">
        <v>4.0708937018541017E-2</v>
      </c>
      <c r="V4127" t="s">
        <v>162</v>
      </c>
    </row>
    <row r="4128" spans="9:22" x14ac:dyDescent="0.45">
      <c r="I4128" t="s">
        <v>268</v>
      </c>
      <c r="J4128" t="s">
        <v>163</v>
      </c>
      <c r="K4128">
        <v>3.3120799603357201E-3</v>
      </c>
      <c r="L4128" t="s">
        <v>162</v>
      </c>
      <c r="N4128" t="s">
        <v>380</v>
      </c>
      <c r="O4128" t="s">
        <v>163</v>
      </c>
      <c r="P4128">
        <v>4.5775645437951028E-3</v>
      </c>
      <c r="Q4128" t="s">
        <v>162</v>
      </c>
      <c r="S4128" t="s">
        <v>492</v>
      </c>
      <c r="T4128" t="s">
        <v>163</v>
      </c>
      <c r="U4128">
        <v>4.4533489072346166E-3</v>
      </c>
      <c r="V4128" t="s">
        <v>162</v>
      </c>
    </row>
    <row r="4129" spans="9:22" x14ac:dyDescent="0.45">
      <c r="I4129" t="s">
        <v>268</v>
      </c>
      <c r="J4129" t="s">
        <v>164</v>
      </c>
      <c r="K4129">
        <v>1.2055865652025217E-2</v>
      </c>
      <c r="L4129" t="s">
        <v>162</v>
      </c>
      <c r="N4129" t="s">
        <v>380</v>
      </c>
      <c r="O4129" t="s">
        <v>164</v>
      </c>
      <c r="P4129">
        <v>8.5744229403426232E-3</v>
      </c>
      <c r="Q4129" t="s">
        <v>162</v>
      </c>
      <c r="S4129" t="s">
        <v>492</v>
      </c>
      <c r="T4129" t="s">
        <v>164</v>
      </c>
      <c r="U4129">
        <v>9.2557312351016652E-3</v>
      </c>
      <c r="V4129" t="s">
        <v>162</v>
      </c>
    </row>
    <row r="4130" spans="9:22" x14ac:dyDescent="0.45">
      <c r="I4130" t="s">
        <v>268</v>
      </c>
      <c r="J4130" t="s">
        <v>519</v>
      </c>
      <c r="K4130">
        <v>3.1111823577590528E-2</v>
      </c>
      <c r="L4130" t="s">
        <v>162</v>
      </c>
      <c r="N4130" t="s">
        <v>380</v>
      </c>
      <c r="O4130" t="s">
        <v>519</v>
      </c>
      <c r="P4130">
        <v>2.198567064382756E-2</v>
      </c>
      <c r="Q4130" t="s">
        <v>162</v>
      </c>
      <c r="S4130" t="s">
        <v>492</v>
      </c>
      <c r="T4130" t="s">
        <v>519</v>
      </c>
      <c r="U4130">
        <v>2.5145989008392398E-2</v>
      </c>
      <c r="V4130" t="s">
        <v>162</v>
      </c>
    </row>
    <row r="4131" spans="9:22" x14ac:dyDescent="0.45">
      <c r="I4131" t="s">
        <v>268</v>
      </c>
      <c r="J4131" t="s">
        <v>520</v>
      </c>
      <c r="K4131">
        <v>1.6887158525693714E-3</v>
      </c>
      <c r="L4131" t="s">
        <v>162</v>
      </c>
      <c r="N4131" t="s">
        <v>380</v>
      </c>
      <c r="O4131" t="s">
        <v>520</v>
      </c>
      <c r="P4131">
        <v>4.2720950573301398E-3</v>
      </c>
      <c r="Q4131" t="s">
        <v>162</v>
      </c>
      <c r="S4131" t="s">
        <v>492</v>
      </c>
      <c r="T4131" t="s">
        <v>520</v>
      </c>
      <c r="U4131">
        <v>5.0900113433077149E-3</v>
      </c>
      <c r="V4131" t="s">
        <v>162</v>
      </c>
    </row>
    <row r="4132" spans="9:22" x14ac:dyDescent="0.45">
      <c r="I4132" t="s">
        <v>268</v>
      </c>
      <c r="J4132" t="s">
        <v>521</v>
      </c>
      <c r="K4132">
        <v>0</v>
      </c>
      <c r="L4132" t="s">
        <v>162</v>
      </c>
      <c r="N4132" t="s">
        <v>380</v>
      </c>
      <c r="O4132" t="s">
        <v>521</v>
      </c>
      <c r="P4132">
        <v>2.9524494179880543E-2</v>
      </c>
      <c r="Q4132" t="s">
        <v>162</v>
      </c>
      <c r="S4132" t="s">
        <v>492</v>
      </c>
      <c r="T4132" t="s">
        <v>521</v>
      </c>
      <c r="U4132">
        <v>3.0005742125094669E-2</v>
      </c>
      <c r="V4132" t="s">
        <v>162</v>
      </c>
    </row>
    <row r="4133" spans="9:22" x14ac:dyDescent="0.45">
      <c r="I4133" t="s">
        <v>268</v>
      </c>
      <c r="J4133" t="s">
        <v>165</v>
      </c>
      <c r="K4133">
        <v>6.7233135517111541E-3</v>
      </c>
      <c r="L4133" t="s">
        <v>162</v>
      </c>
      <c r="N4133" t="s">
        <v>380</v>
      </c>
      <c r="O4133" t="s">
        <v>165</v>
      </c>
      <c r="P4133">
        <v>6.273788513024614E-2</v>
      </c>
      <c r="Q4133" t="s">
        <v>162</v>
      </c>
      <c r="S4133" t="s">
        <v>492</v>
      </c>
      <c r="T4133" t="s">
        <v>165</v>
      </c>
      <c r="U4133">
        <v>6.5610957240048048E-2</v>
      </c>
      <c r="V4133" t="s">
        <v>162</v>
      </c>
    </row>
    <row r="4134" spans="9:22" x14ac:dyDescent="0.45">
      <c r="I4134" t="s">
        <v>268</v>
      </c>
      <c r="J4134" t="s">
        <v>166</v>
      </c>
      <c r="K4134">
        <v>1.1813834683093462E-2</v>
      </c>
      <c r="L4134" t="s">
        <v>162</v>
      </c>
      <c r="N4134" t="s">
        <v>380</v>
      </c>
      <c r="O4134" t="s">
        <v>166</v>
      </c>
      <c r="P4134">
        <v>6.0637542473119168E-3</v>
      </c>
      <c r="Q4134" t="s">
        <v>162</v>
      </c>
      <c r="S4134" t="s">
        <v>492</v>
      </c>
      <c r="T4134" t="s">
        <v>166</v>
      </c>
      <c r="U4134">
        <v>7.616778243880979E-3</v>
      </c>
      <c r="V4134" t="s">
        <v>162</v>
      </c>
    </row>
    <row r="4135" spans="9:22" x14ac:dyDescent="0.45">
      <c r="I4135" t="s">
        <v>268</v>
      </c>
      <c r="J4135" t="s">
        <v>167</v>
      </c>
      <c r="K4135">
        <v>3.4413161052743398E-2</v>
      </c>
      <c r="L4135" t="s">
        <v>162</v>
      </c>
      <c r="N4135" t="s">
        <v>380</v>
      </c>
      <c r="O4135" t="s">
        <v>167</v>
      </c>
      <c r="P4135">
        <v>1.237103007513859E-2</v>
      </c>
      <c r="Q4135" t="s">
        <v>162</v>
      </c>
      <c r="S4135" t="s">
        <v>492</v>
      </c>
      <c r="T4135" t="s">
        <v>167</v>
      </c>
      <c r="U4135">
        <v>1.5131674890279282E-2</v>
      </c>
      <c r="V4135" t="s">
        <v>162</v>
      </c>
    </row>
    <row r="4136" spans="9:22" x14ac:dyDescent="0.45">
      <c r="I4136" t="s">
        <v>268</v>
      </c>
      <c r="J4136" t="s">
        <v>522</v>
      </c>
      <c r="K4136">
        <v>8.5213936813348143E-2</v>
      </c>
      <c r="L4136" t="s">
        <v>162</v>
      </c>
      <c r="N4136" t="s">
        <v>380</v>
      </c>
      <c r="O4136" t="s">
        <v>522</v>
      </c>
      <c r="P4136">
        <v>3.5121977112784732E-2</v>
      </c>
      <c r="Q4136" t="s">
        <v>162</v>
      </c>
      <c r="S4136" t="s">
        <v>492</v>
      </c>
      <c r="T4136" t="s">
        <v>522</v>
      </c>
      <c r="U4136">
        <v>3.664801743773919E-2</v>
      </c>
      <c r="V4136" t="s">
        <v>162</v>
      </c>
    </row>
    <row r="4137" spans="9:22" x14ac:dyDescent="0.45">
      <c r="I4137" t="s">
        <v>268</v>
      </c>
      <c r="J4137" t="s">
        <v>523</v>
      </c>
      <c r="K4137">
        <v>1.0564220262375022E-2</v>
      </c>
      <c r="L4137" t="s">
        <v>162</v>
      </c>
      <c r="N4137" t="s">
        <v>380</v>
      </c>
      <c r="O4137" t="s">
        <v>523</v>
      </c>
      <c r="P4137">
        <v>5.7378355776117789E-3</v>
      </c>
      <c r="Q4137" t="s">
        <v>162</v>
      </c>
      <c r="S4137" t="s">
        <v>492</v>
      </c>
      <c r="T4137" t="s">
        <v>523</v>
      </c>
      <c r="U4137">
        <v>7.216532633533672E-3</v>
      </c>
      <c r="V4137" t="s">
        <v>162</v>
      </c>
    </row>
    <row r="4138" spans="9:22" x14ac:dyDescent="0.45">
      <c r="I4138" t="s">
        <v>268</v>
      </c>
      <c r="J4138" t="s">
        <v>524</v>
      </c>
      <c r="K4138">
        <v>3.7507310930854831E-3</v>
      </c>
      <c r="L4138" t="s">
        <v>162</v>
      </c>
      <c r="N4138" t="s">
        <v>380</v>
      </c>
      <c r="O4138" t="s">
        <v>524</v>
      </c>
      <c r="P4138">
        <v>4.6247449545032168E-2</v>
      </c>
      <c r="Q4138" t="s">
        <v>162</v>
      </c>
      <c r="S4138" t="s">
        <v>492</v>
      </c>
      <c r="T4138" t="s">
        <v>524</v>
      </c>
      <c r="U4138">
        <v>4.2169091648895513E-2</v>
      </c>
      <c r="V4138" t="s">
        <v>162</v>
      </c>
    </row>
    <row r="4139" spans="9:22" x14ac:dyDescent="0.45">
      <c r="I4139" t="s">
        <v>268</v>
      </c>
      <c r="J4139" t="s">
        <v>168</v>
      </c>
      <c r="K4139">
        <v>1.3521842730428254E-2</v>
      </c>
      <c r="L4139" t="s">
        <v>162</v>
      </c>
      <c r="N4139" t="s">
        <v>380</v>
      </c>
      <c r="O4139" t="s">
        <v>168</v>
      </c>
      <c r="P4139">
        <v>4.0712571116833997E-2</v>
      </c>
      <c r="Q4139" t="s">
        <v>162</v>
      </c>
      <c r="S4139" t="s">
        <v>492</v>
      </c>
      <c r="T4139" t="s">
        <v>168</v>
      </c>
      <c r="U4139">
        <v>3.1221113976293832E-2</v>
      </c>
      <c r="V4139" t="s">
        <v>162</v>
      </c>
    </row>
    <row r="4140" spans="9:22" x14ac:dyDescent="0.45">
      <c r="I4140" t="s">
        <v>268</v>
      </c>
      <c r="J4140" t="s">
        <v>169</v>
      </c>
      <c r="K4140">
        <v>9.3325291764100489E-3</v>
      </c>
      <c r="L4140" t="s">
        <v>162</v>
      </c>
      <c r="N4140" t="s">
        <v>380</v>
      </c>
      <c r="O4140" t="s">
        <v>169</v>
      </c>
      <c r="P4140">
        <v>3.8853824397552202E-3</v>
      </c>
      <c r="Q4140" t="s">
        <v>162</v>
      </c>
      <c r="S4140" t="s">
        <v>492</v>
      </c>
      <c r="T4140" t="s">
        <v>169</v>
      </c>
      <c r="U4140">
        <v>3.6428829369691564E-3</v>
      </c>
      <c r="V4140" t="s">
        <v>162</v>
      </c>
    </row>
    <row r="4141" spans="9:22" x14ac:dyDescent="0.45">
      <c r="I4141" t="s">
        <v>268</v>
      </c>
      <c r="J4141" t="s">
        <v>170</v>
      </c>
      <c r="K4141">
        <v>2.2281029228121137E-2</v>
      </c>
      <c r="L4141" t="s">
        <v>162</v>
      </c>
      <c r="N4141" t="s">
        <v>380</v>
      </c>
      <c r="O4141" t="s">
        <v>170</v>
      </c>
      <c r="P4141">
        <v>8.2153704923077307E-3</v>
      </c>
      <c r="Q4141" t="s">
        <v>162</v>
      </c>
      <c r="S4141" t="s">
        <v>492</v>
      </c>
      <c r="T4141" t="s">
        <v>170</v>
      </c>
      <c r="U4141">
        <v>7.1790281416439948E-3</v>
      </c>
      <c r="V4141" t="s">
        <v>162</v>
      </c>
    </row>
    <row r="4142" spans="9:22" x14ac:dyDescent="0.45">
      <c r="I4142" t="s">
        <v>268</v>
      </c>
      <c r="J4142" t="s">
        <v>525</v>
      </c>
      <c r="K4142">
        <v>5.1370714409572998E-2</v>
      </c>
      <c r="L4142" t="s">
        <v>162</v>
      </c>
      <c r="N4142" t="s">
        <v>380</v>
      </c>
      <c r="O4142" t="s">
        <v>525</v>
      </c>
      <c r="P4142">
        <v>2.2558759622742064E-2</v>
      </c>
      <c r="Q4142" t="s">
        <v>162</v>
      </c>
      <c r="S4142" t="s">
        <v>492</v>
      </c>
      <c r="T4142" t="s">
        <v>525</v>
      </c>
      <c r="U4142">
        <v>1.8097467574559566E-2</v>
      </c>
      <c r="V4142" t="s">
        <v>162</v>
      </c>
    </row>
    <row r="4143" spans="9:22" x14ac:dyDescent="0.45">
      <c r="I4143" t="s">
        <v>268</v>
      </c>
      <c r="J4143" t="s">
        <v>526</v>
      </c>
      <c r="K4143">
        <v>6.6466914574140005E-3</v>
      </c>
      <c r="L4143" t="s">
        <v>162</v>
      </c>
      <c r="N4143" t="s">
        <v>380</v>
      </c>
      <c r="O4143" t="s">
        <v>526</v>
      </c>
      <c r="P4143">
        <v>4.0137885354431914E-3</v>
      </c>
      <c r="Q4143" t="s">
        <v>162</v>
      </c>
      <c r="S4143" t="s">
        <v>492</v>
      </c>
      <c r="T4143" t="s">
        <v>526</v>
      </c>
      <c r="U4143">
        <v>3.5785801021636825E-3</v>
      </c>
      <c r="V4143" t="s">
        <v>162</v>
      </c>
    </row>
    <row r="4144" spans="9:22" x14ac:dyDescent="0.45">
      <c r="I4144" t="s">
        <v>268</v>
      </c>
      <c r="J4144" t="s">
        <v>527</v>
      </c>
      <c r="K4144">
        <v>7.0644052748472892E-3</v>
      </c>
      <c r="L4144" t="s">
        <v>162</v>
      </c>
      <c r="N4144" t="s">
        <v>380</v>
      </c>
      <c r="O4144" t="s">
        <v>527</v>
      </c>
      <c r="P4144">
        <v>3.0626456749659071E-2</v>
      </c>
      <c r="Q4144" t="s">
        <v>162</v>
      </c>
      <c r="S4144" t="s">
        <v>492</v>
      </c>
      <c r="T4144" t="s">
        <v>527</v>
      </c>
      <c r="U4144">
        <v>1.9600463374166325E-2</v>
      </c>
      <c r="V4144" t="s">
        <v>162</v>
      </c>
    </row>
    <row r="4145" spans="9:22" x14ac:dyDescent="0.45">
      <c r="I4145" t="s">
        <v>268</v>
      </c>
      <c r="J4145" t="s">
        <v>528</v>
      </c>
      <c r="K4145">
        <v>6.4578958208890078E-2</v>
      </c>
      <c r="L4145" t="s">
        <v>162</v>
      </c>
      <c r="N4145" t="s">
        <v>380</v>
      </c>
      <c r="O4145" t="s">
        <v>528</v>
      </c>
      <c r="P4145">
        <v>7.2578540635653638E-2</v>
      </c>
      <c r="Q4145" t="s">
        <v>162</v>
      </c>
      <c r="S4145" t="s">
        <v>492</v>
      </c>
      <c r="T4145" t="s">
        <v>528</v>
      </c>
      <c r="U4145">
        <v>7.9758412932504658E-2</v>
      </c>
      <c r="V4145" t="s">
        <v>162</v>
      </c>
    </row>
    <row r="4146" spans="9:22" x14ac:dyDescent="0.45">
      <c r="I4146" t="s">
        <v>268</v>
      </c>
      <c r="J4146" t="s">
        <v>529</v>
      </c>
      <c r="K4146">
        <v>3.0629359278132227E-2</v>
      </c>
      <c r="L4146" t="s">
        <v>162</v>
      </c>
      <c r="N4146" t="s">
        <v>380</v>
      </c>
      <c r="O4146" t="s">
        <v>529</v>
      </c>
      <c r="P4146">
        <v>6.2073164262015142E-3</v>
      </c>
      <c r="Q4146" t="s">
        <v>162</v>
      </c>
      <c r="S4146" t="s">
        <v>492</v>
      </c>
      <c r="T4146" t="s">
        <v>529</v>
      </c>
      <c r="U4146">
        <v>8.1059579685458637E-3</v>
      </c>
      <c r="V4146" t="s">
        <v>162</v>
      </c>
    </row>
    <row r="4147" spans="9:22" x14ac:dyDescent="0.45">
      <c r="I4147" t="s">
        <v>268</v>
      </c>
      <c r="J4147" t="s">
        <v>530</v>
      </c>
      <c r="K4147">
        <v>6.7982254040755197E-2</v>
      </c>
      <c r="L4147" t="s">
        <v>162</v>
      </c>
      <c r="N4147" t="s">
        <v>380</v>
      </c>
      <c r="O4147" t="s">
        <v>530</v>
      </c>
      <c r="P4147">
        <v>1.3514118350504868E-2</v>
      </c>
      <c r="Q4147" t="s">
        <v>162</v>
      </c>
      <c r="S4147" t="s">
        <v>492</v>
      </c>
      <c r="T4147" t="s">
        <v>530</v>
      </c>
      <c r="U4147">
        <v>1.6493308817932182E-2</v>
      </c>
      <c r="V4147" t="s">
        <v>162</v>
      </c>
    </row>
    <row r="4148" spans="9:22" x14ac:dyDescent="0.45">
      <c r="I4148" t="s">
        <v>268</v>
      </c>
      <c r="J4148" t="s">
        <v>531</v>
      </c>
      <c r="K4148">
        <v>0.15856658571333029</v>
      </c>
      <c r="L4148" t="s">
        <v>162</v>
      </c>
      <c r="N4148" t="s">
        <v>380</v>
      </c>
      <c r="O4148" t="s">
        <v>531</v>
      </c>
      <c r="P4148">
        <v>3.9818818343660432E-2</v>
      </c>
      <c r="Q4148" t="s">
        <v>162</v>
      </c>
      <c r="S4148" t="s">
        <v>492</v>
      </c>
      <c r="T4148" t="s">
        <v>531</v>
      </c>
      <c r="U4148">
        <v>4.2544877831508822E-2</v>
      </c>
      <c r="V4148" t="s">
        <v>162</v>
      </c>
    </row>
    <row r="4149" spans="9:22" x14ac:dyDescent="0.45">
      <c r="I4149" t="s">
        <v>268</v>
      </c>
      <c r="J4149" t="s">
        <v>532</v>
      </c>
      <c r="K4149">
        <v>2.4243205912250747E-2</v>
      </c>
      <c r="L4149" t="s">
        <v>162</v>
      </c>
      <c r="N4149" t="s">
        <v>380</v>
      </c>
      <c r="O4149" t="s">
        <v>532</v>
      </c>
      <c r="P4149">
        <v>6.309274684073181E-3</v>
      </c>
      <c r="Q4149" t="s">
        <v>162</v>
      </c>
      <c r="S4149" t="s">
        <v>492</v>
      </c>
      <c r="T4149" t="s">
        <v>532</v>
      </c>
      <c r="U4149">
        <v>8.467950020598242E-3</v>
      </c>
      <c r="V4149" t="s">
        <v>162</v>
      </c>
    </row>
    <row r="4150" spans="9:22" x14ac:dyDescent="0.45">
      <c r="I4150" t="s">
        <v>268</v>
      </c>
      <c r="J4150" t="s">
        <v>533</v>
      </c>
      <c r="K4150">
        <v>4.222148048302217E-2</v>
      </c>
      <c r="L4150" t="s">
        <v>162</v>
      </c>
      <c r="N4150" t="s">
        <v>380</v>
      </c>
      <c r="O4150" t="s">
        <v>533</v>
      </c>
      <c r="P4150">
        <v>5.2292633089794226E-2</v>
      </c>
      <c r="Q4150" t="s">
        <v>162</v>
      </c>
      <c r="S4150" t="s">
        <v>492</v>
      </c>
      <c r="T4150" t="s">
        <v>533</v>
      </c>
      <c r="U4150">
        <v>5.136114347967366E-2</v>
      </c>
      <c r="V4150" t="s">
        <v>162</v>
      </c>
    </row>
    <row r="4151" spans="9:22" x14ac:dyDescent="0.45">
      <c r="I4151" t="s">
        <v>268</v>
      </c>
      <c r="J4151" t="s">
        <v>534</v>
      </c>
      <c r="K4151">
        <v>2.7774192352795834E-2</v>
      </c>
      <c r="L4151" t="s">
        <v>162</v>
      </c>
      <c r="N4151" t="s">
        <v>380</v>
      </c>
      <c r="O4151" t="s">
        <v>534</v>
      </c>
      <c r="P4151">
        <v>7.6666894223687373E-2</v>
      </c>
      <c r="Q4151" t="s">
        <v>162</v>
      </c>
      <c r="S4151" t="s">
        <v>492</v>
      </c>
      <c r="T4151" t="s">
        <v>534</v>
      </c>
      <c r="U4151">
        <v>8.4162044174211512E-2</v>
      </c>
      <c r="V4151" t="s">
        <v>162</v>
      </c>
    </row>
    <row r="4152" spans="9:22" x14ac:dyDescent="0.45">
      <c r="I4152" t="s">
        <v>268</v>
      </c>
      <c r="J4152" t="s">
        <v>535</v>
      </c>
      <c r="K4152">
        <v>2.0518547409734939E-2</v>
      </c>
      <c r="L4152" t="s">
        <v>162</v>
      </c>
      <c r="N4152" t="s">
        <v>380</v>
      </c>
      <c r="O4152" t="s">
        <v>535</v>
      </c>
      <c r="P4152">
        <v>7.4507819230867772E-3</v>
      </c>
      <c r="Q4152" t="s">
        <v>162</v>
      </c>
      <c r="S4152" t="s">
        <v>492</v>
      </c>
      <c r="T4152" t="s">
        <v>535</v>
      </c>
      <c r="U4152">
        <v>9.0665794927129728E-3</v>
      </c>
      <c r="V4152" t="s">
        <v>162</v>
      </c>
    </row>
    <row r="4153" spans="9:22" x14ac:dyDescent="0.45">
      <c r="I4153" t="s">
        <v>268</v>
      </c>
      <c r="J4153" t="s">
        <v>536</v>
      </c>
      <c r="K4153">
        <v>4.801504206837813E-2</v>
      </c>
      <c r="L4153" t="s">
        <v>162</v>
      </c>
      <c r="N4153" t="s">
        <v>380</v>
      </c>
      <c r="O4153" t="s">
        <v>536</v>
      </c>
      <c r="P4153">
        <v>1.6626750104423552E-2</v>
      </c>
      <c r="Q4153" t="s">
        <v>162</v>
      </c>
      <c r="S4153" t="s">
        <v>492</v>
      </c>
      <c r="T4153" t="s">
        <v>536</v>
      </c>
      <c r="U4153">
        <v>1.8170572771059497E-2</v>
      </c>
      <c r="V4153" t="s">
        <v>162</v>
      </c>
    </row>
    <row r="4154" spans="9:22" x14ac:dyDescent="0.45">
      <c r="I4154" t="s">
        <v>268</v>
      </c>
      <c r="J4154" t="s">
        <v>537</v>
      </c>
      <c r="K4154">
        <v>0.10823323639898715</v>
      </c>
      <c r="L4154" t="s">
        <v>162</v>
      </c>
      <c r="N4154" t="s">
        <v>380</v>
      </c>
      <c r="O4154" t="s">
        <v>537</v>
      </c>
      <c r="P4154">
        <v>4.6424461409035382E-2</v>
      </c>
      <c r="Q4154" t="s">
        <v>162</v>
      </c>
      <c r="S4154" t="s">
        <v>492</v>
      </c>
      <c r="T4154" t="s">
        <v>537</v>
      </c>
      <c r="U4154">
        <v>4.5529566160148922E-2</v>
      </c>
      <c r="V4154" t="s">
        <v>162</v>
      </c>
    </row>
    <row r="4155" spans="9:22" x14ac:dyDescent="0.45">
      <c r="I4155" t="s">
        <v>268</v>
      </c>
      <c r="J4155" t="s">
        <v>538</v>
      </c>
      <c r="K4155">
        <v>1.4914556681906103E-2</v>
      </c>
      <c r="L4155" t="s">
        <v>162</v>
      </c>
      <c r="N4155" t="s">
        <v>380</v>
      </c>
      <c r="O4155" t="s">
        <v>538</v>
      </c>
      <c r="P4155">
        <v>7.2895727456209333E-3</v>
      </c>
      <c r="Q4155" t="s">
        <v>162</v>
      </c>
      <c r="S4155" t="s">
        <v>492</v>
      </c>
      <c r="T4155" t="s">
        <v>538</v>
      </c>
      <c r="U4155">
        <v>8.8987210442212222E-3</v>
      </c>
      <c r="V4155" t="s">
        <v>162</v>
      </c>
    </row>
    <row r="4156" spans="9:22" x14ac:dyDescent="0.45">
      <c r="I4156" t="s">
        <v>268</v>
      </c>
      <c r="J4156" t="s">
        <v>539</v>
      </c>
      <c r="K4156">
        <v>1.3259677672922686E-2</v>
      </c>
      <c r="L4156" t="s">
        <v>162</v>
      </c>
      <c r="N4156" t="s">
        <v>380</v>
      </c>
      <c r="O4156" t="s">
        <v>539</v>
      </c>
      <c r="P4156">
        <v>5.8469235823748134E-2</v>
      </c>
      <c r="Q4156" t="s">
        <v>162</v>
      </c>
      <c r="S4156" t="s">
        <v>492</v>
      </c>
      <c r="T4156" t="s">
        <v>539</v>
      </c>
      <c r="U4156">
        <v>5.4936314760639857E-2</v>
      </c>
      <c r="V4156" t="s">
        <v>162</v>
      </c>
    </row>
    <row r="4157" spans="9:22" x14ac:dyDescent="0.45">
      <c r="I4157" t="s">
        <v>268</v>
      </c>
      <c r="J4157" t="s">
        <v>540</v>
      </c>
      <c r="K4157">
        <v>8.0187897921261758E-4</v>
      </c>
      <c r="L4157" t="s">
        <v>162</v>
      </c>
      <c r="N4157" t="s">
        <v>380</v>
      </c>
      <c r="O4157" t="s">
        <v>540</v>
      </c>
      <c r="P4157">
        <v>5.0118331133589565E-2</v>
      </c>
      <c r="Q4157" t="s">
        <v>162</v>
      </c>
      <c r="S4157" t="s">
        <v>492</v>
      </c>
      <c r="T4157" t="s">
        <v>540</v>
      </c>
      <c r="U4157">
        <v>3.5823881757667833E-2</v>
      </c>
      <c r="V4157" t="s">
        <v>162</v>
      </c>
    </row>
    <row r="4158" spans="9:22" x14ac:dyDescent="0.45">
      <c r="I4158" t="s">
        <v>268</v>
      </c>
      <c r="J4158" t="s">
        <v>541</v>
      </c>
      <c r="K4158">
        <v>2.4132542268767575E-3</v>
      </c>
      <c r="L4158" t="s">
        <v>162</v>
      </c>
      <c r="N4158" t="s">
        <v>380</v>
      </c>
      <c r="O4158" t="s">
        <v>541</v>
      </c>
      <c r="P4158">
        <v>4.9613443267565302E-3</v>
      </c>
      <c r="Q4158" t="s">
        <v>162</v>
      </c>
      <c r="S4158" t="s">
        <v>492</v>
      </c>
      <c r="T4158" t="s">
        <v>541</v>
      </c>
      <c r="U4158">
        <v>4.0164431869375771E-3</v>
      </c>
      <c r="V4158" t="s">
        <v>162</v>
      </c>
    </row>
    <row r="4159" spans="9:22" x14ac:dyDescent="0.45">
      <c r="I4159" t="s">
        <v>268</v>
      </c>
      <c r="J4159" t="s">
        <v>542</v>
      </c>
      <c r="K4159">
        <v>8.0322446343310972E-3</v>
      </c>
      <c r="L4159" t="s">
        <v>162</v>
      </c>
      <c r="N4159" t="s">
        <v>380</v>
      </c>
      <c r="O4159" t="s">
        <v>542</v>
      </c>
      <c r="P4159">
        <v>9.2473014615849624E-3</v>
      </c>
      <c r="Q4159" t="s">
        <v>162</v>
      </c>
      <c r="S4159" t="s">
        <v>492</v>
      </c>
      <c r="T4159" t="s">
        <v>542</v>
      </c>
      <c r="U4159">
        <v>8.059912726525403E-3</v>
      </c>
      <c r="V4159" t="s">
        <v>162</v>
      </c>
    </row>
    <row r="4160" spans="9:22" x14ac:dyDescent="0.45">
      <c r="I4160" t="s">
        <v>268</v>
      </c>
      <c r="J4160" t="s">
        <v>543</v>
      </c>
      <c r="K4160">
        <v>1.7243607682646021E-2</v>
      </c>
      <c r="L4160" t="s">
        <v>162</v>
      </c>
      <c r="N4160" t="s">
        <v>380</v>
      </c>
      <c r="O4160" t="s">
        <v>543</v>
      </c>
      <c r="P4160">
        <v>2.3383546734055124E-2</v>
      </c>
      <c r="Q4160" t="s">
        <v>162</v>
      </c>
      <c r="S4160" t="s">
        <v>492</v>
      </c>
      <c r="T4160" t="s">
        <v>543</v>
      </c>
      <c r="U4160">
        <v>2.0682015041926509E-2</v>
      </c>
      <c r="V4160" t="s">
        <v>162</v>
      </c>
    </row>
    <row r="4161" spans="9:22" x14ac:dyDescent="0.45">
      <c r="I4161" t="s">
        <v>268</v>
      </c>
      <c r="J4161" t="s">
        <v>544</v>
      </c>
      <c r="K4161">
        <v>3.6499915319325828E-4</v>
      </c>
      <c r="L4161" t="s">
        <v>162</v>
      </c>
      <c r="N4161" t="s">
        <v>380</v>
      </c>
      <c r="O4161" t="s">
        <v>544</v>
      </c>
      <c r="P4161">
        <v>4.4885530377475873E-3</v>
      </c>
      <c r="Q4161" t="s">
        <v>162</v>
      </c>
      <c r="S4161" t="s">
        <v>492</v>
      </c>
      <c r="T4161" t="s">
        <v>544</v>
      </c>
      <c r="U4161">
        <v>4.1151346110589416E-3</v>
      </c>
      <c r="V4161" t="s">
        <v>162</v>
      </c>
    </row>
    <row r="4162" spans="9:22" x14ac:dyDescent="0.45">
      <c r="I4162" t="s">
        <v>268</v>
      </c>
      <c r="J4162" t="s">
        <v>545</v>
      </c>
      <c r="K4162">
        <v>0</v>
      </c>
      <c r="L4162" t="s">
        <v>162</v>
      </c>
      <c r="N4162" t="s">
        <v>380</v>
      </c>
      <c r="O4162" t="s">
        <v>545</v>
      </c>
      <c r="P4162">
        <v>3.37427063653091E-2</v>
      </c>
      <c r="Q4162" t="s">
        <v>162</v>
      </c>
      <c r="S4162" t="s">
        <v>492</v>
      </c>
      <c r="T4162" t="s">
        <v>545</v>
      </c>
      <c r="U4162">
        <v>2.4276921703060044E-2</v>
      </c>
      <c r="V4162" t="s">
        <v>162</v>
      </c>
    </row>
    <row r="4163" spans="9:22" x14ac:dyDescent="0.45">
      <c r="I4163" t="s">
        <v>268</v>
      </c>
      <c r="J4163" t="s">
        <v>546</v>
      </c>
      <c r="K4163">
        <v>0</v>
      </c>
      <c r="L4163" t="s">
        <v>162</v>
      </c>
      <c r="N4163" t="s">
        <v>380</v>
      </c>
      <c r="O4163" t="s">
        <v>546</v>
      </c>
      <c r="P4163">
        <v>3.2355616633887016E-2</v>
      </c>
      <c r="Q4163" t="s">
        <v>162</v>
      </c>
      <c r="S4163" t="s">
        <v>492</v>
      </c>
      <c r="T4163" t="s">
        <v>546</v>
      </c>
      <c r="U4163">
        <v>3.9917381822017005E-2</v>
      </c>
      <c r="V4163" t="s">
        <v>162</v>
      </c>
    </row>
    <row r="4164" spans="9:22" x14ac:dyDescent="0.45">
      <c r="I4164" t="s">
        <v>268</v>
      </c>
      <c r="J4164" t="s">
        <v>547</v>
      </c>
      <c r="K4164">
        <v>2.4463885940951744E-3</v>
      </c>
      <c r="L4164" t="s">
        <v>162</v>
      </c>
      <c r="N4164" t="s">
        <v>380</v>
      </c>
      <c r="O4164" t="s">
        <v>547</v>
      </c>
      <c r="P4164">
        <v>3.6858968175073527E-3</v>
      </c>
      <c r="Q4164" t="s">
        <v>162</v>
      </c>
      <c r="S4164" t="s">
        <v>492</v>
      </c>
      <c r="T4164" t="s">
        <v>547</v>
      </c>
      <c r="U4164">
        <v>3.9010104038896955E-3</v>
      </c>
      <c r="V4164" t="s">
        <v>162</v>
      </c>
    </row>
    <row r="4165" spans="9:22" x14ac:dyDescent="0.45">
      <c r="I4165" t="s">
        <v>268</v>
      </c>
      <c r="J4165" t="s">
        <v>548</v>
      </c>
      <c r="K4165">
        <v>1.0698500310238498E-2</v>
      </c>
      <c r="L4165" t="s">
        <v>162</v>
      </c>
      <c r="N4165" t="s">
        <v>380</v>
      </c>
      <c r="O4165" t="s">
        <v>548</v>
      </c>
      <c r="P4165">
        <v>6.6375317137389086E-3</v>
      </c>
      <c r="Q4165" t="s">
        <v>162</v>
      </c>
      <c r="S4165" t="s">
        <v>492</v>
      </c>
      <c r="T4165" t="s">
        <v>548</v>
      </c>
      <c r="U4165">
        <v>7.7509416545129724E-3</v>
      </c>
      <c r="V4165" t="s">
        <v>162</v>
      </c>
    </row>
    <row r="4166" spans="9:22" x14ac:dyDescent="0.45">
      <c r="I4166" t="s">
        <v>268</v>
      </c>
      <c r="J4166" t="s">
        <v>549</v>
      </c>
      <c r="K4166">
        <v>2.6197135422629133E-2</v>
      </c>
      <c r="L4166" t="s">
        <v>162</v>
      </c>
      <c r="N4166" t="s">
        <v>380</v>
      </c>
      <c r="O4166" t="s">
        <v>549</v>
      </c>
      <c r="P4166">
        <v>1.5263955441669686E-2</v>
      </c>
      <c r="Q4166" t="s">
        <v>162</v>
      </c>
      <c r="S4166" t="s">
        <v>492</v>
      </c>
      <c r="T4166" t="s">
        <v>549</v>
      </c>
      <c r="U4166">
        <v>1.9596228618415333E-2</v>
      </c>
      <c r="V4166" t="s">
        <v>162</v>
      </c>
    </row>
    <row r="4167" spans="9:22" x14ac:dyDescent="0.45">
      <c r="I4167" t="s">
        <v>268</v>
      </c>
      <c r="J4167" t="s">
        <v>550</v>
      </c>
      <c r="K4167">
        <v>0</v>
      </c>
      <c r="L4167" t="s">
        <v>162</v>
      </c>
      <c r="N4167" t="s">
        <v>380</v>
      </c>
      <c r="O4167" t="s">
        <v>550</v>
      </c>
      <c r="P4167">
        <v>2.7564991947005863E-3</v>
      </c>
      <c r="Q4167" t="s">
        <v>162</v>
      </c>
      <c r="S4167" t="s">
        <v>492</v>
      </c>
      <c r="T4167" t="s">
        <v>550</v>
      </c>
      <c r="U4167">
        <v>4.0127633299635607E-3</v>
      </c>
      <c r="V4167" t="s">
        <v>162</v>
      </c>
    </row>
    <row r="4168" spans="9:22" x14ac:dyDescent="0.45">
      <c r="I4168" t="s">
        <v>268</v>
      </c>
      <c r="J4168" t="s">
        <v>551</v>
      </c>
      <c r="K4168">
        <v>0</v>
      </c>
      <c r="L4168" t="s">
        <v>162</v>
      </c>
      <c r="N4168" t="s">
        <v>380</v>
      </c>
      <c r="O4168" t="s">
        <v>551</v>
      </c>
      <c r="P4168">
        <v>1.9845556359718894E-2</v>
      </c>
      <c r="Q4168" t="s">
        <v>162</v>
      </c>
      <c r="S4168" t="s">
        <v>492</v>
      </c>
      <c r="T4168" t="s">
        <v>551</v>
      </c>
      <c r="U4168">
        <v>2.7979567852422785E-2</v>
      </c>
      <c r="V4168" t="s">
        <v>162</v>
      </c>
    </row>
    <row r="4169" spans="9:22" x14ac:dyDescent="0.45">
      <c r="I4169" t="s">
        <v>269</v>
      </c>
      <c r="J4169" t="s">
        <v>161</v>
      </c>
      <c r="K4169">
        <v>0</v>
      </c>
      <c r="L4169" t="s">
        <v>162</v>
      </c>
      <c r="N4169" t="s">
        <v>381</v>
      </c>
      <c r="O4169" t="s">
        <v>161</v>
      </c>
      <c r="P4169">
        <v>4.2299146365082474E-2</v>
      </c>
      <c r="Q4169" t="s">
        <v>162</v>
      </c>
      <c r="S4169" t="s">
        <v>493</v>
      </c>
      <c r="T4169" t="s">
        <v>161</v>
      </c>
      <c r="U4169">
        <v>3.6193829853434722E-2</v>
      </c>
      <c r="V4169" t="s">
        <v>162</v>
      </c>
    </row>
    <row r="4170" spans="9:22" x14ac:dyDescent="0.45">
      <c r="I4170" t="s">
        <v>269</v>
      </c>
      <c r="J4170" t="s">
        <v>163</v>
      </c>
      <c r="K4170">
        <v>4.2197733366374623E-3</v>
      </c>
      <c r="L4170" t="s">
        <v>162</v>
      </c>
      <c r="N4170" t="s">
        <v>381</v>
      </c>
      <c r="O4170" t="s">
        <v>163</v>
      </c>
      <c r="P4170">
        <v>4.5047777947809665E-3</v>
      </c>
      <c r="Q4170" t="s">
        <v>162</v>
      </c>
      <c r="S4170" t="s">
        <v>493</v>
      </c>
      <c r="T4170" t="s">
        <v>163</v>
      </c>
      <c r="U4170">
        <v>4.2020447459558659E-3</v>
      </c>
      <c r="V4170" t="s">
        <v>162</v>
      </c>
    </row>
    <row r="4171" spans="9:22" x14ac:dyDescent="0.45">
      <c r="I4171" t="s">
        <v>269</v>
      </c>
      <c r="J4171" t="s">
        <v>164</v>
      </c>
      <c r="K4171">
        <v>1.3671417181924855E-2</v>
      </c>
      <c r="L4171" t="s">
        <v>162</v>
      </c>
      <c r="N4171" t="s">
        <v>381</v>
      </c>
      <c r="O4171" t="s">
        <v>164</v>
      </c>
      <c r="P4171">
        <v>8.3421295499009861E-3</v>
      </c>
      <c r="Q4171" t="s">
        <v>162</v>
      </c>
      <c r="S4171" t="s">
        <v>493</v>
      </c>
      <c r="T4171" t="s">
        <v>164</v>
      </c>
      <c r="U4171">
        <v>8.9116674239484977E-3</v>
      </c>
      <c r="V4171" t="s">
        <v>162</v>
      </c>
    </row>
    <row r="4172" spans="9:22" x14ac:dyDescent="0.45">
      <c r="I4172" t="s">
        <v>269</v>
      </c>
      <c r="J4172" t="s">
        <v>519</v>
      </c>
      <c r="K4172">
        <v>3.300706289478602E-2</v>
      </c>
      <c r="L4172" t="s">
        <v>162</v>
      </c>
      <c r="N4172" t="s">
        <v>381</v>
      </c>
      <c r="O4172" t="s">
        <v>519</v>
      </c>
      <c r="P4172">
        <v>2.0681761573325779E-2</v>
      </c>
      <c r="Q4172" t="s">
        <v>162</v>
      </c>
      <c r="S4172" t="s">
        <v>493</v>
      </c>
      <c r="T4172" t="s">
        <v>519</v>
      </c>
      <c r="U4172">
        <v>2.2935208618322597E-2</v>
      </c>
      <c r="V4172" t="s">
        <v>162</v>
      </c>
    </row>
    <row r="4173" spans="9:22" x14ac:dyDescent="0.45">
      <c r="I4173" t="s">
        <v>269</v>
      </c>
      <c r="J4173" t="s">
        <v>520</v>
      </c>
      <c r="K4173">
        <v>6.5242645345036765E-4</v>
      </c>
      <c r="L4173" t="s">
        <v>162</v>
      </c>
      <c r="N4173" t="s">
        <v>381</v>
      </c>
      <c r="O4173" t="s">
        <v>520</v>
      </c>
      <c r="P4173">
        <v>3.9651480057620895E-3</v>
      </c>
      <c r="Q4173" t="s">
        <v>162</v>
      </c>
      <c r="S4173" t="s">
        <v>493</v>
      </c>
      <c r="T4173" t="s">
        <v>520</v>
      </c>
      <c r="U4173">
        <v>4.7910321569117334E-3</v>
      </c>
      <c r="V4173" t="s">
        <v>162</v>
      </c>
    </row>
    <row r="4174" spans="9:22" x14ac:dyDescent="0.45">
      <c r="I4174" t="s">
        <v>269</v>
      </c>
      <c r="J4174" t="s">
        <v>521</v>
      </c>
      <c r="K4174">
        <v>0</v>
      </c>
      <c r="L4174" t="s">
        <v>162</v>
      </c>
      <c r="N4174" t="s">
        <v>381</v>
      </c>
      <c r="O4174" t="s">
        <v>521</v>
      </c>
      <c r="P4174">
        <v>2.7553541234870964E-2</v>
      </c>
      <c r="Q4174" t="s">
        <v>162</v>
      </c>
      <c r="S4174" t="s">
        <v>493</v>
      </c>
      <c r="T4174" t="s">
        <v>521</v>
      </c>
      <c r="U4174">
        <v>2.8534558969786423E-2</v>
      </c>
      <c r="V4174" t="s">
        <v>162</v>
      </c>
    </row>
    <row r="4175" spans="9:22" x14ac:dyDescent="0.45">
      <c r="I4175" t="s">
        <v>269</v>
      </c>
      <c r="J4175" t="s">
        <v>165</v>
      </c>
      <c r="K4175">
        <v>1.2003814027911329E-2</v>
      </c>
      <c r="L4175" t="s">
        <v>162</v>
      </c>
      <c r="N4175" t="s">
        <v>381</v>
      </c>
      <c r="O4175" t="s">
        <v>165</v>
      </c>
      <c r="P4175">
        <v>6.7512229472256283E-2</v>
      </c>
      <c r="Q4175" t="s">
        <v>162</v>
      </c>
      <c r="S4175" t="s">
        <v>493</v>
      </c>
      <c r="T4175" t="s">
        <v>165</v>
      </c>
      <c r="U4175">
        <v>6.2432616762947306E-2</v>
      </c>
      <c r="V4175" t="s">
        <v>162</v>
      </c>
    </row>
    <row r="4176" spans="9:22" x14ac:dyDescent="0.45">
      <c r="I4176" t="s">
        <v>269</v>
      </c>
      <c r="J4176" t="s">
        <v>166</v>
      </c>
      <c r="K4176">
        <v>1.470067906409161E-2</v>
      </c>
      <c r="L4176" t="s">
        <v>162</v>
      </c>
      <c r="N4176" t="s">
        <v>381</v>
      </c>
      <c r="O4176" t="s">
        <v>166</v>
      </c>
      <c r="P4176">
        <v>6.6757853944242E-3</v>
      </c>
      <c r="Q4176" t="s">
        <v>162</v>
      </c>
      <c r="S4176" t="s">
        <v>493</v>
      </c>
      <c r="T4176" t="s">
        <v>166</v>
      </c>
      <c r="U4176">
        <v>7.3771282421408527E-3</v>
      </c>
      <c r="V4176" t="s">
        <v>162</v>
      </c>
    </row>
    <row r="4177" spans="9:22" x14ac:dyDescent="0.45">
      <c r="I4177" t="s">
        <v>269</v>
      </c>
      <c r="J4177" t="s">
        <v>167</v>
      </c>
      <c r="K4177">
        <v>3.7660559567533551E-2</v>
      </c>
      <c r="L4177" t="s">
        <v>162</v>
      </c>
      <c r="N4177" t="s">
        <v>381</v>
      </c>
      <c r="O4177" t="s">
        <v>167</v>
      </c>
      <c r="P4177">
        <v>1.2633212563686958E-2</v>
      </c>
      <c r="Q4177" t="s">
        <v>162</v>
      </c>
      <c r="S4177" t="s">
        <v>493</v>
      </c>
      <c r="T4177" t="s">
        <v>167</v>
      </c>
      <c r="U4177">
        <v>1.4912898548690927E-2</v>
      </c>
      <c r="V4177" t="s">
        <v>162</v>
      </c>
    </row>
    <row r="4178" spans="9:22" x14ac:dyDescent="0.45">
      <c r="I4178" t="s">
        <v>269</v>
      </c>
      <c r="J4178" t="s">
        <v>522</v>
      </c>
      <c r="K4178">
        <v>8.2979731703725093E-2</v>
      </c>
      <c r="L4178" t="s">
        <v>162</v>
      </c>
      <c r="N4178" t="s">
        <v>381</v>
      </c>
      <c r="O4178" t="s">
        <v>522</v>
      </c>
      <c r="P4178">
        <v>3.4471821000600131E-2</v>
      </c>
      <c r="Q4178" t="s">
        <v>162</v>
      </c>
      <c r="S4178" t="s">
        <v>493</v>
      </c>
      <c r="T4178" t="s">
        <v>522</v>
      </c>
      <c r="U4178">
        <v>3.7111719091723838E-2</v>
      </c>
      <c r="V4178" t="s">
        <v>162</v>
      </c>
    </row>
    <row r="4179" spans="9:22" x14ac:dyDescent="0.45">
      <c r="I4179" t="s">
        <v>269</v>
      </c>
      <c r="J4179" t="s">
        <v>523</v>
      </c>
      <c r="K4179">
        <v>9.1819062550747513E-3</v>
      </c>
      <c r="L4179" t="s">
        <v>162</v>
      </c>
      <c r="N4179" t="s">
        <v>381</v>
      </c>
      <c r="O4179" t="s">
        <v>523</v>
      </c>
      <c r="P4179">
        <v>5.8585835294746183E-3</v>
      </c>
      <c r="Q4179" t="s">
        <v>162</v>
      </c>
      <c r="S4179" t="s">
        <v>493</v>
      </c>
      <c r="T4179" t="s">
        <v>523</v>
      </c>
      <c r="U4179">
        <v>7.2976663388038899E-3</v>
      </c>
      <c r="V4179" t="s">
        <v>162</v>
      </c>
    </row>
    <row r="4180" spans="9:22" x14ac:dyDescent="0.45">
      <c r="I4180" t="s">
        <v>269</v>
      </c>
      <c r="J4180" t="s">
        <v>524</v>
      </c>
      <c r="K4180">
        <v>3.4143579853836521E-3</v>
      </c>
      <c r="L4180" t="s">
        <v>162</v>
      </c>
      <c r="N4180" t="s">
        <v>381</v>
      </c>
      <c r="O4180" t="s">
        <v>524</v>
      </c>
      <c r="P4180">
        <v>4.9436486488226294E-2</v>
      </c>
      <c r="Q4180" t="s">
        <v>162</v>
      </c>
      <c r="S4180" t="s">
        <v>493</v>
      </c>
      <c r="T4180" t="s">
        <v>524</v>
      </c>
      <c r="U4180">
        <v>4.1324248712106923E-2</v>
      </c>
      <c r="V4180" t="s">
        <v>162</v>
      </c>
    </row>
    <row r="4181" spans="9:22" x14ac:dyDescent="0.45">
      <c r="I4181" t="s">
        <v>269</v>
      </c>
      <c r="J4181" t="s">
        <v>168</v>
      </c>
      <c r="K4181">
        <v>1.3978734098815459E-2</v>
      </c>
      <c r="L4181" t="s">
        <v>162</v>
      </c>
      <c r="N4181" t="s">
        <v>381</v>
      </c>
      <c r="O4181" t="s">
        <v>168</v>
      </c>
      <c r="P4181">
        <v>4.3731485552478591E-2</v>
      </c>
      <c r="Q4181" t="s">
        <v>162</v>
      </c>
      <c r="S4181" t="s">
        <v>493</v>
      </c>
      <c r="T4181" t="s">
        <v>168</v>
      </c>
      <c r="U4181">
        <v>3.1153367863532129E-2</v>
      </c>
      <c r="V4181" t="s">
        <v>162</v>
      </c>
    </row>
    <row r="4182" spans="9:22" x14ac:dyDescent="0.45">
      <c r="I4182" t="s">
        <v>269</v>
      </c>
      <c r="J4182" t="s">
        <v>169</v>
      </c>
      <c r="K4182">
        <v>9.2599609528983256E-3</v>
      </c>
      <c r="L4182" t="s">
        <v>162</v>
      </c>
      <c r="N4182" t="s">
        <v>381</v>
      </c>
      <c r="O4182" t="s">
        <v>169</v>
      </c>
      <c r="P4182">
        <v>4.4543056854729045E-3</v>
      </c>
      <c r="Q4182" t="s">
        <v>162</v>
      </c>
      <c r="S4182" t="s">
        <v>493</v>
      </c>
      <c r="T4182" t="s">
        <v>169</v>
      </c>
      <c r="U4182">
        <v>3.3276638532168251E-3</v>
      </c>
      <c r="V4182" t="s">
        <v>162</v>
      </c>
    </row>
    <row r="4183" spans="9:22" x14ac:dyDescent="0.45">
      <c r="I4183" t="s">
        <v>269</v>
      </c>
      <c r="J4183" t="s">
        <v>170</v>
      </c>
      <c r="K4183">
        <v>2.1738124120057677E-2</v>
      </c>
      <c r="L4183" t="s">
        <v>162</v>
      </c>
      <c r="N4183" t="s">
        <v>381</v>
      </c>
      <c r="O4183" t="s">
        <v>170</v>
      </c>
      <c r="P4183">
        <v>9.0563597006343369E-3</v>
      </c>
      <c r="Q4183" t="s">
        <v>162</v>
      </c>
      <c r="S4183" t="s">
        <v>493</v>
      </c>
      <c r="T4183" t="s">
        <v>170</v>
      </c>
      <c r="U4183">
        <v>6.5875892851324589E-3</v>
      </c>
      <c r="V4183" t="s">
        <v>162</v>
      </c>
    </row>
    <row r="4184" spans="9:22" x14ac:dyDescent="0.45">
      <c r="I4184" t="s">
        <v>269</v>
      </c>
      <c r="J4184" t="s">
        <v>525</v>
      </c>
      <c r="K4184">
        <v>5.0837529679197642E-2</v>
      </c>
      <c r="L4184" t="s">
        <v>162</v>
      </c>
      <c r="N4184" t="s">
        <v>381</v>
      </c>
      <c r="O4184" t="s">
        <v>525</v>
      </c>
      <c r="P4184">
        <v>2.3920233374723786E-2</v>
      </c>
      <c r="Q4184" t="s">
        <v>162</v>
      </c>
      <c r="S4184" t="s">
        <v>493</v>
      </c>
      <c r="T4184" t="s">
        <v>525</v>
      </c>
      <c r="U4184">
        <v>1.7310365330428661E-2</v>
      </c>
      <c r="V4184" t="s">
        <v>162</v>
      </c>
    </row>
    <row r="4185" spans="9:22" x14ac:dyDescent="0.45">
      <c r="I4185" t="s">
        <v>269</v>
      </c>
      <c r="J4185" t="s">
        <v>526</v>
      </c>
      <c r="K4185">
        <v>7.3098889239119023E-3</v>
      </c>
      <c r="L4185" t="s">
        <v>162</v>
      </c>
      <c r="N4185" t="s">
        <v>381</v>
      </c>
      <c r="O4185" t="s">
        <v>526</v>
      </c>
      <c r="P4185">
        <v>4.1638332497892653E-3</v>
      </c>
      <c r="Q4185" t="s">
        <v>162</v>
      </c>
      <c r="S4185" t="s">
        <v>493</v>
      </c>
      <c r="T4185" t="s">
        <v>526</v>
      </c>
      <c r="U4185">
        <v>3.6197161679819615E-3</v>
      </c>
      <c r="V4185" t="s">
        <v>162</v>
      </c>
    </row>
    <row r="4186" spans="9:22" x14ac:dyDescent="0.45">
      <c r="I4186" t="s">
        <v>269</v>
      </c>
      <c r="J4186" t="s">
        <v>527</v>
      </c>
      <c r="K4186">
        <v>7.4838546819443741E-3</v>
      </c>
      <c r="L4186" t="s">
        <v>162</v>
      </c>
      <c r="N4186" t="s">
        <v>381</v>
      </c>
      <c r="O4186" t="s">
        <v>527</v>
      </c>
      <c r="P4186">
        <v>3.0754590804974294E-2</v>
      </c>
      <c r="Q4186" t="s">
        <v>162</v>
      </c>
      <c r="S4186" t="s">
        <v>493</v>
      </c>
      <c r="T4186" t="s">
        <v>527</v>
      </c>
      <c r="U4186">
        <v>2.1340931613294218E-2</v>
      </c>
      <c r="V4186" t="s">
        <v>162</v>
      </c>
    </row>
    <row r="4187" spans="9:22" x14ac:dyDescent="0.45">
      <c r="I4187" t="s">
        <v>269</v>
      </c>
      <c r="J4187" t="s">
        <v>528</v>
      </c>
      <c r="K4187">
        <v>6.4461494567242622E-2</v>
      </c>
      <c r="L4187" t="s">
        <v>162</v>
      </c>
      <c r="N4187" t="s">
        <v>381</v>
      </c>
      <c r="O4187" t="s">
        <v>528</v>
      </c>
      <c r="P4187">
        <v>7.0112862818604141E-2</v>
      </c>
      <c r="Q4187" t="s">
        <v>162</v>
      </c>
      <c r="S4187" t="s">
        <v>493</v>
      </c>
      <c r="T4187" t="s">
        <v>528</v>
      </c>
      <c r="U4187">
        <v>8.962893400859287E-2</v>
      </c>
      <c r="V4187" t="s">
        <v>162</v>
      </c>
    </row>
    <row r="4188" spans="9:22" x14ac:dyDescent="0.45">
      <c r="I4188" t="s">
        <v>269</v>
      </c>
      <c r="J4188" t="s">
        <v>529</v>
      </c>
      <c r="K4188">
        <v>2.9991961059180811E-2</v>
      </c>
      <c r="L4188" t="s">
        <v>162</v>
      </c>
      <c r="N4188" t="s">
        <v>381</v>
      </c>
      <c r="O4188" t="s">
        <v>529</v>
      </c>
      <c r="P4188">
        <v>5.7542391245134564E-3</v>
      </c>
      <c r="Q4188" t="s">
        <v>162</v>
      </c>
      <c r="S4188" t="s">
        <v>493</v>
      </c>
      <c r="T4188" t="s">
        <v>529</v>
      </c>
      <c r="U4188">
        <v>9.0872962341749953E-3</v>
      </c>
      <c r="V4188" t="s">
        <v>162</v>
      </c>
    </row>
    <row r="4189" spans="9:22" x14ac:dyDescent="0.45">
      <c r="I4189" t="s">
        <v>269</v>
      </c>
      <c r="J4189" t="s">
        <v>530</v>
      </c>
      <c r="K4189">
        <v>6.5243763728440318E-2</v>
      </c>
      <c r="L4189" t="s">
        <v>162</v>
      </c>
      <c r="N4189" t="s">
        <v>381</v>
      </c>
      <c r="O4189" t="s">
        <v>530</v>
      </c>
      <c r="P4189">
        <v>1.2767301846828838E-2</v>
      </c>
      <c r="Q4189" t="s">
        <v>162</v>
      </c>
      <c r="S4189" t="s">
        <v>493</v>
      </c>
      <c r="T4189" t="s">
        <v>530</v>
      </c>
      <c r="U4189">
        <v>1.8599186185672276E-2</v>
      </c>
      <c r="V4189" t="s">
        <v>162</v>
      </c>
    </row>
    <row r="4190" spans="9:22" x14ac:dyDescent="0.45">
      <c r="I4190" t="s">
        <v>269</v>
      </c>
      <c r="J4190" t="s">
        <v>531</v>
      </c>
      <c r="K4190">
        <v>0.14618703905425934</v>
      </c>
      <c r="L4190" t="s">
        <v>162</v>
      </c>
      <c r="N4190" t="s">
        <v>381</v>
      </c>
      <c r="O4190" t="s">
        <v>531</v>
      </c>
      <c r="P4190">
        <v>3.8617337792073242E-2</v>
      </c>
      <c r="Q4190" t="s">
        <v>162</v>
      </c>
      <c r="S4190" t="s">
        <v>493</v>
      </c>
      <c r="T4190" t="s">
        <v>531</v>
      </c>
      <c r="U4190">
        <v>5.1667279820731007E-2</v>
      </c>
      <c r="V4190" t="s">
        <v>162</v>
      </c>
    </row>
    <row r="4191" spans="9:22" x14ac:dyDescent="0.45">
      <c r="I4191" t="s">
        <v>269</v>
      </c>
      <c r="J4191" t="s">
        <v>532</v>
      </c>
      <c r="K4191">
        <v>2.1268238931328638E-2</v>
      </c>
      <c r="L4191" t="s">
        <v>162</v>
      </c>
      <c r="N4191" t="s">
        <v>381</v>
      </c>
      <c r="O4191" t="s">
        <v>532</v>
      </c>
      <c r="P4191">
        <v>6.3313684594940006E-3</v>
      </c>
      <c r="Q4191" t="s">
        <v>162</v>
      </c>
      <c r="S4191" t="s">
        <v>493</v>
      </c>
      <c r="T4191" t="s">
        <v>532</v>
      </c>
      <c r="U4191">
        <v>1.1143163951508744E-2</v>
      </c>
      <c r="V4191" t="s">
        <v>162</v>
      </c>
    </row>
    <row r="4192" spans="9:22" x14ac:dyDescent="0.45">
      <c r="I4192" t="s">
        <v>269</v>
      </c>
      <c r="J4192" t="s">
        <v>533</v>
      </c>
      <c r="K4192">
        <v>3.2073395733341357E-2</v>
      </c>
      <c r="L4192" t="s">
        <v>162</v>
      </c>
      <c r="N4192" t="s">
        <v>381</v>
      </c>
      <c r="O4192" t="s">
        <v>533</v>
      </c>
      <c r="P4192">
        <v>5.3079676999630614E-2</v>
      </c>
      <c r="Q4192" t="s">
        <v>162</v>
      </c>
      <c r="S4192" t="s">
        <v>493</v>
      </c>
      <c r="T4192" t="s">
        <v>533</v>
      </c>
      <c r="U4192">
        <v>6.3804293408379342E-2</v>
      </c>
      <c r="V4192" t="s">
        <v>162</v>
      </c>
    </row>
    <row r="4193" spans="9:22" x14ac:dyDescent="0.45">
      <c r="I4193" t="s">
        <v>269</v>
      </c>
      <c r="J4193" t="s">
        <v>534</v>
      </c>
      <c r="K4193">
        <v>3.1897695173606029E-2</v>
      </c>
      <c r="L4193" t="s">
        <v>162</v>
      </c>
      <c r="N4193" t="s">
        <v>381</v>
      </c>
      <c r="O4193" t="s">
        <v>534</v>
      </c>
      <c r="P4193">
        <v>7.6717139566357909E-2</v>
      </c>
      <c r="Q4193" t="s">
        <v>162</v>
      </c>
      <c r="S4193" t="s">
        <v>493</v>
      </c>
      <c r="T4193" t="s">
        <v>534</v>
      </c>
      <c r="U4193">
        <v>7.5820404314718703E-2</v>
      </c>
      <c r="V4193" t="s">
        <v>162</v>
      </c>
    </row>
    <row r="4194" spans="9:22" x14ac:dyDescent="0.45">
      <c r="I4194" t="s">
        <v>269</v>
      </c>
      <c r="J4194" t="s">
        <v>535</v>
      </c>
      <c r="K4194">
        <v>2.1545947545356551E-2</v>
      </c>
      <c r="L4194" t="s">
        <v>162</v>
      </c>
      <c r="N4194" t="s">
        <v>381</v>
      </c>
      <c r="O4194" t="s">
        <v>535</v>
      </c>
      <c r="P4194">
        <v>6.9817165054481744E-3</v>
      </c>
      <c r="Q4194" t="s">
        <v>162</v>
      </c>
      <c r="S4194" t="s">
        <v>493</v>
      </c>
      <c r="T4194" t="s">
        <v>535</v>
      </c>
      <c r="U4194">
        <v>7.7093852718857579E-3</v>
      </c>
      <c r="V4194" t="s">
        <v>162</v>
      </c>
    </row>
    <row r="4195" spans="9:22" x14ac:dyDescent="0.45">
      <c r="I4195" t="s">
        <v>269</v>
      </c>
      <c r="J4195" t="s">
        <v>536</v>
      </c>
      <c r="K4195">
        <v>5.0025821180791241E-2</v>
      </c>
      <c r="L4195" t="s">
        <v>162</v>
      </c>
      <c r="N4195" t="s">
        <v>381</v>
      </c>
      <c r="O4195" t="s">
        <v>536</v>
      </c>
      <c r="P4195">
        <v>1.4391146430758577E-2</v>
      </c>
      <c r="Q4195" t="s">
        <v>162</v>
      </c>
      <c r="S4195" t="s">
        <v>493</v>
      </c>
      <c r="T4195" t="s">
        <v>536</v>
      </c>
      <c r="U4195">
        <v>1.5612502328108614E-2</v>
      </c>
      <c r="V4195" t="s">
        <v>162</v>
      </c>
    </row>
    <row r="4196" spans="9:22" x14ac:dyDescent="0.45">
      <c r="I4196" t="s">
        <v>269</v>
      </c>
      <c r="J4196" t="s">
        <v>537</v>
      </c>
      <c r="K4196">
        <v>0.11562519983313865</v>
      </c>
      <c r="L4196" t="s">
        <v>162</v>
      </c>
      <c r="N4196" t="s">
        <v>381</v>
      </c>
      <c r="O4196" t="s">
        <v>537</v>
      </c>
      <c r="P4196">
        <v>3.9916571103221603E-2</v>
      </c>
      <c r="Q4196" t="s">
        <v>162</v>
      </c>
      <c r="S4196" t="s">
        <v>493</v>
      </c>
      <c r="T4196" t="s">
        <v>537</v>
      </c>
      <c r="U4196">
        <v>4.3467236473957442E-2</v>
      </c>
      <c r="V4196" t="s">
        <v>162</v>
      </c>
    </row>
    <row r="4197" spans="9:22" x14ac:dyDescent="0.45">
      <c r="I4197" t="s">
        <v>269</v>
      </c>
      <c r="J4197" t="s">
        <v>538</v>
      </c>
      <c r="K4197">
        <v>1.4892758319912653E-2</v>
      </c>
      <c r="L4197" t="s">
        <v>162</v>
      </c>
      <c r="N4197" t="s">
        <v>381</v>
      </c>
      <c r="O4197" t="s">
        <v>538</v>
      </c>
      <c r="P4197">
        <v>6.8914857062937528E-3</v>
      </c>
      <c r="Q4197" t="s">
        <v>162</v>
      </c>
      <c r="S4197" t="s">
        <v>493</v>
      </c>
      <c r="T4197" t="s">
        <v>538</v>
      </c>
      <c r="U4197">
        <v>9.4967099199118193E-3</v>
      </c>
      <c r="V4197" t="s">
        <v>162</v>
      </c>
    </row>
    <row r="4198" spans="9:22" x14ac:dyDescent="0.45">
      <c r="I4198" t="s">
        <v>269</v>
      </c>
      <c r="J4198" t="s">
        <v>539</v>
      </c>
      <c r="K4198">
        <v>1.1195943343887722E-2</v>
      </c>
      <c r="L4198" t="s">
        <v>162</v>
      </c>
      <c r="N4198" t="s">
        <v>381</v>
      </c>
      <c r="O4198" t="s">
        <v>539</v>
      </c>
      <c r="P4198">
        <v>5.6420398580080522E-2</v>
      </c>
      <c r="Q4198" t="s">
        <v>162</v>
      </c>
      <c r="S4198" t="s">
        <v>493</v>
      </c>
      <c r="T4198" t="s">
        <v>539</v>
      </c>
      <c r="U4198">
        <v>5.5387136476480969E-2</v>
      </c>
      <c r="V4198" t="s">
        <v>162</v>
      </c>
    </row>
    <row r="4199" spans="9:22" x14ac:dyDescent="0.45">
      <c r="I4199" t="s">
        <v>269</v>
      </c>
      <c r="J4199" t="s">
        <v>540</v>
      </c>
      <c r="K4199">
        <v>2.23171670885935E-3</v>
      </c>
      <c r="L4199" t="s">
        <v>162</v>
      </c>
      <c r="N4199" t="s">
        <v>381</v>
      </c>
      <c r="O4199" t="s">
        <v>540</v>
      </c>
      <c r="P4199">
        <v>4.6001319294698133E-2</v>
      </c>
      <c r="Q4199" t="s">
        <v>162</v>
      </c>
      <c r="S4199" t="s">
        <v>493</v>
      </c>
      <c r="T4199" t="s">
        <v>540</v>
      </c>
      <c r="U4199">
        <v>3.3933175847025855E-2</v>
      </c>
      <c r="V4199" t="s">
        <v>162</v>
      </c>
    </row>
    <row r="4200" spans="9:22" x14ac:dyDescent="0.45">
      <c r="I4200" t="s">
        <v>269</v>
      </c>
      <c r="J4200" t="s">
        <v>541</v>
      </c>
      <c r="K4200">
        <v>3.9423466113806069E-3</v>
      </c>
      <c r="L4200" t="s">
        <v>162</v>
      </c>
      <c r="N4200" t="s">
        <v>381</v>
      </c>
      <c r="O4200" t="s">
        <v>541</v>
      </c>
      <c r="P4200">
        <v>4.8316912634801673E-3</v>
      </c>
      <c r="Q4200" t="s">
        <v>162</v>
      </c>
      <c r="S4200" t="s">
        <v>493</v>
      </c>
      <c r="T4200" t="s">
        <v>541</v>
      </c>
      <c r="U4200">
        <v>3.8986188879444354E-3</v>
      </c>
      <c r="V4200" t="s">
        <v>162</v>
      </c>
    </row>
    <row r="4201" spans="9:22" x14ac:dyDescent="0.45">
      <c r="I4201" t="s">
        <v>269</v>
      </c>
      <c r="J4201" t="s">
        <v>542</v>
      </c>
      <c r="K4201">
        <v>1.0341151606585275E-2</v>
      </c>
      <c r="L4201" t="s">
        <v>162</v>
      </c>
      <c r="N4201" t="s">
        <v>381</v>
      </c>
      <c r="O4201" t="s">
        <v>542</v>
      </c>
      <c r="P4201">
        <v>9.7612407063949313E-3</v>
      </c>
      <c r="Q4201" t="s">
        <v>162</v>
      </c>
      <c r="S4201" t="s">
        <v>493</v>
      </c>
      <c r="T4201" t="s">
        <v>542</v>
      </c>
      <c r="U4201">
        <v>7.9856944011435973E-3</v>
      </c>
      <c r="V4201" t="s">
        <v>162</v>
      </c>
    </row>
    <row r="4202" spans="9:22" x14ac:dyDescent="0.45">
      <c r="I4202" t="s">
        <v>269</v>
      </c>
      <c r="J4202" t="s">
        <v>543</v>
      </c>
      <c r="K4202">
        <v>2.0017493345284836E-2</v>
      </c>
      <c r="L4202" t="s">
        <v>162</v>
      </c>
      <c r="N4202" t="s">
        <v>381</v>
      </c>
      <c r="O4202" t="s">
        <v>543</v>
      </c>
      <c r="P4202">
        <v>2.74143634781501E-2</v>
      </c>
      <c r="Q4202" t="s">
        <v>162</v>
      </c>
      <c r="S4202" t="s">
        <v>493</v>
      </c>
      <c r="T4202" t="s">
        <v>543</v>
      </c>
      <c r="U4202">
        <v>2.1105948771532771E-2</v>
      </c>
      <c r="V4202" t="s">
        <v>162</v>
      </c>
    </row>
    <row r="4203" spans="9:22" x14ac:dyDescent="0.45">
      <c r="I4203" t="s">
        <v>269</v>
      </c>
      <c r="J4203" t="s">
        <v>544</v>
      </c>
      <c r="K4203">
        <v>0</v>
      </c>
      <c r="L4203" t="s">
        <v>162</v>
      </c>
      <c r="N4203" t="s">
        <v>381</v>
      </c>
      <c r="O4203" t="s">
        <v>544</v>
      </c>
      <c r="P4203">
        <v>5.3319198462506582E-3</v>
      </c>
      <c r="Q4203" t="s">
        <v>162</v>
      </c>
      <c r="S4203" t="s">
        <v>493</v>
      </c>
      <c r="T4203" t="s">
        <v>544</v>
      </c>
      <c r="U4203">
        <v>4.2897886179146683E-3</v>
      </c>
      <c r="V4203" t="s">
        <v>162</v>
      </c>
    </row>
    <row r="4204" spans="9:22" x14ac:dyDescent="0.45">
      <c r="I4204" t="s">
        <v>269</v>
      </c>
      <c r="J4204" t="s">
        <v>545</v>
      </c>
      <c r="K4204">
        <v>0</v>
      </c>
      <c r="L4204" t="s">
        <v>162</v>
      </c>
      <c r="N4204" t="s">
        <v>381</v>
      </c>
      <c r="O4204" t="s">
        <v>545</v>
      </c>
      <c r="P4204">
        <v>3.6183611807860276E-2</v>
      </c>
      <c r="Q4204" t="s">
        <v>162</v>
      </c>
      <c r="S4204" t="s">
        <v>493</v>
      </c>
      <c r="T4204" t="s">
        <v>545</v>
      </c>
      <c r="U4204">
        <v>2.4190175160135295E-2</v>
      </c>
      <c r="V4204" t="s">
        <v>162</v>
      </c>
    </row>
    <row r="4205" spans="9:22" x14ac:dyDescent="0.45">
      <c r="I4205" t="s">
        <v>269</v>
      </c>
      <c r="J4205" t="s">
        <v>546</v>
      </c>
      <c r="K4205">
        <v>2.0442722232554075E-7</v>
      </c>
      <c r="L4205" t="s">
        <v>162</v>
      </c>
      <c r="N4205" t="s">
        <v>381</v>
      </c>
      <c r="O4205" t="s">
        <v>546</v>
      </c>
      <c r="P4205">
        <v>3.3503737414639745E-2</v>
      </c>
      <c r="Q4205" t="s">
        <v>162</v>
      </c>
      <c r="S4205" t="s">
        <v>493</v>
      </c>
      <c r="T4205" t="s">
        <v>546</v>
      </c>
      <c r="U4205">
        <v>3.4574296895040726E-2</v>
      </c>
      <c r="V4205" t="s">
        <v>162</v>
      </c>
    </row>
    <row r="4206" spans="9:22" x14ac:dyDescent="0.45">
      <c r="I4206" t="s">
        <v>269</v>
      </c>
      <c r="J4206" t="s">
        <v>547</v>
      </c>
      <c r="K4206">
        <v>3.1210228897309896E-3</v>
      </c>
      <c r="L4206" t="s">
        <v>162</v>
      </c>
      <c r="N4206" t="s">
        <v>381</v>
      </c>
      <c r="O4206" t="s">
        <v>547</v>
      </c>
      <c r="P4206">
        <v>3.1675289931198422E-3</v>
      </c>
      <c r="Q4206" t="s">
        <v>162</v>
      </c>
      <c r="S4206" t="s">
        <v>493</v>
      </c>
      <c r="T4206" t="s">
        <v>547</v>
      </c>
      <c r="U4206">
        <v>3.3954078780055034E-3</v>
      </c>
      <c r="V4206" t="s">
        <v>162</v>
      </c>
    </row>
    <row r="4207" spans="9:22" x14ac:dyDescent="0.45">
      <c r="I4207" t="s">
        <v>269</v>
      </c>
      <c r="J4207" t="s">
        <v>548</v>
      </c>
      <c r="K4207">
        <v>1.0920232903499423E-2</v>
      </c>
      <c r="L4207" t="s">
        <v>162</v>
      </c>
      <c r="N4207" t="s">
        <v>381</v>
      </c>
      <c r="O4207" t="s">
        <v>548</v>
      </c>
      <c r="P4207">
        <v>5.6328504041539516E-3</v>
      </c>
      <c r="Q4207" t="s">
        <v>162</v>
      </c>
      <c r="S4207" t="s">
        <v>493</v>
      </c>
      <c r="T4207" t="s">
        <v>548</v>
      </c>
      <c r="U4207">
        <v>6.8824523230445129E-3</v>
      </c>
      <c r="V4207" t="s">
        <v>162</v>
      </c>
    </row>
    <row r="4208" spans="9:22" x14ac:dyDescent="0.45">
      <c r="I4208" t="s">
        <v>269</v>
      </c>
      <c r="J4208" t="s">
        <v>549</v>
      </c>
      <c r="K4208">
        <v>2.2916752109607322E-2</v>
      </c>
      <c r="L4208" t="s">
        <v>162</v>
      </c>
      <c r="N4208" t="s">
        <v>381</v>
      </c>
      <c r="O4208" t="s">
        <v>549</v>
      </c>
      <c r="P4208">
        <v>1.4813681858742718E-2</v>
      </c>
      <c r="Q4208" t="s">
        <v>162</v>
      </c>
      <c r="S4208" t="s">
        <v>493</v>
      </c>
      <c r="T4208" t="s">
        <v>549</v>
      </c>
      <c r="U4208">
        <v>1.9007063142346407E-2</v>
      </c>
      <c r="V4208" t="s">
        <v>162</v>
      </c>
    </row>
    <row r="4209" spans="9:22" x14ac:dyDescent="0.45">
      <c r="I4209" t="s">
        <v>269</v>
      </c>
      <c r="J4209" t="s">
        <v>550</v>
      </c>
      <c r="K4209">
        <v>0</v>
      </c>
      <c r="L4209" t="s">
        <v>162</v>
      </c>
      <c r="N4209" t="s">
        <v>381</v>
      </c>
      <c r="O4209" t="s">
        <v>550</v>
      </c>
      <c r="P4209">
        <v>2.8658462682558073E-3</v>
      </c>
      <c r="Q4209" t="s">
        <v>162</v>
      </c>
      <c r="S4209" t="s">
        <v>493</v>
      </c>
      <c r="T4209" t="s">
        <v>550</v>
      </c>
      <c r="U4209">
        <v>4.1240583988061364E-3</v>
      </c>
      <c r="V4209" t="s">
        <v>162</v>
      </c>
    </row>
    <row r="4210" spans="9:22" x14ac:dyDescent="0.45">
      <c r="I4210" t="s">
        <v>269</v>
      </c>
      <c r="J4210" t="s">
        <v>551</v>
      </c>
      <c r="K4210">
        <v>0</v>
      </c>
      <c r="L4210" t="s">
        <v>162</v>
      </c>
      <c r="N4210" t="s">
        <v>381</v>
      </c>
      <c r="O4210" t="s">
        <v>551</v>
      </c>
      <c r="P4210">
        <v>2.2495532390486905E-2</v>
      </c>
      <c r="Q4210" t="s">
        <v>162</v>
      </c>
      <c r="S4210" t="s">
        <v>493</v>
      </c>
      <c r="T4210" t="s">
        <v>551</v>
      </c>
      <c r="U4210">
        <v>2.5825537704577673E-2</v>
      </c>
      <c r="V4210" t="s">
        <v>162</v>
      </c>
    </row>
    <row r="4211" spans="9:22" x14ac:dyDescent="0.45">
      <c r="I4211" t="s">
        <v>270</v>
      </c>
      <c r="J4211" t="s">
        <v>161</v>
      </c>
      <c r="K4211">
        <v>0</v>
      </c>
      <c r="L4211" t="s">
        <v>162</v>
      </c>
      <c r="N4211" t="s">
        <v>382</v>
      </c>
      <c r="O4211" t="s">
        <v>161</v>
      </c>
      <c r="P4211">
        <v>3.7465228615139769E-2</v>
      </c>
      <c r="Q4211" t="s">
        <v>162</v>
      </c>
      <c r="S4211" t="s">
        <v>494</v>
      </c>
      <c r="T4211" t="s">
        <v>161</v>
      </c>
      <c r="U4211">
        <v>3.9094171795147195E-2</v>
      </c>
      <c r="V4211" t="s">
        <v>162</v>
      </c>
    </row>
    <row r="4212" spans="9:22" x14ac:dyDescent="0.45">
      <c r="I4212" t="s">
        <v>270</v>
      </c>
      <c r="J4212" t="s">
        <v>163</v>
      </c>
      <c r="K4212">
        <v>3.499274368166592E-3</v>
      </c>
      <c r="L4212" t="s">
        <v>162</v>
      </c>
      <c r="N4212" t="s">
        <v>382</v>
      </c>
      <c r="O4212" t="s">
        <v>163</v>
      </c>
      <c r="P4212">
        <v>4.1311720898181987E-3</v>
      </c>
      <c r="Q4212" t="s">
        <v>162</v>
      </c>
      <c r="S4212" t="s">
        <v>494</v>
      </c>
      <c r="T4212" t="s">
        <v>163</v>
      </c>
      <c r="U4212">
        <v>4.0826026716059456E-3</v>
      </c>
      <c r="V4212" t="s">
        <v>162</v>
      </c>
    </row>
    <row r="4213" spans="9:22" x14ac:dyDescent="0.45">
      <c r="I4213" t="s">
        <v>270</v>
      </c>
      <c r="J4213" t="s">
        <v>164</v>
      </c>
      <c r="K4213">
        <v>1.2663364090674074E-2</v>
      </c>
      <c r="L4213" t="s">
        <v>162</v>
      </c>
      <c r="N4213" t="s">
        <v>382</v>
      </c>
      <c r="O4213" t="s">
        <v>164</v>
      </c>
      <c r="P4213">
        <v>7.6012395304996877E-3</v>
      </c>
      <c r="Q4213" t="s">
        <v>162</v>
      </c>
      <c r="S4213" t="s">
        <v>494</v>
      </c>
      <c r="T4213" t="s">
        <v>164</v>
      </c>
      <c r="U4213">
        <v>8.4056974676173877E-3</v>
      </c>
      <c r="V4213" t="s">
        <v>162</v>
      </c>
    </row>
    <row r="4214" spans="9:22" x14ac:dyDescent="0.45">
      <c r="I4214" t="s">
        <v>270</v>
      </c>
      <c r="J4214" t="s">
        <v>519</v>
      </c>
      <c r="K4214">
        <v>3.238607476144266E-2</v>
      </c>
      <c r="L4214" t="s">
        <v>162</v>
      </c>
      <c r="N4214" t="s">
        <v>382</v>
      </c>
      <c r="O4214" t="s">
        <v>519</v>
      </c>
      <c r="P4214">
        <v>1.9488378749364616E-2</v>
      </c>
      <c r="Q4214" t="s">
        <v>162</v>
      </c>
      <c r="S4214" t="s">
        <v>494</v>
      </c>
      <c r="T4214" t="s">
        <v>519</v>
      </c>
      <c r="U4214">
        <v>2.3073400212351533E-2</v>
      </c>
      <c r="V4214" t="s">
        <v>162</v>
      </c>
    </row>
    <row r="4215" spans="9:22" x14ac:dyDescent="0.45">
      <c r="I4215" t="s">
        <v>270</v>
      </c>
      <c r="J4215" t="s">
        <v>520</v>
      </c>
      <c r="K4215">
        <v>2.1586305309931873E-3</v>
      </c>
      <c r="L4215" t="s">
        <v>162</v>
      </c>
      <c r="N4215" t="s">
        <v>382</v>
      </c>
      <c r="O4215" t="s">
        <v>520</v>
      </c>
      <c r="P4215">
        <v>4.3586311034290986E-3</v>
      </c>
      <c r="Q4215" t="s">
        <v>162</v>
      </c>
      <c r="S4215" t="s">
        <v>494</v>
      </c>
      <c r="T4215" t="s">
        <v>520</v>
      </c>
      <c r="U4215">
        <v>4.7748308080947533E-3</v>
      </c>
      <c r="V4215" t="s">
        <v>162</v>
      </c>
    </row>
    <row r="4216" spans="9:22" x14ac:dyDescent="0.45">
      <c r="I4216" t="s">
        <v>270</v>
      </c>
      <c r="J4216" t="s">
        <v>521</v>
      </c>
      <c r="K4216">
        <v>0</v>
      </c>
      <c r="L4216" t="s">
        <v>162</v>
      </c>
      <c r="N4216" t="s">
        <v>382</v>
      </c>
      <c r="O4216" t="s">
        <v>521</v>
      </c>
      <c r="P4216">
        <v>2.6719058423362127E-2</v>
      </c>
      <c r="Q4216" t="s">
        <v>162</v>
      </c>
      <c r="S4216" t="s">
        <v>494</v>
      </c>
      <c r="T4216" t="s">
        <v>521</v>
      </c>
      <c r="U4216">
        <v>2.8697497009184239E-2</v>
      </c>
      <c r="V4216" t="s">
        <v>162</v>
      </c>
    </row>
    <row r="4217" spans="9:22" x14ac:dyDescent="0.45">
      <c r="I4217" t="s">
        <v>270</v>
      </c>
      <c r="J4217" t="s">
        <v>165</v>
      </c>
      <c r="K4217">
        <v>8.0793186755803575E-3</v>
      </c>
      <c r="L4217" t="s">
        <v>162</v>
      </c>
      <c r="N4217" t="s">
        <v>382</v>
      </c>
      <c r="O4217" t="s">
        <v>165</v>
      </c>
      <c r="P4217">
        <v>6.508170980573863E-2</v>
      </c>
      <c r="Q4217" t="s">
        <v>162</v>
      </c>
      <c r="S4217" t="s">
        <v>494</v>
      </c>
      <c r="T4217" t="s">
        <v>165</v>
      </c>
      <c r="U4217">
        <v>6.0664319112391916E-2</v>
      </c>
      <c r="V4217" t="s">
        <v>162</v>
      </c>
    </row>
    <row r="4218" spans="9:22" x14ac:dyDescent="0.45">
      <c r="I4218" t="s">
        <v>270</v>
      </c>
      <c r="J4218" t="s">
        <v>166</v>
      </c>
      <c r="K4218">
        <v>1.2110719548804993E-2</v>
      </c>
      <c r="L4218" t="s">
        <v>162</v>
      </c>
      <c r="N4218" t="s">
        <v>382</v>
      </c>
      <c r="O4218" t="s">
        <v>166</v>
      </c>
      <c r="P4218">
        <v>5.9595091358449698E-3</v>
      </c>
      <c r="Q4218" t="s">
        <v>162</v>
      </c>
      <c r="S4218" t="s">
        <v>494</v>
      </c>
      <c r="T4218" t="s">
        <v>166</v>
      </c>
      <c r="U4218">
        <v>7.3015173085758103E-3</v>
      </c>
      <c r="V4218" t="s">
        <v>162</v>
      </c>
    </row>
    <row r="4219" spans="9:22" x14ac:dyDescent="0.45">
      <c r="I4219" t="s">
        <v>270</v>
      </c>
      <c r="J4219" t="s">
        <v>167</v>
      </c>
      <c r="K4219">
        <v>3.5136473158657741E-2</v>
      </c>
      <c r="L4219" t="s">
        <v>162</v>
      </c>
      <c r="N4219" t="s">
        <v>382</v>
      </c>
      <c r="O4219" t="s">
        <v>167</v>
      </c>
      <c r="P4219">
        <v>1.091508253583038E-2</v>
      </c>
      <c r="Q4219" t="s">
        <v>162</v>
      </c>
      <c r="S4219" t="s">
        <v>494</v>
      </c>
      <c r="T4219" t="s">
        <v>167</v>
      </c>
      <c r="U4219">
        <v>1.4824836457872265E-2</v>
      </c>
      <c r="V4219" t="s">
        <v>162</v>
      </c>
    </row>
    <row r="4220" spans="9:22" x14ac:dyDescent="0.45">
      <c r="I4220" t="s">
        <v>270</v>
      </c>
      <c r="J4220" t="s">
        <v>522</v>
      </c>
      <c r="K4220">
        <v>8.4876682782325144E-2</v>
      </c>
      <c r="L4220" t="s">
        <v>162</v>
      </c>
      <c r="N4220" t="s">
        <v>382</v>
      </c>
      <c r="O4220" t="s">
        <v>522</v>
      </c>
      <c r="P4220">
        <v>2.9351976176381963E-2</v>
      </c>
      <c r="Q4220" t="s">
        <v>162</v>
      </c>
      <c r="S4220" t="s">
        <v>494</v>
      </c>
      <c r="T4220" t="s">
        <v>522</v>
      </c>
      <c r="U4220">
        <v>3.6848760871447755E-2</v>
      </c>
      <c r="V4220" t="s">
        <v>162</v>
      </c>
    </row>
    <row r="4221" spans="9:22" x14ac:dyDescent="0.45">
      <c r="I4221" t="s">
        <v>270</v>
      </c>
      <c r="J4221" t="s">
        <v>523</v>
      </c>
      <c r="K4221">
        <v>1.0091337418459542E-2</v>
      </c>
      <c r="L4221" t="s">
        <v>162</v>
      </c>
      <c r="N4221" t="s">
        <v>382</v>
      </c>
      <c r="O4221" t="s">
        <v>523</v>
      </c>
      <c r="P4221">
        <v>6.8748293837021376E-3</v>
      </c>
      <c r="Q4221" t="s">
        <v>162</v>
      </c>
      <c r="S4221" t="s">
        <v>494</v>
      </c>
      <c r="T4221" t="s">
        <v>523</v>
      </c>
      <c r="U4221">
        <v>7.36303000879804E-3</v>
      </c>
      <c r="V4221" t="s">
        <v>162</v>
      </c>
    </row>
    <row r="4222" spans="9:22" x14ac:dyDescent="0.45">
      <c r="I4222" t="s">
        <v>270</v>
      </c>
      <c r="J4222" t="s">
        <v>524</v>
      </c>
      <c r="K4222">
        <v>3.9567496652138249E-3</v>
      </c>
      <c r="L4222" t="s">
        <v>162</v>
      </c>
      <c r="N4222" t="s">
        <v>382</v>
      </c>
      <c r="O4222" t="s">
        <v>524</v>
      </c>
      <c r="P4222">
        <v>4.9411750021596097E-2</v>
      </c>
      <c r="Q4222" t="s">
        <v>162</v>
      </c>
      <c r="S4222" t="s">
        <v>494</v>
      </c>
      <c r="T4222" t="s">
        <v>524</v>
      </c>
      <c r="U4222">
        <v>4.1594953072056511E-2</v>
      </c>
      <c r="V4222" t="s">
        <v>162</v>
      </c>
    </row>
    <row r="4223" spans="9:22" x14ac:dyDescent="0.45">
      <c r="I4223" t="s">
        <v>270</v>
      </c>
      <c r="J4223" t="s">
        <v>168</v>
      </c>
      <c r="K4223">
        <v>1.3043287457788346E-2</v>
      </c>
      <c r="L4223" t="s">
        <v>162</v>
      </c>
      <c r="N4223" t="s">
        <v>382</v>
      </c>
      <c r="O4223" t="s">
        <v>168</v>
      </c>
      <c r="P4223">
        <v>3.8129190758550834E-2</v>
      </c>
      <c r="Q4223" t="s">
        <v>162</v>
      </c>
      <c r="S4223" t="s">
        <v>494</v>
      </c>
      <c r="T4223" t="s">
        <v>168</v>
      </c>
      <c r="U4223">
        <v>3.1300448541777652E-2</v>
      </c>
      <c r="V4223" t="s">
        <v>162</v>
      </c>
    </row>
    <row r="4224" spans="9:22" x14ac:dyDescent="0.45">
      <c r="I4224" t="s">
        <v>270</v>
      </c>
      <c r="J4224" t="s">
        <v>169</v>
      </c>
      <c r="K4224">
        <v>8.9341913892857193E-3</v>
      </c>
      <c r="L4224" t="s">
        <v>162</v>
      </c>
      <c r="N4224" t="s">
        <v>382</v>
      </c>
      <c r="O4224" t="s">
        <v>169</v>
      </c>
      <c r="P4224">
        <v>3.9122236045475633E-3</v>
      </c>
      <c r="Q4224" t="s">
        <v>162</v>
      </c>
      <c r="S4224" t="s">
        <v>494</v>
      </c>
      <c r="T4224" t="s">
        <v>169</v>
      </c>
      <c r="U4224">
        <v>3.6528987485531543E-3</v>
      </c>
      <c r="V4224" t="s">
        <v>162</v>
      </c>
    </row>
    <row r="4225" spans="9:22" x14ac:dyDescent="0.45">
      <c r="I4225" t="s">
        <v>270</v>
      </c>
      <c r="J4225" t="s">
        <v>170</v>
      </c>
      <c r="K4225">
        <v>2.1475486458563068E-2</v>
      </c>
      <c r="L4225" t="s">
        <v>162</v>
      </c>
      <c r="N4225" t="s">
        <v>382</v>
      </c>
      <c r="O4225" t="s">
        <v>170</v>
      </c>
      <c r="P4225">
        <v>8.2123225212081177E-3</v>
      </c>
      <c r="Q4225" t="s">
        <v>162</v>
      </c>
      <c r="S4225" t="s">
        <v>494</v>
      </c>
      <c r="T4225" t="s">
        <v>170</v>
      </c>
      <c r="U4225">
        <v>7.4345448582427733E-3</v>
      </c>
      <c r="V4225" t="s">
        <v>162</v>
      </c>
    </row>
    <row r="4226" spans="9:22" x14ac:dyDescent="0.45">
      <c r="I4226" t="s">
        <v>270</v>
      </c>
      <c r="J4226" t="s">
        <v>525</v>
      </c>
      <c r="K4226">
        <v>5.1214942911270898E-2</v>
      </c>
      <c r="L4226" t="s">
        <v>162</v>
      </c>
      <c r="N4226" t="s">
        <v>382</v>
      </c>
      <c r="O4226" t="s">
        <v>525</v>
      </c>
      <c r="P4226">
        <v>2.2190992356816534E-2</v>
      </c>
      <c r="Q4226" t="s">
        <v>162</v>
      </c>
      <c r="S4226" t="s">
        <v>494</v>
      </c>
      <c r="T4226" t="s">
        <v>525</v>
      </c>
      <c r="U4226">
        <v>1.8715034287188743E-2</v>
      </c>
      <c r="V4226" t="s">
        <v>162</v>
      </c>
    </row>
    <row r="4227" spans="9:22" x14ac:dyDescent="0.45">
      <c r="I4227" t="s">
        <v>270</v>
      </c>
      <c r="J4227" t="s">
        <v>526</v>
      </c>
      <c r="K4227">
        <v>6.8136472095750075E-3</v>
      </c>
      <c r="L4227" t="s">
        <v>162</v>
      </c>
      <c r="N4227" t="s">
        <v>382</v>
      </c>
      <c r="O4227" t="s">
        <v>526</v>
      </c>
      <c r="P4227">
        <v>4.0171992187708686E-3</v>
      </c>
      <c r="Q4227" t="s">
        <v>162</v>
      </c>
      <c r="S4227" t="s">
        <v>494</v>
      </c>
      <c r="T4227" t="s">
        <v>526</v>
      </c>
      <c r="U4227">
        <v>3.6502026572682645E-3</v>
      </c>
      <c r="V4227" t="s">
        <v>162</v>
      </c>
    </row>
    <row r="4228" spans="9:22" x14ac:dyDescent="0.45">
      <c r="I4228" t="s">
        <v>270</v>
      </c>
      <c r="J4228" t="s">
        <v>527</v>
      </c>
      <c r="K4228">
        <v>7.1279241875506381E-3</v>
      </c>
      <c r="L4228" t="s">
        <v>162</v>
      </c>
      <c r="N4228" t="s">
        <v>382</v>
      </c>
      <c r="O4228" t="s">
        <v>527</v>
      </c>
      <c r="P4228">
        <v>2.6983957140287538E-2</v>
      </c>
      <c r="Q4228" t="s">
        <v>162</v>
      </c>
      <c r="S4228" t="s">
        <v>494</v>
      </c>
      <c r="T4228" t="s">
        <v>527</v>
      </c>
      <c r="U4228">
        <v>2.1030580384761501E-2</v>
      </c>
      <c r="V4228" t="s">
        <v>162</v>
      </c>
    </row>
    <row r="4229" spans="9:22" x14ac:dyDescent="0.45">
      <c r="I4229" t="s">
        <v>270</v>
      </c>
      <c r="J4229" t="s">
        <v>528</v>
      </c>
      <c r="K4229">
        <v>6.2440207070394993E-2</v>
      </c>
      <c r="L4229" t="s">
        <v>162</v>
      </c>
      <c r="N4229" t="s">
        <v>382</v>
      </c>
      <c r="O4229" t="s">
        <v>528</v>
      </c>
      <c r="P4229">
        <v>6.9914983037827214E-2</v>
      </c>
      <c r="Q4229" t="s">
        <v>162</v>
      </c>
      <c r="S4229" t="s">
        <v>494</v>
      </c>
      <c r="T4229" t="s">
        <v>528</v>
      </c>
      <c r="U4229">
        <v>8.5936485534555976E-2</v>
      </c>
      <c r="V4229" t="s">
        <v>162</v>
      </c>
    </row>
    <row r="4230" spans="9:22" x14ac:dyDescent="0.45">
      <c r="I4230" t="s">
        <v>270</v>
      </c>
      <c r="J4230" t="s">
        <v>529</v>
      </c>
      <c r="K4230">
        <v>3.0748942434552333E-2</v>
      </c>
      <c r="L4230" t="s">
        <v>162</v>
      </c>
      <c r="N4230" t="s">
        <v>382</v>
      </c>
      <c r="O4230" t="s">
        <v>529</v>
      </c>
      <c r="P4230">
        <v>6.9121771541583313E-3</v>
      </c>
      <c r="Q4230" t="s">
        <v>162</v>
      </c>
      <c r="S4230" t="s">
        <v>494</v>
      </c>
      <c r="T4230" t="s">
        <v>529</v>
      </c>
      <c r="U4230">
        <v>9.2342249369705438E-3</v>
      </c>
      <c r="V4230" t="s">
        <v>162</v>
      </c>
    </row>
    <row r="4231" spans="9:22" x14ac:dyDescent="0.45">
      <c r="I4231" t="s">
        <v>270</v>
      </c>
      <c r="J4231" t="s">
        <v>530</v>
      </c>
      <c r="K4231">
        <v>6.6724781526202828E-2</v>
      </c>
      <c r="L4231" t="s">
        <v>162</v>
      </c>
      <c r="N4231" t="s">
        <v>382</v>
      </c>
      <c r="O4231" t="s">
        <v>530</v>
      </c>
      <c r="P4231">
        <v>1.4759806047924859E-2</v>
      </c>
      <c r="Q4231" t="s">
        <v>162</v>
      </c>
      <c r="S4231" t="s">
        <v>494</v>
      </c>
      <c r="T4231" t="s">
        <v>530</v>
      </c>
      <c r="U4231">
        <v>1.8638640935563045E-2</v>
      </c>
      <c r="V4231" t="s">
        <v>162</v>
      </c>
    </row>
    <row r="4232" spans="9:22" x14ac:dyDescent="0.45">
      <c r="I4232" t="s">
        <v>270</v>
      </c>
      <c r="J4232" t="s">
        <v>531</v>
      </c>
      <c r="K4232">
        <v>0.15331130186347322</v>
      </c>
      <c r="L4232" t="s">
        <v>162</v>
      </c>
      <c r="N4232" t="s">
        <v>382</v>
      </c>
      <c r="O4232" t="s">
        <v>531</v>
      </c>
      <c r="P4232">
        <v>4.2714524145288126E-2</v>
      </c>
      <c r="Q4232" t="s">
        <v>162</v>
      </c>
      <c r="S4232" t="s">
        <v>494</v>
      </c>
      <c r="T4232" t="s">
        <v>531</v>
      </c>
      <c r="U4232">
        <v>4.8630049373023801E-2</v>
      </c>
      <c r="V4232" t="s">
        <v>162</v>
      </c>
    </row>
    <row r="4233" spans="9:22" x14ac:dyDescent="0.45">
      <c r="I4233" t="s">
        <v>270</v>
      </c>
      <c r="J4233" t="s">
        <v>532</v>
      </c>
      <c r="K4233">
        <v>2.245091616832166E-2</v>
      </c>
      <c r="L4233" t="s">
        <v>162</v>
      </c>
      <c r="N4233" t="s">
        <v>382</v>
      </c>
      <c r="O4233" t="s">
        <v>532</v>
      </c>
      <c r="P4233">
        <v>8.1655532412420618E-3</v>
      </c>
      <c r="Q4233" t="s">
        <v>162</v>
      </c>
      <c r="S4233" t="s">
        <v>494</v>
      </c>
      <c r="T4233" t="s">
        <v>532</v>
      </c>
      <c r="U4233">
        <v>1.0064119337292675E-2</v>
      </c>
      <c r="V4233" t="s">
        <v>162</v>
      </c>
    </row>
    <row r="4234" spans="9:22" x14ac:dyDescent="0.45">
      <c r="I4234" t="s">
        <v>270</v>
      </c>
      <c r="J4234" t="s">
        <v>533</v>
      </c>
      <c r="K4234">
        <v>3.7110034930802976E-2</v>
      </c>
      <c r="L4234" t="s">
        <v>162</v>
      </c>
      <c r="N4234" t="s">
        <v>382</v>
      </c>
      <c r="O4234" t="s">
        <v>533</v>
      </c>
      <c r="P4234">
        <v>5.1731954047954921E-2</v>
      </c>
      <c r="Q4234" t="s">
        <v>162</v>
      </c>
      <c r="S4234" t="s">
        <v>494</v>
      </c>
      <c r="T4234" t="s">
        <v>533</v>
      </c>
      <c r="U4234">
        <v>5.6767635976927355E-2</v>
      </c>
      <c r="V4234" t="s">
        <v>162</v>
      </c>
    </row>
    <row r="4235" spans="9:22" x14ac:dyDescent="0.45">
      <c r="I4235" t="s">
        <v>270</v>
      </c>
      <c r="J4235" t="s">
        <v>534</v>
      </c>
      <c r="K4235">
        <v>2.93933224121442E-2</v>
      </c>
      <c r="L4235" t="s">
        <v>162</v>
      </c>
      <c r="N4235" t="s">
        <v>382</v>
      </c>
      <c r="O4235" t="s">
        <v>534</v>
      </c>
      <c r="P4235">
        <v>8.0137377436866941E-2</v>
      </c>
      <c r="Q4235" t="s">
        <v>162</v>
      </c>
      <c r="S4235" t="s">
        <v>494</v>
      </c>
      <c r="T4235" t="s">
        <v>534</v>
      </c>
      <c r="U4235">
        <v>7.8167815509353269E-2</v>
      </c>
      <c r="V4235" t="s">
        <v>162</v>
      </c>
    </row>
    <row r="4236" spans="9:22" x14ac:dyDescent="0.45">
      <c r="I4236" t="s">
        <v>270</v>
      </c>
      <c r="J4236" t="s">
        <v>535</v>
      </c>
      <c r="K4236">
        <v>2.1945406418085213E-2</v>
      </c>
      <c r="L4236" t="s">
        <v>162</v>
      </c>
      <c r="N4236" t="s">
        <v>382</v>
      </c>
      <c r="O4236" t="s">
        <v>535</v>
      </c>
      <c r="P4236">
        <v>7.6514324104661824E-3</v>
      </c>
      <c r="Q4236" t="s">
        <v>162</v>
      </c>
      <c r="S4236" t="s">
        <v>494</v>
      </c>
      <c r="T4236" t="s">
        <v>535</v>
      </c>
      <c r="U4236">
        <v>8.6587398103100694E-3</v>
      </c>
      <c r="V4236" t="s">
        <v>162</v>
      </c>
    </row>
    <row r="4237" spans="9:22" x14ac:dyDescent="0.45">
      <c r="I4237" t="s">
        <v>270</v>
      </c>
      <c r="J4237" t="s">
        <v>536</v>
      </c>
      <c r="K4237">
        <v>5.1149431020439479E-2</v>
      </c>
      <c r="L4237" t="s">
        <v>162</v>
      </c>
      <c r="N4237" t="s">
        <v>382</v>
      </c>
      <c r="O4237" t="s">
        <v>536</v>
      </c>
      <c r="P4237">
        <v>1.5936086416529611E-2</v>
      </c>
      <c r="Q4237" t="s">
        <v>162</v>
      </c>
      <c r="S4237" t="s">
        <v>494</v>
      </c>
      <c r="T4237" t="s">
        <v>536</v>
      </c>
      <c r="U4237">
        <v>1.8025069723314784E-2</v>
      </c>
      <c r="V4237" t="s">
        <v>162</v>
      </c>
    </row>
    <row r="4238" spans="9:22" x14ac:dyDescent="0.45">
      <c r="I4238" t="s">
        <v>270</v>
      </c>
      <c r="J4238" t="s">
        <v>537</v>
      </c>
      <c r="K4238">
        <v>0.11651901016840183</v>
      </c>
      <c r="L4238" t="s">
        <v>162</v>
      </c>
      <c r="N4238" t="s">
        <v>382</v>
      </c>
      <c r="O4238" t="s">
        <v>537</v>
      </c>
      <c r="P4238">
        <v>4.6950538974391373E-2</v>
      </c>
      <c r="Q4238" t="s">
        <v>162</v>
      </c>
      <c r="S4238" t="s">
        <v>494</v>
      </c>
      <c r="T4238" t="s">
        <v>537</v>
      </c>
      <c r="U4238">
        <v>4.7404618478125542E-2</v>
      </c>
      <c r="V4238" t="s">
        <v>162</v>
      </c>
    </row>
    <row r="4239" spans="9:22" x14ac:dyDescent="0.45">
      <c r="I4239" t="s">
        <v>270</v>
      </c>
      <c r="J4239" t="s">
        <v>538</v>
      </c>
      <c r="K4239">
        <v>1.6447758965927522E-2</v>
      </c>
      <c r="L4239" t="s">
        <v>162</v>
      </c>
      <c r="N4239" t="s">
        <v>382</v>
      </c>
      <c r="O4239" t="s">
        <v>538</v>
      </c>
      <c r="P4239">
        <v>9.7142665857727351E-3</v>
      </c>
      <c r="Q4239" t="s">
        <v>162</v>
      </c>
      <c r="S4239" t="s">
        <v>494</v>
      </c>
      <c r="T4239" t="s">
        <v>538</v>
      </c>
      <c r="U4239">
        <v>9.6175878303450518E-3</v>
      </c>
      <c r="V4239" t="s">
        <v>162</v>
      </c>
    </row>
    <row r="4240" spans="9:22" x14ac:dyDescent="0.45">
      <c r="I4240" t="s">
        <v>270</v>
      </c>
      <c r="J4240" t="s">
        <v>539</v>
      </c>
      <c r="K4240">
        <v>1.4443721445344561E-2</v>
      </c>
      <c r="L4240" t="s">
        <v>162</v>
      </c>
      <c r="N4240" t="s">
        <v>382</v>
      </c>
      <c r="O4240" t="s">
        <v>539</v>
      </c>
      <c r="P4240">
        <v>6.2403898609049886E-2</v>
      </c>
      <c r="Q4240" t="s">
        <v>162</v>
      </c>
      <c r="S4240" t="s">
        <v>494</v>
      </c>
      <c r="T4240" t="s">
        <v>539</v>
      </c>
      <c r="U4240">
        <v>5.5073402791230339E-2</v>
      </c>
      <c r="V4240" t="s">
        <v>162</v>
      </c>
    </row>
    <row r="4241" spans="9:22" x14ac:dyDescent="0.45">
      <c r="I4241" t="s">
        <v>270</v>
      </c>
      <c r="J4241" t="s">
        <v>540</v>
      </c>
      <c r="K4241">
        <v>9.9744754691247933E-4</v>
      </c>
      <c r="L4241" t="s">
        <v>162</v>
      </c>
      <c r="N4241" t="s">
        <v>382</v>
      </c>
      <c r="O4241" t="s">
        <v>540</v>
      </c>
      <c r="P4241">
        <v>4.9606320058693809E-2</v>
      </c>
      <c r="Q4241" t="s">
        <v>162</v>
      </c>
      <c r="S4241" t="s">
        <v>494</v>
      </c>
      <c r="T4241" t="s">
        <v>540</v>
      </c>
      <c r="U4241">
        <v>3.3914473906847466E-2</v>
      </c>
      <c r="V4241" t="s">
        <v>162</v>
      </c>
    </row>
    <row r="4242" spans="9:22" x14ac:dyDescent="0.45">
      <c r="I4242" t="s">
        <v>270</v>
      </c>
      <c r="J4242" t="s">
        <v>541</v>
      </c>
      <c r="K4242">
        <v>2.5416729707103563E-3</v>
      </c>
      <c r="L4242" t="s">
        <v>162</v>
      </c>
      <c r="N4242" t="s">
        <v>382</v>
      </c>
      <c r="O4242" t="s">
        <v>541</v>
      </c>
      <c r="P4242">
        <v>5.5317903348543907E-3</v>
      </c>
      <c r="Q4242" t="s">
        <v>162</v>
      </c>
      <c r="S4242" t="s">
        <v>494</v>
      </c>
      <c r="T4242" t="s">
        <v>541</v>
      </c>
      <c r="U4242">
        <v>3.452051032658911E-3</v>
      </c>
      <c r="V4242" t="s">
        <v>162</v>
      </c>
    </row>
    <row r="4243" spans="9:22" x14ac:dyDescent="0.45">
      <c r="I4243" t="s">
        <v>270</v>
      </c>
      <c r="J4243" t="s">
        <v>542</v>
      </c>
      <c r="K4243">
        <v>8.0093970258084853E-3</v>
      </c>
      <c r="L4243" t="s">
        <v>162</v>
      </c>
      <c r="N4243" t="s">
        <v>382</v>
      </c>
      <c r="O4243" t="s">
        <v>542</v>
      </c>
      <c r="P4243">
        <v>1.0555958325347189E-2</v>
      </c>
      <c r="Q4243" t="s">
        <v>162</v>
      </c>
      <c r="S4243" t="s">
        <v>494</v>
      </c>
      <c r="T4243" t="s">
        <v>542</v>
      </c>
      <c r="U4243">
        <v>7.0128357493808996E-3</v>
      </c>
      <c r="V4243" t="s">
        <v>162</v>
      </c>
    </row>
    <row r="4244" spans="9:22" x14ac:dyDescent="0.45">
      <c r="I4244" t="s">
        <v>270</v>
      </c>
      <c r="J4244" t="s">
        <v>543</v>
      </c>
      <c r="K4244">
        <v>1.7149985715891974E-2</v>
      </c>
      <c r="L4244" t="s">
        <v>162</v>
      </c>
      <c r="N4244" t="s">
        <v>382</v>
      </c>
      <c r="O4244" t="s">
        <v>543</v>
      </c>
      <c r="P4244">
        <v>2.3746062739619361E-2</v>
      </c>
      <c r="Q4244" t="s">
        <v>162</v>
      </c>
      <c r="S4244" t="s">
        <v>494</v>
      </c>
      <c r="T4244" t="s">
        <v>543</v>
      </c>
      <c r="U4244">
        <v>1.9279711039667025E-2</v>
      </c>
      <c r="V4244" t="s">
        <v>162</v>
      </c>
    </row>
    <row r="4245" spans="9:22" x14ac:dyDescent="0.45">
      <c r="I4245" t="s">
        <v>270</v>
      </c>
      <c r="J4245" t="s">
        <v>544</v>
      </c>
      <c r="K4245">
        <v>2.4509027251834139E-4</v>
      </c>
      <c r="L4245" t="s">
        <v>162</v>
      </c>
      <c r="N4245" t="s">
        <v>382</v>
      </c>
      <c r="O4245" t="s">
        <v>544</v>
      </c>
      <c r="P4245">
        <v>4.327036257074768E-3</v>
      </c>
      <c r="Q4245" t="s">
        <v>162</v>
      </c>
      <c r="S4245" t="s">
        <v>494</v>
      </c>
      <c r="T4245" t="s">
        <v>544</v>
      </c>
      <c r="U4245">
        <v>4.0351149744542606E-3</v>
      </c>
      <c r="V4245" t="s">
        <v>162</v>
      </c>
    </row>
    <row r="4246" spans="9:22" x14ac:dyDescent="0.45">
      <c r="I4246" t="s">
        <v>270</v>
      </c>
      <c r="J4246" t="s">
        <v>545</v>
      </c>
      <c r="K4246">
        <v>0</v>
      </c>
      <c r="L4246" t="s">
        <v>162</v>
      </c>
      <c r="N4246" t="s">
        <v>382</v>
      </c>
      <c r="O4246" t="s">
        <v>545</v>
      </c>
      <c r="P4246">
        <v>2.8859382456794706E-2</v>
      </c>
      <c r="Q4246" t="s">
        <v>162</v>
      </c>
      <c r="S4246" t="s">
        <v>494</v>
      </c>
      <c r="T4246" t="s">
        <v>545</v>
      </c>
      <c r="U4246">
        <v>2.4010352182538865E-2</v>
      </c>
      <c r="V4246" t="s">
        <v>162</v>
      </c>
    </row>
    <row r="4247" spans="9:22" x14ac:dyDescent="0.45">
      <c r="I4247" t="s">
        <v>270</v>
      </c>
      <c r="J4247" t="s">
        <v>546</v>
      </c>
      <c r="K4247">
        <v>0</v>
      </c>
      <c r="L4247" t="s">
        <v>162</v>
      </c>
      <c r="N4247" t="s">
        <v>382</v>
      </c>
      <c r="O4247" t="s">
        <v>546</v>
      </c>
      <c r="P4247">
        <v>3.4892561437071708E-2</v>
      </c>
      <c r="Q4247" t="s">
        <v>162</v>
      </c>
      <c r="S4247" t="s">
        <v>494</v>
      </c>
      <c r="T4247" t="s">
        <v>546</v>
      </c>
      <c r="U4247">
        <v>3.9262586725493882E-2</v>
      </c>
      <c r="V4247" t="s">
        <v>162</v>
      </c>
    </row>
    <row r="4248" spans="9:22" x14ac:dyDescent="0.45">
      <c r="I4248" t="s">
        <v>270</v>
      </c>
      <c r="J4248" t="s">
        <v>547</v>
      </c>
      <c r="K4248">
        <v>2.3929598233041068E-3</v>
      </c>
      <c r="L4248" t="s">
        <v>162</v>
      </c>
      <c r="N4248" t="s">
        <v>382</v>
      </c>
      <c r="O4248" t="s">
        <v>547</v>
      </c>
      <c r="P4248">
        <v>3.1618843431620979E-3</v>
      </c>
      <c r="Q4248" t="s">
        <v>162</v>
      </c>
      <c r="S4248" t="s">
        <v>494</v>
      </c>
      <c r="T4248" t="s">
        <v>547</v>
      </c>
      <c r="U4248">
        <v>3.9946192800050439E-3</v>
      </c>
      <c r="V4248" t="s">
        <v>162</v>
      </c>
    </row>
    <row r="4249" spans="9:22" x14ac:dyDescent="0.45">
      <c r="I4249" t="s">
        <v>270</v>
      </c>
      <c r="J4249" t="s">
        <v>548</v>
      </c>
      <c r="K4249">
        <v>9.781511162522117E-3</v>
      </c>
      <c r="L4249" t="s">
        <v>162</v>
      </c>
      <c r="N4249" t="s">
        <v>382</v>
      </c>
      <c r="O4249" t="s">
        <v>548</v>
      </c>
      <c r="P4249">
        <v>5.6454129963865573E-3</v>
      </c>
      <c r="Q4249" t="s">
        <v>162</v>
      </c>
      <c r="S4249" t="s">
        <v>494</v>
      </c>
      <c r="T4249" t="s">
        <v>548</v>
      </c>
      <c r="U4249">
        <v>7.6935782938423137E-3</v>
      </c>
      <c r="V4249" t="s">
        <v>162</v>
      </c>
    </row>
    <row r="4250" spans="9:22" x14ac:dyDescent="0.45">
      <c r="I4250" t="s">
        <v>270</v>
      </c>
      <c r="J4250" t="s">
        <v>549</v>
      </c>
      <c r="K4250">
        <v>2.2628996443891627E-2</v>
      </c>
      <c r="L4250" t="s">
        <v>162</v>
      </c>
      <c r="N4250" t="s">
        <v>382</v>
      </c>
      <c r="O4250" t="s">
        <v>549</v>
      </c>
      <c r="P4250">
        <v>1.5521786468762936E-2</v>
      </c>
      <c r="Q4250" t="s">
        <v>162</v>
      </c>
      <c r="S4250" t="s">
        <v>494</v>
      </c>
      <c r="T4250" t="s">
        <v>549</v>
      </c>
      <c r="U4250">
        <v>1.8830466210100955E-2</v>
      </c>
      <c r="V4250" t="s">
        <v>162</v>
      </c>
    </row>
    <row r="4251" spans="9:22" x14ac:dyDescent="0.45">
      <c r="I4251" t="s">
        <v>270</v>
      </c>
      <c r="J4251" t="s">
        <v>550</v>
      </c>
      <c r="K4251">
        <v>0</v>
      </c>
      <c r="L4251" t="s">
        <v>162</v>
      </c>
      <c r="N4251" t="s">
        <v>382</v>
      </c>
      <c r="O4251" t="s">
        <v>550</v>
      </c>
      <c r="P4251">
        <v>3.8259923956362853E-3</v>
      </c>
      <c r="Q4251" t="s">
        <v>162</v>
      </c>
      <c r="S4251" t="s">
        <v>494</v>
      </c>
      <c r="T4251" t="s">
        <v>550</v>
      </c>
      <c r="U4251">
        <v>3.8420308843226704E-3</v>
      </c>
      <c r="V4251" t="s">
        <v>162</v>
      </c>
    </row>
    <row r="4252" spans="9:22" x14ac:dyDescent="0.45">
      <c r="I4252" t="s">
        <v>270</v>
      </c>
      <c r="J4252" t="s">
        <v>551</v>
      </c>
      <c r="K4252">
        <v>0</v>
      </c>
      <c r="L4252" t="s">
        <v>162</v>
      </c>
      <c r="N4252" t="s">
        <v>382</v>
      </c>
      <c r="O4252" t="s">
        <v>551</v>
      </c>
      <c r="P4252">
        <v>2.6528762908236764E-2</v>
      </c>
      <c r="Q4252" t="s">
        <v>162</v>
      </c>
      <c r="S4252" t="s">
        <v>494</v>
      </c>
      <c r="T4252" t="s">
        <v>551</v>
      </c>
      <c r="U4252">
        <v>2.5944463210739045E-2</v>
      </c>
      <c r="V4252" t="s">
        <v>162</v>
      </c>
    </row>
    <row r="4253" spans="9:22" x14ac:dyDescent="0.45">
      <c r="I4253" t="s">
        <v>271</v>
      </c>
      <c r="J4253" t="s">
        <v>161</v>
      </c>
      <c r="K4253">
        <v>8.1076243990667676E-4</v>
      </c>
      <c r="L4253" t="s">
        <v>162</v>
      </c>
      <c r="N4253" t="s">
        <v>383</v>
      </c>
      <c r="O4253" t="s">
        <v>161</v>
      </c>
      <c r="P4253">
        <v>3.8190559568719057E-2</v>
      </c>
      <c r="Q4253" t="s">
        <v>162</v>
      </c>
      <c r="S4253" t="s">
        <v>495</v>
      </c>
      <c r="T4253" t="s">
        <v>161</v>
      </c>
      <c r="U4253">
        <v>3.7521130628182735E-2</v>
      </c>
      <c r="V4253" t="s">
        <v>162</v>
      </c>
    </row>
    <row r="4254" spans="9:22" x14ac:dyDescent="0.45">
      <c r="I4254" t="s">
        <v>271</v>
      </c>
      <c r="J4254" t="s">
        <v>163</v>
      </c>
      <c r="K4254">
        <v>4.9906053106989956E-3</v>
      </c>
      <c r="L4254" t="s">
        <v>162</v>
      </c>
      <c r="N4254" t="s">
        <v>383</v>
      </c>
      <c r="O4254" t="s">
        <v>163</v>
      </c>
      <c r="P4254">
        <v>4.0033258776242912E-3</v>
      </c>
      <c r="Q4254" t="s">
        <v>162</v>
      </c>
      <c r="S4254" t="s">
        <v>495</v>
      </c>
      <c r="T4254" t="s">
        <v>163</v>
      </c>
      <c r="U4254">
        <v>4.4556450589557442E-3</v>
      </c>
      <c r="V4254" t="s">
        <v>162</v>
      </c>
    </row>
    <row r="4255" spans="9:22" x14ac:dyDescent="0.45">
      <c r="I4255" t="s">
        <v>271</v>
      </c>
      <c r="J4255" t="s">
        <v>164</v>
      </c>
      <c r="K4255">
        <v>1.4934134153659455E-2</v>
      </c>
      <c r="L4255" t="s">
        <v>162</v>
      </c>
      <c r="N4255" t="s">
        <v>383</v>
      </c>
      <c r="O4255" t="s">
        <v>164</v>
      </c>
      <c r="P4255">
        <v>7.5747662021144668E-3</v>
      </c>
      <c r="Q4255" t="s">
        <v>162</v>
      </c>
      <c r="S4255" t="s">
        <v>495</v>
      </c>
      <c r="T4255" t="s">
        <v>164</v>
      </c>
      <c r="U4255">
        <v>8.9951378046459387E-3</v>
      </c>
      <c r="V4255" t="s">
        <v>162</v>
      </c>
    </row>
    <row r="4256" spans="9:22" x14ac:dyDescent="0.45">
      <c r="I4256" t="s">
        <v>271</v>
      </c>
      <c r="J4256" t="s">
        <v>519</v>
      </c>
      <c r="K4256">
        <v>3.3041910245143406E-2</v>
      </c>
      <c r="L4256" t="s">
        <v>162</v>
      </c>
      <c r="N4256" t="s">
        <v>383</v>
      </c>
      <c r="O4256" t="s">
        <v>519</v>
      </c>
      <c r="P4256">
        <v>1.8239414490567114E-2</v>
      </c>
      <c r="Q4256" t="s">
        <v>162</v>
      </c>
      <c r="S4256" t="s">
        <v>495</v>
      </c>
      <c r="T4256" t="s">
        <v>519</v>
      </c>
      <c r="U4256">
        <v>2.3768324792243892E-2</v>
      </c>
      <c r="V4256" t="s">
        <v>162</v>
      </c>
    </row>
    <row r="4257" spans="9:22" x14ac:dyDescent="0.45">
      <c r="I4257" t="s">
        <v>271</v>
      </c>
      <c r="J4257" t="s">
        <v>520</v>
      </c>
      <c r="K4257">
        <v>1.0221725311421034E-3</v>
      </c>
      <c r="L4257" t="s">
        <v>162</v>
      </c>
      <c r="N4257" t="s">
        <v>383</v>
      </c>
      <c r="O4257" t="s">
        <v>520</v>
      </c>
      <c r="P4257">
        <v>4.4871728264182986E-3</v>
      </c>
      <c r="Q4257" t="s">
        <v>162</v>
      </c>
      <c r="S4257" t="s">
        <v>495</v>
      </c>
      <c r="T4257" t="s">
        <v>520</v>
      </c>
      <c r="U4257">
        <v>4.6048507271346569E-3</v>
      </c>
      <c r="V4257" t="s">
        <v>162</v>
      </c>
    </row>
    <row r="4258" spans="9:22" x14ac:dyDescent="0.45">
      <c r="I4258" t="s">
        <v>271</v>
      </c>
      <c r="J4258" t="s">
        <v>521</v>
      </c>
      <c r="K4258">
        <v>0</v>
      </c>
      <c r="L4258" t="s">
        <v>162</v>
      </c>
      <c r="N4258" t="s">
        <v>383</v>
      </c>
      <c r="O4258" t="s">
        <v>521</v>
      </c>
      <c r="P4258">
        <v>2.7840859102816463E-2</v>
      </c>
      <c r="Q4258" t="s">
        <v>162</v>
      </c>
      <c r="S4258" t="s">
        <v>495</v>
      </c>
      <c r="T4258" t="s">
        <v>521</v>
      </c>
      <c r="U4258">
        <v>2.5602425681007047E-2</v>
      </c>
      <c r="V4258" t="s">
        <v>162</v>
      </c>
    </row>
    <row r="4259" spans="9:22" x14ac:dyDescent="0.45">
      <c r="I4259" t="s">
        <v>271</v>
      </c>
      <c r="J4259" t="s">
        <v>165</v>
      </c>
      <c r="K4259">
        <v>1.3771115156825154E-2</v>
      </c>
      <c r="L4259" t="s">
        <v>162</v>
      </c>
      <c r="N4259" t="s">
        <v>383</v>
      </c>
      <c r="O4259" t="s">
        <v>165</v>
      </c>
      <c r="P4259">
        <v>5.9606690739251331E-2</v>
      </c>
      <c r="Q4259" t="s">
        <v>162</v>
      </c>
      <c r="S4259" t="s">
        <v>495</v>
      </c>
      <c r="T4259" t="s">
        <v>165</v>
      </c>
      <c r="U4259">
        <v>6.7209567300457504E-2</v>
      </c>
      <c r="V4259" t="s">
        <v>162</v>
      </c>
    </row>
    <row r="4260" spans="9:22" x14ac:dyDescent="0.45">
      <c r="I4260" t="s">
        <v>271</v>
      </c>
      <c r="J4260" t="s">
        <v>166</v>
      </c>
      <c r="K4260">
        <v>1.433735805083065E-2</v>
      </c>
      <c r="L4260" t="s">
        <v>162</v>
      </c>
      <c r="N4260" t="s">
        <v>383</v>
      </c>
      <c r="O4260" t="s">
        <v>166</v>
      </c>
      <c r="P4260">
        <v>5.3540398710368907E-3</v>
      </c>
      <c r="Q4260" t="s">
        <v>162</v>
      </c>
      <c r="S4260" t="s">
        <v>495</v>
      </c>
      <c r="T4260" t="s">
        <v>166</v>
      </c>
      <c r="U4260">
        <v>7.6520861879717092E-3</v>
      </c>
      <c r="V4260" t="s">
        <v>162</v>
      </c>
    </row>
    <row r="4261" spans="9:22" x14ac:dyDescent="0.45">
      <c r="I4261" t="s">
        <v>271</v>
      </c>
      <c r="J4261" t="s">
        <v>167</v>
      </c>
      <c r="K4261">
        <v>3.5393864462397069E-2</v>
      </c>
      <c r="L4261" t="s">
        <v>162</v>
      </c>
      <c r="N4261" t="s">
        <v>383</v>
      </c>
      <c r="O4261" t="s">
        <v>167</v>
      </c>
      <c r="P4261">
        <v>9.6278581238999055E-3</v>
      </c>
      <c r="Q4261" t="s">
        <v>162</v>
      </c>
      <c r="S4261" t="s">
        <v>495</v>
      </c>
      <c r="T4261" t="s">
        <v>167</v>
      </c>
      <c r="U4261">
        <v>1.5256938772268986E-2</v>
      </c>
      <c r="V4261" t="s">
        <v>162</v>
      </c>
    </row>
    <row r="4262" spans="9:22" x14ac:dyDescent="0.45">
      <c r="I4262" t="s">
        <v>271</v>
      </c>
      <c r="J4262" t="s">
        <v>522</v>
      </c>
      <c r="K4262">
        <v>7.7780768510330042E-2</v>
      </c>
      <c r="L4262" t="s">
        <v>162</v>
      </c>
      <c r="N4262" t="s">
        <v>383</v>
      </c>
      <c r="O4262" t="s">
        <v>522</v>
      </c>
      <c r="P4262">
        <v>2.3949510216452828E-2</v>
      </c>
      <c r="Q4262" t="s">
        <v>162</v>
      </c>
      <c r="S4262" t="s">
        <v>495</v>
      </c>
      <c r="T4262" t="s">
        <v>522</v>
      </c>
      <c r="U4262">
        <v>3.7195550286132743E-2</v>
      </c>
      <c r="V4262" t="s">
        <v>162</v>
      </c>
    </row>
    <row r="4263" spans="9:22" x14ac:dyDescent="0.45">
      <c r="I4263" t="s">
        <v>271</v>
      </c>
      <c r="J4263" t="s">
        <v>523</v>
      </c>
      <c r="K4263">
        <v>8.71539838357362E-3</v>
      </c>
      <c r="L4263" t="s">
        <v>162</v>
      </c>
      <c r="N4263" t="s">
        <v>383</v>
      </c>
      <c r="O4263" t="s">
        <v>523</v>
      </c>
      <c r="P4263">
        <v>5.3157772030851952E-3</v>
      </c>
      <c r="Q4263" t="s">
        <v>162</v>
      </c>
      <c r="S4263" t="s">
        <v>495</v>
      </c>
      <c r="T4263" t="s">
        <v>523</v>
      </c>
      <c r="U4263">
        <v>7.0073616750116674E-3</v>
      </c>
      <c r="V4263" t="s">
        <v>162</v>
      </c>
    </row>
    <row r="4264" spans="9:22" x14ac:dyDescent="0.45">
      <c r="I4264" t="s">
        <v>271</v>
      </c>
      <c r="J4264" t="s">
        <v>524</v>
      </c>
      <c r="K4264">
        <v>3.2981319164639899E-3</v>
      </c>
      <c r="L4264" t="s">
        <v>162</v>
      </c>
      <c r="N4264" t="s">
        <v>383</v>
      </c>
      <c r="O4264" t="s">
        <v>524</v>
      </c>
      <c r="P4264">
        <v>3.9928508476685297E-2</v>
      </c>
      <c r="Q4264" t="s">
        <v>162</v>
      </c>
      <c r="S4264" t="s">
        <v>495</v>
      </c>
      <c r="T4264" t="s">
        <v>524</v>
      </c>
      <c r="U4264">
        <v>4.3761652551323083E-2</v>
      </c>
      <c r="V4264" t="s">
        <v>162</v>
      </c>
    </row>
    <row r="4265" spans="9:22" x14ac:dyDescent="0.45">
      <c r="I4265" t="s">
        <v>271</v>
      </c>
      <c r="J4265" t="s">
        <v>168</v>
      </c>
      <c r="K4265">
        <v>1.6019013069513505E-2</v>
      </c>
      <c r="L4265" t="s">
        <v>162</v>
      </c>
      <c r="N4265" t="s">
        <v>383</v>
      </c>
      <c r="O4265" t="s">
        <v>168</v>
      </c>
      <c r="P4265">
        <v>3.5065359513392104E-2</v>
      </c>
      <c r="Q4265" t="s">
        <v>162</v>
      </c>
      <c r="S4265" t="s">
        <v>495</v>
      </c>
      <c r="T4265" t="s">
        <v>168</v>
      </c>
      <c r="U4265">
        <v>3.2582662449287793E-2</v>
      </c>
      <c r="V4265" t="s">
        <v>162</v>
      </c>
    </row>
    <row r="4266" spans="9:22" x14ac:dyDescent="0.45">
      <c r="I4266" t="s">
        <v>271</v>
      </c>
      <c r="J4266" t="s">
        <v>169</v>
      </c>
      <c r="K4266">
        <v>9.0689738651068049E-3</v>
      </c>
      <c r="L4266" t="s">
        <v>162</v>
      </c>
      <c r="N4266" t="s">
        <v>383</v>
      </c>
      <c r="O4266" t="s">
        <v>169</v>
      </c>
      <c r="P4266">
        <v>3.6244698286689351E-3</v>
      </c>
      <c r="Q4266" t="s">
        <v>162</v>
      </c>
      <c r="S4266" t="s">
        <v>495</v>
      </c>
      <c r="T4266" t="s">
        <v>169</v>
      </c>
      <c r="U4266">
        <v>3.4850352291559443E-3</v>
      </c>
      <c r="V4266" t="s">
        <v>162</v>
      </c>
    </row>
    <row r="4267" spans="9:22" x14ac:dyDescent="0.45">
      <c r="I4267" t="s">
        <v>271</v>
      </c>
      <c r="J4267" t="s">
        <v>170</v>
      </c>
      <c r="K4267">
        <v>2.0684050744924756E-2</v>
      </c>
      <c r="L4267" t="s">
        <v>162</v>
      </c>
      <c r="N4267" t="s">
        <v>383</v>
      </c>
      <c r="O4267" t="s">
        <v>170</v>
      </c>
      <c r="P4267">
        <v>7.7907750746702273E-3</v>
      </c>
      <c r="Q4267" t="s">
        <v>162</v>
      </c>
      <c r="S4267" t="s">
        <v>495</v>
      </c>
      <c r="T4267" t="s">
        <v>170</v>
      </c>
      <c r="U4267">
        <v>6.9458187428717783E-3</v>
      </c>
      <c r="V4267" t="s">
        <v>162</v>
      </c>
    </row>
    <row r="4268" spans="9:22" x14ac:dyDescent="0.45">
      <c r="I4268" t="s">
        <v>271</v>
      </c>
      <c r="J4268" t="s">
        <v>525</v>
      </c>
      <c r="K4268">
        <v>5.1117800850526231E-2</v>
      </c>
      <c r="L4268" t="s">
        <v>162</v>
      </c>
      <c r="N4268" t="s">
        <v>383</v>
      </c>
      <c r="O4268" t="s">
        <v>525</v>
      </c>
      <c r="P4268">
        <v>2.2376773807938104E-2</v>
      </c>
      <c r="Q4268" t="s">
        <v>162</v>
      </c>
      <c r="S4268" t="s">
        <v>495</v>
      </c>
      <c r="T4268" t="s">
        <v>525</v>
      </c>
      <c r="U4268">
        <v>1.8026392815977291E-2</v>
      </c>
      <c r="V4268" t="s">
        <v>162</v>
      </c>
    </row>
    <row r="4269" spans="9:22" x14ac:dyDescent="0.45">
      <c r="I4269" t="s">
        <v>271</v>
      </c>
      <c r="J4269" t="s">
        <v>526</v>
      </c>
      <c r="K4269">
        <v>7.4066371158706783E-3</v>
      </c>
      <c r="L4269" t="s">
        <v>162</v>
      </c>
      <c r="N4269" t="s">
        <v>383</v>
      </c>
      <c r="O4269" t="s">
        <v>526</v>
      </c>
      <c r="P4269">
        <v>4.0290536505535254E-3</v>
      </c>
      <c r="Q4269" t="s">
        <v>162</v>
      </c>
      <c r="S4269" t="s">
        <v>495</v>
      </c>
      <c r="T4269" t="s">
        <v>526</v>
      </c>
      <c r="U4269">
        <v>3.3677186797031983E-3</v>
      </c>
      <c r="V4269" t="s">
        <v>162</v>
      </c>
    </row>
    <row r="4270" spans="9:22" x14ac:dyDescent="0.45">
      <c r="I4270" t="s">
        <v>271</v>
      </c>
      <c r="J4270" t="s">
        <v>527</v>
      </c>
      <c r="K4270">
        <v>7.0470013686920515E-3</v>
      </c>
      <c r="L4270" t="s">
        <v>162</v>
      </c>
      <c r="N4270" t="s">
        <v>383</v>
      </c>
      <c r="O4270" t="s">
        <v>527</v>
      </c>
      <c r="P4270">
        <v>2.7233250677703311E-2</v>
      </c>
      <c r="Q4270" t="s">
        <v>162</v>
      </c>
      <c r="S4270" t="s">
        <v>495</v>
      </c>
      <c r="T4270" t="s">
        <v>527</v>
      </c>
      <c r="U4270">
        <v>2.0540527324199184E-2</v>
      </c>
      <c r="V4270" t="s">
        <v>162</v>
      </c>
    </row>
    <row r="4271" spans="9:22" x14ac:dyDescent="0.45">
      <c r="I4271" t="s">
        <v>271</v>
      </c>
      <c r="J4271" t="s">
        <v>528</v>
      </c>
      <c r="K4271">
        <v>5.8087033115131463E-2</v>
      </c>
      <c r="L4271" t="s">
        <v>162</v>
      </c>
      <c r="N4271" t="s">
        <v>383</v>
      </c>
      <c r="O4271" t="s">
        <v>528</v>
      </c>
      <c r="P4271">
        <v>7.1603628159923577E-2</v>
      </c>
      <c r="Q4271" t="s">
        <v>162</v>
      </c>
      <c r="S4271" t="s">
        <v>495</v>
      </c>
      <c r="T4271" t="s">
        <v>528</v>
      </c>
      <c r="U4271">
        <v>8.6619832063284427E-2</v>
      </c>
      <c r="V4271" t="s">
        <v>162</v>
      </c>
    </row>
    <row r="4272" spans="9:22" x14ac:dyDescent="0.45">
      <c r="I4272" t="s">
        <v>271</v>
      </c>
      <c r="J4272" t="s">
        <v>529</v>
      </c>
      <c r="K4272">
        <v>2.7630735335108181E-2</v>
      </c>
      <c r="L4272" t="s">
        <v>162</v>
      </c>
      <c r="N4272" t="s">
        <v>383</v>
      </c>
      <c r="O4272" t="s">
        <v>529</v>
      </c>
      <c r="P4272">
        <v>6.0919509953982435E-3</v>
      </c>
      <c r="Q4272" t="s">
        <v>162</v>
      </c>
      <c r="S4272" t="s">
        <v>495</v>
      </c>
      <c r="T4272" t="s">
        <v>529</v>
      </c>
      <c r="U4272">
        <v>8.8037875819517927E-3</v>
      </c>
      <c r="V4272" t="s">
        <v>162</v>
      </c>
    </row>
    <row r="4273" spans="9:22" x14ac:dyDescent="0.45">
      <c r="I4273" t="s">
        <v>271</v>
      </c>
      <c r="J4273" t="s">
        <v>530</v>
      </c>
      <c r="K4273">
        <v>5.9879816228149481E-2</v>
      </c>
      <c r="L4273" t="s">
        <v>162</v>
      </c>
      <c r="N4273" t="s">
        <v>383</v>
      </c>
      <c r="O4273" t="s">
        <v>530</v>
      </c>
      <c r="P4273">
        <v>1.3962927508896028E-2</v>
      </c>
      <c r="Q4273" t="s">
        <v>162</v>
      </c>
      <c r="S4273" t="s">
        <v>495</v>
      </c>
      <c r="T4273" t="s">
        <v>530</v>
      </c>
      <c r="U4273">
        <v>1.8086759695113978E-2</v>
      </c>
      <c r="V4273" t="s">
        <v>162</v>
      </c>
    </row>
    <row r="4274" spans="9:22" x14ac:dyDescent="0.45">
      <c r="I4274" t="s">
        <v>271</v>
      </c>
      <c r="J4274" t="s">
        <v>531</v>
      </c>
      <c r="K4274">
        <v>0.14075414043183754</v>
      </c>
      <c r="L4274" t="s">
        <v>162</v>
      </c>
      <c r="N4274" t="s">
        <v>383</v>
      </c>
      <c r="O4274" t="s">
        <v>531</v>
      </c>
      <c r="P4274">
        <v>4.0828285313006009E-2</v>
      </c>
      <c r="Q4274" t="s">
        <v>162</v>
      </c>
      <c r="S4274" t="s">
        <v>495</v>
      </c>
      <c r="T4274" t="s">
        <v>531</v>
      </c>
      <c r="U4274">
        <v>5.0927920736861407E-2</v>
      </c>
      <c r="V4274" t="s">
        <v>162</v>
      </c>
    </row>
    <row r="4275" spans="9:22" x14ac:dyDescent="0.45">
      <c r="I4275" t="s">
        <v>271</v>
      </c>
      <c r="J4275" t="s">
        <v>532</v>
      </c>
      <c r="K4275">
        <v>1.9953923357266042E-2</v>
      </c>
      <c r="L4275" t="s">
        <v>162</v>
      </c>
      <c r="N4275" t="s">
        <v>383</v>
      </c>
      <c r="O4275" t="s">
        <v>532</v>
      </c>
      <c r="P4275">
        <v>7.3504395790959963E-3</v>
      </c>
      <c r="Q4275" t="s">
        <v>162</v>
      </c>
      <c r="S4275" t="s">
        <v>495</v>
      </c>
      <c r="T4275" t="s">
        <v>532</v>
      </c>
      <c r="U4275">
        <v>9.6127565030140801E-3</v>
      </c>
      <c r="V4275" t="s">
        <v>162</v>
      </c>
    </row>
    <row r="4276" spans="9:22" x14ac:dyDescent="0.45">
      <c r="I4276" t="s">
        <v>271</v>
      </c>
      <c r="J4276" t="s">
        <v>533</v>
      </c>
      <c r="K4276">
        <v>2.5938994683611986E-2</v>
      </c>
      <c r="L4276" t="s">
        <v>162</v>
      </c>
      <c r="N4276" t="s">
        <v>383</v>
      </c>
      <c r="O4276" t="s">
        <v>533</v>
      </c>
      <c r="P4276">
        <v>6.0864511205499537E-2</v>
      </c>
      <c r="Q4276" t="s">
        <v>162</v>
      </c>
      <c r="S4276" t="s">
        <v>495</v>
      </c>
      <c r="T4276" t="s">
        <v>533</v>
      </c>
      <c r="U4276">
        <v>6.0011358556969367E-2</v>
      </c>
      <c r="V4276" t="s">
        <v>162</v>
      </c>
    </row>
    <row r="4277" spans="9:22" x14ac:dyDescent="0.45">
      <c r="I4277" t="s">
        <v>271</v>
      </c>
      <c r="J4277" t="s">
        <v>534</v>
      </c>
      <c r="K4277">
        <v>3.8007367666091328E-2</v>
      </c>
      <c r="L4277" t="s">
        <v>162</v>
      </c>
      <c r="N4277" t="s">
        <v>383</v>
      </c>
      <c r="O4277" t="s">
        <v>534</v>
      </c>
      <c r="P4277">
        <v>9.4476265968873069E-2</v>
      </c>
      <c r="Q4277" t="s">
        <v>162</v>
      </c>
      <c r="S4277" t="s">
        <v>495</v>
      </c>
      <c r="T4277" t="s">
        <v>534</v>
      </c>
      <c r="U4277">
        <v>7.2152303074030463E-2</v>
      </c>
      <c r="V4277" t="s">
        <v>162</v>
      </c>
    </row>
    <row r="4278" spans="9:22" x14ac:dyDescent="0.45">
      <c r="I4278" t="s">
        <v>271</v>
      </c>
      <c r="J4278" t="s">
        <v>535</v>
      </c>
      <c r="K4278">
        <v>2.5070758878557489E-2</v>
      </c>
      <c r="L4278" t="s">
        <v>162</v>
      </c>
      <c r="N4278" t="s">
        <v>383</v>
      </c>
      <c r="O4278" t="s">
        <v>535</v>
      </c>
      <c r="P4278">
        <v>9.1379505780184653E-3</v>
      </c>
      <c r="Q4278" t="s">
        <v>162</v>
      </c>
      <c r="S4278" t="s">
        <v>495</v>
      </c>
      <c r="T4278" t="s">
        <v>535</v>
      </c>
      <c r="U4278">
        <v>7.337560154354163E-3</v>
      </c>
      <c r="V4278" t="s">
        <v>162</v>
      </c>
    </row>
    <row r="4279" spans="9:22" x14ac:dyDescent="0.45">
      <c r="I4279" t="s">
        <v>271</v>
      </c>
      <c r="J4279" t="s">
        <v>536</v>
      </c>
      <c r="K4279">
        <v>5.4034301262415825E-2</v>
      </c>
      <c r="L4279" t="s">
        <v>162</v>
      </c>
      <c r="N4279" t="s">
        <v>383</v>
      </c>
      <c r="O4279" t="s">
        <v>536</v>
      </c>
      <c r="P4279">
        <v>1.8945468783156554E-2</v>
      </c>
      <c r="Q4279" t="s">
        <v>162</v>
      </c>
      <c r="S4279" t="s">
        <v>495</v>
      </c>
      <c r="T4279" t="s">
        <v>536</v>
      </c>
      <c r="U4279">
        <v>1.5317331959641601E-2</v>
      </c>
      <c r="V4279" t="s">
        <v>162</v>
      </c>
    </row>
    <row r="4280" spans="9:22" x14ac:dyDescent="0.45">
      <c r="I4280" t="s">
        <v>271</v>
      </c>
      <c r="J4280" t="s">
        <v>537</v>
      </c>
      <c r="K4280">
        <v>0.12020770925221004</v>
      </c>
      <c r="L4280" t="s">
        <v>162</v>
      </c>
      <c r="N4280" t="s">
        <v>383</v>
      </c>
      <c r="O4280" t="s">
        <v>537</v>
      </c>
      <c r="P4280">
        <v>4.908476936781242E-2</v>
      </c>
      <c r="Q4280" t="s">
        <v>162</v>
      </c>
      <c r="S4280" t="s">
        <v>495</v>
      </c>
      <c r="T4280" t="s">
        <v>537</v>
      </c>
      <c r="U4280">
        <v>4.3906905479971711E-2</v>
      </c>
      <c r="V4280" t="s">
        <v>162</v>
      </c>
    </row>
    <row r="4281" spans="9:22" x14ac:dyDescent="0.45">
      <c r="I4281" t="s">
        <v>271</v>
      </c>
      <c r="J4281" t="s">
        <v>538</v>
      </c>
      <c r="K4281">
        <v>1.5769564768826991E-2</v>
      </c>
      <c r="L4281" t="s">
        <v>162</v>
      </c>
      <c r="N4281" t="s">
        <v>383</v>
      </c>
      <c r="O4281" t="s">
        <v>538</v>
      </c>
      <c r="P4281">
        <v>9.5108011010970449E-3</v>
      </c>
      <c r="Q4281" t="s">
        <v>162</v>
      </c>
      <c r="S4281" t="s">
        <v>495</v>
      </c>
      <c r="T4281" t="s">
        <v>538</v>
      </c>
      <c r="U4281">
        <v>8.4055353381419957E-3</v>
      </c>
      <c r="V4281" t="s">
        <v>162</v>
      </c>
    </row>
    <row r="4282" spans="9:22" x14ac:dyDescent="0.45">
      <c r="I4282" t="s">
        <v>271</v>
      </c>
      <c r="J4282" t="s">
        <v>539</v>
      </c>
      <c r="K4282">
        <v>1.0661333156510688E-2</v>
      </c>
      <c r="L4282" t="s">
        <v>162</v>
      </c>
      <c r="N4282" t="s">
        <v>383</v>
      </c>
      <c r="O4282" t="s">
        <v>539</v>
      </c>
      <c r="P4282">
        <v>6.6989702094482503E-2</v>
      </c>
      <c r="Q4282" t="s">
        <v>162</v>
      </c>
      <c r="S4282" t="s">
        <v>495</v>
      </c>
      <c r="T4282" t="s">
        <v>539</v>
      </c>
      <c r="U4282">
        <v>5.2654865790256959E-2</v>
      </c>
      <c r="V4282" t="s">
        <v>162</v>
      </c>
    </row>
    <row r="4283" spans="9:22" x14ac:dyDescent="0.45">
      <c r="I4283" t="s">
        <v>271</v>
      </c>
      <c r="J4283" t="s">
        <v>540</v>
      </c>
      <c r="K4283">
        <v>3.6941093974342948E-3</v>
      </c>
      <c r="L4283" t="s">
        <v>162</v>
      </c>
      <c r="N4283" t="s">
        <v>383</v>
      </c>
      <c r="O4283" t="s">
        <v>540</v>
      </c>
      <c r="P4283">
        <v>5.0887311223356692E-2</v>
      </c>
      <c r="Q4283" t="s">
        <v>162</v>
      </c>
      <c r="S4283" t="s">
        <v>495</v>
      </c>
      <c r="T4283" t="s">
        <v>540</v>
      </c>
      <c r="U4283">
        <v>3.7226049098484558E-2</v>
      </c>
      <c r="V4283" t="s">
        <v>162</v>
      </c>
    </row>
    <row r="4284" spans="9:22" x14ac:dyDescent="0.45">
      <c r="I4284" t="s">
        <v>271</v>
      </c>
      <c r="J4284" t="s">
        <v>541</v>
      </c>
      <c r="K4284">
        <v>5.758802062781526E-3</v>
      </c>
      <c r="L4284" t="s">
        <v>162</v>
      </c>
      <c r="N4284" t="s">
        <v>383</v>
      </c>
      <c r="O4284" t="s">
        <v>541</v>
      </c>
      <c r="P4284">
        <v>6.370393410247123E-3</v>
      </c>
      <c r="Q4284" t="s">
        <v>162</v>
      </c>
      <c r="S4284" t="s">
        <v>495</v>
      </c>
      <c r="T4284" t="s">
        <v>541</v>
      </c>
      <c r="U4284">
        <v>4.3755949884643356E-3</v>
      </c>
      <c r="V4284" t="s">
        <v>162</v>
      </c>
    </row>
    <row r="4285" spans="9:22" x14ac:dyDescent="0.45">
      <c r="I4285" t="s">
        <v>271</v>
      </c>
      <c r="J4285" t="s">
        <v>542</v>
      </c>
      <c r="K4285">
        <v>1.3608364205592607E-2</v>
      </c>
      <c r="L4285" t="s">
        <v>162</v>
      </c>
      <c r="N4285" t="s">
        <v>383</v>
      </c>
      <c r="O4285" t="s">
        <v>542</v>
      </c>
      <c r="P4285">
        <v>1.2233857317479311E-2</v>
      </c>
      <c r="Q4285" t="s">
        <v>162</v>
      </c>
      <c r="S4285" t="s">
        <v>495</v>
      </c>
      <c r="T4285" t="s">
        <v>542</v>
      </c>
      <c r="U4285">
        <v>8.768817473817506E-3</v>
      </c>
      <c r="V4285" t="s">
        <v>162</v>
      </c>
    </row>
    <row r="4286" spans="9:22" x14ac:dyDescent="0.45">
      <c r="I4286" t="s">
        <v>271</v>
      </c>
      <c r="J4286" t="s">
        <v>543</v>
      </c>
      <c r="K4286">
        <v>2.5943778267938297E-2</v>
      </c>
      <c r="L4286" t="s">
        <v>162</v>
      </c>
      <c r="N4286" t="s">
        <v>383</v>
      </c>
      <c r="O4286" t="s">
        <v>543</v>
      </c>
      <c r="P4286">
        <v>2.8293588342710427E-2</v>
      </c>
      <c r="Q4286" t="s">
        <v>162</v>
      </c>
      <c r="S4286" t="s">
        <v>495</v>
      </c>
      <c r="T4286" t="s">
        <v>543</v>
      </c>
      <c r="U4286">
        <v>2.0999527395507075E-2</v>
      </c>
      <c r="V4286" t="s">
        <v>162</v>
      </c>
    </row>
    <row r="4287" spans="9:22" x14ac:dyDescent="0.45">
      <c r="I4287" t="s">
        <v>271</v>
      </c>
      <c r="J4287" t="s">
        <v>544</v>
      </c>
      <c r="K4287">
        <v>4.8843570172424668E-5</v>
      </c>
      <c r="L4287" t="s">
        <v>162</v>
      </c>
      <c r="N4287" t="s">
        <v>383</v>
      </c>
      <c r="O4287" t="s">
        <v>544</v>
      </c>
      <c r="P4287">
        <v>5.3145063793038263E-3</v>
      </c>
      <c r="Q4287" t="s">
        <v>162</v>
      </c>
      <c r="S4287" t="s">
        <v>495</v>
      </c>
      <c r="T4287" t="s">
        <v>544</v>
      </c>
      <c r="U4287">
        <v>3.8434246620767339E-3</v>
      </c>
      <c r="V4287" t="s">
        <v>162</v>
      </c>
    </row>
    <row r="4288" spans="9:22" x14ac:dyDescent="0.45">
      <c r="I4288" t="s">
        <v>271</v>
      </c>
      <c r="J4288" t="s">
        <v>545</v>
      </c>
      <c r="K4288">
        <v>0</v>
      </c>
      <c r="L4288" t="s">
        <v>162</v>
      </c>
      <c r="N4288" t="s">
        <v>383</v>
      </c>
      <c r="O4288" t="s">
        <v>545</v>
      </c>
      <c r="P4288">
        <v>3.1144297031280268E-2</v>
      </c>
      <c r="Q4288" t="s">
        <v>162</v>
      </c>
      <c r="S4288" t="s">
        <v>495</v>
      </c>
      <c r="T4288" t="s">
        <v>545</v>
      </c>
      <c r="U4288">
        <v>2.2303379085947421E-2</v>
      </c>
      <c r="V4288" t="s">
        <v>162</v>
      </c>
    </row>
    <row r="4289" spans="9:22" x14ac:dyDescent="0.45">
      <c r="I4289" t="s">
        <v>271</v>
      </c>
      <c r="J4289" t="s">
        <v>546</v>
      </c>
      <c r="K4289">
        <v>4.1858259596045316E-4</v>
      </c>
      <c r="L4289" t="s">
        <v>162</v>
      </c>
      <c r="N4289" t="s">
        <v>383</v>
      </c>
      <c r="O4289" t="s">
        <v>546</v>
      </c>
      <c r="P4289">
        <v>2.8883387103326649E-2</v>
      </c>
      <c r="Q4289" t="s">
        <v>162</v>
      </c>
      <c r="S4289" t="s">
        <v>495</v>
      </c>
      <c r="T4289" t="s">
        <v>546</v>
      </c>
      <c r="U4289">
        <v>3.5538668695060491E-2</v>
      </c>
      <c r="V4289" t="s">
        <v>162</v>
      </c>
    </row>
    <row r="4290" spans="9:22" x14ac:dyDescent="0.45">
      <c r="I4290" t="s">
        <v>271</v>
      </c>
      <c r="J4290" t="s">
        <v>547</v>
      </c>
      <c r="K4290">
        <v>3.3781782648337083E-3</v>
      </c>
      <c r="L4290" t="s">
        <v>162</v>
      </c>
      <c r="N4290" t="s">
        <v>383</v>
      </c>
      <c r="O4290" t="s">
        <v>547</v>
      </c>
      <c r="P4290">
        <v>2.3009395442772761E-3</v>
      </c>
      <c r="Q4290" t="s">
        <v>162</v>
      </c>
      <c r="S4290" t="s">
        <v>495</v>
      </c>
      <c r="T4290" t="s">
        <v>547</v>
      </c>
      <c r="U4290">
        <v>3.8951951733047158E-3</v>
      </c>
      <c r="V4290" t="s">
        <v>162</v>
      </c>
    </row>
    <row r="4291" spans="9:22" x14ac:dyDescent="0.45">
      <c r="I4291" t="s">
        <v>271</v>
      </c>
      <c r="J4291" t="s">
        <v>548</v>
      </c>
      <c r="K4291">
        <v>1.041576191138139E-2</v>
      </c>
      <c r="L4291" t="s">
        <v>162</v>
      </c>
      <c r="N4291" t="s">
        <v>383</v>
      </c>
      <c r="O4291" t="s">
        <v>548</v>
      </c>
      <c r="P4291">
        <v>3.8874854257202143E-3</v>
      </c>
      <c r="Q4291" t="s">
        <v>162</v>
      </c>
      <c r="S4291" t="s">
        <v>495</v>
      </c>
      <c r="T4291" t="s">
        <v>548</v>
      </c>
      <c r="U4291">
        <v>8.205065129578493E-3</v>
      </c>
      <c r="V4291" t="s">
        <v>162</v>
      </c>
    </row>
    <row r="4292" spans="9:22" x14ac:dyDescent="0.45">
      <c r="I4292" t="s">
        <v>271</v>
      </c>
      <c r="J4292" t="s">
        <v>549</v>
      </c>
      <c r="K4292">
        <v>2.129820341258427E-2</v>
      </c>
      <c r="L4292" t="s">
        <v>162</v>
      </c>
      <c r="N4292" t="s">
        <v>383</v>
      </c>
      <c r="O4292" t="s">
        <v>549</v>
      </c>
      <c r="P4292">
        <v>1.1561463488498805E-2</v>
      </c>
      <c r="Q4292" t="s">
        <v>162</v>
      </c>
      <c r="S4292" t="s">
        <v>495</v>
      </c>
      <c r="T4292" t="s">
        <v>549</v>
      </c>
      <c r="U4292">
        <v>2.1837735748417891E-2</v>
      </c>
      <c r="V4292" t="s">
        <v>162</v>
      </c>
    </row>
    <row r="4293" spans="9:22" x14ac:dyDescent="0.45">
      <c r="I4293" t="s">
        <v>271</v>
      </c>
      <c r="J4293" t="s">
        <v>550</v>
      </c>
      <c r="K4293">
        <v>0</v>
      </c>
      <c r="L4293" t="s">
        <v>162</v>
      </c>
      <c r="N4293" t="s">
        <v>383</v>
      </c>
      <c r="O4293" t="s">
        <v>550</v>
      </c>
      <c r="P4293">
        <v>3.2911883705405401E-3</v>
      </c>
      <c r="Q4293" t="s">
        <v>162</v>
      </c>
      <c r="S4293" t="s">
        <v>495</v>
      </c>
      <c r="T4293" t="s">
        <v>550</v>
      </c>
      <c r="U4293">
        <v>4.2301054118770703E-3</v>
      </c>
      <c r="V4293" t="s">
        <v>162</v>
      </c>
    </row>
    <row r="4294" spans="9:22" x14ac:dyDescent="0.45">
      <c r="I4294" t="s">
        <v>271</v>
      </c>
      <c r="J4294" t="s">
        <v>551</v>
      </c>
      <c r="K4294">
        <v>0</v>
      </c>
      <c r="L4294" t="s">
        <v>162</v>
      </c>
      <c r="N4294" t="s">
        <v>383</v>
      </c>
      <c r="O4294" t="s">
        <v>551</v>
      </c>
      <c r="P4294">
        <v>2.2746716456404456E-2</v>
      </c>
      <c r="Q4294" t="s">
        <v>162</v>
      </c>
      <c r="S4294" t="s">
        <v>495</v>
      </c>
      <c r="T4294" t="s">
        <v>551</v>
      </c>
      <c r="U4294">
        <v>2.6960693497344864E-2</v>
      </c>
      <c r="V4294" t="s">
        <v>162</v>
      </c>
    </row>
    <row r="4295" spans="9:22" x14ac:dyDescent="0.45">
      <c r="I4295" t="s">
        <v>272</v>
      </c>
      <c r="J4295" t="s">
        <v>161</v>
      </c>
      <c r="K4295">
        <v>0</v>
      </c>
      <c r="L4295" t="s">
        <v>162</v>
      </c>
      <c r="N4295" t="s">
        <v>384</v>
      </c>
      <c r="O4295" t="s">
        <v>161</v>
      </c>
      <c r="P4295">
        <v>3.8969480241169738E-2</v>
      </c>
      <c r="Q4295" t="s">
        <v>162</v>
      </c>
      <c r="S4295" t="s">
        <v>496</v>
      </c>
      <c r="T4295" t="s">
        <v>161</v>
      </c>
      <c r="U4295">
        <v>3.9497490401591534E-2</v>
      </c>
      <c r="V4295" t="s">
        <v>162</v>
      </c>
    </row>
    <row r="4296" spans="9:22" x14ac:dyDescent="0.45">
      <c r="I4296" t="s">
        <v>272</v>
      </c>
      <c r="J4296" t="s">
        <v>163</v>
      </c>
      <c r="K4296">
        <v>3.9580910671748225E-3</v>
      </c>
      <c r="L4296" t="s">
        <v>162</v>
      </c>
      <c r="N4296" t="s">
        <v>384</v>
      </c>
      <c r="O4296" t="s">
        <v>163</v>
      </c>
      <c r="P4296">
        <v>3.9850651501039365E-3</v>
      </c>
      <c r="Q4296" t="s">
        <v>162</v>
      </c>
      <c r="S4296" t="s">
        <v>496</v>
      </c>
      <c r="T4296" t="s">
        <v>163</v>
      </c>
      <c r="U4296">
        <v>4.9066322744589141E-3</v>
      </c>
      <c r="V4296" t="s">
        <v>162</v>
      </c>
    </row>
    <row r="4297" spans="9:22" x14ac:dyDescent="0.45">
      <c r="I4297" t="s">
        <v>272</v>
      </c>
      <c r="J4297" t="s">
        <v>164</v>
      </c>
      <c r="K4297">
        <v>1.3294444189769704E-2</v>
      </c>
      <c r="L4297" t="s">
        <v>162</v>
      </c>
      <c r="N4297" t="s">
        <v>384</v>
      </c>
      <c r="O4297" t="s">
        <v>164</v>
      </c>
      <c r="P4297">
        <v>6.9757255218724137E-3</v>
      </c>
      <c r="Q4297" t="s">
        <v>162</v>
      </c>
      <c r="S4297" t="s">
        <v>496</v>
      </c>
      <c r="T4297" t="s">
        <v>164</v>
      </c>
      <c r="U4297">
        <v>9.9630070088535423E-3</v>
      </c>
      <c r="V4297" t="s">
        <v>162</v>
      </c>
    </row>
    <row r="4298" spans="9:22" x14ac:dyDescent="0.45">
      <c r="I4298" t="s">
        <v>272</v>
      </c>
      <c r="J4298" t="s">
        <v>519</v>
      </c>
      <c r="K4298">
        <v>3.091191526368162E-2</v>
      </c>
      <c r="L4298" t="s">
        <v>162</v>
      </c>
      <c r="N4298" t="s">
        <v>384</v>
      </c>
      <c r="O4298" t="s">
        <v>519</v>
      </c>
      <c r="P4298">
        <v>1.7918498980361609E-2</v>
      </c>
      <c r="Q4298" t="s">
        <v>162</v>
      </c>
      <c r="S4298" t="s">
        <v>496</v>
      </c>
      <c r="T4298" t="s">
        <v>519</v>
      </c>
      <c r="U4298">
        <v>2.4946573148484065E-2</v>
      </c>
      <c r="V4298" t="s">
        <v>162</v>
      </c>
    </row>
    <row r="4299" spans="9:22" x14ac:dyDescent="0.45">
      <c r="I4299" t="s">
        <v>272</v>
      </c>
      <c r="J4299" t="s">
        <v>520</v>
      </c>
      <c r="K4299">
        <v>2.4030038002733705E-3</v>
      </c>
      <c r="L4299" t="s">
        <v>162</v>
      </c>
      <c r="N4299" t="s">
        <v>384</v>
      </c>
      <c r="O4299" t="s">
        <v>520</v>
      </c>
      <c r="P4299">
        <v>4.3515339914807234E-3</v>
      </c>
      <c r="Q4299" t="s">
        <v>162</v>
      </c>
      <c r="S4299" t="s">
        <v>496</v>
      </c>
      <c r="T4299" t="s">
        <v>520</v>
      </c>
      <c r="U4299">
        <v>4.8437874239313167E-3</v>
      </c>
      <c r="V4299" t="s">
        <v>162</v>
      </c>
    </row>
    <row r="4300" spans="9:22" x14ac:dyDescent="0.45">
      <c r="I4300" t="s">
        <v>272</v>
      </c>
      <c r="J4300" t="s">
        <v>521</v>
      </c>
      <c r="K4300">
        <v>0</v>
      </c>
      <c r="L4300" t="s">
        <v>162</v>
      </c>
      <c r="N4300" t="s">
        <v>384</v>
      </c>
      <c r="O4300" t="s">
        <v>521</v>
      </c>
      <c r="P4300">
        <v>2.644860585943052E-2</v>
      </c>
      <c r="Q4300" t="s">
        <v>162</v>
      </c>
      <c r="S4300" t="s">
        <v>496</v>
      </c>
      <c r="T4300" t="s">
        <v>521</v>
      </c>
      <c r="U4300">
        <v>2.9351381927595468E-2</v>
      </c>
      <c r="V4300" t="s">
        <v>162</v>
      </c>
    </row>
    <row r="4301" spans="9:22" x14ac:dyDescent="0.45">
      <c r="I4301" t="s">
        <v>272</v>
      </c>
      <c r="J4301" t="s">
        <v>165</v>
      </c>
      <c r="K4301">
        <v>1.0276780296552686E-2</v>
      </c>
      <c r="L4301" t="s">
        <v>162</v>
      </c>
      <c r="N4301" t="s">
        <v>384</v>
      </c>
      <c r="O4301" t="s">
        <v>165</v>
      </c>
      <c r="P4301">
        <v>5.5733936771682625E-2</v>
      </c>
      <c r="Q4301" t="s">
        <v>162</v>
      </c>
      <c r="S4301" t="s">
        <v>496</v>
      </c>
      <c r="T4301" t="s">
        <v>165</v>
      </c>
      <c r="U4301">
        <v>7.3782382482952838E-2</v>
      </c>
      <c r="V4301" t="s">
        <v>162</v>
      </c>
    </row>
    <row r="4302" spans="9:22" x14ac:dyDescent="0.45">
      <c r="I4302" t="s">
        <v>272</v>
      </c>
      <c r="J4302" t="s">
        <v>166</v>
      </c>
      <c r="K4302">
        <v>1.3245959191739985E-2</v>
      </c>
      <c r="L4302" t="s">
        <v>162</v>
      </c>
      <c r="N4302" t="s">
        <v>384</v>
      </c>
      <c r="O4302" t="s">
        <v>166</v>
      </c>
      <c r="P4302">
        <v>4.6228796870286699E-3</v>
      </c>
      <c r="Q4302" t="s">
        <v>162</v>
      </c>
      <c r="S4302" t="s">
        <v>496</v>
      </c>
      <c r="T4302" t="s">
        <v>166</v>
      </c>
      <c r="U4302">
        <v>7.9827979129293899E-3</v>
      </c>
      <c r="V4302" t="s">
        <v>162</v>
      </c>
    </row>
    <row r="4303" spans="9:22" x14ac:dyDescent="0.45">
      <c r="I4303" t="s">
        <v>272</v>
      </c>
      <c r="J4303" t="s">
        <v>167</v>
      </c>
      <c r="K4303">
        <v>3.491616929856782E-2</v>
      </c>
      <c r="L4303" t="s">
        <v>162</v>
      </c>
      <c r="N4303" t="s">
        <v>384</v>
      </c>
      <c r="O4303" t="s">
        <v>167</v>
      </c>
      <c r="P4303">
        <v>8.3689870989759555E-3</v>
      </c>
      <c r="Q4303" t="s">
        <v>162</v>
      </c>
      <c r="S4303" t="s">
        <v>496</v>
      </c>
      <c r="T4303" t="s">
        <v>167</v>
      </c>
      <c r="U4303">
        <v>1.5859747353971332E-2</v>
      </c>
      <c r="V4303" t="s">
        <v>162</v>
      </c>
    </row>
    <row r="4304" spans="9:22" x14ac:dyDescent="0.45">
      <c r="I4304" t="s">
        <v>272</v>
      </c>
      <c r="J4304" t="s">
        <v>522</v>
      </c>
      <c r="K4304">
        <v>8.1289284950945728E-2</v>
      </c>
      <c r="L4304" t="s">
        <v>162</v>
      </c>
      <c r="N4304" t="s">
        <v>384</v>
      </c>
      <c r="O4304" t="s">
        <v>522</v>
      </c>
      <c r="P4304">
        <v>2.4123345949075187E-2</v>
      </c>
      <c r="Q4304" t="s">
        <v>162</v>
      </c>
      <c r="S4304" t="s">
        <v>496</v>
      </c>
      <c r="T4304" t="s">
        <v>522</v>
      </c>
      <c r="U4304">
        <v>4.0186889024014169E-2</v>
      </c>
      <c r="V4304" t="s">
        <v>162</v>
      </c>
    </row>
    <row r="4305" spans="9:22" x14ac:dyDescent="0.45">
      <c r="I4305" t="s">
        <v>272</v>
      </c>
      <c r="J4305" t="s">
        <v>523</v>
      </c>
      <c r="K4305">
        <v>1.0218430777772002E-2</v>
      </c>
      <c r="L4305" t="s">
        <v>162</v>
      </c>
      <c r="N4305" t="s">
        <v>384</v>
      </c>
      <c r="O4305" t="s">
        <v>523</v>
      </c>
      <c r="P4305">
        <v>5.9943413623763505E-3</v>
      </c>
      <c r="Q4305" t="s">
        <v>162</v>
      </c>
      <c r="S4305" t="s">
        <v>496</v>
      </c>
      <c r="T4305" t="s">
        <v>523</v>
      </c>
      <c r="U4305">
        <v>7.735972950869926E-3</v>
      </c>
      <c r="V4305" t="s">
        <v>162</v>
      </c>
    </row>
    <row r="4306" spans="9:22" x14ac:dyDescent="0.45">
      <c r="I4306" t="s">
        <v>272</v>
      </c>
      <c r="J4306" t="s">
        <v>524</v>
      </c>
      <c r="K4306">
        <v>4.8795505807742662E-3</v>
      </c>
      <c r="L4306" t="s">
        <v>162</v>
      </c>
      <c r="N4306" t="s">
        <v>384</v>
      </c>
      <c r="O4306" t="s">
        <v>524</v>
      </c>
      <c r="P4306">
        <v>4.5797275468640319E-2</v>
      </c>
      <c r="Q4306" t="s">
        <v>162</v>
      </c>
      <c r="S4306" t="s">
        <v>496</v>
      </c>
      <c r="T4306" t="s">
        <v>524</v>
      </c>
      <c r="U4306">
        <v>5.0795451152541957E-2</v>
      </c>
      <c r="V4306" t="s">
        <v>162</v>
      </c>
    </row>
    <row r="4307" spans="9:22" x14ac:dyDescent="0.45">
      <c r="I4307" t="s">
        <v>272</v>
      </c>
      <c r="J4307" t="s">
        <v>168</v>
      </c>
      <c r="K4307">
        <v>1.2444205796468629E-2</v>
      </c>
      <c r="L4307" t="s">
        <v>162</v>
      </c>
      <c r="N4307" t="s">
        <v>384</v>
      </c>
      <c r="O4307" t="s">
        <v>168</v>
      </c>
      <c r="P4307">
        <v>3.8416578893530486E-2</v>
      </c>
      <c r="Q4307" t="s">
        <v>162</v>
      </c>
      <c r="S4307" t="s">
        <v>496</v>
      </c>
      <c r="T4307" t="s">
        <v>168</v>
      </c>
      <c r="U4307">
        <v>3.3956097781461941E-2</v>
      </c>
      <c r="V4307" t="s">
        <v>162</v>
      </c>
    </row>
    <row r="4308" spans="9:22" x14ac:dyDescent="0.45">
      <c r="I4308" t="s">
        <v>272</v>
      </c>
      <c r="J4308" t="s">
        <v>169</v>
      </c>
      <c r="K4308">
        <v>8.3322967408553088E-3</v>
      </c>
      <c r="L4308" t="s">
        <v>162</v>
      </c>
      <c r="N4308" t="s">
        <v>384</v>
      </c>
      <c r="O4308" t="s">
        <v>169</v>
      </c>
      <c r="P4308">
        <v>3.6335538371293497E-3</v>
      </c>
      <c r="Q4308" t="s">
        <v>162</v>
      </c>
      <c r="S4308" t="s">
        <v>496</v>
      </c>
      <c r="T4308" t="s">
        <v>169</v>
      </c>
      <c r="U4308">
        <v>3.4730725319567684E-3</v>
      </c>
      <c r="V4308" t="s">
        <v>162</v>
      </c>
    </row>
    <row r="4309" spans="9:22" x14ac:dyDescent="0.45">
      <c r="I4309" t="s">
        <v>272</v>
      </c>
      <c r="J4309" t="s">
        <v>170</v>
      </c>
      <c r="K4309">
        <v>1.9360827310620783E-2</v>
      </c>
      <c r="L4309" t="s">
        <v>162</v>
      </c>
      <c r="N4309" t="s">
        <v>384</v>
      </c>
      <c r="O4309" t="s">
        <v>170</v>
      </c>
      <c r="P4309">
        <v>7.5291022468133694E-3</v>
      </c>
      <c r="Q4309" t="s">
        <v>162</v>
      </c>
      <c r="S4309" t="s">
        <v>496</v>
      </c>
      <c r="T4309" t="s">
        <v>170</v>
      </c>
      <c r="U4309">
        <v>7.1271560264334352E-3</v>
      </c>
      <c r="V4309" t="s">
        <v>162</v>
      </c>
    </row>
    <row r="4310" spans="9:22" x14ac:dyDescent="0.45">
      <c r="I4310" t="s">
        <v>272</v>
      </c>
      <c r="J4310" t="s">
        <v>525</v>
      </c>
      <c r="K4310">
        <v>4.7616509988232351E-2</v>
      </c>
      <c r="L4310" t="s">
        <v>162</v>
      </c>
      <c r="N4310" t="s">
        <v>384</v>
      </c>
      <c r="O4310" t="s">
        <v>525</v>
      </c>
      <c r="P4310">
        <v>2.0882897602248977E-2</v>
      </c>
      <c r="Q4310" t="s">
        <v>162</v>
      </c>
      <c r="S4310" t="s">
        <v>496</v>
      </c>
      <c r="T4310" t="s">
        <v>525</v>
      </c>
      <c r="U4310">
        <v>1.8655559073517944E-2</v>
      </c>
      <c r="V4310" t="s">
        <v>162</v>
      </c>
    </row>
    <row r="4311" spans="9:22" x14ac:dyDescent="0.45">
      <c r="I4311" t="s">
        <v>272</v>
      </c>
      <c r="J4311" t="s">
        <v>526</v>
      </c>
      <c r="K4311">
        <v>6.9370157988482353E-3</v>
      </c>
      <c r="L4311" t="s">
        <v>162</v>
      </c>
      <c r="N4311" t="s">
        <v>384</v>
      </c>
      <c r="O4311" t="s">
        <v>526</v>
      </c>
      <c r="P4311">
        <v>3.7752116438644805E-3</v>
      </c>
      <c r="Q4311" t="s">
        <v>162</v>
      </c>
      <c r="S4311" t="s">
        <v>496</v>
      </c>
      <c r="T4311" t="s">
        <v>526</v>
      </c>
      <c r="U4311">
        <v>3.3062109941360005E-3</v>
      </c>
      <c r="V4311" t="s">
        <v>162</v>
      </c>
    </row>
    <row r="4312" spans="9:22" x14ac:dyDescent="0.45">
      <c r="I4312" t="s">
        <v>272</v>
      </c>
      <c r="J4312" t="s">
        <v>527</v>
      </c>
      <c r="K4312">
        <v>7.3507715367939217E-3</v>
      </c>
      <c r="L4312" t="s">
        <v>162</v>
      </c>
      <c r="N4312" t="s">
        <v>384</v>
      </c>
      <c r="O4312" t="s">
        <v>527</v>
      </c>
      <c r="P4312">
        <v>2.7080121581983051E-2</v>
      </c>
      <c r="Q4312" t="s">
        <v>162</v>
      </c>
      <c r="S4312" t="s">
        <v>496</v>
      </c>
      <c r="T4312" t="s">
        <v>527</v>
      </c>
      <c r="U4312">
        <v>2.1287969608544306E-2</v>
      </c>
      <c r="V4312" t="s">
        <v>162</v>
      </c>
    </row>
    <row r="4313" spans="9:22" x14ac:dyDescent="0.45">
      <c r="I4313" t="s">
        <v>272</v>
      </c>
      <c r="J4313" t="s">
        <v>528</v>
      </c>
      <c r="K4313">
        <v>5.2931206122796857E-2</v>
      </c>
      <c r="L4313" t="s">
        <v>162</v>
      </c>
      <c r="N4313" t="s">
        <v>384</v>
      </c>
      <c r="O4313" t="s">
        <v>528</v>
      </c>
      <c r="P4313">
        <v>7.4314584268162023E-2</v>
      </c>
      <c r="Q4313" t="s">
        <v>162</v>
      </c>
      <c r="S4313" t="s">
        <v>496</v>
      </c>
      <c r="T4313" t="s">
        <v>528</v>
      </c>
      <c r="U4313">
        <v>6.9108872621112205E-2</v>
      </c>
      <c r="V4313" t="s">
        <v>162</v>
      </c>
    </row>
    <row r="4314" spans="9:22" x14ac:dyDescent="0.45">
      <c r="I4314" t="s">
        <v>272</v>
      </c>
      <c r="J4314" t="s">
        <v>529</v>
      </c>
      <c r="K4314">
        <v>2.7518676099449208E-2</v>
      </c>
      <c r="L4314" t="s">
        <v>162</v>
      </c>
      <c r="N4314" t="s">
        <v>384</v>
      </c>
      <c r="O4314" t="s">
        <v>529</v>
      </c>
      <c r="P4314">
        <v>6.551327757537237E-3</v>
      </c>
      <c r="Q4314" t="s">
        <v>162</v>
      </c>
      <c r="S4314" t="s">
        <v>496</v>
      </c>
      <c r="T4314" t="s">
        <v>529</v>
      </c>
      <c r="U4314">
        <v>6.7454040505036689E-3</v>
      </c>
      <c r="V4314" t="s">
        <v>162</v>
      </c>
    </row>
    <row r="4315" spans="9:22" x14ac:dyDescent="0.45">
      <c r="I4315" t="s">
        <v>272</v>
      </c>
      <c r="J4315" t="s">
        <v>530</v>
      </c>
      <c r="K4315">
        <v>6.083986726081389E-2</v>
      </c>
      <c r="L4315" t="s">
        <v>162</v>
      </c>
      <c r="N4315" t="s">
        <v>384</v>
      </c>
      <c r="O4315" t="s">
        <v>530</v>
      </c>
      <c r="P4315">
        <v>1.4583739320011771E-2</v>
      </c>
      <c r="Q4315" t="s">
        <v>162</v>
      </c>
      <c r="S4315" t="s">
        <v>496</v>
      </c>
      <c r="T4315" t="s">
        <v>530</v>
      </c>
      <c r="U4315">
        <v>1.500792819064775E-2</v>
      </c>
      <c r="V4315" t="s">
        <v>162</v>
      </c>
    </row>
    <row r="4316" spans="9:22" x14ac:dyDescent="0.45">
      <c r="I4316" t="s">
        <v>272</v>
      </c>
      <c r="J4316" t="s">
        <v>531</v>
      </c>
      <c r="K4316">
        <v>0.14651438675357126</v>
      </c>
      <c r="L4316" t="s">
        <v>162</v>
      </c>
      <c r="N4316" t="s">
        <v>384</v>
      </c>
      <c r="O4316" t="s">
        <v>531</v>
      </c>
      <c r="P4316">
        <v>4.0242188097641803E-2</v>
      </c>
      <c r="Q4316" t="s">
        <v>162</v>
      </c>
      <c r="S4316" t="s">
        <v>496</v>
      </c>
      <c r="T4316" t="s">
        <v>531</v>
      </c>
      <c r="U4316">
        <v>4.6231882626614297E-2</v>
      </c>
      <c r="V4316" t="s">
        <v>162</v>
      </c>
    </row>
    <row r="4317" spans="9:22" x14ac:dyDescent="0.45">
      <c r="I4317" t="s">
        <v>272</v>
      </c>
      <c r="J4317" t="s">
        <v>532</v>
      </c>
      <c r="K4317">
        <v>2.2829070012352428E-2</v>
      </c>
      <c r="L4317" t="s">
        <v>162</v>
      </c>
      <c r="N4317" t="s">
        <v>384</v>
      </c>
      <c r="O4317" t="s">
        <v>532</v>
      </c>
      <c r="P4317">
        <v>7.4887988291107823E-3</v>
      </c>
      <c r="Q4317" t="s">
        <v>162</v>
      </c>
      <c r="S4317" t="s">
        <v>496</v>
      </c>
      <c r="T4317" t="s">
        <v>532</v>
      </c>
      <c r="U4317">
        <v>9.1144779026789743E-3</v>
      </c>
      <c r="V4317" t="s">
        <v>162</v>
      </c>
    </row>
    <row r="4318" spans="9:22" x14ac:dyDescent="0.45">
      <c r="I4318" t="s">
        <v>272</v>
      </c>
      <c r="J4318" t="s">
        <v>533</v>
      </c>
      <c r="K4318">
        <v>3.5268999999603104E-2</v>
      </c>
      <c r="L4318" t="s">
        <v>162</v>
      </c>
      <c r="N4318" t="s">
        <v>384</v>
      </c>
      <c r="O4318" t="s">
        <v>533</v>
      </c>
      <c r="P4318">
        <v>5.9561397210834088E-2</v>
      </c>
      <c r="Q4318" t="s">
        <v>162</v>
      </c>
      <c r="S4318" t="s">
        <v>496</v>
      </c>
      <c r="T4318" t="s">
        <v>533</v>
      </c>
      <c r="U4318">
        <v>5.7121814806852016E-2</v>
      </c>
      <c r="V4318" t="s">
        <v>162</v>
      </c>
    </row>
    <row r="4319" spans="9:22" x14ac:dyDescent="0.45">
      <c r="I4319" t="s">
        <v>272</v>
      </c>
      <c r="J4319" t="s">
        <v>534</v>
      </c>
      <c r="K4319">
        <v>3.283127438466811E-2</v>
      </c>
      <c r="L4319" t="s">
        <v>162</v>
      </c>
      <c r="N4319" t="s">
        <v>384</v>
      </c>
      <c r="O4319" t="s">
        <v>534</v>
      </c>
      <c r="P4319">
        <v>9.3363458664550203E-2</v>
      </c>
      <c r="Q4319" t="s">
        <v>162</v>
      </c>
      <c r="S4319" t="s">
        <v>496</v>
      </c>
      <c r="T4319" t="s">
        <v>534</v>
      </c>
      <c r="U4319">
        <v>6.9494415192595374E-2</v>
      </c>
      <c r="V4319" t="s">
        <v>162</v>
      </c>
    </row>
    <row r="4320" spans="9:22" x14ac:dyDescent="0.45">
      <c r="I4320" t="s">
        <v>272</v>
      </c>
      <c r="J4320" t="s">
        <v>535</v>
      </c>
      <c r="K4320">
        <v>2.4257321452100373E-2</v>
      </c>
      <c r="L4320" t="s">
        <v>162</v>
      </c>
      <c r="N4320" t="s">
        <v>384</v>
      </c>
      <c r="O4320" t="s">
        <v>535</v>
      </c>
      <c r="P4320">
        <v>8.8593965231443059E-3</v>
      </c>
      <c r="Q4320" t="s">
        <v>162</v>
      </c>
      <c r="S4320" t="s">
        <v>496</v>
      </c>
      <c r="T4320" t="s">
        <v>535</v>
      </c>
      <c r="U4320">
        <v>6.5617104776812601E-3</v>
      </c>
      <c r="V4320" t="s">
        <v>162</v>
      </c>
    </row>
    <row r="4321" spans="9:22" x14ac:dyDescent="0.45">
      <c r="I4321" t="s">
        <v>272</v>
      </c>
      <c r="J4321" t="s">
        <v>536</v>
      </c>
      <c r="K4321">
        <v>5.441638994567756E-2</v>
      </c>
      <c r="L4321" t="s">
        <v>162</v>
      </c>
      <c r="N4321" t="s">
        <v>384</v>
      </c>
      <c r="O4321" t="s">
        <v>536</v>
      </c>
      <c r="P4321">
        <v>1.9054972050194779E-2</v>
      </c>
      <c r="Q4321" t="s">
        <v>162</v>
      </c>
      <c r="S4321" t="s">
        <v>496</v>
      </c>
      <c r="T4321" t="s">
        <v>536</v>
      </c>
      <c r="U4321">
        <v>1.3863238051115475E-2</v>
      </c>
      <c r="V4321" t="s">
        <v>162</v>
      </c>
    </row>
    <row r="4322" spans="9:22" x14ac:dyDescent="0.45">
      <c r="I4322" t="s">
        <v>272</v>
      </c>
      <c r="J4322" t="s">
        <v>537</v>
      </c>
      <c r="K4322">
        <v>0.12436093858711009</v>
      </c>
      <c r="L4322" t="s">
        <v>162</v>
      </c>
      <c r="N4322" t="s">
        <v>384</v>
      </c>
      <c r="O4322" t="s">
        <v>537</v>
      </c>
      <c r="P4322">
        <v>5.1724461517477699E-2</v>
      </c>
      <c r="Q4322" t="s">
        <v>162</v>
      </c>
      <c r="S4322" t="s">
        <v>496</v>
      </c>
      <c r="T4322" t="s">
        <v>537</v>
      </c>
      <c r="U4322">
        <v>4.2637085717312062E-2</v>
      </c>
      <c r="V4322" t="s">
        <v>162</v>
      </c>
    </row>
    <row r="4323" spans="9:22" x14ac:dyDescent="0.45">
      <c r="I4323" t="s">
        <v>272</v>
      </c>
      <c r="J4323" t="s">
        <v>538</v>
      </c>
      <c r="K4323">
        <v>1.8229352469789073E-2</v>
      </c>
      <c r="L4323" t="s">
        <v>162</v>
      </c>
      <c r="N4323" t="s">
        <v>384</v>
      </c>
      <c r="O4323" t="s">
        <v>538</v>
      </c>
      <c r="P4323">
        <v>9.9661981017534762E-3</v>
      </c>
      <c r="Q4323" t="s">
        <v>162</v>
      </c>
      <c r="S4323" t="s">
        <v>496</v>
      </c>
      <c r="T4323" t="s">
        <v>538</v>
      </c>
      <c r="U4323">
        <v>8.9681216326799942E-3</v>
      </c>
      <c r="V4323" t="s">
        <v>162</v>
      </c>
    </row>
    <row r="4324" spans="9:22" x14ac:dyDescent="0.45">
      <c r="I4324" t="s">
        <v>272</v>
      </c>
      <c r="J4324" t="s">
        <v>539</v>
      </c>
      <c r="K4324">
        <v>1.5091137017227809E-2</v>
      </c>
      <c r="L4324" t="s">
        <v>162</v>
      </c>
      <c r="N4324" t="s">
        <v>384</v>
      </c>
      <c r="O4324" t="s">
        <v>539</v>
      </c>
      <c r="P4324">
        <v>6.8924011569388668E-2</v>
      </c>
      <c r="Q4324" t="s">
        <v>162</v>
      </c>
      <c r="S4324" t="s">
        <v>496</v>
      </c>
      <c r="T4324" t="s">
        <v>539</v>
      </c>
      <c r="U4324">
        <v>5.7111039642972192E-2</v>
      </c>
      <c r="V4324" t="s">
        <v>162</v>
      </c>
    </row>
    <row r="4325" spans="9:22" x14ac:dyDescent="0.45">
      <c r="I4325" t="s">
        <v>272</v>
      </c>
      <c r="J4325" t="s">
        <v>540</v>
      </c>
      <c r="K4325">
        <v>2.6393401640997715E-3</v>
      </c>
      <c r="L4325" t="s">
        <v>162</v>
      </c>
      <c r="N4325" t="s">
        <v>384</v>
      </c>
      <c r="O4325" t="s">
        <v>540</v>
      </c>
      <c r="P4325">
        <v>5.1843084355461963E-2</v>
      </c>
      <c r="Q4325" t="s">
        <v>162</v>
      </c>
      <c r="S4325" t="s">
        <v>496</v>
      </c>
      <c r="T4325" t="s">
        <v>540</v>
      </c>
      <c r="U4325">
        <v>3.9590360419440043E-2</v>
      </c>
      <c r="V4325" t="s">
        <v>162</v>
      </c>
    </row>
    <row r="4326" spans="9:22" x14ac:dyDescent="0.45">
      <c r="I4326" t="s">
        <v>272</v>
      </c>
      <c r="J4326" t="s">
        <v>541</v>
      </c>
      <c r="K4326">
        <v>4.7890213365483301E-3</v>
      </c>
      <c r="L4326" t="s">
        <v>162</v>
      </c>
      <c r="N4326" t="s">
        <v>384</v>
      </c>
      <c r="O4326" t="s">
        <v>541</v>
      </c>
      <c r="P4326">
        <v>5.7319477747906937E-3</v>
      </c>
      <c r="Q4326" t="s">
        <v>162</v>
      </c>
      <c r="S4326" t="s">
        <v>496</v>
      </c>
      <c r="T4326" t="s">
        <v>541</v>
      </c>
      <c r="U4326">
        <v>4.8070189907655769E-3</v>
      </c>
      <c r="V4326" t="s">
        <v>162</v>
      </c>
    </row>
    <row r="4327" spans="9:22" x14ac:dyDescent="0.45">
      <c r="I4327" t="s">
        <v>272</v>
      </c>
      <c r="J4327" t="s">
        <v>542</v>
      </c>
      <c r="K4327">
        <v>1.2371701501317747E-2</v>
      </c>
      <c r="L4327" t="s">
        <v>162</v>
      </c>
      <c r="N4327" t="s">
        <v>384</v>
      </c>
      <c r="O4327" t="s">
        <v>542</v>
      </c>
      <c r="P4327">
        <v>1.058653811235904E-2</v>
      </c>
      <c r="Q4327" t="s">
        <v>162</v>
      </c>
      <c r="S4327" t="s">
        <v>496</v>
      </c>
      <c r="T4327" t="s">
        <v>542</v>
      </c>
      <c r="U4327">
        <v>9.6687828354902472E-3</v>
      </c>
      <c r="V4327" t="s">
        <v>162</v>
      </c>
    </row>
    <row r="4328" spans="9:22" x14ac:dyDescent="0.45">
      <c r="I4328" t="s">
        <v>272</v>
      </c>
      <c r="J4328" t="s">
        <v>543</v>
      </c>
      <c r="K4328">
        <v>2.4264497137578129E-2</v>
      </c>
      <c r="L4328" t="s">
        <v>162</v>
      </c>
      <c r="N4328" t="s">
        <v>384</v>
      </c>
      <c r="O4328" t="s">
        <v>543</v>
      </c>
      <c r="P4328">
        <v>2.3743386862803837E-2</v>
      </c>
      <c r="Q4328" t="s">
        <v>162</v>
      </c>
      <c r="S4328" t="s">
        <v>496</v>
      </c>
      <c r="T4328" t="s">
        <v>543</v>
      </c>
      <c r="U4328">
        <v>2.3423789291252599E-2</v>
      </c>
      <c r="V4328" t="s">
        <v>162</v>
      </c>
    </row>
    <row r="4329" spans="9:22" x14ac:dyDescent="0.45">
      <c r="I4329" t="s">
        <v>272</v>
      </c>
      <c r="J4329" t="s">
        <v>544</v>
      </c>
      <c r="K4329">
        <v>8.5247793655633545E-4</v>
      </c>
      <c r="L4329" t="s">
        <v>162</v>
      </c>
      <c r="N4329" t="s">
        <v>384</v>
      </c>
      <c r="O4329" t="s">
        <v>544</v>
      </c>
      <c r="P4329">
        <v>4.7620281646874821E-3</v>
      </c>
      <c r="Q4329" t="s">
        <v>162</v>
      </c>
      <c r="S4329" t="s">
        <v>496</v>
      </c>
      <c r="T4329" t="s">
        <v>544</v>
      </c>
      <c r="U4329">
        <v>4.3454748006482684E-3</v>
      </c>
      <c r="V4329" t="s">
        <v>162</v>
      </c>
    </row>
    <row r="4330" spans="9:22" x14ac:dyDescent="0.45">
      <c r="I4330" t="s">
        <v>272</v>
      </c>
      <c r="J4330" t="s">
        <v>545</v>
      </c>
      <c r="K4330">
        <v>0</v>
      </c>
      <c r="L4330" t="s">
        <v>162</v>
      </c>
      <c r="N4330" t="s">
        <v>384</v>
      </c>
      <c r="O4330" t="s">
        <v>545</v>
      </c>
      <c r="P4330">
        <v>3.0355293270532061E-2</v>
      </c>
      <c r="Q4330" t="s">
        <v>162</v>
      </c>
      <c r="S4330" t="s">
        <v>496</v>
      </c>
      <c r="T4330" t="s">
        <v>545</v>
      </c>
      <c r="U4330">
        <v>2.4970916811287745E-2</v>
      </c>
      <c r="V4330" t="s">
        <v>162</v>
      </c>
    </row>
    <row r="4331" spans="9:22" x14ac:dyDescent="0.45">
      <c r="I4331" t="s">
        <v>272</v>
      </c>
      <c r="J4331" t="s">
        <v>546</v>
      </c>
      <c r="K4331">
        <v>3.074051258890583E-7</v>
      </c>
      <c r="L4331" t="s">
        <v>162</v>
      </c>
      <c r="N4331" t="s">
        <v>384</v>
      </c>
      <c r="O4331" t="s">
        <v>546</v>
      </c>
      <c r="P4331">
        <v>2.7860086332450094E-2</v>
      </c>
      <c r="Q4331" t="s">
        <v>162</v>
      </c>
      <c r="S4331" t="s">
        <v>496</v>
      </c>
      <c r="T4331" t="s">
        <v>546</v>
      </c>
      <c r="U4331">
        <v>3.3233847955792775E-2</v>
      </c>
      <c r="V4331" t="s">
        <v>162</v>
      </c>
    </row>
    <row r="4332" spans="9:22" x14ac:dyDescent="0.45">
      <c r="I4332" t="s">
        <v>272</v>
      </c>
      <c r="J4332" t="s">
        <v>547</v>
      </c>
      <c r="K4332">
        <v>2.4252837404193247E-3</v>
      </c>
      <c r="L4332" t="s">
        <v>162</v>
      </c>
      <c r="N4332" t="s">
        <v>384</v>
      </c>
      <c r="O4332" t="s">
        <v>547</v>
      </c>
      <c r="P4332">
        <v>2.5734038861402742E-3</v>
      </c>
      <c r="Q4332" t="s">
        <v>162</v>
      </c>
      <c r="S4332" t="s">
        <v>496</v>
      </c>
      <c r="T4332" t="s">
        <v>547</v>
      </c>
      <c r="U4332">
        <v>3.7073445856317393E-3</v>
      </c>
      <c r="V4332" t="s">
        <v>162</v>
      </c>
    </row>
    <row r="4333" spans="9:22" x14ac:dyDescent="0.45">
      <c r="I4333" t="s">
        <v>272</v>
      </c>
      <c r="J4333" t="s">
        <v>548</v>
      </c>
      <c r="K4333">
        <v>8.9910795206777448E-3</v>
      </c>
      <c r="L4333" t="s">
        <v>162</v>
      </c>
      <c r="N4333" t="s">
        <v>384</v>
      </c>
      <c r="O4333" t="s">
        <v>548</v>
      </c>
      <c r="P4333">
        <v>4.3372644206695933E-3</v>
      </c>
      <c r="Q4333" t="s">
        <v>162</v>
      </c>
      <c r="S4333" t="s">
        <v>496</v>
      </c>
      <c r="T4333" t="s">
        <v>548</v>
      </c>
      <c r="U4333">
        <v>7.4467653995368291E-3</v>
      </c>
      <c r="V4333" t="s">
        <v>162</v>
      </c>
    </row>
    <row r="4334" spans="9:22" x14ac:dyDescent="0.45">
      <c r="I4334" t="s">
        <v>272</v>
      </c>
      <c r="J4334" t="s">
        <v>549</v>
      </c>
      <c r="K4334">
        <v>2.1082665189141342E-2</v>
      </c>
      <c r="L4334" t="s">
        <v>162</v>
      </c>
      <c r="N4334" t="s">
        <v>384</v>
      </c>
      <c r="O4334" t="s">
        <v>549</v>
      </c>
      <c r="P4334">
        <v>1.2481272444722479E-2</v>
      </c>
      <c r="Q4334" t="s">
        <v>162</v>
      </c>
      <c r="S4334" t="s">
        <v>496</v>
      </c>
      <c r="T4334" t="s">
        <v>549</v>
      </c>
      <c r="U4334">
        <v>1.9489602611211739E-2</v>
      </c>
      <c r="V4334" t="s">
        <v>162</v>
      </c>
    </row>
    <row r="4335" spans="9:22" x14ac:dyDescent="0.45">
      <c r="I4335" t="s">
        <v>272</v>
      </c>
      <c r="J4335" t="s">
        <v>550</v>
      </c>
      <c r="K4335">
        <v>5.9749374304536801E-5</v>
      </c>
      <c r="L4335" t="s">
        <v>162</v>
      </c>
      <c r="N4335" t="s">
        <v>384</v>
      </c>
      <c r="O4335" t="s">
        <v>550</v>
      </c>
      <c r="P4335">
        <v>3.5398531192214972E-3</v>
      </c>
      <c r="Q4335" t="s">
        <v>162</v>
      </c>
      <c r="S4335" t="s">
        <v>496</v>
      </c>
      <c r="T4335" t="s">
        <v>550</v>
      </c>
      <c r="U4335">
        <v>4.0875965108739826E-3</v>
      </c>
      <c r="V4335" t="s">
        <v>162</v>
      </c>
    </row>
    <row r="4336" spans="9:22" x14ac:dyDescent="0.45">
      <c r="I4336" t="s">
        <v>272</v>
      </c>
      <c r="J4336" t="s">
        <v>551</v>
      </c>
      <c r="K4336">
        <v>0</v>
      </c>
      <c r="L4336" t="s">
        <v>162</v>
      </c>
      <c r="N4336" t="s">
        <v>384</v>
      </c>
      <c r="O4336" t="s">
        <v>551</v>
      </c>
      <c r="P4336">
        <v>2.294416545858495E-2</v>
      </c>
      <c r="Q4336" t="s">
        <v>162</v>
      </c>
      <c r="S4336" t="s">
        <v>496</v>
      </c>
      <c r="T4336" t="s">
        <v>551</v>
      </c>
      <c r="U4336">
        <v>2.560432979705992E-2</v>
      </c>
      <c r="V4336" t="s">
        <v>162</v>
      </c>
    </row>
    <row r="4337" spans="9:22" x14ac:dyDescent="0.45">
      <c r="I4337" t="s">
        <v>273</v>
      </c>
      <c r="J4337" t="s">
        <v>161</v>
      </c>
      <c r="K4337">
        <v>1.634347902094773E-3</v>
      </c>
      <c r="L4337" t="s">
        <v>162</v>
      </c>
      <c r="N4337" t="s">
        <v>385</v>
      </c>
      <c r="O4337" t="s">
        <v>161</v>
      </c>
      <c r="P4337">
        <v>3.4702004152187146E-2</v>
      </c>
      <c r="Q4337" t="s">
        <v>162</v>
      </c>
      <c r="S4337" t="s">
        <v>497</v>
      </c>
      <c r="T4337" t="s">
        <v>161</v>
      </c>
      <c r="U4337">
        <v>4.4518738459063768E-2</v>
      </c>
      <c r="V4337" t="s">
        <v>162</v>
      </c>
    </row>
    <row r="4338" spans="9:22" x14ac:dyDescent="0.45">
      <c r="I4338" t="s">
        <v>273</v>
      </c>
      <c r="J4338" t="s">
        <v>163</v>
      </c>
      <c r="K4338">
        <v>4.8559205207285346E-3</v>
      </c>
      <c r="L4338" t="s">
        <v>162</v>
      </c>
      <c r="N4338" t="s">
        <v>385</v>
      </c>
      <c r="O4338" t="s">
        <v>163</v>
      </c>
      <c r="P4338">
        <v>3.5562444667873012E-3</v>
      </c>
      <c r="Q4338" t="s">
        <v>162</v>
      </c>
      <c r="S4338" t="s">
        <v>497</v>
      </c>
      <c r="T4338" t="s">
        <v>163</v>
      </c>
      <c r="U4338">
        <v>5.3726879983067117E-3</v>
      </c>
      <c r="V4338" t="s">
        <v>162</v>
      </c>
    </row>
    <row r="4339" spans="9:22" x14ac:dyDescent="0.45">
      <c r="I4339" t="s">
        <v>273</v>
      </c>
      <c r="J4339" t="s">
        <v>164</v>
      </c>
      <c r="K4339">
        <v>1.362050109027565E-2</v>
      </c>
      <c r="L4339" t="s">
        <v>162</v>
      </c>
      <c r="N4339" t="s">
        <v>385</v>
      </c>
      <c r="O4339" t="s">
        <v>164</v>
      </c>
      <c r="P4339">
        <v>6.3509455011519153E-3</v>
      </c>
      <c r="Q4339" t="s">
        <v>162</v>
      </c>
      <c r="S4339" t="s">
        <v>497</v>
      </c>
      <c r="T4339" t="s">
        <v>164</v>
      </c>
      <c r="U4339">
        <v>1.0744108295004476E-2</v>
      </c>
      <c r="V4339" t="s">
        <v>162</v>
      </c>
    </row>
    <row r="4340" spans="9:22" x14ac:dyDescent="0.45">
      <c r="I4340" t="s">
        <v>273</v>
      </c>
      <c r="J4340" t="s">
        <v>519</v>
      </c>
      <c r="K4340">
        <v>2.5096553497303168E-2</v>
      </c>
      <c r="L4340" t="s">
        <v>162</v>
      </c>
      <c r="N4340" t="s">
        <v>385</v>
      </c>
      <c r="O4340" t="s">
        <v>519</v>
      </c>
      <c r="P4340">
        <v>1.662118309255876E-2</v>
      </c>
      <c r="Q4340" t="s">
        <v>162</v>
      </c>
      <c r="S4340" t="s">
        <v>497</v>
      </c>
      <c r="T4340" t="s">
        <v>519</v>
      </c>
      <c r="U4340">
        <v>2.7719672095570094E-2</v>
      </c>
      <c r="V4340" t="s">
        <v>162</v>
      </c>
    </row>
    <row r="4341" spans="9:22" x14ac:dyDescent="0.45">
      <c r="I4341" t="s">
        <v>273</v>
      </c>
      <c r="J4341" t="s">
        <v>520</v>
      </c>
      <c r="K4341">
        <v>3.4587697991448951E-7</v>
      </c>
      <c r="L4341" t="s">
        <v>162</v>
      </c>
      <c r="N4341" t="s">
        <v>385</v>
      </c>
      <c r="O4341" t="s">
        <v>520</v>
      </c>
      <c r="P4341">
        <v>4.3411521373045592E-3</v>
      </c>
      <c r="Q4341" t="s">
        <v>162</v>
      </c>
      <c r="S4341" t="s">
        <v>497</v>
      </c>
      <c r="T4341" t="s">
        <v>520</v>
      </c>
      <c r="U4341">
        <v>5.5302166366330754E-3</v>
      </c>
      <c r="V4341" t="s">
        <v>162</v>
      </c>
    </row>
    <row r="4342" spans="9:22" x14ac:dyDescent="0.45">
      <c r="I4342" t="s">
        <v>273</v>
      </c>
      <c r="J4342" t="s">
        <v>521</v>
      </c>
      <c r="K4342">
        <v>0</v>
      </c>
      <c r="L4342" t="s">
        <v>162</v>
      </c>
      <c r="N4342" t="s">
        <v>385</v>
      </c>
      <c r="O4342" t="s">
        <v>521</v>
      </c>
      <c r="P4342">
        <v>2.8386946021536172E-2</v>
      </c>
      <c r="Q4342" t="s">
        <v>162</v>
      </c>
      <c r="S4342" t="s">
        <v>497</v>
      </c>
      <c r="T4342" t="s">
        <v>521</v>
      </c>
      <c r="U4342">
        <v>3.347717472369012E-2</v>
      </c>
      <c r="V4342" t="s">
        <v>162</v>
      </c>
    </row>
    <row r="4343" spans="9:22" x14ac:dyDescent="0.45">
      <c r="I4343" t="s">
        <v>273</v>
      </c>
      <c r="J4343" t="s">
        <v>165</v>
      </c>
      <c r="K4343">
        <v>1.0990983015077187E-2</v>
      </c>
      <c r="L4343" t="s">
        <v>162</v>
      </c>
      <c r="N4343" t="s">
        <v>385</v>
      </c>
      <c r="O4343" t="s">
        <v>165</v>
      </c>
      <c r="P4343">
        <v>5.6322651090260543E-2</v>
      </c>
      <c r="Q4343" t="s">
        <v>162</v>
      </c>
      <c r="S4343" t="s">
        <v>497</v>
      </c>
      <c r="T4343" t="s">
        <v>165</v>
      </c>
      <c r="U4343">
        <v>6.7549408180859152E-2</v>
      </c>
      <c r="V4343" t="s">
        <v>162</v>
      </c>
    </row>
    <row r="4344" spans="9:22" x14ac:dyDescent="0.45">
      <c r="I4344" t="s">
        <v>273</v>
      </c>
      <c r="J4344" t="s">
        <v>166</v>
      </c>
      <c r="K4344">
        <v>1.2349401885327009E-2</v>
      </c>
      <c r="L4344" t="s">
        <v>162</v>
      </c>
      <c r="N4344" t="s">
        <v>385</v>
      </c>
      <c r="O4344" t="s">
        <v>166</v>
      </c>
      <c r="P4344">
        <v>5.4200041498523371E-3</v>
      </c>
      <c r="Q4344" t="s">
        <v>162</v>
      </c>
      <c r="S4344" t="s">
        <v>497</v>
      </c>
      <c r="T4344" t="s">
        <v>166</v>
      </c>
      <c r="U4344">
        <v>7.4521956816563156E-3</v>
      </c>
      <c r="V4344" t="s">
        <v>162</v>
      </c>
    </row>
    <row r="4345" spans="9:22" x14ac:dyDescent="0.45">
      <c r="I4345" t="s">
        <v>273</v>
      </c>
      <c r="J4345" t="s">
        <v>167</v>
      </c>
      <c r="K4345">
        <v>3.1581571090602903E-2</v>
      </c>
      <c r="L4345" t="s">
        <v>162</v>
      </c>
      <c r="N4345" t="s">
        <v>385</v>
      </c>
      <c r="O4345" t="s">
        <v>167</v>
      </c>
      <c r="P4345">
        <v>9.4493511529453091E-3</v>
      </c>
      <c r="Q4345" t="s">
        <v>162</v>
      </c>
      <c r="S4345" t="s">
        <v>497</v>
      </c>
      <c r="T4345" t="s">
        <v>167</v>
      </c>
      <c r="U4345">
        <v>1.4282291637879196E-2</v>
      </c>
      <c r="V4345" t="s">
        <v>162</v>
      </c>
    </row>
    <row r="4346" spans="9:22" x14ac:dyDescent="0.45">
      <c r="I4346" t="s">
        <v>273</v>
      </c>
      <c r="J4346" t="s">
        <v>522</v>
      </c>
      <c r="K4346">
        <v>7.0608599448295548E-2</v>
      </c>
      <c r="L4346" t="s">
        <v>162</v>
      </c>
      <c r="N4346" t="s">
        <v>385</v>
      </c>
      <c r="O4346" t="s">
        <v>522</v>
      </c>
      <c r="P4346">
        <v>2.5446609246243968E-2</v>
      </c>
      <c r="Q4346" t="s">
        <v>162</v>
      </c>
      <c r="S4346" t="s">
        <v>497</v>
      </c>
      <c r="T4346" t="s">
        <v>522</v>
      </c>
      <c r="U4346">
        <v>3.5492139612381048E-2</v>
      </c>
      <c r="V4346" t="s">
        <v>162</v>
      </c>
    </row>
    <row r="4347" spans="9:22" x14ac:dyDescent="0.45">
      <c r="I4347" t="s">
        <v>273</v>
      </c>
      <c r="J4347" t="s">
        <v>523</v>
      </c>
      <c r="K4347">
        <v>7.0414493414057474E-3</v>
      </c>
      <c r="L4347" t="s">
        <v>162</v>
      </c>
      <c r="N4347" t="s">
        <v>385</v>
      </c>
      <c r="O4347" t="s">
        <v>523</v>
      </c>
      <c r="P4347">
        <v>6.2581344193747895E-3</v>
      </c>
      <c r="Q4347" t="s">
        <v>162</v>
      </c>
      <c r="S4347" t="s">
        <v>497</v>
      </c>
      <c r="T4347" t="s">
        <v>523</v>
      </c>
      <c r="U4347">
        <v>7.133331079120531E-3</v>
      </c>
      <c r="V4347" t="s">
        <v>162</v>
      </c>
    </row>
    <row r="4348" spans="9:22" x14ac:dyDescent="0.45">
      <c r="I4348" t="s">
        <v>273</v>
      </c>
      <c r="J4348" t="s">
        <v>524</v>
      </c>
      <c r="K4348">
        <v>1.8535911895668216E-3</v>
      </c>
      <c r="L4348" t="s">
        <v>162</v>
      </c>
      <c r="N4348" t="s">
        <v>385</v>
      </c>
      <c r="O4348" t="s">
        <v>524</v>
      </c>
      <c r="P4348">
        <v>3.965211341812945E-2</v>
      </c>
      <c r="Q4348" t="s">
        <v>162</v>
      </c>
      <c r="S4348" t="s">
        <v>497</v>
      </c>
      <c r="T4348" t="s">
        <v>524</v>
      </c>
      <c r="U4348">
        <v>4.4603076821113571E-2</v>
      </c>
      <c r="V4348" t="s">
        <v>162</v>
      </c>
    </row>
    <row r="4349" spans="9:22" x14ac:dyDescent="0.45">
      <c r="I4349" t="s">
        <v>273</v>
      </c>
      <c r="J4349" t="s">
        <v>168</v>
      </c>
      <c r="K4349">
        <v>1.8673219291884646E-2</v>
      </c>
      <c r="L4349" t="s">
        <v>162</v>
      </c>
      <c r="N4349" t="s">
        <v>385</v>
      </c>
      <c r="O4349" t="s">
        <v>168</v>
      </c>
      <c r="P4349">
        <v>3.336915249229943E-2</v>
      </c>
      <c r="Q4349" t="s">
        <v>162</v>
      </c>
      <c r="S4349" t="s">
        <v>497</v>
      </c>
      <c r="T4349" t="s">
        <v>168</v>
      </c>
      <c r="U4349">
        <v>3.0845136798975607E-2</v>
      </c>
      <c r="V4349" t="s">
        <v>162</v>
      </c>
    </row>
    <row r="4350" spans="9:22" x14ac:dyDescent="0.45">
      <c r="I4350" t="s">
        <v>273</v>
      </c>
      <c r="J4350" t="s">
        <v>169</v>
      </c>
      <c r="K4350">
        <v>9.91577260507682E-3</v>
      </c>
      <c r="L4350" t="s">
        <v>162</v>
      </c>
      <c r="N4350" t="s">
        <v>385</v>
      </c>
      <c r="O4350" t="s">
        <v>169</v>
      </c>
      <c r="P4350">
        <v>3.2610402063885818E-3</v>
      </c>
      <c r="Q4350" t="s">
        <v>162</v>
      </c>
      <c r="S4350" t="s">
        <v>497</v>
      </c>
      <c r="T4350" t="s">
        <v>169</v>
      </c>
      <c r="U4350">
        <v>3.264059062057313E-3</v>
      </c>
      <c r="V4350" t="s">
        <v>162</v>
      </c>
    </row>
    <row r="4351" spans="9:22" x14ac:dyDescent="0.45">
      <c r="I4351" t="s">
        <v>273</v>
      </c>
      <c r="J4351" t="s">
        <v>170</v>
      </c>
      <c r="K4351">
        <v>2.2024865714629079E-2</v>
      </c>
      <c r="L4351" t="s">
        <v>162</v>
      </c>
      <c r="N4351" t="s">
        <v>385</v>
      </c>
      <c r="O4351" t="s">
        <v>170</v>
      </c>
      <c r="P4351">
        <v>6.8936588220176028E-3</v>
      </c>
      <c r="Q4351" t="s">
        <v>162</v>
      </c>
      <c r="S4351" t="s">
        <v>497</v>
      </c>
      <c r="T4351" t="s">
        <v>170</v>
      </c>
      <c r="U4351">
        <v>6.8428857316755352E-3</v>
      </c>
      <c r="V4351" t="s">
        <v>162</v>
      </c>
    </row>
    <row r="4352" spans="9:22" x14ac:dyDescent="0.45">
      <c r="I4352" t="s">
        <v>273</v>
      </c>
      <c r="J4352" t="s">
        <v>525</v>
      </c>
      <c r="K4352">
        <v>5.3520055916327039E-2</v>
      </c>
      <c r="L4352" t="s">
        <v>162</v>
      </c>
      <c r="N4352" t="s">
        <v>385</v>
      </c>
      <c r="O4352" t="s">
        <v>525</v>
      </c>
      <c r="P4352">
        <v>2.0800529900807736E-2</v>
      </c>
      <c r="Q4352" t="s">
        <v>162</v>
      </c>
      <c r="S4352" t="s">
        <v>497</v>
      </c>
      <c r="T4352" t="s">
        <v>525</v>
      </c>
      <c r="U4352">
        <v>1.9501470660482228E-2</v>
      </c>
      <c r="V4352" t="s">
        <v>162</v>
      </c>
    </row>
    <row r="4353" spans="9:22" x14ac:dyDescent="0.45">
      <c r="I4353" t="s">
        <v>273</v>
      </c>
      <c r="J4353" t="s">
        <v>526</v>
      </c>
      <c r="K4353">
        <v>7.2575835730045064E-3</v>
      </c>
      <c r="L4353" t="s">
        <v>162</v>
      </c>
      <c r="N4353" t="s">
        <v>385</v>
      </c>
      <c r="O4353" t="s">
        <v>526</v>
      </c>
      <c r="P4353">
        <v>4.2965481883897975E-3</v>
      </c>
      <c r="Q4353" t="s">
        <v>162</v>
      </c>
      <c r="S4353" t="s">
        <v>497</v>
      </c>
      <c r="T4353" t="s">
        <v>526</v>
      </c>
      <c r="U4353">
        <v>3.6717758501069158E-3</v>
      </c>
      <c r="V4353" t="s">
        <v>162</v>
      </c>
    </row>
    <row r="4354" spans="9:22" x14ac:dyDescent="0.45">
      <c r="I4354" t="s">
        <v>273</v>
      </c>
      <c r="J4354" t="s">
        <v>527</v>
      </c>
      <c r="K4354">
        <v>5.0174202016282678E-3</v>
      </c>
      <c r="L4354" t="s">
        <v>162</v>
      </c>
      <c r="N4354" t="s">
        <v>385</v>
      </c>
      <c r="O4354" t="s">
        <v>527</v>
      </c>
      <c r="P4354">
        <v>2.7057459603952057E-2</v>
      </c>
      <c r="Q4354" t="s">
        <v>162</v>
      </c>
      <c r="S4354" t="s">
        <v>497</v>
      </c>
      <c r="T4354" t="s">
        <v>527</v>
      </c>
      <c r="U4354">
        <v>2.1733327172885196E-2</v>
      </c>
      <c r="V4354" t="s">
        <v>162</v>
      </c>
    </row>
    <row r="4355" spans="9:22" x14ac:dyDescent="0.45">
      <c r="I4355" t="s">
        <v>273</v>
      </c>
      <c r="J4355" t="s">
        <v>528</v>
      </c>
      <c r="K4355">
        <v>5.8976427176972261E-2</v>
      </c>
      <c r="L4355" t="s">
        <v>162</v>
      </c>
      <c r="N4355" t="s">
        <v>385</v>
      </c>
      <c r="O4355" t="s">
        <v>528</v>
      </c>
      <c r="P4355">
        <v>7.4856606414096957E-2</v>
      </c>
      <c r="Q4355" t="s">
        <v>162</v>
      </c>
      <c r="S4355" t="s">
        <v>497</v>
      </c>
      <c r="T4355" t="s">
        <v>528</v>
      </c>
      <c r="U4355">
        <v>6.3183811199744963E-2</v>
      </c>
      <c r="V4355" t="s">
        <v>162</v>
      </c>
    </row>
    <row r="4356" spans="9:22" x14ac:dyDescent="0.45">
      <c r="I4356" t="s">
        <v>273</v>
      </c>
      <c r="J4356" t="s">
        <v>529</v>
      </c>
      <c r="K4356">
        <v>2.8702208443419149E-2</v>
      </c>
      <c r="L4356" t="s">
        <v>162</v>
      </c>
      <c r="N4356" t="s">
        <v>385</v>
      </c>
      <c r="O4356" t="s">
        <v>529</v>
      </c>
      <c r="P4356">
        <v>6.1552494951515871E-3</v>
      </c>
      <c r="Q4356" t="s">
        <v>162</v>
      </c>
      <c r="S4356" t="s">
        <v>497</v>
      </c>
      <c r="T4356" t="s">
        <v>529</v>
      </c>
      <c r="U4356">
        <v>6.3017821997823579E-3</v>
      </c>
      <c r="V4356" t="s">
        <v>162</v>
      </c>
    </row>
    <row r="4357" spans="9:22" x14ac:dyDescent="0.45">
      <c r="I4357" t="s">
        <v>273</v>
      </c>
      <c r="J4357" t="s">
        <v>530</v>
      </c>
      <c r="K4357">
        <v>6.5563464099304747E-2</v>
      </c>
      <c r="L4357" t="s">
        <v>162</v>
      </c>
      <c r="N4357" t="s">
        <v>385</v>
      </c>
      <c r="O4357" t="s">
        <v>530</v>
      </c>
      <c r="P4357">
        <v>1.3930595244344483E-2</v>
      </c>
      <c r="Q4357" t="s">
        <v>162</v>
      </c>
      <c r="S4357" t="s">
        <v>497</v>
      </c>
      <c r="T4357" t="s">
        <v>530</v>
      </c>
      <c r="U4357">
        <v>1.4179594459298854E-2</v>
      </c>
      <c r="V4357" t="s">
        <v>162</v>
      </c>
    </row>
    <row r="4358" spans="9:22" x14ac:dyDescent="0.45">
      <c r="I4358" t="s">
        <v>273</v>
      </c>
      <c r="J4358" t="s">
        <v>531</v>
      </c>
      <c r="K4358">
        <v>0.16260583973665887</v>
      </c>
      <c r="L4358" t="s">
        <v>162</v>
      </c>
      <c r="N4358" t="s">
        <v>385</v>
      </c>
      <c r="O4358" t="s">
        <v>531</v>
      </c>
      <c r="P4358">
        <v>4.0430169291105426E-2</v>
      </c>
      <c r="Q4358" t="s">
        <v>162</v>
      </c>
      <c r="S4358" t="s">
        <v>497</v>
      </c>
      <c r="T4358" t="s">
        <v>531</v>
      </c>
      <c r="U4358">
        <v>4.1265333424922349E-2</v>
      </c>
      <c r="V4358" t="s">
        <v>162</v>
      </c>
    </row>
    <row r="4359" spans="9:22" x14ac:dyDescent="0.45">
      <c r="I4359" t="s">
        <v>273</v>
      </c>
      <c r="J4359" t="s">
        <v>532</v>
      </c>
      <c r="K4359">
        <v>2.3168919329729063E-2</v>
      </c>
      <c r="L4359" t="s">
        <v>162</v>
      </c>
      <c r="N4359" t="s">
        <v>385</v>
      </c>
      <c r="O4359" t="s">
        <v>532</v>
      </c>
      <c r="P4359">
        <v>7.7956146563816012E-3</v>
      </c>
      <c r="Q4359" t="s">
        <v>162</v>
      </c>
      <c r="S4359" t="s">
        <v>497</v>
      </c>
      <c r="T4359" t="s">
        <v>532</v>
      </c>
      <c r="U4359">
        <v>7.5979475115469869E-3</v>
      </c>
      <c r="V4359" t="s">
        <v>162</v>
      </c>
    </row>
    <row r="4360" spans="9:22" x14ac:dyDescent="0.45">
      <c r="I4360" t="s">
        <v>273</v>
      </c>
      <c r="J4360" t="s">
        <v>533</v>
      </c>
      <c r="K4360">
        <v>2.6654552244108277E-2</v>
      </c>
      <c r="L4360" t="s">
        <v>162</v>
      </c>
      <c r="N4360" t="s">
        <v>385</v>
      </c>
      <c r="O4360" t="s">
        <v>533</v>
      </c>
      <c r="P4360">
        <v>5.7825575023383084E-2</v>
      </c>
      <c r="Q4360" t="s">
        <v>162</v>
      </c>
      <c r="S4360" t="s">
        <v>497</v>
      </c>
      <c r="T4360" t="s">
        <v>533</v>
      </c>
      <c r="U4360">
        <v>4.6375695980222766E-2</v>
      </c>
      <c r="V4360" t="s">
        <v>162</v>
      </c>
    </row>
    <row r="4361" spans="9:22" x14ac:dyDescent="0.45">
      <c r="I4361" t="s">
        <v>273</v>
      </c>
      <c r="J4361" t="s">
        <v>534</v>
      </c>
      <c r="K4361">
        <v>3.8822445291621099E-2</v>
      </c>
      <c r="L4361" t="s">
        <v>162</v>
      </c>
      <c r="N4361" t="s">
        <v>385</v>
      </c>
      <c r="O4361" t="s">
        <v>534</v>
      </c>
      <c r="P4361">
        <v>0.1020112100385734</v>
      </c>
      <c r="Q4361" t="s">
        <v>162</v>
      </c>
      <c r="S4361" t="s">
        <v>497</v>
      </c>
      <c r="T4361" t="s">
        <v>534</v>
      </c>
      <c r="U4361">
        <v>8.3428193516376786E-2</v>
      </c>
      <c r="V4361" t="s">
        <v>162</v>
      </c>
    </row>
    <row r="4362" spans="9:22" x14ac:dyDescent="0.45">
      <c r="I4362" t="s">
        <v>273</v>
      </c>
      <c r="J4362" t="s">
        <v>535</v>
      </c>
      <c r="K4362">
        <v>2.4937189831763872E-2</v>
      </c>
      <c r="L4362" t="s">
        <v>162</v>
      </c>
      <c r="N4362" t="s">
        <v>385</v>
      </c>
      <c r="O4362" t="s">
        <v>535</v>
      </c>
      <c r="P4362">
        <v>9.4099985143322237E-3</v>
      </c>
      <c r="Q4362" t="s">
        <v>162</v>
      </c>
      <c r="S4362" t="s">
        <v>497</v>
      </c>
      <c r="T4362" t="s">
        <v>535</v>
      </c>
      <c r="U4362">
        <v>9.1000203699064322E-3</v>
      </c>
      <c r="V4362" t="s">
        <v>162</v>
      </c>
    </row>
    <row r="4363" spans="9:22" x14ac:dyDescent="0.45">
      <c r="I4363" t="s">
        <v>273</v>
      </c>
      <c r="J4363" t="s">
        <v>536</v>
      </c>
      <c r="K4363">
        <v>5.5569375127905087E-2</v>
      </c>
      <c r="L4363" t="s">
        <v>162</v>
      </c>
      <c r="N4363" t="s">
        <v>385</v>
      </c>
      <c r="O4363" t="s">
        <v>536</v>
      </c>
      <c r="P4363">
        <v>1.986447126507878E-2</v>
      </c>
      <c r="Q4363" t="s">
        <v>162</v>
      </c>
      <c r="S4363" t="s">
        <v>497</v>
      </c>
      <c r="T4363" t="s">
        <v>536</v>
      </c>
      <c r="U4363">
        <v>1.8975012599349982E-2</v>
      </c>
      <c r="V4363" t="s">
        <v>162</v>
      </c>
    </row>
    <row r="4364" spans="9:22" x14ac:dyDescent="0.45">
      <c r="I4364" t="s">
        <v>273</v>
      </c>
      <c r="J4364" t="s">
        <v>537</v>
      </c>
      <c r="K4364">
        <v>0.12813011430363674</v>
      </c>
      <c r="L4364" t="s">
        <v>162</v>
      </c>
      <c r="N4364" t="s">
        <v>385</v>
      </c>
      <c r="O4364" t="s">
        <v>537</v>
      </c>
      <c r="P4364">
        <v>5.7286477695730066E-2</v>
      </c>
      <c r="Q4364" t="s">
        <v>162</v>
      </c>
      <c r="S4364" t="s">
        <v>497</v>
      </c>
      <c r="T4364" t="s">
        <v>537</v>
      </c>
      <c r="U4364">
        <v>5.0714705705841724E-2</v>
      </c>
      <c r="V4364" t="s">
        <v>162</v>
      </c>
    </row>
    <row r="4365" spans="9:22" x14ac:dyDescent="0.45">
      <c r="I4365" t="s">
        <v>273</v>
      </c>
      <c r="J4365" t="s">
        <v>538</v>
      </c>
      <c r="K4365">
        <v>1.482417420548314E-2</v>
      </c>
      <c r="L4365" t="s">
        <v>162</v>
      </c>
      <c r="N4365" t="s">
        <v>385</v>
      </c>
      <c r="O4365" t="s">
        <v>538</v>
      </c>
      <c r="P4365">
        <v>1.1571989318115377E-2</v>
      </c>
      <c r="Q4365" t="s">
        <v>162</v>
      </c>
      <c r="S4365" t="s">
        <v>497</v>
      </c>
      <c r="T4365" t="s">
        <v>538</v>
      </c>
      <c r="U4365">
        <v>9.5135282857002606E-3</v>
      </c>
      <c r="V4365" t="s">
        <v>162</v>
      </c>
    </row>
    <row r="4366" spans="9:22" x14ac:dyDescent="0.45">
      <c r="I4366" t="s">
        <v>273</v>
      </c>
      <c r="J4366" t="s">
        <v>539</v>
      </c>
      <c r="K4366">
        <v>1.0119913647845943E-2</v>
      </c>
      <c r="L4366" t="s">
        <v>162</v>
      </c>
      <c r="N4366" t="s">
        <v>385</v>
      </c>
      <c r="O4366" t="s">
        <v>539</v>
      </c>
      <c r="P4366">
        <v>7.5782170356265319E-2</v>
      </c>
      <c r="Q4366" t="s">
        <v>162</v>
      </c>
      <c r="S4366" t="s">
        <v>497</v>
      </c>
      <c r="T4366" t="s">
        <v>539</v>
      </c>
      <c r="U4366">
        <v>5.7275773718378671E-2</v>
      </c>
      <c r="V4366" t="s">
        <v>162</v>
      </c>
    </row>
    <row r="4367" spans="9:22" x14ac:dyDescent="0.45">
      <c r="I4367" t="s">
        <v>273</v>
      </c>
      <c r="J4367" t="s">
        <v>540</v>
      </c>
      <c r="K4367">
        <v>2.7170386580084166E-3</v>
      </c>
      <c r="L4367" t="s">
        <v>162</v>
      </c>
      <c r="N4367" t="s">
        <v>385</v>
      </c>
      <c r="O4367" t="s">
        <v>540</v>
      </c>
      <c r="P4367">
        <v>4.5855115180184577E-2</v>
      </c>
      <c r="Q4367" t="s">
        <v>162</v>
      </c>
      <c r="S4367" t="s">
        <v>497</v>
      </c>
      <c r="T4367" t="s">
        <v>540</v>
      </c>
      <c r="U4367">
        <v>4.2201637536033364E-2</v>
      </c>
      <c r="V4367" t="s">
        <v>162</v>
      </c>
    </row>
    <row r="4368" spans="9:22" x14ac:dyDescent="0.45">
      <c r="I4368" t="s">
        <v>273</v>
      </c>
      <c r="J4368" t="s">
        <v>541</v>
      </c>
      <c r="K4368">
        <v>4.1260697466046466E-3</v>
      </c>
      <c r="L4368" t="s">
        <v>162</v>
      </c>
      <c r="N4368" t="s">
        <v>385</v>
      </c>
      <c r="O4368" t="s">
        <v>541</v>
      </c>
      <c r="P4368">
        <v>4.5326829496142281E-3</v>
      </c>
      <c r="Q4368" t="s">
        <v>162</v>
      </c>
      <c r="S4368" t="s">
        <v>497</v>
      </c>
      <c r="T4368" t="s">
        <v>541</v>
      </c>
      <c r="U4368">
        <v>4.7990570417586267E-3</v>
      </c>
      <c r="V4368" t="s">
        <v>162</v>
      </c>
    </row>
    <row r="4369" spans="9:22" x14ac:dyDescent="0.45">
      <c r="I4369" t="s">
        <v>273</v>
      </c>
      <c r="J4369" t="s">
        <v>542</v>
      </c>
      <c r="K4369">
        <v>9.8352084036454485E-3</v>
      </c>
      <c r="L4369" t="s">
        <v>162</v>
      </c>
      <c r="N4369" t="s">
        <v>385</v>
      </c>
      <c r="O4369" t="s">
        <v>542</v>
      </c>
      <c r="P4369">
        <v>8.0041513064641034E-3</v>
      </c>
      <c r="Q4369" t="s">
        <v>162</v>
      </c>
      <c r="S4369" t="s">
        <v>497</v>
      </c>
      <c r="T4369" t="s">
        <v>542</v>
      </c>
      <c r="U4369">
        <v>9.3856430133221081E-3</v>
      </c>
      <c r="V4369" t="s">
        <v>162</v>
      </c>
    </row>
    <row r="4370" spans="9:22" x14ac:dyDescent="0.45">
      <c r="I4370" t="s">
        <v>273</v>
      </c>
      <c r="J4370" t="s">
        <v>543</v>
      </c>
      <c r="K4370">
        <v>1.7599911116564851E-2</v>
      </c>
      <c r="L4370" t="s">
        <v>162</v>
      </c>
      <c r="N4370" t="s">
        <v>385</v>
      </c>
      <c r="O4370" t="s">
        <v>543</v>
      </c>
      <c r="P4370">
        <v>2.1107545374788362E-2</v>
      </c>
      <c r="Q4370" t="s">
        <v>162</v>
      </c>
      <c r="S4370" t="s">
        <v>497</v>
      </c>
      <c r="T4370" t="s">
        <v>543</v>
      </c>
      <c r="U4370">
        <v>2.3756445756415927E-2</v>
      </c>
      <c r="V4370" t="s">
        <v>162</v>
      </c>
    </row>
    <row r="4371" spans="9:22" x14ac:dyDescent="0.45">
      <c r="I4371" t="s">
        <v>273</v>
      </c>
      <c r="J4371" t="s">
        <v>544</v>
      </c>
      <c r="K4371">
        <v>0</v>
      </c>
      <c r="L4371" t="s">
        <v>162</v>
      </c>
      <c r="N4371" t="s">
        <v>385</v>
      </c>
      <c r="O4371" t="s">
        <v>544</v>
      </c>
      <c r="P4371">
        <v>4.7761339364637435E-3</v>
      </c>
      <c r="Q4371" t="s">
        <v>162</v>
      </c>
      <c r="S4371" t="s">
        <v>497</v>
      </c>
      <c r="T4371" t="s">
        <v>544</v>
      </c>
      <c r="U4371">
        <v>4.7577814923475698E-3</v>
      </c>
      <c r="V4371" t="s">
        <v>162</v>
      </c>
    </row>
    <row r="4372" spans="9:22" x14ac:dyDescent="0.45">
      <c r="I4372" t="s">
        <v>273</v>
      </c>
      <c r="J4372" t="s">
        <v>545</v>
      </c>
      <c r="K4372">
        <v>0</v>
      </c>
      <c r="L4372" t="s">
        <v>162</v>
      </c>
      <c r="N4372" t="s">
        <v>385</v>
      </c>
      <c r="O4372" t="s">
        <v>545</v>
      </c>
      <c r="P4372">
        <v>2.9414199306924547E-2</v>
      </c>
      <c r="Q4372" t="s">
        <v>162</v>
      </c>
      <c r="S4372" t="s">
        <v>497</v>
      </c>
      <c r="T4372" t="s">
        <v>545</v>
      </c>
      <c r="U4372">
        <v>2.7548142410239659E-2</v>
      </c>
      <c r="V4372" t="s">
        <v>162</v>
      </c>
    </row>
    <row r="4373" spans="9:22" x14ac:dyDescent="0.45">
      <c r="I4373" t="s">
        <v>273</v>
      </c>
      <c r="J4373" t="s">
        <v>546</v>
      </c>
      <c r="K4373">
        <v>8.6621143935943488E-4</v>
      </c>
      <c r="L4373" t="s">
        <v>162</v>
      </c>
      <c r="N4373" t="s">
        <v>385</v>
      </c>
      <c r="O4373" t="s">
        <v>546</v>
      </c>
      <c r="P4373">
        <v>3.1682060005023556E-2</v>
      </c>
      <c r="Q4373" t="s">
        <v>162</v>
      </c>
      <c r="S4373" t="s">
        <v>497</v>
      </c>
      <c r="T4373" t="s">
        <v>546</v>
      </c>
      <c r="U4373">
        <v>3.1597946718922444E-2</v>
      </c>
      <c r="V4373" t="s">
        <v>162</v>
      </c>
    </row>
    <row r="4374" spans="9:22" x14ac:dyDescent="0.45">
      <c r="I4374" t="s">
        <v>273</v>
      </c>
      <c r="J4374" t="s">
        <v>547</v>
      </c>
      <c r="K4374">
        <v>3.1947006151335678E-3</v>
      </c>
      <c r="L4374" t="s">
        <v>162</v>
      </c>
      <c r="N4374" t="s">
        <v>385</v>
      </c>
      <c r="O4374" t="s">
        <v>547</v>
      </c>
      <c r="P4374">
        <v>3.1755098178176664E-3</v>
      </c>
      <c r="Q4374" t="s">
        <v>162</v>
      </c>
      <c r="S4374" t="s">
        <v>497</v>
      </c>
      <c r="T4374" t="s">
        <v>547</v>
      </c>
      <c r="U4374">
        <v>3.2516217362013183E-3</v>
      </c>
      <c r="V4374" t="s">
        <v>162</v>
      </c>
    </row>
    <row r="4375" spans="9:22" x14ac:dyDescent="0.45">
      <c r="I4375" t="s">
        <v>273</v>
      </c>
      <c r="J4375" t="s">
        <v>548</v>
      </c>
      <c r="K4375">
        <v>9.7463081267541787E-3</v>
      </c>
      <c r="L4375" t="s">
        <v>162</v>
      </c>
      <c r="N4375" t="s">
        <v>385</v>
      </c>
      <c r="O4375" t="s">
        <v>548</v>
      </c>
      <c r="P4375">
        <v>5.2078716199799296E-3</v>
      </c>
      <c r="Q4375" t="s">
        <v>162</v>
      </c>
      <c r="S4375" t="s">
        <v>497</v>
      </c>
      <c r="T4375" t="s">
        <v>548</v>
      </c>
      <c r="U4375">
        <v>6.4145925339517988E-3</v>
      </c>
      <c r="V4375" t="s">
        <v>162</v>
      </c>
    </row>
    <row r="4376" spans="9:22" x14ac:dyDescent="0.45">
      <c r="I4376" t="s">
        <v>273</v>
      </c>
      <c r="J4376" t="s">
        <v>549</v>
      </c>
      <c r="K4376">
        <v>1.7797746295274749E-2</v>
      </c>
      <c r="L4376" t="s">
        <v>162</v>
      </c>
      <c r="N4376" t="s">
        <v>385</v>
      </c>
      <c r="O4376" t="s">
        <v>549</v>
      </c>
      <c r="P4376">
        <v>1.2089339623505882E-2</v>
      </c>
      <c r="Q4376" t="s">
        <v>162</v>
      </c>
      <c r="S4376" t="s">
        <v>497</v>
      </c>
      <c r="T4376" t="s">
        <v>549</v>
      </c>
      <c r="U4376">
        <v>1.8528264238677601E-2</v>
      </c>
      <c r="V4376" t="s">
        <v>162</v>
      </c>
    </row>
    <row r="4377" spans="9:22" x14ac:dyDescent="0.45">
      <c r="I4377" t="s">
        <v>273</v>
      </c>
      <c r="J4377" t="s">
        <v>550</v>
      </c>
      <c r="K4377">
        <v>0</v>
      </c>
      <c r="L4377" t="s">
        <v>162</v>
      </c>
      <c r="N4377" t="s">
        <v>385</v>
      </c>
      <c r="O4377" t="s">
        <v>550</v>
      </c>
      <c r="P4377">
        <v>3.1492052330501035E-3</v>
      </c>
      <c r="Q4377" t="s">
        <v>162</v>
      </c>
      <c r="S4377" t="s">
        <v>497</v>
      </c>
      <c r="T4377" t="s">
        <v>550</v>
      </c>
      <c r="U4377">
        <v>4.287276274558399E-3</v>
      </c>
      <c r="V4377" t="s">
        <v>162</v>
      </c>
    </row>
    <row r="4378" spans="9:22" x14ac:dyDescent="0.45">
      <c r="I4378" t="s">
        <v>273</v>
      </c>
      <c r="J4378" t="s">
        <v>551</v>
      </c>
      <c r="K4378">
        <v>0</v>
      </c>
      <c r="L4378" t="s">
        <v>162</v>
      </c>
      <c r="N4378" t="s">
        <v>385</v>
      </c>
      <c r="O4378" t="s">
        <v>551</v>
      </c>
      <c r="P4378">
        <v>2.1900330271437979E-2</v>
      </c>
      <c r="Q4378" t="s">
        <v>162</v>
      </c>
      <c r="S4378" t="s">
        <v>497</v>
      </c>
      <c r="T4378" t="s">
        <v>551</v>
      </c>
      <c r="U4378">
        <v>2.582649577903558E-2</v>
      </c>
      <c r="V4378" t="s">
        <v>162</v>
      </c>
    </row>
    <row r="4379" spans="9:22" x14ac:dyDescent="0.45">
      <c r="I4379" t="s">
        <v>274</v>
      </c>
      <c r="J4379" t="s">
        <v>161</v>
      </c>
      <c r="K4379">
        <v>4.5009277568161668E-4</v>
      </c>
      <c r="L4379" t="s">
        <v>162</v>
      </c>
      <c r="N4379" t="s">
        <v>386</v>
      </c>
      <c r="O4379" t="s">
        <v>161</v>
      </c>
      <c r="P4379">
        <v>3.2068114526110393E-2</v>
      </c>
      <c r="Q4379" t="s">
        <v>162</v>
      </c>
      <c r="S4379" t="s">
        <v>498</v>
      </c>
      <c r="T4379" t="s">
        <v>161</v>
      </c>
      <c r="U4379">
        <v>4.0659673899815153E-2</v>
      </c>
      <c r="V4379" t="s">
        <v>162</v>
      </c>
    </row>
    <row r="4380" spans="9:22" x14ac:dyDescent="0.45">
      <c r="I4380" t="s">
        <v>274</v>
      </c>
      <c r="J4380" t="s">
        <v>163</v>
      </c>
      <c r="K4380">
        <v>4.5710226234187213E-3</v>
      </c>
      <c r="L4380" t="s">
        <v>162</v>
      </c>
      <c r="N4380" t="s">
        <v>386</v>
      </c>
      <c r="O4380" t="s">
        <v>163</v>
      </c>
      <c r="P4380">
        <v>3.2978862688038436E-3</v>
      </c>
      <c r="Q4380" t="s">
        <v>162</v>
      </c>
      <c r="S4380" t="s">
        <v>498</v>
      </c>
      <c r="T4380" t="s">
        <v>163</v>
      </c>
      <c r="U4380">
        <v>4.1407785025996688E-3</v>
      </c>
      <c r="V4380" t="s">
        <v>162</v>
      </c>
    </row>
    <row r="4381" spans="9:22" x14ac:dyDescent="0.45">
      <c r="I4381" t="s">
        <v>274</v>
      </c>
      <c r="J4381" t="s">
        <v>164</v>
      </c>
      <c r="K4381">
        <v>1.3905946042326997E-2</v>
      </c>
      <c r="L4381" t="s">
        <v>162</v>
      </c>
      <c r="N4381" t="s">
        <v>386</v>
      </c>
      <c r="O4381" t="s">
        <v>164</v>
      </c>
      <c r="P4381">
        <v>5.3893078454375744E-3</v>
      </c>
      <c r="Q4381" t="s">
        <v>162</v>
      </c>
      <c r="S4381" t="s">
        <v>498</v>
      </c>
      <c r="T4381" t="s">
        <v>164</v>
      </c>
      <c r="U4381">
        <v>8.3879430053239966E-3</v>
      </c>
      <c r="V4381" t="s">
        <v>162</v>
      </c>
    </row>
    <row r="4382" spans="9:22" x14ac:dyDescent="0.45">
      <c r="I4382" t="s">
        <v>274</v>
      </c>
      <c r="J4382" t="s">
        <v>519</v>
      </c>
      <c r="K4382">
        <v>2.5962557712727839E-2</v>
      </c>
      <c r="L4382" t="s">
        <v>162</v>
      </c>
      <c r="N4382" t="s">
        <v>386</v>
      </c>
      <c r="O4382" t="s">
        <v>519</v>
      </c>
      <c r="P4382">
        <v>1.3965441803962716E-2</v>
      </c>
      <c r="Q4382" t="s">
        <v>162</v>
      </c>
      <c r="S4382" t="s">
        <v>498</v>
      </c>
      <c r="T4382" t="s">
        <v>519</v>
      </c>
      <c r="U4382">
        <v>2.1850275198979859E-2</v>
      </c>
      <c r="V4382" t="s">
        <v>162</v>
      </c>
    </row>
    <row r="4383" spans="9:22" x14ac:dyDescent="0.45">
      <c r="I4383" t="s">
        <v>274</v>
      </c>
      <c r="J4383" t="s">
        <v>520</v>
      </c>
      <c r="K4383">
        <v>7.339566932629797E-5</v>
      </c>
      <c r="L4383" t="s">
        <v>162</v>
      </c>
      <c r="N4383" t="s">
        <v>386</v>
      </c>
      <c r="O4383" t="s">
        <v>520</v>
      </c>
      <c r="P4383">
        <v>3.9003407219499776E-3</v>
      </c>
      <c r="Q4383" t="s">
        <v>162</v>
      </c>
      <c r="S4383" t="s">
        <v>498</v>
      </c>
      <c r="T4383" t="s">
        <v>520</v>
      </c>
      <c r="U4383">
        <v>4.6836013654014226E-3</v>
      </c>
      <c r="V4383" t="s">
        <v>162</v>
      </c>
    </row>
    <row r="4384" spans="9:22" x14ac:dyDescent="0.45">
      <c r="I4384" t="s">
        <v>274</v>
      </c>
      <c r="J4384" t="s">
        <v>521</v>
      </c>
      <c r="K4384">
        <v>0</v>
      </c>
      <c r="L4384" t="s">
        <v>162</v>
      </c>
      <c r="N4384" t="s">
        <v>386</v>
      </c>
      <c r="O4384" t="s">
        <v>521</v>
      </c>
      <c r="P4384">
        <v>2.5716448411877039E-2</v>
      </c>
      <c r="Q4384" t="s">
        <v>162</v>
      </c>
      <c r="S4384" t="s">
        <v>498</v>
      </c>
      <c r="T4384" t="s">
        <v>521</v>
      </c>
      <c r="U4384">
        <v>2.8872358395931108E-2</v>
      </c>
      <c r="V4384" t="s">
        <v>162</v>
      </c>
    </row>
    <row r="4385" spans="9:22" x14ac:dyDescent="0.45">
      <c r="I4385" t="s">
        <v>274</v>
      </c>
      <c r="J4385" t="s">
        <v>165</v>
      </c>
      <c r="K4385">
        <v>1.2049164315818681E-2</v>
      </c>
      <c r="L4385" t="s">
        <v>162</v>
      </c>
      <c r="N4385" t="s">
        <v>386</v>
      </c>
      <c r="O4385" t="s">
        <v>165</v>
      </c>
      <c r="P4385">
        <v>5.4323060211307041E-2</v>
      </c>
      <c r="Q4385" t="s">
        <v>162</v>
      </c>
      <c r="S4385" t="s">
        <v>498</v>
      </c>
      <c r="T4385" t="s">
        <v>165</v>
      </c>
      <c r="U4385">
        <v>7.4029410777131543E-2</v>
      </c>
      <c r="V4385" t="s">
        <v>162</v>
      </c>
    </row>
    <row r="4386" spans="9:22" x14ac:dyDescent="0.45">
      <c r="I4386" t="s">
        <v>274</v>
      </c>
      <c r="J4386" t="s">
        <v>166</v>
      </c>
      <c r="K4386">
        <v>1.421655206321077E-2</v>
      </c>
      <c r="L4386" t="s">
        <v>162</v>
      </c>
      <c r="N4386" t="s">
        <v>386</v>
      </c>
      <c r="O4386" t="s">
        <v>166</v>
      </c>
      <c r="P4386">
        <v>4.8114354650846559E-3</v>
      </c>
      <c r="Q4386" t="s">
        <v>162</v>
      </c>
      <c r="S4386" t="s">
        <v>498</v>
      </c>
      <c r="T4386" t="s">
        <v>166</v>
      </c>
      <c r="U4386">
        <v>7.971065543509917E-3</v>
      </c>
      <c r="V4386" t="s">
        <v>162</v>
      </c>
    </row>
    <row r="4387" spans="9:22" x14ac:dyDescent="0.45">
      <c r="I4387" t="s">
        <v>274</v>
      </c>
      <c r="J4387" t="s">
        <v>167</v>
      </c>
      <c r="K4387">
        <v>3.5757937325030624E-2</v>
      </c>
      <c r="L4387" t="s">
        <v>162</v>
      </c>
      <c r="N4387" t="s">
        <v>386</v>
      </c>
      <c r="O4387" t="s">
        <v>167</v>
      </c>
      <c r="P4387">
        <v>8.1980134755995446E-3</v>
      </c>
      <c r="Q4387" t="s">
        <v>162</v>
      </c>
      <c r="S4387" t="s">
        <v>498</v>
      </c>
      <c r="T4387" t="s">
        <v>167</v>
      </c>
      <c r="U4387">
        <v>1.5736936309905959E-2</v>
      </c>
      <c r="V4387" t="s">
        <v>162</v>
      </c>
    </row>
    <row r="4388" spans="9:22" x14ac:dyDescent="0.45">
      <c r="I4388" t="s">
        <v>274</v>
      </c>
      <c r="J4388" t="s">
        <v>522</v>
      </c>
      <c r="K4388">
        <v>8.0913673789254847E-2</v>
      </c>
      <c r="L4388" t="s">
        <v>162</v>
      </c>
      <c r="N4388" t="s">
        <v>386</v>
      </c>
      <c r="O4388" t="s">
        <v>522</v>
      </c>
      <c r="P4388">
        <v>2.3057855617701808E-2</v>
      </c>
      <c r="Q4388" t="s">
        <v>162</v>
      </c>
      <c r="S4388" t="s">
        <v>498</v>
      </c>
      <c r="T4388" t="s">
        <v>522</v>
      </c>
      <c r="U4388">
        <v>3.9938120801017475E-2</v>
      </c>
      <c r="V4388" t="s">
        <v>162</v>
      </c>
    </row>
    <row r="4389" spans="9:22" x14ac:dyDescent="0.45">
      <c r="I4389" t="s">
        <v>274</v>
      </c>
      <c r="J4389" t="s">
        <v>523</v>
      </c>
      <c r="K4389">
        <v>9.1326639153646461E-3</v>
      </c>
      <c r="L4389" t="s">
        <v>162</v>
      </c>
      <c r="N4389" t="s">
        <v>386</v>
      </c>
      <c r="O4389" t="s">
        <v>523</v>
      </c>
      <c r="P4389">
        <v>5.5581118544976082E-3</v>
      </c>
      <c r="Q4389" t="s">
        <v>162</v>
      </c>
      <c r="S4389" t="s">
        <v>498</v>
      </c>
      <c r="T4389" t="s">
        <v>523</v>
      </c>
      <c r="U4389">
        <v>8.4611650543939994E-3</v>
      </c>
      <c r="V4389" t="s">
        <v>162</v>
      </c>
    </row>
    <row r="4390" spans="9:22" x14ac:dyDescent="0.45">
      <c r="I4390" t="s">
        <v>274</v>
      </c>
      <c r="J4390" t="s">
        <v>524</v>
      </c>
      <c r="K4390">
        <v>2.9985939913727863E-3</v>
      </c>
      <c r="L4390" t="s">
        <v>162</v>
      </c>
      <c r="N4390" t="s">
        <v>386</v>
      </c>
      <c r="O4390" t="s">
        <v>524</v>
      </c>
      <c r="P4390">
        <v>4.1057233822325748E-2</v>
      </c>
      <c r="Q4390" t="s">
        <v>162</v>
      </c>
      <c r="S4390" t="s">
        <v>498</v>
      </c>
      <c r="T4390" t="s">
        <v>524</v>
      </c>
      <c r="U4390">
        <v>5.156611061501707E-2</v>
      </c>
      <c r="V4390" t="s">
        <v>162</v>
      </c>
    </row>
    <row r="4391" spans="9:22" x14ac:dyDescent="0.45">
      <c r="I4391" t="s">
        <v>274</v>
      </c>
      <c r="J4391" t="s">
        <v>168</v>
      </c>
      <c r="K4391">
        <v>1.6560788339617327E-2</v>
      </c>
      <c r="L4391" t="s">
        <v>162</v>
      </c>
      <c r="N4391" t="s">
        <v>386</v>
      </c>
      <c r="O4391" t="s">
        <v>168</v>
      </c>
      <c r="P4391">
        <v>3.5918135481361149E-2</v>
      </c>
      <c r="Q4391" t="s">
        <v>162</v>
      </c>
      <c r="S4391" t="s">
        <v>498</v>
      </c>
      <c r="T4391" t="s">
        <v>168</v>
      </c>
      <c r="U4391">
        <v>2.8745569156152912E-2</v>
      </c>
      <c r="V4391" t="s">
        <v>162</v>
      </c>
    </row>
    <row r="4392" spans="9:22" x14ac:dyDescent="0.45">
      <c r="I4392" t="s">
        <v>274</v>
      </c>
      <c r="J4392" t="s">
        <v>169</v>
      </c>
      <c r="K4392">
        <v>9.0040029025179567E-3</v>
      </c>
      <c r="L4392" t="s">
        <v>162</v>
      </c>
      <c r="N4392" t="s">
        <v>386</v>
      </c>
      <c r="O4392" t="s">
        <v>169</v>
      </c>
      <c r="P4392">
        <v>3.3825660655419968E-3</v>
      </c>
      <c r="Q4392" t="s">
        <v>162</v>
      </c>
      <c r="S4392" t="s">
        <v>498</v>
      </c>
      <c r="T4392" t="s">
        <v>169</v>
      </c>
      <c r="U4392">
        <v>3.1773105550491091E-3</v>
      </c>
      <c r="V4392" t="s">
        <v>162</v>
      </c>
    </row>
    <row r="4393" spans="9:22" x14ac:dyDescent="0.45">
      <c r="I4393" t="s">
        <v>274</v>
      </c>
      <c r="J4393" t="s">
        <v>170</v>
      </c>
      <c r="K4393">
        <v>2.1228359949827441E-2</v>
      </c>
      <c r="L4393" t="s">
        <v>162</v>
      </c>
      <c r="N4393" t="s">
        <v>386</v>
      </c>
      <c r="O4393" t="s">
        <v>170</v>
      </c>
      <c r="P4393">
        <v>7.5119279985741885E-3</v>
      </c>
      <c r="Q4393" t="s">
        <v>162</v>
      </c>
      <c r="S4393" t="s">
        <v>498</v>
      </c>
      <c r="T4393" t="s">
        <v>170</v>
      </c>
      <c r="U4393">
        <v>6.4548912787938794E-3</v>
      </c>
      <c r="V4393" t="s">
        <v>162</v>
      </c>
    </row>
    <row r="4394" spans="9:22" x14ac:dyDescent="0.45">
      <c r="I4394" t="s">
        <v>274</v>
      </c>
      <c r="J4394" t="s">
        <v>525</v>
      </c>
      <c r="K4394">
        <v>5.2179125057525415E-2</v>
      </c>
      <c r="L4394" t="s">
        <v>162</v>
      </c>
      <c r="N4394" t="s">
        <v>386</v>
      </c>
      <c r="O4394" t="s">
        <v>525</v>
      </c>
      <c r="P4394">
        <v>2.4166537593025027E-2</v>
      </c>
      <c r="Q4394" t="s">
        <v>162</v>
      </c>
      <c r="S4394" t="s">
        <v>498</v>
      </c>
      <c r="T4394" t="s">
        <v>525</v>
      </c>
      <c r="U4394">
        <v>1.6159154754531911E-2</v>
      </c>
      <c r="V4394" t="s">
        <v>162</v>
      </c>
    </row>
    <row r="4395" spans="9:22" x14ac:dyDescent="0.45">
      <c r="I4395" t="s">
        <v>274</v>
      </c>
      <c r="J4395" t="s">
        <v>526</v>
      </c>
      <c r="K4395">
        <v>6.7873756408581313E-3</v>
      </c>
      <c r="L4395" t="s">
        <v>162</v>
      </c>
      <c r="N4395" t="s">
        <v>386</v>
      </c>
      <c r="O4395" t="s">
        <v>526</v>
      </c>
      <c r="P4395">
        <v>4.502836002712389E-3</v>
      </c>
      <c r="Q4395" t="s">
        <v>162</v>
      </c>
      <c r="S4395" t="s">
        <v>498</v>
      </c>
      <c r="T4395" t="s">
        <v>526</v>
      </c>
      <c r="U4395">
        <v>3.1802294261430849E-3</v>
      </c>
      <c r="V4395" t="s">
        <v>162</v>
      </c>
    </row>
    <row r="4396" spans="9:22" x14ac:dyDescent="0.45">
      <c r="I4396" t="s">
        <v>274</v>
      </c>
      <c r="J4396" t="s">
        <v>527</v>
      </c>
      <c r="K4396">
        <v>5.2715455179621505E-3</v>
      </c>
      <c r="L4396" t="s">
        <v>162</v>
      </c>
      <c r="N4396" t="s">
        <v>386</v>
      </c>
      <c r="O4396" t="s">
        <v>527</v>
      </c>
      <c r="P4396">
        <v>2.8996044680344838E-2</v>
      </c>
      <c r="Q4396" t="s">
        <v>162</v>
      </c>
      <c r="S4396" t="s">
        <v>498</v>
      </c>
      <c r="T4396" t="s">
        <v>527</v>
      </c>
      <c r="U4396">
        <v>2.009860379132198E-2</v>
      </c>
      <c r="V4396" t="s">
        <v>162</v>
      </c>
    </row>
    <row r="4397" spans="9:22" x14ac:dyDescent="0.45">
      <c r="I4397" t="s">
        <v>274</v>
      </c>
      <c r="J4397" t="s">
        <v>528</v>
      </c>
      <c r="K4397">
        <v>5.5480339534375665E-2</v>
      </c>
      <c r="L4397" t="s">
        <v>162</v>
      </c>
      <c r="N4397" t="s">
        <v>386</v>
      </c>
      <c r="O4397" t="s">
        <v>528</v>
      </c>
      <c r="P4397">
        <v>8.0145258513162565E-2</v>
      </c>
      <c r="Q4397" t="s">
        <v>162</v>
      </c>
      <c r="S4397" t="s">
        <v>498</v>
      </c>
      <c r="T4397" t="s">
        <v>528</v>
      </c>
      <c r="U4397">
        <v>7.4846889027838523E-2</v>
      </c>
      <c r="V4397" t="s">
        <v>162</v>
      </c>
    </row>
    <row r="4398" spans="9:22" x14ac:dyDescent="0.45">
      <c r="I4398" t="s">
        <v>274</v>
      </c>
      <c r="J4398" t="s">
        <v>529</v>
      </c>
      <c r="K4398">
        <v>2.7028403173868499E-2</v>
      </c>
      <c r="L4398" t="s">
        <v>162</v>
      </c>
      <c r="N4398" t="s">
        <v>386</v>
      </c>
      <c r="O4398" t="s">
        <v>529</v>
      </c>
      <c r="P4398">
        <v>6.3978313592533828E-3</v>
      </c>
      <c r="Q4398" t="s">
        <v>162</v>
      </c>
      <c r="S4398" t="s">
        <v>498</v>
      </c>
      <c r="T4398" t="s">
        <v>529</v>
      </c>
      <c r="U4398">
        <v>7.5775736201890154E-3</v>
      </c>
      <c r="V4398" t="s">
        <v>162</v>
      </c>
    </row>
    <row r="4399" spans="9:22" x14ac:dyDescent="0.45">
      <c r="I4399" t="s">
        <v>274</v>
      </c>
      <c r="J4399" t="s">
        <v>530</v>
      </c>
      <c r="K4399">
        <v>6.2362256482188197E-2</v>
      </c>
      <c r="L4399" t="s">
        <v>162</v>
      </c>
      <c r="N4399" t="s">
        <v>386</v>
      </c>
      <c r="O4399" t="s">
        <v>530</v>
      </c>
      <c r="P4399">
        <v>1.4252068581287801E-2</v>
      </c>
      <c r="Q4399" t="s">
        <v>162</v>
      </c>
      <c r="S4399" t="s">
        <v>498</v>
      </c>
      <c r="T4399" t="s">
        <v>530</v>
      </c>
      <c r="U4399">
        <v>1.5982649009288138E-2</v>
      </c>
      <c r="V4399" t="s">
        <v>162</v>
      </c>
    </row>
    <row r="4400" spans="9:22" x14ac:dyDescent="0.45">
      <c r="I4400" t="s">
        <v>274</v>
      </c>
      <c r="J4400" t="s">
        <v>531</v>
      </c>
      <c r="K4400">
        <v>0.15506146901189158</v>
      </c>
      <c r="L4400" t="s">
        <v>162</v>
      </c>
      <c r="N4400" t="s">
        <v>386</v>
      </c>
      <c r="O4400" t="s">
        <v>531</v>
      </c>
      <c r="P4400">
        <v>4.0978941749342648E-2</v>
      </c>
      <c r="Q4400" t="s">
        <v>162</v>
      </c>
      <c r="S4400" t="s">
        <v>498</v>
      </c>
      <c r="T4400" t="s">
        <v>531</v>
      </c>
      <c r="U4400">
        <v>4.4457166072339772E-2</v>
      </c>
      <c r="V4400" t="s">
        <v>162</v>
      </c>
    </row>
    <row r="4401" spans="9:22" x14ac:dyDescent="0.45">
      <c r="I4401" t="s">
        <v>274</v>
      </c>
      <c r="J4401" t="s">
        <v>532</v>
      </c>
      <c r="K4401">
        <v>2.267464117742414E-2</v>
      </c>
      <c r="L4401" t="s">
        <v>162</v>
      </c>
      <c r="N4401" t="s">
        <v>386</v>
      </c>
      <c r="O4401" t="s">
        <v>532</v>
      </c>
      <c r="P4401">
        <v>7.5940187025353E-3</v>
      </c>
      <c r="Q4401" t="s">
        <v>162</v>
      </c>
      <c r="S4401" t="s">
        <v>498</v>
      </c>
      <c r="T4401" t="s">
        <v>532</v>
      </c>
      <c r="U4401">
        <v>8.8630025472232199E-3</v>
      </c>
      <c r="V4401" t="s">
        <v>162</v>
      </c>
    </row>
    <row r="4402" spans="9:22" x14ac:dyDescent="0.45">
      <c r="I4402" t="s">
        <v>274</v>
      </c>
      <c r="J4402" t="s">
        <v>533</v>
      </c>
      <c r="K4402">
        <v>2.9320390747342932E-2</v>
      </c>
      <c r="L4402" t="s">
        <v>162</v>
      </c>
      <c r="N4402" t="s">
        <v>386</v>
      </c>
      <c r="O4402" t="s">
        <v>533</v>
      </c>
      <c r="P4402">
        <v>6.1397688639958585E-2</v>
      </c>
      <c r="Q4402" t="s">
        <v>162</v>
      </c>
      <c r="S4402" t="s">
        <v>498</v>
      </c>
      <c r="T4402" t="s">
        <v>533</v>
      </c>
      <c r="U4402">
        <v>5.2286807293322211E-2</v>
      </c>
      <c r="V4402" t="s">
        <v>162</v>
      </c>
    </row>
    <row r="4403" spans="9:22" x14ac:dyDescent="0.45">
      <c r="I4403" t="s">
        <v>274</v>
      </c>
      <c r="J4403" t="s">
        <v>534</v>
      </c>
      <c r="K4403">
        <v>3.4916729504189982E-2</v>
      </c>
      <c r="L4403" t="s">
        <v>162</v>
      </c>
      <c r="N4403" t="s">
        <v>386</v>
      </c>
      <c r="O4403" t="s">
        <v>534</v>
      </c>
      <c r="P4403">
        <v>0.10455916302367914</v>
      </c>
      <c r="Q4403" t="s">
        <v>162</v>
      </c>
      <c r="S4403" t="s">
        <v>498</v>
      </c>
      <c r="T4403" t="s">
        <v>534</v>
      </c>
      <c r="U4403">
        <v>7.8809954206458088E-2</v>
      </c>
      <c r="V4403" t="s">
        <v>162</v>
      </c>
    </row>
    <row r="4404" spans="9:22" x14ac:dyDescent="0.45">
      <c r="I4404" t="s">
        <v>274</v>
      </c>
      <c r="J4404" t="s">
        <v>535</v>
      </c>
      <c r="K4404">
        <v>2.4227260691604059E-2</v>
      </c>
      <c r="L4404" t="s">
        <v>162</v>
      </c>
      <c r="N4404" t="s">
        <v>386</v>
      </c>
      <c r="O4404" t="s">
        <v>535</v>
      </c>
      <c r="P4404">
        <v>9.5728959930927796E-3</v>
      </c>
      <c r="Q4404" t="s">
        <v>162</v>
      </c>
      <c r="S4404" t="s">
        <v>498</v>
      </c>
      <c r="T4404" t="s">
        <v>535</v>
      </c>
      <c r="U4404">
        <v>8.5010195113058608E-3</v>
      </c>
      <c r="V4404" t="s">
        <v>162</v>
      </c>
    </row>
    <row r="4405" spans="9:22" x14ac:dyDescent="0.45">
      <c r="I4405" t="s">
        <v>274</v>
      </c>
      <c r="J4405" t="s">
        <v>536</v>
      </c>
      <c r="K4405">
        <v>5.5477252328018145E-2</v>
      </c>
      <c r="L4405" t="s">
        <v>162</v>
      </c>
      <c r="N4405" t="s">
        <v>386</v>
      </c>
      <c r="O4405" t="s">
        <v>536</v>
      </c>
      <c r="P4405">
        <v>1.9433750287207441E-2</v>
      </c>
      <c r="Q4405" t="s">
        <v>162</v>
      </c>
      <c r="S4405" t="s">
        <v>498</v>
      </c>
      <c r="T4405" t="s">
        <v>536</v>
      </c>
      <c r="U4405">
        <v>1.7594148301166197E-2</v>
      </c>
      <c r="V4405" t="s">
        <v>162</v>
      </c>
    </row>
    <row r="4406" spans="9:22" x14ac:dyDescent="0.45">
      <c r="I4406" t="s">
        <v>274</v>
      </c>
      <c r="J4406" t="s">
        <v>537</v>
      </c>
      <c r="K4406">
        <v>0.12971213157018302</v>
      </c>
      <c r="L4406" t="s">
        <v>162</v>
      </c>
      <c r="N4406" t="s">
        <v>386</v>
      </c>
      <c r="O4406" t="s">
        <v>537</v>
      </c>
      <c r="P4406">
        <v>5.53385726774763E-2</v>
      </c>
      <c r="Q4406" t="s">
        <v>162</v>
      </c>
      <c r="S4406" t="s">
        <v>498</v>
      </c>
      <c r="T4406" t="s">
        <v>537</v>
      </c>
      <c r="U4406">
        <v>4.7184867406534756E-2</v>
      </c>
      <c r="V4406" t="s">
        <v>162</v>
      </c>
    </row>
    <row r="4407" spans="9:22" x14ac:dyDescent="0.45">
      <c r="I4407" t="s">
        <v>274</v>
      </c>
      <c r="J4407" t="s">
        <v>538</v>
      </c>
      <c r="K4407">
        <v>1.5606309921512908E-2</v>
      </c>
      <c r="L4407" t="s">
        <v>162</v>
      </c>
      <c r="N4407" t="s">
        <v>386</v>
      </c>
      <c r="O4407" t="s">
        <v>538</v>
      </c>
      <c r="P4407">
        <v>1.1173534384313242E-2</v>
      </c>
      <c r="Q4407" t="s">
        <v>162</v>
      </c>
      <c r="S4407" t="s">
        <v>498</v>
      </c>
      <c r="T4407" t="s">
        <v>538</v>
      </c>
      <c r="U4407">
        <v>9.4909156154827073E-3</v>
      </c>
      <c r="V4407" t="s">
        <v>162</v>
      </c>
    </row>
    <row r="4408" spans="9:22" x14ac:dyDescent="0.45">
      <c r="I4408" t="s">
        <v>274</v>
      </c>
      <c r="J4408" t="s">
        <v>539</v>
      </c>
      <c r="K4408">
        <v>1.126239941892237E-2</v>
      </c>
      <c r="L4408" t="s">
        <v>162</v>
      </c>
      <c r="N4408" t="s">
        <v>386</v>
      </c>
      <c r="O4408" t="s">
        <v>539</v>
      </c>
      <c r="P4408">
        <v>7.5447758695982733E-2</v>
      </c>
      <c r="Q4408" t="s">
        <v>162</v>
      </c>
      <c r="S4408" t="s">
        <v>498</v>
      </c>
      <c r="T4408" t="s">
        <v>539</v>
      </c>
      <c r="U4408">
        <v>5.7241822310596421E-2</v>
      </c>
      <c r="V4408" t="s">
        <v>162</v>
      </c>
    </row>
    <row r="4409" spans="9:22" x14ac:dyDescent="0.45">
      <c r="I4409" t="s">
        <v>274</v>
      </c>
      <c r="J4409" t="s">
        <v>540</v>
      </c>
      <c r="K4409">
        <v>2.4073582269130631E-3</v>
      </c>
      <c r="L4409" t="s">
        <v>162</v>
      </c>
      <c r="N4409" t="s">
        <v>386</v>
      </c>
      <c r="O4409" t="s">
        <v>540</v>
      </c>
      <c r="P4409">
        <v>4.6235174678693335E-2</v>
      </c>
      <c r="Q4409" t="s">
        <v>162</v>
      </c>
      <c r="S4409" t="s">
        <v>498</v>
      </c>
      <c r="T4409" t="s">
        <v>540</v>
      </c>
      <c r="U4409">
        <v>3.3390867889546115E-2</v>
      </c>
      <c r="V4409" t="s">
        <v>162</v>
      </c>
    </row>
    <row r="4410" spans="9:22" x14ac:dyDescent="0.45">
      <c r="I4410" t="s">
        <v>274</v>
      </c>
      <c r="J4410" t="s">
        <v>541</v>
      </c>
      <c r="K4410">
        <v>3.6835743390958939E-3</v>
      </c>
      <c r="L4410" t="s">
        <v>162</v>
      </c>
      <c r="N4410" t="s">
        <v>386</v>
      </c>
      <c r="O4410" t="s">
        <v>541</v>
      </c>
      <c r="P4410">
        <v>4.619282061938363E-3</v>
      </c>
      <c r="Q4410" t="s">
        <v>162</v>
      </c>
      <c r="S4410" t="s">
        <v>498</v>
      </c>
      <c r="T4410" t="s">
        <v>541</v>
      </c>
      <c r="U4410">
        <v>3.9929550946068634E-3</v>
      </c>
      <c r="V4410" t="s">
        <v>162</v>
      </c>
    </row>
    <row r="4411" spans="9:22" x14ac:dyDescent="0.45">
      <c r="I4411" t="s">
        <v>274</v>
      </c>
      <c r="J4411" t="s">
        <v>542</v>
      </c>
      <c r="K4411">
        <v>9.282625754870117E-3</v>
      </c>
      <c r="L4411" t="s">
        <v>162</v>
      </c>
      <c r="N4411" t="s">
        <v>386</v>
      </c>
      <c r="O4411" t="s">
        <v>542</v>
      </c>
      <c r="P4411">
        <v>8.6044948445776464E-3</v>
      </c>
      <c r="Q4411" t="s">
        <v>162</v>
      </c>
      <c r="S4411" t="s">
        <v>498</v>
      </c>
      <c r="T4411" t="s">
        <v>542</v>
      </c>
      <c r="U4411">
        <v>8.1174979433068905E-3</v>
      </c>
      <c r="V4411" t="s">
        <v>162</v>
      </c>
    </row>
    <row r="4412" spans="9:22" x14ac:dyDescent="0.45">
      <c r="I4412" t="s">
        <v>274</v>
      </c>
      <c r="J4412" t="s">
        <v>543</v>
      </c>
      <c r="K4412">
        <v>1.7576058516006045E-2</v>
      </c>
      <c r="L4412" t="s">
        <v>162</v>
      </c>
      <c r="N4412" t="s">
        <v>386</v>
      </c>
      <c r="O4412" t="s">
        <v>543</v>
      </c>
      <c r="P4412">
        <v>2.2237281939987141E-2</v>
      </c>
      <c r="Q4412" t="s">
        <v>162</v>
      </c>
      <c r="S4412" t="s">
        <v>498</v>
      </c>
      <c r="T4412" t="s">
        <v>543</v>
      </c>
      <c r="U4412">
        <v>2.1065569282051829E-2</v>
      </c>
      <c r="V4412" t="s">
        <v>162</v>
      </c>
    </row>
    <row r="4413" spans="9:22" x14ac:dyDescent="0.45">
      <c r="I4413" t="s">
        <v>274</v>
      </c>
      <c r="J4413" t="s">
        <v>544</v>
      </c>
      <c r="K4413">
        <v>0</v>
      </c>
      <c r="L4413" t="s">
        <v>162</v>
      </c>
      <c r="N4413" t="s">
        <v>386</v>
      </c>
      <c r="O4413" t="s">
        <v>544</v>
      </c>
      <c r="P4413">
        <v>5.0497200333169236E-3</v>
      </c>
      <c r="Q4413" t="s">
        <v>162</v>
      </c>
      <c r="S4413" t="s">
        <v>498</v>
      </c>
      <c r="T4413" t="s">
        <v>544</v>
      </c>
      <c r="U4413">
        <v>4.1524071956568036E-3</v>
      </c>
      <c r="V4413" t="s">
        <v>162</v>
      </c>
    </row>
    <row r="4414" spans="9:22" x14ac:dyDescent="0.45">
      <c r="I4414" t="s">
        <v>274</v>
      </c>
      <c r="J4414" t="s">
        <v>545</v>
      </c>
      <c r="K4414">
        <v>0</v>
      </c>
      <c r="L4414" t="s">
        <v>162</v>
      </c>
      <c r="N4414" t="s">
        <v>386</v>
      </c>
      <c r="O4414" t="s">
        <v>545</v>
      </c>
      <c r="P4414">
        <v>3.099262536476452E-2</v>
      </c>
      <c r="Q4414" t="s">
        <v>162</v>
      </c>
      <c r="S4414" t="s">
        <v>498</v>
      </c>
      <c r="T4414" t="s">
        <v>545</v>
      </c>
      <c r="U4414">
        <v>2.3371821472616943E-2</v>
      </c>
      <c r="V4414" t="s">
        <v>162</v>
      </c>
    </row>
    <row r="4415" spans="9:22" x14ac:dyDescent="0.45">
      <c r="I4415" t="s">
        <v>274</v>
      </c>
      <c r="J4415" t="s">
        <v>546</v>
      </c>
      <c r="K4415">
        <v>7.0295232426596487E-5</v>
      </c>
      <c r="L4415" t="s">
        <v>162</v>
      </c>
      <c r="N4415" t="s">
        <v>386</v>
      </c>
      <c r="O4415" t="s">
        <v>546</v>
      </c>
      <c r="P4415">
        <v>2.80917261530583E-2</v>
      </c>
      <c r="Q4415" t="s">
        <v>162</v>
      </c>
      <c r="S4415" t="s">
        <v>498</v>
      </c>
      <c r="T4415" t="s">
        <v>546</v>
      </c>
      <c r="U4415">
        <v>3.8283145174667993E-2</v>
      </c>
      <c r="V4415" t="s">
        <v>162</v>
      </c>
    </row>
    <row r="4416" spans="9:22" x14ac:dyDescent="0.45">
      <c r="I4416" t="s">
        <v>274</v>
      </c>
      <c r="J4416" t="s">
        <v>547</v>
      </c>
      <c r="K4416">
        <v>3.1879549424918426E-3</v>
      </c>
      <c r="L4416" t="s">
        <v>162</v>
      </c>
      <c r="N4416" t="s">
        <v>386</v>
      </c>
      <c r="O4416" t="s">
        <v>547</v>
      </c>
      <c r="P4416">
        <v>2.545429128127049E-3</v>
      </c>
      <c r="Q4416" t="s">
        <v>162</v>
      </c>
      <c r="S4416" t="s">
        <v>498</v>
      </c>
      <c r="T4416" t="s">
        <v>547</v>
      </c>
      <c r="U4416">
        <v>4.2334095792294435E-3</v>
      </c>
      <c r="V4416" t="s">
        <v>162</v>
      </c>
    </row>
    <row r="4417" spans="9:22" x14ac:dyDescent="0.45">
      <c r="I4417" t="s">
        <v>274</v>
      </c>
      <c r="J4417" t="s">
        <v>548</v>
      </c>
      <c r="K4417">
        <v>1.0470913523711685E-2</v>
      </c>
      <c r="L4417" t="s">
        <v>162</v>
      </c>
      <c r="N4417" t="s">
        <v>386</v>
      </c>
      <c r="O4417" t="s">
        <v>548</v>
      </c>
      <c r="P4417">
        <v>3.7779947014956721E-3</v>
      </c>
      <c r="Q4417" t="s">
        <v>162</v>
      </c>
      <c r="S4417" t="s">
        <v>498</v>
      </c>
      <c r="T4417" t="s">
        <v>548</v>
      </c>
      <c r="U4417">
        <v>8.289075518037094E-3</v>
      </c>
      <c r="V4417" t="s">
        <v>162</v>
      </c>
    </row>
    <row r="4418" spans="9:22" x14ac:dyDescent="0.45">
      <c r="I4418" t="s">
        <v>274</v>
      </c>
      <c r="J4418" t="s">
        <v>549</v>
      </c>
      <c r="K4418">
        <v>1.9128838271119778E-2</v>
      </c>
      <c r="L4418" t="s">
        <v>162</v>
      </c>
      <c r="N4418" t="s">
        <v>386</v>
      </c>
      <c r="O4418" t="s">
        <v>549</v>
      </c>
      <c r="P4418">
        <v>9.809955138744119E-3</v>
      </c>
      <c r="Q4418" t="s">
        <v>162</v>
      </c>
      <c r="S4418" t="s">
        <v>498</v>
      </c>
      <c r="T4418" t="s">
        <v>549</v>
      </c>
      <c r="U4418">
        <v>1.9498255503173915E-2</v>
      </c>
      <c r="V4418" t="s">
        <v>162</v>
      </c>
    </row>
    <row r="4419" spans="9:22" x14ac:dyDescent="0.45">
      <c r="I4419" t="s">
        <v>274</v>
      </c>
      <c r="J4419" t="s">
        <v>550</v>
      </c>
      <c r="K4419">
        <v>0</v>
      </c>
      <c r="L4419" t="s">
        <v>162</v>
      </c>
      <c r="N4419" t="s">
        <v>386</v>
      </c>
      <c r="O4419" t="s">
        <v>550</v>
      </c>
      <c r="P4419">
        <v>3.2666840369794778E-3</v>
      </c>
      <c r="Q4419" t="s">
        <v>162</v>
      </c>
      <c r="S4419" t="s">
        <v>498</v>
      </c>
      <c r="T4419" t="s">
        <v>550</v>
      </c>
      <c r="U4419">
        <v>3.894786496498992E-3</v>
      </c>
      <c r="V4419" t="s">
        <v>162</v>
      </c>
    </row>
    <row r="4420" spans="9:22" x14ac:dyDescent="0.45">
      <c r="I4420" t="s">
        <v>274</v>
      </c>
      <c r="J4420" t="s">
        <v>551</v>
      </c>
      <c r="K4420">
        <v>0</v>
      </c>
      <c r="L4420" t="s">
        <v>162</v>
      </c>
      <c r="N4420" t="s">
        <v>386</v>
      </c>
      <c r="O4420" t="s">
        <v>551</v>
      </c>
      <c r="P4420">
        <v>2.2656851464809811E-2</v>
      </c>
      <c r="Q4420" t="s">
        <v>162</v>
      </c>
      <c r="S4420" t="s">
        <v>498</v>
      </c>
      <c r="T4420" t="s">
        <v>551</v>
      </c>
      <c r="U4420">
        <v>2.4760195497843359E-2</v>
      </c>
      <c r="V4420" t="s">
        <v>162</v>
      </c>
    </row>
    <row r="4421" spans="9:22" x14ac:dyDescent="0.45">
      <c r="I4421" t="s">
        <v>275</v>
      </c>
      <c r="J4421" t="s">
        <v>161</v>
      </c>
      <c r="K4421">
        <v>1.0198501413378411E-5</v>
      </c>
      <c r="L4421" t="s">
        <v>162</v>
      </c>
      <c r="N4421" t="s">
        <v>387</v>
      </c>
      <c r="O4421" t="s">
        <v>161</v>
      </c>
      <c r="P4421">
        <v>3.5081304779089759E-2</v>
      </c>
      <c r="Q4421" t="s">
        <v>162</v>
      </c>
      <c r="S4421" t="s">
        <v>499</v>
      </c>
      <c r="T4421" t="s">
        <v>161</v>
      </c>
      <c r="U4421">
        <v>4.2038483035694449E-2</v>
      </c>
      <c r="V4421" t="s">
        <v>162</v>
      </c>
    </row>
    <row r="4422" spans="9:22" x14ac:dyDescent="0.45">
      <c r="I4422" t="s">
        <v>275</v>
      </c>
      <c r="J4422" t="s">
        <v>163</v>
      </c>
      <c r="K4422">
        <v>2.8431954950192827E-3</v>
      </c>
      <c r="L4422" t="s">
        <v>162</v>
      </c>
      <c r="N4422" t="s">
        <v>387</v>
      </c>
      <c r="O4422" t="s">
        <v>163</v>
      </c>
      <c r="P4422">
        <v>3.509307306771345E-3</v>
      </c>
      <c r="Q4422" t="s">
        <v>162</v>
      </c>
      <c r="S4422" t="s">
        <v>499</v>
      </c>
      <c r="T4422" t="s">
        <v>163</v>
      </c>
      <c r="U4422">
        <v>4.7411216798757963E-3</v>
      </c>
      <c r="V4422" t="s">
        <v>162</v>
      </c>
    </row>
    <row r="4423" spans="9:22" x14ac:dyDescent="0.45">
      <c r="I4423" t="s">
        <v>275</v>
      </c>
      <c r="J4423" t="s">
        <v>164</v>
      </c>
      <c r="K4423">
        <v>1.0150784882212282E-2</v>
      </c>
      <c r="L4423" t="s">
        <v>162</v>
      </c>
      <c r="N4423" t="s">
        <v>387</v>
      </c>
      <c r="O4423" t="s">
        <v>164</v>
      </c>
      <c r="P4423">
        <v>5.9503235728714564E-3</v>
      </c>
      <c r="Q4423" t="s">
        <v>162</v>
      </c>
      <c r="S4423" t="s">
        <v>499</v>
      </c>
      <c r="T4423" t="s">
        <v>164</v>
      </c>
      <c r="U4423">
        <v>9.5720085562241101E-3</v>
      </c>
      <c r="V4423" t="s">
        <v>162</v>
      </c>
    </row>
    <row r="4424" spans="9:22" x14ac:dyDescent="0.45">
      <c r="I4424" t="s">
        <v>275</v>
      </c>
      <c r="J4424" t="s">
        <v>519</v>
      </c>
      <c r="K4424">
        <v>2.0621301899092195E-2</v>
      </c>
      <c r="L4424" t="s">
        <v>162</v>
      </c>
      <c r="N4424" t="s">
        <v>387</v>
      </c>
      <c r="O4424" t="s">
        <v>519</v>
      </c>
      <c r="P4424">
        <v>1.5559083942922857E-2</v>
      </c>
      <c r="Q4424" t="s">
        <v>162</v>
      </c>
      <c r="S4424" t="s">
        <v>499</v>
      </c>
      <c r="T4424" t="s">
        <v>519</v>
      </c>
      <c r="U4424">
        <v>2.516469709293543E-2</v>
      </c>
      <c r="V4424" t="s">
        <v>162</v>
      </c>
    </row>
    <row r="4425" spans="9:22" x14ac:dyDescent="0.45">
      <c r="I4425" t="s">
        <v>275</v>
      </c>
      <c r="J4425" t="s">
        <v>520</v>
      </c>
      <c r="K4425">
        <v>4.3049632160362496E-5</v>
      </c>
      <c r="L4425" t="s">
        <v>162</v>
      </c>
      <c r="N4425" t="s">
        <v>387</v>
      </c>
      <c r="O4425" t="s">
        <v>520</v>
      </c>
      <c r="P4425">
        <v>3.7801398735288995E-3</v>
      </c>
      <c r="Q4425" t="s">
        <v>162</v>
      </c>
      <c r="S4425" t="s">
        <v>499</v>
      </c>
      <c r="T4425" t="s">
        <v>520</v>
      </c>
      <c r="U4425">
        <v>5.1901099853722118E-3</v>
      </c>
      <c r="V4425" t="s">
        <v>162</v>
      </c>
    </row>
    <row r="4426" spans="9:22" x14ac:dyDescent="0.45">
      <c r="I4426" t="s">
        <v>275</v>
      </c>
      <c r="J4426" t="s">
        <v>521</v>
      </c>
      <c r="K4426">
        <v>0</v>
      </c>
      <c r="L4426" t="s">
        <v>162</v>
      </c>
      <c r="N4426" t="s">
        <v>387</v>
      </c>
      <c r="O4426" t="s">
        <v>521</v>
      </c>
      <c r="P4426">
        <v>2.5610714827101453E-2</v>
      </c>
      <c r="Q4426" t="s">
        <v>162</v>
      </c>
      <c r="S4426" t="s">
        <v>499</v>
      </c>
      <c r="T4426" t="s">
        <v>521</v>
      </c>
      <c r="U4426">
        <v>3.055526621936475E-2</v>
      </c>
      <c r="V4426" t="s">
        <v>162</v>
      </c>
    </row>
    <row r="4427" spans="9:22" x14ac:dyDescent="0.45">
      <c r="I4427" t="s">
        <v>275</v>
      </c>
      <c r="J4427" t="s">
        <v>165</v>
      </c>
      <c r="K4427">
        <v>1.1835634130881647E-2</v>
      </c>
      <c r="L4427" t="s">
        <v>162</v>
      </c>
      <c r="N4427" t="s">
        <v>387</v>
      </c>
      <c r="O4427" t="s">
        <v>165</v>
      </c>
      <c r="P4427">
        <v>5.5526650617490972E-2</v>
      </c>
      <c r="Q4427" t="s">
        <v>162</v>
      </c>
      <c r="S4427" t="s">
        <v>499</v>
      </c>
      <c r="T4427" t="s">
        <v>165</v>
      </c>
      <c r="U4427">
        <v>6.9684709006928233E-2</v>
      </c>
      <c r="V4427" t="s">
        <v>162</v>
      </c>
    </row>
    <row r="4428" spans="9:22" x14ac:dyDescent="0.45">
      <c r="I4428" t="s">
        <v>275</v>
      </c>
      <c r="J4428" t="s">
        <v>166</v>
      </c>
      <c r="K4428">
        <v>1.3843715769101404E-2</v>
      </c>
      <c r="L4428" t="s">
        <v>162</v>
      </c>
      <c r="N4428" t="s">
        <v>387</v>
      </c>
      <c r="O4428" t="s">
        <v>166</v>
      </c>
      <c r="P4428">
        <v>4.6822135261814094E-3</v>
      </c>
      <c r="Q4428" t="s">
        <v>162</v>
      </c>
      <c r="S4428" t="s">
        <v>499</v>
      </c>
      <c r="T4428" t="s">
        <v>166</v>
      </c>
      <c r="U4428">
        <v>7.3960085625406147E-3</v>
      </c>
      <c r="V4428" t="s">
        <v>162</v>
      </c>
    </row>
    <row r="4429" spans="9:22" x14ac:dyDescent="0.45">
      <c r="I4429" t="s">
        <v>275</v>
      </c>
      <c r="J4429" t="s">
        <v>167</v>
      </c>
      <c r="K4429">
        <v>3.462331416080975E-2</v>
      </c>
      <c r="L4429" t="s">
        <v>162</v>
      </c>
      <c r="N4429" t="s">
        <v>387</v>
      </c>
      <c r="O4429" t="s">
        <v>167</v>
      </c>
      <c r="P4429">
        <v>8.5824206359751323E-3</v>
      </c>
      <c r="Q4429" t="s">
        <v>162</v>
      </c>
      <c r="S4429" t="s">
        <v>499</v>
      </c>
      <c r="T4429" t="s">
        <v>167</v>
      </c>
      <c r="U4429">
        <v>1.4273280623502471E-2</v>
      </c>
      <c r="V4429" t="s">
        <v>162</v>
      </c>
    </row>
    <row r="4430" spans="9:22" x14ac:dyDescent="0.45">
      <c r="I4430" t="s">
        <v>275</v>
      </c>
      <c r="J4430" t="s">
        <v>522</v>
      </c>
      <c r="K4430">
        <v>7.8120951433373859E-2</v>
      </c>
      <c r="L4430" t="s">
        <v>162</v>
      </c>
      <c r="N4430" t="s">
        <v>387</v>
      </c>
      <c r="O4430" t="s">
        <v>522</v>
      </c>
      <c r="P4430">
        <v>2.5224493896869704E-2</v>
      </c>
      <c r="Q4430" t="s">
        <v>162</v>
      </c>
      <c r="S4430" t="s">
        <v>499</v>
      </c>
      <c r="T4430" t="s">
        <v>522</v>
      </c>
      <c r="U4430">
        <v>3.5598654718694667E-2</v>
      </c>
      <c r="V4430" t="s">
        <v>162</v>
      </c>
    </row>
    <row r="4431" spans="9:22" x14ac:dyDescent="0.45">
      <c r="I4431" t="s">
        <v>275</v>
      </c>
      <c r="J4431" t="s">
        <v>523</v>
      </c>
      <c r="K4431">
        <v>8.7163862883985997E-3</v>
      </c>
      <c r="L4431" t="s">
        <v>162</v>
      </c>
      <c r="N4431" t="s">
        <v>387</v>
      </c>
      <c r="O4431" t="s">
        <v>523</v>
      </c>
      <c r="P4431">
        <v>6.1106418289848825E-3</v>
      </c>
      <c r="Q4431" t="s">
        <v>162</v>
      </c>
      <c r="S4431" t="s">
        <v>499</v>
      </c>
      <c r="T4431" t="s">
        <v>523</v>
      </c>
      <c r="U4431">
        <v>7.4464100416617458E-3</v>
      </c>
      <c r="V4431" t="s">
        <v>162</v>
      </c>
    </row>
    <row r="4432" spans="9:22" x14ac:dyDescent="0.45">
      <c r="I4432" t="s">
        <v>275</v>
      </c>
      <c r="J4432" t="s">
        <v>524</v>
      </c>
      <c r="K4432">
        <v>2.8589061889469081E-3</v>
      </c>
      <c r="L4432" t="s">
        <v>162</v>
      </c>
      <c r="N4432" t="s">
        <v>387</v>
      </c>
      <c r="O4432" t="s">
        <v>524</v>
      </c>
      <c r="P4432">
        <v>4.5414341076345434E-2</v>
      </c>
      <c r="Q4432" t="s">
        <v>162</v>
      </c>
      <c r="S4432" t="s">
        <v>499</v>
      </c>
      <c r="T4432" t="s">
        <v>524</v>
      </c>
      <c r="U4432">
        <v>4.6649502858955381E-2</v>
      </c>
      <c r="V4432" t="s">
        <v>162</v>
      </c>
    </row>
    <row r="4433" spans="9:22" x14ac:dyDescent="0.45">
      <c r="I4433" t="s">
        <v>275</v>
      </c>
      <c r="J4433" t="s">
        <v>168</v>
      </c>
      <c r="K4433">
        <v>1.5588314907481174E-2</v>
      </c>
      <c r="L4433" t="s">
        <v>162</v>
      </c>
      <c r="N4433" t="s">
        <v>387</v>
      </c>
      <c r="O4433" t="s">
        <v>168</v>
      </c>
      <c r="P4433">
        <v>3.8185134718454514E-2</v>
      </c>
      <c r="Q4433" t="s">
        <v>162</v>
      </c>
      <c r="S4433" t="s">
        <v>499</v>
      </c>
      <c r="T4433" t="s">
        <v>168</v>
      </c>
      <c r="U4433">
        <v>2.9746669154751888E-2</v>
      </c>
      <c r="V4433" t="s">
        <v>162</v>
      </c>
    </row>
    <row r="4434" spans="9:22" x14ac:dyDescent="0.45">
      <c r="I4434" t="s">
        <v>275</v>
      </c>
      <c r="J4434" t="s">
        <v>169</v>
      </c>
      <c r="K4434">
        <v>9.2924588553571393E-3</v>
      </c>
      <c r="L4434" t="s">
        <v>162</v>
      </c>
      <c r="N4434" t="s">
        <v>387</v>
      </c>
      <c r="O4434" t="s">
        <v>169</v>
      </c>
      <c r="P4434">
        <v>3.4519142789654223E-3</v>
      </c>
      <c r="Q4434" t="s">
        <v>162</v>
      </c>
      <c r="S4434" t="s">
        <v>499</v>
      </c>
      <c r="T4434" t="s">
        <v>169</v>
      </c>
      <c r="U4434">
        <v>2.9251895196006029E-3</v>
      </c>
      <c r="V4434" t="s">
        <v>162</v>
      </c>
    </row>
    <row r="4435" spans="9:22" x14ac:dyDescent="0.45">
      <c r="I4435" t="s">
        <v>275</v>
      </c>
      <c r="J4435" t="s">
        <v>170</v>
      </c>
      <c r="K4435">
        <v>2.1622691443694605E-2</v>
      </c>
      <c r="L4435" t="s">
        <v>162</v>
      </c>
      <c r="N4435" t="s">
        <v>387</v>
      </c>
      <c r="O4435" t="s">
        <v>170</v>
      </c>
      <c r="P4435">
        <v>7.338100453020812E-3</v>
      </c>
      <c r="Q4435" t="s">
        <v>162</v>
      </c>
      <c r="S4435" t="s">
        <v>499</v>
      </c>
      <c r="T4435" t="s">
        <v>170</v>
      </c>
      <c r="U4435">
        <v>5.772557205758185E-3</v>
      </c>
      <c r="V4435" t="s">
        <v>162</v>
      </c>
    </row>
    <row r="4436" spans="9:22" x14ac:dyDescent="0.45">
      <c r="I4436" t="s">
        <v>275</v>
      </c>
      <c r="J4436" t="s">
        <v>525</v>
      </c>
      <c r="K4436">
        <v>5.2491765846810687E-2</v>
      </c>
      <c r="L4436" t="s">
        <v>162</v>
      </c>
      <c r="N4436" t="s">
        <v>387</v>
      </c>
      <c r="O4436" t="s">
        <v>525</v>
      </c>
      <c r="P4436">
        <v>2.0846123783933836E-2</v>
      </c>
      <c r="Q4436" t="s">
        <v>162</v>
      </c>
      <c r="S4436" t="s">
        <v>499</v>
      </c>
      <c r="T4436" t="s">
        <v>525</v>
      </c>
      <c r="U4436">
        <v>1.5426328695166736E-2</v>
      </c>
      <c r="V4436" t="s">
        <v>162</v>
      </c>
    </row>
    <row r="4437" spans="9:22" x14ac:dyDescent="0.45">
      <c r="I4437" t="s">
        <v>275</v>
      </c>
      <c r="J4437" t="s">
        <v>526</v>
      </c>
      <c r="K4437">
        <v>7.3320101416427226E-3</v>
      </c>
      <c r="L4437" t="s">
        <v>162</v>
      </c>
      <c r="N4437" t="s">
        <v>387</v>
      </c>
      <c r="O4437" t="s">
        <v>526</v>
      </c>
      <c r="P4437">
        <v>3.8303547530665208E-3</v>
      </c>
      <c r="Q4437" t="s">
        <v>162</v>
      </c>
      <c r="S4437" t="s">
        <v>499</v>
      </c>
      <c r="T4437" t="s">
        <v>526</v>
      </c>
      <c r="U4437">
        <v>3.3477343921827379E-3</v>
      </c>
      <c r="V4437" t="s">
        <v>162</v>
      </c>
    </row>
    <row r="4438" spans="9:22" x14ac:dyDescent="0.45">
      <c r="I4438" t="s">
        <v>275</v>
      </c>
      <c r="J4438" t="s">
        <v>527</v>
      </c>
      <c r="K4438">
        <v>6.4527060943334203E-3</v>
      </c>
      <c r="L4438" t="s">
        <v>162</v>
      </c>
      <c r="N4438" t="s">
        <v>387</v>
      </c>
      <c r="O4438" t="s">
        <v>527</v>
      </c>
      <c r="P4438">
        <v>2.7435433168514069E-2</v>
      </c>
      <c r="Q4438" t="s">
        <v>162</v>
      </c>
      <c r="S4438" t="s">
        <v>499</v>
      </c>
      <c r="T4438" t="s">
        <v>527</v>
      </c>
      <c r="U4438">
        <v>2.1099277114586288E-2</v>
      </c>
      <c r="V4438" t="s">
        <v>162</v>
      </c>
    </row>
    <row r="4439" spans="9:22" x14ac:dyDescent="0.45">
      <c r="I4439" t="s">
        <v>275</v>
      </c>
      <c r="J4439" t="s">
        <v>528</v>
      </c>
      <c r="K4439">
        <v>6.2521308562840161E-2</v>
      </c>
      <c r="L4439" t="s">
        <v>162</v>
      </c>
      <c r="N4439" t="s">
        <v>387</v>
      </c>
      <c r="O4439" t="s">
        <v>528</v>
      </c>
      <c r="P4439">
        <v>8.1484081675979328E-2</v>
      </c>
      <c r="Q4439" t="s">
        <v>162</v>
      </c>
      <c r="S4439" t="s">
        <v>499</v>
      </c>
      <c r="T4439" t="s">
        <v>528</v>
      </c>
      <c r="U4439">
        <v>7.2048716071772934E-2</v>
      </c>
      <c r="V4439" t="s">
        <v>162</v>
      </c>
    </row>
    <row r="4440" spans="9:22" x14ac:dyDescent="0.45">
      <c r="I4440" t="s">
        <v>275</v>
      </c>
      <c r="J4440" t="s">
        <v>529</v>
      </c>
      <c r="K4440">
        <v>2.9326859919555564E-2</v>
      </c>
      <c r="L4440" t="s">
        <v>162</v>
      </c>
      <c r="N4440" t="s">
        <v>387</v>
      </c>
      <c r="O4440" t="s">
        <v>529</v>
      </c>
      <c r="P4440">
        <v>6.7719195772712607E-3</v>
      </c>
      <c r="Q4440" t="s">
        <v>162</v>
      </c>
      <c r="S4440" t="s">
        <v>499</v>
      </c>
      <c r="T4440" t="s">
        <v>529</v>
      </c>
      <c r="U4440">
        <v>7.2807684029981452E-3</v>
      </c>
      <c r="V4440" t="s">
        <v>162</v>
      </c>
    </row>
    <row r="4441" spans="9:22" x14ac:dyDescent="0.45">
      <c r="I4441" t="s">
        <v>275</v>
      </c>
      <c r="J4441" t="s">
        <v>530</v>
      </c>
      <c r="K4441">
        <v>6.7364212321295996E-2</v>
      </c>
      <c r="L4441" t="s">
        <v>162</v>
      </c>
      <c r="N4441" t="s">
        <v>387</v>
      </c>
      <c r="O4441" t="s">
        <v>530</v>
      </c>
      <c r="P4441">
        <v>1.4790478892454844E-2</v>
      </c>
      <c r="Q4441" t="s">
        <v>162</v>
      </c>
      <c r="S4441" t="s">
        <v>499</v>
      </c>
      <c r="T4441" t="s">
        <v>530</v>
      </c>
      <c r="U4441">
        <v>1.5710706384182434E-2</v>
      </c>
      <c r="V4441" t="s">
        <v>162</v>
      </c>
    </row>
    <row r="4442" spans="9:22" x14ac:dyDescent="0.45">
      <c r="I4442" t="s">
        <v>275</v>
      </c>
      <c r="J4442" t="s">
        <v>531</v>
      </c>
      <c r="K4442">
        <v>0.16677168387614097</v>
      </c>
      <c r="L4442" t="s">
        <v>162</v>
      </c>
      <c r="N4442" t="s">
        <v>387</v>
      </c>
      <c r="O4442" t="s">
        <v>531</v>
      </c>
      <c r="P4442">
        <v>4.2327827148840716E-2</v>
      </c>
      <c r="Q4442" t="s">
        <v>162</v>
      </c>
      <c r="S4442" t="s">
        <v>499</v>
      </c>
      <c r="T4442" t="s">
        <v>531</v>
      </c>
      <c r="U4442">
        <v>4.6396515990635122E-2</v>
      </c>
      <c r="V4442" t="s">
        <v>162</v>
      </c>
    </row>
    <row r="4443" spans="9:22" x14ac:dyDescent="0.45">
      <c r="I4443" t="s">
        <v>275</v>
      </c>
      <c r="J4443" t="s">
        <v>532</v>
      </c>
      <c r="K4443">
        <v>2.4877395081726067E-2</v>
      </c>
      <c r="L4443" t="s">
        <v>162</v>
      </c>
      <c r="N4443" t="s">
        <v>387</v>
      </c>
      <c r="O4443" t="s">
        <v>532</v>
      </c>
      <c r="P4443">
        <v>7.9045444352411707E-3</v>
      </c>
      <c r="Q4443" t="s">
        <v>162</v>
      </c>
      <c r="S4443" t="s">
        <v>499</v>
      </c>
      <c r="T4443" t="s">
        <v>532</v>
      </c>
      <c r="U4443">
        <v>9.4057140582581474E-3</v>
      </c>
      <c r="V4443" t="s">
        <v>162</v>
      </c>
    </row>
    <row r="4444" spans="9:22" x14ac:dyDescent="0.45">
      <c r="I4444" t="s">
        <v>275</v>
      </c>
      <c r="J4444" t="s">
        <v>533</v>
      </c>
      <c r="K4444">
        <v>3.6271455321270213E-2</v>
      </c>
      <c r="L4444" t="s">
        <v>162</v>
      </c>
      <c r="N4444" t="s">
        <v>387</v>
      </c>
      <c r="O4444" t="s">
        <v>533</v>
      </c>
      <c r="P4444">
        <v>6.1818158264556632E-2</v>
      </c>
      <c r="Q4444" t="s">
        <v>162</v>
      </c>
      <c r="S4444" t="s">
        <v>499</v>
      </c>
      <c r="T4444" t="s">
        <v>533</v>
      </c>
      <c r="U4444">
        <v>5.6031179693726438E-2</v>
      </c>
      <c r="V4444" t="s">
        <v>162</v>
      </c>
    </row>
    <row r="4445" spans="9:22" x14ac:dyDescent="0.45">
      <c r="I4445" t="s">
        <v>275</v>
      </c>
      <c r="J4445" t="s">
        <v>534</v>
      </c>
      <c r="K4445">
        <v>3.4609250032748839E-2</v>
      </c>
      <c r="L4445" t="s">
        <v>162</v>
      </c>
      <c r="N4445" t="s">
        <v>387</v>
      </c>
      <c r="O4445" t="s">
        <v>534</v>
      </c>
      <c r="P4445">
        <v>9.867162536215951E-2</v>
      </c>
      <c r="Q4445" t="s">
        <v>162</v>
      </c>
      <c r="S4445" t="s">
        <v>499</v>
      </c>
      <c r="T4445" t="s">
        <v>534</v>
      </c>
      <c r="U4445">
        <v>8.0202666652882018E-2</v>
      </c>
      <c r="V4445" t="s">
        <v>162</v>
      </c>
    </row>
    <row r="4446" spans="9:22" x14ac:dyDescent="0.45">
      <c r="I4446" t="s">
        <v>275</v>
      </c>
      <c r="J4446" t="s">
        <v>535</v>
      </c>
      <c r="K4446">
        <v>2.3301681090835726E-2</v>
      </c>
      <c r="L4446" t="s">
        <v>162</v>
      </c>
      <c r="N4446" t="s">
        <v>387</v>
      </c>
      <c r="O4446" t="s">
        <v>535</v>
      </c>
      <c r="P4446">
        <v>9.4775802721449344E-3</v>
      </c>
      <c r="Q4446" t="s">
        <v>162</v>
      </c>
      <c r="S4446" t="s">
        <v>499</v>
      </c>
      <c r="T4446" t="s">
        <v>535</v>
      </c>
      <c r="U4446">
        <v>8.7242570034441729E-3</v>
      </c>
      <c r="V4446" t="s">
        <v>162</v>
      </c>
    </row>
    <row r="4447" spans="9:22" x14ac:dyDescent="0.45">
      <c r="I4447" t="s">
        <v>275</v>
      </c>
      <c r="J4447" t="s">
        <v>536</v>
      </c>
      <c r="K4447">
        <v>5.2573714057056874E-2</v>
      </c>
      <c r="L4447" t="s">
        <v>162</v>
      </c>
      <c r="N4447" t="s">
        <v>387</v>
      </c>
      <c r="O4447" t="s">
        <v>536</v>
      </c>
      <c r="P4447">
        <v>1.9767065128693358E-2</v>
      </c>
      <c r="Q4447" t="s">
        <v>162</v>
      </c>
      <c r="S4447" t="s">
        <v>499</v>
      </c>
      <c r="T4447" t="s">
        <v>536</v>
      </c>
      <c r="U4447">
        <v>1.808724427922475E-2</v>
      </c>
      <c r="V4447" t="s">
        <v>162</v>
      </c>
    </row>
    <row r="4448" spans="9:22" x14ac:dyDescent="0.45">
      <c r="I4448" t="s">
        <v>275</v>
      </c>
      <c r="J4448" t="s">
        <v>537</v>
      </c>
      <c r="K4448">
        <v>0.11994019911220243</v>
      </c>
      <c r="L4448" t="s">
        <v>162</v>
      </c>
      <c r="N4448" t="s">
        <v>387</v>
      </c>
      <c r="O4448" t="s">
        <v>537</v>
      </c>
      <c r="P4448">
        <v>5.2395918143583804E-2</v>
      </c>
      <c r="Q4448" t="s">
        <v>162</v>
      </c>
      <c r="S4448" t="s">
        <v>499</v>
      </c>
      <c r="T4448" t="s">
        <v>537</v>
      </c>
      <c r="U4448">
        <v>5.0653612282330777E-2</v>
      </c>
      <c r="V4448" t="s">
        <v>162</v>
      </c>
    </row>
    <row r="4449" spans="9:22" x14ac:dyDescent="0.45">
      <c r="I4449" t="s">
        <v>275</v>
      </c>
      <c r="J4449" t="s">
        <v>538</v>
      </c>
      <c r="K4449">
        <v>1.4845749829555062E-2</v>
      </c>
      <c r="L4449" t="s">
        <v>162</v>
      </c>
      <c r="N4449" t="s">
        <v>387</v>
      </c>
      <c r="O4449" t="s">
        <v>538</v>
      </c>
      <c r="P4449">
        <v>1.0359910025768696E-2</v>
      </c>
      <c r="Q4449" t="s">
        <v>162</v>
      </c>
      <c r="S4449" t="s">
        <v>499</v>
      </c>
      <c r="T4449" t="s">
        <v>538</v>
      </c>
      <c r="U4449">
        <v>1.003549141127235E-2</v>
      </c>
      <c r="V4449" t="s">
        <v>162</v>
      </c>
    </row>
    <row r="4450" spans="9:22" x14ac:dyDescent="0.45">
      <c r="I4450" t="s">
        <v>275</v>
      </c>
      <c r="J4450" t="s">
        <v>539</v>
      </c>
      <c r="K4450">
        <v>1.1303014097845562E-2</v>
      </c>
      <c r="L4450" t="s">
        <v>162</v>
      </c>
      <c r="N4450" t="s">
        <v>387</v>
      </c>
      <c r="O4450" t="s">
        <v>539</v>
      </c>
      <c r="P4450">
        <v>7.1900028083350415E-2</v>
      </c>
      <c r="Q4450" t="s">
        <v>162</v>
      </c>
      <c r="S4450" t="s">
        <v>499</v>
      </c>
      <c r="T4450" t="s">
        <v>539</v>
      </c>
      <c r="U4450">
        <v>5.8887941468258959E-2</v>
      </c>
      <c r="V4450" t="s">
        <v>162</v>
      </c>
    </row>
    <row r="4451" spans="9:22" x14ac:dyDescent="0.45">
      <c r="I4451" t="s">
        <v>275</v>
      </c>
      <c r="J4451" t="s">
        <v>540</v>
      </c>
      <c r="K4451">
        <v>1.9007392510598283E-3</v>
      </c>
      <c r="L4451" t="s">
        <v>162</v>
      </c>
      <c r="N4451" t="s">
        <v>387</v>
      </c>
      <c r="O4451" t="s">
        <v>540</v>
      </c>
      <c r="P4451">
        <v>4.5415750435954208E-2</v>
      </c>
      <c r="Q4451" t="s">
        <v>162</v>
      </c>
      <c r="S4451" t="s">
        <v>499</v>
      </c>
      <c r="T4451" t="s">
        <v>540</v>
      </c>
      <c r="U4451">
        <v>3.3630459018104547E-2</v>
      </c>
      <c r="V4451" t="s">
        <v>162</v>
      </c>
    </row>
    <row r="4452" spans="9:22" x14ac:dyDescent="0.45">
      <c r="I4452" t="s">
        <v>275</v>
      </c>
      <c r="J4452" t="s">
        <v>541</v>
      </c>
      <c r="K4452">
        <v>3.4230342910677048E-3</v>
      </c>
      <c r="L4452" t="s">
        <v>162</v>
      </c>
      <c r="N4452" t="s">
        <v>387</v>
      </c>
      <c r="O4452" t="s">
        <v>541</v>
      </c>
      <c r="P4452">
        <v>4.6811834061772873E-3</v>
      </c>
      <c r="Q4452" t="s">
        <v>162</v>
      </c>
      <c r="S4452" t="s">
        <v>499</v>
      </c>
      <c r="T4452" t="s">
        <v>541</v>
      </c>
      <c r="U4452">
        <v>3.8283556239925086E-3</v>
      </c>
      <c r="V4452" t="s">
        <v>162</v>
      </c>
    </row>
    <row r="4453" spans="9:22" x14ac:dyDescent="0.45">
      <c r="I4453" t="s">
        <v>275</v>
      </c>
      <c r="J4453" t="s">
        <v>542</v>
      </c>
      <c r="K4453">
        <v>9.4226102297157305E-3</v>
      </c>
      <c r="L4453" t="s">
        <v>162</v>
      </c>
      <c r="N4453" t="s">
        <v>387</v>
      </c>
      <c r="O4453" t="s">
        <v>542</v>
      </c>
      <c r="P4453">
        <v>8.964227437394081E-3</v>
      </c>
      <c r="Q4453" t="s">
        <v>162</v>
      </c>
      <c r="S4453" t="s">
        <v>499</v>
      </c>
      <c r="T4453" t="s">
        <v>542</v>
      </c>
      <c r="U4453">
        <v>7.6744099743970527E-3</v>
      </c>
      <c r="V4453" t="s">
        <v>162</v>
      </c>
    </row>
    <row r="4454" spans="9:22" x14ac:dyDescent="0.45">
      <c r="I4454" t="s">
        <v>275</v>
      </c>
      <c r="J4454" t="s">
        <v>543</v>
      </c>
      <c r="K4454">
        <v>1.798609548652429E-2</v>
      </c>
      <c r="L4454" t="s">
        <v>162</v>
      </c>
      <c r="N4454" t="s">
        <v>387</v>
      </c>
      <c r="O4454" t="s">
        <v>543</v>
      </c>
      <c r="P4454">
        <v>2.0975231639722345E-2</v>
      </c>
      <c r="Q4454" t="s">
        <v>162</v>
      </c>
      <c r="S4454" t="s">
        <v>499</v>
      </c>
      <c r="T4454" t="s">
        <v>543</v>
      </c>
      <c r="U4454">
        <v>1.9740957320704414E-2</v>
      </c>
      <c r="V4454" t="s">
        <v>162</v>
      </c>
    </row>
    <row r="4455" spans="9:22" x14ac:dyDescent="0.45">
      <c r="I4455" t="s">
        <v>275</v>
      </c>
      <c r="J4455" t="s">
        <v>544</v>
      </c>
      <c r="K4455">
        <v>0</v>
      </c>
      <c r="L4455" t="s">
        <v>162</v>
      </c>
      <c r="N4455" t="s">
        <v>387</v>
      </c>
      <c r="O4455" t="s">
        <v>544</v>
      </c>
      <c r="P4455">
        <v>4.5408749194710317E-3</v>
      </c>
      <c r="Q4455" t="s">
        <v>162</v>
      </c>
      <c r="S4455" t="s">
        <v>499</v>
      </c>
      <c r="T4455" t="s">
        <v>544</v>
      </c>
      <c r="U4455">
        <v>4.0741085835839224E-3</v>
      </c>
      <c r="V4455" t="s">
        <v>162</v>
      </c>
    </row>
    <row r="4456" spans="9:22" x14ac:dyDescent="0.45">
      <c r="I4456" t="s">
        <v>275</v>
      </c>
      <c r="J4456" t="s">
        <v>545</v>
      </c>
      <c r="K4456">
        <v>0</v>
      </c>
      <c r="L4456" t="s">
        <v>162</v>
      </c>
      <c r="N4456" t="s">
        <v>387</v>
      </c>
      <c r="O4456" t="s">
        <v>545</v>
      </c>
      <c r="P4456">
        <v>2.958434827517141E-2</v>
      </c>
      <c r="Q4456" t="s">
        <v>162</v>
      </c>
      <c r="S4456" t="s">
        <v>499</v>
      </c>
      <c r="T4456" t="s">
        <v>545</v>
      </c>
      <c r="U4456">
        <v>2.3582830362929533E-2</v>
      </c>
      <c r="V4456" t="s">
        <v>162</v>
      </c>
    </row>
    <row r="4457" spans="9:22" x14ac:dyDescent="0.45">
      <c r="I4457" t="s">
        <v>275</v>
      </c>
      <c r="J4457" t="s">
        <v>546</v>
      </c>
      <c r="K4457">
        <v>2.2523643937175908E-6</v>
      </c>
      <c r="L4457" t="s">
        <v>162</v>
      </c>
      <c r="N4457" t="s">
        <v>387</v>
      </c>
      <c r="O4457" t="s">
        <v>546</v>
      </c>
      <c r="P4457">
        <v>2.6466353086924185E-2</v>
      </c>
      <c r="Q4457" t="s">
        <v>162</v>
      </c>
      <c r="S4457" t="s">
        <v>499</v>
      </c>
      <c r="T4457" t="s">
        <v>546</v>
      </c>
      <c r="U4457">
        <v>3.7624386897224679E-2</v>
      </c>
      <c r="V4457" t="s">
        <v>162</v>
      </c>
    </row>
    <row r="4458" spans="9:22" x14ac:dyDescent="0.45">
      <c r="I4458" t="s">
        <v>275</v>
      </c>
      <c r="J4458" t="s">
        <v>547</v>
      </c>
      <c r="K4458">
        <v>2.2593627144848433E-3</v>
      </c>
      <c r="L4458" t="s">
        <v>162</v>
      </c>
      <c r="N4458" t="s">
        <v>387</v>
      </c>
      <c r="O4458" t="s">
        <v>547</v>
      </c>
      <c r="P4458">
        <v>2.4971660658299208E-3</v>
      </c>
      <c r="Q4458" t="s">
        <v>162</v>
      </c>
      <c r="S4458" t="s">
        <v>499</v>
      </c>
      <c r="T4458" t="s">
        <v>547</v>
      </c>
      <c r="U4458">
        <v>3.6735406855214945E-3</v>
      </c>
      <c r="V4458" t="s">
        <v>162</v>
      </c>
    </row>
    <row r="4459" spans="9:22" x14ac:dyDescent="0.45">
      <c r="I4459" t="s">
        <v>275</v>
      </c>
      <c r="J4459" t="s">
        <v>548</v>
      </c>
      <c r="K4459">
        <v>8.5657910789407408E-3</v>
      </c>
      <c r="L4459" t="s">
        <v>162</v>
      </c>
      <c r="N4459" t="s">
        <v>387</v>
      </c>
      <c r="O4459" t="s">
        <v>548</v>
      </c>
      <c r="P4459">
        <v>4.2393672465888162E-3</v>
      </c>
      <c r="Q4459" t="s">
        <v>162</v>
      </c>
      <c r="S4459" t="s">
        <v>499</v>
      </c>
      <c r="T4459" t="s">
        <v>548</v>
      </c>
      <c r="U4459">
        <v>7.038489839234538E-3</v>
      </c>
      <c r="V4459" t="s">
        <v>162</v>
      </c>
    </row>
    <row r="4460" spans="9:22" x14ac:dyDescent="0.45">
      <c r="I4460" t="s">
        <v>275</v>
      </c>
      <c r="J4460" t="s">
        <v>549</v>
      </c>
      <c r="K4460">
        <v>1.6286205610012323E-2</v>
      </c>
      <c r="L4460" t="s">
        <v>162</v>
      </c>
      <c r="N4460" t="s">
        <v>387</v>
      </c>
      <c r="O4460" t="s">
        <v>549</v>
      </c>
      <c r="P4460">
        <v>1.2157252193660152E-2</v>
      </c>
      <c r="Q4460" t="s">
        <v>162</v>
      </c>
      <c r="S4460" t="s">
        <v>499</v>
      </c>
      <c r="T4460" t="s">
        <v>549</v>
      </c>
      <c r="U4460">
        <v>1.80736316735483E-2</v>
      </c>
      <c r="V4460" t="s">
        <v>162</v>
      </c>
    </row>
    <row r="4461" spans="9:22" x14ac:dyDescent="0.45">
      <c r="I4461" t="s">
        <v>275</v>
      </c>
      <c r="J4461" t="s">
        <v>550</v>
      </c>
      <c r="K4461">
        <v>0</v>
      </c>
      <c r="L4461" t="s">
        <v>162</v>
      </c>
      <c r="N4461" t="s">
        <v>387</v>
      </c>
      <c r="O4461" t="s">
        <v>550</v>
      </c>
      <c r="P4461">
        <v>3.6417507824820449E-3</v>
      </c>
      <c r="Q4461" t="s">
        <v>162</v>
      </c>
      <c r="S4461" t="s">
        <v>499</v>
      </c>
      <c r="T4461" t="s">
        <v>550</v>
      </c>
      <c r="U4461">
        <v>4.1232904967888834E-3</v>
      </c>
      <c r="V4461" t="s">
        <v>162</v>
      </c>
    </row>
    <row r="4462" spans="9:22" x14ac:dyDescent="0.45">
      <c r="I4462" t="s">
        <v>275</v>
      </c>
      <c r="J4462" t="s">
        <v>551</v>
      </c>
      <c r="K4462">
        <v>0</v>
      </c>
      <c r="L4462" t="s">
        <v>162</v>
      </c>
      <c r="N4462" t="s">
        <v>387</v>
      </c>
      <c r="O4462" t="s">
        <v>551</v>
      </c>
      <c r="P4462">
        <v>2.3048660460486838E-2</v>
      </c>
      <c r="Q4462" t="s">
        <v>162</v>
      </c>
      <c r="S4462" t="s">
        <v>499</v>
      </c>
      <c r="T4462" t="s">
        <v>551</v>
      </c>
      <c r="U4462">
        <v>2.6842717361189657E-2</v>
      </c>
      <c r="V4462" t="s">
        <v>162</v>
      </c>
    </row>
    <row r="4463" spans="9:22" x14ac:dyDescent="0.45">
      <c r="I4463" t="s">
        <v>276</v>
      </c>
      <c r="J4463" t="s">
        <v>161</v>
      </c>
      <c r="K4463">
        <v>3.3081089707091638E-3</v>
      </c>
      <c r="L4463" t="s">
        <v>162</v>
      </c>
      <c r="N4463" t="s">
        <v>388</v>
      </c>
      <c r="O4463" t="s">
        <v>161</v>
      </c>
      <c r="P4463">
        <v>3.5093865110770027E-2</v>
      </c>
      <c r="Q4463" t="s">
        <v>162</v>
      </c>
      <c r="S4463" t="s">
        <v>500</v>
      </c>
      <c r="T4463" t="s">
        <v>161</v>
      </c>
      <c r="U4463">
        <v>4.1125775858593699E-2</v>
      </c>
      <c r="V4463" t="s">
        <v>162</v>
      </c>
    </row>
    <row r="4464" spans="9:22" x14ac:dyDescent="0.45">
      <c r="I4464" t="s">
        <v>276</v>
      </c>
      <c r="J4464" t="s">
        <v>163</v>
      </c>
      <c r="K4464">
        <v>5.3827732669751056E-3</v>
      </c>
      <c r="L4464" t="s">
        <v>162</v>
      </c>
      <c r="N4464" t="s">
        <v>388</v>
      </c>
      <c r="O4464" t="s">
        <v>163</v>
      </c>
      <c r="P4464">
        <v>3.5313149086271343E-3</v>
      </c>
      <c r="Q4464" t="s">
        <v>162</v>
      </c>
      <c r="S4464" t="s">
        <v>500</v>
      </c>
      <c r="T4464" t="s">
        <v>163</v>
      </c>
      <c r="U4464">
        <v>4.5669672979424649E-3</v>
      </c>
      <c r="V4464" t="s">
        <v>162</v>
      </c>
    </row>
    <row r="4465" spans="9:22" x14ac:dyDescent="0.45">
      <c r="I4465" t="s">
        <v>276</v>
      </c>
      <c r="J4465" t="s">
        <v>164</v>
      </c>
      <c r="K4465">
        <v>1.4295558126923758E-2</v>
      </c>
      <c r="L4465" t="s">
        <v>162</v>
      </c>
      <c r="N4465" t="s">
        <v>388</v>
      </c>
      <c r="O4465" t="s">
        <v>164</v>
      </c>
      <c r="P4465">
        <v>6.080552496868943E-3</v>
      </c>
      <c r="Q4465" t="s">
        <v>162</v>
      </c>
      <c r="S4465" t="s">
        <v>500</v>
      </c>
      <c r="T4465" t="s">
        <v>164</v>
      </c>
      <c r="U4465">
        <v>9.1563498728602175E-3</v>
      </c>
      <c r="V4465" t="s">
        <v>162</v>
      </c>
    </row>
    <row r="4466" spans="9:22" x14ac:dyDescent="0.45">
      <c r="I4466" t="s">
        <v>276</v>
      </c>
      <c r="J4466" t="s">
        <v>519</v>
      </c>
      <c r="K4466">
        <v>3.0939886134129107E-2</v>
      </c>
      <c r="L4466" t="s">
        <v>162</v>
      </c>
      <c r="N4466" t="s">
        <v>388</v>
      </c>
      <c r="O4466" t="s">
        <v>519</v>
      </c>
      <c r="P4466">
        <v>1.5117632941468303E-2</v>
      </c>
      <c r="Q4466" t="s">
        <v>162</v>
      </c>
      <c r="S4466" t="s">
        <v>500</v>
      </c>
      <c r="T4466" t="s">
        <v>519</v>
      </c>
      <c r="U4466">
        <v>2.2739264061325523E-2</v>
      </c>
      <c r="V4466" t="s">
        <v>162</v>
      </c>
    </row>
    <row r="4467" spans="9:22" x14ac:dyDescent="0.45">
      <c r="I4467" t="s">
        <v>276</v>
      </c>
      <c r="J4467" t="s">
        <v>520</v>
      </c>
      <c r="K4467">
        <v>0</v>
      </c>
      <c r="L4467" t="s">
        <v>162</v>
      </c>
      <c r="N4467" t="s">
        <v>388</v>
      </c>
      <c r="O4467" t="s">
        <v>520</v>
      </c>
      <c r="P4467">
        <v>3.7444004188395487E-3</v>
      </c>
      <c r="Q4467" t="s">
        <v>162</v>
      </c>
      <c r="S4467" t="s">
        <v>500</v>
      </c>
      <c r="T4467" t="s">
        <v>520</v>
      </c>
      <c r="U4467">
        <v>4.5756231186571839E-3</v>
      </c>
      <c r="V4467" t="s">
        <v>162</v>
      </c>
    </row>
    <row r="4468" spans="9:22" x14ac:dyDescent="0.45">
      <c r="I4468" t="s">
        <v>276</v>
      </c>
      <c r="J4468" t="s">
        <v>521</v>
      </c>
      <c r="K4468">
        <v>0</v>
      </c>
      <c r="L4468" t="s">
        <v>162</v>
      </c>
      <c r="N4468" t="s">
        <v>388</v>
      </c>
      <c r="O4468" t="s">
        <v>521</v>
      </c>
      <c r="P4468">
        <v>2.3867309351426936E-2</v>
      </c>
      <c r="Q4468" t="s">
        <v>162</v>
      </c>
      <c r="S4468" t="s">
        <v>500</v>
      </c>
      <c r="T4468" t="s">
        <v>521</v>
      </c>
      <c r="U4468">
        <v>2.8224012115451662E-2</v>
      </c>
      <c r="V4468" t="s">
        <v>162</v>
      </c>
    </row>
    <row r="4469" spans="9:22" x14ac:dyDescent="0.45">
      <c r="I4469" t="s">
        <v>276</v>
      </c>
      <c r="J4469" t="s">
        <v>165</v>
      </c>
      <c r="K4469">
        <v>2.0170542672060605E-2</v>
      </c>
      <c r="L4469" t="s">
        <v>162</v>
      </c>
      <c r="N4469" t="s">
        <v>388</v>
      </c>
      <c r="O4469" t="s">
        <v>165</v>
      </c>
      <c r="P4469">
        <v>5.5598950981436371E-2</v>
      </c>
      <c r="Q4469" t="s">
        <v>162</v>
      </c>
      <c r="S4469" t="s">
        <v>500</v>
      </c>
      <c r="T4469" t="s">
        <v>165</v>
      </c>
      <c r="U4469">
        <v>6.6778177045410392E-2</v>
      </c>
      <c r="V4469" t="s">
        <v>162</v>
      </c>
    </row>
    <row r="4470" spans="9:22" x14ac:dyDescent="0.45">
      <c r="I4470" t="s">
        <v>276</v>
      </c>
      <c r="J4470" t="s">
        <v>166</v>
      </c>
      <c r="K4470">
        <v>1.6047070889017998E-2</v>
      </c>
      <c r="L4470" t="s">
        <v>162</v>
      </c>
      <c r="N4470" t="s">
        <v>388</v>
      </c>
      <c r="O4470" t="s">
        <v>166</v>
      </c>
      <c r="P4470">
        <v>5.1341061973524593E-3</v>
      </c>
      <c r="Q4470" t="s">
        <v>162</v>
      </c>
      <c r="S4470" t="s">
        <v>500</v>
      </c>
      <c r="T4470" t="s">
        <v>166</v>
      </c>
      <c r="U4470">
        <v>7.219890886301485E-3</v>
      </c>
      <c r="V4470" t="s">
        <v>162</v>
      </c>
    </row>
    <row r="4471" spans="9:22" x14ac:dyDescent="0.45">
      <c r="I4471" t="s">
        <v>276</v>
      </c>
      <c r="J4471" t="s">
        <v>167</v>
      </c>
      <c r="K4471">
        <v>3.5062208139930037E-2</v>
      </c>
      <c r="L4471" t="s">
        <v>162</v>
      </c>
      <c r="N4471" t="s">
        <v>388</v>
      </c>
      <c r="O4471" t="s">
        <v>167</v>
      </c>
      <c r="P4471">
        <v>9.2160225514624616E-3</v>
      </c>
      <c r="Q4471" t="s">
        <v>162</v>
      </c>
      <c r="S4471" t="s">
        <v>500</v>
      </c>
      <c r="T4471" t="s">
        <v>167</v>
      </c>
      <c r="U4471">
        <v>1.4133030817033366E-2</v>
      </c>
      <c r="V4471" t="s">
        <v>162</v>
      </c>
    </row>
    <row r="4472" spans="9:22" x14ac:dyDescent="0.45">
      <c r="I4472" t="s">
        <v>276</v>
      </c>
      <c r="J4472" t="s">
        <v>522</v>
      </c>
      <c r="K4472">
        <v>7.5649721934012301E-2</v>
      </c>
      <c r="L4472" t="s">
        <v>162</v>
      </c>
      <c r="N4472" t="s">
        <v>388</v>
      </c>
      <c r="O4472" t="s">
        <v>522</v>
      </c>
      <c r="P4472">
        <v>2.5652073578428403E-2</v>
      </c>
      <c r="Q4472" t="s">
        <v>162</v>
      </c>
      <c r="S4472" t="s">
        <v>500</v>
      </c>
      <c r="T4472" t="s">
        <v>522</v>
      </c>
      <c r="U4472">
        <v>3.4970844222803783E-2</v>
      </c>
      <c r="V4472" t="s">
        <v>162</v>
      </c>
    </row>
    <row r="4473" spans="9:22" x14ac:dyDescent="0.45">
      <c r="I4473" t="s">
        <v>276</v>
      </c>
      <c r="J4473" t="s">
        <v>523</v>
      </c>
      <c r="K4473">
        <v>6.4251560796626007E-3</v>
      </c>
      <c r="L4473" t="s">
        <v>162</v>
      </c>
      <c r="N4473" t="s">
        <v>388</v>
      </c>
      <c r="O4473" t="s">
        <v>523</v>
      </c>
      <c r="P4473">
        <v>6.0155575525106019E-3</v>
      </c>
      <c r="Q4473" t="s">
        <v>162</v>
      </c>
      <c r="S4473" t="s">
        <v>500</v>
      </c>
      <c r="T4473" t="s">
        <v>523</v>
      </c>
      <c r="U4473">
        <v>7.1315022350167392E-3</v>
      </c>
      <c r="V4473" t="s">
        <v>162</v>
      </c>
    </row>
    <row r="4474" spans="9:22" x14ac:dyDescent="0.45">
      <c r="I4474" t="s">
        <v>276</v>
      </c>
      <c r="J4474" t="s">
        <v>524</v>
      </c>
      <c r="K4474">
        <v>1.0876229642743558E-3</v>
      </c>
      <c r="L4474" t="s">
        <v>162</v>
      </c>
      <c r="N4474" t="s">
        <v>388</v>
      </c>
      <c r="O4474" t="s">
        <v>524</v>
      </c>
      <c r="P4474">
        <v>4.0465098779534962E-2</v>
      </c>
      <c r="Q4474" t="s">
        <v>162</v>
      </c>
      <c r="S4474" t="s">
        <v>500</v>
      </c>
      <c r="T4474" t="s">
        <v>524</v>
      </c>
      <c r="U4474">
        <v>4.3956157525387354E-2</v>
      </c>
      <c r="V4474" t="s">
        <v>162</v>
      </c>
    </row>
    <row r="4475" spans="9:22" x14ac:dyDescent="0.45">
      <c r="I4475" t="s">
        <v>276</v>
      </c>
      <c r="J4475" t="s">
        <v>168</v>
      </c>
      <c r="K4475">
        <v>2.144460217446607E-2</v>
      </c>
      <c r="L4475" t="s">
        <v>162</v>
      </c>
      <c r="N4475" t="s">
        <v>388</v>
      </c>
      <c r="O4475" t="s">
        <v>168</v>
      </c>
      <c r="P4475">
        <v>3.6465282567726097E-2</v>
      </c>
      <c r="Q4475" t="s">
        <v>162</v>
      </c>
      <c r="S4475" t="s">
        <v>500</v>
      </c>
      <c r="T4475" t="s">
        <v>168</v>
      </c>
      <c r="U4475">
        <v>3.0256762611376806E-2</v>
      </c>
      <c r="V4475" t="s">
        <v>162</v>
      </c>
    </row>
    <row r="4476" spans="9:22" x14ac:dyDescent="0.45">
      <c r="I4476" t="s">
        <v>276</v>
      </c>
      <c r="J4476" t="s">
        <v>169</v>
      </c>
      <c r="K4476">
        <v>9.9368052817046214E-3</v>
      </c>
      <c r="L4476" t="s">
        <v>162</v>
      </c>
      <c r="N4476" t="s">
        <v>388</v>
      </c>
      <c r="O4476" t="s">
        <v>169</v>
      </c>
      <c r="P4476">
        <v>3.4302811779143654E-3</v>
      </c>
      <c r="Q4476" t="s">
        <v>162</v>
      </c>
      <c r="S4476" t="s">
        <v>500</v>
      </c>
      <c r="T4476" t="s">
        <v>169</v>
      </c>
      <c r="U4476">
        <v>3.427002103912329E-3</v>
      </c>
      <c r="V4476" t="s">
        <v>162</v>
      </c>
    </row>
    <row r="4477" spans="9:22" x14ac:dyDescent="0.45">
      <c r="I4477" t="s">
        <v>276</v>
      </c>
      <c r="J4477" t="s">
        <v>170</v>
      </c>
      <c r="K4477">
        <v>2.1677743917065079E-2</v>
      </c>
      <c r="L4477" t="s">
        <v>162</v>
      </c>
      <c r="N4477" t="s">
        <v>388</v>
      </c>
      <c r="O4477" t="s">
        <v>170</v>
      </c>
      <c r="P4477">
        <v>7.496722427896005E-3</v>
      </c>
      <c r="Q4477" t="s">
        <v>162</v>
      </c>
      <c r="S4477" t="s">
        <v>500</v>
      </c>
      <c r="T4477" t="s">
        <v>170</v>
      </c>
      <c r="U4477">
        <v>6.7258876214129314E-3</v>
      </c>
      <c r="V4477" t="s">
        <v>162</v>
      </c>
    </row>
    <row r="4478" spans="9:22" x14ac:dyDescent="0.45">
      <c r="I4478" t="s">
        <v>276</v>
      </c>
      <c r="J4478" t="s">
        <v>525</v>
      </c>
      <c r="K4478">
        <v>4.7922697237193473E-2</v>
      </c>
      <c r="L4478" t="s">
        <v>162</v>
      </c>
      <c r="N4478" t="s">
        <v>388</v>
      </c>
      <c r="O4478" t="s">
        <v>525</v>
      </c>
      <c r="P4478">
        <v>2.1954716833289749E-2</v>
      </c>
      <c r="Q4478" t="s">
        <v>162</v>
      </c>
      <c r="S4478" t="s">
        <v>500</v>
      </c>
      <c r="T4478" t="s">
        <v>525</v>
      </c>
      <c r="U4478">
        <v>1.6608939329583197E-2</v>
      </c>
      <c r="V4478" t="s">
        <v>162</v>
      </c>
    </row>
    <row r="4479" spans="9:22" x14ac:dyDescent="0.45">
      <c r="I4479" t="s">
        <v>276</v>
      </c>
      <c r="J4479" t="s">
        <v>526</v>
      </c>
      <c r="K4479">
        <v>5.8328136258469247E-3</v>
      </c>
      <c r="L4479" t="s">
        <v>162</v>
      </c>
      <c r="N4479" t="s">
        <v>388</v>
      </c>
      <c r="O4479" t="s">
        <v>526</v>
      </c>
      <c r="P4479">
        <v>4.1528536330624269E-3</v>
      </c>
      <c r="Q4479" t="s">
        <v>162</v>
      </c>
      <c r="S4479" t="s">
        <v>500</v>
      </c>
      <c r="T4479" t="s">
        <v>526</v>
      </c>
      <c r="U4479">
        <v>3.2820332157916647E-3</v>
      </c>
      <c r="V4479" t="s">
        <v>162</v>
      </c>
    </row>
    <row r="4480" spans="9:22" x14ac:dyDescent="0.45">
      <c r="I4480" t="s">
        <v>276</v>
      </c>
      <c r="J4480" t="s">
        <v>527</v>
      </c>
      <c r="K4480">
        <v>3.6315766120716686E-3</v>
      </c>
      <c r="L4480" t="s">
        <v>162</v>
      </c>
      <c r="N4480" t="s">
        <v>388</v>
      </c>
      <c r="O4480" t="s">
        <v>527</v>
      </c>
      <c r="P4480">
        <v>2.8043042674754073E-2</v>
      </c>
      <c r="Q4480" t="s">
        <v>162</v>
      </c>
      <c r="S4480" t="s">
        <v>500</v>
      </c>
      <c r="T4480" t="s">
        <v>527</v>
      </c>
      <c r="U4480">
        <v>1.9494932243470691E-2</v>
      </c>
      <c r="V4480" t="s">
        <v>162</v>
      </c>
    </row>
    <row r="4481" spans="9:22" x14ac:dyDescent="0.45">
      <c r="I4481" t="s">
        <v>276</v>
      </c>
      <c r="J4481" t="s">
        <v>528</v>
      </c>
      <c r="K4481">
        <v>6.0512839398712423E-2</v>
      </c>
      <c r="L4481" t="s">
        <v>162</v>
      </c>
      <c r="N4481" t="s">
        <v>388</v>
      </c>
      <c r="O4481" t="s">
        <v>528</v>
      </c>
      <c r="P4481">
        <v>7.5402603477209493E-2</v>
      </c>
      <c r="Q4481" t="s">
        <v>162</v>
      </c>
      <c r="S4481" t="s">
        <v>500</v>
      </c>
      <c r="T4481" t="s">
        <v>528</v>
      </c>
      <c r="U4481">
        <v>8.6456983417698099E-2</v>
      </c>
      <c r="V4481" t="s">
        <v>162</v>
      </c>
    </row>
    <row r="4482" spans="9:22" x14ac:dyDescent="0.45">
      <c r="I4482" t="s">
        <v>276</v>
      </c>
      <c r="J4482" t="s">
        <v>529</v>
      </c>
      <c r="K4482">
        <v>2.7056718879479861E-2</v>
      </c>
      <c r="L4482" t="s">
        <v>162</v>
      </c>
      <c r="N4482" t="s">
        <v>388</v>
      </c>
      <c r="O4482" t="s">
        <v>529</v>
      </c>
      <c r="P4482">
        <v>6.5395888128299204E-3</v>
      </c>
      <c r="Q4482" t="s">
        <v>162</v>
      </c>
      <c r="S4482" t="s">
        <v>500</v>
      </c>
      <c r="T4482" t="s">
        <v>529</v>
      </c>
      <c r="U4482">
        <v>8.7953007393017143E-3</v>
      </c>
      <c r="V4482" t="s">
        <v>162</v>
      </c>
    </row>
    <row r="4483" spans="9:22" x14ac:dyDescent="0.45">
      <c r="I4483" t="s">
        <v>276</v>
      </c>
      <c r="J4483" t="s">
        <v>530</v>
      </c>
      <c r="K4483">
        <v>5.8683290974709708E-2</v>
      </c>
      <c r="L4483" t="s">
        <v>162</v>
      </c>
      <c r="N4483" t="s">
        <v>388</v>
      </c>
      <c r="O4483" t="s">
        <v>530</v>
      </c>
      <c r="P4483">
        <v>1.4588837619354991E-2</v>
      </c>
      <c r="Q4483" t="s">
        <v>162</v>
      </c>
      <c r="S4483" t="s">
        <v>500</v>
      </c>
      <c r="T4483" t="s">
        <v>530</v>
      </c>
      <c r="U4483">
        <v>1.782873480921188E-2</v>
      </c>
      <c r="V4483" t="s">
        <v>162</v>
      </c>
    </row>
    <row r="4484" spans="9:22" x14ac:dyDescent="0.45">
      <c r="I4484" t="s">
        <v>276</v>
      </c>
      <c r="J4484" t="s">
        <v>531</v>
      </c>
      <c r="K4484">
        <v>0.13544180062265115</v>
      </c>
      <c r="L4484" t="s">
        <v>162</v>
      </c>
      <c r="N4484" t="s">
        <v>388</v>
      </c>
      <c r="O4484" t="s">
        <v>531</v>
      </c>
      <c r="P4484">
        <v>4.1801196835314657E-2</v>
      </c>
      <c r="Q4484" t="s">
        <v>162</v>
      </c>
      <c r="S4484" t="s">
        <v>500</v>
      </c>
      <c r="T4484" t="s">
        <v>531</v>
      </c>
      <c r="U4484">
        <v>4.7125430509296323E-2</v>
      </c>
      <c r="V4484" t="s">
        <v>162</v>
      </c>
    </row>
    <row r="4485" spans="9:22" x14ac:dyDescent="0.45">
      <c r="I4485" t="s">
        <v>276</v>
      </c>
      <c r="J4485" t="s">
        <v>532</v>
      </c>
      <c r="K4485">
        <v>1.8397187331746837E-2</v>
      </c>
      <c r="L4485" t="s">
        <v>162</v>
      </c>
      <c r="N4485" t="s">
        <v>388</v>
      </c>
      <c r="O4485" t="s">
        <v>532</v>
      </c>
      <c r="P4485">
        <v>7.9945821023916959E-3</v>
      </c>
      <c r="Q4485" t="s">
        <v>162</v>
      </c>
      <c r="S4485" t="s">
        <v>500</v>
      </c>
      <c r="T4485" t="s">
        <v>532</v>
      </c>
      <c r="U4485">
        <v>9.5814715451722453E-3</v>
      </c>
      <c r="V4485" t="s">
        <v>162</v>
      </c>
    </row>
    <row r="4486" spans="9:22" x14ac:dyDescent="0.45">
      <c r="I4486" t="s">
        <v>276</v>
      </c>
      <c r="J4486" t="s">
        <v>533</v>
      </c>
      <c r="K4486">
        <v>1.8066153879525749E-2</v>
      </c>
      <c r="L4486" t="s">
        <v>162</v>
      </c>
      <c r="N4486" t="s">
        <v>388</v>
      </c>
      <c r="O4486" t="s">
        <v>533</v>
      </c>
      <c r="P4486">
        <v>6.0606962147524771E-2</v>
      </c>
      <c r="Q4486" t="s">
        <v>162</v>
      </c>
      <c r="S4486" t="s">
        <v>500</v>
      </c>
      <c r="T4486" t="s">
        <v>533</v>
      </c>
      <c r="U4486">
        <v>5.6777436740233549E-2</v>
      </c>
      <c r="V4486" t="s">
        <v>162</v>
      </c>
    </row>
    <row r="4487" spans="9:22" x14ac:dyDescent="0.45">
      <c r="I4487" t="s">
        <v>276</v>
      </c>
      <c r="J4487" t="s">
        <v>534</v>
      </c>
      <c r="K4487">
        <v>5.2158295345144698E-2</v>
      </c>
      <c r="L4487" t="s">
        <v>162</v>
      </c>
      <c r="N4487" t="s">
        <v>388</v>
      </c>
      <c r="O4487" t="s">
        <v>534</v>
      </c>
      <c r="P4487">
        <v>0.10460407651663013</v>
      </c>
      <c r="Q4487" t="s">
        <v>162</v>
      </c>
      <c r="S4487" t="s">
        <v>500</v>
      </c>
      <c r="T4487" t="s">
        <v>534</v>
      </c>
      <c r="U4487">
        <v>8.3577488444352269E-2</v>
      </c>
      <c r="V4487" t="s">
        <v>162</v>
      </c>
    </row>
    <row r="4488" spans="9:22" x14ac:dyDescent="0.45">
      <c r="I4488" t="s">
        <v>276</v>
      </c>
      <c r="J4488" t="s">
        <v>535</v>
      </c>
      <c r="K4488">
        <v>2.8394777818353888E-2</v>
      </c>
      <c r="L4488" t="s">
        <v>162</v>
      </c>
      <c r="N4488" t="s">
        <v>388</v>
      </c>
      <c r="O4488" t="s">
        <v>535</v>
      </c>
      <c r="P4488">
        <v>9.9670491697090077E-3</v>
      </c>
      <c r="Q4488" t="s">
        <v>162</v>
      </c>
      <c r="S4488" t="s">
        <v>500</v>
      </c>
      <c r="T4488" t="s">
        <v>535</v>
      </c>
      <c r="U4488">
        <v>8.9335516295116039E-3</v>
      </c>
      <c r="V4488" t="s">
        <v>162</v>
      </c>
    </row>
    <row r="4489" spans="9:22" x14ac:dyDescent="0.45">
      <c r="I4489" t="s">
        <v>276</v>
      </c>
      <c r="J4489" t="s">
        <v>536</v>
      </c>
      <c r="K4489">
        <v>5.7897821020389831E-2</v>
      </c>
      <c r="L4489" t="s">
        <v>162</v>
      </c>
      <c r="N4489" t="s">
        <v>388</v>
      </c>
      <c r="O4489" t="s">
        <v>536</v>
      </c>
      <c r="P4489">
        <v>1.9837086213474124E-2</v>
      </c>
      <c r="Q4489" t="s">
        <v>162</v>
      </c>
      <c r="S4489" t="s">
        <v>500</v>
      </c>
      <c r="T4489" t="s">
        <v>536</v>
      </c>
      <c r="U4489">
        <v>1.7922515604877461E-2</v>
      </c>
      <c r="V4489" t="s">
        <v>162</v>
      </c>
    </row>
    <row r="4490" spans="9:22" x14ac:dyDescent="0.45">
      <c r="I4490" t="s">
        <v>276</v>
      </c>
      <c r="J4490" t="s">
        <v>537</v>
      </c>
      <c r="K4490">
        <v>0.12843131320381135</v>
      </c>
      <c r="L4490" t="s">
        <v>162</v>
      </c>
      <c r="N4490" t="s">
        <v>388</v>
      </c>
      <c r="O4490" t="s">
        <v>537</v>
      </c>
      <c r="P4490">
        <v>5.0231427329693573E-2</v>
      </c>
      <c r="Q4490" t="s">
        <v>162</v>
      </c>
      <c r="S4490" t="s">
        <v>500</v>
      </c>
      <c r="T4490" t="s">
        <v>537</v>
      </c>
      <c r="U4490">
        <v>4.5956189305652033E-2</v>
      </c>
      <c r="V4490" t="s">
        <v>162</v>
      </c>
    </row>
    <row r="4491" spans="9:22" x14ac:dyDescent="0.45">
      <c r="I4491" t="s">
        <v>276</v>
      </c>
      <c r="J4491" t="s">
        <v>538</v>
      </c>
      <c r="K4491">
        <v>1.333010165317595E-2</v>
      </c>
      <c r="L4491" t="s">
        <v>162</v>
      </c>
      <c r="N4491" t="s">
        <v>388</v>
      </c>
      <c r="O4491" t="s">
        <v>538</v>
      </c>
      <c r="P4491">
        <v>9.7027218299963157E-3</v>
      </c>
      <c r="Q4491" t="s">
        <v>162</v>
      </c>
      <c r="S4491" t="s">
        <v>500</v>
      </c>
      <c r="T4491" t="s">
        <v>538</v>
      </c>
      <c r="U4491">
        <v>9.2969059722395678E-3</v>
      </c>
      <c r="V4491" t="s">
        <v>162</v>
      </c>
    </row>
    <row r="4492" spans="9:22" x14ac:dyDescent="0.45">
      <c r="I4492" t="s">
        <v>276</v>
      </c>
      <c r="J4492" t="s">
        <v>539</v>
      </c>
      <c r="K4492">
        <v>5.9918033482277647E-3</v>
      </c>
      <c r="L4492" t="s">
        <v>162</v>
      </c>
      <c r="N4492" t="s">
        <v>388</v>
      </c>
      <c r="O4492" t="s">
        <v>539</v>
      </c>
      <c r="P4492">
        <v>6.8609621985211353E-2</v>
      </c>
      <c r="Q4492" t="s">
        <v>162</v>
      </c>
      <c r="S4492" t="s">
        <v>500</v>
      </c>
      <c r="T4492" t="s">
        <v>539</v>
      </c>
      <c r="U4492">
        <v>5.578739551718747E-2</v>
      </c>
      <c r="V4492" t="s">
        <v>162</v>
      </c>
    </row>
    <row r="4493" spans="9:22" x14ac:dyDescent="0.45">
      <c r="I4493" t="s">
        <v>276</v>
      </c>
      <c r="J4493" t="s">
        <v>540</v>
      </c>
      <c r="K4493">
        <v>5.3657880792361617E-3</v>
      </c>
      <c r="L4493" t="s">
        <v>162</v>
      </c>
      <c r="N4493" t="s">
        <v>388</v>
      </c>
      <c r="O4493" t="s">
        <v>540</v>
      </c>
      <c r="P4493">
        <v>5.0703846305931277E-2</v>
      </c>
      <c r="Q4493" t="s">
        <v>162</v>
      </c>
      <c r="S4493" t="s">
        <v>500</v>
      </c>
      <c r="T4493" t="s">
        <v>540</v>
      </c>
      <c r="U4493">
        <v>3.1895593661428412E-2</v>
      </c>
      <c r="V4493" t="s">
        <v>162</v>
      </c>
    </row>
    <row r="4494" spans="9:22" x14ac:dyDescent="0.45">
      <c r="I4494" t="s">
        <v>276</v>
      </c>
      <c r="J4494" t="s">
        <v>541</v>
      </c>
      <c r="K4494">
        <v>5.7383902008064413E-3</v>
      </c>
      <c r="L4494" t="s">
        <v>162</v>
      </c>
      <c r="N4494" t="s">
        <v>388</v>
      </c>
      <c r="O4494" t="s">
        <v>541</v>
      </c>
      <c r="P4494">
        <v>5.4139237300222798E-3</v>
      </c>
      <c r="Q4494" t="s">
        <v>162</v>
      </c>
      <c r="S4494" t="s">
        <v>500</v>
      </c>
      <c r="T4494" t="s">
        <v>541</v>
      </c>
      <c r="U4494">
        <v>3.880387408680872E-3</v>
      </c>
      <c r="V4494" t="s">
        <v>162</v>
      </c>
    </row>
    <row r="4495" spans="9:22" x14ac:dyDescent="0.45">
      <c r="I4495" t="s">
        <v>276</v>
      </c>
      <c r="J4495" t="s">
        <v>542</v>
      </c>
      <c r="K4495">
        <v>1.2171006458523042E-2</v>
      </c>
      <c r="L4495" t="s">
        <v>162</v>
      </c>
      <c r="N4495" t="s">
        <v>388</v>
      </c>
      <c r="O4495" t="s">
        <v>542</v>
      </c>
      <c r="P4495">
        <v>9.9391050787263173E-3</v>
      </c>
      <c r="Q4495" t="s">
        <v>162</v>
      </c>
      <c r="S4495" t="s">
        <v>500</v>
      </c>
      <c r="T4495" t="s">
        <v>542</v>
      </c>
      <c r="U4495">
        <v>7.7858757405384693E-3</v>
      </c>
      <c r="V4495" t="s">
        <v>162</v>
      </c>
    </row>
    <row r="4496" spans="9:22" x14ac:dyDescent="0.45">
      <c r="I4496" t="s">
        <v>276</v>
      </c>
      <c r="J4496" t="s">
        <v>543</v>
      </c>
      <c r="K4496">
        <v>2.3618582608177268E-2</v>
      </c>
      <c r="L4496" t="s">
        <v>162</v>
      </c>
      <c r="N4496" t="s">
        <v>388</v>
      </c>
      <c r="O4496" t="s">
        <v>543</v>
      </c>
      <c r="P4496">
        <v>2.2980275264897126E-2</v>
      </c>
      <c r="Q4496" t="s">
        <v>162</v>
      </c>
      <c r="S4496" t="s">
        <v>500</v>
      </c>
      <c r="T4496" t="s">
        <v>543</v>
      </c>
      <c r="U4496">
        <v>1.8861415845971254E-2</v>
      </c>
      <c r="V4496" t="s">
        <v>162</v>
      </c>
    </row>
    <row r="4497" spans="9:22" x14ac:dyDescent="0.45">
      <c r="I4497" t="s">
        <v>276</v>
      </c>
      <c r="J4497" t="s">
        <v>544</v>
      </c>
      <c r="K4497">
        <v>0</v>
      </c>
      <c r="L4497" t="s">
        <v>162</v>
      </c>
      <c r="N4497" t="s">
        <v>388</v>
      </c>
      <c r="O4497" t="s">
        <v>544</v>
      </c>
      <c r="P4497">
        <v>4.9049802007802316E-3</v>
      </c>
      <c r="Q4497" t="s">
        <v>162</v>
      </c>
      <c r="S4497" t="s">
        <v>500</v>
      </c>
      <c r="T4497" t="s">
        <v>544</v>
      </c>
      <c r="U4497">
        <v>3.6926354840426685E-3</v>
      </c>
      <c r="V4497" t="s">
        <v>162</v>
      </c>
    </row>
    <row r="4498" spans="9:22" x14ac:dyDescent="0.45">
      <c r="I4498" t="s">
        <v>276</v>
      </c>
      <c r="J4498" t="s">
        <v>545</v>
      </c>
      <c r="K4498">
        <v>0</v>
      </c>
      <c r="L4498" t="s">
        <v>162</v>
      </c>
      <c r="N4498" t="s">
        <v>388</v>
      </c>
      <c r="O4498" t="s">
        <v>545</v>
      </c>
      <c r="P4498">
        <v>3.0402003917870499E-2</v>
      </c>
      <c r="Q4498" t="s">
        <v>162</v>
      </c>
      <c r="S4498" t="s">
        <v>500</v>
      </c>
      <c r="T4498" t="s">
        <v>545</v>
      </c>
      <c r="U4498">
        <v>2.143389463920534E-2</v>
      </c>
      <c r="V4498" t="s">
        <v>162</v>
      </c>
    </row>
    <row r="4499" spans="9:22" x14ac:dyDescent="0.45">
      <c r="I4499" t="s">
        <v>276</v>
      </c>
      <c r="J4499" t="s">
        <v>546</v>
      </c>
      <c r="K4499">
        <v>2.2028028694742099E-3</v>
      </c>
      <c r="L4499" t="s">
        <v>162</v>
      </c>
      <c r="N4499" t="s">
        <v>388</v>
      </c>
      <c r="O4499" t="s">
        <v>546</v>
      </c>
      <c r="P4499">
        <v>3.0115256041135931E-2</v>
      </c>
      <c r="Q4499" t="s">
        <v>162</v>
      </c>
      <c r="S4499" t="s">
        <v>500</v>
      </c>
      <c r="T4499" t="s">
        <v>546</v>
      </c>
      <c r="U4499">
        <v>3.8891527309027882E-2</v>
      </c>
      <c r="V4499" t="s">
        <v>162</v>
      </c>
    </row>
    <row r="4500" spans="9:22" x14ac:dyDescent="0.45">
      <c r="I4500" t="s">
        <v>276</v>
      </c>
      <c r="J4500" t="s">
        <v>547</v>
      </c>
      <c r="K4500">
        <v>3.6896077532167356E-3</v>
      </c>
      <c r="L4500" t="s">
        <v>162</v>
      </c>
      <c r="N4500" t="s">
        <v>388</v>
      </c>
      <c r="O4500" t="s">
        <v>547</v>
      </c>
      <c r="P4500">
        <v>2.8205201155235898E-3</v>
      </c>
      <c r="Q4500" t="s">
        <v>162</v>
      </c>
      <c r="S4500" t="s">
        <v>500</v>
      </c>
      <c r="T4500" t="s">
        <v>547</v>
      </c>
      <c r="U4500">
        <v>4.0772757469171627E-3</v>
      </c>
      <c r="V4500" t="s">
        <v>162</v>
      </c>
    </row>
    <row r="4501" spans="9:22" x14ac:dyDescent="0.45">
      <c r="I4501" t="s">
        <v>276</v>
      </c>
      <c r="J4501" t="s">
        <v>548</v>
      </c>
      <c r="K4501">
        <v>9.155849161095235E-3</v>
      </c>
      <c r="L4501" t="s">
        <v>162</v>
      </c>
      <c r="N4501" t="s">
        <v>388</v>
      </c>
      <c r="O4501" t="s">
        <v>548</v>
      </c>
      <c r="P4501">
        <v>4.7339051590044859E-3</v>
      </c>
      <c r="Q4501" t="s">
        <v>162</v>
      </c>
      <c r="S4501" t="s">
        <v>500</v>
      </c>
      <c r="T4501" t="s">
        <v>548</v>
      </c>
      <c r="U4501">
        <v>7.9843424429517258E-3</v>
      </c>
      <c r="V4501" t="s">
        <v>162</v>
      </c>
    </row>
    <row r="4502" spans="9:22" x14ac:dyDescent="0.45">
      <c r="I4502" t="s">
        <v>276</v>
      </c>
      <c r="J4502" t="s">
        <v>549</v>
      </c>
      <c r="K4502">
        <v>1.4880981367499449E-2</v>
      </c>
      <c r="L4502" t="s">
        <v>162</v>
      </c>
      <c r="N4502" t="s">
        <v>388</v>
      </c>
      <c r="O4502" t="s">
        <v>549</v>
      </c>
      <c r="P4502">
        <v>1.1981599795610899E-2</v>
      </c>
      <c r="Q4502" t="s">
        <v>162</v>
      </c>
      <c r="S4502" t="s">
        <v>500</v>
      </c>
      <c r="T4502" t="s">
        <v>549</v>
      </c>
      <c r="U4502">
        <v>1.9012169042471071E-2</v>
      </c>
      <c r="V4502" t="s">
        <v>162</v>
      </c>
    </row>
    <row r="4503" spans="9:22" x14ac:dyDescent="0.45">
      <c r="I4503" t="s">
        <v>276</v>
      </c>
      <c r="J4503" t="s">
        <v>550</v>
      </c>
      <c r="K4503">
        <v>0</v>
      </c>
      <c r="L4503" t="s">
        <v>162</v>
      </c>
      <c r="N4503" t="s">
        <v>388</v>
      </c>
      <c r="O4503" t="s">
        <v>550</v>
      </c>
      <c r="P4503">
        <v>3.2410134717370904E-3</v>
      </c>
      <c r="Q4503" t="s">
        <v>162</v>
      </c>
      <c r="S4503" t="s">
        <v>500</v>
      </c>
      <c r="T4503" t="s">
        <v>550</v>
      </c>
      <c r="U4503">
        <v>3.9272479228906641E-3</v>
      </c>
      <c r="V4503" t="s">
        <v>162</v>
      </c>
    </row>
    <row r="4504" spans="9:22" x14ac:dyDescent="0.45">
      <c r="I4504" t="s">
        <v>276</v>
      </c>
      <c r="J4504" t="s">
        <v>551</v>
      </c>
      <c r="K4504">
        <v>0</v>
      </c>
      <c r="L4504" t="s">
        <v>162</v>
      </c>
      <c r="N4504" t="s">
        <v>388</v>
      </c>
      <c r="O4504" t="s">
        <v>551</v>
      </c>
      <c r="P4504">
        <v>2.1818032696053737E-2</v>
      </c>
      <c r="Q4504" t="s">
        <v>162</v>
      </c>
      <c r="S4504" t="s">
        <v>500</v>
      </c>
      <c r="T4504" t="s">
        <v>551</v>
      </c>
      <c r="U4504">
        <v>2.6145078338808234E-2</v>
      </c>
      <c r="V4504" t="s">
        <v>162</v>
      </c>
    </row>
    <row r="4505" spans="9:22" x14ac:dyDescent="0.45">
      <c r="I4505" t="s">
        <v>277</v>
      </c>
      <c r="J4505" t="s">
        <v>161</v>
      </c>
      <c r="K4505">
        <v>0</v>
      </c>
      <c r="L4505" t="s">
        <v>162</v>
      </c>
      <c r="N4505" t="s">
        <v>389</v>
      </c>
      <c r="O4505" t="s">
        <v>161</v>
      </c>
      <c r="P4505">
        <v>3.4393638120430947E-2</v>
      </c>
      <c r="Q4505" t="s">
        <v>162</v>
      </c>
    </row>
    <row r="4506" spans="9:22" x14ac:dyDescent="0.45">
      <c r="I4506" t="s">
        <v>277</v>
      </c>
      <c r="J4506" t="s">
        <v>163</v>
      </c>
      <c r="K4506">
        <v>3.0845922524513447E-3</v>
      </c>
      <c r="L4506" t="s">
        <v>162</v>
      </c>
      <c r="N4506" t="s">
        <v>389</v>
      </c>
      <c r="O4506" t="s">
        <v>163</v>
      </c>
      <c r="P4506">
        <v>4.422680014943902E-3</v>
      </c>
      <c r="Q4506" t="s">
        <v>162</v>
      </c>
    </row>
    <row r="4507" spans="9:22" x14ac:dyDescent="0.45">
      <c r="I4507" t="s">
        <v>277</v>
      </c>
      <c r="J4507" t="s">
        <v>164</v>
      </c>
      <c r="K4507">
        <v>1.1218684663553722E-2</v>
      </c>
      <c r="L4507" t="s">
        <v>162</v>
      </c>
      <c r="N4507" t="s">
        <v>389</v>
      </c>
      <c r="O4507" t="s">
        <v>164</v>
      </c>
      <c r="P4507">
        <v>8.0727111948491071E-3</v>
      </c>
      <c r="Q4507" t="s">
        <v>162</v>
      </c>
    </row>
    <row r="4508" spans="9:22" x14ac:dyDescent="0.45">
      <c r="I4508" t="s">
        <v>277</v>
      </c>
      <c r="J4508" t="s">
        <v>519</v>
      </c>
      <c r="K4508">
        <v>2.7570845375181587E-2</v>
      </c>
      <c r="L4508" t="s">
        <v>162</v>
      </c>
      <c r="N4508" t="s">
        <v>389</v>
      </c>
      <c r="O4508" t="s">
        <v>519</v>
      </c>
      <c r="P4508">
        <v>1.9781980760754696E-2</v>
      </c>
      <c r="Q4508" t="s">
        <v>162</v>
      </c>
    </row>
    <row r="4509" spans="9:22" x14ac:dyDescent="0.45">
      <c r="I4509" t="s">
        <v>277</v>
      </c>
      <c r="J4509" t="s">
        <v>520</v>
      </c>
      <c r="K4509">
        <v>2.2975663037984794E-3</v>
      </c>
      <c r="L4509" t="s">
        <v>162</v>
      </c>
      <c r="N4509" t="s">
        <v>389</v>
      </c>
      <c r="O4509" t="s">
        <v>520</v>
      </c>
      <c r="P4509">
        <v>4.4977326497158384E-3</v>
      </c>
      <c r="Q4509" t="s">
        <v>162</v>
      </c>
    </row>
    <row r="4510" spans="9:22" x14ac:dyDescent="0.45">
      <c r="I4510" t="s">
        <v>277</v>
      </c>
      <c r="J4510" t="s">
        <v>521</v>
      </c>
      <c r="K4510">
        <v>0</v>
      </c>
      <c r="L4510" t="s">
        <v>162</v>
      </c>
      <c r="N4510" t="s">
        <v>389</v>
      </c>
      <c r="O4510" t="s">
        <v>521</v>
      </c>
      <c r="P4510">
        <v>2.6324081693688575E-2</v>
      </c>
      <c r="Q4510" t="s">
        <v>162</v>
      </c>
    </row>
    <row r="4511" spans="9:22" x14ac:dyDescent="0.45">
      <c r="I4511" t="s">
        <v>277</v>
      </c>
      <c r="J4511" t="s">
        <v>165</v>
      </c>
      <c r="K4511">
        <v>1.086737276723493E-2</v>
      </c>
      <c r="L4511" t="s">
        <v>162</v>
      </c>
      <c r="N4511" t="s">
        <v>389</v>
      </c>
      <c r="O4511" t="s">
        <v>165</v>
      </c>
      <c r="P4511">
        <v>5.4483716791554941E-2</v>
      </c>
      <c r="Q4511" t="s">
        <v>162</v>
      </c>
    </row>
    <row r="4512" spans="9:22" x14ac:dyDescent="0.45">
      <c r="I4512" t="s">
        <v>277</v>
      </c>
      <c r="J4512" t="s">
        <v>166</v>
      </c>
      <c r="K4512">
        <v>1.3478137464662348E-2</v>
      </c>
      <c r="L4512" t="s">
        <v>162</v>
      </c>
      <c r="N4512" t="s">
        <v>389</v>
      </c>
      <c r="O4512" t="s">
        <v>166</v>
      </c>
      <c r="P4512">
        <v>5.067689505500155E-3</v>
      </c>
      <c r="Q4512" t="s">
        <v>162</v>
      </c>
    </row>
    <row r="4513" spans="9:17" x14ac:dyDescent="0.45">
      <c r="I4513" t="s">
        <v>277</v>
      </c>
      <c r="J4513" t="s">
        <v>167</v>
      </c>
      <c r="K4513">
        <v>3.4682586960432686E-2</v>
      </c>
      <c r="L4513" t="s">
        <v>162</v>
      </c>
      <c r="N4513" t="s">
        <v>389</v>
      </c>
      <c r="O4513" t="s">
        <v>167</v>
      </c>
      <c r="P4513">
        <v>7.8390041216958809E-3</v>
      </c>
      <c r="Q4513" t="s">
        <v>162</v>
      </c>
    </row>
    <row r="4514" spans="9:17" x14ac:dyDescent="0.45">
      <c r="I4514" t="s">
        <v>277</v>
      </c>
      <c r="J4514" t="s">
        <v>522</v>
      </c>
      <c r="K4514">
        <v>8.6430235721835516E-2</v>
      </c>
      <c r="L4514" t="s">
        <v>162</v>
      </c>
      <c r="N4514" t="s">
        <v>389</v>
      </c>
      <c r="O4514" t="s">
        <v>522</v>
      </c>
      <c r="P4514">
        <v>2.0424425806767278E-2</v>
      </c>
      <c r="Q4514" t="s">
        <v>162</v>
      </c>
    </row>
    <row r="4515" spans="9:17" x14ac:dyDescent="0.45">
      <c r="I4515" t="s">
        <v>277</v>
      </c>
      <c r="J4515" t="s">
        <v>523</v>
      </c>
      <c r="K4515">
        <v>1.1478579392142368E-2</v>
      </c>
      <c r="L4515" t="s">
        <v>162</v>
      </c>
      <c r="N4515" t="s">
        <v>389</v>
      </c>
      <c r="O4515" t="s">
        <v>523</v>
      </c>
      <c r="P4515">
        <v>4.4739303020630171E-3</v>
      </c>
      <c r="Q4515" t="s">
        <v>162</v>
      </c>
    </row>
    <row r="4516" spans="9:17" x14ac:dyDescent="0.45">
      <c r="I4516" t="s">
        <v>277</v>
      </c>
      <c r="J4516" t="s">
        <v>524</v>
      </c>
      <c r="K4516">
        <v>6.1125893727049145E-3</v>
      </c>
      <c r="L4516" t="s">
        <v>162</v>
      </c>
      <c r="N4516" t="s">
        <v>389</v>
      </c>
      <c r="O4516" t="s">
        <v>524</v>
      </c>
      <c r="P4516">
        <v>3.8238132998158418E-2</v>
      </c>
      <c r="Q4516" t="s">
        <v>162</v>
      </c>
    </row>
    <row r="4517" spans="9:17" x14ac:dyDescent="0.45">
      <c r="I4517" t="s">
        <v>277</v>
      </c>
      <c r="J4517" t="s">
        <v>168</v>
      </c>
      <c r="K4517">
        <v>1.1604390053004879E-2</v>
      </c>
      <c r="L4517" t="s">
        <v>162</v>
      </c>
      <c r="N4517" t="s">
        <v>389</v>
      </c>
      <c r="O4517" t="s">
        <v>168</v>
      </c>
      <c r="P4517">
        <v>3.8860174495170249E-2</v>
      </c>
      <c r="Q4517" t="s">
        <v>162</v>
      </c>
    </row>
    <row r="4518" spans="9:17" x14ac:dyDescent="0.45">
      <c r="I4518" t="s">
        <v>277</v>
      </c>
      <c r="J4518" t="s">
        <v>169</v>
      </c>
      <c r="K4518">
        <v>8.1817939484150823E-3</v>
      </c>
      <c r="L4518" t="s">
        <v>162</v>
      </c>
      <c r="N4518" t="s">
        <v>389</v>
      </c>
      <c r="O4518" t="s">
        <v>169</v>
      </c>
      <c r="P4518">
        <v>3.769748285290214E-3</v>
      </c>
      <c r="Q4518" t="s">
        <v>162</v>
      </c>
    </row>
    <row r="4519" spans="9:17" x14ac:dyDescent="0.45">
      <c r="I4519" t="s">
        <v>277</v>
      </c>
      <c r="J4519" t="s">
        <v>170</v>
      </c>
      <c r="K4519">
        <v>1.9933428269597278E-2</v>
      </c>
      <c r="L4519" t="s">
        <v>162</v>
      </c>
      <c r="N4519" t="s">
        <v>389</v>
      </c>
      <c r="O4519" t="s">
        <v>170</v>
      </c>
      <c r="P4519">
        <v>7.5880896668252791E-3</v>
      </c>
      <c r="Q4519" t="s">
        <v>162</v>
      </c>
    </row>
    <row r="4520" spans="9:17" x14ac:dyDescent="0.45">
      <c r="I4520" t="s">
        <v>277</v>
      </c>
      <c r="J4520" t="s">
        <v>525</v>
      </c>
      <c r="K4520">
        <v>5.1232787726583538E-2</v>
      </c>
      <c r="L4520" t="s">
        <v>162</v>
      </c>
      <c r="N4520" t="s">
        <v>389</v>
      </c>
      <c r="O4520" t="s">
        <v>525</v>
      </c>
      <c r="P4520">
        <v>1.9739477663684155E-2</v>
      </c>
      <c r="Q4520" t="s">
        <v>162</v>
      </c>
    </row>
    <row r="4521" spans="9:17" x14ac:dyDescent="0.45">
      <c r="I4521" t="s">
        <v>277</v>
      </c>
      <c r="J4521" t="s">
        <v>526</v>
      </c>
      <c r="K4521">
        <v>7.0539940561780284E-3</v>
      </c>
      <c r="L4521" t="s">
        <v>162</v>
      </c>
      <c r="N4521" t="s">
        <v>389</v>
      </c>
      <c r="O4521" t="s">
        <v>526</v>
      </c>
      <c r="P4521">
        <v>3.8448051397247879E-3</v>
      </c>
      <c r="Q4521" t="s">
        <v>162</v>
      </c>
    </row>
    <row r="4522" spans="9:17" x14ac:dyDescent="0.45">
      <c r="I4522" t="s">
        <v>277</v>
      </c>
      <c r="J4522" t="s">
        <v>527</v>
      </c>
      <c r="K4522">
        <v>7.3558680057061558E-3</v>
      </c>
      <c r="L4522" t="s">
        <v>162</v>
      </c>
      <c r="N4522" t="s">
        <v>389</v>
      </c>
      <c r="O4522" t="s">
        <v>527</v>
      </c>
      <c r="P4522">
        <v>2.6858281337942685E-2</v>
      </c>
      <c r="Q4522" t="s">
        <v>162</v>
      </c>
    </row>
    <row r="4523" spans="9:17" x14ac:dyDescent="0.45">
      <c r="I4523" t="s">
        <v>277</v>
      </c>
      <c r="J4523" t="s">
        <v>528</v>
      </c>
      <c r="K4523">
        <v>4.1738018168883478E-2</v>
      </c>
      <c r="L4523" t="s">
        <v>162</v>
      </c>
      <c r="N4523" t="s">
        <v>389</v>
      </c>
      <c r="O4523" t="s">
        <v>528</v>
      </c>
      <c r="P4523">
        <v>9.1535575188320395E-2</v>
      </c>
      <c r="Q4523" t="s">
        <v>162</v>
      </c>
    </row>
    <row r="4524" spans="9:17" x14ac:dyDescent="0.45">
      <c r="I4524" t="s">
        <v>277</v>
      </c>
      <c r="J4524" t="s">
        <v>529</v>
      </c>
      <c r="K4524">
        <v>2.418512452527832E-2</v>
      </c>
      <c r="L4524" t="s">
        <v>162</v>
      </c>
      <c r="N4524" t="s">
        <v>389</v>
      </c>
      <c r="O4524" t="s">
        <v>529</v>
      </c>
      <c r="P4524">
        <v>8.2945468753288249E-3</v>
      </c>
      <c r="Q4524" t="s">
        <v>162</v>
      </c>
    </row>
    <row r="4525" spans="9:17" x14ac:dyDescent="0.45">
      <c r="I4525" t="s">
        <v>277</v>
      </c>
      <c r="J4525" t="s">
        <v>530</v>
      </c>
      <c r="K4525">
        <v>5.8756205880829721E-2</v>
      </c>
      <c r="L4525" t="s">
        <v>162</v>
      </c>
      <c r="N4525" t="s">
        <v>389</v>
      </c>
      <c r="O4525" t="s">
        <v>530</v>
      </c>
      <c r="P4525">
        <v>1.8585357539614336E-2</v>
      </c>
      <c r="Q4525" t="s">
        <v>162</v>
      </c>
    </row>
    <row r="4526" spans="9:17" x14ac:dyDescent="0.45">
      <c r="I4526" t="s">
        <v>277</v>
      </c>
      <c r="J4526" t="s">
        <v>531</v>
      </c>
      <c r="K4526">
        <v>0.15115298858067719</v>
      </c>
      <c r="L4526" t="s">
        <v>162</v>
      </c>
      <c r="N4526" t="s">
        <v>389</v>
      </c>
      <c r="O4526" t="s">
        <v>531</v>
      </c>
      <c r="P4526">
        <v>5.1478071769074658E-2</v>
      </c>
      <c r="Q4526" t="s">
        <v>162</v>
      </c>
    </row>
    <row r="4527" spans="9:17" x14ac:dyDescent="0.45">
      <c r="I4527" t="s">
        <v>277</v>
      </c>
      <c r="J4527" t="s">
        <v>532</v>
      </c>
      <c r="K4527">
        <v>2.2481563499510811E-2</v>
      </c>
      <c r="L4527" t="s">
        <v>162</v>
      </c>
      <c r="N4527" t="s">
        <v>389</v>
      </c>
      <c r="O4527" t="s">
        <v>532</v>
      </c>
      <c r="P4527">
        <v>8.6726664303226255E-3</v>
      </c>
      <c r="Q4527" t="s">
        <v>162</v>
      </c>
    </row>
    <row r="4528" spans="9:17" x14ac:dyDescent="0.45">
      <c r="I4528" t="s">
        <v>277</v>
      </c>
      <c r="J4528" t="s">
        <v>533</v>
      </c>
      <c r="K4528">
        <v>3.325196634431301E-2</v>
      </c>
      <c r="L4528" t="s">
        <v>162</v>
      </c>
      <c r="N4528" t="s">
        <v>389</v>
      </c>
      <c r="O4528" t="s">
        <v>533</v>
      </c>
      <c r="P4528">
        <v>6.1010804720234464E-2</v>
      </c>
      <c r="Q4528" t="s">
        <v>162</v>
      </c>
    </row>
    <row r="4529" spans="9:17" x14ac:dyDescent="0.45">
      <c r="I4529" t="s">
        <v>277</v>
      </c>
      <c r="J4529" t="s">
        <v>534</v>
      </c>
      <c r="K4529">
        <v>3.3073754678278576E-2</v>
      </c>
      <c r="L4529" t="s">
        <v>162</v>
      </c>
      <c r="N4529" t="s">
        <v>389</v>
      </c>
      <c r="O4529" t="s">
        <v>534</v>
      </c>
      <c r="P4529">
        <v>9.1826573591216251E-2</v>
      </c>
      <c r="Q4529" t="s">
        <v>162</v>
      </c>
    </row>
    <row r="4530" spans="9:17" x14ac:dyDescent="0.45">
      <c r="I4530" t="s">
        <v>277</v>
      </c>
      <c r="J4530" t="s">
        <v>535</v>
      </c>
      <c r="K4530">
        <v>2.5513602722413927E-2</v>
      </c>
      <c r="L4530" t="s">
        <v>162</v>
      </c>
      <c r="N4530" t="s">
        <v>389</v>
      </c>
      <c r="O4530" t="s">
        <v>535</v>
      </c>
      <c r="P4530">
        <v>8.0418079196329043E-3</v>
      </c>
      <c r="Q4530" t="s">
        <v>162</v>
      </c>
    </row>
    <row r="4531" spans="9:17" x14ac:dyDescent="0.45">
      <c r="I4531" t="s">
        <v>277</v>
      </c>
      <c r="J4531" t="s">
        <v>536</v>
      </c>
      <c r="K4531">
        <v>5.8398383754166498E-2</v>
      </c>
      <c r="L4531" t="s">
        <v>162</v>
      </c>
      <c r="N4531" t="s">
        <v>389</v>
      </c>
      <c r="O4531" t="s">
        <v>536</v>
      </c>
      <c r="P4531">
        <v>1.7173128750568818E-2</v>
      </c>
      <c r="Q4531" t="s">
        <v>162</v>
      </c>
    </row>
    <row r="4532" spans="9:17" x14ac:dyDescent="0.45">
      <c r="I4532" t="s">
        <v>277</v>
      </c>
      <c r="J4532" t="s">
        <v>537</v>
      </c>
      <c r="K4532">
        <v>0.13530979012836772</v>
      </c>
      <c r="L4532" t="s">
        <v>162</v>
      </c>
      <c r="N4532" t="s">
        <v>389</v>
      </c>
      <c r="O4532" t="s">
        <v>537</v>
      </c>
      <c r="P4532">
        <v>4.7025413728929259E-2</v>
      </c>
      <c r="Q4532" t="s">
        <v>162</v>
      </c>
    </row>
    <row r="4533" spans="9:17" x14ac:dyDescent="0.45">
      <c r="I4533" t="s">
        <v>277</v>
      </c>
      <c r="J4533" t="s">
        <v>538</v>
      </c>
      <c r="K4533">
        <v>1.8847443107661687E-2</v>
      </c>
      <c r="L4533" t="s">
        <v>162</v>
      </c>
      <c r="N4533" t="s">
        <v>389</v>
      </c>
      <c r="O4533" t="s">
        <v>538</v>
      </c>
      <c r="P4533">
        <v>8.8460504757943859E-3</v>
      </c>
      <c r="Q4533" t="s">
        <v>162</v>
      </c>
    </row>
    <row r="4534" spans="9:17" x14ac:dyDescent="0.45">
      <c r="I4534" t="s">
        <v>277</v>
      </c>
      <c r="J4534" t="s">
        <v>539</v>
      </c>
      <c r="K4534">
        <v>1.5172197144368132E-2</v>
      </c>
      <c r="L4534" t="s">
        <v>162</v>
      </c>
      <c r="N4534" t="s">
        <v>389</v>
      </c>
      <c r="O4534" t="s">
        <v>539</v>
      </c>
      <c r="P4534">
        <v>6.7149037787820873E-2</v>
      </c>
      <c r="Q4534" t="s">
        <v>162</v>
      </c>
    </row>
    <row r="4535" spans="9:17" x14ac:dyDescent="0.45">
      <c r="I4535" t="s">
        <v>277</v>
      </c>
      <c r="J4535" t="s">
        <v>540</v>
      </c>
      <c r="K4535">
        <v>1.7856137397522047E-3</v>
      </c>
      <c r="L4535" t="s">
        <v>162</v>
      </c>
      <c r="N4535" t="s">
        <v>389</v>
      </c>
      <c r="O4535" t="s">
        <v>540</v>
      </c>
      <c r="P4535">
        <v>3.9375817318986601E-2</v>
      </c>
      <c r="Q4535" t="s">
        <v>162</v>
      </c>
    </row>
    <row r="4536" spans="9:17" x14ac:dyDescent="0.45">
      <c r="I4536" t="s">
        <v>277</v>
      </c>
      <c r="J4536" t="s">
        <v>541</v>
      </c>
      <c r="K4536">
        <v>4.0812041409009183E-3</v>
      </c>
      <c r="L4536" t="s">
        <v>162</v>
      </c>
      <c r="N4536" t="s">
        <v>389</v>
      </c>
      <c r="O4536" t="s">
        <v>541</v>
      </c>
      <c r="P4536">
        <v>4.3763059334345975E-3</v>
      </c>
      <c r="Q4536" t="s">
        <v>162</v>
      </c>
    </row>
    <row r="4537" spans="9:17" x14ac:dyDescent="0.45">
      <c r="I4537" t="s">
        <v>277</v>
      </c>
      <c r="J4537" t="s">
        <v>542</v>
      </c>
      <c r="K4537">
        <v>1.1305585377227739E-2</v>
      </c>
      <c r="L4537" t="s">
        <v>162</v>
      </c>
      <c r="N4537" t="s">
        <v>389</v>
      </c>
      <c r="O4537" t="s">
        <v>542</v>
      </c>
      <c r="P4537">
        <v>8.2839244103100548E-3</v>
      </c>
      <c r="Q4537" t="s">
        <v>162</v>
      </c>
    </row>
    <row r="4538" spans="9:17" x14ac:dyDescent="0.45">
      <c r="I4538" t="s">
        <v>277</v>
      </c>
      <c r="J4538" t="s">
        <v>543</v>
      </c>
      <c r="K4538">
        <v>2.2227796044273555E-2</v>
      </c>
      <c r="L4538" t="s">
        <v>162</v>
      </c>
      <c r="N4538" t="s">
        <v>389</v>
      </c>
      <c r="O4538" t="s">
        <v>543</v>
      </c>
      <c r="P4538">
        <v>2.124348382356208E-2</v>
      </c>
      <c r="Q4538" t="s">
        <v>162</v>
      </c>
    </row>
    <row r="4539" spans="9:17" x14ac:dyDescent="0.45">
      <c r="I4539" t="s">
        <v>277</v>
      </c>
      <c r="J4539" t="s">
        <v>544</v>
      </c>
      <c r="K4539">
        <v>6.2348366642312012E-4</v>
      </c>
      <c r="L4539" t="s">
        <v>162</v>
      </c>
      <c r="N4539" t="s">
        <v>389</v>
      </c>
      <c r="O4539" t="s">
        <v>544</v>
      </c>
      <c r="P4539">
        <v>4.8399396104517626E-3</v>
      </c>
      <c r="Q4539" t="s">
        <v>162</v>
      </c>
    </row>
    <row r="4540" spans="9:17" x14ac:dyDescent="0.45">
      <c r="I4540" t="s">
        <v>277</v>
      </c>
      <c r="J4540" t="s">
        <v>545</v>
      </c>
      <c r="K4540">
        <v>0</v>
      </c>
      <c r="L4540" t="s">
        <v>162</v>
      </c>
      <c r="N4540" t="s">
        <v>389</v>
      </c>
      <c r="O4540" t="s">
        <v>545</v>
      </c>
      <c r="P4540">
        <v>2.7871469701018888E-2</v>
      </c>
      <c r="Q4540" t="s">
        <v>162</v>
      </c>
    </row>
    <row r="4541" spans="9:17" x14ac:dyDescent="0.45">
      <c r="I4541" t="s">
        <v>277</v>
      </c>
      <c r="J4541" t="s">
        <v>546</v>
      </c>
      <c r="K4541">
        <v>0</v>
      </c>
      <c r="L4541" t="s">
        <v>162</v>
      </c>
      <c r="N4541" t="s">
        <v>389</v>
      </c>
      <c r="O4541" t="s">
        <v>546</v>
      </c>
      <c r="P4541">
        <v>3.2629901085743068E-2</v>
      </c>
      <c r="Q4541" t="s">
        <v>162</v>
      </c>
    </row>
    <row r="4542" spans="9:17" x14ac:dyDescent="0.45">
      <c r="I4542" t="s">
        <v>277</v>
      </c>
      <c r="J4542" t="s">
        <v>547</v>
      </c>
      <c r="K4542">
        <v>2.4245172767121898E-3</v>
      </c>
      <c r="L4542" t="s">
        <v>162</v>
      </c>
      <c r="N4542" t="s">
        <v>389</v>
      </c>
      <c r="O4542" t="s">
        <v>547</v>
      </c>
      <c r="P4542">
        <v>4.0922782366242276E-3</v>
      </c>
      <c r="Q4542" t="s">
        <v>162</v>
      </c>
    </row>
    <row r="4543" spans="9:17" x14ac:dyDescent="0.45">
      <c r="I4543" t="s">
        <v>277</v>
      </c>
      <c r="J4543" t="s">
        <v>548</v>
      </c>
      <c r="K4543">
        <v>9.0004139694139871E-3</v>
      </c>
      <c r="L4543" t="s">
        <v>162</v>
      </c>
      <c r="N4543" t="s">
        <v>389</v>
      </c>
      <c r="O4543" t="s">
        <v>548</v>
      </c>
      <c r="P4543">
        <v>6.8610609850949522E-3</v>
      </c>
      <c r="Q4543" t="s">
        <v>162</v>
      </c>
    </row>
    <row r="4544" spans="9:17" x14ac:dyDescent="0.45">
      <c r="I4544" t="s">
        <v>277</v>
      </c>
      <c r="J4544" t="s">
        <v>549</v>
      </c>
      <c r="K4544">
        <v>1.8081778472638595E-2</v>
      </c>
      <c r="L4544" t="s">
        <v>162</v>
      </c>
      <c r="N4544" t="s">
        <v>389</v>
      </c>
      <c r="O4544" t="s">
        <v>549</v>
      </c>
      <c r="P4544">
        <v>1.5806976293631019E-2</v>
      </c>
      <c r="Q4544" t="s">
        <v>162</v>
      </c>
    </row>
    <row r="4545" spans="9:17" x14ac:dyDescent="0.45">
      <c r="I4545" t="s">
        <v>277</v>
      </c>
      <c r="J4545" t="s">
        <v>550</v>
      </c>
      <c r="K4545">
        <v>5.1164444229220151E-6</v>
      </c>
      <c r="L4545" t="s">
        <v>162</v>
      </c>
      <c r="N4545" t="s">
        <v>389</v>
      </c>
      <c r="O4545" t="s">
        <v>550</v>
      </c>
      <c r="P4545">
        <v>3.8580572711123455E-3</v>
      </c>
      <c r="Q4545" t="s">
        <v>162</v>
      </c>
    </row>
    <row r="4546" spans="9:17" x14ac:dyDescent="0.45">
      <c r="I4546" t="s">
        <v>277</v>
      </c>
      <c r="J4546" t="s">
        <v>551</v>
      </c>
      <c r="K4546">
        <v>0</v>
      </c>
      <c r="L4546" t="s">
        <v>162</v>
      </c>
      <c r="N4546" t="s">
        <v>389</v>
      </c>
      <c r="O4546" t="s">
        <v>551</v>
      </c>
      <c r="P4546">
        <v>2.2441450004410033E-2</v>
      </c>
      <c r="Q4546" t="s">
        <v>162</v>
      </c>
    </row>
    <row r="4547" spans="9:17" x14ac:dyDescent="0.45">
      <c r="I4547" t="s">
        <v>278</v>
      </c>
      <c r="J4547" t="s">
        <v>161</v>
      </c>
      <c r="K4547">
        <v>1.3309182875260372E-3</v>
      </c>
      <c r="L4547" t="s">
        <v>162</v>
      </c>
      <c r="N4547" t="s">
        <v>390</v>
      </c>
      <c r="O4547" t="s">
        <v>161</v>
      </c>
      <c r="P4547">
        <v>3.3047188621597251E-2</v>
      </c>
      <c r="Q4547" t="s">
        <v>162</v>
      </c>
    </row>
    <row r="4548" spans="9:17" x14ac:dyDescent="0.45">
      <c r="I4548" t="s">
        <v>278</v>
      </c>
      <c r="J4548" t="s">
        <v>163</v>
      </c>
      <c r="K4548">
        <v>5.6572380760315649E-3</v>
      </c>
      <c r="L4548" t="s">
        <v>162</v>
      </c>
      <c r="N4548" t="s">
        <v>390</v>
      </c>
      <c r="O4548" t="s">
        <v>163</v>
      </c>
      <c r="P4548">
        <v>4.0527595159636854E-3</v>
      </c>
      <c r="Q4548" t="s">
        <v>162</v>
      </c>
    </row>
    <row r="4549" spans="9:17" x14ac:dyDescent="0.45">
      <c r="I4549" t="s">
        <v>278</v>
      </c>
      <c r="J4549" t="s">
        <v>164</v>
      </c>
      <c r="K4549">
        <v>1.5351493284061395E-2</v>
      </c>
      <c r="L4549" t="s">
        <v>162</v>
      </c>
      <c r="N4549" t="s">
        <v>390</v>
      </c>
      <c r="O4549" t="s">
        <v>164</v>
      </c>
      <c r="P4549">
        <v>6.9063532424957922E-3</v>
      </c>
      <c r="Q4549" t="s">
        <v>162</v>
      </c>
    </row>
    <row r="4550" spans="9:17" x14ac:dyDescent="0.45">
      <c r="I4550" t="s">
        <v>278</v>
      </c>
      <c r="J4550" t="s">
        <v>519</v>
      </c>
      <c r="K4550">
        <v>3.1475936706690237E-2</v>
      </c>
      <c r="L4550" t="s">
        <v>162</v>
      </c>
      <c r="N4550" t="s">
        <v>390</v>
      </c>
      <c r="O4550" t="s">
        <v>519</v>
      </c>
      <c r="P4550">
        <v>1.7268119485144277E-2</v>
      </c>
      <c r="Q4550" t="s">
        <v>162</v>
      </c>
    </row>
    <row r="4551" spans="9:17" x14ac:dyDescent="0.45">
      <c r="I4551" t="s">
        <v>278</v>
      </c>
      <c r="J4551" t="s">
        <v>520</v>
      </c>
      <c r="K4551">
        <v>0</v>
      </c>
      <c r="L4551" t="s">
        <v>162</v>
      </c>
      <c r="N4551" t="s">
        <v>390</v>
      </c>
      <c r="O4551" t="s">
        <v>520</v>
      </c>
      <c r="P4551">
        <v>4.4572017645812595E-3</v>
      </c>
      <c r="Q4551" t="s">
        <v>162</v>
      </c>
    </row>
    <row r="4552" spans="9:17" x14ac:dyDescent="0.45">
      <c r="I4552" t="s">
        <v>278</v>
      </c>
      <c r="J4552" t="s">
        <v>521</v>
      </c>
      <c r="K4552">
        <v>0</v>
      </c>
      <c r="L4552" t="s">
        <v>162</v>
      </c>
      <c r="N4552" t="s">
        <v>390</v>
      </c>
      <c r="O4552" t="s">
        <v>521</v>
      </c>
      <c r="P4552">
        <v>2.5386437046468747E-2</v>
      </c>
      <c r="Q4552" t="s">
        <v>162</v>
      </c>
    </row>
    <row r="4553" spans="9:17" x14ac:dyDescent="0.45">
      <c r="I4553" t="s">
        <v>278</v>
      </c>
      <c r="J4553" t="s">
        <v>165</v>
      </c>
      <c r="K4553">
        <v>1.8024344969312319E-2</v>
      </c>
      <c r="L4553" t="s">
        <v>162</v>
      </c>
      <c r="N4553" t="s">
        <v>390</v>
      </c>
      <c r="O4553" t="s">
        <v>165</v>
      </c>
      <c r="P4553">
        <v>4.963999334339142E-2</v>
      </c>
      <c r="Q4553" t="s">
        <v>162</v>
      </c>
    </row>
    <row r="4554" spans="9:17" x14ac:dyDescent="0.45">
      <c r="I4554" t="s">
        <v>278</v>
      </c>
      <c r="J4554" t="s">
        <v>166</v>
      </c>
      <c r="K4554">
        <v>1.6395202962114011E-2</v>
      </c>
      <c r="L4554" t="s">
        <v>162</v>
      </c>
      <c r="N4554" t="s">
        <v>390</v>
      </c>
      <c r="O4554" t="s">
        <v>166</v>
      </c>
      <c r="P4554">
        <v>4.5655627774884317E-3</v>
      </c>
      <c r="Q4554" t="s">
        <v>162</v>
      </c>
    </row>
    <row r="4555" spans="9:17" x14ac:dyDescent="0.45">
      <c r="I4555" t="s">
        <v>278</v>
      </c>
      <c r="J4555" t="s">
        <v>167</v>
      </c>
      <c r="K4555">
        <v>3.7634568014300568E-2</v>
      </c>
      <c r="L4555" t="s">
        <v>162</v>
      </c>
      <c r="N4555" t="s">
        <v>390</v>
      </c>
      <c r="O4555" t="s">
        <v>167</v>
      </c>
      <c r="P4555">
        <v>7.4518208344774269E-3</v>
      </c>
      <c r="Q4555" t="s">
        <v>162</v>
      </c>
    </row>
    <row r="4556" spans="9:17" x14ac:dyDescent="0.45">
      <c r="I4556" t="s">
        <v>278</v>
      </c>
      <c r="J4556" t="s">
        <v>522</v>
      </c>
      <c r="K4556">
        <v>8.2726507787097517E-2</v>
      </c>
      <c r="L4556" t="s">
        <v>162</v>
      </c>
      <c r="N4556" t="s">
        <v>390</v>
      </c>
      <c r="O4556" t="s">
        <v>522</v>
      </c>
      <c r="P4556">
        <v>2.0537583513584767E-2</v>
      </c>
      <c r="Q4556" t="s">
        <v>162</v>
      </c>
    </row>
    <row r="4557" spans="9:17" x14ac:dyDescent="0.45">
      <c r="I4557" t="s">
        <v>278</v>
      </c>
      <c r="J4557" t="s">
        <v>523</v>
      </c>
      <c r="K4557">
        <v>8.2717712976551547E-3</v>
      </c>
      <c r="L4557" t="s">
        <v>162</v>
      </c>
      <c r="N4557" t="s">
        <v>390</v>
      </c>
      <c r="O4557" t="s">
        <v>523</v>
      </c>
      <c r="P4557">
        <v>4.8356696463795227E-3</v>
      </c>
      <c r="Q4557" t="s">
        <v>162</v>
      </c>
    </row>
    <row r="4558" spans="9:17" x14ac:dyDescent="0.45">
      <c r="I4558" t="s">
        <v>278</v>
      </c>
      <c r="J4558" t="s">
        <v>524</v>
      </c>
      <c r="K4558">
        <v>2.0675384915241775E-3</v>
      </c>
      <c r="L4558" t="s">
        <v>162</v>
      </c>
      <c r="N4558" t="s">
        <v>390</v>
      </c>
      <c r="O4558" t="s">
        <v>524</v>
      </c>
      <c r="P4558">
        <v>3.7574757052320579E-2</v>
      </c>
      <c r="Q4558" t="s">
        <v>162</v>
      </c>
    </row>
    <row r="4559" spans="9:17" x14ac:dyDescent="0.45">
      <c r="I4559" t="s">
        <v>278</v>
      </c>
      <c r="J4559" t="s">
        <v>168</v>
      </c>
      <c r="K4559">
        <v>2.2718457342574539E-2</v>
      </c>
      <c r="L4559" t="s">
        <v>162</v>
      </c>
      <c r="N4559" t="s">
        <v>390</v>
      </c>
      <c r="O4559" t="s">
        <v>168</v>
      </c>
      <c r="P4559">
        <v>3.5981973815563242E-2</v>
      </c>
      <c r="Q4559" t="s">
        <v>162</v>
      </c>
    </row>
    <row r="4560" spans="9:17" x14ac:dyDescent="0.45">
      <c r="I4560" t="s">
        <v>278</v>
      </c>
      <c r="J4560" t="s">
        <v>169</v>
      </c>
      <c r="K4560">
        <v>1.1226189040816559E-2</v>
      </c>
      <c r="L4560" t="s">
        <v>162</v>
      </c>
      <c r="N4560" t="s">
        <v>390</v>
      </c>
      <c r="O4560" t="s">
        <v>169</v>
      </c>
      <c r="P4560">
        <v>3.4427106342037102E-3</v>
      </c>
      <c r="Q4560" t="s">
        <v>162</v>
      </c>
    </row>
    <row r="4561" spans="9:17" x14ac:dyDescent="0.45">
      <c r="I4561" t="s">
        <v>278</v>
      </c>
      <c r="J4561" t="s">
        <v>170</v>
      </c>
      <c r="K4561">
        <v>2.3938641803949872E-2</v>
      </c>
      <c r="L4561" t="s">
        <v>162</v>
      </c>
      <c r="N4561" t="s">
        <v>390</v>
      </c>
      <c r="O4561" t="s">
        <v>170</v>
      </c>
      <c r="P4561">
        <v>7.5250490131377711E-3</v>
      </c>
      <c r="Q4561" t="s">
        <v>162</v>
      </c>
    </row>
    <row r="4562" spans="9:17" x14ac:dyDescent="0.45">
      <c r="I4562" t="s">
        <v>278</v>
      </c>
      <c r="J4562" t="s">
        <v>525</v>
      </c>
      <c r="K4562">
        <v>5.540798140670973E-2</v>
      </c>
      <c r="L4562" t="s">
        <v>162</v>
      </c>
      <c r="N4562" t="s">
        <v>390</v>
      </c>
      <c r="O4562" t="s">
        <v>525</v>
      </c>
      <c r="P4562">
        <v>2.2441332361300866E-2</v>
      </c>
      <c r="Q4562" t="s">
        <v>162</v>
      </c>
    </row>
    <row r="4563" spans="9:17" x14ac:dyDescent="0.45">
      <c r="I4563" t="s">
        <v>278</v>
      </c>
      <c r="J4563" t="s">
        <v>526</v>
      </c>
      <c r="K4563">
        <v>7.9724417783819997E-3</v>
      </c>
      <c r="L4563" t="s">
        <v>162</v>
      </c>
      <c r="N4563" t="s">
        <v>390</v>
      </c>
      <c r="O4563" t="s">
        <v>526</v>
      </c>
      <c r="P4563">
        <v>4.1739199954410047E-3</v>
      </c>
      <c r="Q4563" t="s">
        <v>162</v>
      </c>
    </row>
    <row r="4564" spans="9:17" x14ac:dyDescent="0.45">
      <c r="I4564" t="s">
        <v>278</v>
      </c>
      <c r="J4564" t="s">
        <v>527</v>
      </c>
      <c r="K4564">
        <v>6.3910008744363384E-3</v>
      </c>
      <c r="L4564" t="s">
        <v>162</v>
      </c>
      <c r="N4564" t="s">
        <v>390</v>
      </c>
      <c r="O4564" t="s">
        <v>527</v>
      </c>
      <c r="P4564">
        <v>2.816946665991461E-2</v>
      </c>
      <c r="Q4564" t="s">
        <v>162</v>
      </c>
    </row>
    <row r="4565" spans="9:17" x14ac:dyDescent="0.45">
      <c r="I4565" t="s">
        <v>278</v>
      </c>
      <c r="J4565" t="s">
        <v>528</v>
      </c>
      <c r="K4565">
        <v>7.5773252729813306E-2</v>
      </c>
      <c r="L4565" t="s">
        <v>162</v>
      </c>
      <c r="N4565" t="s">
        <v>390</v>
      </c>
      <c r="O4565" t="s">
        <v>528</v>
      </c>
      <c r="P4565">
        <v>8.5857381218525916E-2</v>
      </c>
      <c r="Q4565" t="s">
        <v>162</v>
      </c>
    </row>
    <row r="4566" spans="9:17" x14ac:dyDescent="0.45">
      <c r="I4566" t="s">
        <v>278</v>
      </c>
      <c r="J4566" t="s">
        <v>529</v>
      </c>
      <c r="K4566">
        <v>2.9571092990892094E-2</v>
      </c>
      <c r="L4566" t="s">
        <v>162</v>
      </c>
      <c r="N4566" t="s">
        <v>390</v>
      </c>
      <c r="O4566" t="s">
        <v>529</v>
      </c>
      <c r="P4566">
        <v>7.5902791649769446E-3</v>
      </c>
      <c r="Q4566" t="s">
        <v>162</v>
      </c>
    </row>
    <row r="4567" spans="9:17" x14ac:dyDescent="0.45">
      <c r="I4567" t="s">
        <v>278</v>
      </c>
      <c r="J4567" t="s">
        <v>530</v>
      </c>
      <c r="K4567">
        <v>6.2875206615588486E-2</v>
      </c>
      <c r="L4567" t="s">
        <v>162</v>
      </c>
      <c r="N4567" t="s">
        <v>390</v>
      </c>
      <c r="O4567" t="s">
        <v>530</v>
      </c>
      <c r="P4567">
        <v>1.7259130397504655E-2</v>
      </c>
      <c r="Q4567" t="s">
        <v>162</v>
      </c>
    </row>
    <row r="4568" spans="9:17" x14ac:dyDescent="0.45">
      <c r="I4568" t="s">
        <v>278</v>
      </c>
      <c r="J4568" t="s">
        <v>531</v>
      </c>
      <c r="K4568">
        <v>0.14604220926065012</v>
      </c>
      <c r="L4568" t="s">
        <v>162</v>
      </c>
      <c r="N4568" t="s">
        <v>390</v>
      </c>
      <c r="O4568" t="s">
        <v>531</v>
      </c>
      <c r="P4568">
        <v>4.6244372959650504E-2</v>
      </c>
      <c r="Q4568" t="s">
        <v>162</v>
      </c>
    </row>
    <row r="4569" spans="9:17" x14ac:dyDescent="0.45">
      <c r="I4569" t="s">
        <v>278</v>
      </c>
      <c r="J4569" t="s">
        <v>532</v>
      </c>
      <c r="K4569">
        <v>2.1506804414093798E-2</v>
      </c>
      <c r="L4569" t="s">
        <v>162</v>
      </c>
      <c r="N4569" t="s">
        <v>390</v>
      </c>
      <c r="O4569" t="s">
        <v>532</v>
      </c>
      <c r="P4569">
        <v>7.9890346903280767E-3</v>
      </c>
      <c r="Q4569" t="s">
        <v>162</v>
      </c>
    </row>
    <row r="4570" spans="9:17" x14ac:dyDescent="0.45">
      <c r="I4570" t="s">
        <v>278</v>
      </c>
      <c r="J4570" t="s">
        <v>533</v>
      </c>
      <c r="K4570">
        <v>2.8177416926324254E-2</v>
      </c>
      <c r="L4570" t="s">
        <v>162</v>
      </c>
      <c r="N4570" t="s">
        <v>390</v>
      </c>
      <c r="O4570" t="s">
        <v>533</v>
      </c>
      <c r="P4570">
        <v>6.1527699662252626E-2</v>
      </c>
      <c r="Q4570" t="s">
        <v>162</v>
      </c>
    </row>
    <row r="4571" spans="9:17" x14ac:dyDescent="0.45">
      <c r="I4571" t="s">
        <v>278</v>
      </c>
      <c r="J4571" t="s">
        <v>534</v>
      </c>
      <c r="K4571">
        <v>3.7970010566339647E-2</v>
      </c>
      <c r="L4571" t="s">
        <v>162</v>
      </c>
      <c r="N4571" t="s">
        <v>390</v>
      </c>
      <c r="O4571" t="s">
        <v>534</v>
      </c>
      <c r="P4571">
        <v>0.10169230957218262</v>
      </c>
      <c r="Q4571" t="s">
        <v>162</v>
      </c>
    </row>
    <row r="4572" spans="9:17" x14ac:dyDescent="0.45">
      <c r="I4572" t="s">
        <v>278</v>
      </c>
      <c r="J4572" t="s">
        <v>535</v>
      </c>
      <c r="K4572">
        <v>2.1369771951626305E-2</v>
      </c>
      <c r="L4572" t="s">
        <v>162</v>
      </c>
      <c r="N4572" t="s">
        <v>390</v>
      </c>
      <c r="O4572" t="s">
        <v>535</v>
      </c>
      <c r="P4572">
        <v>9.7243401077610776E-3</v>
      </c>
      <c r="Q4572" t="s">
        <v>162</v>
      </c>
    </row>
    <row r="4573" spans="9:17" x14ac:dyDescent="0.45">
      <c r="I4573" t="s">
        <v>278</v>
      </c>
      <c r="J4573" t="s">
        <v>536</v>
      </c>
      <c r="K4573">
        <v>4.4555339417416413E-2</v>
      </c>
      <c r="L4573" t="s">
        <v>162</v>
      </c>
      <c r="N4573" t="s">
        <v>390</v>
      </c>
      <c r="O4573" t="s">
        <v>536</v>
      </c>
      <c r="P4573">
        <v>1.9705959515919167E-2</v>
      </c>
      <c r="Q4573" t="s">
        <v>162</v>
      </c>
    </row>
    <row r="4574" spans="9:17" x14ac:dyDescent="0.45">
      <c r="I4574" t="s">
        <v>278</v>
      </c>
      <c r="J4574" t="s">
        <v>537</v>
      </c>
      <c r="K4574">
        <v>9.6880332070226907E-2</v>
      </c>
      <c r="L4574" t="s">
        <v>162</v>
      </c>
      <c r="N4574" t="s">
        <v>390</v>
      </c>
      <c r="O4574" t="s">
        <v>537</v>
      </c>
      <c r="P4574">
        <v>5.675600040217027E-2</v>
      </c>
      <c r="Q4574" t="s">
        <v>162</v>
      </c>
    </row>
    <row r="4575" spans="9:17" x14ac:dyDescent="0.45">
      <c r="I4575" t="s">
        <v>278</v>
      </c>
      <c r="J4575" t="s">
        <v>538</v>
      </c>
      <c r="K4575">
        <v>1.1474628505902027E-2</v>
      </c>
      <c r="L4575" t="s">
        <v>162</v>
      </c>
      <c r="N4575" t="s">
        <v>390</v>
      </c>
      <c r="O4575" t="s">
        <v>538</v>
      </c>
      <c r="P4575">
        <v>1.1074030222508534E-2</v>
      </c>
      <c r="Q4575" t="s">
        <v>162</v>
      </c>
    </row>
    <row r="4576" spans="9:17" x14ac:dyDescent="0.45">
      <c r="I4576" t="s">
        <v>278</v>
      </c>
      <c r="J4576" t="s">
        <v>539</v>
      </c>
      <c r="K4576">
        <v>6.9125527758014168E-3</v>
      </c>
      <c r="L4576" t="s">
        <v>162</v>
      </c>
      <c r="N4576" t="s">
        <v>390</v>
      </c>
      <c r="O4576" t="s">
        <v>539</v>
      </c>
      <c r="P4576">
        <v>7.2960084260073277E-2</v>
      </c>
      <c r="Q4576" t="s">
        <v>162</v>
      </c>
    </row>
    <row r="4577" spans="9:17" x14ac:dyDescent="0.45">
      <c r="I4577" t="s">
        <v>278</v>
      </c>
      <c r="J4577" t="s">
        <v>540</v>
      </c>
      <c r="K4577">
        <v>2.8356817452173345E-3</v>
      </c>
      <c r="L4577" t="s">
        <v>162</v>
      </c>
      <c r="N4577" t="s">
        <v>390</v>
      </c>
      <c r="O4577" t="s">
        <v>540</v>
      </c>
      <c r="P4577">
        <v>3.8384713920526378E-2</v>
      </c>
      <c r="Q4577" t="s">
        <v>162</v>
      </c>
    </row>
    <row r="4578" spans="9:17" x14ac:dyDescent="0.45">
      <c r="I4578" t="s">
        <v>278</v>
      </c>
      <c r="J4578" t="s">
        <v>541</v>
      </c>
      <c r="K4578">
        <v>4.3501957149024856E-3</v>
      </c>
      <c r="L4578" t="s">
        <v>162</v>
      </c>
      <c r="N4578" t="s">
        <v>390</v>
      </c>
      <c r="O4578" t="s">
        <v>541</v>
      </c>
      <c r="P4578">
        <v>4.2964528938706547E-3</v>
      </c>
      <c r="Q4578" t="s">
        <v>162</v>
      </c>
    </row>
    <row r="4579" spans="9:17" x14ac:dyDescent="0.45">
      <c r="I4579" t="s">
        <v>278</v>
      </c>
      <c r="J4579" t="s">
        <v>542</v>
      </c>
      <c r="K4579">
        <v>1.0163419530247344E-2</v>
      </c>
      <c r="L4579" t="s">
        <v>162</v>
      </c>
      <c r="N4579" t="s">
        <v>390</v>
      </c>
      <c r="O4579" t="s">
        <v>542</v>
      </c>
      <c r="P4579">
        <v>8.2203772509599239E-3</v>
      </c>
      <c r="Q4579" t="s">
        <v>162</v>
      </c>
    </row>
    <row r="4580" spans="9:17" x14ac:dyDescent="0.45">
      <c r="I4580" t="s">
        <v>278</v>
      </c>
      <c r="J4580" t="s">
        <v>543</v>
      </c>
      <c r="K4580">
        <v>1.8356303324670337E-2</v>
      </c>
      <c r="L4580" t="s">
        <v>162</v>
      </c>
      <c r="N4580" t="s">
        <v>390</v>
      </c>
      <c r="O4580" t="s">
        <v>543</v>
      </c>
      <c r="P4580">
        <v>2.1557878815610273E-2</v>
      </c>
      <c r="Q4580" t="s">
        <v>162</v>
      </c>
    </row>
    <row r="4581" spans="9:17" x14ac:dyDescent="0.45">
      <c r="I4581" t="s">
        <v>278</v>
      </c>
      <c r="J4581" t="s">
        <v>544</v>
      </c>
      <c r="K4581">
        <v>0</v>
      </c>
      <c r="L4581" t="s">
        <v>162</v>
      </c>
      <c r="N4581" t="s">
        <v>390</v>
      </c>
      <c r="O4581" t="s">
        <v>544</v>
      </c>
      <c r="P4581">
        <v>4.7920257382100609E-3</v>
      </c>
      <c r="Q4581" t="s">
        <v>162</v>
      </c>
    </row>
    <row r="4582" spans="9:17" x14ac:dyDescent="0.45">
      <c r="I4582" t="s">
        <v>278</v>
      </c>
      <c r="J4582" t="s">
        <v>545</v>
      </c>
      <c r="K4582">
        <v>0</v>
      </c>
      <c r="L4582" t="s">
        <v>162</v>
      </c>
      <c r="N4582" t="s">
        <v>390</v>
      </c>
      <c r="O4582" t="s">
        <v>545</v>
      </c>
      <c r="P4582">
        <v>2.8140563064091233E-2</v>
      </c>
      <c r="Q4582" t="s">
        <v>162</v>
      </c>
    </row>
    <row r="4583" spans="9:17" x14ac:dyDescent="0.45">
      <c r="I4583" t="s">
        <v>278</v>
      </c>
      <c r="J4583" t="s">
        <v>546</v>
      </c>
      <c r="K4583">
        <v>5.2708011068217933E-4</v>
      </c>
      <c r="L4583" t="s">
        <v>162</v>
      </c>
      <c r="N4583" t="s">
        <v>390</v>
      </c>
      <c r="O4583" t="s">
        <v>546</v>
      </c>
      <c r="P4583">
        <v>2.9459487150755692E-2</v>
      </c>
      <c r="Q4583" t="s">
        <v>162</v>
      </c>
    </row>
    <row r="4584" spans="9:17" x14ac:dyDescent="0.45">
      <c r="I4584" t="s">
        <v>278</v>
      </c>
      <c r="J4584" t="s">
        <v>547</v>
      </c>
      <c r="K4584">
        <v>3.9797863993756019E-3</v>
      </c>
      <c r="L4584" t="s">
        <v>162</v>
      </c>
      <c r="N4584" t="s">
        <v>390</v>
      </c>
      <c r="O4584" t="s">
        <v>547</v>
      </c>
      <c r="P4584">
        <v>3.2852267715125782E-3</v>
      </c>
      <c r="Q4584" t="s">
        <v>162</v>
      </c>
    </row>
    <row r="4585" spans="9:17" x14ac:dyDescent="0.45">
      <c r="I4585" t="s">
        <v>278</v>
      </c>
      <c r="J4585" t="s">
        <v>548</v>
      </c>
      <c r="K4585">
        <v>1.1378881173784459E-2</v>
      </c>
      <c r="L4585" t="s">
        <v>162</v>
      </c>
      <c r="N4585" t="s">
        <v>390</v>
      </c>
      <c r="O4585" t="s">
        <v>548</v>
      </c>
      <c r="P4585">
        <v>5.4701302331698794E-3</v>
      </c>
      <c r="Q4585" t="s">
        <v>162</v>
      </c>
    </row>
    <row r="4586" spans="9:17" x14ac:dyDescent="0.45">
      <c r="I4586" t="s">
        <v>278</v>
      </c>
      <c r="J4586" t="s">
        <v>549</v>
      </c>
      <c r="K4586">
        <v>1.8709801653264569E-2</v>
      </c>
      <c r="L4586" t="s">
        <v>162</v>
      </c>
      <c r="N4586" t="s">
        <v>390</v>
      </c>
      <c r="O4586" t="s">
        <v>549</v>
      </c>
      <c r="P4586">
        <v>1.3631928535897467E-2</v>
      </c>
      <c r="Q4586" t="s">
        <v>162</v>
      </c>
    </row>
    <row r="4587" spans="9:17" x14ac:dyDescent="0.45">
      <c r="I4587" t="s">
        <v>278</v>
      </c>
      <c r="J4587" t="s">
        <v>550</v>
      </c>
      <c r="K4587">
        <v>0</v>
      </c>
      <c r="L4587" t="s">
        <v>162</v>
      </c>
      <c r="N4587" t="s">
        <v>390</v>
      </c>
      <c r="O4587" t="s">
        <v>550</v>
      </c>
      <c r="P4587">
        <v>3.9067013592556359E-3</v>
      </c>
      <c r="Q4587" t="s">
        <v>162</v>
      </c>
    </row>
    <row r="4588" spans="9:17" x14ac:dyDescent="0.45">
      <c r="I4588" t="s">
        <v>278</v>
      </c>
      <c r="J4588" t="s">
        <v>551</v>
      </c>
      <c r="K4588">
        <v>0</v>
      </c>
      <c r="L4588" t="s">
        <v>162</v>
      </c>
      <c r="N4588" t="s">
        <v>390</v>
      </c>
      <c r="O4588" t="s">
        <v>551</v>
      </c>
      <c r="P4588">
        <v>2.3015992768832844E-2</v>
      </c>
      <c r="Q4588" t="s">
        <v>162</v>
      </c>
    </row>
    <row r="4589" spans="9:17" x14ac:dyDescent="0.45">
      <c r="I4589" t="s">
        <v>279</v>
      </c>
      <c r="J4589" t="s">
        <v>161</v>
      </c>
      <c r="K4589">
        <v>7.728724291599287E-5</v>
      </c>
      <c r="L4589" t="s">
        <v>162</v>
      </c>
      <c r="N4589" t="s">
        <v>391</v>
      </c>
      <c r="O4589" t="s">
        <v>161</v>
      </c>
      <c r="P4589">
        <v>3.474318438519948E-2</v>
      </c>
      <c r="Q4589" t="s">
        <v>162</v>
      </c>
    </row>
    <row r="4590" spans="9:17" x14ac:dyDescent="0.45">
      <c r="I4590" t="s">
        <v>279</v>
      </c>
      <c r="J4590" t="s">
        <v>163</v>
      </c>
      <c r="K4590">
        <v>4.6227895260648405E-3</v>
      </c>
      <c r="L4590" t="s">
        <v>162</v>
      </c>
      <c r="N4590" t="s">
        <v>391</v>
      </c>
      <c r="O4590" t="s">
        <v>163</v>
      </c>
      <c r="P4590">
        <v>3.8812819670807253E-3</v>
      </c>
      <c r="Q4590" t="s">
        <v>162</v>
      </c>
    </row>
    <row r="4591" spans="9:17" x14ac:dyDescent="0.45">
      <c r="I4591" t="s">
        <v>279</v>
      </c>
      <c r="J4591" t="s">
        <v>164</v>
      </c>
      <c r="K4591">
        <v>1.431533888783902E-2</v>
      </c>
      <c r="L4591" t="s">
        <v>162</v>
      </c>
      <c r="N4591" t="s">
        <v>391</v>
      </c>
      <c r="O4591" t="s">
        <v>164</v>
      </c>
      <c r="P4591">
        <v>6.7369044829424353E-3</v>
      </c>
      <c r="Q4591" t="s">
        <v>162</v>
      </c>
    </row>
    <row r="4592" spans="9:17" x14ac:dyDescent="0.45">
      <c r="I4592" t="s">
        <v>279</v>
      </c>
      <c r="J4592" t="s">
        <v>519</v>
      </c>
      <c r="K4592">
        <v>3.1350448702435862E-2</v>
      </c>
      <c r="L4592" t="s">
        <v>162</v>
      </c>
      <c r="N4592" t="s">
        <v>391</v>
      </c>
      <c r="O4592" t="s">
        <v>519</v>
      </c>
      <c r="P4592">
        <v>1.7645323351102287E-2</v>
      </c>
      <c r="Q4592" t="s">
        <v>162</v>
      </c>
    </row>
    <row r="4593" spans="9:17" x14ac:dyDescent="0.45">
      <c r="I4593" t="s">
        <v>279</v>
      </c>
      <c r="J4593" t="s">
        <v>520</v>
      </c>
      <c r="K4593">
        <v>1.3411984543005671E-7</v>
      </c>
      <c r="L4593" t="s">
        <v>162</v>
      </c>
      <c r="N4593" t="s">
        <v>391</v>
      </c>
      <c r="O4593" t="s">
        <v>520</v>
      </c>
      <c r="P4593">
        <v>4.4135220446829687E-3</v>
      </c>
      <c r="Q4593" t="s">
        <v>162</v>
      </c>
    </row>
    <row r="4594" spans="9:17" x14ac:dyDescent="0.45">
      <c r="I4594" t="s">
        <v>279</v>
      </c>
      <c r="J4594" t="s">
        <v>521</v>
      </c>
      <c r="K4594">
        <v>0</v>
      </c>
      <c r="L4594" t="s">
        <v>162</v>
      </c>
      <c r="N4594" t="s">
        <v>391</v>
      </c>
      <c r="O4594" t="s">
        <v>521</v>
      </c>
      <c r="P4594">
        <v>2.7440006920061728E-2</v>
      </c>
      <c r="Q4594" t="s">
        <v>162</v>
      </c>
    </row>
    <row r="4595" spans="9:17" x14ac:dyDescent="0.45">
      <c r="I4595" t="s">
        <v>279</v>
      </c>
      <c r="J4595" t="s">
        <v>165</v>
      </c>
      <c r="K4595">
        <v>1.4468874245231985E-2</v>
      </c>
      <c r="L4595" t="s">
        <v>162</v>
      </c>
      <c r="N4595" t="s">
        <v>391</v>
      </c>
      <c r="O4595" t="s">
        <v>165</v>
      </c>
      <c r="P4595">
        <v>5.348675842732848E-2</v>
      </c>
      <c r="Q4595" t="s">
        <v>162</v>
      </c>
    </row>
    <row r="4596" spans="9:17" x14ac:dyDescent="0.45">
      <c r="I4596" t="s">
        <v>279</v>
      </c>
      <c r="J4596" t="s">
        <v>166</v>
      </c>
      <c r="K4596">
        <v>1.590109293683371E-2</v>
      </c>
      <c r="L4596" t="s">
        <v>162</v>
      </c>
      <c r="N4596" t="s">
        <v>391</v>
      </c>
      <c r="O4596" t="s">
        <v>166</v>
      </c>
      <c r="P4596">
        <v>5.4750640604262013E-3</v>
      </c>
      <c r="Q4596" t="s">
        <v>162</v>
      </c>
    </row>
    <row r="4597" spans="9:17" x14ac:dyDescent="0.45">
      <c r="I4597" t="s">
        <v>279</v>
      </c>
      <c r="J4597" t="s">
        <v>167</v>
      </c>
      <c r="K4597">
        <v>3.8974630912088658E-2</v>
      </c>
      <c r="L4597" t="s">
        <v>162</v>
      </c>
      <c r="N4597" t="s">
        <v>391</v>
      </c>
      <c r="O4597" t="s">
        <v>167</v>
      </c>
      <c r="P4597">
        <v>9.402994911514714E-3</v>
      </c>
      <c r="Q4597" t="s">
        <v>162</v>
      </c>
    </row>
    <row r="4598" spans="9:17" x14ac:dyDescent="0.45">
      <c r="I4598" t="s">
        <v>279</v>
      </c>
      <c r="J4598" t="s">
        <v>522</v>
      </c>
      <c r="K4598">
        <v>8.9913685194974863E-2</v>
      </c>
      <c r="L4598" t="s">
        <v>162</v>
      </c>
      <c r="N4598" t="s">
        <v>391</v>
      </c>
      <c r="O4598" t="s">
        <v>522</v>
      </c>
      <c r="P4598">
        <v>2.4041616813548349E-2</v>
      </c>
      <c r="Q4598" t="s">
        <v>162</v>
      </c>
    </row>
    <row r="4599" spans="9:17" x14ac:dyDescent="0.45">
      <c r="I4599" t="s">
        <v>279</v>
      </c>
      <c r="J4599" t="s">
        <v>523</v>
      </c>
      <c r="K4599">
        <v>9.8482880947516407E-3</v>
      </c>
      <c r="L4599" t="s">
        <v>162</v>
      </c>
      <c r="N4599" t="s">
        <v>391</v>
      </c>
      <c r="O4599" t="s">
        <v>523</v>
      </c>
      <c r="P4599">
        <v>5.4791588829501648E-3</v>
      </c>
      <c r="Q4599" t="s">
        <v>162</v>
      </c>
    </row>
    <row r="4600" spans="9:17" x14ac:dyDescent="0.45">
      <c r="I4600" t="s">
        <v>279</v>
      </c>
      <c r="J4600" t="s">
        <v>524</v>
      </c>
      <c r="K4600">
        <v>2.700771574756095E-3</v>
      </c>
      <c r="L4600" t="s">
        <v>162</v>
      </c>
      <c r="N4600" t="s">
        <v>391</v>
      </c>
      <c r="O4600" t="s">
        <v>524</v>
      </c>
      <c r="P4600">
        <v>4.1316385247125338E-2</v>
      </c>
      <c r="Q4600" t="s">
        <v>162</v>
      </c>
    </row>
    <row r="4601" spans="9:17" x14ac:dyDescent="0.45">
      <c r="I4601" t="s">
        <v>279</v>
      </c>
      <c r="J4601" t="s">
        <v>168</v>
      </c>
      <c r="K4601">
        <v>1.8201377618892404E-2</v>
      </c>
      <c r="L4601" t="s">
        <v>162</v>
      </c>
      <c r="N4601" t="s">
        <v>391</v>
      </c>
      <c r="O4601" t="s">
        <v>168</v>
      </c>
      <c r="P4601">
        <v>3.6185885716814428E-2</v>
      </c>
      <c r="Q4601" t="s">
        <v>162</v>
      </c>
    </row>
    <row r="4602" spans="9:17" x14ac:dyDescent="0.45">
      <c r="I4602" t="s">
        <v>279</v>
      </c>
      <c r="J4602" t="s">
        <v>169</v>
      </c>
      <c r="K4602">
        <v>1.0278569812091659E-2</v>
      </c>
      <c r="L4602" t="s">
        <v>162</v>
      </c>
      <c r="N4602" t="s">
        <v>391</v>
      </c>
      <c r="O4602" t="s">
        <v>169</v>
      </c>
      <c r="P4602">
        <v>3.8179335548414305E-3</v>
      </c>
      <c r="Q4602" t="s">
        <v>162</v>
      </c>
    </row>
    <row r="4603" spans="9:17" x14ac:dyDescent="0.45">
      <c r="I4603" t="s">
        <v>279</v>
      </c>
      <c r="J4603" t="s">
        <v>170</v>
      </c>
      <c r="K4603">
        <v>2.3060914828765544E-2</v>
      </c>
      <c r="L4603" t="s">
        <v>162</v>
      </c>
      <c r="N4603" t="s">
        <v>391</v>
      </c>
      <c r="O4603" t="s">
        <v>170</v>
      </c>
      <c r="P4603">
        <v>7.6347525988357846E-3</v>
      </c>
      <c r="Q4603" t="s">
        <v>162</v>
      </c>
    </row>
    <row r="4604" spans="9:17" x14ac:dyDescent="0.45">
      <c r="I4604" t="s">
        <v>279</v>
      </c>
      <c r="J4604" t="s">
        <v>525</v>
      </c>
      <c r="K4604">
        <v>5.4647780829320092E-2</v>
      </c>
      <c r="L4604" t="s">
        <v>162</v>
      </c>
      <c r="N4604" t="s">
        <v>391</v>
      </c>
      <c r="O4604" t="s">
        <v>525</v>
      </c>
      <c r="P4604">
        <v>1.939548058687118E-2</v>
      </c>
      <c r="Q4604" t="s">
        <v>162</v>
      </c>
    </row>
    <row r="4605" spans="9:17" x14ac:dyDescent="0.45">
      <c r="I4605" t="s">
        <v>279</v>
      </c>
      <c r="J4605" t="s">
        <v>526</v>
      </c>
      <c r="K4605">
        <v>7.4014743405220176E-3</v>
      </c>
      <c r="L4605" t="s">
        <v>162</v>
      </c>
      <c r="N4605" t="s">
        <v>391</v>
      </c>
      <c r="O4605" t="s">
        <v>526</v>
      </c>
      <c r="P4605">
        <v>3.5992821349992992E-3</v>
      </c>
      <c r="Q4605" t="s">
        <v>162</v>
      </c>
    </row>
    <row r="4606" spans="9:17" x14ac:dyDescent="0.45">
      <c r="I4606" t="s">
        <v>279</v>
      </c>
      <c r="J4606" t="s">
        <v>527</v>
      </c>
      <c r="K4606">
        <v>6.8053926779850608E-3</v>
      </c>
      <c r="L4606" t="s">
        <v>162</v>
      </c>
      <c r="N4606" t="s">
        <v>391</v>
      </c>
      <c r="O4606" t="s">
        <v>527</v>
      </c>
      <c r="P4606">
        <v>2.5472144638791449E-2</v>
      </c>
      <c r="Q4606" t="s">
        <v>162</v>
      </c>
    </row>
    <row r="4607" spans="9:17" x14ac:dyDescent="0.45">
      <c r="I4607" t="s">
        <v>279</v>
      </c>
      <c r="J4607" t="s">
        <v>528</v>
      </c>
      <c r="K4607">
        <v>7.2393253874032587E-2</v>
      </c>
      <c r="L4607" t="s">
        <v>162</v>
      </c>
      <c r="N4607" t="s">
        <v>391</v>
      </c>
      <c r="O4607" t="s">
        <v>528</v>
      </c>
      <c r="P4607">
        <v>8.1657969226131388E-2</v>
      </c>
      <c r="Q4607" t="s">
        <v>162</v>
      </c>
    </row>
    <row r="4608" spans="9:17" x14ac:dyDescent="0.45">
      <c r="I4608" t="s">
        <v>279</v>
      </c>
      <c r="J4608" t="s">
        <v>529</v>
      </c>
      <c r="K4608">
        <v>3.0246698128463648E-2</v>
      </c>
      <c r="L4608" t="s">
        <v>162</v>
      </c>
      <c r="N4608" t="s">
        <v>391</v>
      </c>
      <c r="O4608" t="s">
        <v>529</v>
      </c>
      <c r="P4608">
        <v>7.4825122283695283E-3</v>
      </c>
      <c r="Q4608" t="s">
        <v>162</v>
      </c>
    </row>
    <row r="4609" spans="9:17" x14ac:dyDescent="0.45">
      <c r="I4609" t="s">
        <v>279</v>
      </c>
      <c r="J4609" t="s">
        <v>530</v>
      </c>
      <c r="K4609">
        <v>6.5643152656909051E-2</v>
      </c>
      <c r="L4609" t="s">
        <v>162</v>
      </c>
      <c r="N4609" t="s">
        <v>391</v>
      </c>
      <c r="O4609" t="s">
        <v>530</v>
      </c>
      <c r="P4609">
        <v>1.61965761023663E-2</v>
      </c>
      <c r="Q4609" t="s">
        <v>162</v>
      </c>
    </row>
    <row r="4610" spans="9:17" x14ac:dyDescent="0.45">
      <c r="I4610" t="s">
        <v>279</v>
      </c>
      <c r="J4610" t="s">
        <v>531</v>
      </c>
      <c r="K4610">
        <v>0.15156836866334969</v>
      </c>
      <c r="L4610" t="s">
        <v>162</v>
      </c>
      <c r="N4610" t="s">
        <v>391</v>
      </c>
      <c r="O4610" t="s">
        <v>531</v>
      </c>
      <c r="P4610">
        <v>4.5111324602952953E-2</v>
      </c>
      <c r="Q4610" t="s">
        <v>162</v>
      </c>
    </row>
    <row r="4611" spans="9:17" x14ac:dyDescent="0.45">
      <c r="I4611" t="s">
        <v>279</v>
      </c>
      <c r="J4611" t="s">
        <v>532</v>
      </c>
      <c r="K4611">
        <v>2.240183210554195E-2</v>
      </c>
      <c r="L4611" t="s">
        <v>162</v>
      </c>
      <c r="N4611" t="s">
        <v>391</v>
      </c>
      <c r="O4611" t="s">
        <v>532</v>
      </c>
      <c r="P4611">
        <v>8.4518724662152496E-3</v>
      </c>
      <c r="Q4611" t="s">
        <v>162</v>
      </c>
    </row>
    <row r="4612" spans="9:17" x14ac:dyDescent="0.45">
      <c r="I4612" t="s">
        <v>279</v>
      </c>
      <c r="J4612" t="s">
        <v>533</v>
      </c>
      <c r="K4612">
        <v>3.3135841989781617E-2</v>
      </c>
      <c r="L4612" t="s">
        <v>162</v>
      </c>
      <c r="N4612" t="s">
        <v>391</v>
      </c>
      <c r="O4612" t="s">
        <v>533</v>
      </c>
      <c r="P4612">
        <v>5.9470263152794335E-2</v>
      </c>
      <c r="Q4612" t="s">
        <v>162</v>
      </c>
    </row>
    <row r="4613" spans="9:17" x14ac:dyDescent="0.45">
      <c r="I4613" t="s">
        <v>279</v>
      </c>
      <c r="J4613" t="s">
        <v>534</v>
      </c>
      <c r="K4613">
        <v>3.1595634233107857E-2</v>
      </c>
      <c r="L4613" t="s">
        <v>162</v>
      </c>
      <c r="N4613" t="s">
        <v>391</v>
      </c>
      <c r="O4613" t="s">
        <v>534</v>
      </c>
      <c r="P4613">
        <v>9.3615958272654703E-2</v>
      </c>
      <c r="Q4613" t="s">
        <v>162</v>
      </c>
    </row>
    <row r="4614" spans="9:17" x14ac:dyDescent="0.45">
      <c r="I4614" t="s">
        <v>279</v>
      </c>
      <c r="J4614" t="s">
        <v>535</v>
      </c>
      <c r="K4614">
        <v>1.9527989594314475E-2</v>
      </c>
      <c r="L4614" t="s">
        <v>162</v>
      </c>
      <c r="N4614" t="s">
        <v>391</v>
      </c>
      <c r="O4614" t="s">
        <v>535</v>
      </c>
      <c r="P4614">
        <v>8.9945425838265439E-3</v>
      </c>
      <c r="Q4614" t="s">
        <v>162</v>
      </c>
    </row>
    <row r="4615" spans="9:17" x14ac:dyDescent="0.45">
      <c r="I4615" t="s">
        <v>279</v>
      </c>
      <c r="J4615" t="s">
        <v>536</v>
      </c>
      <c r="K4615">
        <v>4.2882133325209286E-2</v>
      </c>
      <c r="L4615" t="s">
        <v>162</v>
      </c>
      <c r="N4615" t="s">
        <v>391</v>
      </c>
      <c r="O4615" t="s">
        <v>536</v>
      </c>
      <c r="P4615">
        <v>1.7954751571770303E-2</v>
      </c>
      <c r="Q4615" t="s">
        <v>162</v>
      </c>
    </row>
    <row r="4616" spans="9:17" x14ac:dyDescent="0.45">
      <c r="I4616" t="s">
        <v>279</v>
      </c>
      <c r="J4616" t="s">
        <v>537</v>
      </c>
      <c r="K4616">
        <v>0.10050764208430293</v>
      </c>
      <c r="L4616" t="s">
        <v>162</v>
      </c>
      <c r="N4616" t="s">
        <v>391</v>
      </c>
      <c r="O4616" t="s">
        <v>537</v>
      </c>
      <c r="P4616">
        <v>4.911108627793781E-2</v>
      </c>
      <c r="Q4616" t="s">
        <v>162</v>
      </c>
    </row>
    <row r="4617" spans="9:17" x14ac:dyDescent="0.45">
      <c r="I4617" t="s">
        <v>279</v>
      </c>
      <c r="J4617" t="s">
        <v>538</v>
      </c>
      <c r="K4617">
        <v>1.2368101481991373E-2</v>
      </c>
      <c r="L4617" t="s">
        <v>162</v>
      </c>
      <c r="N4617" t="s">
        <v>391</v>
      </c>
      <c r="O4617" t="s">
        <v>538</v>
      </c>
      <c r="P4617">
        <v>9.9476311488466088E-3</v>
      </c>
      <c r="Q4617" t="s">
        <v>162</v>
      </c>
    </row>
    <row r="4618" spans="9:17" x14ac:dyDescent="0.45">
      <c r="I4618" t="s">
        <v>279</v>
      </c>
      <c r="J4618" t="s">
        <v>539</v>
      </c>
      <c r="K4618">
        <v>9.0303564778874273E-3</v>
      </c>
      <c r="L4618" t="s">
        <v>162</v>
      </c>
      <c r="N4618" t="s">
        <v>391</v>
      </c>
      <c r="O4618" t="s">
        <v>539</v>
      </c>
      <c r="P4618">
        <v>6.7632271630957377E-2</v>
      </c>
      <c r="Q4618" t="s">
        <v>162</v>
      </c>
    </row>
    <row r="4619" spans="9:17" x14ac:dyDescent="0.45">
      <c r="I4619" t="s">
        <v>279</v>
      </c>
      <c r="J4619" t="s">
        <v>540</v>
      </c>
      <c r="K4619">
        <v>2.0149560186299132E-3</v>
      </c>
      <c r="L4619" t="s">
        <v>162</v>
      </c>
      <c r="N4619" t="s">
        <v>391</v>
      </c>
      <c r="O4619" t="s">
        <v>540</v>
      </c>
      <c r="P4619">
        <v>3.9874466443636326E-2</v>
      </c>
      <c r="Q4619" t="s">
        <v>162</v>
      </c>
    </row>
    <row r="4620" spans="9:17" x14ac:dyDescent="0.45">
      <c r="I4620" t="s">
        <v>279</v>
      </c>
      <c r="J4620" t="s">
        <v>541</v>
      </c>
      <c r="K4620">
        <v>3.6128364241715663E-3</v>
      </c>
      <c r="L4620" t="s">
        <v>162</v>
      </c>
      <c r="N4620" t="s">
        <v>391</v>
      </c>
      <c r="O4620" t="s">
        <v>541</v>
      </c>
      <c r="P4620">
        <v>4.2480082638779639E-3</v>
      </c>
      <c r="Q4620" t="s">
        <v>162</v>
      </c>
    </row>
    <row r="4621" spans="9:17" x14ac:dyDescent="0.45">
      <c r="I4621" t="s">
        <v>279</v>
      </c>
      <c r="J4621" t="s">
        <v>542</v>
      </c>
      <c r="K4621">
        <v>9.5069390890294894E-3</v>
      </c>
      <c r="L4621" t="s">
        <v>162</v>
      </c>
      <c r="N4621" t="s">
        <v>391</v>
      </c>
      <c r="O4621" t="s">
        <v>542</v>
      </c>
      <c r="P4621">
        <v>8.4138702416808493E-3</v>
      </c>
      <c r="Q4621" t="s">
        <v>162</v>
      </c>
    </row>
    <row r="4622" spans="9:17" x14ac:dyDescent="0.45">
      <c r="I4622" t="s">
        <v>279</v>
      </c>
      <c r="J4622" t="s">
        <v>543</v>
      </c>
      <c r="K4622">
        <v>1.5576947994279408E-2</v>
      </c>
      <c r="L4622" t="s">
        <v>162</v>
      </c>
      <c r="N4622" t="s">
        <v>391</v>
      </c>
      <c r="O4622" t="s">
        <v>543</v>
      </c>
      <c r="P4622">
        <v>2.2774990748500427E-2</v>
      </c>
      <c r="Q4622" t="s">
        <v>162</v>
      </c>
    </row>
    <row r="4623" spans="9:17" x14ac:dyDescent="0.45">
      <c r="I4623" t="s">
        <v>279</v>
      </c>
      <c r="J4623" t="s">
        <v>544</v>
      </c>
      <c r="K4623">
        <v>0</v>
      </c>
      <c r="L4623" t="s">
        <v>162</v>
      </c>
      <c r="N4623" t="s">
        <v>391</v>
      </c>
      <c r="O4623" t="s">
        <v>544</v>
      </c>
      <c r="P4623">
        <v>5.0352479526166276E-3</v>
      </c>
      <c r="Q4623" t="s">
        <v>162</v>
      </c>
    </row>
    <row r="4624" spans="9:17" x14ac:dyDescent="0.45">
      <c r="I4624" t="s">
        <v>279</v>
      </c>
      <c r="J4624" t="s">
        <v>545</v>
      </c>
      <c r="K4624">
        <v>0</v>
      </c>
      <c r="L4624" t="s">
        <v>162</v>
      </c>
      <c r="N4624" t="s">
        <v>391</v>
      </c>
      <c r="O4624" t="s">
        <v>545</v>
      </c>
      <c r="P4624">
        <v>3.1600125734513873E-2</v>
      </c>
      <c r="Q4624" t="s">
        <v>162</v>
      </c>
    </row>
    <row r="4625" spans="9:17" x14ac:dyDescent="0.45">
      <c r="I4625" t="s">
        <v>279</v>
      </c>
      <c r="J4625" t="s">
        <v>546</v>
      </c>
      <c r="K4625">
        <v>2.487670671890092E-5</v>
      </c>
      <c r="L4625" t="s">
        <v>162</v>
      </c>
      <c r="N4625" t="s">
        <v>391</v>
      </c>
      <c r="O4625" t="s">
        <v>546</v>
      </c>
      <c r="P4625">
        <v>3.2725727247832938E-2</v>
      </c>
      <c r="Q4625" t="s">
        <v>162</v>
      </c>
    </row>
    <row r="4626" spans="9:17" x14ac:dyDescent="0.45">
      <c r="I4626" t="s">
        <v>279</v>
      </c>
      <c r="J4626" t="s">
        <v>547</v>
      </c>
      <c r="K4626">
        <v>2.9652274255819186E-3</v>
      </c>
      <c r="L4626" t="s">
        <v>162</v>
      </c>
      <c r="N4626" t="s">
        <v>391</v>
      </c>
      <c r="O4626" t="s">
        <v>547</v>
      </c>
      <c r="P4626">
        <v>3.8694997043405358E-3</v>
      </c>
      <c r="Q4626" t="s">
        <v>162</v>
      </c>
    </row>
    <row r="4627" spans="9:17" x14ac:dyDescent="0.45">
      <c r="I4627" t="s">
        <v>279</v>
      </c>
      <c r="J4627" t="s">
        <v>548</v>
      </c>
      <c r="K4627">
        <v>1.0466865109204268E-2</v>
      </c>
      <c r="L4627" t="s">
        <v>162</v>
      </c>
      <c r="N4627" t="s">
        <v>391</v>
      </c>
      <c r="O4627" t="s">
        <v>548</v>
      </c>
      <c r="P4627">
        <v>7.0516570350677944E-3</v>
      </c>
      <c r="Q4627" t="s">
        <v>162</v>
      </c>
    </row>
    <row r="4628" spans="9:17" x14ac:dyDescent="0.45">
      <c r="I4628" t="s">
        <v>279</v>
      </c>
      <c r="J4628" t="s">
        <v>549</v>
      </c>
      <c r="K4628">
        <v>2.1961495072176533E-2</v>
      </c>
      <c r="L4628" t="s">
        <v>162</v>
      </c>
      <c r="N4628" t="s">
        <v>391</v>
      </c>
      <c r="O4628" t="s">
        <v>549</v>
      </c>
      <c r="P4628">
        <v>1.8128493424582261E-2</v>
      </c>
      <c r="Q4628" t="s">
        <v>162</v>
      </c>
    </row>
    <row r="4629" spans="9:17" x14ac:dyDescent="0.45">
      <c r="I4629" t="s">
        <v>279</v>
      </c>
      <c r="J4629" t="s">
        <v>550</v>
      </c>
      <c r="K4629">
        <v>0</v>
      </c>
      <c r="L4629" t="s">
        <v>162</v>
      </c>
      <c r="N4629" t="s">
        <v>391</v>
      </c>
      <c r="O4629" t="s">
        <v>550</v>
      </c>
      <c r="P4629">
        <v>4.4689793443856134E-3</v>
      </c>
      <c r="Q4629" t="s">
        <v>162</v>
      </c>
    </row>
    <row r="4630" spans="9:17" x14ac:dyDescent="0.45">
      <c r="I4630" t="s">
        <v>279</v>
      </c>
      <c r="J4630" t="s">
        <v>551</v>
      </c>
      <c r="K4630">
        <v>0</v>
      </c>
      <c r="L4630" t="s">
        <v>162</v>
      </c>
      <c r="N4630" t="s">
        <v>391</v>
      </c>
      <c r="O4630" t="s">
        <v>551</v>
      </c>
      <c r="P4630">
        <v>2.6014493869026184E-2</v>
      </c>
      <c r="Q4630" t="s">
        <v>162</v>
      </c>
    </row>
    <row r="4631" spans="9:17" x14ac:dyDescent="0.45">
      <c r="I4631" t="s">
        <v>280</v>
      </c>
      <c r="J4631" t="s">
        <v>161</v>
      </c>
      <c r="K4631">
        <v>8.1367536049874807E-4</v>
      </c>
      <c r="L4631" t="s">
        <v>162</v>
      </c>
      <c r="N4631" t="s">
        <v>392</v>
      </c>
      <c r="O4631" t="s">
        <v>161</v>
      </c>
      <c r="P4631">
        <v>3.4012681816955659E-2</v>
      </c>
      <c r="Q4631" t="s">
        <v>162</v>
      </c>
    </row>
    <row r="4632" spans="9:17" x14ac:dyDescent="0.45">
      <c r="I4632" t="s">
        <v>280</v>
      </c>
      <c r="J4632" t="s">
        <v>163</v>
      </c>
      <c r="K4632">
        <v>4.828622714810776E-3</v>
      </c>
      <c r="L4632" t="s">
        <v>162</v>
      </c>
      <c r="N4632" t="s">
        <v>392</v>
      </c>
      <c r="O4632" t="s">
        <v>163</v>
      </c>
      <c r="P4632">
        <v>4.0155001956168682E-3</v>
      </c>
      <c r="Q4632" t="s">
        <v>162</v>
      </c>
    </row>
    <row r="4633" spans="9:17" x14ac:dyDescent="0.45">
      <c r="I4633" t="s">
        <v>280</v>
      </c>
      <c r="J4633" t="s">
        <v>164</v>
      </c>
      <c r="K4633">
        <v>1.4223104436246546E-2</v>
      </c>
      <c r="L4633" t="s">
        <v>162</v>
      </c>
      <c r="N4633" t="s">
        <v>392</v>
      </c>
      <c r="O4633" t="s">
        <v>164</v>
      </c>
      <c r="P4633">
        <v>7.3658753098413375E-3</v>
      </c>
      <c r="Q4633" t="s">
        <v>162</v>
      </c>
    </row>
    <row r="4634" spans="9:17" x14ac:dyDescent="0.45">
      <c r="I4634" t="s">
        <v>280</v>
      </c>
      <c r="J4634" t="s">
        <v>519</v>
      </c>
      <c r="K4634">
        <v>3.1945449507917778E-2</v>
      </c>
      <c r="L4634" t="s">
        <v>162</v>
      </c>
      <c r="N4634" t="s">
        <v>392</v>
      </c>
      <c r="O4634" t="s">
        <v>519</v>
      </c>
      <c r="P4634">
        <v>1.760804072481131E-2</v>
      </c>
      <c r="Q4634" t="s">
        <v>162</v>
      </c>
    </row>
    <row r="4635" spans="9:17" x14ac:dyDescent="0.45">
      <c r="I4635" t="s">
        <v>280</v>
      </c>
      <c r="J4635" t="s">
        <v>520</v>
      </c>
      <c r="K4635">
        <v>1.8845432008317333E-5</v>
      </c>
      <c r="L4635" t="s">
        <v>162</v>
      </c>
      <c r="N4635" t="s">
        <v>392</v>
      </c>
      <c r="O4635" t="s">
        <v>520</v>
      </c>
      <c r="P4635">
        <v>4.469412830163489E-3</v>
      </c>
      <c r="Q4635" t="s">
        <v>162</v>
      </c>
    </row>
    <row r="4636" spans="9:17" x14ac:dyDescent="0.45">
      <c r="I4636" t="s">
        <v>280</v>
      </c>
      <c r="J4636" t="s">
        <v>521</v>
      </c>
      <c r="K4636">
        <v>0</v>
      </c>
      <c r="L4636" t="s">
        <v>162</v>
      </c>
      <c r="N4636" t="s">
        <v>392</v>
      </c>
      <c r="O4636" t="s">
        <v>521</v>
      </c>
      <c r="P4636">
        <v>2.5815099036202594E-2</v>
      </c>
      <c r="Q4636" t="s">
        <v>162</v>
      </c>
    </row>
    <row r="4637" spans="9:17" x14ac:dyDescent="0.45">
      <c r="I4637" t="s">
        <v>280</v>
      </c>
      <c r="J4637" t="s">
        <v>165</v>
      </c>
      <c r="K4637">
        <v>1.3315129990911232E-2</v>
      </c>
      <c r="L4637" t="s">
        <v>162</v>
      </c>
      <c r="N4637" t="s">
        <v>392</v>
      </c>
      <c r="O4637" t="s">
        <v>165</v>
      </c>
      <c r="P4637">
        <v>4.8589406939102714E-2</v>
      </c>
      <c r="Q4637" t="s">
        <v>162</v>
      </c>
    </row>
    <row r="4638" spans="9:17" x14ac:dyDescent="0.45">
      <c r="I4638" t="s">
        <v>280</v>
      </c>
      <c r="J4638" t="s">
        <v>166</v>
      </c>
      <c r="K4638">
        <v>1.3823457840403787E-2</v>
      </c>
      <c r="L4638" t="s">
        <v>162</v>
      </c>
      <c r="N4638" t="s">
        <v>392</v>
      </c>
      <c r="O4638" t="s">
        <v>166</v>
      </c>
      <c r="P4638">
        <v>4.497469258634988E-3</v>
      </c>
      <c r="Q4638" t="s">
        <v>162</v>
      </c>
    </row>
    <row r="4639" spans="9:17" x14ac:dyDescent="0.45">
      <c r="I4639" t="s">
        <v>280</v>
      </c>
      <c r="J4639" t="s">
        <v>167</v>
      </c>
      <c r="K4639">
        <v>3.431693576911183E-2</v>
      </c>
      <c r="L4639" t="s">
        <v>162</v>
      </c>
      <c r="N4639" t="s">
        <v>392</v>
      </c>
      <c r="O4639" t="s">
        <v>167</v>
      </c>
      <c r="P4639">
        <v>7.3617297869859738E-3</v>
      </c>
      <c r="Q4639" t="s">
        <v>162</v>
      </c>
    </row>
    <row r="4640" spans="9:17" x14ac:dyDescent="0.45">
      <c r="I4640" t="s">
        <v>280</v>
      </c>
      <c r="J4640" t="s">
        <v>522</v>
      </c>
      <c r="K4640">
        <v>8.025539813150892E-2</v>
      </c>
      <c r="L4640" t="s">
        <v>162</v>
      </c>
      <c r="N4640" t="s">
        <v>392</v>
      </c>
      <c r="O4640" t="s">
        <v>522</v>
      </c>
      <c r="P4640">
        <v>1.9395723123496977E-2</v>
      </c>
      <c r="Q4640" t="s">
        <v>162</v>
      </c>
    </row>
    <row r="4641" spans="9:17" x14ac:dyDescent="0.45">
      <c r="I4641" t="s">
        <v>280</v>
      </c>
      <c r="J4641" t="s">
        <v>523</v>
      </c>
      <c r="K4641">
        <v>8.794022095252518E-3</v>
      </c>
      <c r="L4641" t="s">
        <v>162</v>
      </c>
      <c r="N4641" t="s">
        <v>392</v>
      </c>
      <c r="O4641" t="s">
        <v>523</v>
      </c>
      <c r="P4641">
        <v>4.9329651783624681E-3</v>
      </c>
      <c r="Q4641" t="s">
        <v>162</v>
      </c>
    </row>
    <row r="4642" spans="9:17" x14ac:dyDescent="0.45">
      <c r="I4642" t="s">
        <v>280</v>
      </c>
      <c r="J4642" t="s">
        <v>524</v>
      </c>
      <c r="K4642">
        <v>2.6264448013732541E-3</v>
      </c>
      <c r="L4642" t="s">
        <v>162</v>
      </c>
      <c r="N4642" t="s">
        <v>392</v>
      </c>
      <c r="O4642" t="s">
        <v>524</v>
      </c>
      <c r="P4642">
        <v>3.5603176719699273E-2</v>
      </c>
      <c r="Q4642" t="s">
        <v>162</v>
      </c>
    </row>
    <row r="4643" spans="9:17" x14ac:dyDescent="0.45">
      <c r="I4643" t="s">
        <v>280</v>
      </c>
      <c r="J4643" t="s">
        <v>168</v>
      </c>
      <c r="K4643">
        <v>1.9755879277483204E-2</v>
      </c>
      <c r="L4643" t="s">
        <v>162</v>
      </c>
      <c r="N4643" t="s">
        <v>392</v>
      </c>
      <c r="O4643" t="s">
        <v>168</v>
      </c>
      <c r="P4643">
        <v>3.2289137808122745E-2</v>
      </c>
      <c r="Q4643" t="s">
        <v>162</v>
      </c>
    </row>
    <row r="4644" spans="9:17" x14ac:dyDescent="0.45">
      <c r="I4644" t="s">
        <v>280</v>
      </c>
      <c r="J4644" t="s">
        <v>169</v>
      </c>
      <c r="K4644">
        <v>1.0017775116085093E-2</v>
      </c>
      <c r="L4644" t="s">
        <v>162</v>
      </c>
      <c r="N4644" t="s">
        <v>392</v>
      </c>
      <c r="O4644" t="s">
        <v>169</v>
      </c>
      <c r="P4644">
        <v>3.2095458147787547E-3</v>
      </c>
      <c r="Q4644" t="s">
        <v>162</v>
      </c>
    </row>
    <row r="4645" spans="9:17" x14ac:dyDescent="0.45">
      <c r="I4645" t="s">
        <v>280</v>
      </c>
      <c r="J4645" t="s">
        <v>170</v>
      </c>
      <c r="K4645">
        <v>2.1769955053819356E-2</v>
      </c>
      <c r="L4645" t="s">
        <v>162</v>
      </c>
      <c r="N4645" t="s">
        <v>392</v>
      </c>
      <c r="O4645" t="s">
        <v>170</v>
      </c>
      <c r="P4645">
        <v>6.7172243543867785E-3</v>
      </c>
      <c r="Q4645" t="s">
        <v>162</v>
      </c>
    </row>
    <row r="4646" spans="9:17" x14ac:dyDescent="0.45">
      <c r="I4646" t="s">
        <v>280</v>
      </c>
      <c r="J4646" t="s">
        <v>525</v>
      </c>
      <c r="K4646">
        <v>5.2143883294893306E-2</v>
      </c>
      <c r="L4646" t="s">
        <v>162</v>
      </c>
      <c r="N4646" t="s">
        <v>392</v>
      </c>
      <c r="O4646" t="s">
        <v>525</v>
      </c>
      <c r="P4646">
        <v>1.9648491059352655E-2</v>
      </c>
      <c r="Q4646" t="s">
        <v>162</v>
      </c>
    </row>
    <row r="4647" spans="9:17" x14ac:dyDescent="0.45">
      <c r="I4647" t="s">
        <v>280</v>
      </c>
      <c r="J4647" t="s">
        <v>526</v>
      </c>
      <c r="K4647">
        <v>7.4448289913301791E-3</v>
      </c>
      <c r="L4647" t="s">
        <v>162</v>
      </c>
      <c r="N4647" t="s">
        <v>392</v>
      </c>
      <c r="O4647" t="s">
        <v>526</v>
      </c>
      <c r="P4647">
        <v>3.8203248855696258E-3</v>
      </c>
      <c r="Q4647" t="s">
        <v>162</v>
      </c>
    </row>
    <row r="4648" spans="9:17" x14ac:dyDescent="0.45">
      <c r="I4648" t="s">
        <v>280</v>
      </c>
      <c r="J4648" t="s">
        <v>527</v>
      </c>
      <c r="K4648">
        <v>6.7947091905244663E-3</v>
      </c>
      <c r="L4648" t="s">
        <v>162</v>
      </c>
      <c r="N4648" t="s">
        <v>392</v>
      </c>
      <c r="O4648" t="s">
        <v>527</v>
      </c>
      <c r="P4648">
        <v>2.4255281173823119E-2</v>
      </c>
      <c r="Q4648" t="s">
        <v>162</v>
      </c>
    </row>
    <row r="4649" spans="9:17" x14ac:dyDescent="0.45">
      <c r="I4649" t="s">
        <v>280</v>
      </c>
      <c r="J4649" t="s">
        <v>528</v>
      </c>
      <c r="K4649">
        <v>6.7966645603263376E-2</v>
      </c>
      <c r="L4649" t="s">
        <v>162</v>
      </c>
      <c r="N4649" t="s">
        <v>392</v>
      </c>
      <c r="O4649" t="s">
        <v>528</v>
      </c>
      <c r="P4649">
        <v>7.9362740160080894E-2</v>
      </c>
      <c r="Q4649" t="s">
        <v>162</v>
      </c>
    </row>
    <row r="4650" spans="9:17" x14ac:dyDescent="0.45">
      <c r="I4650" t="s">
        <v>280</v>
      </c>
      <c r="J4650" t="s">
        <v>529</v>
      </c>
      <c r="K4650">
        <v>2.8725268142124959E-2</v>
      </c>
      <c r="L4650" t="s">
        <v>162</v>
      </c>
      <c r="N4650" t="s">
        <v>392</v>
      </c>
      <c r="O4650" t="s">
        <v>529</v>
      </c>
      <c r="P4650">
        <v>6.0362208740061827E-3</v>
      </c>
      <c r="Q4650" t="s">
        <v>162</v>
      </c>
    </row>
    <row r="4651" spans="9:17" x14ac:dyDescent="0.45">
      <c r="I4651" t="s">
        <v>280</v>
      </c>
      <c r="J4651" t="s">
        <v>530</v>
      </c>
      <c r="K4651">
        <v>6.215517414421274E-2</v>
      </c>
      <c r="L4651" t="s">
        <v>162</v>
      </c>
      <c r="N4651" t="s">
        <v>392</v>
      </c>
      <c r="O4651" t="s">
        <v>530</v>
      </c>
      <c r="P4651">
        <v>1.4006176642563338E-2</v>
      </c>
      <c r="Q4651" t="s">
        <v>162</v>
      </c>
    </row>
    <row r="4652" spans="9:17" x14ac:dyDescent="0.45">
      <c r="I4652" t="s">
        <v>280</v>
      </c>
      <c r="J4652" t="s">
        <v>531</v>
      </c>
      <c r="K4652">
        <v>0.14491033885916033</v>
      </c>
      <c r="L4652" t="s">
        <v>162</v>
      </c>
      <c r="N4652" t="s">
        <v>392</v>
      </c>
      <c r="O4652" t="s">
        <v>531</v>
      </c>
      <c r="P4652">
        <v>4.1697756446085969E-2</v>
      </c>
      <c r="Q4652" t="s">
        <v>162</v>
      </c>
    </row>
    <row r="4653" spans="9:17" x14ac:dyDescent="0.45">
      <c r="I4653" t="s">
        <v>280</v>
      </c>
      <c r="J4653" t="s">
        <v>532</v>
      </c>
      <c r="K4653">
        <v>2.1200198847790834E-2</v>
      </c>
      <c r="L4653" t="s">
        <v>162</v>
      </c>
      <c r="N4653" t="s">
        <v>392</v>
      </c>
      <c r="O4653" t="s">
        <v>532</v>
      </c>
      <c r="P4653">
        <v>8.0481940513947459E-3</v>
      </c>
      <c r="Q4653" t="s">
        <v>162</v>
      </c>
    </row>
    <row r="4654" spans="9:17" x14ac:dyDescent="0.45">
      <c r="I4654" t="s">
        <v>280</v>
      </c>
      <c r="J4654" t="s">
        <v>533</v>
      </c>
      <c r="K4654">
        <v>2.7370714213690334E-2</v>
      </c>
      <c r="L4654" t="s">
        <v>162</v>
      </c>
      <c r="N4654" t="s">
        <v>392</v>
      </c>
      <c r="O4654" t="s">
        <v>533</v>
      </c>
      <c r="P4654">
        <v>6.1716206602638692E-2</v>
      </c>
      <c r="Q4654" t="s">
        <v>162</v>
      </c>
    </row>
    <row r="4655" spans="9:17" x14ac:dyDescent="0.45">
      <c r="I4655" t="s">
        <v>280</v>
      </c>
      <c r="J4655" t="s">
        <v>534</v>
      </c>
      <c r="K4655">
        <v>3.9227277278195853E-2</v>
      </c>
      <c r="L4655" t="s">
        <v>162</v>
      </c>
      <c r="N4655" t="s">
        <v>392</v>
      </c>
      <c r="O4655" t="s">
        <v>534</v>
      </c>
      <c r="P4655">
        <v>0.10624244842012798</v>
      </c>
      <c r="Q4655" t="s">
        <v>162</v>
      </c>
    </row>
    <row r="4656" spans="9:17" x14ac:dyDescent="0.45">
      <c r="I4656" t="s">
        <v>280</v>
      </c>
      <c r="J4656" t="s">
        <v>535</v>
      </c>
      <c r="K4656">
        <v>2.363973104307561E-2</v>
      </c>
      <c r="L4656" t="s">
        <v>162</v>
      </c>
      <c r="N4656" t="s">
        <v>392</v>
      </c>
      <c r="O4656" t="s">
        <v>535</v>
      </c>
      <c r="P4656">
        <v>1.0889846263164681E-2</v>
      </c>
      <c r="Q4656" t="s">
        <v>162</v>
      </c>
    </row>
    <row r="4657" spans="9:17" x14ac:dyDescent="0.45">
      <c r="I4657" t="s">
        <v>280</v>
      </c>
      <c r="J4657" t="s">
        <v>536</v>
      </c>
      <c r="K4657">
        <v>4.8999104247961882E-2</v>
      </c>
      <c r="L4657" t="s">
        <v>162</v>
      </c>
      <c r="N4657" t="s">
        <v>392</v>
      </c>
      <c r="O4657" t="s">
        <v>536</v>
      </c>
      <c r="P4657">
        <v>2.3085737763589988E-2</v>
      </c>
      <c r="Q4657" t="s">
        <v>162</v>
      </c>
    </row>
    <row r="4658" spans="9:17" x14ac:dyDescent="0.45">
      <c r="I4658" t="s">
        <v>280</v>
      </c>
      <c r="J4658" t="s">
        <v>537</v>
      </c>
      <c r="K4658">
        <v>0.11222322513706079</v>
      </c>
      <c r="L4658" t="s">
        <v>162</v>
      </c>
      <c r="N4658" t="s">
        <v>392</v>
      </c>
      <c r="O4658" t="s">
        <v>537</v>
      </c>
      <c r="P4658">
        <v>6.4197605496356086E-2</v>
      </c>
      <c r="Q4658" t="s">
        <v>162</v>
      </c>
    </row>
    <row r="4659" spans="9:17" x14ac:dyDescent="0.45">
      <c r="I4659" t="s">
        <v>280</v>
      </c>
      <c r="J4659" t="s">
        <v>538</v>
      </c>
      <c r="K4659">
        <v>1.3723607315287557E-2</v>
      </c>
      <c r="L4659" t="s">
        <v>162</v>
      </c>
      <c r="N4659" t="s">
        <v>392</v>
      </c>
      <c r="O4659" t="s">
        <v>538</v>
      </c>
      <c r="P4659">
        <v>1.2308083381750167E-2</v>
      </c>
      <c r="Q4659" t="s">
        <v>162</v>
      </c>
    </row>
    <row r="4660" spans="9:17" x14ac:dyDescent="0.45">
      <c r="I4660" t="s">
        <v>280</v>
      </c>
      <c r="J4660" t="s">
        <v>539</v>
      </c>
      <c r="K4660">
        <v>9.3916261915028467E-3</v>
      </c>
      <c r="L4660" t="s">
        <v>162</v>
      </c>
      <c r="N4660" t="s">
        <v>392</v>
      </c>
      <c r="O4660" t="s">
        <v>539</v>
      </c>
      <c r="P4660">
        <v>7.683789040162696E-2</v>
      </c>
      <c r="Q4660" t="s">
        <v>162</v>
      </c>
    </row>
    <row r="4661" spans="9:17" x14ac:dyDescent="0.45">
      <c r="I4661" t="s">
        <v>280</v>
      </c>
      <c r="J4661" t="s">
        <v>540</v>
      </c>
      <c r="K4661">
        <v>3.4445199626026305E-3</v>
      </c>
      <c r="L4661" t="s">
        <v>162</v>
      </c>
      <c r="N4661" t="s">
        <v>392</v>
      </c>
      <c r="O4661" t="s">
        <v>540</v>
      </c>
      <c r="P4661">
        <v>3.9223389994981032E-2</v>
      </c>
      <c r="Q4661" t="s">
        <v>162</v>
      </c>
    </row>
    <row r="4662" spans="9:17" x14ac:dyDescent="0.45">
      <c r="I4662" t="s">
        <v>280</v>
      </c>
      <c r="J4662" t="s">
        <v>541</v>
      </c>
      <c r="K4662">
        <v>5.1909448605026642E-3</v>
      </c>
      <c r="L4662" t="s">
        <v>162</v>
      </c>
      <c r="N4662" t="s">
        <v>392</v>
      </c>
      <c r="O4662" t="s">
        <v>541</v>
      </c>
      <c r="P4662">
        <v>4.1987224749289592E-3</v>
      </c>
      <c r="Q4662" t="s">
        <v>162</v>
      </c>
    </row>
    <row r="4663" spans="9:17" x14ac:dyDescent="0.45">
      <c r="I4663" t="s">
        <v>280</v>
      </c>
      <c r="J4663" t="s">
        <v>542</v>
      </c>
      <c r="K4663">
        <v>1.1896289607095977E-2</v>
      </c>
      <c r="L4663" t="s">
        <v>162</v>
      </c>
      <c r="N4663" t="s">
        <v>392</v>
      </c>
      <c r="O4663" t="s">
        <v>542</v>
      </c>
      <c r="P4663">
        <v>7.8693584287732998E-3</v>
      </c>
      <c r="Q4663" t="s">
        <v>162</v>
      </c>
    </row>
    <row r="4664" spans="9:17" x14ac:dyDescent="0.45">
      <c r="I4664" t="s">
        <v>280</v>
      </c>
      <c r="J4664" t="s">
        <v>543</v>
      </c>
      <c r="K4664">
        <v>2.2907506169871486E-2</v>
      </c>
      <c r="L4664" t="s">
        <v>162</v>
      </c>
      <c r="N4664" t="s">
        <v>392</v>
      </c>
      <c r="O4664" t="s">
        <v>543</v>
      </c>
      <c r="P4664">
        <v>2.046158345158447E-2</v>
      </c>
      <c r="Q4664" t="s">
        <v>162</v>
      </c>
    </row>
    <row r="4665" spans="9:17" x14ac:dyDescent="0.45">
      <c r="I4665" t="s">
        <v>280</v>
      </c>
      <c r="J4665" t="s">
        <v>544</v>
      </c>
      <c r="K4665">
        <v>0</v>
      </c>
      <c r="L4665" t="s">
        <v>162</v>
      </c>
      <c r="N4665" t="s">
        <v>392</v>
      </c>
      <c r="O4665" t="s">
        <v>544</v>
      </c>
      <c r="P4665">
        <v>4.7995993096261232E-3</v>
      </c>
      <c r="Q4665" t="s">
        <v>162</v>
      </c>
    </row>
    <row r="4666" spans="9:17" x14ac:dyDescent="0.45">
      <c r="I4666" t="s">
        <v>280</v>
      </c>
      <c r="J4666" t="s">
        <v>545</v>
      </c>
      <c r="K4666">
        <v>0</v>
      </c>
      <c r="L4666" t="s">
        <v>162</v>
      </c>
      <c r="N4666" t="s">
        <v>392</v>
      </c>
      <c r="O4666" t="s">
        <v>545</v>
      </c>
      <c r="P4666">
        <v>2.842685884345366E-2</v>
      </c>
      <c r="Q4666" t="s">
        <v>162</v>
      </c>
    </row>
    <row r="4667" spans="9:17" x14ac:dyDescent="0.45">
      <c r="I4667" t="s">
        <v>280</v>
      </c>
      <c r="J4667" t="s">
        <v>546</v>
      </c>
      <c r="K4667">
        <v>4.6257081282409166E-4</v>
      </c>
      <c r="L4667" t="s">
        <v>162</v>
      </c>
      <c r="N4667" t="s">
        <v>392</v>
      </c>
      <c r="O4667" t="s">
        <v>546</v>
      </c>
      <c r="P4667">
        <v>3.3502118735510518E-2</v>
      </c>
      <c r="Q4667" t="s">
        <v>162</v>
      </c>
    </row>
    <row r="4668" spans="9:17" x14ac:dyDescent="0.45">
      <c r="I4668" t="s">
        <v>280</v>
      </c>
      <c r="J4668" t="s">
        <v>547</v>
      </c>
      <c r="K4668">
        <v>3.0488282488333402E-3</v>
      </c>
      <c r="L4668" t="s">
        <v>162</v>
      </c>
      <c r="N4668" t="s">
        <v>392</v>
      </c>
      <c r="O4668" t="s">
        <v>547</v>
      </c>
      <c r="P4668">
        <v>3.8325024641329159E-3</v>
      </c>
      <c r="Q4668" t="s">
        <v>162</v>
      </c>
    </row>
    <row r="4669" spans="9:17" x14ac:dyDescent="0.45">
      <c r="I4669" t="s">
        <v>280</v>
      </c>
      <c r="J4669" t="s">
        <v>548</v>
      </c>
      <c r="K4669">
        <v>1.0216147832803365E-2</v>
      </c>
      <c r="L4669" t="s">
        <v>162</v>
      </c>
      <c r="N4669" t="s">
        <v>392</v>
      </c>
      <c r="O4669" t="s">
        <v>548</v>
      </c>
      <c r="P4669">
        <v>6.7637762544979956E-3</v>
      </c>
      <c r="Q4669" t="s">
        <v>162</v>
      </c>
    </row>
    <row r="4670" spans="9:17" x14ac:dyDescent="0.45">
      <c r="I4670" t="s">
        <v>280</v>
      </c>
      <c r="J4670" t="s">
        <v>549</v>
      </c>
      <c r="K4670">
        <v>2.0412164477964102E-2</v>
      </c>
      <c r="L4670" t="s">
        <v>162</v>
      </c>
      <c r="N4670" t="s">
        <v>392</v>
      </c>
      <c r="O4670" t="s">
        <v>549</v>
      </c>
      <c r="P4670">
        <v>1.4987638304923926E-2</v>
      </c>
      <c r="Q4670" t="s">
        <v>162</v>
      </c>
    </row>
    <row r="4671" spans="9:17" x14ac:dyDescent="0.45">
      <c r="I4671" t="s">
        <v>280</v>
      </c>
      <c r="J4671" t="s">
        <v>550</v>
      </c>
      <c r="K4671">
        <v>0</v>
      </c>
      <c r="L4671" t="s">
        <v>162</v>
      </c>
      <c r="N4671" t="s">
        <v>392</v>
      </c>
      <c r="O4671" t="s">
        <v>550</v>
      </c>
      <c r="P4671">
        <v>3.8663298243119381E-3</v>
      </c>
      <c r="Q4671" t="s">
        <v>162</v>
      </c>
    </row>
    <row r="4672" spans="9:17" x14ac:dyDescent="0.45">
      <c r="I4672" t="s">
        <v>280</v>
      </c>
      <c r="J4672" t="s">
        <v>551</v>
      </c>
      <c r="K4672">
        <v>0</v>
      </c>
      <c r="L4672" t="s">
        <v>162</v>
      </c>
      <c r="N4672" t="s">
        <v>392</v>
      </c>
      <c r="O4672" t="s">
        <v>551</v>
      </c>
      <c r="P4672">
        <v>2.4032129393982919E-2</v>
      </c>
      <c r="Q4672" t="s">
        <v>162</v>
      </c>
    </row>
    <row r="4673" spans="9:17" x14ac:dyDescent="0.45">
      <c r="I4673" t="s">
        <v>281</v>
      </c>
      <c r="J4673" t="s">
        <v>161</v>
      </c>
      <c r="K4673">
        <v>3.1752652204426663E-3</v>
      </c>
      <c r="L4673" t="s">
        <v>162</v>
      </c>
      <c r="N4673" t="s">
        <v>393</v>
      </c>
      <c r="O4673" t="s">
        <v>161</v>
      </c>
      <c r="P4673">
        <v>3.7153055649890174E-2</v>
      </c>
      <c r="Q4673" t="s">
        <v>162</v>
      </c>
    </row>
    <row r="4674" spans="9:17" x14ac:dyDescent="0.45">
      <c r="I4674" t="s">
        <v>281</v>
      </c>
      <c r="J4674" t="s">
        <v>163</v>
      </c>
      <c r="K4674">
        <v>5.2725010201800353E-3</v>
      </c>
      <c r="L4674" t="s">
        <v>162</v>
      </c>
      <c r="N4674" t="s">
        <v>393</v>
      </c>
      <c r="O4674" t="s">
        <v>163</v>
      </c>
      <c r="P4674">
        <v>4.041929457020095E-3</v>
      </c>
      <c r="Q4674" t="s">
        <v>162</v>
      </c>
    </row>
    <row r="4675" spans="9:17" x14ac:dyDescent="0.45">
      <c r="I4675" t="s">
        <v>281</v>
      </c>
      <c r="J4675" t="s">
        <v>164</v>
      </c>
      <c r="K4675">
        <v>1.4557355930604497E-2</v>
      </c>
      <c r="L4675" t="s">
        <v>162</v>
      </c>
      <c r="N4675" t="s">
        <v>393</v>
      </c>
      <c r="O4675" t="s">
        <v>164</v>
      </c>
      <c r="P4675">
        <v>8.0055714084919342E-3</v>
      </c>
      <c r="Q4675" t="s">
        <v>162</v>
      </c>
    </row>
    <row r="4676" spans="9:17" x14ac:dyDescent="0.45">
      <c r="I4676" t="s">
        <v>281</v>
      </c>
      <c r="J4676" t="s">
        <v>519</v>
      </c>
      <c r="K4676">
        <v>3.1412443171063641E-2</v>
      </c>
      <c r="L4676" t="s">
        <v>162</v>
      </c>
      <c r="N4676" t="s">
        <v>393</v>
      </c>
      <c r="O4676" t="s">
        <v>519</v>
      </c>
      <c r="P4676">
        <v>2.0793647849823047E-2</v>
      </c>
      <c r="Q4676" t="s">
        <v>162</v>
      </c>
    </row>
    <row r="4677" spans="9:17" x14ac:dyDescent="0.45">
      <c r="I4677" t="s">
        <v>281</v>
      </c>
      <c r="J4677" t="s">
        <v>520</v>
      </c>
      <c r="K4677">
        <v>0</v>
      </c>
      <c r="L4677" t="s">
        <v>162</v>
      </c>
      <c r="N4677" t="s">
        <v>393</v>
      </c>
      <c r="O4677" t="s">
        <v>520</v>
      </c>
      <c r="P4677">
        <v>4.4353566643442971E-3</v>
      </c>
      <c r="Q4677" t="s">
        <v>162</v>
      </c>
    </row>
    <row r="4678" spans="9:17" x14ac:dyDescent="0.45">
      <c r="I4678" t="s">
        <v>281</v>
      </c>
      <c r="J4678" t="s">
        <v>521</v>
      </c>
      <c r="K4678">
        <v>0</v>
      </c>
      <c r="L4678" t="s">
        <v>162</v>
      </c>
      <c r="N4678" t="s">
        <v>393</v>
      </c>
      <c r="O4678" t="s">
        <v>521</v>
      </c>
      <c r="P4678">
        <v>2.6905650741813857E-2</v>
      </c>
      <c r="Q4678" t="s">
        <v>162</v>
      </c>
    </row>
    <row r="4679" spans="9:17" x14ac:dyDescent="0.45">
      <c r="I4679" t="s">
        <v>281</v>
      </c>
      <c r="J4679" t="s">
        <v>165</v>
      </c>
      <c r="K4679">
        <v>1.9021883325301102E-2</v>
      </c>
      <c r="L4679" t="s">
        <v>162</v>
      </c>
      <c r="N4679" t="s">
        <v>393</v>
      </c>
      <c r="O4679" t="s">
        <v>165</v>
      </c>
      <c r="P4679">
        <v>5.8101216663788861E-2</v>
      </c>
      <c r="Q4679" t="s">
        <v>162</v>
      </c>
    </row>
    <row r="4680" spans="9:17" x14ac:dyDescent="0.45">
      <c r="I4680" t="s">
        <v>281</v>
      </c>
      <c r="J4680" t="s">
        <v>166</v>
      </c>
      <c r="K4680">
        <v>1.5484514928585926E-2</v>
      </c>
      <c r="L4680" t="s">
        <v>162</v>
      </c>
      <c r="N4680" t="s">
        <v>393</v>
      </c>
      <c r="O4680" t="s">
        <v>166</v>
      </c>
      <c r="P4680">
        <v>6.1890329524395896E-3</v>
      </c>
      <c r="Q4680" t="s">
        <v>162</v>
      </c>
    </row>
    <row r="4681" spans="9:17" x14ac:dyDescent="0.45">
      <c r="I4681" t="s">
        <v>281</v>
      </c>
      <c r="J4681" t="s">
        <v>167</v>
      </c>
      <c r="K4681">
        <v>3.4624590301859701E-2</v>
      </c>
      <c r="L4681" t="s">
        <v>162</v>
      </c>
      <c r="N4681" t="s">
        <v>393</v>
      </c>
      <c r="O4681" t="s">
        <v>167</v>
      </c>
      <c r="P4681">
        <v>1.1676221630476156E-2</v>
      </c>
      <c r="Q4681" t="s">
        <v>162</v>
      </c>
    </row>
    <row r="4682" spans="9:17" x14ac:dyDescent="0.45">
      <c r="I4682" t="s">
        <v>281</v>
      </c>
      <c r="J4682" t="s">
        <v>522</v>
      </c>
      <c r="K4682">
        <v>7.5694313535127594E-2</v>
      </c>
      <c r="L4682" t="s">
        <v>162</v>
      </c>
      <c r="N4682" t="s">
        <v>393</v>
      </c>
      <c r="O4682" t="s">
        <v>522</v>
      </c>
      <c r="P4682">
        <v>2.9590642385314513E-2</v>
      </c>
      <c r="Q4682" t="s">
        <v>162</v>
      </c>
    </row>
    <row r="4683" spans="9:17" x14ac:dyDescent="0.45">
      <c r="I4683" t="s">
        <v>281</v>
      </c>
      <c r="J4683" t="s">
        <v>523</v>
      </c>
      <c r="K4683">
        <v>7.0453969877115469E-3</v>
      </c>
      <c r="L4683" t="s">
        <v>162</v>
      </c>
      <c r="N4683" t="s">
        <v>393</v>
      </c>
      <c r="O4683" t="s">
        <v>523</v>
      </c>
      <c r="P4683">
        <v>6.5663907028836802E-3</v>
      </c>
      <c r="Q4683" t="s">
        <v>162</v>
      </c>
    </row>
    <row r="4684" spans="9:17" x14ac:dyDescent="0.45">
      <c r="I4684" t="s">
        <v>281</v>
      </c>
      <c r="J4684" t="s">
        <v>524</v>
      </c>
      <c r="K4684">
        <v>1.5107474871544268E-3</v>
      </c>
      <c r="L4684" t="s">
        <v>162</v>
      </c>
      <c r="N4684" t="s">
        <v>393</v>
      </c>
      <c r="O4684" t="s">
        <v>524</v>
      </c>
      <c r="P4684">
        <v>4.1117037898484518E-2</v>
      </c>
      <c r="Q4684" t="s">
        <v>162</v>
      </c>
    </row>
    <row r="4685" spans="9:17" x14ac:dyDescent="0.45">
      <c r="I4685" t="s">
        <v>281</v>
      </c>
      <c r="J4685" t="s">
        <v>168</v>
      </c>
      <c r="K4685">
        <v>2.3640818284666881E-2</v>
      </c>
      <c r="L4685" t="s">
        <v>162</v>
      </c>
      <c r="N4685" t="s">
        <v>393</v>
      </c>
      <c r="O4685" t="s">
        <v>168</v>
      </c>
      <c r="P4685">
        <v>3.2901803699948579E-2</v>
      </c>
      <c r="Q4685" t="s">
        <v>162</v>
      </c>
    </row>
    <row r="4686" spans="9:17" x14ac:dyDescent="0.45">
      <c r="I4686" t="s">
        <v>281</v>
      </c>
      <c r="J4686" t="s">
        <v>169</v>
      </c>
      <c r="K4686">
        <v>1.0699362393231465E-2</v>
      </c>
      <c r="L4686" t="s">
        <v>162</v>
      </c>
      <c r="N4686" t="s">
        <v>393</v>
      </c>
      <c r="O4686" t="s">
        <v>169</v>
      </c>
      <c r="P4686">
        <v>3.4133578049029174E-3</v>
      </c>
      <c r="Q4686" t="s">
        <v>162</v>
      </c>
    </row>
    <row r="4687" spans="9:17" x14ac:dyDescent="0.45">
      <c r="I4687" t="s">
        <v>281</v>
      </c>
      <c r="J4687" t="s">
        <v>170</v>
      </c>
      <c r="K4687">
        <v>2.2338328892906059E-2</v>
      </c>
      <c r="L4687" t="s">
        <v>162</v>
      </c>
      <c r="N4687" t="s">
        <v>393</v>
      </c>
      <c r="O4687" t="s">
        <v>170</v>
      </c>
      <c r="P4687">
        <v>6.8392956984121307E-3</v>
      </c>
      <c r="Q4687" t="s">
        <v>162</v>
      </c>
    </row>
    <row r="4688" spans="9:17" x14ac:dyDescent="0.45">
      <c r="I4688" t="s">
        <v>281</v>
      </c>
      <c r="J4688" t="s">
        <v>525</v>
      </c>
      <c r="K4688">
        <v>5.0500912420752331E-2</v>
      </c>
      <c r="L4688" t="s">
        <v>162</v>
      </c>
      <c r="N4688" t="s">
        <v>393</v>
      </c>
      <c r="O4688" t="s">
        <v>525</v>
      </c>
      <c r="P4688">
        <v>1.7872465522957851E-2</v>
      </c>
      <c r="Q4688" t="s">
        <v>162</v>
      </c>
    </row>
    <row r="4689" spans="9:17" x14ac:dyDescent="0.45">
      <c r="I4689" t="s">
        <v>281</v>
      </c>
      <c r="J4689" t="s">
        <v>526</v>
      </c>
      <c r="K4689">
        <v>7.0713606253917675E-3</v>
      </c>
      <c r="L4689" t="s">
        <v>162</v>
      </c>
      <c r="N4689" t="s">
        <v>393</v>
      </c>
      <c r="O4689" t="s">
        <v>526</v>
      </c>
      <c r="P4689">
        <v>3.6536076904155335E-3</v>
      </c>
      <c r="Q4689" t="s">
        <v>162</v>
      </c>
    </row>
    <row r="4690" spans="9:17" x14ac:dyDescent="0.45">
      <c r="I4690" t="s">
        <v>281</v>
      </c>
      <c r="J4690" t="s">
        <v>527</v>
      </c>
      <c r="K4690">
        <v>4.6784116421850911E-3</v>
      </c>
      <c r="L4690" t="s">
        <v>162</v>
      </c>
      <c r="N4690" t="s">
        <v>393</v>
      </c>
      <c r="O4690" t="s">
        <v>527</v>
      </c>
      <c r="P4690">
        <v>2.1896961192583747E-2</v>
      </c>
      <c r="Q4690" t="s">
        <v>162</v>
      </c>
    </row>
    <row r="4691" spans="9:17" x14ac:dyDescent="0.45">
      <c r="I4691" t="s">
        <v>281</v>
      </c>
      <c r="J4691" t="s">
        <v>528</v>
      </c>
      <c r="K4691">
        <v>6.934092264654397E-2</v>
      </c>
      <c r="L4691" t="s">
        <v>162</v>
      </c>
      <c r="N4691" t="s">
        <v>393</v>
      </c>
      <c r="O4691" t="s">
        <v>528</v>
      </c>
      <c r="P4691">
        <v>7.4567595432903991E-2</v>
      </c>
      <c r="Q4691" t="s">
        <v>162</v>
      </c>
    </row>
    <row r="4692" spans="9:17" x14ac:dyDescent="0.45">
      <c r="I4692" t="s">
        <v>281</v>
      </c>
      <c r="J4692" t="s">
        <v>529</v>
      </c>
      <c r="K4692">
        <v>2.7994860130006505E-2</v>
      </c>
      <c r="L4692" t="s">
        <v>162</v>
      </c>
      <c r="N4692" t="s">
        <v>393</v>
      </c>
      <c r="O4692" t="s">
        <v>529</v>
      </c>
      <c r="P4692">
        <v>7.1612105329727331E-3</v>
      </c>
      <c r="Q4692" t="s">
        <v>162</v>
      </c>
    </row>
    <row r="4693" spans="9:17" x14ac:dyDescent="0.45">
      <c r="I4693" t="s">
        <v>281</v>
      </c>
      <c r="J4693" t="s">
        <v>530</v>
      </c>
      <c r="K4693">
        <v>5.945834487627203E-2</v>
      </c>
      <c r="L4693" t="s">
        <v>162</v>
      </c>
      <c r="N4693" t="s">
        <v>393</v>
      </c>
      <c r="O4693" t="s">
        <v>530</v>
      </c>
      <c r="P4693">
        <v>1.5163485383914233E-2</v>
      </c>
      <c r="Q4693" t="s">
        <v>162</v>
      </c>
    </row>
    <row r="4694" spans="9:17" x14ac:dyDescent="0.45">
      <c r="I4694" t="s">
        <v>281</v>
      </c>
      <c r="J4694" t="s">
        <v>531</v>
      </c>
      <c r="K4694">
        <v>0.1359826798996675</v>
      </c>
      <c r="L4694" t="s">
        <v>162</v>
      </c>
      <c r="N4694" t="s">
        <v>393</v>
      </c>
      <c r="O4694" t="s">
        <v>531</v>
      </c>
      <c r="P4694">
        <v>4.1916770179729834E-2</v>
      </c>
      <c r="Q4694" t="s">
        <v>162</v>
      </c>
    </row>
    <row r="4695" spans="9:17" x14ac:dyDescent="0.45">
      <c r="I4695" t="s">
        <v>281</v>
      </c>
      <c r="J4695" t="s">
        <v>532</v>
      </c>
      <c r="K4695">
        <v>1.9191493257715037E-2</v>
      </c>
      <c r="L4695" t="s">
        <v>162</v>
      </c>
      <c r="N4695" t="s">
        <v>393</v>
      </c>
      <c r="O4695" t="s">
        <v>532</v>
      </c>
      <c r="P4695">
        <v>8.4987639934070887E-3</v>
      </c>
      <c r="Q4695" t="s">
        <v>162</v>
      </c>
    </row>
    <row r="4696" spans="9:17" x14ac:dyDescent="0.45">
      <c r="I4696" t="s">
        <v>281</v>
      </c>
      <c r="J4696" t="s">
        <v>533</v>
      </c>
      <c r="K4696">
        <v>2.1688841604516892E-2</v>
      </c>
      <c r="L4696" t="s">
        <v>162</v>
      </c>
      <c r="N4696" t="s">
        <v>393</v>
      </c>
      <c r="O4696" t="s">
        <v>533</v>
      </c>
      <c r="P4696">
        <v>5.316436555506053E-2</v>
      </c>
      <c r="Q4696" t="s">
        <v>162</v>
      </c>
    </row>
    <row r="4697" spans="9:17" x14ac:dyDescent="0.45">
      <c r="I4697" t="s">
        <v>281</v>
      </c>
      <c r="J4697" t="s">
        <v>534</v>
      </c>
      <c r="K4697">
        <v>4.8508557109728394E-2</v>
      </c>
      <c r="L4697" t="s">
        <v>162</v>
      </c>
      <c r="N4697" t="s">
        <v>393</v>
      </c>
      <c r="O4697" t="s">
        <v>534</v>
      </c>
      <c r="P4697">
        <v>9.7117729018605145E-2</v>
      </c>
      <c r="Q4697" t="s">
        <v>162</v>
      </c>
    </row>
    <row r="4698" spans="9:17" x14ac:dyDescent="0.45">
      <c r="I4698" t="s">
        <v>281</v>
      </c>
      <c r="J4698" t="s">
        <v>535</v>
      </c>
      <c r="K4698">
        <v>2.6588164197584314E-2</v>
      </c>
      <c r="L4698" t="s">
        <v>162</v>
      </c>
      <c r="N4698" t="s">
        <v>393</v>
      </c>
      <c r="O4698" t="s">
        <v>535</v>
      </c>
      <c r="P4698">
        <v>1.0450740638255651E-2</v>
      </c>
      <c r="Q4698" t="s">
        <v>162</v>
      </c>
    </row>
    <row r="4699" spans="9:17" x14ac:dyDescent="0.45">
      <c r="I4699" t="s">
        <v>281</v>
      </c>
      <c r="J4699" t="s">
        <v>536</v>
      </c>
      <c r="K4699">
        <v>5.3373816418134656E-2</v>
      </c>
      <c r="L4699" t="s">
        <v>162</v>
      </c>
      <c r="N4699" t="s">
        <v>393</v>
      </c>
      <c r="O4699" t="s">
        <v>536</v>
      </c>
      <c r="P4699">
        <v>2.1132812102332567E-2</v>
      </c>
      <c r="Q4699" t="s">
        <v>162</v>
      </c>
    </row>
    <row r="4700" spans="9:17" x14ac:dyDescent="0.45">
      <c r="I4700" t="s">
        <v>281</v>
      </c>
      <c r="J4700" t="s">
        <v>537</v>
      </c>
      <c r="K4700">
        <v>0.11350070303083941</v>
      </c>
      <c r="L4700" t="s">
        <v>162</v>
      </c>
      <c r="N4700" t="s">
        <v>393</v>
      </c>
      <c r="O4700" t="s">
        <v>537</v>
      </c>
      <c r="P4700">
        <v>5.4179323514692949E-2</v>
      </c>
      <c r="Q4700" t="s">
        <v>162</v>
      </c>
    </row>
    <row r="4701" spans="9:17" x14ac:dyDescent="0.45">
      <c r="I4701" t="s">
        <v>281</v>
      </c>
      <c r="J4701" t="s">
        <v>538</v>
      </c>
      <c r="K4701">
        <v>1.180580119757052E-2</v>
      </c>
      <c r="L4701" t="s">
        <v>162</v>
      </c>
      <c r="N4701" t="s">
        <v>393</v>
      </c>
      <c r="O4701" t="s">
        <v>538</v>
      </c>
      <c r="P4701">
        <v>1.0388211719399474E-2</v>
      </c>
      <c r="Q4701" t="s">
        <v>162</v>
      </c>
    </row>
    <row r="4702" spans="9:17" x14ac:dyDescent="0.45">
      <c r="I4702" t="s">
        <v>281</v>
      </c>
      <c r="J4702" t="s">
        <v>539</v>
      </c>
      <c r="K4702">
        <v>6.0168648300099273E-3</v>
      </c>
      <c r="L4702" t="s">
        <v>162</v>
      </c>
      <c r="N4702" t="s">
        <v>393</v>
      </c>
      <c r="O4702" t="s">
        <v>539</v>
      </c>
      <c r="P4702">
        <v>6.5361138263095808E-2</v>
      </c>
      <c r="Q4702" t="s">
        <v>162</v>
      </c>
    </row>
    <row r="4703" spans="9:17" x14ac:dyDescent="0.45">
      <c r="I4703" t="s">
        <v>281</v>
      </c>
      <c r="J4703" t="s">
        <v>540</v>
      </c>
      <c r="K4703">
        <v>5.0679282648835554E-3</v>
      </c>
      <c r="L4703" t="s">
        <v>162</v>
      </c>
      <c r="N4703" t="s">
        <v>393</v>
      </c>
      <c r="O4703" t="s">
        <v>540</v>
      </c>
      <c r="P4703">
        <v>3.6960028659818178E-2</v>
      </c>
      <c r="Q4703" t="s">
        <v>162</v>
      </c>
    </row>
    <row r="4704" spans="9:17" x14ac:dyDescent="0.45">
      <c r="I4704" t="s">
        <v>281</v>
      </c>
      <c r="J4704" t="s">
        <v>541</v>
      </c>
      <c r="K4704">
        <v>6.0881906720792033E-3</v>
      </c>
      <c r="L4704" t="s">
        <v>162</v>
      </c>
      <c r="N4704" t="s">
        <v>393</v>
      </c>
      <c r="O4704" t="s">
        <v>541</v>
      </c>
      <c r="P4704">
        <v>3.9848982030152363E-3</v>
      </c>
      <c r="Q4704" t="s">
        <v>162</v>
      </c>
    </row>
    <row r="4705" spans="9:17" x14ac:dyDescent="0.45">
      <c r="I4705" t="s">
        <v>281</v>
      </c>
      <c r="J4705" t="s">
        <v>542</v>
      </c>
      <c r="K4705">
        <v>1.2725714647871504E-2</v>
      </c>
      <c r="L4705" t="s">
        <v>162</v>
      </c>
      <c r="N4705" t="s">
        <v>393</v>
      </c>
      <c r="O4705" t="s">
        <v>542</v>
      </c>
      <c r="P4705">
        <v>7.7864337100586991E-3</v>
      </c>
      <c r="Q4705" t="s">
        <v>162</v>
      </c>
    </row>
    <row r="4706" spans="9:17" x14ac:dyDescent="0.45">
      <c r="I4706" t="s">
        <v>281</v>
      </c>
      <c r="J4706" t="s">
        <v>543</v>
      </c>
      <c r="K4706">
        <v>2.4501255377431617E-2</v>
      </c>
      <c r="L4706" t="s">
        <v>162</v>
      </c>
      <c r="N4706" t="s">
        <v>393</v>
      </c>
      <c r="O4706" t="s">
        <v>543</v>
      </c>
      <c r="P4706">
        <v>1.9802237644226384E-2</v>
      </c>
      <c r="Q4706" t="s">
        <v>162</v>
      </c>
    </row>
    <row r="4707" spans="9:17" x14ac:dyDescent="0.45">
      <c r="I4707" t="s">
        <v>281</v>
      </c>
      <c r="J4707" t="s">
        <v>544</v>
      </c>
      <c r="K4707">
        <v>0</v>
      </c>
      <c r="L4707" t="s">
        <v>162</v>
      </c>
      <c r="N4707" t="s">
        <v>393</v>
      </c>
      <c r="O4707" t="s">
        <v>544</v>
      </c>
      <c r="P4707">
        <v>4.0937539173056979E-3</v>
      </c>
      <c r="Q4707" t="s">
        <v>162</v>
      </c>
    </row>
    <row r="4708" spans="9:17" x14ac:dyDescent="0.45">
      <c r="I4708" t="s">
        <v>281</v>
      </c>
      <c r="J4708" t="s">
        <v>545</v>
      </c>
      <c r="K4708">
        <v>0</v>
      </c>
      <c r="L4708" t="s">
        <v>162</v>
      </c>
      <c r="N4708" t="s">
        <v>393</v>
      </c>
      <c r="O4708" t="s">
        <v>545</v>
      </c>
      <c r="P4708">
        <v>2.528723932879328E-2</v>
      </c>
      <c r="Q4708" t="s">
        <v>162</v>
      </c>
    </row>
    <row r="4709" spans="9:17" x14ac:dyDescent="0.45">
      <c r="I4709" t="s">
        <v>281</v>
      </c>
      <c r="J4709" t="s">
        <v>546</v>
      </c>
      <c r="K4709">
        <v>2.178204862220499E-3</v>
      </c>
      <c r="L4709" t="s">
        <v>162</v>
      </c>
      <c r="N4709" t="s">
        <v>393</v>
      </c>
      <c r="O4709" t="s">
        <v>546</v>
      </c>
      <c r="P4709">
        <v>3.8547622414835718E-2</v>
      </c>
      <c r="Q4709" t="s">
        <v>162</v>
      </c>
    </row>
    <row r="4710" spans="9:17" x14ac:dyDescent="0.45">
      <c r="I4710" t="s">
        <v>281</v>
      </c>
      <c r="J4710" t="s">
        <v>547</v>
      </c>
      <c r="K4710">
        <v>3.7789943538426058E-3</v>
      </c>
      <c r="L4710" t="s">
        <v>162</v>
      </c>
      <c r="N4710" t="s">
        <v>393</v>
      </c>
      <c r="O4710" t="s">
        <v>547</v>
      </c>
      <c r="P4710">
        <v>4.2142973798794349E-3</v>
      </c>
      <c r="Q4710" t="s">
        <v>162</v>
      </c>
    </row>
    <row r="4711" spans="9:17" x14ac:dyDescent="0.45">
      <c r="I4711" t="s">
        <v>281</v>
      </c>
      <c r="J4711" t="s">
        <v>548</v>
      </c>
      <c r="K4711">
        <v>9.6881039913002832E-3</v>
      </c>
      <c r="L4711" t="s">
        <v>162</v>
      </c>
      <c r="N4711" t="s">
        <v>393</v>
      </c>
      <c r="O4711" t="s">
        <v>548</v>
      </c>
      <c r="P4711">
        <v>8.255553018127899E-3</v>
      </c>
      <c r="Q4711" t="s">
        <v>162</v>
      </c>
    </row>
    <row r="4712" spans="9:17" x14ac:dyDescent="0.45">
      <c r="I4712" t="s">
        <v>281</v>
      </c>
      <c r="J4712" t="s">
        <v>549</v>
      </c>
      <c r="K4712">
        <v>1.5792352464613347E-2</v>
      </c>
      <c r="L4712" t="s">
        <v>162</v>
      </c>
      <c r="N4712" t="s">
        <v>393</v>
      </c>
      <c r="O4712" t="s">
        <v>549</v>
      </c>
      <c r="P4712">
        <v>2.0255799975249473E-2</v>
      </c>
      <c r="Q4712" t="s">
        <v>162</v>
      </c>
    </row>
    <row r="4713" spans="9:17" x14ac:dyDescent="0.45">
      <c r="I4713" t="s">
        <v>281</v>
      </c>
      <c r="J4713" t="s">
        <v>550</v>
      </c>
      <c r="K4713">
        <v>0</v>
      </c>
      <c r="L4713" t="s">
        <v>162</v>
      </c>
      <c r="N4713" t="s">
        <v>393</v>
      </c>
      <c r="O4713" t="s">
        <v>550</v>
      </c>
      <c r="P4713">
        <v>4.2688690918474478E-3</v>
      </c>
      <c r="Q4713" t="s">
        <v>162</v>
      </c>
    </row>
    <row r="4714" spans="9:17" x14ac:dyDescent="0.45">
      <c r="I4714" t="s">
        <v>281</v>
      </c>
      <c r="J4714" t="s">
        <v>551</v>
      </c>
      <c r="K4714">
        <v>0</v>
      </c>
      <c r="L4714" t="s">
        <v>162</v>
      </c>
      <c r="N4714" t="s">
        <v>393</v>
      </c>
      <c r="O4714" t="s">
        <v>551</v>
      </c>
      <c r="P4714">
        <v>2.6287874708479615E-2</v>
      </c>
      <c r="Q4714" t="s">
        <v>162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0E5A9-A99D-4F8E-BBB6-F8058E4CDC90}">
  <dimension ref="A9:AN12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107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122</v>
      </c>
      <c r="K10" t="s">
        <v>159</v>
      </c>
      <c r="L10" t="s">
        <v>30</v>
      </c>
      <c r="N10" t="s">
        <v>13</v>
      </c>
      <c r="O10" t="s">
        <v>122</v>
      </c>
      <c r="P10" t="s">
        <v>159</v>
      </c>
      <c r="Q10" t="s">
        <v>30</v>
      </c>
      <c r="S10" t="s">
        <v>13</v>
      </c>
      <c r="T10" t="s">
        <v>122</v>
      </c>
      <c r="U10" t="s">
        <v>159</v>
      </c>
      <c r="V10" t="s">
        <v>30</v>
      </c>
      <c r="X10" t="s">
        <v>501</v>
      </c>
      <c r="Y10" t="s">
        <v>159</v>
      </c>
      <c r="Z10" t="s">
        <v>122</v>
      </c>
      <c r="AA10" t="s">
        <v>13</v>
      </c>
      <c r="AC10" t="s">
        <v>13</v>
      </c>
      <c r="AD10" t="s">
        <v>122</v>
      </c>
      <c r="AE10" t="s">
        <v>159</v>
      </c>
      <c r="AG10" t="s">
        <v>13</v>
      </c>
      <c r="AH10" t="s">
        <v>122</v>
      </c>
      <c r="AI10" t="s">
        <v>507</v>
      </c>
      <c r="AK10" t="s">
        <v>47</v>
      </c>
      <c r="AL10" t="s">
        <v>122</v>
      </c>
      <c r="AM10" t="s">
        <v>508</v>
      </c>
      <c r="AN10" t="s">
        <v>509</v>
      </c>
    </row>
    <row r="11" spans="1:40" x14ac:dyDescent="0.45">
      <c r="A11" t="str">
        <f>IFERROR(IF(Veda!D5=A10,"ok","x"),"")</f>
        <v>ok</v>
      </c>
      <c r="C11" t="s">
        <v>554</v>
      </c>
      <c r="D11" t="s">
        <v>152</v>
      </c>
      <c r="E11" t="s">
        <v>555</v>
      </c>
      <c r="F11" t="s">
        <v>554</v>
      </c>
      <c r="G11" t="s">
        <v>152</v>
      </c>
      <c r="I11" t="s">
        <v>160</v>
      </c>
      <c r="J11" t="s">
        <v>556</v>
      </c>
      <c r="K11">
        <v>1.0000000000000007</v>
      </c>
      <c r="L11" t="s">
        <v>162</v>
      </c>
      <c r="N11" t="s">
        <v>282</v>
      </c>
      <c r="O11" t="s">
        <v>556</v>
      </c>
      <c r="P11">
        <v>1.0000000000000002</v>
      </c>
      <c r="Q11" t="s">
        <v>162</v>
      </c>
      <c r="S11" t="s">
        <v>394</v>
      </c>
      <c r="T11" t="s">
        <v>556</v>
      </c>
      <c r="U11">
        <v>0.99999999999999922</v>
      </c>
      <c r="V11" t="s">
        <v>162</v>
      </c>
      <c r="X11">
        <v>1</v>
      </c>
      <c r="Y11">
        <v>1.0000000000000002</v>
      </c>
      <c r="Z11" t="s">
        <v>556</v>
      </c>
      <c r="AA11" t="s">
        <v>25</v>
      </c>
      <c r="AC11" t="s">
        <v>22</v>
      </c>
      <c r="AD11" t="s">
        <v>556</v>
      </c>
      <c r="AE11">
        <v>1</v>
      </c>
      <c r="AG11" t="s">
        <v>97</v>
      </c>
      <c r="AH11" t="s">
        <v>556</v>
      </c>
      <c r="AI11">
        <v>0.27088065008270812</v>
      </c>
      <c r="AK11">
        <v>2020</v>
      </c>
      <c r="AL11" t="s">
        <v>554</v>
      </c>
      <c r="AM11">
        <v>0.53518164805011292</v>
      </c>
      <c r="AN11" t="s">
        <v>510</v>
      </c>
    </row>
    <row r="12" spans="1:40" x14ac:dyDescent="0.45">
      <c r="I12" t="s">
        <v>171</v>
      </c>
      <c r="J12" t="s">
        <v>556</v>
      </c>
      <c r="K12">
        <v>1.0000000000000002</v>
      </c>
      <c r="L12" t="s">
        <v>162</v>
      </c>
      <c r="N12" t="s">
        <v>283</v>
      </c>
      <c r="O12" t="s">
        <v>556</v>
      </c>
      <c r="P12">
        <v>0.99999999999999523</v>
      </c>
      <c r="Q12" t="s">
        <v>162</v>
      </c>
      <c r="S12" t="s">
        <v>395</v>
      </c>
      <c r="T12" t="s">
        <v>556</v>
      </c>
      <c r="U12">
        <v>0.99999999999999623</v>
      </c>
      <c r="V12" t="s">
        <v>162</v>
      </c>
      <c r="AC12" t="s">
        <v>19</v>
      </c>
      <c r="AD12" t="s">
        <v>556</v>
      </c>
      <c r="AE12">
        <v>1</v>
      </c>
      <c r="AK12">
        <v>2021</v>
      </c>
      <c r="AL12" t="s">
        <v>554</v>
      </c>
      <c r="AM12">
        <v>0.51957812216658572</v>
      </c>
      <c r="AN12" t="s">
        <v>510</v>
      </c>
    </row>
    <row r="13" spans="1:40" x14ac:dyDescent="0.45">
      <c r="I13" t="s">
        <v>172</v>
      </c>
      <c r="J13" t="s">
        <v>556</v>
      </c>
      <c r="K13">
        <v>1.0000000000000018</v>
      </c>
      <c r="L13" t="s">
        <v>162</v>
      </c>
      <c r="N13" t="s">
        <v>284</v>
      </c>
      <c r="O13" t="s">
        <v>556</v>
      </c>
      <c r="P13">
        <v>1.0000000000000007</v>
      </c>
      <c r="Q13" t="s">
        <v>162</v>
      </c>
      <c r="S13" t="s">
        <v>396</v>
      </c>
      <c r="T13" t="s">
        <v>556</v>
      </c>
      <c r="U13">
        <v>0.99999999999999578</v>
      </c>
      <c r="V13" t="s">
        <v>162</v>
      </c>
      <c r="AK13">
        <v>2022</v>
      </c>
      <c r="AL13" t="s">
        <v>554</v>
      </c>
      <c r="AM13">
        <v>0.53795836003563846</v>
      </c>
      <c r="AN13" t="s">
        <v>510</v>
      </c>
    </row>
    <row r="14" spans="1:40" x14ac:dyDescent="0.45">
      <c r="I14" t="s">
        <v>173</v>
      </c>
      <c r="J14" t="s">
        <v>556</v>
      </c>
      <c r="K14">
        <v>1.0000000000000009</v>
      </c>
      <c r="L14" t="s">
        <v>162</v>
      </c>
      <c r="N14" t="s">
        <v>285</v>
      </c>
      <c r="O14" t="s">
        <v>556</v>
      </c>
      <c r="P14">
        <v>0.99999999999999645</v>
      </c>
      <c r="Q14" t="s">
        <v>162</v>
      </c>
      <c r="S14" t="s">
        <v>397</v>
      </c>
      <c r="T14" t="s">
        <v>556</v>
      </c>
      <c r="U14">
        <v>0.99999999999999978</v>
      </c>
      <c r="V14" t="s">
        <v>162</v>
      </c>
      <c r="AK14">
        <v>2025</v>
      </c>
      <c r="AL14" t="s">
        <v>554</v>
      </c>
      <c r="AM14">
        <v>0.55911666666666671</v>
      </c>
      <c r="AN14" t="s">
        <v>510</v>
      </c>
    </row>
    <row r="15" spans="1:40" x14ac:dyDescent="0.45">
      <c r="I15" t="s">
        <v>174</v>
      </c>
      <c r="J15" t="s">
        <v>556</v>
      </c>
      <c r="K15">
        <v>1.0000000000000011</v>
      </c>
      <c r="L15" t="s">
        <v>162</v>
      </c>
      <c r="N15" t="s">
        <v>286</v>
      </c>
      <c r="O15" t="s">
        <v>556</v>
      </c>
      <c r="P15">
        <v>1.000000000000002</v>
      </c>
      <c r="Q15" t="s">
        <v>162</v>
      </c>
      <c r="S15" t="s">
        <v>398</v>
      </c>
      <c r="T15" t="s">
        <v>556</v>
      </c>
      <c r="U15">
        <v>1.0000000000000007</v>
      </c>
      <c r="V15" t="s">
        <v>162</v>
      </c>
      <c r="AK15">
        <v>2026</v>
      </c>
      <c r="AL15" t="s">
        <v>554</v>
      </c>
      <c r="AM15">
        <v>0.54129166666666662</v>
      </c>
      <c r="AN15" t="s">
        <v>510</v>
      </c>
    </row>
    <row r="16" spans="1:40" x14ac:dyDescent="0.45">
      <c r="I16" t="s">
        <v>175</v>
      </c>
      <c r="J16" t="s">
        <v>556</v>
      </c>
      <c r="K16">
        <v>0.99999999999999856</v>
      </c>
      <c r="L16" t="s">
        <v>162</v>
      </c>
      <c r="N16" t="s">
        <v>287</v>
      </c>
      <c r="O16" t="s">
        <v>556</v>
      </c>
      <c r="P16">
        <v>1.0000000000000007</v>
      </c>
      <c r="Q16" t="s">
        <v>162</v>
      </c>
      <c r="S16" t="s">
        <v>399</v>
      </c>
      <c r="T16" t="s">
        <v>556</v>
      </c>
      <c r="U16">
        <v>0.99999999999999922</v>
      </c>
      <c r="V16" t="s">
        <v>162</v>
      </c>
      <c r="AK16">
        <v>2027</v>
      </c>
      <c r="AL16" t="s">
        <v>554</v>
      </c>
      <c r="AM16">
        <v>0.54574166666666668</v>
      </c>
      <c r="AN16" t="s">
        <v>510</v>
      </c>
    </row>
    <row r="17" spans="9:40" x14ac:dyDescent="0.45">
      <c r="I17" t="s">
        <v>176</v>
      </c>
      <c r="J17" t="s">
        <v>556</v>
      </c>
      <c r="K17">
        <v>1.000000000000002</v>
      </c>
      <c r="L17" t="s">
        <v>162</v>
      </c>
      <c r="N17" t="s">
        <v>288</v>
      </c>
      <c r="O17" t="s">
        <v>556</v>
      </c>
      <c r="P17">
        <v>1.0000000000000022</v>
      </c>
      <c r="Q17" t="s">
        <v>162</v>
      </c>
      <c r="S17" t="s">
        <v>400</v>
      </c>
      <c r="T17" t="s">
        <v>556</v>
      </c>
      <c r="U17">
        <v>0.99999999999999822</v>
      </c>
      <c r="V17" t="s">
        <v>162</v>
      </c>
      <c r="AK17">
        <v>2028</v>
      </c>
      <c r="AL17" t="s">
        <v>554</v>
      </c>
      <c r="AM17">
        <v>0.54461666666666664</v>
      </c>
      <c r="AN17" t="s">
        <v>510</v>
      </c>
    </row>
    <row r="18" spans="9:40" x14ac:dyDescent="0.45">
      <c r="I18" t="s">
        <v>177</v>
      </c>
      <c r="J18" t="s">
        <v>556</v>
      </c>
      <c r="K18">
        <v>1</v>
      </c>
      <c r="L18" t="s">
        <v>162</v>
      </c>
      <c r="N18" t="s">
        <v>289</v>
      </c>
      <c r="O18" t="s">
        <v>556</v>
      </c>
      <c r="P18">
        <v>1.0000000000000033</v>
      </c>
      <c r="Q18" t="s">
        <v>162</v>
      </c>
      <c r="S18" t="s">
        <v>401</v>
      </c>
      <c r="T18" t="s">
        <v>556</v>
      </c>
      <c r="U18">
        <v>1.0000000000000053</v>
      </c>
      <c r="V18" t="s">
        <v>162</v>
      </c>
      <c r="AK18">
        <v>2029</v>
      </c>
      <c r="AL18" t="s">
        <v>554</v>
      </c>
      <c r="AM18">
        <v>0.53065833333333334</v>
      </c>
      <c r="AN18" t="s">
        <v>510</v>
      </c>
    </row>
    <row r="19" spans="9:40" x14ac:dyDescent="0.45">
      <c r="I19" t="s">
        <v>178</v>
      </c>
      <c r="J19" t="s">
        <v>556</v>
      </c>
      <c r="K19">
        <v>1.0000000000000027</v>
      </c>
      <c r="L19" t="s">
        <v>162</v>
      </c>
      <c r="N19" t="s">
        <v>290</v>
      </c>
      <c r="O19" t="s">
        <v>556</v>
      </c>
      <c r="P19">
        <v>1.0000000000000029</v>
      </c>
      <c r="Q19" t="s">
        <v>162</v>
      </c>
      <c r="S19" t="s">
        <v>402</v>
      </c>
      <c r="T19" t="s">
        <v>556</v>
      </c>
      <c r="U19">
        <v>0.99999999999999856</v>
      </c>
      <c r="V19" t="s">
        <v>162</v>
      </c>
      <c r="AK19">
        <v>2030</v>
      </c>
      <c r="AL19" t="s">
        <v>554</v>
      </c>
      <c r="AM19">
        <v>0.53753333333333331</v>
      </c>
      <c r="AN19" t="s">
        <v>510</v>
      </c>
    </row>
    <row r="20" spans="9:40" x14ac:dyDescent="0.45">
      <c r="I20" t="s">
        <v>179</v>
      </c>
      <c r="J20" t="s">
        <v>556</v>
      </c>
      <c r="K20">
        <v>1.0000000000000009</v>
      </c>
      <c r="L20" t="s">
        <v>162</v>
      </c>
      <c r="N20" t="s">
        <v>291</v>
      </c>
      <c r="O20" t="s">
        <v>556</v>
      </c>
      <c r="P20">
        <v>1.0000000000000018</v>
      </c>
      <c r="Q20" t="s">
        <v>162</v>
      </c>
      <c r="S20" t="s">
        <v>403</v>
      </c>
      <c r="T20" t="s">
        <v>556</v>
      </c>
      <c r="U20">
        <v>0.99999999999999933</v>
      </c>
      <c r="V20" t="s">
        <v>162</v>
      </c>
      <c r="AK20">
        <v>2031</v>
      </c>
      <c r="AL20" t="s">
        <v>554</v>
      </c>
      <c r="AM20">
        <v>0.54460000000000008</v>
      </c>
      <c r="AN20" t="s">
        <v>510</v>
      </c>
    </row>
    <row r="21" spans="9:40" x14ac:dyDescent="0.45">
      <c r="I21" t="s">
        <v>180</v>
      </c>
      <c r="J21" t="s">
        <v>556</v>
      </c>
      <c r="K21">
        <v>0.99999999999999745</v>
      </c>
      <c r="L21" t="s">
        <v>162</v>
      </c>
      <c r="N21" t="s">
        <v>292</v>
      </c>
      <c r="O21" t="s">
        <v>556</v>
      </c>
      <c r="P21">
        <v>1.0000000000000013</v>
      </c>
      <c r="Q21" t="s">
        <v>162</v>
      </c>
      <c r="S21" t="s">
        <v>404</v>
      </c>
      <c r="T21" t="s">
        <v>556</v>
      </c>
      <c r="U21">
        <v>1.0000000000000022</v>
      </c>
      <c r="V21" t="s">
        <v>162</v>
      </c>
      <c r="AK21">
        <v>2032</v>
      </c>
      <c r="AL21" t="s">
        <v>554</v>
      </c>
      <c r="AM21">
        <v>0.63430833333333336</v>
      </c>
      <c r="AN21" t="s">
        <v>510</v>
      </c>
    </row>
    <row r="22" spans="9:40" x14ac:dyDescent="0.45">
      <c r="I22" t="s">
        <v>181</v>
      </c>
      <c r="J22" t="s">
        <v>556</v>
      </c>
      <c r="K22">
        <v>1.0000000000000027</v>
      </c>
      <c r="L22" t="s">
        <v>162</v>
      </c>
      <c r="N22" t="s">
        <v>293</v>
      </c>
      <c r="O22" t="s">
        <v>556</v>
      </c>
      <c r="P22">
        <v>1.0000000000000038</v>
      </c>
      <c r="Q22" t="s">
        <v>162</v>
      </c>
      <c r="S22" t="s">
        <v>405</v>
      </c>
      <c r="T22" t="s">
        <v>556</v>
      </c>
      <c r="U22">
        <v>0.99999999999999944</v>
      </c>
      <c r="V22" t="s">
        <v>162</v>
      </c>
      <c r="AK22">
        <v>2033</v>
      </c>
      <c r="AL22" t="s">
        <v>554</v>
      </c>
      <c r="AM22">
        <v>0.6351</v>
      </c>
      <c r="AN22" t="s">
        <v>510</v>
      </c>
    </row>
    <row r="23" spans="9:40" x14ac:dyDescent="0.45">
      <c r="I23" t="s">
        <v>182</v>
      </c>
      <c r="J23" t="s">
        <v>556</v>
      </c>
      <c r="K23">
        <v>1.0000000000000018</v>
      </c>
      <c r="L23" t="s">
        <v>162</v>
      </c>
      <c r="N23" t="s">
        <v>294</v>
      </c>
      <c r="O23" t="s">
        <v>556</v>
      </c>
      <c r="P23">
        <v>0.99999999999999711</v>
      </c>
      <c r="Q23" t="s">
        <v>162</v>
      </c>
      <c r="S23" t="s">
        <v>406</v>
      </c>
      <c r="T23" t="s">
        <v>556</v>
      </c>
      <c r="U23">
        <v>0.99999999999999989</v>
      </c>
      <c r="V23" t="s">
        <v>162</v>
      </c>
      <c r="AK23">
        <v>2034</v>
      </c>
      <c r="AL23" t="s">
        <v>554</v>
      </c>
      <c r="AM23">
        <v>0.62267499999999987</v>
      </c>
      <c r="AN23" t="s">
        <v>510</v>
      </c>
    </row>
    <row r="24" spans="9:40" x14ac:dyDescent="0.45">
      <c r="I24" t="s">
        <v>183</v>
      </c>
      <c r="J24" t="s">
        <v>556</v>
      </c>
      <c r="K24">
        <v>0.99999999999999845</v>
      </c>
      <c r="L24" t="s">
        <v>162</v>
      </c>
      <c r="N24" t="s">
        <v>295</v>
      </c>
      <c r="O24" t="s">
        <v>556</v>
      </c>
      <c r="P24">
        <v>0.99999999999999822</v>
      </c>
      <c r="Q24" t="s">
        <v>162</v>
      </c>
      <c r="S24" t="s">
        <v>407</v>
      </c>
      <c r="T24" t="s">
        <v>556</v>
      </c>
      <c r="U24">
        <v>1.0000000000000022</v>
      </c>
      <c r="V24" t="s">
        <v>162</v>
      </c>
      <c r="AK24">
        <v>2035</v>
      </c>
      <c r="AL24" t="s">
        <v>554</v>
      </c>
      <c r="AM24">
        <v>0.63708333333333333</v>
      </c>
      <c r="AN24" t="s">
        <v>510</v>
      </c>
    </row>
    <row r="25" spans="9:40" x14ac:dyDescent="0.45">
      <c r="I25" t="s">
        <v>184</v>
      </c>
      <c r="J25" t="s">
        <v>556</v>
      </c>
      <c r="K25">
        <v>1.0000000000000016</v>
      </c>
      <c r="L25" t="s">
        <v>162</v>
      </c>
      <c r="N25" t="s">
        <v>296</v>
      </c>
      <c r="O25" t="s">
        <v>556</v>
      </c>
      <c r="P25">
        <v>0.99999999999999811</v>
      </c>
      <c r="Q25" t="s">
        <v>162</v>
      </c>
      <c r="S25" t="s">
        <v>408</v>
      </c>
      <c r="T25" t="s">
        <v>556</v>
      </c>
      <c r="U25">
        <v>1.0000000000000011</v>
      </c>
      <c r="V25" t="s">
        <v>162</v>
      </c>
      <c r="AK25">
        <v>2036</v>
      </c>
      <c r="AL25" t="s">
        <v>554</v>
      </c>
      <c r="AM25">
        <v>0.62665833333333332</v>
      </c>
      <c r="AN25" t="s">
        <v>510</v>
      </c>
    </row>
    <row r="26" spans="9:40" x14ac:dyDescent="0.45">
      <c r="I26" t="s">
        <v>185</v>
      </c>
      <c r="J26" t="s">
        <v>556</v>
      </c>
      <c r="K26">
        <v>0.999999999999999</v>
      </c>
      <c r="L26" t="s">
        <v>162</v>
      </c>
      <c r="N26" t="s">
        <v>297</v>
      </c>
      <c r="O26" t="s">
        <v>556</v>
      </c>
      <c r="P26">
        <v>0.99999999999999967</v>
      </c>
      <c r="Q26" t="s">
        <v>162</v>
      </c>
      <c r="S26" t="s">
        <v>409</v>
      </c>
      <c r="T26" t="s">
        <v>556</v>
      </c>
      <c r="U26">
        <v>1.000000000000002</v>
      </c>
      <c r="V26" t="s">
        <v>162</v>
      </c>
      <c r="AK26">
        <v>2037</v>
      </c>
      <c r="AL26" t="s">
        <v>554</v>
      </c>
      <c r="AM26">
        <v>0.55821666666666658</v>
      </c>
      <c r="AN26" t="s">
        <v>510</v>
      </c>
    </row>
    <row r="27" spans="9:40" x14ac:dyDescent="0.45">
      <c r="I27" t="s">
        <v>186</v>
      </c>
      <c r="J27" t="s">
        <v>556</v>
      </c>
      <c r="K27">
        <v>0.99999999999999833</v>
      </c>
      <c r="L27" t="s">
        <v>162</v>
      </c>
      <c r="N27" t="s">
        <v>298</v>
      </c>
      <c r="O27" t="s">
        <v>556</v>
      </c>
      <c r="P27">
        <v>1.0000000000000027</v>
      </c>
      <c r="Q27" t="s">
        <v>162</v>
      </c>
      <c r="S27" t="s">
        <v>410</v>
      </c>
      <c r="T27" t="s">
        <v>556</v>
      </c>
      <c r="U27">
        <v>0.99999999999999745</v>
      </c>
      <c r="V27" t="s">
        <v>162</v>
      </c>
      <c r="AK27">
        <v>2038</v>
      </c>
      <c r="AL27" t="s">
        <v>554</v>
      </c>
      <c r="AM27">
        <v>0.53625833333333328</v>
      </c>
      <c r="AN27" t="s">
        <v>510</v>
      </c>
    </row>
    <row r="28" spans="9:40" x14ac:dyDescent="0.45">
      <c r="I28" t="s">
        <v>187</v>
      </c>
      <c r="J28" t="s">
        <v>556</v>
      </c>
      <c r="K28">
        <v>0.99999999999999867</v>
      </c>
      <c r="L28" t="s">
        <v>162</v>
      </c>
      <c r="N28" t="s">
        <v>299</v>
      </c>
      <c r="O28" t="s">
        <v>556</v>
      </c>
      <c r="P28">
        <v>0.99999999999999556</v>
      </c>
      <c r="Q28" t="s">
        <v>162</v>
      </c>
      <c r="S28" t="s">
        <v>411</v>
      </c>
      <c r="T28" t="s">
        <v>556</v>
      </c>
      <c r="U28">
        <v>1.0000000000000009</v>
      </c>
      <c r="V28" t="s">
        <v>162</v>
      </c>
      <c r="AK28">
        <v>2039</v>
      </c>
      <c r="AL28" t="s">
        <v>554</v>
      </c>
      <c r="AM28">
        <v>0.62064166666666676</v>
      </c>
      <c r="AN28" t="s">
        <v>510</v>
      </c>
    </row>
    <row r="29" spans="9:40" x14ac:dyDescent="0.45">
      <c r="I29" t="s">
        <v>188</v>
      </c>
      <c r="J29" t="s">
        <v>556</v>
      </c>
      <c r="K29">
        <v>1.0000000000000024</v>
      </c>
      <c r="L29" t="s">
        <v>162</v>
      </c>
      <c r="N29" t="s">
        <v>300</v>
      </c>
      <c r="O29" t="s">
        <v>556</v>
      </c>
      <c r="P29">
        <v>1.0000000000000011</v>
      </c>
      <c r="Q29" t="s">
        <v>162</v>
      </c>
      <c r="S29" t="s">
        <v>412</v>
      </c>
      <c r="T29" t="s">
        <v>556</v>
      </c>
      <c r="U29">
        <v>1.0000000000000009</v>
      </c>
      <c r="V29" t="s">
        <v>162</v>
      </c>
      <c r="AK29">
        <v>2040</v>
      </c>
      <c r="AL29" t="s">
        <v>554</v>
      </c>
      <c r="AM29">
        <v>0.5374916666666667</v>
      </c>
      <c r="AN29" t="s">
        <v>510</v>
      </c>
    </row>
    <row r="30" spans="9:40" x14ac:dyDescent="0.45">
      <c r="I30" t="s">
        <v>189</v>
      </c>
      <c r="J30" t="s">
        <v>556</v>
      </c>
      <c r="K30">
        <v>0.99999999999999911</v>
      </c>
      <c r="L30" t="s">
        <v>162</v>
      </c>
      <c r="N30" t="s">
        <v>301</v>
      </c>
      <c r="O30" t="s">
        <v>556</v>
      </c>
      <c r="P30">
        <v>1.0000000000000009</v>
      </c>
      <c r="Q30" t="s">
        <v>162</v>
      </c>
      <c r="S30" t="s">
        <v>413</v>
      </c>
      <c r="T30" t="s">
        <v>556</v>
      </c>
      <c r="U30">
        <v>0.99999999999999412</v>
      </c>
      <c r="V30" t="s">
        <v>162</v>
      </c>
      <c r="AK30">
        <v>2041</v>
      </c>
      <c r="AL30" t="s">
        <v>554</v>
      </c>
      <c r="AM30">
        <v>0.54283333333333339</v>
      </c>
      <c r="AN30" t="s">
        <v>510</v>
      </c>
    </row>
    <row r="31" spans="9:40" x14ac:dyDescent="0.45">
      <c r="I31" t="s">
        <v>190</v>
      </c>
      <c r="J31" t="s">
        <v>556</v>
      </c>
      <c r="K31">
        <v>1.0000000000000007</v>
      </c>
      <c r="L31" t="s">
        <v>162</v>
      </c>
      <c r="N31" t="s">
        <v>302</v>
      </c>
      <c r="O31" t="s">
        <v>556</v>
      </c>
      <c r="P31">
        <v>1.0000000000000002</v>
      </c>
      <c r="Q31" t="s">
        <v>162</v>
      </c>
      <c r="S31" t="s">
        <v>414</v>
      </c>
      <c r="T31" t="s">
        <v>556</v>
      </c>
      <c r="U31">
        <v>0.99999999999999711</v>
      </c>
      <c r="V31" t="s">
        <v>162</v>
      </c>
      <c r="AK31">
        <v>2042</v>
      </c>
      <c r="AL31" t="s">
        <v>554</v>
      </c>
      <c r="AM31">
        <v>0.53981666666666672</v>
      </c>
      <c r="AN31" t="s">
        <v>510</v>
      </c>
    </row>
    <row r="32" spans="9:40" x14ac:dyDescent="0.45">
      <c r="I32" t="s">
        <v>191</v>
      </c>
      <c r="J32" t="s">
        <v>556</v>
      </c>
      <c r="K32">
        <v>1.0000000000000022</v>
      </c>
      <c r="L32" t="s">
        <v>162</v>
      </c>
      <c r="N32" t="s">
        <v>303</v>
      </c>
      <c r="O32" t="s">
        <v>556</v>
      </c>
      <c r="P32">
        <v>0.99999999999999623</v>
      </c>
      <c r="Q32" t="s">
        <v>162</v>
      </c>
      <c r="S32" t="s">
        <v>415</v>
      </c>
      <c r="T32" t="s">
        <v>556</v>
      </c>
      <c r="U32">
        <v>0.99999999999999811</v>
      </c>
      <c r="V32" t="s">
        <v>162</v>
      </c>
      <c r="AK32">
        <v>2043</v>
      </c>
      <c r="AL32" t="s">
        <v>554</v>
      </c>
      <c r="AM32">
        <v>0.54269166666666668</v>
      </c>
      <c r="AN32" t="s">
        <v>510</v>
      </c>
    </row>
    <row r="33" spans="9:40" x14ac:dyDescent="0.45">
      <c r="I33" t="s">
        <v>192</v>
      </c>
      <c r="J33" t="s">
        <v>556</v>
      </c>
      <c r="K33">
        <v>0.99999999999999811</v>
      </c>
      <c r="L33" t="s">
        <v>162</v>
      </c>
      <c r="N33" t="s">
        <v>304</v>
      </c>
      <c r="O33" t="s">
        <v>556</v>
      </c>
      <c r="P33">
        <v>1.0000000000000058</v>
      </c>
      <c r="Q33" t="s">
        <v>162</v>
      </c>
      <c r="S33" t="s">
        <v>416</v>
      </c>
      <c r="T33" t="s">
        <v>556</v>
      </c>
      <c r="U33">
        <v>1.0000000000000016</v>
      </c>
      <c r="V33" t="s">
        <v>162</v>
      </c>
      <c r="AK33">
        <v>2044</v>
      </c>
      <c r="AL33" t="s">
        <v>554</v>
      </c>
      <c r="AM33">
        <v>0.53575000000000006</v>
      </c>
      <c r="AN33" t="s">
        <v>510</v>
      </c>
    </row>
    <row r="34" spans="9:40" x14ac:dyDescent="0.45">
      <c r="I34" t="s">
        <v>193</v>
      </c>
      <c r="J34" t="s">
        <v>556</v>
      </c>
      <c r="K34">
        <v>0.99999999999999722</v>
      </c>
      <c r="L34" t="s">
        <v>162</v>
      </c>
      <c r="N34" t="s">
        <v>305</v>
      </c>
      <c r="O34" t="s">
        <v>556</v>
      </c>
      <c r="P34">
        <v>0.99999999999999645</v>
      </c>
      <c r="Q34" t="s">
        <v>162</v>
      </c>
      <c r="S34" t="s">
        <v>417</v>
      </c>
      <c r="T34" t="s">
        <v>556</v>
      </c>
      <c r="U34">
        <v>0.99999999999999989</v>
      </c>
      <c r="V34" t="s">
        <v>162</v>
      </c>
      <c r="AK34">
        <v>2045</v>
      </c>
      <c r="AL34" t="s">
        <v>554</v>
      </c>
      <c r="AM34">
        <v>0.5247666666666666</v>
      </c>
      <c r="AN34" t="s">
        <v>510</v>
      </c>
    </row>
    <row r="35" spans="9:40" x14ac:dyDescent="0.45">
      <c r="I35" t="s">
        <v>194</v>
      </c>
      <c r="J35" t="s">
        <v>556</v>
      </c>
      <c r="K35">
        <v>1.0000000000000033</v>
      </c>
      <c r="L35" t="s">
        <v>162</v>
      </c>
      <c r="N35" t="s">
        <v>306</v>
      </c>
      <c r="O35" t="s">
        <v>556</v>
      </c>
      <c r="P35">
        <v>0.99999999999999845</v>
      </c>
      <c r="Q35" t="s">
        <v>162</v>
      </c>
      <c r="S35" t="s">
        <v>418</v>
      </c>
      <c r="T35" t="s">
        <v>556</v>
      </c>
      <c r="U35">
        <v>0.99999999999999711</v>
      </c>
      <c r="V35" t="s">
        <v>162</v>
      </c>
      <c r="AK35">
        <v>2046</v>
      </c>
      <c r="AL35" t="s">
        <v>554</v>
      </c>
      <c r="AM35">
        <v>0.53416666666666668</v>
      </c>
      <c r="AN35" t="s">
        <v>510</v>
      </c>
    </row>
    <row r="36" spans="9:40" x14ac:dyDescent="0.45">
      <c r="I36" t="s">
        <v>195</v>
      </c>
      <c r="J36" t="s">
        <v>556</v>
      </c>
      <c r="K36">
        <v>0.99999999999999933</v>
      </c>
      <c r="L36" t="s">
        <v>162</v>
      </c>
      <c r="N36" t="s">
        <v>307</v>
      </c>
      <c r="O36" t="s">
        <v>556</v>
      </c>
      <c r="P36">
        <v>0.99999999999999967</v>
      </c>
      <c r="Q36" t="s">
        <v>162</v>
      </c>
      <c r="S36" t="s">
        <v>419</v>
      </c>
      <c r="T36" t="s">
        <v>556</v>
      </c>
      <c r="U36">
        <v>1.0000000000000013</v>
      </c>
      <c r="V36" t="s">
        <v>162</v>
      </c>
      <c r="AK36">
        <v>2047</v>
      </c>
      <c r="AL36" t="s">
        <v>554</v>
      </c>
      <c r="AM36">
        <v>0.53388333333333327</v>
      </c>
      <c r="AN36" t="s">
        <v>510</v>
      </c>
    </row>
    <row r="37" spans="9:40" x14ac:dyDescent="0.45">
      <c r="I37" t="s">
        <v>196</v>
      </c>
      <c r="J37" t="s">
        <v>556</v>
      </c>
      <c r="K37">
        <v>1.0000000000000016</v>
      </c>
      <c r="L37" t="s">
        <v>162</v>
      </c>
      <c r="N37" t="s">
        <v>308</v>
      </c>
      <c r="O37" t="s">
        <v>556</v>
      </c>
      <c r="P37">
        <v>0.99999999999999922</v>
      </c>
      <c r="Q37" t="s">
        <v>162</v>
      </c>
      <c r="S37" t="s">
        <v>420</v>
      </c>
      <c r="T37" t="s">
        <v>556</v>
      </c>
      <c r="U37">
        <v>0.99999999999999878</v>
      </c>
      <c r="V37" t="s">
        <v>162</v>
      </c>
      <c r="AK37">
        <v>2048</v>
      </c>
      <c r="AL37" t="s">
        <v>554</v>
      </c>
      <c r="AM37">
        <v>0.53125</v>
      </c>
      <c r="AN37" t="s">
        <v>510</v>
      </c>
    </row>
    <row r="38" spans="9:40" x14ac:dyDescent="0.45">
      <c r="I38" t="s">
        <v>197</v>
      </c>
      <c r="J38" t="s">
        <v>556</v>
      </c>
      <c r="K38">
        <v>1.0000000000000031</v>
      </c>
      <c r="L38" t="s">
        <v>162</v>
      </c>
      <c r="N38" t="s">
        <v>309</v>
      </c>
      <c r="O38" t="s">
        <v>556</v>
      </c>
      <c r="P38">
        <v>1</v>
      </c>
      <c r="Q38" t="s">
        <v>162</v>
      </c>
      <c r="S38" t="s">
        <v>421</v>
      </c>
      <c r="T38" t="s">
        <v>556</v>
      </c>
      <c r="U38">
        <v>0.99999999999999512</v>
      </c>
      <c r="V38" t="s">
        <v>162</v>
      </c>
      <c r="AK38">
        <v>2049</v>
      </c>
      <c r="AL38" t="s">
        <v>554</v>
      </c>
      <c r="AM38">
        <v>0.53275833333333333</v>
      </c>
      <c r="AN38" t="s">
        <v>510</v>
      </c>
    </row>
    <row r="39" spans="9:40" x14ac:dyDescent="0.45">
      <c r="I39" t="s">
        <v>198</v>
      </c>
      <c r="J39" t="s">
        <v>556</v>
      </c>
      <c r="K39">
        <v>0.99999999999999911</v>
      </c>
      <c r="L39" t="s">
        <v>162</v>
      </c>
      <c r="N39" t="s">
        <v>310</v>
      </c>
      <c r="O39" t="s">
        <v>556</v>
      </c>
      <c r="P39">
        <v>0.99999999999999989</v>
      </c>
      <c r="Q39" t="s">
        <v>162</v>
      </c>
      <c r="S39" t="s">
        <v>422</v>
      </c>
      <c r="T39" t="s">
        <v>556</v>
      </c>
      <c r="U39">
        <v>1.0000000000000027</v>
      </c>
      <c r="V39" t="s">
        <v>162</v>
      </c>
      <c r="AK39">
        <v>2050</v>
      </c>
      <c r="AL39" t="s">
        <v>554</v>
      </c>
      <c r="AM39">
        <v>0.53225</v>
      </c>
      <c r="AN39" t="s">
        <v>510</v>
      </c>
    </row>
    <row r="40" spans="9:40" x14ac:dyDescent="0.45">
      <c r="I40" t="s">
        <v>199</v>
      </c>
      <c r="J40" t="s">
        <v>556</v>
      </c>
      <c r="K40">
        <v>1.0000000000000029</v>
      </c>
      <c r="L40" t="s">
        <v>162</v>
      </c>
      <c r="N40" t="s">
        <v>311</v>
      </c>
      <c r="O40" t="s">
        <v>556</v>
      </c>
      <c r="P40">
        <v>0.99999999999999856</v>
      </c>
      <c r="Q40" t="s">
        <v>162</v>
      </c>
      <c r="S40" t="s">
        <v>423</v>
      </c>
      <c r="T40" t="s">
        <v>556</v>
      </c>
      <c r="U40">
        <v>0.999999999999998</v>
      </c>
      <c r="V40" t="s">
        <v>162</v>
      </c>
    </row>
    <row r="41" spans="9:40" x14ac:dyDescent="0.45">
      <c r="I41" t="s">
        <v>200</v>
      </c>
      <c r="J41" t="s">
        <v>556</v>
      </c>
      <c r="K41">
        <v>1.0000000000000004</v>
      </c>
      <c r="L41" t="s">
        <v>162</v>
      </c>
      <c r="N41" t="s">
        <v>312</v>
      </c>
      <c r="O41" t="s">
        <v>556</v>
      </c>
      <c r="P41">
        <v>1.0000000000000027</v>
      </c>
      <c r="Q41" t="s">
        <v>162</v>
      </c>
      <c r="S41" t="s">
        <v>424</v>
      </c>
      <c r="T41" t="s">
        <v>556</v>
      </c>
      <c r="U41">
        <v>1.0000000000000009</v>
      </c>
      <c r="V41" t="s">
        <v>162</v>
      </c>
    </row>
    <row r="42" spans="9:40" x14ac:dyDescent="0.45">
      <c r="I42" t="s">
        <v>201</v>
      </c>
      <c r="J42" t="s">
        <v>556</v>
      </c>
      <c r="K42">
        <v>1.0000000000000029</v>
      </c>
      <c r="L42" t="s">
        <v>162</v>
      </c>
      <c r="N42" t="s">
        <v>313</v>
      </c>
      <c r="O42" t="s">
        <v>556</v>
      </c>
      <c r="P42">
        <v>1.0000000000000007</v>
      </c>
      <c r="Q42" t="s">
        <v>162</v>
      </c>
      <c r="S42" t="s">
        <v>425</v>
      </c>
      <c r="T42" t="s">
        <v>556</v>
      </c>
      <c r="U42">
        <v>1.0000000000000007</v>
      </c>
      <c r="V42" t="s">
        <v>162</v>
      </c>
    </row>
    <row r="43" spans="9:40" x14ac:dyDescent="0.45">
      <c r="I43" t="s">
        <v>202</v>
      </c>
      <c r="J43" t="s">
        <v>556</v>
      </c>
      <c r="K43">
        <v>0.999999999999999</v>
      </c>
      <c r="L43" t="s">
        <v>162</v>
      </c>
      <c r="N43" t="s">
        <v>314</v>
      </c>
      <c r="O43" t="s">
        <v>556</v>
      </c>
      <c r="P43">
        <v>1.0000000000000007</v>
      </c>
      <c r="Q43" t="s">
        <v>162</v>
      </c>
      <c r="S43" t="s">
        <v>426</v>
      </c>
      <c r="T43" t="s">
        <v>556</v>
      </c>
      <c r="U43">
        <v>0.99999999999999856</v>
      </c>
      <c r="V43" t="s">
        <v>162</v>
      </c>
    </row>
    <row r="44" spans="9:40" x14ac:dyDescent="0.45">
      <c r="I44" t="s">
        <v>203</v>
      </c>
      <c r="J44" t="s">
        <v>556</v>
      </c>
      <c r="K44">
        <v>0.99999999999999645</v>
      </c>
      <c r="L44" t="s">
        <v>162</v>
      </c>
      <c r="N44" t="s">
        <v>315</v>
      </c>
      <c r="O44" t="s">
        <v>556</v>
      </c>
      <c r="P44">
        <v>0.99999999999999933</v>
      </c>
      <c r="Q44" t="s">
        <v>162</v>
      </c>
      <c r="S44" t="s">
        <v>427</v>
      </c>
      <c r="T44" t="s">
        <v>556</v>
      </c>
      <c r="U44">
        <v>0.99999999999999645</v>
      </c>
      <c r="V44" t="s">
        <v>162</v>
      </c>
    </row>
    <row r="45" spans="9:40" x14ac:dyDescent="0.45">
      <c r="I45" t="s">
        <v>204</v>
      </c>
      <c r="J45" t="s">
        <v>556</v>
      </c>
      <c r="K45">
        <v>0.99999999999999867</v>
      </c>
      <c r="L45" t="s">
        <v>162</v>
      </c>
      <c r="N45" t="s">
        <v>316</v>
      </c>
      <c r="O45" t="s">
        <v>556</v>
      </c>
      <c r="P45">
        <v>1.0000000000000009</v>
      </c>
      <c r="Q45" t="s">
        <v>162</v>
      </c>
      <c r="S45" t="s">
        <v>428</v>
      </c>
      <c r="T45" t="s">
        <v>556</v>
      </c>
      <c r="U45">
        <v>0.99999999999999956</v>
      </c>
      <c r="V45" t="s">
        <v>162</v>
      </c>
    </row>
    <row r="46" spans="9:40" x14ac:dyDescent="0.45">
      <c r="I46" t="s">
        <v>205</v>
      </c>
      <c r="J46" t="s">
        <v>556</v>
      </c>
      <c r="K46">
        <v>1</v>
      </c>
      <c r="L46" t="s">
        <v>162</v>
      </c>
      <c r="N46" t="s">
        <v>317</v>
      </c>
      <c r="O46" t="s">
        <v>556</v>
      </c>
      <c r="P46">
        <v>0.99999999999999767</v>
      </c>
      <c r="Q46" t="s">
        <v>162</v>
      </c>
      <c r="S46" t="s">
        <v>429</v>
      </c>
      <c r="T46" t="s">
        <v>556</v>
      </c>
      <c r="U46">
        <v>1.0000000000000013</v>
      </c>
      <c r="V46" t="s">
        <v>162</v>
      </c>
    </row>
    <row r="47" spans="9:40" x14ac:dyDescent="0.45">
      <c r="I47" t="s">
        <v>206</v>
      </c>
      <c r="J47" t="s">
        <v>556</v>
      </c>
      <c r="K47">
        <v>1.0000000000000007</v>
      </c>
      <c r="L47" t="s">
        <v>162</v>
      </c>
      <c r="N47" t="s">
        <v>318</v>
      </c>
      <c r="O47" t="s">
        <v>556</v>
      </c>
      <c r="P47">
        <v>0.99999999999999967</v>
      </c>
      <c r="Q47" t="s">
        <v>162</v>
      </c>
      <c r="S47" t="s">
        <v>430</v>
      </c>
      <c r="T47" t="s">
        <v>556</v>
      </c>
      <c r="U47">
        <v>0.99999999999999789</v>
      </c>
      <c r="V47" t="s">
        <v>162</v>
      </c>
    </row>
    <row r="48" spans="9:40" x14ac:dyDescent="0.45">
      <c r="I48" t="s">
        <v>207</v>
      </c>
      <c r="J48" t="s">
        <v>556</v>
      </c>
      <c r="K48">
        <v>1.0000000000000004</v>
      </c>
      <c r="L48" t="s">
        <v>162</v>
      </c>
      <c r="N48" t="s">
        <v>319</v>
      </c>
      <c r="O48" t="s">
        <v>556</v>
      </c>
      <c r="P48">
        <v>0.99999999999999689</v>
      </c>
      <c r="Q48" t="s">
        <v>162</v>
      </c>
      <c r="S48" t="s">
        <v>431</v>
      </c>
      <c r="T48" t="s">
        <v>556</v>
      </c>
      <c r="U48">
        <v>0.99999999999999978</v>
      </c>
      <c r="V48" t="s">
        <v>162</v>
      </c>
    </row>
    <row r="49" spans="9:22" x14ac:dyDescent="0.45">
      <c r="I49" t="s">
        <v>208</v>
      </c>
      <c r="J49" t="s">
        <v>556</v>
      </c>
      <c r="K49">
        <v>0.99999999999999833</v>
      </c>
      <c r="L49" t="s">
        <v>162</v>
      </c>
      <c r="N49" t="s">
        <v>320</v>
      </c>
      <c r="O49" t="s">
        <v>556</v>
      </c>
      <c r="P49">
        <v>1.0000000000000024</v>
      </c>
      <c r="Q49" t="s">
        <v>162</v>
      </c>
      <c r="S49" t="s">
        <v>432</v>
      </c>
      <c r="T49" t="s">
        <v>556</v>
      </c>
      <c r="U49">
        <v>0.99999999999999811</v>
      </c>
      <c r="V49" t="s">
        <v>162</v>
      </c>
    </row>
    <row r="50" spans="9:22" x14ac:dyDescent="0.45">
      <c r="I50" t="s">
        <v>209</v>
      </c>
      <c r="J50" t="s">
        <v>556</v>
      </c>
      <c r="K50">
        <v>0.99999999999999745</v>
      </c>
      <c r="L50" t="s">
        <v>162</v>
      </c>
      <c r="N50" t="s">
        <v>321</v>
      </c>
      <c r="O50" t="s">
        <v>556</v>
      </c>
      <c r="P50">
        <v>0.99999999999999678</v>
      </c>
      <c r="Q50" t="s">
        <v>162</v>
      </c>
      <c r="S50" t="s">
        <v>433</v>
      </c>
      <c r="T50" t="s">
        <v>556</v>
      </c>
      <c r="U50">
        <v>1.0000000000000004</v>
      </c>
      <c r="V50" t="s">
        <v>162</v>
      </c>
    </row>
    <row r="51" spans="9:22" x14ac:dyDescent="0.45">
      <c r="I51" t="s">
        <v>210</v>
      </c>
      <c r="J51" t="s">
        <v>556</v>
      </c>
      <c r="K51">
        <v>0.999999999999999</v>
      </c>
      <c r="L51" t="s">
        <v>162</v>
      </c>
      <c r="N51" t="s">
        <v>322</v>
      </c>
      <c r="O51" t="s">
        <v>556</v>
      </c>
      <c r="P51">
        <v>0.99999999999999689</v>
      </c>
      <c r="Q51" t="s">
        <v>162</v>
      </c>
      <c r="S51" t="s">
        <v>434</v>
      </c>
      <c r="T51" t="s">
        <v>556</v>
      </c>
      <c r="U51">
        <v>0.99999999999999811</v>
      </c>
      <c r="V51" t="s">
        <v>162</v>
      </c>
    </row>
    <row r="52" spans="9:22" x14ac:dyDescent="0.45">
      <c r="I52" t="s">
        <v>211</v>
      </c>
      <c r="J52" t="s">
        <v>556</v>
      </c>
      <c r="K52">
        <v>1.0000000000000024</v>
      </c>
      <c r="L52" t="s">
        <v>162</v>
      </c>
      <c r="N52" t="s">
        <v>323</v>
      </c>
      <c r="O52" t="s">
        <v>556</v>
      </c>
      <c r="P52">
        <v>1.0000000000000044</v>
      </c>
      <c r="Q52" t="s">
        <v>162</v>
      </c>
      <c r="S52" t="s">
        <v>435</v>
      </c>
      <c r="T52" t="s">
        <v>556</v>
      </c>
      <c r="U52">
        <v>1.0000000000000036</v>
      </c>
      <c r="V52" t="s">
        <v>162</v>
      </c>
    </row>
    <row r="53" spans="9:22" x14ac:dyDescent="0.45">
      <c r="I53" t="s">
        <v>212</v>
      </c>
      <c r="J53" t="s">
        <v>556</v>
      </c>
      <c r="K53">
        <v>0.99999999999999878</v>
      </c>
      <c r="L53" t="s">
        <v>162</v>
      </c>
      <c r="N53" t="s">
        <v>324</v>
      </c>
      <c r="O53" t="s">
        <v>556</v>
      </c>
      <c r="P53">
        <v>0.99999999999999944</v>
      </c>
      <c r="Q53" t="s">
        <v>162</v>
      </c>
      <c r="S53" t="s">
        <v>436</v>
      </c>
      <c r="T53" t="s">
        <v>556</v>
      </c>
      <c r="U53">
        <v>1.0000000000000013</v>
      </c>
      <c r="V53" t="s">
        <v>162</v>
      </c>
    </row>
    <row r="54" spans="9:22" x14ac:dyDescent="0.45">
      <c r="I54" t="s">
        <v>213</v>
      </c>
      <c r="J54" t="s">
        <v>556</v>
      </c>
      <c r="K54">
        <v>1.0000000000000011</v>
      </c>
      <c r="L54" t="s">
        <v>162</v>
      </c>
      <c r="N54" t="s">
        <v>325</v>
      </c>
      <c r="O54" t="s">
        <v>556</v>
      </c>
      <c r="P54">
        <v>0.999999999999999</v>
      </c>
      <c r="Q54" t="s">
        <v>162</v>
      </c>
      <c r="S54" t="s">
        <v>437</v>
      </c>
      <c r="T54" t="s">
        <v>556</v>
      </c>
      <c r="U54">
        <v>1.0000000000000009</v>
      </c>
      <c r="V54" t="s">
        <v>162</v>
      </c>
    </row>
    <row r="55" spans="9:22" x14ac:dyDescent="0.45">
      <c r="I55" t="s">
        <v>214</v>
      </c>
      <c r="J55" t="s">
        <v>556</v>
      </c>
      <c r="K55">
        <v>1.0000000000000049</v>
      </c>
      <c r="L55" t="s">
        <v>162</v>
      </c>
      <c r="N55" t="s">
        <v>326</v>
      </c>
      <c r="O55" t="s">
        <v>556</v>
      </c>
      <c r="P55">
        <v>0.99999999999999667</v>
      </c>
      <c r="Q55" t="s">
        <v>162</v>
      </c>
      <c r="S55" t="s">
        <v>438</v>
      </c>
      <c r="T55" t="s">
        <v>556</v>
      </c>
      <c r="U55">
        <v>1.0000000000000033</v>
      </c>
      <c r="V55" t="s">
        <v>162</v>
      </c>
    </row>
    <row r="56" spans="9:22" x14ac:dyDescent="0.45">
      <c r="I56" t="s">
        <v>215</v>
      </c>
      <c r="J56" t="s">
        <v>556</v>
      </c>
      <c r="K56">
        <v>0.99999999999999745</v>
      </c>
      <c r="L56" t="s">
        <v>162</v>
      </c>
      <c r="N56" t="s">
        <v>327</v>
      </c>
      <c r="O56" t="s">
        <v>556</v>
      </c>
      <c r="P56">
        <v>1.0000000000000022</v>
      </c>
      <c r="Q56" t="s">
        <v>162</v>
      </c>
      <c r="S56" t="s">
        <v>439</v>
      </c>
      <c r="T56" t="s">
        <v>556</v>
      </c>
      <c r="U56">
        <v>0.99999999999999967</v>
      </c>
      <c r="V56" t="s">
        <v>162</v>
      </c>
    </row>
    <row r="57" spans="9:22" x14ac:dyDescent="0.45">
      <c r="I57" t="s">
        <v>216</v>
      </c>
      <c r="J57" t="s">
        <v>556</v>
      </c>
      <c r="K57">
        <v>0.99999999999999922</v>
      </c>
      <c r="L57" t="s">
        <v>162</v>
      </c>
      <c r="N57" t="s">
        <v>328</v>
      </c>
      <c r="O57" t="s">
        <v>556</v>
      </c>
      <c r="P57">
        <v>1.0000000000000029</v>
      </c>
      <c r="Q57" t="s">
        <v>162</v>
      </c>
      <c r="S57" t="s">
        <v>440</v>
      </c>
      <c r="T57" t="s">
        <v>556</v>
      </c>
      <c r="U57">
        <v>0.99999999999999889</v>
      </c>
      <c r="V57" t="s">
        <v>162</v>
      </c>
    </row>
    <row r="58" spans="9:22" x14ac:dyDescent="0.45">
      <c r="I58" t="s">
        <v>217</v>
      </c>
      <c r="J58" t="s">
        <v>556</v>
      </c>
      <c r="K58">
        <v>0.99999999999999922</v>
      </c>
      <c r="L58" t="s">
        <v>162</v>
      </c>
      <c r="N58" t="s">
        <v>329</v>
      </c>
      <c r="O58" t="s">
        <v>556</v>
      </c>
      <c r="P58">
        <v>0.99999999999999944</v>
      </c>
      <c r="Q58" t="s">
        <v>162</v>
      </c>
      <c r="S58" t="s">
        <v>441</v>
      </c>
      <c r="T58" t="s">
        <v>556</v>
      </c>
      <c r="U58">
        <v>0.99999999999999656</v>
      </c>
      <c r="V58" t="s">
        <v>162</v>
      </c>
    </row>
    <row r="59" spans="9:22" x14ac:dyDescent="0.45">
      <c r="I59" t="s">
        <v>218</v>
      </c>
      <c r="J59" t="s">
        <v>556</v>
      </c>
      <c r="K59">
        <v>0.99999999999999978</v>
      </c>
      <c r="L59" t="s">
        <v>162</v>
      </c>
      <c r="N59" t="s">
        <v>330</v>
      </c>
      <c r="O59" t="s">
        <v>556</v>
      </c>
      <c r="P59">
        <v>0.99999999999999867</v>
      </c>
      <c r="Q59" t="s">
        <v>162</v>
      </c>
      <c r="S59" t="s">
        <v>442</v>
      </c>
      <c r="T59" t="s">
        <v>556</v>
      </c>
      <c r="U59">
        <v>1.0000000000000031</v>
      </c>
      <c r="V59" t="s">
        <v>162</v>
      </c>
    </row>
    <row r="60" spans="9:22" x14ac:dyDescent="0.45">
      <c r="I60" t="s">
        <v>219</v>
      </c>
      <c r="J60" t="s">
        <v>556</v>
      </c>
      <c r="K60">
        <v>1.000000000000002</v>
      </c>
      <c r="L60" t="s">
        <v>162</v>
      </c>
      <c r="N60" t="s">
        <v>331</v>
      </c>
      <c r="O60" t="s">
        <v>556</v>
      </c>
      <c r="P60">
        <v>1.0000000000000009</v>
      </c>
      <c r="Q60" t="s">
        <v>162</v>
      </c>
      <c r="S60" t="s">
        <v>443</v>
      </c>
      <c r="T60" t="s">
        <v>556</v>
      </c>
      <c r="U60">
        <v>1.0000000000000009</v>
      </c>
      <c r="V60" t="s">
        <v>162</v>
      </c>
    </row>
    <row r="61" spans="9:22" x14ac:dyDescent="0.45">
      <c r="I61" t="s">
        <v>220</v>
      </c>
      <c r="J61" t="s">
        <v>556</v>
      </c>
      <c r="K61">
        <v>1.0000000000000013</v>
      </c>
      <c r="L61" t="s">
        <v>162</v>
      </c>
      <c r="N61" t="s">
        <v>332</v>
      </c>
      <c r="O61" t="s">
        <v>556</v>
      </c>
      <c r="P61">
        <v>1.0000000000000029</v>
      </c>
      <c r="Q61" t="s">
        <v>162</v>
      </c>
      <c r="S61" t="s">
        <v>444</v>
      </c>
      <c r="T61" t="s">
        <v>556</v>
      </c>
      <c r="U61">
        <v>1.0000000000000009</v>
      </c>
      <c r="V61" t="s">
        <v>162</v>
      </c>
    </row>
    <row r="62" spans="9:22" x14ac:dyDescent="0.45">
      <c r="I62" t="s">
        <v>221</v>
      </c>
      <c r="J62" t="s">
        <v>556</v>
      </c>
      <c r="K62">
        <v>0.99999999999999756</v>
      </c>
      <c r="L62" t="s">
        <v>162</v>
      </c>
      <c r="N62" t="s">
        <v>333</v>
      </c>
      <c r="O62" t="s">
        <v>556</v>
      </c>
      <c r="P62">
        <v>0.99999999999999722</v>
      </c>
      <c r="Q62" t="s">
        <v>162</v>
      </c>
      <c r="S62" t="s">
        <v>445</v>
      </c>
      <c r="T62" t="s">
        <v>556</v>
      </c>
      <c r="U62">
        <v>1.0000000000000002</v>
      </c>
      <c r="V62" t="s">
        <v>162</v>
      </c>
    </row>
    <row r="63" spans="9:22" x14ac:dyDescent="0.45">
      <c r="I63" t="s">
        <v>222</v>
      </c>
      <c r="J63" t="s">
        <v>556</v>
      </c>
      <c r="K63">
        <v>0.999999999999999</v>
      </c>
      <c r="L63" t="s">
        <v>162</v>
      </c>
      <c r="N63" t="s">
        <v>334</v>
      </c>
      <c r="O63" t="s">
        <v>556</v>
      </c>
      <c r="P63">
        <v>0.99999999999999956</v>
      </c>
      <c r="Q63" t="s">
        <v>162</v>
      </c>
      <c r="S63" t="s">
        <v>446</v>
      </c>
      <c r="T63" t="s">
        <v>556</v>
      </c>
      <c r="U63">
        <v>0.99999999999999734</v>
      </c>
      <c r="V63" t="s">
        <v>162</v>
      </c>
    </row>
    <row r="64" spans="9:22" x14ac:dyDescent="0.45">
      <c r="I64" t="s">
        <v>223</v>
      </c>
      <c r="J64" t="s">
        <v>556</v>
      </c>
      <c r="K64">
        <v>1.000000000000002</v>
      </c>
      <c r="L64" t="s">
        <v>162</v>
      </c>
      <c r="N64" t="s">
        <v>335</v>
      </c>
      <c r="O64" t="s">
        <v>556</v>
      </c>
      <c r="P64">
        <v>0.99999999999999978</v>
      </c>
      <c r="Q64" t="s">
        <v>162</v>
      </c>
      <c r="S64" t="s">
        <v>447</v>
      </c>
      <c r="T64" t="s">
        <v>556</v>
      </c>
      <c r="U64">
        <v>0.99999999999999734</v>
      </c>
      <c r="V64" t="s">
        <v>162</v>
      </c>
    </row>
    <row r="65" spans="9:22" x14ac:dyDescent="0.45">
      <c r="I65" t="s">
        <v>224</v>
      </c>
      <c r="J65" t="s">
        <v>556</v>
      </c>
      <c r="K65">
        <v>1.0000000000000016</v>
      </c>
      <c r="L65" t="s">
        <v>162</v>
      </c>
      <c r="N65" t="s">
        <v>336</v>
      </c>
      <c r="O65" t="s">
        <v>556</v>
      </c>
      <c r="P65">
        <v>1.0000000000000009</v>
      </c>
      <c r="Q65" t="s">
        <v>162</v>
      </c>
      <c r="S65" t="s">
        <v>448</v>
      </c>
      <c r="T65" t="s">
        <v>556</v>
      </c>
      <c r="U65">
        <v>0.999999999999997</v>
      </c>
      <c r="V65" t="s">
        <v>162</v>
      </c>
    </row>
    <row r="66" spans="9:22" x14ac:dyDescent="0.45">
      <c r="I66" t="s">
        <v>225</v>
      </c>
      <c r="J66" t="s">
        <v>556</v>
      </c>
      <c r="K66">
        <v>1.0000000000000004</v>
      </c>
      <c r="L66" t="s">
        <v>162</v>
      </c>
      <c r="N66" t="s">
        <v>337</v>
      </c>
      <c r="O66" t="s">
        <v>556</v>
      </c>
      <c r="P66">
        <v>0.99999999999999734</v>
      </c>
      <c r="Q66" t="s">
        <v>162</v>
      </c>
      <c r="S66" t="s">
        <v>449</v>
      </c>
      <c r="T66" t="s">
        <v>556</v>
      </c>
      <c r="U66">
        <v>0.999999999999999</v>
      </c>
      <c r="V66" t="s">
        <v>162</v>
      </c>
    </row>
    <row r="67" spans="9:22" x14ac:dyDescent="0.45">
      <c r="I67" t="s">
        <v>226</v>
      </c>
      <c r="J67" t="s">
        <v>556</v>
      </c>
      <c r="K67">
        <v>0.99999999999999578</v>
      </c>
      <c r="L67" t="s">
        <v>162</v>
      </c>
      <c r="N67" t="s">
        <v>338</v>
      </c>
      <c r="O67" t="s">
        <v>556</v>
      </c>
      <c r="P67">
        <v>0.99999999999999867</v>
      </c>
      <c r="Q67" t="s">
        <v>162</v>
      </c>
      <c r="S67" t="s">
        <v>450</v>
      </c>
      <c r="T67" t="s">
        <v>556</v>
      </c>
      <c r="U67">
        <v>1.0000000000000002</v>
      </c>
      <c r="V67" t="s">
        <v>162</v>
      </c>
    </row>
    <row r="68" spans="9:22" x14ac:dyDescent="0.45">
      <c r="I68" t="s">
        <v>227</v>
      </c>
      <c r="J68" t="s">
        <v>556</v>
      </c>
      <c r="K68">
        <v>0.99999999999999778</v>
      </c>
      <c r="L68" t="s">
        <v>162</v>
      </c>
      <c r="N68" t="s">
        <v>339</v>
      </c>
      <c r="O68" t="s">
        <v>556</v>
      </c>
      <c r="P68">
        <v>1</v>
      </c>
      <c r="Q68" t="s">
        <v>162</v>
      </c>
      <c r="S68" t="s">
        <v>451</v>
      </c>
      <c r="T68" t="s">
        <v>556</v>
      </c>
      <c r="U68">
        <v>1.0000000000000007</v>
      </c>
      <c r="V68" t="s">
        <v>162</v>
      </c>
    </row>
    <row r="69" spans="9:22" x14ac:dyDescent="0.45">
      <c r="I69" t="s">
        <v>228</v>
      </c>
      <c r="J69" t="s">
        <v>556</v>
      </c>
      <c r="K69">
        <v>1.000000000000002</v>
      </c>
      <c r="L69" t="s">
        <v>162</v>
      </c>
      <c r="N69" t="s">
        <v>340</v>
      </c>
      <c r="O69" t="s">
        <v>556</v>
      </c>
      <c r="P69">
        <v>0.99999999999999933</v>
      </c>
      <c r="Q69" t="s">
        <v>162</v>
      </c>
      <c r="S69" t="s">
        <v>452</v>
      </c>
      <c r="T69" t="s">
        <v>556</v>
      </c>
      <c r="U69">
        <v>1.0000000000000024</v>
      </c>
      <c r="V69" t="s">
        <v>162</v>
      </c>
    </row>
    <row r="70" spans="9:22" x14ac:dyDescent="0.45">
      <c r="I70" t="s">
        <v>229</v>
      </c>
      <c r="J70" t="s">
        <v>556</v>
      </c>
      <c r="K70">
        <v>1.0000000000000016</v>
      </c>
      <c r="L70" t="s">
        <v>162</v>
      </c>
      <c r="N70" t="s">
        <v>341</v>
      </c>
      <c r="O70" t="s">
        <v>556</v>
      </c>
      <c r="P70">
        <v>1.0000000000000044</v>
      </c>
      <c r="Q70" t="s">
        <v>162</v>
      </c>
      <c r="S70" t="s">
        <v>453</v>
      </c>
      <c r="T70" t="s">
        <v>556</v>
      </c>
      <c r="U70">
        <v>0.99999999999999944</v>
      </c>
      <c r="V70" t="s">
        <v>162</v>
      </c>
    </row>
    <row r="71" spans="9:22" x14ac:dyDescent="0.45">
      <c r="I71" t="s">
        <v>230</v>
      </c>
      <c r="J71" t="s">
        <v>556</v>
      </c>
      <c r="K71">
        <v>0.99999999999999956</v>
      </c>
      <c r="L71" t="s">
        <v>162</v>
      </c>
      <c r="N71" t="s">
        <v>342</v>
      </c>
      <c r="O71" t="s">
        <v>556</v>
      </c>
      <c r="P71">
        <v>1</v>
      </c>
      <c r="Q71" t="s">
        <v>162</v>
      </c>
      <c r="S71" t="s">
        <v>454</v>
      </c>
      <c r="T71" t="s">
        <v>556</v>
      </c>
      <c r="U71">
        <v>0.99999999999999767</v>
      </c>
      <c r="V71" t="s">
        <v>162</v>
      </c>
    </row>
    <row r="72" spans="9:22" x14ac:dyDescent="0.45">
      <c r="I72" t="s">
        <v>231</v>
      </c>
      <c r="J72" t="s">
        <v>556</v>
      </c>
      <c r="K72">
        <v>0.99999999999999845</v>
      </c>
      <c r="L72" t="s">
        <v>162</v>
      </c>
      <c r="N72" t="s">
        <v>343</v>
      </c>
      <c r="O72" t="s">
        <v>556</v>
      </c>
      <c r="P72">
        <v>0.99999999999999845</v>
      </c>
      <c r="Q72" t="s">
        <v>162</v>
      </c>
      <c r="S72" t="s">
        <v>455</v>
      </c>
      <c r="T72" t="s">
        <v>556</v>
      </c>
      <c r="U72">
        <v>0.99999999999999756</v>
      </c>
      <c r="V72" t="s">
        <v>162</v>
      </c>
    </row>
    <row r="73" spans="9:22" x14ac:dyDescent="0.45">
      <c r="I73" t="s">
        <v>232</v>
      </c>
      <c r="J73" t="s">
        <v>556</v>
      </c>
      <c r="K73">
        <v>1</v>
      </c>
      <c r="L73" t="s">
        <v>162</v>
      </c>
      <c r="N73" t="s">
        <v>344</v>
      </c>
      <c r="O73" t="s">
        <v>556</v>
      </c>
      <c r="P73">
        <v>1.0000000000000004</v>
      </c>
      <c r="Q73" t="s">
        <v>162</v>
      </c>
      <c r="S73" t="s">
        <v>456</v>
      </c>
      <c r="T73" t="s">
        <v>556</v>
      </c>
      <c r="U73">
        <v>0.99999999999999922</v>
      </c>
      <c r="V73" t="s">
        <v>162</v>
      </c>
    </row>
    <row r="74" spans="9:22" x14ac:dyDescent="0.45">
      <c r="I74" t="s">
        <v>233</v>
      </c>
      <c r="J74" t="s">
        <v>556</v>
      </c>
      <c r="K74">
        <v>1.0000000000000009</v>
      </c>
      <c r="L74" t="s">
        <v>162</v>
      </c>
      <c r="N74" t="s">
        <v>345</v>
      </c>
      <c r="O74" t="s">
        <v>556</v>
      </c>
      <c r="P74">
        <v>0.99999999999999523</v>
      </c>
      <c r="Q74" t="s">
        <v>162</v>
      </c>
      <c r="S74" t="s">
        <v>457</v>
      </c>
      <c r="T74" t="s">
        <v>556</v>
      </c>
      <c r="U74">
        <v>1.0000000000000011</v>
      </c>
      <c r="V74" t="s">
        <v>162</v>
      </c>
    </row>
    <row r="75" spans="9:22" x14ac:dyDescent="0.45">
      <c r="I75" t="s">
        <v>234</v>
      </c>
      <c r="J75" t="s">
        <v>556</v>
      </c>
      <c r="K75">
        <v>0.99999999999999734</v>
      </c>
      <c r="L75" t="s">
        <v>162</v>
      </c>
      <c r="N75" t="s">
        <v>346</v>
      </c>
      <c r="O75" t="s">
        <v>556</v>
      </c>
      <c r="P75">
        <v>1.0000000000000042</v>
      </c>
      <c r="Q75" t="s">
        <v>162</v>
      </c>
      <c r="S75" t="s">
        <v>458</v>
      </c>
      <c r="T75" t="s">
        <v>556</v>
      </c>
      <c r="U75">
        <v>1.0000000000000009</v>
      </c>
      <c r="V75" t="s">
        <v>162</v>
      </c>
    </row>
    <row r="76" spans="9:22" x14ac:dyDescent="0.45">
      <c r="I76" t="s">
        <v>235</v>
      </c>
      <c r="J76" t="s">
        <v>556</v>
      </c>
      <c r="K76">
        <v>0.999999999999999</v>
      </c>
      <c r="L76" t="s">
        <v>162</v>
      </c>
      <c r="N76" t="s">
        <v>347</v>
      </c>
      <c r="O76" t="s">
        <v>556</v>
      </c>
      <c r="P76">
        <v>1.0000000000000042</v>
      </c>
      <c r="Q76" t="s">
        <v>162</v>
      </c>
      <c r="S76" t="s">
        <v>459</v>
      </c>
      <c r="T76" t="s">
        <v>556</v>
      </c>
      <c r="U76">
        <v>0.99999999999999678</v>
      </c>
      <c r="V76" t="s">
        <v>162</v>
      </c>
    </row>
    <row r="77" spans="9:22" x14ac:dyDescent="0.45">
      <c r="I77" t="s">
        <v>236</v>
      </c>
      <c r="J77" t="s">
        <v>556</v>
      </c>
      <c r="K77">
        <v>0.99999999999999889</v>
      </c>
      <c r="L77" t="s">
        <v>162</v>
      </c>
      <c r="N77" t="s">
        <v>348</v>
      </c>
      <c r="O77" t="s">
        <v>556</v>
      </c>
      <c r="P77">
        <v>1.0000000000000011</v>
      </c>
      <c r="Q77" t="s">
        <v>162</v>
      </c>
      <c r="S77" t="s">
        <v>460</v>
      </c>
      <c r="T77" t="s">
        <v>556</v>
      </c>
      <c r="U77">
        <v>0.99999999999999833</v>
      </c>
      <c r="V77" t="s">
        <v>162</v>
      </c>
    </row>
    <row r="78" spans="9:22" x14ac:dyDescent="0.45">
      <c r="I78" t="s">
        <v>237</v>
      </c>
      <c r="J78" t="s">
        <v>556</v>
      </c>
      <c r="K78">
        <v>1.0000000000000007</v>
      </c>
      <c r="L78" t="s">
        <v>162</v>
      </c>
      <c r="N78" t="s">
        <v>349</v>
      </c>
      <c r="O78" t="s">
        <v>556</v>
      </c>
      <c r="P78">
        <v>0.99999999999999545</v>
      </c>
      <c r="Q78" t="s">
        <v>162</v>
      </c>
      <c r="S78" t="s">
        <v>461</v>
      </c>
      <c r="T78" t="s">
        <v>556</v>
      </c>
      <c r="U78">
        <v>1.0000000000000007</v>
      </c>
      <c r="V78" t="s">
        <v>162</v>
      </c>
    </row>
    <row r="79" spans="9:22" x14ac:dyDescent="0.45">
      <c r="I79" t="s">
        <v>238</v>
      </c>
      <c r="J79" t="s">
        <v>556</v>
      </c>
      <c r="K79">
        <v>0.99999999999999822</v>
      </c>
      <c r="L79" t="s">
        <v>162</v>
      </c>
      <c r="N79" t="s">
        <v>350</v>
      </c>
      <c r="O79" t="s">
        <v>556</v>
      </c>
      <c r="P79">
        <v>1.0000000000000027</v>
      </c>
      <c r="Q79" t="s">
        <v>162</v>
      </c>
      <c r="S79" t="s">
        <v>462</v>
      </c>
      <c r="T79" t="s">
        <v>556</v>
      </c>
      <c r="U79">
        <v>0.99999999999999756</v>
      </c>
      <c r="V79" t="s">
        <v>162</v>
      </c>
    </row>
    <row r="80" spans="9:22" x14ac:dyDescent="0.45">
      <c r="I80" t="s">
        <v>239</v>
      </c>
      <c r="J80" t="s">
        <v>556</v>
      </c>
      <c r="K80">
        <v>1.0000000000000007</v>
      </c>
      <c r="L80" t="s">
        <v>162</v>
      </c>
      <c r="N80" t="s">
        <v>351</v>
      </c>
      <c r="O80" t="s">
        <v>556</v>
      </c>
      <c r="P80">
        <v>0.99999999999999611</v>
      </c>
      <c r="Q80" t="s">
        <v>162</v>
      </c>
      <c r="S80" t="s">
        <v>463</v>
      </c>
      <c r="T80" t="s">
        <v>556</v>
      </c>
      <c r="U80">
        <v>0.99999999999999578</v>
      </c>
      <c r="V80" t="s">
        <v>162</v>
      </c>
    </row>
    <row r="81" spans="9:22" x14ac:dyDescent="0.45">
      <c r="I81" t="s">
        <v>240</v>
      </c>
      <c r="J81" t="s">
        <v>556</v>
      </c>
      <c r="K81">
        <v>0.99999999999999933</v>
      </c>
      <c r="L81" t="s">
        <v>162</v>
      </c>
      <c r="N81" t="s">
        <v>352</v>
      </c>
      <c r="O81" t="s">
        <v>556</v>
      </c>
      <c r="P81">
        <v>1</v>
      </c>
      <c r="Q81" t="s">
        <v>162</v>
      </c>
      <c r="S81" t="s">
        <v>464</v>
      </c>
      <c r="T81" t="s">
        <v>556</v>
      </c>
      <c r="U81">
        <v>0.99999999999999833</v>
      </c>
      <c r="V81" t="s">
        <v>162</v>
      </c>
    </row>
    <row r="82" spans="9:22" x14ac:dyDescent="0.45">
      <c r="I82" t="s">
        <v>241</v>
      </c>
      <c r="J82" t="s">
        <v>556</v>
      </c>
      <c r="K82">
        <v>1.0000000000000004</v>
      </c>
      <c r="L82" t="s">
        <v>162</v>
      </c>
      <c r="N82" t="s">
        <v>353</v>
      </c>
      <c r="O82" t="s">
        <v>556</v>
      </c>
      <c r="P82">
        <v>1.0000000000000053</v>
      </c>
      <c r="Q82" t="s">
        <v>162</v>
      </c>
      <c r="S82" t="s">
        <v>465</v>
      </c>
      <c r="T82" t="s">
        <v>556</v>
      </c>
      <c r="U82">
        <v>0.99999999999999778</v>
      </c>
      <c r="V82" t="s">
        <v>162</v>
      </c>
    </row>
    <row r="83" spans="9:22" x14ac:dyDescent="0.45">
      <c r="I83" t="s">
        <v>242</v>
      </c>
      <c r="J83" t="s">
        <v>556</v>
      </c>
      <c r="K83">
        <v>1.0000000000000013</v>
      </c>
      <c r="L83" t="s">
        <v>162</v>
      </c>
      <c r="N83" t="s">
        <v>354</v>
      </c>
      <c r="O83" t="s">
        <v>556</v>
      </c>
      <c r="P83">
        <v>1</v>
      </c>
      <c r="Q83" t="s">
        <v>162</v>
      </c>
      <c r="S83" t="s">
        <v>466</v>
      </c>
      <c r="T83" t="s">
        <v>556</v>
      </c>
      <c r="U83">
        <v>1.0000000000000007</v>
      </c>
      <c r="V83" t="s">
        <v>162</v>
      </c>
    </row>
    <row r="84" spans="9:22" x14ac:dyDescent="0.45">
      <c r="I84" t="s">
        <v>243</v>
      </c>
      <c r="J84" t="s">
        <v>556</v>
      </c>
      <c r="K84">
        <v>0.99999999999999778</v>
      </c>
      <c r="L84" t="s">
        <v>162</v>
      </c>
      <c r="N84" t="s">
        <v>355</v>
      </c>
      <c r="O84" t="s">
        <v>556</v>
      </c>
      <c r="P84">
        <v>0.99999999999999811</v>
      </c>
      <c r="Q84" t="s">
        <v>162</v>
      </c>
      <c r="S84" t="s">
        <v>467</v>
      </c>
      <c r="T84" t="s">
        <v>556</v>
      </c>
      <c r="U84">
        <v>1.0000000000000016</v>
      </c>
      <c r="V84" t="s">
        <v>162</v>
      </c>
    </row>
    <row r="85" spans="9:22" x14ac:dyDescent="0.45">
      <c r="I85" t="s">
        <v>244</v>
      </c>
      <c r="J85" t="s">
        <v>556</v>
      </c>
      <c r="K85">
        <v>0.99999999999999989</v>
      </c>
      <c r="L85" t="s">
        <v>162</v>
      </c>
      <c r="N85" t="s">
        <v>356</v>
      </c>
      <c r="O85" t="s">
        <v>556</v>
      </c>
      <c r="P85">
        <v>1.000000000000002</v>
      </c>
      <c r="Q85" t="s">
        <v>162</v>
      </c>
      <c r="S85" t="s">
        <v>468</v>
      </c>
      <c r="T85" t="s">
        <v>556</v>
      </c>
      <c r="U85">
        <v>1</v>
      </c>
      <c r="V85" t="s">
        <v>162</v>
      </c>
    </row>
    <row r="86" spans="9:22" x14ac:dyDescent="0.45">
      <c r="I86" t="s">
        <v>245</v>
      </c>
      <c r="J86" t="s">
        <v>556</v>
      </c>
      <c r="K86">
        <v>1</v>
      </c>
      <c r="L86" t="s">
        <v>162</v>
      </c>
      <c r="N86" t="s">
        <v>357</v>
      </c>
      <c r="O86" t="s">
        <v>556</v>
      </c>
      <c r="P86">
        <v>0.99999999999999978</v>
      </c>
      <c r="Q86" t="s">
        <v>162</v>
      </c>
      <c r="S86" t="s">
        <v>469</v>
      </c>
      <c r="T86" t="s">
        <v>556</v>
      </c>
      <c r="U86">
        <v>0.99999999999999889</v>
      </c>
      <c r="V86" t="s">
        <v>162</v>
      </c>
    </row>
    <row r="87" spans="9:22" x14ac:dyDescent="0.45">
      <c r="I87" t="s">
        <v>246</v>
      </c>
      <c r="J87" t="s">
        <v>556</v>
      </c>
      <c r="K87">
        <v>1.0000000000000016</v>
      </c>
      <c r="L87" t="s">
        <v>162</v>
      </c>
      <c r="N87" t="s">
        <v>358</v>
      </c>
      <c r="O87" t="s">
        <v>556</v>
      </c>
      <c r="P87">
        <v>0.99999999999999889</v>
      </c>
      <c r="Q87" t="s">
        <v>162</v>
      </c>
      <c r="S87" t="s">
        <v>470</v>
      </c>
      <c r="T87" t="s">
        <v>556</v>
      </c>
      <c r="U87">
        <v>1.0000000000000009</v>
      </c>
      <c r="V87" t="s">
        <v>162</v>
      </c>
    </row>
    <row r="88" spans="9:22" x14ac:dyDescent="0.45">
      <c r="I88" t="s">
        <v>247</v>
      </c>
      <c r="J88" t="s">
        <v>556</v>
      </c>
      <c r="K88">
        <v>0.99999999999999811</v>
      </c>
      <c r="L88" t="s">
        <v>162</v>
      </c>
      <c r="N88" t="s">
        <v>359</v>
      </c>
      <c r="O88" t="s">
        <v>556</v>
      </c>
      <c r="P88">
        <v>0.99999999999999789</v>
      </c>
      <c r="Q88" t="s">
        <v>162</v>
      </c>
      <c r="S88" t="s">
        <v>471</v>
      </c>
      <c r="T88" t="s">
        <v>556</v>
      </c>
      <c r="U88">
        <v>1.0000000000000082</v>
      </c>
      <c r="V88" t="s">
        <v>162</v>
      </c>
    </row>
    <row r="89" spans="9:22" x14ac:dyDescent="0.45">
      <c r="I89" t="s">
        <v>248</v>
      </c>
      <c r="J89" t="s">
        <v>556</v>
      </c>
      <c r="K89">
        <v>0.99999999999999756</v>
      </c>
      <c r="L89" t="s">
        <v>162</v>
      </c>
      <c r="N89" t="s">
        <v>360</v>
      </c>
      <c r="O89" t="s">
        <v>556</v>
      </c>
      <c r="P89">
        <v>0.999999999999997</v>
      </c>
      <c r="Q89" t="s">
        <v>162</v>
      </c>
      <c r="S89" t="s">
        <v>472</v>
      </c>
      <c r="T89" t="s">
        <v>556</v>
      </c>
      <c r="U89">
        <v>1</v>
      </c>
      <c r="V89" t="s">
        <v>162</v>
      </c>
    </row>
    <row r="90" spans="9:22" x14ac:dyDescent="0.45">
      <c r="I90" t="s">
        <v>249</v>
      </c>
      <c r="J90" t="s">
        <v>556</v>
      </c>
      <c r="K90">
        <v>1.0000000000000018</v>
      </c>
      <c r="L90" t="s">
        <v>162</v>
      </c>
      <c r="N90" t="s">
        <v>361</v>
      </c>
      <c r="O90" t="s">
        <v>556</v>
      </c>
      <c r="P90">
        <v>0.99999999999999867</v>
      </c>
      <c r="Q90" t="s">
        <v>162</v>
      </c>
      <c r="S90" t="s">
        <v>473</v>
      </c>
      <c r="T90" t="s">
        <v>556</v>
      </c>
      <c r="U90">
        <v>0.99999999999999278</v>
      </c>
      <c r="V90" t="s">
        <v>162</v>
      </c>
    </row>
    <row r="91" spans="9:22" x14ac:dyDescent="0.45">
      <c r="I91" t="s">
        <v>250</v>
      </c>
      <c r="J91" t="s">
        <v>556</v>
      </c>
      <c r="K91">
        <v>0.99999999999999878</v>
      </c>
      <c r="L91" t="s">
        <v>162</v>
      </c>
      <c r="N91" t="s">
        <v>362</v>
      </c>
      <c r="O91" t="s">
        <v>556</v>
      </c>
      <c r="P91">
        <v>1.0000000000000016</v>
      </c>
      <c r="Q91" t="s">
        <v>162</v>
      </c>
      <c r="S91" t="s">
        <v>474</v>
      </c>
      <c r="T91" t="s">
        <v>556</v>
      </c>
      <c r="U91">
        <v>1.0000000000000009</v>
      </c>
      <c r="V91" t="s">
        <v>162</v>
      </c>
    </row>
    <row r="92" spans="9:22" x14ac:dyDescent="0.45">
      <c r="I92" t="s">
        <v>251</v>
      </c>
      <c r="J92" t="s">
        <v>556</v>
      </c>
      <c r="K92">
        <v>1</v>
      </c>
      <c r="L92" t="s">
        <v>162</v>
      </c>
      <c r="N92" t="s">
        <v>363</v>
      </c>
      <c r="O92" t="s">
        <v>556</v>
      </c>
      <c r="P92">
        <v>1.0000000000000002</v>
      </c>
      <c r="Q92" t="s">
        <v>162</v>
      </c>
      <c r="S92" t="s">
        <v>475</v>
      </c>
      <c r="T92" t="s">
        <v>556</v>
      </c>
      <c r="U92">
        <v>1.0000000000000009</v>
      </c>
      <c r="V92" t="s">
        <v>162</v>
      </c>
    </row>
    <row r="93" spans="9:22" x14ac:dyDescent="0.45">
      <c r="I93" t="s">
        <v>252</v>
      </c>
      <c r="J93" t="s">
        <v>556</v>
      </c>
      <c r="K93">
        <v>0.99999999999999933</v>
      </c>
      <c r="L93" t="s">
        <v>162</v>
      </c>
      <c r="N93" t="s">
        <v>364</v>
      </c>
      <c r="O93" t="s">
        <v>556</v>
      </c>
      <c r="P93">
        <v>0.99999999999999989</v>
      </c>
      <c r="Q93" t="s">
        <v>162</v>
      </c>
      <c r="S93" t="s">
        <v>476</v>
      </c>
      <c r="T93" t="s">
        <v>556</v>
      </c>
      <c r="U93">
        <v>1.0000000000000033</v>
      </c>
      <c r="V93" t="s">
        <v>162</v>
      </c>
    </row>
    <row r="94" spans="9:22" x14ac:dyDescent="0.45">
      <c r="I94" t="s">
        <v>253</v>
      </c>
      <c r="J94" t="s">
        <v>556</v>
      </c>
      <c r="K94">
        <v>0.99999999999999933</v>
      </c>
      <c r="L94" t="s">
        <v>162</v>
      </c>
      <c r="N94" t="s">
        <v>365</v>
      </c>
      <c r="O94" t="s">
        <v>556</v>
      </c>
      <c r="P94">
        <v>0.99999999999999933</v>
      </c>
      <c r="Q94" t="s">
        <v>162</v>
      </c>
      <c r="S94" t="s">
        <v>477</v>
      </c>
      <c r="T94" t="s">
        <v>556</v>
      </c>
      <c r="U94">
        <v>1.0000000000000007</v>
      </c>
      <c r="V94" t="s">
        <v>162</v>
      </c>
    </row>
    <row r="95" spans="9:22" x14ac:dyDescent="0.45">
      <c r="I95" t="s">
        <v>254</v>
      </c>
      <c r="J95" t="s">
        <v>556</v>
      </c>
      <c r="K95">
        <v>1.0000000000000036</v>
      </c>
      <c r="L95" t="s">
        <v>162</v>
      </c>
      <c r="N95" t="s">
        <v>366</v>
      </c>
      <c r="O95" t="s">
        <v>556</v>
      </c>
      <c r="P95">
        <v>0.999999999999999</v>
      </c>
      <c r="Q95" t="s">
        <v>162</v>
      </c>
      <c r="S95" t="s">
        <v>478</v>
      </c>
      <c r="T95" t="s">
        <v>556</v>
      </c>
      <c r="U95">
        <v>1.0000000000000027</v>
      </c>
      <c r="V95" t="s">
        <v>162</v>
      </c>
    </row>
    <row r="96" spans="9:22" x14ac:dyDescent="0.45">
      <c r="I96" t="s">
        <v>255</v>
      </c>
      <c r="J96" t="s">
        <v>556</v>
      </c>
      <c r="K96">
        <v>0.99999999999999767</v>
      </c>
      <c r="L96" t="s">
        <v>162</v>
      </c>
      <c r="N96" t="s">
        <v>367</v>
      </c>
      <c r="O96" t="s">
        <v>556</v>
      </c>
      <c r="P96">
        <v>1.0000000000000027</v>
      </c>
      <c r="Q96" t="s">
        <v>162</v>
      </c>
      <c r="S96" t="s">
        <v>479</v>
      </c>
      <c r="T96" t="s">
        <v>556</v>
      </c>
      <c r="U96">
        <v>0.99999999999999833</v>
      </c>
      <c r="V96" t="s">
        <v>162</v>
      </c>
    </row>
    <row r="97" spans="9:22" x14ac:dyDescent="0.45">
      <c r="I97" t="s">
        <v>256</v>
      </c>
      <c r="J97" t="s">
        <v>556</v>
      </c>
      <c r="K97">
        <v>1.0000000000000004</v>
      </c>
      <c r="L97" t="s">
        <v>162</v>
      </c>
      <c r="N97" t="s">
        <v>368</v>
      </c>
      <c r="O97" t="s">
        <v>556</v>
      </c>
      <c r="P97">
        <v>0.99999999999999822</v>
      </c>
      <c r="Q97" t="s">
        <v>162</v>
      </c>
      <c r="S97" t="s">
        <v>480</v>
      </c>
      <c r="T97" t="s">
        <v>556</v>
      </c>
      <c r="U97">
        <v>0.99999999999999467</v>
      </c>
      <c r="V97" t="s">
        <v>162</v>
      </c>
    </row>
    <row r="98" spans="9:22" x14ac:dyDescent="0.45">
      <c r="I98" t="s">
        <v>257</v>
      </c>
      <c r="J98" t="s">
        <v>556</v>
      </c>
      <c r="K98">
        <v>0.99999999999999811</v>
      </c>
      <c r="L98" t="s">
        <v>162</v>
      </c>
      <c r="N98" t="s">
        <v>369</v>
      </c>
      <c r="O98" t="s">
        <v>556</v>
      </c>
      <c r="P98">
        <v>1.000000000000002</v>
      </c>
      <c r="Q98" t="s">
        <v>162</v>
      </c>
      <c r="S98" t="s">
        <v>481</v>
      </c>
      <c r="T98" t="s">
        <v>556</v>
      </c>
      <c r="U98">
        <v>1.0000000000000029</v>
      </c>
      <c r="V98" t="s">
        <v>162</v>
      </c>
    </row>
    <row r="99" spans="9:22" x14ac:dyDescent="0.45">
      <c r="I99" t="s">
        <v>258</v>
      </c>
      <c r="J99" t="s">
        <v>556</v>
      </c>
      <c r="K99">
        <v>0.999999999999999</v>
      </c>
      <c r="L99" t="s">
        <v>162</v>
      </c>
      <c r="N99" t="s">
        <v>370</v>
      </c>
      <c r="O99" t="s">
        <v>556</v>
      </c>
      <c r="P99">
        <v>1.0000000000000031</v>
      </c>
      <c r="Q99" t="s">
        <v>162</v>
      </c>
      <c r="S99" t="s">
        <v>482</v>
      </c>
      <c r="T99" t="s">
        <v>556</v>
      </c>
      <c r="U99">
        <v>1.0000000000000022</v>
      </c>
      <c r="V99" t="s">
        <v>162</v>
      </c>
    </row>
    <row r="100" spans="9:22" x14ac:dyDescent="0.45">
      <c r="I100" t="s">
        <v>259</v>
      </c>
      <c r="J100" t="s">
        <v>556</v>
      </c>
      <c r="K100">
        <v>0.99999999999999689</v>
      </c>
      <c r="L100" t="s">
        <v>162</v>
      </c>
      <c r="N100" t="s">
        <v>371</v>
      </c>
      <c r="O100" t="s">
        <v>556</v>
      </c>
      <c r="P100">
        <v>0.99999999999999811</v>
      </c>
      <c r="Q100" t="s">
        <v>162</v>
      </c>
      <c r="S100" t="s">
        <v>483</v>
      </c>
      <c r="T100" t="s">
        <v>556</v>
      </c>
      <c r="U100">
        <v>0.99999999999999623</v>
      </c>
      <c r="V100" t="s">
        <v>162</v>
      </c>
    </row>
    <row r="101" spans="9:22" x14ac:dyDescent="0.45">
      <c r="I101" t="s">
        <v>260</v>
      </c>
      <c r="J101" t="s">
        <v>556</v>
      </c>
      <c r="K101">
        <v>0.99999999999999745</v>
      </c>
      <c r="L101" t="s">
        <v>162</v>
      </c>
      <c r="N101" t="s">
        <v>372</v>
      </c>
      <c r="O101" t="s">
        <v>556</v>
      </c>
      <c r="P101">
        <v>1.0000000000000002</v>
      </c>
      <c r="Q101" t="s">
        <v>162</v>
      </c>
      <c r="S101" t="s">
        <v>484</v>
      </c>
      <c r="T101" t="s">
        <v>556</v>
      </c>
      <c r="U101">
        <v>0.99999999999999833</v>
      </c>
      <c r="V101" t="s">
        <v>162</v>
      </c>
    </row>
    <row r="102" spans="9:22" x14ac:dyDescent="0.45">
      <c r="I102" t="s">
        <v>261</v>
      </c>
      <c r="J102" t="s">
        <v>556</v>
      </c>
      <c r="K102">
        <v>0.99999999999999822</v>
      </c>
      <c r="L102" t="s">
        <v>162</v>
      </c>
      <c r="N102" t="s">
        <v>373</v>
      </c>
      <c r="O102" t="s">
        <v>556</v>
      </c>
      <c r="P102">
        <v>1.0000000000000004</v>
      </c>
      <c r="Q102" t="s">
        <v>162</v>
      </c>
      <c r="S102" t="s">
        <v>485</v>
      </c>
      <c r="T102" t="s">
        <v>556</v>
      </c>
      <c r="U102">
        <v>1.0000000000000024</v>
      </c>
      <c r="V102" t="s">
        <v>162</v>
      </c>
    </row>
    <row r="103" spans="9:22" x14ac:dyDescent="0.45">
      <c r="I103" t="s">
        <v>262</v>
      </c>
      <c r="J103" t="s">
        <v>556</v>
      </c>
      <c r="K103">
        <v>0.99999999999999933</v>
      </c>
      <c r="L103" t="s">
        <v>162</v>
      </c>
      <c r="N103" t="s">
        <v>374</v>
      </c>
      <c r="O103" t="s">
        <v>556</v>
      </c>
      <c r="P103">
        <v>1.0000000000000031</v>
      </c>
      <c r="Q103" t="s">
        <v>162</v>
      </c>
      <c r="S103" t="s">
        <v>486</v>
      </c>
      <c r="T103" t="s">
        <v>556</v>
      </c>
      <c r="U103">
        <v>0.99999999999999767</v>
      </c>
      <c r="V103" t="s">
        <v>162</v>
      </c>
    </row>
    <row r="104" spans="9:22" x14ac:dyDescent="0.45">
      <c r="I104" t="s">
        <v>263</v>
      </c>
      <c r="J104" t="s">
        <v>556</v>
      </c>
      <c r="K104">
        <v>0.99999999999999878</v>
      </c>
      <c r="L104" t="s">
        <v>162</v>
      </c>
      <c r="N104" t="s">
        <v>375</v>
      </c>
      <c r="O104" t="s">
        <v>556</v>
      </c>
      <c r="P104">
        <v>1.0000000000000002</v>
      </c>
      <c r="Q104" t="s">
        <v>162</v>
      </c>
      <c r="S104" t="s">
        <v>487</v>
      </c>
      <c r="T104" t="s">
        <v>556</v>
      </c>
      <c r="U104">
        <v>0.99999999999999822</v>
      </c>
      <c r="V104" t="s">
        <v>162</v>
      </c>
    </row>
    <row r="105" spans="9:22" x14ac:dyDescent="0.45">
      <c r="I105" t="s">
        <v>264</v>
      </c>
      <c r="J105" t="s">
        <v>556</v>
      </c>
      <c r="K105">
        <v>1.0000000000000009</v>
      </c>
      <c r="L105" t="s">
        <v>162</v>
      </c>
      <c r="N105" t="s">
        <v>376</v>
      </c>
      <c r="O105" t="s">
        <v>556</v>
      </c>
      <c r="P105">
        <v>1.0000000000000013</v>
      </c>
      <c r="Q105" t="s">
        <v>162</v>
      </c>
      <c r="S105" t="s">
        <v>488</v>
      </c>
      <c r="T105" t="s">
        <v>556</v>
      </c>
      <c r="U105">
        <v>0.99999999999999889</v>
      </c>
      <c r="V105" t="s">
        <v>162</v>
      </c>
    </row>
    <row r="106" spans="9:22" x14ac:dyDescent="0.45">
      <c r="I106" t="s">
        <v>265</v>
      </c>
      <c r="J106" t="s">
        <v>556</v>
      </c>
      <c r="K106">
        <v>0.99999999999999545</v>
      </c>
      <c r="L106" t="s">
        <v>162</v>
      </c>
      <c r="N106" t="s">
        <v>377</v>
      </c>
      <c r="O106" t="s">
        <v>556</v>
      </c>
      <c r="P106">
        <v>1.000000000000002</v>
      </c>
      <c r="Q106" t="s">
        <v>162</v>
      </c>
      <c r="S106" t="s">
        <v>489</v>
      </c>
      <c r="T106" t="s">
        <v>556</v>
      </c>
      <c r="U106">
        <v>0.99999999999999878</v>
      </c>
      <c r="V106" t="s">
        <v>162</v>
      </c>
    </row>
    <row r="107" spans="9:22" x14ac:dyDescent="0.45">
      <c r="I107" t="s">
        <v>266</v>
      </c>
      <c r="J107" t="s">
        <v>556</v>
      </c>
      <c r="K107">
        <v>1.0000000000000011</v>
      </c>
      <c r="L107" t="s">
        <v>162</v>
      </c>
      <c r="N107" t="s">
        <v>378</v>
      </c>
      <c r="O107" t="s">
        <v>556</v>
      </c>
      <c r="P107">
        <v>0.99999999999999922</v>
      </c>
      <c r="Q107" t="s">
        <v>162</v>
      </c>
      <c r="S107" t="s">
        <v>490</v>
      </c>
      <c r="T107" t="s">
        <v>556</v>
      </c>
      <c r="U107">
        <v>1.0000000000000011</v>
      </c>
      <c r="V107" t="s">
        <v>162</v>
      </c>
    </row>
    <row r="108" spans="9:22" x14ac:dyDescent="0.45">
      <c r="I108" t="s">
        <v>267</v>
      </c>
      <c r="J108" t="s">
        <v>556</v>
      </c>
      <c r="K108">
        <v>0.99999999999999956</v>
      </c>
      <c r="L108" t="s">
        <v>162</v>
      </c>
      <c r="N108" t="s">
        <v>379</v>
      </c>
      <c r="O108" t="s">
        <v>556</v>
      </c>
      <c r="P108">
        <v>0.99999999999999767</v>
      </c>
      <c r="Q108" t="s">
        <v>162</v>
      </c>
      <c r="S108" t="s">
        <v>491</v>
      </c>
      <c r="T108" t="s">
        <v>556</v>
      </c>
      <c r="U108">
        <v>0.99999999999999589</v>
      </c>
      <c r="V108" t="s">
        <v>162</v>
      </c>
    </row>
    <row r="109" spans="9:22" x14ac:dyDescent="0.45">
      <c r="I109" t="s">
        <v>268</v>
      </c>
      <c r="J109" t="s">
        <v>556</v>
      </c>
      <c r="K109">
        <v>0.99999999999999933</v>
      </c>
      <c r="L109" t="s">
        <v>162</v>
      </c>
      <c r="N109" t="s">
        <v>380</v>
      </c>
      <c r="O109" t="s">
        <v>556</v>
      </c>
      <c r="P109">
        <v>1.0000000000000018</v>
      </c>
      <c r="Q109" t="s">
        <v>162</v>
      </c>
      <c r="S109" t="s">
        <v>492</v>
      </c>
      <c r="T109" t="s">
        <v>556</v>
      </c>
      <c r="U109">
        <v>1.0000000000000004</v>
      </c>
      <c r="V109" t="s">
        <v>162</v>
      </c>
    </row>
    <row r="110" spans="9:22" x14ac:dyDescent="0.45">
      <c r="I110" t="s">
        <v>269</v>
      </c>
      <c r="J110" t="s">
        <v>556</v>
      </c>
      <c r="K110">
        <v>1</v>
      </c>
      <c r="L110" t="s">
        <v>162</v>
      </c>
      <c r="N110" t="s">
        <v>381</v>
      </c>
      <c r="O110" t="s">
        <v>556</v>
      </c>
      <c r="P110">
        <v>1.0000000000000029</v>
      </c>
      <c r="Q110" t="s">
        <v>162</v>
      </c>
      <c r="S110" t="s">
        <v>493</v>
      </c>
      <c r="T110" t="s">
        <v>556</v>
      </c>
      <c r="U110">
        <v>1</v>
      </c>
      <c r="V110" t="s">
        <v>162</v>
      </c>
    </row>
    <row r="111" spans="9:22" x14ac:dyDescent="0.45">
      <c r="I111" t="s">
        <v>270</v>
      </c>
      <c r="J111" t="s">
        <v>556</v>
      </c>
      <c r="K111">
        <v>1.0000000000000022</v>
      </c>
      <c r="L111" t="s">
        <v>162</v>
      </c>
      <c r="N111" t="s">
        <v>382</v>
      </c>
      <c r="O111" t="s">
        <v>556</v>
      </c>
      <c r="P111">
        <v>1.000000000000002</v>
      </c>
      <c r="Q111" t="s">
        <v>162</v>
      </c>
      <c r="S111" t="s">
        <v>494</v>
      </c>
      <c r="T111" t="s">
        <v>556</v>
      </c>
      <c r="U111">
        <v>0.99999999999999922</v>
      </c>
      <c r="V111" t="s">
        <v>162</v>
      </c>
    </row>
    <row r="112" spans="9:22" x14ac:dyDescent="0.45">
      <c r="I112" t="s">
        <v>271</v>
      </c>
      <c r="J112" t="s">
        <v>556</v>
      </c>
      <c r="K112">
        <v>1.0000000000000011</v>
      </c>
      <c r="L112" t="s">
        <v>162</v>
      </c>
      <c r="N112" t="s">
        <v>383</v>
      </c>
      <c r="O112" t="s">
        <v>556</v>
      </c>
      <c r="P112">
        <v>1.0000000000000024</v>
      </c>
      <c r="Q112" t="s">
        <v>162</v>
      </c>
      <c r="S112" t="s">
        <v>495</v>
      </c>
      <c r="T112" t="s">
        <v>556</v>
      </c>
      <c r="U112">
        <v>1.000000000000004</v>
      </c>
      <c r="V112" t="s">
        <v>162</v>
      </c>
    </row>
    <row r="113" spans="9:22" x14ac:dyDescent="0.45">
      <c r="I113" t="s">
        <v>272</v>
      </c>
      <c r="J113" t="s">
        <v>556</v>
      </c>
      <c r="K113">
        <v>1.0000000000000002</v>
      </c>
      <c r="L113" t="s">
        <v>162</v>
      </c>
      <c r="N113" t="s">
        <v>384</v>
      </c>
      <c r="O113" t="s">
        <v>556</v>
      </c>
      <c r="P113">
        <v>0.99999999999999856</v>
      </c>
      <c r="Q113" t="s">
        <v>162</v>
      </c>
      <c r="S113" t="s">
        <v>496</v>
      </c>
      <c r="T113" t="s">
        <v>556</v>
      </c>
      <c r="U113">
        <v>1.0000000000000016</v>
      </c>
      <c r="V113" t="s">
        <v>162</v>
      </c>
    </row>
    <row r="114" spans="9:22" x14ac:dyDescent="0.45">
      <c r="I114" t="s">
        <v>273</v>
      </c>
      <c r="J114" t="s">
        <v>556</v>
      </c>
      <c r="K114">
        <v>1.0000000000000011</v>
      </c>
      <c r="L114" t="s">
        <v>162</v>
      </c>
      <c r="N114" t="s">
        <v>385</v>
      </c>
      <c r="O114" t="s">
        <v>556</v>
      </c>
      <c r="P114">
        <v>1.0000000000000004</v>
      </c>
      <c r="Q114" t="s">
        <v>162</v>
      </c>
      <c r="S114" t="s">
        <v>497</v>
      </c>
      <c r="T114" t="s">
        <v>556</v>
      </c>
      <c r="U114">
        <v>0.99999999999999734</v>
      </c>
      <c r="V114" t="s">
        <v>162</v>
      </c>
    </row>
    <row r="115" spans="9:22" x14ac:dyDescent="0.45">
      <c r="I115" t="s">
        <v>274</v>
      </c>
      <c r="J115" t="s">
        <v>556</v>
      </c>
      <c r="K115">
        <v>0.99999999999999878</v>
      </c>
      <c r="L115" t="s">
        <v>162</v>
      </c>
      <c r="N115" t="s">
        <v>386</v>
      </c>
      <c r="O115" t="s">
        <v>556</v>
      </c>
      <c r="P115">
        <v>1.0000000000000018</v>
      </c>
      <c r="Q115" t="s">
        <v>162</v>
      </c>
      <c r="S115" t="s">
        <v>498</v>
      </c>
      <c r="T115" t="s">
        <v>556</v>
      </c>
      <c r="U115">
        <v>1.0000000000000011</v>
      </c>
      <c r="V115" t="s">
        <v>162</v>
      </c>
    </row>
    <row r="116" spans="9:22" x14ac:dyDescent="0.45">
      <c r="I116" t="s">
        <v>275</v>
      </c>
      <c r="J116" t="s">
        <v>556</v>
      </c>
      <c r="K116">
        <v>1.000000000000002</v>
      </c>
      <c r="L116" t="s">
        <v>162</v>
      </c>
      <c r="N116" t="s">
        <v>387</v>
      </c>
      <c r="O116" t="s">
        <v>556</v>
      </c>
      <c r="P116">
        <v>0.99999999999999545</v>
      </c>
      <c r="Q116" t="s">
        <v>162</v>
      </c>
      <c r="S116" t="s">
        <v>499</v>
      </c>
      <c r="T116" t="s">
        <v>556</v>
      </c>
      <c r="U116">
        <v>1.000000000000002</v>
      </c>
      <c r="V116" t="s">
        <v>162</v>
      </c>
    </row>
    <row r="117" spans="9:22" x14ac:dyDescent="0.45">
      <c r="I117" t="s">
        <v>276</v>
      </c>
      <c r="J117" t="s">
        <v>556</v>
      </c>
      <c r="K117">
        <v>1.0000000000000007</v>
      </c>
      <c r="L117" t="s">
        <v>162</v>
      </c>
      <c r="N117" t="s">
        <v>388</v>
      </c>
      <c r="O117" t="s">
        <v>556</v>
      </c>
      <c r="P117">
        <v>1.0000000000000024</v>
      </c>
      <c r="Q117" t="s">
        <v>162</v>
      </c>
      <c r="S117" t="s">
        <v>500</v>
      </c>
      <c r="T117" t="s">
        <v>556</v>
      </c>
      <c r="U117">
        <v>0.99999999999999944</v>
      </c>
      <c r="V117" t="s">
        <v>162</v>
      </c>
    </row>
    <row r="118" spans="9:22" x14ac:dyDescent="0.45">
      <c r="I118" t="s">
        <v>277</v>
      </c>
      <c r="J118" t="s">
        <v>556</v>
      </c>
      <c r="K118">
        <v>0.99999999999999711</v>
      </c>
      <c r="L118" t="s">
        <v>162</v>
      </c>
      <c r="N118" t="s">
        <v>389</v>
      </c>
      <c r="O118" t="s">
        <v>556</v>
      </c>
      <c r="P118">
        <v>0.99999999999999756</v>
      </c>
      <c r="Q118" t="s">
        <v>162</v>
      </c>
    </row>
    <row r="119" spans="9:22" x14ac:dyDescent="0.45">
      <c r="I119" t="s">
        <v>278</v>
      </c>
      <c r="J119" t="s">
        <v>556</v>
      </c>
      <c r="K119">
        <v>1.0000000000000011</v>
      </c>
      <c r="L119" t="s">
        <v>162</v>
      </c>
      <c r="N119" t="s">
        <v>390</v>
      </c>
      <c r="O119" t="s">
        <v>556</v>
      </c>
      <c r="P119">
        <v>1.0000000000000007</v>
      </c>
      <c r="Q119" t="s">
        <v>162</v>
      </c>
    </row>
    <row r="120" spans="9:22" x14ac:dyDescent="0.45">
      <c r="I120" t="s">
        <v>279</v>
      </c>
      <c r="J120" t="s">
        <v>556</v>
      </c>
      <c r="K120">
        <v>0.99999999999999878</v>
      </c>
      <c r="L120" t="s">
        <v>162</v>
      </c>
      <c r="N120" t="s">
        <v>391</v>
      </c>
      <c r="O120" t="s">
        <v>556</v>
      </c>
      <c r="P120">
        <v>1.0000000000000009</v>
      </c>
      <c r="Q120" t="s">
        <v>162</v>
      </c>
    </row>
    <row r="121" spans="9:22" x14ac:dyDescent="0.45">
      <c r="I121" t="s">
        <v>280</v>
      </c>
      <c r="J121" t="s">
        <v>556</v>
      </c>
      <c r="K121">
        <v>1.000000000000004</v>
      </c>
      <c r="L121" t="s">
        <v>162</v>
      </c>
      <c r="N121" t="s">
        <v>392</v>
      </c>
      <c r="O121" t="s">
        <v>556</v>
      </c>
      <c r="P121">
        <v>1.0000000000000007</v>
      </c>
      <c r="Q121" t="s">
        <v>162</v>
      </c>
    </row>
    <row r="122" spans="9:22" x14ac:dyDescent="0.45">
      <c r="I122" t="s">
        <v>281</v>
      </c>
      <c r="J122" t="s">
        <v>556</v>
      </c>
      <c r="K122">
        <v>0.99999999999999645</v>
      </c>
      <c r="L122" t="s">
        <v>162</v>
      </c>
      <c r="N122" t="s">
        <v>393</v>
      </c>
      <c r="O122" t="s">
        <v>556</v>
      </c>
      <c r="P122">
        <v>0.99999999999999856</v>
      </c>
      <c r="Q122" t="s">
        <v>162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B0644-0693-47F1-B437-9C60FCC0E3C7}">
  <dimension ref="A9:AN1354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132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122</v>
      </c>
      <c r="K10" t="s">
        <v>159</v>
      </c>
      <c r="L10" t="s">
        <v>30</v>
      </c>
      <c r="N10" t="s">
        <v>13</v>
      </c>
      <c r="O10" t="s">
        <v>122</v>
      </c>
      <c r="P10" t="s">
        <v>159</v>
      </c>
      <c r="Q10" t="s">
        <v>30</v>
      </c>
      <c r="S10" t="s">
        <v>13</v>
      </c>
      <c r="T10" t="s">
        <v>122</v>
      </c>
      <c r="U10" t="s">
        <v>159</v>
      </c>
      <c r="V10" t="s">
        <v>30</v>
      </c>
      <c r="X10" t="s">
        <v>501</v>
      </c>
      <c r="Y10" t="s">
        <v>159</v>
      </c>
      <c r="Z10" t="s">
        <v>122</v>
      </c>
      <c r="AA10" t="s">
        <v>13</v>
      </c>
      <c r="AC10" t="s">
        <v>13</v>
      </c>
      <c r="AD10" t="s">
        <v>122</v>
      </c>
      <c r="AE10" t="s">
        <v>159</v>
      </c>
      <c r="AG10" t="s">
        <v>13</v>
      </c>
      <c r="AH10" t="s">
        <v>122</v>
      </c>
      <c r="AI10" t="s">
        <v>507</v>
      </c>
      <c r="AK10" t="s">
        <v>47</v>
      </c>
      <c r="AL10" t="s">
        <v>122</v>
      </c>
      <c r="AM10" t="s">
        <v>508</v>
      </c>
      <c r="AN10" t="s">
        <v>509</v>
      </c>
    </row>
    <row r="11" spans="1:40" x14ac:dyDescent="0.45">
      <c r="A11" t="str">
        <f>IFERROR(IF(Veda!D5=A10,"ok","x"),"")</f>
        <v>x</v>
      </c>
      <c r="C11" t="s">
        <v>557</v>
      </c>
      <c r="D11" t="s">
        <v>152</v>
      </c>
      <c r="E11" t="s">
        <v>503</v>
      </c>
      <c r="F11" t="s">
        <v>558</v>
      </c>
      <c r="G11" t="s">
        <v>152</v>
      </c>
      <c r="I11" t="s">
        <v>160</v>
      </c>
      <c r="J11" t="s">
        <v>563</v>
      </c>
      <c r="K11">
        <v>0.13128976112496288</v>
      </c>
      <c r="L11" t="s">
        <v>162</v>
      </c>
      <c r="N11" t="s">
        <v>282</v>
      </c>
      <c r="O11" t="s">
        <v>563</v>
      </c>
      <c r="P11">
        <v>0.10410962459626337</v>
      </c>
      <c r="Q11" t="s">
        <v>162</v>
      </c>
      <c r="S11" t="s">
        <v>394</v>
      </c>
      <c r="T11" t="s">
        <v>563</v>
      </c>
      <c r="U11">
        <v>0.12678546233682661</v>
      </c>
      <c r="V11" t="s">
        <v>162</v>
      </c>
      <c r="X11">
        <v>0.11426940639269406</v>
      </c>
      <c r="Y11">
        <v>0.16087081189037786</v>
      </c>
      <c r="Z11" t="s">
        <v>563</v>
      </c>
      <c r="AA11" t="s">
        <v>25</v>
      </c>
      <c r="AC11" t="s">
        <v>22</v>
      </c>
      <c r="AD11" t="s">
        <v>563</v>
      </c>
      <c r="AE11">
        <v>0.10030944466357393</v>
      </c>
      <c r="AG11" t="s">
        <v>97</v>
      </c>
      <c r="AH11" t="s">
        <v>563</v>
      </c>
      <c r="AI11">
        <v>0.25656967857718604</v>
      </c>
      <c r="AK11">
        <v>2020</v>
      </c>
      <c r="AL11" t="s">
        <v>557</v>
      </c>
      <c r="AM11">
        <v>0.49042260735809107</v>
      </c>
      <c r="AN11" t="s">
        <v>510</v>
      </c>
    </row>
    <row r="12" spans="1:40" x14ac:dyDescent="0.45">
      <c r="C12" t="s">
        <v>559</v>
      </c>
      <c r="E12" t="s">
        <v>505</v>
      </c>
      <c r="G12" t="s">
        <v>152</v>
      </c>
      <c r="I12" t="s">
        <v>160</v>
      </c>
      <c r="J12" t="s">
        <v>564</v>
      </c>
      <c r="K12">
        <v>0</v>
      </c>
      <c r="L12" t="s">
        <v>162</v>
      </c>
      <c r="N12" t="s">
        <v>282</v>
      </c>
      <c r="O12" t="s">
        <v>564</v>
      </c>
      <c r="P12">
        <v>0.14381111389272658</v>
      </c>
      <c r="Q12" t="s">
        <v>162</v>
      </c>
      <c r="S12" t="s">
        <v>394</v>
      </c>
      <c r="T12" t="s">
        <v>564</v>
      </c>
      <c r="U12">
        <v>0.13145344834881192</v>
      </c>
      <c r="V12" t="s">
        <v>162</v>
      </c>
      <c r="X12">
        <v>0.11426940639269406</v>
      </c>
      <c r="Y12">
        <v>5.2547713165767528E-2</v>
      </c>
      <c r="Z12" t="s">
        <v>564</v>
      </c>
      <c r="AA12" t="s">
        <v>25</v>
      </c>
      <c r="AC12" t="s">
        <v>22</v>
      </c>
      <c r="AD12" t="s">
        <v>564</v>
      </c>
      <c r="AE12">
        <v>0.11295486563312698</v>
      </c>
      <c r="AG12" t="s">
        <v>97</v>
      </c>
      <c r="AH12" t="s">
        <v>564</v>
      </c>
      <c r="AI12">
        <v>0.10503115550536624</v>
      </c>
      <c r="AK12">
        <v>2020</v>
      </c>
      <c r="AL12" t="s">
        <v>559</v>
      </c>
      <c r="AM12">
        <v>0.51621819766981047</v>
      </c>
      <c r="AN12" t="s">
        <v>510</v>
      </c>
    </row>
    <row r="13" spans="1:40" x14ac:dyDescent="0.45">
      <c r="C13" t="s">
        <v>560</v>
      </c>
      <c r="E13" t="s">
        <v>561</v>
      </c>
      <c r="G13" t="s">
        <v>152</v>
      </c>
      <c r="I13" t="s">
        <v>160</v>
      </c>
      <c r="J13" t="s">
        <v>565</v>
      </c>
      <c r="K13">
        <v>6.5099054245489167E-3</v>
      </c>
      <c r="L13" t="s">
        <v>162</v>
      </c>
      <c r="N13" t="s">
        <v>282</v>
      </c>
      <c r="O13" t="s">
        <v>565</v>
      </c>
      <c r="P13">
        <v>2.3878943620055666E-2</v>
      </c>
      <c r="Q13" t="s">
        <v>162</v>
      </c>
      <c r="S13" t="s">
        <v>394</v>
      </c>
      <c r="T13" t="s">
        <v>565</v>
      </c>
      <c r="U13">
        <v>2.2966904381127178E-2</v>
      </c>
      <c r="V13" t="s">
        <v>162</v>
      </c>
      <c r="X13">
        <v>2.0776255707762557E-2</v>
      </c>
      <c r="Y13">
        <v>3.5896543437005365E-2</v>
      </c>
      <c r="Z13" t="s">
        <v>565</v>
      </c>
      <c r="AA13" t="s">
        <v>25</v>
      </c>
      <c r="AC13" t="s">
        <v>22</v>
      </c>
      <c r="AD13" t="s">
        <v>565</v>
      </c>
      <c r="AE13">
        <v>2.1265880778781391E-2</v>
      </c>
      <c r="AG13" t="s">
        <v>97</v>
      </c>
      <c r="AH13" t="s">
        <v>565</v>
      </c>
      <c r="AI13">
        <v>8.0686853304429595E-2</v>
      </c>
      <c r="AK13">
        <v>2020</v>
      </c>
      <c r="AL13" t="s">
        <v>560</v>
      </c>
      <c r="AM13">
        <v>0.49614313727216941</v>
      </c>
      <c r="AN13" t="s">
        <v>510</v>
      </c>
    </row>
    <row r="14" spans="1:40" x14ac:dyDescent="0.45">
      <c r="C14" t="s">
        <v>562</v>
      </c>
      <c r="I14" t="s">
        <v>160</v>
      </c>
      <c r="J14" t="s">
        <v>566</v>
      </c>
      <c r="K14">
        <v>0.32579852449984775</v>
      </c>
      <c r="L14" t="s">
        <v>162</v>
      </c>
      <c r="N14" t="s">
        <v>282</v>
      </c>
      <c r="O14" t="s">
        <v>566</v>
      </c>
      <c r="P14">
        <v>0.10673490564165462</v>
      </c>
      <c r="Q14" t="s">
        <v>162</v>
      </c>
      <c r="S14" t="s">
        <v>394</v>
      </c>
      <c r="T14" t="s">
        <v>566</v>
      </c>
      <c r="U14">
        <v>9.9771554915752167E-2</v>
      </c>
      <c r="V14" t="s">
        <v>162</v>
      </c>
      <c r="X14">
        <v>0.11552511415525114</v>
      </c>
      <c r="Y14">
        <v>0.16263862301005233</v>
      </c>
      <c r="Z14" t="s">
        <v>566</v>
      </c>
      <c r="AA14" t="s">
        <v>25</v>
      </c>
      <c r="AC14" t="s">
        <v>22</v>
      </c>
      <c r="AD14" t="s">
        <v>566</v>
      </c>
      <c r="AE14">
        <v>0.10784430711013002</v>
      </c>
      <c r="AG14" t="s">
        <v>97</v>
      </c>
      <c r="AH14" t="s">
        <v>566</v>
      </c>
      <c r="AI14">
        <v>0.22019254395507759</v>
      </c>
      <c r="AK14">
        <v>2020</v>
      </c>
      <c r="AL14" t="s">
        <v>562</v>
      </c>
      <c r="AM14">
        <v>0.63794264990038052</v>
      </c>
      <c r="AN14" t="s">
        <v>510</v>
      </c>
    </row>
    <row r="15" spans="1:40" x14ac:dyDescent="0.45">
      <c r="I15" t="s">
        <v>160</v>
      </c>
      <c r="J15" t="s">
        <v>567</v>
      </c>
      <c r="K15">
        <v>6.9650969889340835E-3</v>
      </c>
      <c r="L15" t="s">
        <v>162</v>
      </c>
      <c r="N15" t="s">
        <v>282</v>
      </c>
      <c r="O15" t="s">
        <v>567</v>
      </c>
      <c r="P15">
        <v>0.14120104105379791</v>
      </c>
      <c r="Q15" t="s">
        <v>162</v>
      </c>
      <c r="S15" t="s">
        <v>394</v>
      </c>
      <c r="T15" t="s">
        <v>567</v>
      </c>
      <c r="U15">
        <v>0.10480485943365538</v>
      </c>
      <c r="V15" t="s">
        <v>162</v>
      </c>
      <c r="X15">
        <v>0.11552511415525114</v>
      </c>
      <c r="Y15">
        <v>5.3125160563193538E-2</v>
      </c>
      <c r="Z15" t="s">
        <v>567</v>
      </c>
      <c r="AA15" t="s">
        <v>25</v>
      </c>
      <c r="AC15" t="s">
        <v>22</v>
      </c>
      <c r="AD15" t="s">
        <v>567</v>
      </c>
      <c r="AE15">
        <v>0.11787285981505899</v>
      </c>
      <c r="AG15" t="s">
        <v>97</v>
      </c>
      <c r="AH15" t="s">
        <v>567</v>
      </c>
      <c r="AI15">
        <v>0.21411832676373521</v>
      </c>
      <c r="AK15">
        <v>2021</v>
      </c>
      <c r="AL15" t="s">
        <v>557</v>
      </c>
      <c r="AM15">
        <v>0.46089200763955601</v>
      </c>
      <c r="AN15" t="s">
        <v>510</v>
      </c>
    </row>
    <row r="16" spans="1:40" x14ac:dyDescent="0.45">
      <c r="I16" t="s">
        <v>160</v>
      </c>
      <c r="J16" t="s">
        <v>568</v>
      </c>
      <c r="K16">
        <v>2.9397991531924291E-2</v>
      </c>
      <c r="L16" t="s">
        <v>162</v>
      </c>
      <c r="N16" t="s">
        <v>282</v>
      </c>
      <c r="O16" t="s">
        <v>568</v>
      </c>
      <c r="P16">
        <v>2.00097211353319E-2</v>
      </c>
      <c r="Q16" t="s">
        <v>162</v>
      </c>
      <c r="S16" t="s">
        <v>394</v>
      </c>
      <c r="T16" t="s">
        <v>568</v>
      </c>
      <c r="U16">
        <v>1.8854998705086726E-2</v>
      </c>
      <c r="V16" t="s">
        <v>162</v>
      </c>
      <c r="X16">
        <v>2.1004566210045664E-2</v>
      </c>
      <c r="Y16">
        <v>3.6291010947302131E-2</v>
      </c>
      <c r="Z16" t="s">
        <v>568</v>
      </c>
      <c r="AA16" t="s">
        <v>25</v>
      </c>
      <c r="AC16" t="s">
        <v>22</v>
      </c>
      <c r="AD16" t="s">
        <v>568</v>
      </c>
      <c r="AE16">
        <v>2.1968507336232016E-2</v>
      </c>
      <c r="AG16" t="s">
        <v>97</v>
      </c>
      <c r="AH16" t="s">
        <v>568</v>
      </c>
      <c r="AI16">
        <v>8.4335810073230544E-2</v>
      </c>
      <c r="AK16">
        <v>2021</v>
      </c>
      <c r="AL16" t="s">
        <v>559</v>
      </c>
      <c r="AM16">
        <v>0.51455496214581797</v>
      </c>
      <c r="AN16" t="s">
        <v>510</v>
      </c>
    </row>
    <row r="17" spans="9:40" x14ac:dyDescent="0.45">
      <c r="I17" t="s">
        <v>160</v>
      </c>
      <c r="J17" t="s">
        <v>569</v>
      </c>
      <c r="K17">
        <v>0.28198702803932085</v>
      </c>
      <c r="L17" t="s">
        <v>162</v>
      </c>
      <c r="N17" t="s">
        <v>282</v>
      </c>
      <c r="O17" t="s">
        <v>569</v>
      </c>
      <c r="P17">
        <v>6.3758018428868954E-2</v>
      </c>
      <c r="Q17" t="s">
        <v>162</v>
      </c>
      <c r="S17" t="s">
        <v>394</v>
      </c>
      <c r="T17" t="s">
        <v>569</v>
      </c>
      <c r="U17">
        <v>0.12327298755130765</v>
      </c>
      <c r="V17" t="s">
        <v>162</v>
      </c>
      <c r="X17">
        <v>0.11552511415525114</v>
      </c>
      <c r="Y17">
        <v>0.16263862301005233</v>
      </c>
      <c r="Z17" t="s">
        <v>569</v>
      </c>
      <c r="AA17" t="s">
        <v>25</v>
      </c>
      <c r="AC17" t="s">
        <v>22</v>
      </c>
      <c r="AD17" t="s">
        <v>569</v>
      </c>
      <c r="AE17">
        <v>9.4385747789951943E-2</v>
      </c>
      <c r="AG17" t="s">
        <v>97</v>
      </c>
      <c r="AH17" t="s">
        <v>569</v>
      </c>
      <c r="AI17">
        <v>0.29195838694717335</v>
      </c>
      <c r="AK17">
        <v>2021</v>
      </c>
      <c r="AL17" t="s">
        <v>560</v>
      </c>
      <c r="AM17">
        <v>0.46784501503405512</v>
      </c>
      <c r="AN17" t="s">
        <v>510</v>
      </c>
    </row>
    <row r="18" spans="9:40" x14ac:dyDescent="0.45">
      <c r="I18" t="s">
        <v>160</v>
      </c>
      <c r="J18" t="s">
        <v>570</v>
      </c>
      <c r="K18">
        <v>2.5321936587230739E-2</v>
      </c>
      <c r="L18" t="s">
        <v>162</v>
      </c>
      <c r="N18" t="s">
        <v>282</v>
      </c>
      <c r="O18" t="s">
        <v>570</v>
      </c>
      <c r="P18">
        <v>8.3383298550050125E-2</v>
      </c>
      <c r="Q18" t="s">
        <v>162</v>
      </c>
      <c r="S18" t="s">
        <v>394</v>
      </c>
      <c r="T18" t="s">
        <v>570</v>
      </c>
      <c r="U18">
        <v>0.1399771906396825</v>
      </c>
      <c r="V18" t="s">
        <v>162</v>
      </c>
      <c r="X18">
        <v>0.11552511415525114</v>
      </c>
      <c r="Y18">
        <v>5.3125160563193538E-2</v>
      </c>
      <c r="Z18" t="s">
        <v>570</v>
      </c>
      <c r="AA18" t="s">
        <v>25</v>
      </c>
      <c r="AC18" t="s">
        <v>22</v>
      </c>
      <c r="AD18" t="s">
        <v>570</v>
      </c>
      <c r="AE18">
        <v>0.11440847065254503</v>
      </c>
      <c r="AG18" t="s">
        <v>97</v>
      </c>
      <c r="AH18" t="s">
        <v>570</v>
      </c>
      <c r="AI18">
        <v>0.14638340080931589</v>
      </c>
      <c r="AK18">
        <v>2021</v>
      </c>
      <c r="AL18" t="s">
        <v>562</v>
      </c>
      <c r="AM18">
        <v>0.635020503846914</v>
      </c>
      <c r="AN18" t="s">
        <v>510</v>
      </c>
    </row>
    <row r="19" spans="9:40" x14ac:dyDescent="0.45">
      <c r="I19" t="s">
        <v>160</v>
      </c>
      <c r="J19" t="s">
        <v>571</v>
      </c>
      <c r="K19">
        <v>3.4237380144320886E-2</v>
      </c>
      <c r="L19" t="s">
        <v>162</v>
      </c>
      <c r="N19" t="s">
        <v>282</v>
      </c>
      <c r="O19" t="s">
        <v>571</v>
      </c>
      <c r="P19">
        <v>1.0486358217392211E-2</v>
      </c>
      <c r="Q19" t="s">
        <v>162</v>
      </c>
      <c r="S19" t="s">
        <v>394</v>
      </c>
      <c r="T19" t="s">
        <v>571</v>
      </c>
      <c r="U19">
        <v>2.2711824808070859E-2</v>
      </c>
      <c r="V19" t="s">
        <v>162</v>
      </c>
      <c r="X19">
        <v>2.1004566210045664E-2</v>
      </c>
      <c r="Y19">
        <v>3.6291010947302131E-2</v>
      </c>
      <c r="Z19" t="s">
        <v>571</v>
      </c>
      <c r="AA19" t="s">
        <v>25</v>
      </c>
      <c r="AC19" t="s">
        <v>22</v>
      </c>
      <c r="AD19" t="s">
        <v>571</v>
      </c>
      <c r="AE19">
        <v>2.2226989298843567E-2</v>
      </c>
      <c r="AG19" t="s">
        <v>97</v>
      </c>
      <c r="AH19" t="s">
        <v>571</v>
      </c>
      <c r="AI19">
        <v>9.6986347987696009E-2</v>
      </c>
      <c r="AK19">
        <v>2022</v>
      </c>
      <c r="AL19" t="s">
        <v>557</v>
      </c>
      <c r="AM19">
        <v>0.49169860750974426</v>
      </c>
      <c r="AN19" t="s">
        <v>510</v>
      </c>
    </row>
    <row r="20" spans="9:40" x14ac:dyDescent="0.45">
      <c r="I20" t="s">
        <v>160</v>
      </c>
      <c r="J20" t="s">
        <v>572</v>
      </c>
      <c r="K20">
        <v>0.15571821520053375</v>
      </c>
      <c r="L20" t="s">
        <v>162</v>
      </c>
      <c r="N20" t="s">
        <v>282</v>
      </c>
      <c r="O20" t="s">
        <v>572</v>
      </c>
      <c r="P20">
        <v>0.13071622390063706</v>
      </c>
      <c r="Q20" t="s">
        <v>162</v>
      </c>
      <c r="S20" t="s">
        <v>394</v>
      </c>
      <c r="T20" t="s">
        <v>572</v>
      </c>
      <c r="U20">
        <v>9.5051359166066732E-2</v>
      </c>
      <c r="V20" t="s">
        <v>162</v>
      </c>
      <c r="X20">
        <v>0.11301369863013698</v>
      </c>
      <c r="Y20">
        <v>0.15910300077070333</v>
      </c>
      <c r="Z20" t="s">
        <v>572</v>
      </c>
      <c r="AA20" t="s">
        <v>25</v>
      </c>
      <c r="AC20" t="s">
        <v>22</v>
      </c>
      <c r="AD20" t="s">
        <v>572</v>
      </c>
      <c r="AE20">
        <v>0.12510577796748265</v>
      </c>
      <c r="AG20" t="s">
        <v>97</v>
      </c>
      <c r="AH20" t="s">
        <v>572</v>
      </c>
      <c r="AI20">
        <v>0.19092644554537874</v>
      </c>
      <c r="AK20">
        <v>2022</v>
      </c>
      <c r="AL20" t="s">
        <v>559</v>
      </c>
      <c r="AM20">
        <v>0.52308911728258822</v>
      </c>
      <c r="AN20" t="s">
        <v>510</v>
      </c>
    </row>
    <row r="21" spans="9:40" x14ac:dyDescent="0.45">
      <c r="I21" t="s">
        <v>160</v>
      </c>
      <c r="J21" t="s">
        <v>573</v>
      </c>
      <c r="K21">
        <v>0</v>
      </c>
      <c r="L21" t="s">
        <v>162</v>
      </c>
      <c r="N21" t="s">
        <v>282</v>
      </c>
      <c r="O21" t="s">
        <v>573</v>
      </c>
      <c r="P21">
        <v>0.14439235458383917</v>
      </c>
      <c r="Q21" t="s">
        <v>162</v>
      </c>
      <c r="S21" t="s">
        <v>394</v>
      </c>
      <c r="T21" t="s">
        <v>573</v>
      </c>
      <c r="U21">
        <v>9.7219037892578589E-2</v>
      </c>
      <c r="V21" t="s">
        <v>162</v>
      </c>
      <c r="X21">
        <v>0.11301369863013698</v>
      </c>
      <c r="Y21">
        <v>5.197026576834151E-2</v>
      </c>
      <c r="Z21" t="s">
        <v>573</v>
      </c>
      <c r="AA21" t="s">
        <v>25</v>
      </c>
      <c r="AC21" t="s">
        <v>22</v>
      </c>
      <c r="AD21" t="s">
        <v>573</v>
      </c>
      <c r="AE21">
        <v>0.13685059747371653</v>
      </c>
      <c r="AG21" t="s">
        <v>97</v>
      </c>
      <c r="AH21" t="s">
        <v>573</v>
      </c>
      <c r="AI21">
        <v>0.11646776947628701</v>
      </c>
      <c r="AK21">
        <v>2022</v>
      </c>
      <c r="AL21" t="s">
        <v>560</v>
      </c>
      <c r="AM21">
        <v>0.50482952430981742</v>
      </c>
      <c r="AN21" t="s">
        <v>510</v>
      </c>
    </row>
    <row r="22" spans="9:40" x14ac:dyDescent="0.45">
      <c r="I22" t="s">
        <v>160</v>
      </c>
      <c r="J22" t="s">
        <v>574</v>
      </c>
      <c r="K22">
        <v>2.774160458376581E-3</v>
      </c>
      <c r="L22" t="s">
        <v>162</v>
      </c>
      <c r="N22" t="s">
        <v>282</v>
      </c>
      <c r="O22" t="s">
        <v>574</v>
      </c>
      <c r="P22">
        <v>2.7518396379382734E-2</v>
      </c>
      <c r="Q22" t="s">
        <v>162</v>
      </c>
      <c r="S22" t="s">
        <v>394</v>
      </c>
      <c r="T22" t="s">
        <v>574</v>
      </c>
      <c r="U22">
        <v>1.7130371821032973E-2</v>
      </c>
      <c r="V22" t="s">
        <v>162</v>
      </c>
      <c r="X22">
        <v>2.0547945205479451E-2</v>
      </c>
      <c r="Y22">
        <v>3.5502075926708607E-2</v>
      </c>
      <c r="Z22" t="s">
        <v>574</v>
      </c>
      <c r="AA22" t="s">
        <v>25</v>
      </c>
      <c r="AC22" t="s">
        <v>22</v>
      </c>
      <c r="AD22" t="s">
        <v>574</v>
      </c>
      <c r="AE22">
        <v>2.4806551480557E-2</v>
      </c>
      <c r="AG22" t="s">
        <v>97</v>
      </c>
      <c r="AH22" t="s">
        <v>574</v>
      </c>
      <c r="AI22">
        <v>7.3879390364300912E-2</v>
      </c>
      <c r="AK22">
        <v>2022</v>
      </c>
      <c r="AL22" t="s">
        <v>562</v>
      </c>
      <c r="AM22">
        <v>0.63221619104040383</v>
      </c>
      <c r="AN22" t="s">
        <v>510</v>
      </c>
    </row>
    <row r="23" spans="9:40" x14ac:dyDescent="0.45">
      <c r="I23" t="s">
        <v>171</v>
      </c>
      <c r="J23" t="s">
        <v>563</v>
      </c>
      <c r="K23">
        <v>0.12850874003555729</v>
      </c>
      <c r="L23" t="s">
        <v>162</v>
      </c>
      <c r="N23" t="s">
        <v>283</v>
      </c>
      <c r="O23" t="s">
        <v>563</v>
      </c>
      <c r="P23">
        <v>0.11372988362847632</v>
      </c>
      <c r="Q23" t="s">
        <v>162</v>
      </c>
      <c r="S23" t="s">
        <v>395</v>
      </c>
      <c r="T23" t="s">
        <v>563</v>
      </c>
      <c r="U23">
        <v>0.13436317841414847</v>
      </c>
      <c r="V23" t="s">
        <v>162</v>
      </c>
      <c r="AC23" t="s">
        <v>19</v>
      </c>
      <c r="AD23" t="s">
        <v>563</v>
      </c>
      <c r="AE23">
        <v>0.11375164646548658</v>
      </c>
      <c r="AK23">
        <v>2025</v>
      </c>
      <c r="AL23" t="s">
        <v>557</v>
      </c>
      <c r="AM23">
        <v>0.5093333333333333</v>
      </c>
      <c r="AN23" t="s">
        <v>510</v>
      </c>
    </row>
    <row r="24" spans="9:40" x14ac:dyDescent="0.45">
      <c r="I24" t="s">
        <v>171</v>
      </c>
      <c r="J24" t="s">
        <v>564</v>
      </c>
      <c r="K24">
        <v>0</v>
      </c>
      <c r="L24" t="s">
        <v>162</v>
      </c>
      <c r="N24" t="s">
        <v>283</v>
      </c>
      <c r="O24" t="s">
        <v>564</v>
      </c>
      <c r="P24">
        <v>0.15373200922325031</v>
      </c>
      <c r="Q24" t="s">
        <v>162</v>
      </c>
      <c r="S24" t="s">
        <v>395</v>
      </c>
      <c r="T24" t="s">
        <v>564</v>
      </c>
      <c r="U24">
        <v>0.13443235686344993</v>
      </c>
      <c r="V24" t="s">
        <v>162</v>
      </c>
      <c r="AC24" t="s">
        <v>19</v>
      </c>
      <c r="AD24" t="s">
        <v>564</v>
      </c>
      <c r="AE24">
        <v>0.11458687222841431</v>
      </c>
      <c r="AK24">
        <v>2025</v>
      </c>
      <c r="AL24" t="s">
        <v>559</v>
      </c>
      <c r="AM24">
        <v>0.54990000000000006</v>
      </c>
      <c r="AN24" t="s">
        <v>510</v>
      </c>
    </row>
    <row r="25" spans="9:40" x14ac:dyDescent="0.45">
      <c r="I25" t="s">
        <v>171</v>
      </c>
      <c r="J25" t="s">
        <v>565</v>
      </c>
      <c r="K25">
        <v>5.8076567079832593E-3</v>
      </c>
      <c r="L25" t="s">
        <v>162</v>
      </c>
      <c r="N25" t="s">
        <v>283</v>
      </c>
      <c r="O25" t="s">
        <v>565</v>
      </c>
      <c r="P25">
        <v>2.5809727068608544E-2</v>
      </c>
      <c r="Q25" t="s">
        <v>162</v>
      </c>
      <c r="S25" t="s">
        <v>395</v>
      </c>
      <c r="T25" t="s">
        <v>565</v>
      </c>
      <c r="U25">
        <v>2.2805255044542772E-2</v>
      </c>
      <c r="V25" t="s">
        <v>162</v>
      </c>
      <c r="AC25" t="s">
        <v>19</v>
      </c>
      <c r="AD25" t="s">
        <v>565</v>
      </c>
      <c r="AE25">
        <v>2.0882102696916163E-2</v>
      </c>
      <c r="AK25">
        <v>2025</v>
      </c>
      <c r="AL25" t="s">
        <v>560</v>
      </c>
      <c r="AM25">
        <v>0.49936666666666668</v>
      </c>
      <c r="AN25" t="s">
        <v>510</v>
      </c>
    </row>
    <row r="26" spans="9:40" x14ac:dyDescent="0.45">
      <c r="I26" t="s">
        <v>171</v>
      </c>
      <c r="J26" t="s">
        <v>566</v>
      </c>
      <c r="K26">
        <v>0.30987528897079192</v>
      </c>
      <c r="L26" t="s">
        <v>162</v>
      </c>
      <c r="N26" t="s">
        <v>283</v>
      </c>
      <c r="O26" t="s">
        <v>566</v>
      </c>
      <c r="P26">
        <v>9.537694209084098E-2</v>
      </c>
      <c r="Q26" t="s">
        <v>162</v>
      </c>
      <c r="S26" t="s">
        <v>395</v>
      </c>
      <c r="T26" t="s">
        <v>566</v>
      </c>
      <c r="U26">
        <v>9.8540466236377314E-2</v>
      </c>
      <c r="V26" t="s">
        <v>162</v>
      </c>
      <c r="AC26" t="s">
        <v>19</v>
      </c>
      <c r="AD26" t="s">
        <v>566</v>
      </c>
      <c r="AE26">
        <v>0.11513727255802124</v>
      </c>
      <c r="AK26">
        <v>2025</v>
      </c>
      <c r="AL26" t="s">
        <v>562</v>
      </c>
      <c r="AM26">
        <v>0.67786666666666662</v>
      </c>
      <c r="AN26" t="s">
        <v>510</v>
      </c>
    </row>
    <row r="27" spans="9:40" x14ac:dyDescent="0.45">
      <c r="I27" t="s">
        <v>171</v>
      </c>
      <c r="J27" t="s">
        <v>567</v>
      </c>
      <c r="K27">
        <v>7.3733253314821872E-3</v>
      </c>
      <c r="L27" t="s">
        <v>162</v>
      </c>
      <c r="N27" t="s">
        <v>283</v>
      </c>
      <c r="O27" t="s">
        <v>567</v>
      </c>
      <c r="P27">
        <v>0.15225235492283537</v>
      </c>
      <c r="Q27" t="s">
        <v>162</v>
      </c>
      <c r="S27" t="s">
        <v>395</v>
      </c>
      <c r="T27" t="s">
        <v>567</v>
      </c>
      <c r="U27">
        <v>9.9071914866089544E-2</v>
      </c>
      <c r="V27" t="s">
        <v>162</v>
      </c>
      <c r="AC27" t="s">
        <v>19</v>
      </c>
      <c r="AD27" t="s">
        <v>567</v>
      </c>
      <c r="AE27">
        <v>0.1157996550602885</v>
      </c>
      <c r="AK27">
        <v>2026</v>
      </c>
      <c r="AL27" t="s">
        <v>557</v>
      </c>
      <c r="AM27">
        <v>0.50383333333333324</v>
      </c>
      <c r="AN27" t="s">
        <v>510</v>
      </c>
    </row>
    <row r="28" spans="9:40" x14ac:dyDescent="0.45">
      <c r="I28" t="s">
        <v>171</v>
      </c>
      <c r="J28" t="s">
        <v>568</v>
      </c>
      <c r="K28">
        <v>3.1191809706317346E-2</v>
      </c>
      <c r="L28" t="s">
        <v>162</v>
      </c>
      <c r="N28" t="s">
        <v>283</v>
      </c>
      <c r="O28" t="s">
        <v>568</v>
      </c>
      <c r="P28">
        <v>2.068849836914214E-2</v>
      </c>
      <c r="Q28" t="s">
        <v>162</v>
      </c>
      <c r="S28" t="s">
        <v>395</v>
      </c>
      <c r="T28" t="s">
        <v>568</v>
      </c>
      <c r="U28">
        <v>1.870627070171459E-2</v>
      </c>
      <c r="V28" t="s">
        <v>162</v>
      </c>
      <c r="AC28" t="s">
        <v>19</v>
      </c>
      <c r="AD28" t="s">
        <v>568</v>
      </c>
      <c r="AE28">
        <v>2.108995657626361E-2</v>
      </c>
      <c r="AK28">
        <v>2026</v>
      </c>
      <c r="AL28" t="s">
        <v>559</v>
      </c>
      <c r="AM28">
        <v>0.52036666666666676</v>
      </c>
      <c r="AN28" t="s">
        <v>510</v>
      </c>
    </row>
    <row r="29" spans="9:40" x14ac:dyDescent="0.45">
      <c r="I29" t="s">
        <v>171</v>
      </c>
      <c r="J29" t="s">
        <v>569</v>
      </c>
      <c r="K29">
        <v>0.29381806207740557</v>
      </c>
      <c r="L29" t="s">
        <v>162</v>
      </c>
      <c r="N29" t="s">
        <v>283</v>
      </c>
      <c r="O29" t="s">
        <v>569</v>
      </c>
      <c r="P29">
        <v>6.9198571969451936E-2</v>
      </c>
      <c r="Q29" t="s">
        <v>162</v>
      </c>
      <c r="S29" t="s">
        <v>395</v>
      </c>
      <c r="T29" t="s">
        <v>569</v>
      </c>
      <c r="U29">
        <v>0.13253956904060937</v>
      </c>
      <c r="V29" t="s">
        <v>162</v>
      </c>
      <c r="AC29" t="s">
        <v>19</v>
      </c>
      <c r="AD29" t="s">
        <v>569</v>
      </c>
      <c r="AE29">
        <v>0.1147040272419112</v>
      </c>
      <c r="AK29">
        <v>2026</v>
      </c>
      <c r="AL29" t="s">
        <v>560</v>
      </c>
      <c r="AM29">
        <v>0.50070000000000003</v>
      </c>
      <c r="AN29" t="s">
        <v>510</v>
      </c>
    </row>
    <row r="30" spans="9:40" x14ac:dyDescent="0.45">
      <c r="I30" t="s">
        <v>171</v>
      </c>
      <c r="J30" t="s">
        <v>570</v>
      </c>
      <c r="K30">
        <v>2.37488784148553E-2</v>
      </c>
      <c r="L30" t="s">
        <v>162</v>
      </c>
      <c r="N30" t="s">
        <v>283</v>
      </c>
      <c r="O30" t="s">
        <v>570</v>
      </c>
      <c r="P30">
        <v>9.5756401237660674E-2</v>
      </c>
      <c r="Q30" t="s">
        <v>162</v>
      </c>
      <c r="S30" t="s">
        <v>395</v>
      </c>
      <c r="T30" t="s">
        <v>570</v>
      </c>
      <c r="U30">
        <v>0.13932436378797652</v>
      </c>
      <c r="V30" t="s">
        <v>162</v>
      </c>
      <c r="AC30" t="s">
        <v>19</v>
      </c>
      <c r="AD30" t="s">
        <v>570</v>
      </c>
      <c r="AE30">
        <v>0.11602652129086898</v>
      </c>
      <c r="AK30">
        <v>2026</v>
      </c>
      <c r="AL30" t="s">
        <v>562</v>
      </c>
      <c r="AM30">
        <v>0.64026666666666665</v>
      </c>
      <c r="AN30" t="s">
        <v>510</v>
      </c>
    </row>
    <row r="31" spans="9:40" x14ac:dyDescent="0.45">
      <c r="I31" t="s">
        <v>171</v>
      </c>
      <c r="J31" t="s">
        <v>571</v>
      </c>
      <c r="K31">
        <v>3.3353247957122072E-2</v>
      </c>
      <c r="L31" t="s">
        <v>162</v>
      </c>
      <c r="N31" t="s">
        <v>283</v>
      </c>
      <c r="O31" t="s">
        <v>571</v>
      </c>
      <c r="P31">
        <v>1.197937863364772E-2</v>
      </c>
      <c r="Q31" t="s">
        <v>162</v>
      </c>
      <c r="S31" t="s">
        <v>395</v>
      </c>
      <c r="T31" t="s">
        <v>571</v>
      </c>
      <c r="U31">
        <v>2.2597667671916705E-2</v>
      </c>
      <c r="V31" t="s">
        <v>162</v>
      </c>
      <c r="AC31" t="s">
        <v>19</v>
      </c>
      <c r="AD31" t="s">
        <v>571</v>
      </c>
      <c r="AE31">
        <v>2.1189881578320267E-2</v>
      </c>
      <c r="AK31">
        <v>2027</v>
      </c>
      <c r="AL31" t="s">
        <v>557</v>
      </c>
      <c r="AM31">
        <v>0.51259999999999994</v>
      </c>
      <c r="AN31" t="s">
        <v>510</v>
      </c>
    </row>
    <row r="32" spans="9:40" x14ac:dyDescent="0.45">
      <c r="I32" t="s">
        <v>171</v>
      </c>
      <c r="J32" t="s">
        <v>572</v>
      </c>
      <c r="K32">
        <v>0.16327083106796419</v>
      </c>
      <c r="L32" t="s">
        <v>162</v>
      </c>
      <c r="N32" t="s">
        <v>283</v>
      </c>
      <c r="O32" t="s">
        <v>572</v>
      </c>
      <c r="P32">
        <v>0.11065644935372129</v>
      </c>
      <c r="Q32" t="s">
        <v>162</v>
      </c>
      <c r="S32" t="s">
        <v>395</v>
      </c>
      <c r="T32" t="s">
        <v>572</v>
      </c>
      <c r="U32">
        <v>8.9681747184856581E-2</v>
      </c>
      <c r="V32" t="s">
        <v>162</v>
      </c>
      <c r="AC32" t="s">
        <v>19</v>
      </c>
      <c r="AD32" t="s">
        <v>572</v>
      </c>
      <c r="AE32">
        <v>0.11271345139832524</v>
      </c>
      <c r="AK32">
        <v>2027</v>
      </c>
      <c r="AL32" t="s">
        <v>559</v>
      </c>
      <c r="AM32">
        <v>0.53809999999999991</v>
      </c>
      <c r="AN32" t="s">
        <v>510</v>
      </c>
    </row>
    <row r="33" spans="9:40" x14ac:dyDescent="0.45">
      <c r="I33" t="s">
        <v>171</v>
      </c>
      <c r="J33" t="s">
        <v>573</v>
      </c>
      <c r="K33">
        <v>0</v>
      </c>
      <c r="L33" t="s">
        <v>162</v>
      </c>
      <c r="N33" t="s">
        <v>283</v>
      </c>
      <c r="O33" t="s">
        <v>573</v>
      </c>
      <c r="P33">
        <v>0.12681873206374591</v>
      </c>
      <c r="Q33" t="s">
        <v>162</v>
      </c>
      <c r="S33" t="s">
        <v>395</v>
      </c>
      <c r="T33" t="s">
        <v>573</v>
      </c>
      <c r="U33">
        <v>9.1679819616138067E-2</v>
      </c>
      <c r="V33" t="s">
        <v>162</v>
      </c>
      <c r="AC33" t="s">
        <v>19</v>
      </c>
      <c r="AD33" t="s">
        <v>573</v>
      </c>
      <c r="AE33">
        <v>0.11348919274028305</v>
      </c>
      <c r="AK33">
        <v>2027</v>
      </c>
      <c r="AL33" t="s">
        <v>560</v>
      </c>
      <c r="AM33">
        <v>0.5111</v>
      </c>
      <c r="AN33" t="s">
        <v>510</v>
      </c>
    </row>
    <row r="34" spans="9:40" x14ac:dyDescent="0.45">
      <c r="I34" t="s">
        <v>171</v>
      </c>
      <c r="J34" t="s">
        <v>574</v>
      </c>
      <c r="K34">
        <v>3.0521597305211488E-3</v>
      </c>
      <c r="L34" t="s">
        <v>162</v>
      </c>
      <c r="N34" t="s">
        <v>283</v>
      </c>
      <c r="O34" t="s">
        <v>574</v>
      </c>
      <c r="P34">
        <v>2.4001051438614019E-2</v>
      </c>
      <c r="Q34" t="s">
        <v>162</v>
      </c>
      <c r="S34" t="s">
        <v>395</v>
      </c>
      <c r="T34" t="s">
        <v>574</v>
      </c>
      <c r="U34">
        <v>1.6257390572176369E-2</v>
      </c>
      <c r="V34" t="s">
        <v>162</v>
      </c>
      <c r="AC34" t="s">
        <v>19</v>
      </c>
      <c r="AD34" t="s">
        <v>574</v>
      </c>
      <c r="AE34">
        <v>2.0629420164900894E-2</v>
      </c>
      <c r="AK34">
        <v>2027</v>
      </c>
      <c r="AL34" t="s">
        <v>562</v>
      </c>
      <c r="AM34">
        <v>0.62116666666666664</v>
      </c>
      <c r="AN34" t="s">
        <v>510</v>
      </c>
    </row>
    <row r="35" spans="9:40" x14ac:dyDescent="0.45">
      <c r="I35" t="s">
        <v>172</v>
      </c>
      <c r="J35" t="s">
        <v>563</v>
      </c>
      <c r="K35">
        <v>0.12850434178767706</v>
      </c>
      <c r="L35" t="s">
        <v>162</v>
      </c>
      <c r="N35" t="s">
        <v>284</v>
      </c>
      <c r="O35" t="s">
        <v>563</v>
      </c>
      <c r="P35">
        <v>0.13896363415651281</v>
      </c>
      <c r="Q35" t="s">
        <v>162</v>
      </c>
      <c r="S35" t="s">
        <v>396</v>
      </c>
      <c r="T35" t="s">
        <v>563</v>
      </c>
      <c r="U35">
        <v>0.13070794705053188</v>
      </c>
      <c r="V35" t="s">
        <v>162</v>
      </c>
      <c r="AK35">
        <v>2028</v>
      </c>
      <c r="AL35" t="s">
        <v>557</v>
      </c>
      <c r="AM35">
        <v>0.49720000000000003</v>
      </c>
      <c r="AN35" t="s">
        <v>510</v>
      </c>
    </row>
    <row r="36" spans="9:40" x14ac:dyDescent="0.45">
      <c r="I36" t="s">
        <v>172</v>
      </c>
      <c r="J36" t="s">
        <v>564</v>
      </c>
      <c r="K36">
        <v>0</v>
      </c>
      <c r="L36" t="s">
        <v>162</v>
      </c>
      <c r="N36" t="s">
        <v>284</v>
      </c>
      <c r="O36" t="s">
        <v>564</v>
      </c>
      <c r="P36">
        <v>0.17768995623340825</v>
      </c>
      <c r="Q36" t="s">
        <v>162</v>
      </c>
      <c r="S36" t="s">
        <v>396</v>
      </c>
      <c r="T36" t="s">
        <v>564</v>
      </c>
      <c r="U36">
        <v>0.13054248054714518</v>
      </c>
      <c r="V36" t="s">
        <v>162</v>
      </c>
      <c r="AK36">
        <v>2028</v>
      </c>
      <c r="AL36" t="s">
        <v>559</v>
      </c>
      <c r="AM36">
        <v>0.52860000000000007</v>
      </c>
      <c r="AN36" t="s">
        <v>510</v>
      </c>
    </row>
    <row r="37" spans="9:40" x14ac:dyDescent="0.45">
      <c r="I37" t="s">
        <v>172</v>
      </c>
      <c r="J37" t="s">
        <v>565</v>
      </c>
      <c r="K37">
        <v>6.9712215156075945E-3</v>
      </c>
      <c r="L37" t="s">
        <v>162</v>
      </c>
      <c r="N37" t="s">
        <v>284</v>
      </c>
      <c r="O37" t="s">
        <v>565</v>
      </c>
      <c r="P37">
        <v>2.8415210549349468E-2</v>
      </c>
      <c r="Q37" t="s">
        <v>162</v>
      </c>
      <c r="S37" t="s">
        <v>396</v>
      </c>
      <c r="T37" t="s">
        <v>565</v>
      </c>
      <c r="U37">
        <v>2.4169745376988058E-2</v>
      </c>
      <c r="V37" t="s">
        <v>162</v>
      </c>
      <c r="AK37">
        <v>2028</v>
      </c>
      <c r="AL37" t="s">
        <v>560</v>
      </c>
      <c r="AM37">
        <v>0.48740000000000006</v>
      </c>
      <c r="AN37" t="s">
        <v>510</v>
      </c>
    </row>
    <row r="38" spans="9:40" x14ac:dyDescent="0.45">
      <c r="I38" t="s">
        <v>172</v>
      </c>
      <c r="J38" t="s">
        <v>566</v>
      </c>
      <c r="K38">
        <v>0.30682592691329902</v>
      </c>
      <c r="L38" t="s">
        <v>162</v>
      </c>
      <c r="N38" t="s">
        <v>284</v>
      </c>
      <c r="O38" t="s">
        <v>566</v>
      </c>
      <c r="P38">
        <v>0.1061055376109981</v>
      </c>
      <c r="Q38" t="s">
        <v>162</v>
      </c>
      <c r="S38" t="s">
        <v>396</v>
      </c>
      <c r="T38" t="s">
        <v>566</v>
      </c>
      <c r="U38">
        <v>8.3505658062713095E-2</v>
      </c>
      <c r="V38" t="s">
        <v>162</v>
      </c>
      <c r="AK38">
        <v>2028</v>
      </c>
      <c r="AL38" t="s">
        <v>562</v>
      </c>
      <c r="AM38">
        <v>0.66526666666666667</v>
      </c>
      <c r="AN38" t="s">
        <v>510</v>
      </c>
    </row>
    <row r="39" spans="9:40" x14ac:dyDescent="0.45">
      <c r="I39" t="s">
        <v>172</v>
      </c>
      <c r="J39" t="s">
        <v>567</v>
      </c>
      <c r="K39">
        <v>7.7025593529915148E-3</v>
      </c>
      <c r="L39" t="s">
        <v>162</v>
      </c>
      <c r="N39" t="s">
        <v>284</v>
      </c>
      <c r="O39" t="s">
        <v>567</v>
      </c>
      <c r="P39">
        <v>0.15900358413821775</v>
      </c>
      <c r="Q39" t="s">
        <v>162</v>
      </c>
      <c r="S39" t="s">
        <v>396</v>
      </c>
      <c r="T39" t="s">
        <v>567</v>
      </c>
      <c r="U39">
        <v>9.608609819168501E-2</v>
      </c>
      <c r="V39" t="s">
        <v>162</v>
      </c>
      <c r="AK39">
        <v>2029</v>
      </c>
      <c r="AL39" t="s">
        <v>557</v>
      </c>
      <c r="AM39">
        <v>0.48833333333333329</v>
      </c>
      <c r="AN39" t="s">
        <v>510</v>
      </c>
    </row>
    <row r="40" spans="9:40" x14ac:dyDescent="0.45">
      <c r="I40" t="s">
        <v>172</v>
      </c>
      <c r="J40" t="s">
        <v>568</v>
      </c>
      <c r="K40">
        <v>3.3503016794399341E-2</v>
      </c>
      <c r="L40" t="s">
        <v>162</v>
      </c>
      <c r="N40" t="s">
        <v>284</v>
      </c>
      <c r="O40" t="s">
        <v>568</v>
      </c>
      <c r="P40">
        <v>1.7816013164767587E-2</v>
      </c>
      <c r="Q40" t="s">
        <v>162</v>
      </c>
      <c r="S40" t="s">
        <v>396</v>
      </c>
      <c r="T40" t="s">
        <v>568</v>
      </c>
      <c r="U40">
        <v>1.6516456132743641E-2</v>
      </c>
      <c r="V40" t="s">
        <v>162</v>
      </c>
      <c r="AK40">
        <v>2029</v>
      </c>
      <c r="AL40" t="s">
        <v>559</v>
      </c>
      <c r="AM40">
        <v>0.52766666666666662</v>
      </c>
      <c r="AN40" t="s">
        <v>510</v>
      </c>
    </row>
    <row r="41" spans="9:40" x14ac:dyDescent="0.45">
      <c r="I41" t="s">
        <v>172</v>
      </c>
      <c r="J41" t="s">
        <v>569</v>
      </c>
      <c r="K41">
        <v>0.29234821647239106</v>
      </c>
      <c r="L41" t="s">
        <v>162</v>
      </c>
      <c r="N41" t="s">
        <v>284</v>
      </c>
      <c r="O41" t="s">
        <v>569</v>
      </c>
      <c r="P41">
        <v>8.0853771619719864E-2</v>
      </c>
      <c r="Q41" t="s">
        <v>162</v>
      </c>
      <c r="S41" t="s">
        <v>396</v>
      </c>
      <c r="T41" t="s">
        <v>569</v>
      </c>
      <c r="U41">
        <v>0.11712460296665904</v>
      </c>
      <c r="V41" t="s">
        <v>162</v>
      </c>
      <c r="AK41">
        <v>2029</v>
      </c>
      <c r="AL41" t="s">
        <v>560</v>
      </c>
      <c r="AM41">
        <v>0.48249999999999998</v>
      </c>
      <c r="AN41" t="s">
        <v>510</v>
      </c>
    </row>
    <row r="42" spans="9:40" x14ac:dyDescent="0.45">
      <c r="I42" t="s">
        <v>172</v>
      </c>
      <c r="J42" t="s">
        <v>570</v>
      </c>
      <c r="K42">
        <v>2.2526259090423339E-2</v>
      </c>
      <c r="L42" t="s">
        <v>162</v>
      </c>
      <c r="N42" t="s">
        <v>284</v>
      </c>
      <c r="O42" t="s">
        <v>570</v>
      </c>
      <c r="P42">
        <v>0.10664331792910048</v>
      </c>
      <c r="Q42" t="s">
        <v>162</v>
      </c>
      <c r="S42" t="s">
        <v>396</v>
      </c>
      <c r="T42" t="s">
        <v>570</v>
      </c>
      <c r="U42">
        <v>0.13113388073795462</v>
      </c>
      <c r="V42" t="s">
        <v>162</v>
      </c>
      <c r="AK42">
        <v>2029</v>
      </c>
      <c r="AL42" t="s">
        <v>562</v>
      </c>
      <c r="AM42">
        <v>0.62413333333333332</v>
      </c>
      <c r="AN42" t="s">
        <v>510</v>
      </c>
    </row>
    <row r="43" spans="9:40" x14ac:dyDescent="0.45">
      <c r="I43" t="s">
        <v>172</v>
      </c>
      <c r="J43" t="s">
        <v>571</v>
      </c>
      <c r="K43">
        <v>3.712377898870764E-2</v>
      </c>
      <c r="L43" t="s">
        <v>162</v>
      </c>
      <c r="N43" t="s">
        <v>284</v>
      </c>
      <c r="O43" t="s">
        <v>571</v>
      </c>
      <c r="P43">
        <v>1.3592290166436583E-2</v>
      </c>
      <c r="Q43" t="s">
        <v>162</v>
      </c>
      <c r="S43" t="s">
        <v>396</v>
      </c>
      <c r="T43" t="s">
        <v>571</v>
      </c>
      <c r="U43">
        <v>2.1451435308229207E-2</v>
      </c>
      <c r="V43" t="s">
        <v>162</v>
      </c>
      <c r="AK43">
        <v>2030</v>
      </c>
      <c r="AL43" t="s">
        <v>557</v>
      </c>
      <c r="AM43">
        <v>0.4976666666666667</v>
      </c>
      <c r="AN43" t="s">
        <v>510</v>
      </c>
    </row>
    <row r="44" spans="9:40" x14ac:dyDescent="0.45">
      <c r="I44" t="s">
        <v>172</v>
      </c>
      <c r="J44" t="s">
        <v>572</v>
      </c>
      <c r="K44">
        <v>0.16045820003315905</v>
      </c>
      <c r="L44" t="s">
        <v>162</v>
      </c>
      <c r="N44" t="s">
        <v>284</v>
      </c>
      <c r="O44" t="s">
        <v>572</v>
      </c>
      <c r="P44">
        <v>7.0406617710807334E-2</v>
      </c>
      <c r="Q44" t="s">
        <v>162</v>
      </c>
      <c r="S44" t="s">
        <v>396</v>
      </c>
      <c r="T44" t="s">
        <v>572</v>
      </c>
      <c r="U44">
        <v>0.11170638683296279</v>
      </c>
      <c r="V44" t="s">
        <v>162</v>
      </c>
      <c r="AK44">
        <v>2030</v>
      </c>
      <c r="AL44" t="s">
        <v>559</v>
      </c>
      <c r="AM44">
        <v>0.53023333333333333</v>
      </c>
      <c r="AN44" t="s">
        <v>510</v>
      </c>
    </row>
    <row r="45" spans="9:40" x14ac:dyDescent="0.45">
      <c r="I45" t="s">
        <v>172</v>
      </c>
      <c r="J45" t="s">
        <v>573</v>
      </c>
      <c r="K45">
        <v>0</v>
      </c>
      <c r="L45" t="s">
        <v>162</v>
      </c>
      <c r="N45" t="s">
        <v>284</v>
      </c>
      <c r="O45" t="s">
        <v>573</v>
      </c>
      <c r="P45">
        <v>8.4859374356069744E-2</v>
      </c>
      <c r="Q45" t="s">
        <v>162</v>
      </c>
      <c r="S45" t="s">
        <v>396</v>
      </c>
      <c r="T45" t="s">
        <v>573</v>
      </c>
      <c r="U45">
        <v>0.11581798019172375</v>
      </c>
      <c r="V45" t="s">
        <v>162</v>
      </c>
      <c r="AK45">
        <v>2030</v>
      </c>
      <c r="AL45" t="s">
        <v>560</v>
      </c>
      <c r="AM45">
        <v>0.50186666666666668</v>
      </c>
      <c r="AN45" t="s">
        <v>510</v>
      </c>
    </row>
    <row r="46" spans="9:40" x14ac:dyDescent="0.45">
      <c r="I46" t="s">
        <v>172</v>
      </c>
      <c r="J46" t="s">
        <v>574</v>
      </c>
      <c r="K46">
        <v>4.0364790513460393E-3</v>
      </c>
      <c r="L46" t="s">
        <v>162</v>
      </c>
      <c r="N46" t="s">
        <v>284</v>
      </c>
      <c r="O46" t="s">
        <v>574</v>
      </c>
      <c r="P46">
        <v>1.5650692364612698E-2</v>
      </c>
      <c r="Q46" t="s">
        <v>162</v>
      </c>
      <c r="S46" t="s">
        <v>396</v>
      </c>
      <c r="T46" t="s">
        <v>574</v>
      </c>
      <c r="U46">
        <v>2.1237328600659498E-2</v>
      </c>
      <c r="V46" t="s">
        <v>162</v>
      </c>
      <c r="AK46">
        <v>2030</v>
      </c>
      <c r="AL46" t="s">
        <v>562</v>
      </c>
      <c r="AM46">
        <v>0.62036666666666662</v>
      </c>
      <c r="AN46" t="s">
        <v>510</v>
      </c>
    </row>
    <row r="47" spans="9:40" x14ac:dyDescent="0.45">
      <c r="I47" t="s">
        <v>173</v>
      </c>
      <c r="J47" t="s">
        <v>563</v>
      </c>
      <c r="K47">
        <v>0.14413060543808215</v>
      </c>
      <c r="L47" t="s">
        <v>162</v>
      </c>
      <c r="N47" t="s">
        <v>285</v>
      </c>
      <c r="O47" t="s">
        <v>563</v>
      </c>
      <c r="P47">
        <v>0.11604648752072744</v>
      </c>
      <c r="Q47" t="s">
        <v>162</v>
      </c>
      <c r="S47" t="s">
        <v>397</v>
      </c>
      <c r="T47" t="s">
        <v>563</v>
      </c>
      <c r="U47">
        <v>0.1416409269159436</v>
      </c>
      <c r="V47" t="s">
        <v>162</v>
      </c>
      <c r="AK47">
        <v>2031</v>
      </c>
      <c r="AL47" t="s">
        <v>557</v>
      </c>
      <c r="AM47">
        <v>0.51933333333333331</v>
      </c>
      <c r="AN47" t="s">
        <v>510</v>
      </c>
    </row>
    <row r="48" spans="9:40" x14ac:dyDescent="0.45">
      <c r="I48" t="s">
        <v>173</v>
      </c>
      <c r="J48" t="s">
        <v>564</v>
      </c>
      <c r="K48">
        <v>0</v>
      </c>
      <c r="L48" t="s">
        <v>162</v>
      </c>
      <c r="N48" t="s">
        <v>285</v>
      </c>
      <c r="O48" t="s">
        <v>564</v>
      </c>
      <c r="P48">
        <v>0.16596106836253283</v>
      </c>
      <c r="Q48" t="s">
        <v>162</v>
      </c>
      <c r="S48" t="s">
        <v>397</v>
      </c>
      <c r="T48" t="s">
        <v>564</v>
      </c>
      <c r="U48">
        <v>0.13966937991916742</v>
      </c>
      <c r="V48" t="s">
        <v>162</v>
      </c>
      <c r="AK48">
        <v>2031</v>
      </c>
      <c r="AL48" t="s">
        <v>559</v>
      </c>
      <c r="AM48">
        <v>0.51183333333333325</v>
      </c>
      <c r="AN48" t="s">
        <v>510</v>
      </c>
    </row>
    <row r="49" spans="9:40" x14ac:dyDescent="0.45">
      <c r="I49" t="s">
        <v>173</v>
      </c>
      <c r="J49" t="s">
        <v>565</v>
      </c>
      <c r="K49">
        <v>4.6698049433115457E-3</v>
      </c>
      <c r="L49" t="s">
        <v>162</v>
      </c>
      <c r="N49" t="s">
        <v>285</v>
      </c>
      <c r="O49" t="s">
        <v>565</v>
      </c>
      <c r="P49">
        <v>2.5350971158927486E-2</v>
      </c>
      <c r="Q49" t="s">
        <v>162</v>
      </c>
      <c r="S49" t="s">
        <v>397</v>
      </c>
      <c r="T49" t="s">
        <v>565</v>
      </c>
      <c r="U49">
        <v>2.7258723623301572E-2</v>
      </c>
      <c r="V49" t="s">
        <v>162</v>
      </c>
      <c r="AK49">
        <v>2031</v>
      </c>
      <c r="AL49" t="s">
        <v>560</v>
      </c>
      <c r="AM49">
        <v>0.51250000000000007</v>
      </c>
      <c r="AN49" t="s">
        <v>510</v>
      </c>
    </row>
    <row r="50" spans="9:40" x14ac:dyDescent="0.45">
      <c r="I50" t="s">
        <v>173</v>
      </c>
      <c r="J50" t="s">
        <v>566</v>
      </c>
      <c r="K50">
        <v>0.30135242905873549</v>
      </c>
      <c r="L50" t="s">
        <v>162</v>
      </c>
      <c r="N50" t="s">
        <v>285</v>
      </c>
      <c r="O50" t="s">
        <v>566</v>
      </c>
      <c r="P50">
        <v>0.10291071420008437</v>
      </c>
      <c r="Q50" t="s">
        <v>162</v>
      </c>
      <c r="S50" t="s">
        <v>397</v>
      </c>
      <c r="T50" t="s">
        <v>566</v>
      </c>
      <c r="U50">
        <v>0.1049349556704272</v>
      </c>
      <c r="V50" t="s">
        <v>162</v>
      </c>
      <c r="AK50">
        <v>2031</v>
      </c>
      <c r="AL50" t="s">
        <v>562</v>
      </c>
      <c r="AM50">
        <v>0.63473333333333337</v>
      </c>
      <c r="AN50" t="s">
        <v>510</v>
      </c>
    </row>
    <row r="51" spans="9:40" x14ac:dyDescent="0.45">
      <c r="I51" t="s">
        <v>173</v>
      </c>
      <c r="J51" t="s">
        <v>567</v>
      </c>
      <c r="K51">
        <v>7.624448792791466E-3</v>
      </c>
      <c r="L51" t="s">
        <v>162</v>
      </c>
      <c r="N51" t="s">
        <v>285</v>
      </c>
      <c r="O51" t="s">
        <v>567</v>
      </c>
      <c r="P51">
        <v>0.16619148200196257</v>
      </c>
      <c r="Q51" t="s">
        <v>162</v>
      </c>
      <c r="S51" t="s">
        <v>397</v>
      </c>
      <c r="T51" t="s">
        <v>567</v>
      </c>
      <c r="U51">
        <v>0.11022896524287457</v>
      </c>
      <c r="V51" t="s">
        <v>162</v>
      </c>
      <c r="AK51">
        <v>2032</v>
      </c>
      <c r="AL51" t="s">
        <v>557</v>
      </c>
      <c r="AM51">
        <v>0.58953333333333335</v>
      </c>
      <c r="AN51" t="s">
        <v>510</v>
      </c>
    </row>
    <row r="52" spans="9:40" x14ac:dyDescent="0.45">
      <c r="I52" t="s">
        <v>173</v>
      </c>
      <c r="J52" t="s">
        <v>568</v>
      </c>
      <c r="K52">
        <v>2.9809371950495999E-2</v>
      </c>
      <c r="L52" t="s">
        <v>162</v>
      </c>
      <c r="N52" t="s">
        <v>285</v>
      </c>
      <c r="O52" t="s">
        <v>568</v>
      </c>
      <c r="P52">
        <v>1.9789170181589297E-2</v>
      </c>
      <c r="Q52" t="s">
        <v>162</v>
      </c>
      <c r="S52" t="s">
        <v>397</v>
      </c>
      <c r="T52" t="s">
        <v>568</v>
      </c>
      <c r="U52">
        <v>1.9318587023853102E-2</v>
      </c>
      <c r="V52" t="s">
        <v>162</v>
      </c>
      <c r="AK52">
        <v>2032</v>
      </c>
      <c r="AL52" t="s">
        <v>559</v>
      </c>
      <c r="AM52">
        <v>0.60726666666666673</v>
      </c>
      <c r="AN52" t="s">
        <v>510</v>
      </c>
    </row>
    <row r="53" spans="9:40" x14ac:dyDescent="0.45">
      <c r="I53" t="s">
        <v>173</v>
      </c>
      <c r="J53" t="s">
        <v>569</v>
      </c>
      <c r="K53">
        <v>0.28992982883165075</v>
      </c>
      <c r="L53" t="s">
        <v>162</v>
      </c>
      <c r="N53" t="s">
        <v>285</v>
      </c>
      <c r="O53" t="s">
        <v>569</v>
      </c>
      <c r="P53">
        <v>7.2375399537536605E-2</v>
      </c>
      <c r="Q53" t="s">
        <v>162</v>
      </c>
      <c r="S53" t="s">
        <v>397</v>
      </c>
      <c r="T53" t="s">
        <v>569</v>
      </c>
      <c r="U53">
        <v>0.10215562523140777</v>
      </c>
      <c r="V53" t="s">
        <v>162</v>
      </c>
      <c r="AK53">
        <v>2032</v>
      </c>
      <c r="AL53" t="s">
        <v>560</v>
      </c>
      <c r="AM53">
        <v>0.58026666666666671</v>
      </c>
      <c r="AN53" t="s">
        <v>510</v>
      </c>
    </row>
    <row r="54" spans="9:40" x14ac:dyDescent="0.45">
      <c r="I54" t="s">
        <v>173</v>
      </c>
      <c r="J54" t="s">
        <v>570</v>
      </c>
      <c r="K54">
        <v>2.2063031104430302E-2</v>
      </c>
      <c r="L54" t="s">
        <v>162</v>
      </c>
      <c r="N54" t="s">
        <v>285</v>
      </c>
      <c r="O54" t="s">
        <v>570</v>
      </c>
      <c r="P54">
        <v>0.1013964621290844</v>
      </c>
      <c r="Q54" t="s">
        <v>162</v>
      </c>
      <c r="S54" t="s">
        <v>397</v>
      </c>
      <c r="T54" t="s">
        <v>570</v>
      </c>
      <c r="U54">
        <v>0.12406198770114869</v>
      </c>
      <c r="V54" t="s">
        <v>162</v>
      </c>
      <c r="AK54">
        <v>2032</v>
      </c>
      <c r="AL54" t="s">
        <v>562</v>
      </c>
      <c r="AM54">
        <v>0.76016666666666666</v>
      </c>
      <c r="AN54" t="s">
        <v>510</v>
      </c>
    </row>
    <row r="55" spans="9:40" x14ac:dyDescent="0.45">
      <c r="I55" t="s">
        <v>173</v>
      </c>
      <c r="J55" t="s">
        <v>571</v>
      </c>
      <c r="K55">
        <v>3.1978441466335147E-2</v>
      </c>
      <c r="L55" t="s">
        <v>162</v>
      </c>
      <c r="N55" t="s">
        <v>285</v>
      </c>
      <c r="O55" t="s">
        <v>571</v>
      </c>
      <c r="P55">
        <v>1.2069433997283342E-2</v>
      </c>
      <c r="Q55" t="s">
        <v>162</v>
      </c>
      <c r="S55" t="s">
        <v>397</v>
      </c>
      <c r="T55" t="s">
        <v>571</v>
      </c>
      <c r="U55">
        <v>2.1045714651150786E-2</v>
      </c>
      <c r="V55" t="s">
        <v>162</v>
      </c>
      <c r="AK55">
        <v>2033</v>
      </c>
      <c r="AL55" t="s">
        <v>557</v>
      </c>
      <c r="AM55">
        <v>0.55746666666666667</v>
      </c>
      <c r="AN55" t="s">
        <v>510</v>
      </c>
    </row>
    <row r="56" spans="9:40" x14ac:dyDescent="0.45">
      <c r="I56" t="s">
        <v>173</v>
      </c>
      <c r="J56" t="s">
        <v>572</v>
      </c>
      <c r="K56">
        <v>0.16606814496090755</v>
      </c>
      <c r="L56" t="s">
        <v>162</v>
      </c>
      <c r="N56" t="s">
        <v>285</v>
      </c>
      <c r="O56" t="s">
        <v>572</v>
      </c>
      <c r="P56">
        <v>8.6336687026110734E-2</v>
      </c>
      <c r="Q56" t="s">
        <v>162</v>
      </c>
      <c r="S56" t="s">
        <v>397</v>
      </c>
      <c r="T56" t="s">
        <v>572</v>
      </c>
      <c r="U56">
        <v>9.6582593406006279E-2</v>
      </c>
      <c r="V56" t="s">
        <v>162</v>
      </c>
      <c r="AK56">
        <v>2033</v>
      </c>
      <c r="AL56" t="s">
        <v>559</v>
      </c>
      <c r="AM56">
        <v>0.62480000000000002</v>
      </c>
      <c r="AN56" t="s">
        <v>510</v>
      </c>
    </row>
    <row r="57" spans="9:40" x14ac:dyDescent="0.45">
      <c r="I57" t="s">
        <v>173</v>
      </c>
      <c r="J57" t="s">
        <v>573</v>
      </c>
      <c r="K57">
        <v>0</v>
      </c>
      <c r="L57" t="s">
        <v>162</v>
      </c>
      <c r="N57" t="s">
        <v>285</v>
      </c>
      <c r="O57" t="s">
        <v>573</v>
      </c>
      <c r="P57">
        <v>0.11249713585316946</v>
      </c>
      <c r="Q57" t="s">
        <v>162</v>
      </c>
      <c r="S57" t="s">
        <v>397</v>
      </c>
      <c r="T57" t="s">
        <v>573</v>
      </c>
      <c r="U57">
        <v>9.5493598924304549E-2</v>
      </c>
      <c r="V57" t="s">
        <v>162</v>
      </c>
      <c r="AK57">
        <v>2033</v>
      </c>
      <c r="AL57" t="s">
        <v>560</v>
      </c>
      <c r="AM57">
        <v>0.59450000000000003</v>
      </c>
      <c r="AN57" t="s">
        <v>510</v>
      </c>
    </row>
    <row r="58" spans="9:40" x14ac:dyDescent="0.45">
      <c r="I58" t="s">
        <v>173</v>
      </c>
      <c r="J58" t="s">
        <v>574</v>
      </c>
      <c r="K58">
        <v>2.3738934532605452E-3</v>
      </c>
      <c r="L58" t="s">
        <v>162</v>
      </c>
      <c r="N58" t="s">
        <v>285</v>
      </c>
      <c r="O58" t="s">
        <v>574</v>
      </c>
      <c r="P58">
        <v>1.9074988030987953E-2</v>
      </c>
      <c r="Q58" t="s">
        <v>162</v>
      </c>
      <c r="S58" t="s">
        <v>397</v>
      </c>
      <c r="T58" t="s">
        <v>574</v>
      </c>
      <c r="U58">
        <v>1.7608941690414295E-2</v>
      </c>
      <c r="V58" t="s">
        <v>162</v>
      </c>
      <c r="AK58">
        <v>2033</v>
      </c>
      <c r="AL58" t="s">
        <v>562</v>
      </c>
      <c r="AM58">
        <v>0.76363333333333339</v>
      </c>
      <c r="AN58" t="s">
        <v>510</v>
      </c>
    </row>
    <row r="59" spans="9:40" x14ac:dyDescent="0.45">
      <c r="I59" t="s">
        <v>174</v>
      </c>
      <c r="J59" t="s">
        <v>563</v>
      </c>
      <c r="K59">
        <v>0.13022575715275397</v>
      </c>
      <c r="L59" t="s">
        <v>162</v>
      </c>
      <c r="N59" t="s">
        <v>286</v>
      </c>
      <c r="O59" t="s">
        <v>563</v>
      </c>
      <c r="P59">
        <v>0.12822711124992672</v>
      </c>
      <c r="Q59" t="s">
        <v>162</v>
      </c>
      <c r="S59" t="s">
        <v>398</v>
      </c>
      <c r="T59" t="s">
        <v>563</v>
      </c>
      <c r="U59">
        <v>0.14203539946164354</v>
      </c>
      <c r="V59" t="s">
        <v>162</v>
      </c>
      <c r="AK59">
        <v>2034</v>
      </c>
      <c r="AL59" t="s">
        <v>557</v>
      </c>
      <c r="AM59">
        <v>0.59556666666666669</v>
      </c>
      <c r="AN59" t="s">
        <v>510</v>
      </c>
    </row>
    <row r="60" spans="9:40" x14ac:dyDescent="0.45">
      <c r="I60" t="s">
        <v>174</v>
      </c>
      <c r="J60" t="s">
        <v>564</v>
      </c>
      <c r="K60">
        <v>0</v>
      </c>
      <c r="L60" t="s">
        <v>162</v>
      </c>
      <c r="N60" t="s">
        <v>286</v>
      </c>
      <c r="O60" t="s">
        <v>564</v>
      </c>
      <c r="P60">
        <v>0.14872108828331274</v>
      </c>
      <c r="Q60" t="s">
        <v>162</v>
      </c>
      <c r="S60" t="s">
        <v>398</v>
      </c>
      <c r="T60" t="s">
        <v>564</v>
      </c>
      <c r="U60">
        <v>0.13789379778041386</v>
      </c>
      <c r="V60" t="s">
        <v>162</v>
      </c>
      <c r="AK60">
        <v>2034</v>
      </c>
      <c r="AL60" t="s">
        <v>559</v>
      </c>
      <c r="AM60">
        <v>0.61759999999999993</v>
      </c>
      <c r="AN60" t="s">
        <v>510</v>
      </c>
    </row>
    <row r="61" spans="9:40" x14ac:dyDescent="0.45">
      <c r="I61" t="s">
        <v>174</v>
      </c>
      <c r="J61" t="s">
        <v>565</v>
      </c>
      <c r="K61">
        <v>3.8997060020147904E-3</v>
      </c>
      <c r="L61" t="s">
        <v>162</v>
      </c>
      <c r="N61" t="s">
        <v>286</v>
      </c>
      <c r="O61" t="s">
        <v>565</v>
      </c>
      <c r="P61">
        <v>2.7123056311345987E-2</v>
      </c>
      <c r="Q61" t="s">
        <v>162</v>
      </c>
      <c r="S61" t="s">
        <v>398</v>
      </c>
      <c r="T61" t="s">
        <v>565</v>
      </c>
      <c r="U61">
        <v>2.6566445141701676E-2</v>
      </c>
      <c r="V61" t="s">
        <v>162</v>
      </c>
      <c r="AK61">
        <v>2034</v>
      </c>
      <c r="AL61" t="s">
        <v>560</v>
      </c>
      <c r="AM61">
        <v>0.57440000000000013</v>
      </c>
      <c r="AN61" t="s">
        <v>510</v>
      </c>
    </row>
    <row r="62" spans="9:40" x14ac:dyDescent="0.45">
      <c r="I62" t="s">
        <v>174</v>
      </c>
      <c r="J62" t="s">
        <v>566</v>
      </c>
      <c r="K62">
        <v>0.31257833629334875</v>
      </c>
      <c r="L62" t="s">
        <v>162</v>
      </c>
      <c r="N62" t="s">
        <v>286</v>
      </c>
      <c r="O62" t="s">
        <v>566</v>
      </c>
      <c r="P62">
        <v>8.9378632847551209E-2</v>
      </c>
      <c r="Q62" t="s">
        <v>162</v>
      </c>
      <c r="S62" t="s">
        <v>398</v>
      </c>
      <c r="T62" t="s">
        <v>566</v>
      </c>
      <c r="U62">
        <v>9.3667852557078615E-2</v>
      </c>
      <c r="V62" t="s">
        <v>162</v>
      </c>
      <c r="AK62">
        <v>2034</v>
      </c>
      <c r="AL62" t="s">
        <v>562</v>
      </c>
      <c r="AM62">
        <v>0.70313333333333328</v>
      </c>
      <c r="AN62" t="s">
        <v>510</v>
      </c>
    </row>
    <row r="63" spans="9:40" x14ac:dyDescent="0.45">
      <c r="I63" t="s">
        <v>174</v>
      </c>
      <c r="J63" t="s">
        <v>567</v>
      </c>
      <c r="K63">
        <v>8.3035844104452517E-3</v>
      </c>
      <c r="L63" t="s">
        <v>162</v>
      </c>
      <c r="N63" t="s">
        <v>286</v>
      </c>
      <c r="O63" t="s">
        <v>567</v>
      </c>
      <c r="P63">
        <v>0.14682886683708321</v>
      </c>
      <c r="Q63" t="s">
        <v>162</v>
      </c>
      <c r="S63" t="s">
        <v>398</v>
      </c>
      <c r="T63" t="s">
        <v>567</v>
      </c>
      <c r="U63">
        <v>0.10209354272565442</v>
      </c>
      <c r="V63" t="s">
        <v>162</v>
      </c>
      <c r="AK63">
        <v>2035</v>
      </c>
      <c r="AL63" t="s">
        <v>557</v>
      </c>
      <c r="AM63">
        <v>0.56920000000000004</v>
      </c>
      <c r="AN63" t="s">
        <v>510</v>
      </c>
    </row>
    <row r="64" spans="9:40" x14ac:dyDescent="0.45">
      <c r="I64" t="s">
        <v>174</v>
      </c>
      <c r="J64" t="s">
        <v>568</v>
      </c>
      <c r="K64">
        <v>2.6852380423919377E-2</v>
      </c>
      <c r="L64" t="s">
        <v>162</v>
      </c>
      <c r="N64" t="s">
        <v>286</v>
      </c>
      <c r="O64" t="s">
        <v>568</v>
      </c>
      <c r="P64">
        <v>2.2265571607913093E-2</v>
      </c>
      <c r="Q64" t="s">
        <v>162</v>
      </c>
      <c r="S64" t="s">
        <v>398</v>
      </c>
      <c r="T64" t="s">
        <v>568</v>
      </c>
      <c r="U64">
        <v>1.8211294575384288E-2</v>
      </c>
      <c r="V64" t="s">
        <v>162</v>
      </c>
      <c r="AK64">
        <v>2035</v>
      </c>
      <c r="AL64" t="s">
        <v>559</v>
      </c>
      <c r="AM64">
        <v>0.61720000000000008</v>
      </c>
      <c r="AN64" t="s">
        <v>510</v>
      </c>
    </row>
    <row r="65" spans="9:40" x14ac:dyDescent="0.45">
      <c r="I65" t="s">
        <v>174</v>
      </c>
      <c r="J65" t="s">
        <v>569</v>
      </c>
      <c r="K65">
        <v>0.29185316105853593</v>
      </c>
      <c r="L65" t="s">
        <v>162</v>
      </c>
      <c r="N65" t="s">
        <v>286</v>
      </c>
      <c r="O65" t="s">
        <v>569</v>
      </c>
      <c r="P65">
        <v>8.0069766715404569E-2</v>
      </c>
      <c r="Q65" t="s">
        <v>162</v>
      </c>
      <c r="S65" t="s">
        <v>398</v>
      </c>
      <c r="T65" t="s">
        <v>569</v>
      </c>
      <c r="U65">
        <v>0.12199162028391232</v>
      </c>
      <c r="V65" t="s">
        <v>162</v>
      </c>
      <c r="AK65">
        <v>2035</v>
      </c>
      <c r="AL65" t="s">
        <v>560</v>
      </c>
      <c r="AM65">
        <v>0.58686666666666676</v>
      </c>
      <c r="AN65" t="s">
        <v>510</v>
      </c>
    </row>
    <row r="66" spans="9:40" x14ac:dyDescent="0.45">
      <c r="I66" t="s">
        <v>174</v>
      </c>
      <c r="J66" t="s">
        <v>570</v>
      </c>
      <c r="K66">
        <v>2.4911303334592384E-2</v>
      </c>
      <c r="L66" t="s">
        <v>162</v>
      </c>
      <c r="N66" t="s">
        <v>286</v>
      </c>
      <c r="O66" t="s">
        <v>570</v>
      </c>
      <c r="P66">
        <v>9.8533584828922674E-2</v>
      </c>
      <c r="Q66" t="s">
        <v>162</v>
      </c>
      <c r="S66" t="s">
        <v>398</v>
      </c>
      <c r="T66" t="s">
        <v>570</v>
      </c>
      <c r="U66">
        <v>0.13734428218406414</v>
      </c>
      <c r="V66" t="s">
        <v>162</v>
      </c>
      <c r="AK66">
        <v>2035</v>
      </c>
      <c r="AL66" t="s">
        <v>562</v>
      </c>
      <c r="AM66">
        <v>0.77506666666666657</v>
      </c>
      <c r="AN66" t="s">
        <v>510</v>
      </c>
    </row>
    <row r="67" spans="9:40" x14ac:dyDescent="0.45">
      <c r="I67" t="s">
        <v>174</v>
      </c>
      <c r="J67" t="s">
        <v>571</v>
      </c>
      <c r="K67">
        <v>3.1103296149981665E-2</v>
      </c>
      <c r="L67" t="s">
        <v>162</v>
      </c>
      <c r="N67" t="s">
        <v>286</v>
      </c>
      <c r="O67" t="s">
        <v>571</v>
      </c>
      <c r="P67">
        <v>1.392324933567256E-2</v>
      </c>
      <c r="Q67" t="s">
        <v>162</v>
      </c>
      <c r="S67" t="s">
        <v>398</v>
      </c>
      <c r="T67" t="s">
        <v>571</v>
      </c>
      <c r="U67">
        <v>2.3717322510676972E-2</v>
      </c>
      <c r="V67" t="s">
        <v>162</v>
      </c>
      <c r="AK67">
        <v>2036</v>
      </c>
      <c r="AL67" t="s">
        <v>557</v>
      </c>
      <c r="AM67">
        <v>0.57373333333333332</v>
      </c>
      <c r="AN67" t="s">
        <v>510</v>
      </c>
    </row>
    <row r="68" spans="9:40" x14ac:dyDescent="0.45">
      <c r="I68" t="s">
        <v>174</v>
      </c>
      <c r="J68" t="s">
        <v>572</v>
      </c>
      <c r="K68">
        <v>0.16803645364991007</v>
      </c>
      <c r="L68" t="s">
        <v>162</v>
      </c>
      <c r="N68" t="s">
        <v>286</v>
      </c>
      <c r="O68" t="s">
        <v>572</v>
      </c>
      <c r="P68">
        <v>0.1064699574114045</v>
      </c>
      <c r="Q68" t="s">
        <v>162</v>
      </c>
      <c r="S68" t="s">
        <v>398</v>
      </c>
      <c r="T68" t="s">
        <v>572</v>
      </c>
      <c r="U68">
        <v>8.9197286988467114E-2</v>
      </c>
      <c r="V68" t="s">
        <v>162</v>
      </c>
      <c r="AK68">
        <v>2036</v>
      </c>
      <c r="AL68" t="s">
        <v>559</v>
      </c>
      <c r="AM68">
        <v>0.61019999999999996</v>
      </c>
      <c r="AN68" t="s">
        <v>510</v>
      </c>
    </row>
    <row r="69" spans="9:40" x14ac:dyDescent="0.45">
      <c r="I69" t="s">
        <v>174</v>
      </c>
      <c r="J69" t="s">
        <v>573</v>
      </c>
      <c r="K69">
        <v>0</v>
      </c>
      <c r="L69" t="s">
        <v>162</v>
      </c>
      <c r="N69" t="s">
        <v>286</v>
      </c>
      <c r="O69" t="s">
        <v>573</v>
      </c>
      <c r="P69">
        <v>0.11593585086114311</v>
      </c>
      <c r="Q69" t="s">
        <v>162</v>
      </c>
      <c r="S69" t="s">
        <v>398</v>
      </c>
      <c r="T69" t="s">
        <v>573</v>
      </c>
      <c r="U69">
        <v>9.1195470890243074E-2</v>
      </c>
      <c r="V69" t="s">
        <v>162</v>
      </c>
      <c r="AK69">
        <v>2036</v>
      </c>
      <c r="AL69" t="s">
        <v>560</v>
      </c>
      <c r="AM69">
        <v>0.57503333333333329</v>
      </c>
      <c r="AN69" t="s">
        <v>510</v>
      </c>
    </row>
    <row r="70" spans="9:40" x14ac:dyDescent="0.45">
      <c r="I70" t="s">
        <v>174</v>
      </c>
      <c r="J70" t="s">
        <v>574</v>
      </c>
      <c r="K70">
        <v>2.2360215244989008E-3</v>
      </c>
      <c r="L70" t="s">
        <v>162</v>
      </c>
      <c r="N70" t="s">
        <v>286</v>
      </c>
      <c r="O70" t="s">
        <v>574</v>
      </c>
      <c r="P70">
        <v>2.2523263710321598E-2</v>
      </c>
      <c r="Q70" t="s">
        <v>162</v>
      </c>
      <c r="S70" t="s">
        <v>398</v>
      </c>
      <c r="T70" t="s">
        <v>574</v>
      </c>
      <c r="U70">
        <v>1.6085684900760597E-2</v>
      </c>
      <c r="V70" t="s">
        <v>162</v>
      </c>
      <c r="AK70">
        <v>2036</v>
      </c>
      <c r="AL70" t="s">
        <v>562</v>
      </c>
      <c r="AM70">
        <v>0.74766666666666659</v>
      </c>
      <c r="AN70" t="s">
        <v>510</v>
      </c>
    </row>
    <row r="71" spans="9:40" x14ac:dyDescent="0.45">
      <c r="I71" t="s">
        <v>175</v>
      </c>
      <c r="J71" t="s">
        <v>563</v>
      </c>
      <c r="K71">
        <v>0.13691466546334635</v>
      </c>
      <c r="L71" t="s">
        <v>162</v>
      </c>
      <c r="N71" t="s">
        <v>287</v>
      </c>
      <c r="O71" t="s">
        <v>563</v>
      </c>
      <c r="P71">
        <v>0.10930215047684529</v>
      </c>
      <c r="Q71" t="s">
        <v>162</v>
      </c>
      <c r="S71" t="s">
        <v>399</v>
      </c>
      <c r="T71" t="s">
        <v>563</v>
      </c>
      <c r="U71">
        <v>0.13504987262331763</v>
      </c>
      <c r="V71" t="s">
        <v>162</v>
      </c>
      <c r="AK71">
        <v>2037</v>
      </c>
      <c r="AL71" t="s">
        <v>557</v>
      </c>
      <c r="AM71">
        <v>0.50843333333333329</v>
      </c>
      <c r="AN71" t="s">
        <v>510</v>
      </c>
    </row>
    <row r="72" spans="9:40" x14ac:dyDescent="0.45">
      <c r="I72" t="s">
        <v>175</v>
      </c>
      <c r="J72" t="s">
        <v>564</v>
      </c>
      <c r="K72">
        <v>0</v>
      </c>
      <c r="L72" t="s">
        <v>162</v>
      </c>
      <c r="N72" t="s">
        <v>287</v>
      </c>
      <c r="O72" t="s">
        <v>564</v>
      </c>
      <c r="P72">
        <v>0.14300756579134008</v>
      </c>
      <c r="Q72" t="s">
        <v>162</v>
      </c>
      <c r="S72" t="s">
        <v>399</v>
      </c>
      <c r="T72" t="s">
        <v>564</v>
      </c>
      <c r="U72">
        <v>0.13654303262708647</v>
      </c>
      <c r="V72" t="s">
        <v>162</v>
      </c>
      <c r="AK72">
        <v>2037</v>
      </c>
      <c r="AL72" t="s">
        <v>559</v>
      </c>
      <c r="AM72">
        <v>0.54723333333333335</v>
      </c>
      <c r="AN72" t="s">
        <v>510</v>
      </c>
    </row>
    <row r="73" spans="9:40" x14ac:dyDescent="0.45">
      <c r="I73" t="s">
        <v>175</v>
      </c>
      <c r="J73" t="s">
        <v>565</v>
      </c>
      <c r="K73">
        <v>4.0305803935596265E-3</v>
      </c>
      <c r="L73" t="s">
        <v>162</v>
      </c>
      <c r="N73" t="s">
        <v>287</v>
      </c>
      <c r="O73" t="s">
        <v>565</v>
      </c>
      <c r="P73">
        <v>2.387912857801908E-2</v>
      </c>
      <c r="Q73" t="s">
        <v>162</v>
      </c>
      <c r="S73" t="s">
        <v>399</v>
      </c>
      <c r="T73" t="s">
        <v>565</v>
      </c>
      <c r="U73">
        <v>2.4238003242767096E-2</v>
      </c>
      <c r="V73" t="s">
        <v>162</v>
      </c>
      <c r="AK73">
        <v>2037</v>
      </c>
      <c r="AL73" t="s">
        <v>560</v>
      </c>
      <c r="AM73">
        <v>0.52106666666666668</v>
      </c>
      <c r="AN73" t="s">
        <v>510</v>
      </c>
    </row>
    <row r="74" spans="9:40" x14ac:dyDescent="0.45">
      <c r="I74" t="s">
        <v>175</v>
      </c>
      <c r="J74" t="s">
        <v>566</v>
      </c>
      <c r="K74">
        <v>0.31963685122585372</v>
      </c>
      <c r="L74" t="s">
        <v>162</v>
      </c>
      <c r="N74" t="s">
        <v>287</v>
      </c>
      <c r="O74" t="s">
        <v>566</v>
      </c>
      <c r="P74">
        <v>0.10186895173908801</v>
      </c>
      <c r="Q74" t="s">
        <v>162</v>
      </c>
      <c r="S74" t="s">
        <v>399</v>
      </c>
      <c r="T74" t="s">
        <v>566</v>
      </c>
      <c r="U74">
        <v>0.10170257483804646</v>
      </c>
      <c r="V74" t="s">
        <v>162</v>
      </c>
      <c r="AK74">
        <v>2037</v>
      </c>
      <c r="AL74" t="s">
        <v>562</v>
      </c>
      <c r="AM74">
        <v>0.65613333333333335</v>
      </c>
      <c r="AN74" t="s">
        <v>510</v>
      </c>
    </row>
    <row r="75" spans="9:40" x14ac:dyDescent="0.45">
      <c r="I75" t="s">
        <v>175</v>
      </c>
      <c r="J75" t="s">
        <v>567</v>
      </c>
      <c r="K75">
        <v>8.6839702786008239E-3</v>
      </c>
      <c r="L75" t="s">
        <v>162</v>
      </c>
      <c r="N75" t="s">
        <v>287</v>
      </c>
      <c r="O75" t="s">
        <v>567</v>
      </c>
      <c r="P75">
        <v>0.17104666409559965</v>
      </c>
      <c r="Q75" t="s">
        <v>162</v>
      </c>
      <c r="S75" t="s">
        <v>399</v>
      </c>
      <c r="T75" t="s">
        <v>567</v>
      </c>
      <c r="U75">
        <v>0.10147753254374688</v>
      </c>
      <c r="V75" t="s">
        <v>162</v>
      </c>
      <c r="AK75">
        <v>2038</v>
      </c>
      <c r="AL75" t="s">
        <v>557</v>
      </c>
      <c r="AM75">
        <v>0.47879999999999995</v>
      </c>
      <c r="AN75" t="s">
        <v>510</v>
      </c>
    </row>
    <row r="76" spans="9:40" x14ac:dyDescent="0.45">
      <c r="I76" t="s">
        <v>175</v>
      </c>
      <c r="J76" t="s">
        <v>568</v>
      </c>
      <c r="K76">
        <v>2.7137258839925502E-2</v>
      </c>
      <c r="L76" t="s">
        <v>162</v>
      </c>
      <c r="N76" t="s">
        <v>287</v>
      </c>
      <c r="O76" t="s">
        <v>568</v>
      </c>
      <c r="P76">
        <v>2.5698063507180655E-2</v>
      </c>
      <c r="Q76" t="s">
        <v>162</v>
      </c>
      <c r="S76" t="s">
        <v>399</v>
      </c>
      <c r="T76" t="s">
        <v>568</v>
      </c>
      <c r="U76">
        <v>1.8185406889892453E-2</v>
      </c>
      <c r="V76" t="s">
        <v>162</v>
      </c>
      <c r="AK76">
        <v>2038</v>
      </c>
      <c r="AL76" t="s">
        <v>559</v>
      </c>
      <c r="AM76">
        <v>0.5369666666666667</v>
      </c>
      <c r="AN76" t="s">
        <v>510</v>
      </c>
    </row>
    <row r="77" spans="9:40" x14ac:dyDescent="0.45">
      <c r="I77" t="s">
        <v>175</v>
      </c>
      <c r="J77" t="s">
        <v>569</v>
      </c>
      <c r="K77">
        <v>0.28455713112154829</v>
      </c>
      <c r="L77" t="s">
        <v>162</v>
      </c>
      <c r="N77" t="s">
        <v>287</v>
      </c>
      <c r="O77" t="s">
        <v>569</v>
      </c>
      <c r="P77">
        <v>7.6295403856857597E-2</v>
      </c>
      <c r="Q77" t="s">
        <v>162</v>
      </c>
      <c r="S77" t="s">
        <v>399</v>
      </c>
      <c r="T77" t="s">
        <v>569</v>
      </c>
      <c r="U77">
        <v>0.12716608774262692</v>
      </c>
      <c r="V77" t="s">
        <v>162</v>
      </c>
      <c r="AK77">
        <v>2038</v>
      </c>
      <c r="AL77" t="s">
        <v>560</v>
      </c>
      <c r="AM77">
        <v>0.47143333333333332</v>
      </c>
      <c r="AN77" t="s">
        <v>510</v>
      </c>
    </row>
    <row r="78" spans="9:40" x14ac:dyDescent="0.45">
      <c r="I78" t="s">
        <v>175</v>
      </c>
      <c r="J78" t="s">
        <v>570</v>
      </c>
      <c r="K78">
        <v>2.5698399882573247E-2</v>
      </c>
      <c r="L78" t="s">
        <v>162</v>
      </c>
      <c r="N78" t="s">
        <v>287</v>
      </c>
      <c r="O78" t="s">
        <v>570</v>
      </c>
      <c r="P78">
        <v>9.8263350759033502E-2</v>
      </c>
      <c r="Q78" t="s">
        <v>162</v>
      </c>
      <c r="S78" t="s">
        <v>399</v>
      </c>
      <c r="T78" t="s">
        <v>570</v>
      </c>
      <c r="U78">
        <v>0.13057535832532341</v>
      </c>
      <c r="V78" t="s">
        <v>162</v>
      </c>
      <c r="AK78">
        <v>2038</v>
      </c>
      <c r="AL78" t="s">
        <v>562</v>
      </c>
      <c r="AM78">
        <v>0.65783333333333338</v>
      </c>
      <c r="AN78" t="s">
        <v>510</v>
      </c>
    </row>
    <row r="79" spans="9:40" x14ac:dyDescent="0.45">
      <c r="I79" t="s">
        <v>175</v>
      </c>
      <c r="J79" t="s">
        <v>571</v>
      </c>
      <c r="K79">
        <v>3.092211201226586E-2</v>
      </c>
      <c r="L79" t="s">
        <v>162</v>
      </c>
      <c r="N79" t="s">
        <v>287</v>
      </c>
      <c r="O79" t="s">
        <v>571</v>
      </c>
      <c r="P79">
        <v>1.2633483877000541E-2</v>
      </c>
      <c r="Q79" t="s">
        <v>162</v>
      </c>
      <c r="S79" t="s">
        <v>399</v>
      </c>
      <c r="T79" t="s">
        <v>571</v>
      </c>
      <c r="U79">
        <v>2.3462568055522659E-2</v>
      </c>
      <c r="V79" t="s">
        <v>162</v>
      </c>
      <c r="AK79">
        <v>2039</v>
      </c>
      <c r="AL79" t="s">
        <v>557</v>
      </c>
      <c r="AM79">
        <v>0.59353333333333336</v>
      </c>
      <c r="AN79" t="s">
        <v>510</v>
      </c>
    </row>
    <row r="80" spans="9:40" x14ac:dyDescent="0.45">
      <c r="I80" t="s">
        <v>175</v>
      </c>
      <c r="J80" t="s">
        <v>572</v>
      </c>
      <c r="K80">
        <v>0.16079465917845412</v>
      </c>
      <c r="L80" t="s">
        <v>162</v>
      </c>
      <c r="N80" t="s">
        <v>287</v>
      </c>
      <c r="O80" t="s">
        <v>572</v>
      </c>
      <c r="P80">
        <v>0.10471580098795515</v>
      </c>
      <c r="Q80" t="s">
        <v>162</v>
      </c>
      <c r="S80" t="s">
        <v>399</v>
      </c>
      <c r="T80" t="s">
        <v>572</v>
      </c>
      <c r="U80">
        <v>9.2280684182014613E-2</v>
      </c>
      <c r="V80" t="s">
        <v>162</v>
      </c>
      <c r="AK80">
        <v>2039</v>
      </c>
      <c r="AL80" t="s">
        <v>559</v>
      </c>
      <c r="AM80">
        <v>0.62299999999999989</v>
      </c>
      <c r="AN80" t="s">
        <v>510</v>
      </c>
    </row>
    <row r="81" spans="9:40" x14ac:dyDescent="0.45">
      <c r="I81" t="s">
        <v>175</v>
      </c>
      <c r="J81" t="s">
        <v>573</v>
      </c>
      <c r="K81">
        <v>0</v>
      </c>
      <c r="L81" t="s">
        <v>162</v>
      </c>
      <c r="N81" t="s">
        <v>287</v>
      </c>
      <c r="O81" t="s">
        <v>573</v>
      </c>
      <c r="P81">
        <v>0.1125339926877673</v>
      </c>
      <c r="Q81" t="s">
        <v>162</v>
      </c>
      <c r="S81" t="s">
        <v>399</v>
      </c>
      <c r="T81" t="s">
        <v>573</v>
      </c>
      <c r="U81">
        <v>9.3016967841512657E-2</v>
      </c>
      <c r="V81" t="s">
        <v>162</v>
      </c>
      <c r="AK81">
        <v>2039</v>
      </c>
      <c r="AL81" t="s">
        <v>560</v>
      </c>
      <c r="AM81">
        <v>0.54759999999999998</v>
      </c>
      <c r="AN81" t="s">
        <v>510</v>
      </c>
    </row>
    <row r="82" spans="9:40" x14ac:dyDescent="0.45">
      <c r="I82" t="s">
        <v>175</v>
      </c>
      <c r="J82" t="s">
        <v>574</v>
      </c>
      <c r="K82">
        <v>1.6243716038709841E-3</v>
      </c>
      <c r="L82" t="s">
        <v>162</v>
      </c>
      <c r="N82" t="s">
        <v>287</v>
      </c>
      <c r="O82" t="s">
        <v>574</v>
      </c>
      <c r="P82">
        <v>2.0755443643313894E-2</v>
      </c>
      <c r="Q82" t="s">
        <v>162</v>
      </c>
      <c r="S82" t="s">
        <v>399</v>
      </c>
      <c r="T82" t="s">
        <v>574</v>
      </c>
      <c r="U82">
        <v>1.6301911088141958E-2</v>
      </c>
      <c r="V82" t="s">
        <v>162</v>
      </c>
      <c r="AK82">
        <v>2039</v>
      </c>
      <c r="AL82" t="s">
        <v>562</v>
      </c>
      <c r="AM82">
        <v>0.71843333333333337</v>
      </c>
      <c r="AN82" t="s">
        <v>510</v>
      </c>
    </row>
    <row r="83" spans="9:40" x14ac:dyDescent="0.45">
      <c r="I83" t="s">
        <v>176</v>
      </c>
      <c r="J83" t="s">
        <v>563</v>
      </c>
      <c r="K83">
        <v>0.14624175451015392</v>
      </c>
      <c r="L83" t="s">
        <v>162</v>
      </c>
      <c r="N83" t="s">
        <v>288</v>
      </c>
      <c r="O83" t="s">
        <v>563</v>
      </c>
      <c r="P83">
        <v>0.13188384870073538</v>
      </c>
      <c r="Q83" t="s">
        <v>162</v>
      </c>
      <c r="S83" t="s">
        <v>400</v>
      </c>
      <c r="T83" t="s">
        <v>563</v>
      </c>
      <c r="U83">
        <v>0.13773222171808952</v>
      </c>
      <c r="V83" t="s">
        <v>162</v>
      </c>
      <c r="AK83">
        <v>2040</v>
      </c>
      <c r="AL83" t="s">
        <v>557</v>
      </c>
      <c r="AM83">
        <v>0.49069999999999997</v>
      </c>
      <c r="AN83" t="s">
        <v>510</v>
      </c>
    </row>
    <row r="84" spans="9:40" x14ac:dyDescent="0.45">
      <c r="I84" t="s">
        <v>176</v>
      </c>
      <c r="J84" t="s">
        <v>564</v>
      </c>
      <c r="K84">
        <v>7.6577688550995846E-4</v>
      </c>
      <c r="L84" t="s">
        <v>162</v>
      </c>
      <c r="N84" t="s">
        <v>288</v>
      </c>
      <c r="O84" t="s">
        <v>564</v>
      </c>
      <c r="P84">
        <v>0.16228023458414242</v>
      </c>
      <c r="Q84" t="s">
        <v>162</v>
      </c>
      <c r="S84" t="s">
        <v>400</v>
      </c>
      <c r="T84" t="s">
        <v>564</v>
      </c>
      <c r="U84">
        <v>0.13766897205206974</v>
      </c>
      <c r="V84" t="s">
        <v>162</v>
      </c>
      <c r="AK84">
        <v>2040</v>
      </c>
      <c r="AL84" t="s">
        <v>559</v>
      </c>
      <c r="AM84">
        <v>0.5252</v>
      </c>
      <c r="AN84" t="s">
        <v>510</v>
      </c>
    </row>
    <row r="85" spans="9:40" x14ac:dyDescent="0.45">
      <c r="I85" t="s">
        <v>176</v>
      </c>
      <c r="J85" t="s">
        <v>565</v>
      </c>
      <c r="K85">
        <v>1.1048588023784934E-2</v>
      </c>
      <c r="L85" t="s">
        <v>162</v>
      </c>
      <c r="N85" t="s">
        <v>288</v>
      </c>
      <c r="O85" t="s">
        <v>565</v>
      </c>
      <c r="P85">
        <v>2.6666859212006028E-2</v>
      </c>
      <c r="Q85" t="s">
        <v>162</v>
      </c>
      <c r="S85" t="s">
        <v>400</v>
      </c>
      <c r="T85" t="s">
        <v>565</v>
      </c>
      <c r="U85">
        <v>2.5614526447473609E-2</v>
      </c>
      <c r="V85" t="s">
        <v>162</v>
      </c>
      <c r="AK85">
        <v>2040</v>
      </c>
      <c r="AL85" t="s">
        <v>560</v>
      </c>
      <c r="AM85">
        <v>0.50183333333333335</v>
      </c>
      <c r="AN85" t="s">
        <v>510</v>
      </c>
    </row>
    <row r="86" spans="9:40" x14ac:dyDescent="0.45">
      <c r="I86" t="s">
        <v>176</v>
      </c>
      <c r="J86" t="s">
        <v>566</v>
      </c>
      <c r="K86">
        <v>0.30644345385276256</v>
      </c>
      <c r="L86" t="s">
        <v>162</v>
      </c>
      <c r="N86" t="s">
        <v>288</v>
      </c>
      <c r="O86" t="s">
        <v>566</v>
      </c>
      <c r="P86">
        <v>9.5062967845245705E-2</v>
      </c>
      <c r="Q86" t="s">
        <v>162</v>
      </c>
      <c r="S86" t="s">
        <v>400</v>
      </c>
      <c r="T86" t="s">
        <v>566</v>
      </c>
      <c r="U86">
        <v>9.3292675672634176E-2</v>
      </c>
      <c r="V86" t="s">
        <v>162</v>
      </c>
      <c r="AK86">
        <v>2040</v>
      </c>
      <c r="AL86" t="s">
        <v>562</v>
      </c>
      <c r="AM86">
        <v>0.63223333333333331</v>
      </c>
      <c r="AN86" t="s">
        <v>510</v>
      </c>
    </row>
    <row r="87" spans="9:40" x14ac:dyDescent="0.45">
      <c r="I87" t="s">
        <v>176</v>
      </c>
      <c r="J87" t="s">
        <v>567</v>
      </c>
      <c r="K87">
        <v>1.5542360726710377E-2</v>
      </c>
      <c r="L87" t="s">
        <v>162</v>
      </c>
      <c r="N87" t="s">
        <v>288</v>
      </c>
      <c r="O87" t="s">
        <v>567</v>
      </c>
      <c r="P87">
        <v>0.14747411058337243</v>
      </c>
      <c r="Q87" t="s">
        <v>162</v>
      </c>
      <c r="S87" t="s">
        <v>400</v>
      </c>
      <c r="T87" t="s">
        <v>567</v>
      </c>
      <c r="U87">
        <v>9.3889841238125993E-2</v>
      </c>
      <c r="V87" t="s">
        <v>162</v>
      </c>
      <c r="AK87">
        <v>2041</v>
      </c>
      <c r="AL87" t="s">
        <v>557</v>
      </c>
      <c r="AM87">
        <v>0.50506666666666666</v>
      </c>
      <c r="AN87" t="s">
        <v>510</v>
      </c>
    </row>
    <row r="88" spans="9:40" x14ac:dyDescent="0.45">
      <c r="I88" t="s">
        <v>176</v>
      </c>
      <c r="J88" t="s">
        <v>568</v>
      </c>
      <c r="K88">
        <v>4.4136224571566053E-2</v>
      </c>
      <c r="L88" t="s">
        <v>162</v>
      </c>
      <c r="N88" t="s">
        <v>288</v>
      </c>
      <c r="O88" t="s">
        <v>568</v>
      </c>
      <c r="P88">
        <v>2.0607881256736713E-2</v>
      </c>
      <c r="Q88" t="s">
        <v>162</v>
      </c>
      <c r="S88" t="s">
        <v>400</v>
      </c>
      <c r="T88" t="s">
        <v>568</v>
      </c>
      <c r="U88">
        <v>1.6974124359549859E-2</v>
      </c>
      <c r="V88" t="s">
        <v>162</v>
      </c>
      <c r="AK88">
        <v>2041</v>
      </c>
      <c r="AL88" t="s">
        <v>559</v>
      </c>
      <c r="AM88">
        <v>0.56653333333333322</v>
      </c>
      <c r="AN88" t="s">
        <v>510</v>
      </c>
    </row>
    <row r="89" spans="9:40" x14ac:dyDescent="0.45">
      <c r="I89" t="s">
        <v>176</v>
      </c>
      <c r="J89" t="s">
        <v>569</v>
      </c>
      <c r="K89">
        <v>0.2869040036833494</v>
      </c>
      <c r="L89" t="s">
        <v>162</v>
      </c>
      <c r="N89" t="s">
        <v>288</v>
      </c>
      <c r="O89" t="s">
        <v>569</v>
      </c>
      <c r="P89">
        <v>8.0803276543408797E-2</v>
      </c>
      <c r="Q89" t="s">
        <v>162</v>
      </c>
      <c r="S89" t="s">
        <v>400</v>
      </c>
      <c r="T89" t="s">
        <v>569</v>
      </c>
      <c r="U89">
        <v>0.12522504760856376</v>
      </c>
      <c r="V89" t="s">
        <v>162</v>
      </c>
      <c r="AK89">
        <v>2041</v>
      </c>
      <c r="AL89" t="s">
        <v>560</v>
      </c>
      <c r="AM89">
        <v>0.4746333333333333</v>
      </c>
      <c r="AN89" t="s">
        <v>510</v>
      </c>
    </row>
    <row r="90" spans="9:40" x14ac:dyDescent="0.45">
      <c r="I90" t="s">
        <v>176</v>
      </c>
      <c r="J90" t="s">
        <v>570</v>
      </c>
      <c r="K90">
        <v>3.0705933221823096E-2</v>
      </c>
      <c r="L90" t="s">
        <v>162</v>
      </c>
      <c r="N90" t="s">
        <v>288</v>
      </c>
      <c r="O90" t="s">
        <v>570</v>
      </c>
      <c r="P90">
        <v>0.10683765516284836</v>
      </c>
      <c r="Q90" t="s">
        <v>162</v>
      </c>
      <c r="S90" t="s">
        <v>400</v>
      </c>
      <c r="T90" t="s">
        <v>570</v>
      </c>
      <c r="U90">
        <v>0.1306193838616935</v>
      </c>
      <c r="V90" t="s">
        <v>162</v>
      </c>
      <c r="AK90">
        <v>2041</v>
      </c>
      <c r="AL90" t="s">
        <v>562</v>
      </c>
      <c r="AM90">
        <v>0.62509999999999999</v>
      </c>
      <c r="AN90" t="s">
        <v>510</v>
      </c>
    </row>
    <row r="91" spans="9:40" x14ac:dyDescent="0.45">
      <c r="I91" t="s">
        <v>176</v>
      </c>
      <c r="J91" t="s">
        <v>571</v>
      </c>
      <c r="K91">
        <v>4.1421981706457368E-2</v>
      </c>
      <c r="L91" t="s">
        <v>162</v>
      </c>
      <c r="N91" t="s">
        <v>288</v>
      </c>
      <c r="O91" t="s">
        <v>571</v>
      </c>
      <c r="P91">
        <v>1.4323910018213641E-2</v>
      </c>
      <c r="Q91" t="s">
        <v>162</v>
      </c>
      <c r="S91" t="s">
        <v>400</v>
      </c>
      <c r="T91" t="s">
        <v>571</v>
      </c>
      <c r="U91">
        <v>2.3601264958620659E-2</v>
      </c>
      <c r="V91" t="s">
        <v>162</v>
      </c>
      <c r="AK91">
        <v>2042</v>
      </c>
      <c r="AL91" t="s">
        <v>557</v>
      </c>
      <c r="AM91">
        <v>0.47303333333333325</v>
      </c>
      <c r="AN91" t="s">
        <v>510</v>
      </c>
    </row>
    <row r="92" spans="9:40" x14ac:dyDescent="0.45">
      <c r="I92" t="s">
        <v>176</v>
      </c>
      <c r="J92" t="s">
        <v>572</v>
      </c>
      <c r="K92">
        <v>0.11271024821649132</v>
      </c>
      <c r="L92" t="s">
        <v>162</v>
      </c>
      <c r="N92" t="s">
        <v>288</v>
      </c>
      <c r="O92" t="s">
        <v>572</v>
      </c>
      <c r="P92">
        <v>9.243771898927311E-2</v>
      </c>
      <c r="Q92" t="s">
        <v>162</v>
      </c>
      <c r="S92" t="s">
        <v>400</v>
      </c>
      <c r="T92" t="s">
        <v>572</v>
      </c>
      <c r="U92">
        <v>9.8575029768276284E-2</v>
      </c>
      <c r="V92" t="s">
        <v>162</v>
      </c>
      <c r="AK92">
        <v>2042</v>
      </c>
      <c r="AL92" t="s">
        <v>559</v>
      </c>
      <c r="AM92">
        <v>0.53860000000000008</v>
      </c>
      <c r="AN92" t="s">
        <v>510</v>
      </c>
    </row>
    <row r="93" spans="9:40" x14ac:dyDescent="0.45">
      <c r="I93" t="s">
        <v>176</v>
      </c>
      <c r="J93" t="s">
        <v>573</v>
      </c>
      <c r="K93">
        <v>0</v>
      </c>
      <c r="L93" t="s">
        <v>162</v>
      </c>
      <c r="N93" t="s">
        <v>288</v>
      </c>
      <c r="O93" t="s">
        <v>573</v>
      </c>
      <c r="P93">
        <v>0.10346457679502283</v>
      </c>
      <c r="Q93" t="s">
        <v>162</v>
      </c>
      <c r="S93" t="s">
        <v>400</v>
      </c>
      <c r="T93" t="s">
        <v>573</v>
      </c>
      <c r="U93">
        <v>9.9303383260349987E-2</v>
      </c>
      <c r="V93" t="s">
        <v>162</v>
      </c>
      <c r="AK93">
        <v>2042</v>
      </c>
      <c r="AL93" t="s">
        <v>560</v>
      </c>
      <c r="AM93">
        <v>0.49853333333333333</v>
      </c>
      <c r="AN93" t="s">
        <v>510</v>
      </c>
    </row>
    <row r="94" spans="9:40" x14ac:dyDescent="0.45">
      <c r="I94" t="s">
        <v>176</v>
      </c>
      <c r="J94" t="s">
        <v>574</v>
      </c>
      <c r="K94">
        <v>4.0796746013930718E-3</v>
      </c>
      <c r="L94" t="s">
        <v>162</v>
      </c>
      <c r="N94" t="s">
        <v>288</v>
      </c>
      <c r="O94" t="s">
        <v>574</v>
      </c>
      <c r="P94">
        <v>1.8156960308996734E-2</v>
      </c>
      <c r="Q94" t="s">
        <v>162</v>
      </c>
      <c r="S94" t="s">
        <v>400</v>
      </c>
      <c r="T94" t="s">
        <v>574</v>
      </c>
      <c r="U94">
        <v>1.7503529054551072E-2</v>
      </c>
      <c r="V94" t="s">
        <v>162</v>
      </c>
      <c r="AK94">
        <v>2042</v>
      </c>
      <c r="AL94" t="s">
        <v>562</v>
      </c>
      <c r="AM94">
        <v>0.6490999999999999</v>
      </c>
      <c r="AN94" t="s">
        <v>510</v>
      </c>
    </row>
    <row r="95" spans="9:40" x14ac:dyDescent="0.45">
      <c r="I95" t="s">
        <v>177</v>
      </c>
      <c r="J95" t="s">
        <v>563</v>
      </c>
      <c r="K95">
        <v>0.1463136456110829</v>
      </c>
      <c r="L95" t="s">
        <v>162</v>
      </c>
      <c r="N95" t="s">
        <v>289</v>
      </c>
      <c r="O95" t="s">
        <v>563</v>
      </c>
      <c r="P95">
        <v>0.13991243843287129</v>
      </c>
      <c r="Q95" t="s">
        <v>162</v>
      </c>
      <c r="S95" t="s">
        <v>401</v>
      </c>
      <c r="T95" t="s">
        <v>563</v>
      </c>
      <c r="U95">
        <v>0.13764638369560936</v>
      </c>
      <c r="V95" t="s">
        <v>162</v>
      </c>
      <c r="AK95">
        <v>2043</v>
      </c>
      <c r="AL95" t="s">
        <v>557</v>
      </c>
      <c r="AM95">
        <v>0.50050000000000006</v>
      </c>
      <c r="AN95" t="s">
        <v>510</v>
      </c>
    </row>
    <row r="96" spans="9:40" x14ac:dyDescent="0.45">
      <c r="I96" t="s">
        <v>177</v>
      </c>
      <c r="J96" t="s">
        <v>564</v>
      </c>
      <c r="K96">
        <v>6.9043057077266623E-4</v>
      </c>
      <c r="L96" t="s">
        <v>162</v>
      </c>
      <c r="N96" t="s">
        <v>289</v>
      </c>
      <c r="O96" t="s">
        <v>564</v>
      </c>
      <c r="P96">
        <v>0.13198674631926874</v>
      </c>
      <c r="Q96" t="s">
        <v>162</v>
      </c>
      <c r="S96" t="s">
        <v>401</v>
      </c>
      <c r="T96" t="s">
        <v>564</v>
      </c>
      <c r="U96">
        <v>0.14341106835749859</v>
      </c>
      <c r="V96" t="s">
        <v>162</v>
      </c>
      <c r="AK96">
        <v>2043</v>
      </c>
      <c r="AL96" t="s">
        <v>559</v>
      </c>
      <c r="AM96">
        <v>0.5318666666666666</v>
      </c>
      <c r="AN96" t="s">
        <v>510</v>
      </c>
    </row>
    <row r="97" spans="9:40" x14ac:dyDescent="0.45">
      <c r="I97" t="s">
        <v>177</v>
      </c>
      <c r="J97" t="s">
        <v>565</v>
      </c>
      <c r="K97">
        <v>9.540347791527154E-3</v>
      </c>
      <c r="L97" t="s">
        <v>162</v>
      </c>
      <c r="N97" t="s">
        <v>289</v>
      </c>
      <c r="O97" t="s">
        <v>565</v>
      </c>
      <c r="P97">
        <v>2.5565456549760876E-2</v>
      </c>
      <c r="Q97" t="s">
        <v>162</v>
      </c>
      <c r="S97" t="s">
        <v>401</v>
      </c>
      <c r="T97" t="s">
        <v>565</v>
      </c>
      <c r="U97">
        <v>2.6589893640745557E-2</v>
      </c>
      <c r="V97" t="s">
        <v>162</v>
      </c>
      <c r="AK97">
        <v>2043</v>
      </c>
      <c r="AL97" t="s">
        <v>560</v>
      </c>
      <c r="AM97">
        <v>0.49713333333333337</v>
      </c>
      <c r="AN97" t="s">
        <v>510</v>
      </c>
    </row>
    <row r="98" spans="9:40" x14ac:dyDescent="0.45">
      <c r="I98" t="s">
        <v>177</v>
      </c>
      <c r="J98" t="s">
        <v>566</v>
      </c>
      <c r="K98">
        <v>0.30621268649370409</v>
      </c>
      <c r="L98" t="s">
        <v>162</v>
      </c>
      <c r="N98" t="s">
        <v>289</v>
      </c>
      <c r="O98" t="s">
        <v>566</v>
      </c>
      <c r="P98">
        <v>0.13677836469660917</v>
      </c>
      <c r="Q98" t="s">
        <v>162</v>
      </c>
      <c r="S98" t="s">
        <v>401</v>
      </c>
      <c r="T98" t="s">
        <v>566</v>
      </c>
      <c r="U98">
        <v>0.10946105811659998</v>
      </c>
      <c r="V98" t="s">
        <v>162</v>
      </c>
      <c r="AK98">
        <v>2043</v>
      </c>
      <c r="AL98" t="s">
        <v>562</v>
      </c>
      <c r="AM98">
        <v>0.64126666666666665</v>
      </c>
      <c r="AN98" t="s">
        <v>510</v>
      </c>
    </row>
    <row r="99" spans="9:40" x14ac:dyDescent="0.45">
      <c r="I99" t="s">
        <v>177</v>
      </c>
      <c r="J99" t="s">
        <v>567</v>
      </c>
      <c r="K99">
        <v>1.3718123563431345E-2</v>
      </c>
      <c r="L99" t="s">
        <v>162</v>
      </c>
      <c r="N99" t="s">
        <v>289</v>
      </c>
      <c r="O99" t="s">
        <v>567</v>
      </c>
      <c r="P99">
        <v>0.10968110139535342</v>
      </c>
      <c r="Q99" t="s">
        <v>162</v>
      </c>
      <c r="S99" t="s">
        <v>401</v>
      </c>
      <c r="T99" t="s">
        <v>567</v>
      </c>
      <c r="U99">
        <v>0.11306561487805293</v>
      </c>
      <c r="V99" t="s">
        <v>162</v>
      </c>
      <c r="AK99">
        <v>2044</v>
      </c>
      <c r="AL99" t="s">
        <v>557</v>
      </c>
      <c r="AM99">
        <v>0.49973333333333336</v>
      </c>
      <c r="AN99" t="s">
        <v>510</v>
      </c>
    </row>
    <row r="100" spans="9:40" x14ac:dyDescent="0.45">
      <c r="I100" t="s">
        <v>177</v>
      </c>
      <c r="J100" t="s">
        <v>568</v>
      </c>
      <c r="K100">
        <v>4.2680142423202054E-2</v>
      </c>
      <c r="L100" t="s">
        <v>162</v>
      </c>
      <c r="N100" t="s">
        <v>289</v>
      </c>
      <c r="O100" t="s">
        <v>568</v>
      </c>
      <c r="P100">
        <v>2.3667867243108806E-2</v>
      </c>
      <c r="Q100" t="s">
        <v>162</v>
      </c>
      <c r="S100" t="s">
        <v>401</v>
      </c>
      <c r="T100" t="s">
        <v>568</v>
      </c>
      <c r="U100">
        <v>1.9691761815561003E-2</v>
      </c>
      <c r="V100" t="s">
        <v>162</v>
      </c>
      <c r="AK100">
        <v>2044</v>
      </c>
      <c r="AL100" t="s">
        <v>559</v>
      </c>
      <c r="AM100">
        <v>0.50009999999999999</v>
      </c>
      <c r="AN100" t="s">
        <v>510</v>
      </c>
    </row>
    <row r="101" spans="9:40" x14ac:dyDescent="0.45">
      <c r="I101" t="s">
        <v>177</v>
      </c>
      <c r="J101" t="s">
        <v>569</v>
      </c>
      <c r="K101">
        <v>0.27428270012791417</v>
      </c>
      <c r="L101" t="s">
        <v>162</v>
      </c>
      <c r="N101" t="s">
        <v>289</v>
      </c>
      <c r="O101" t="s">
        <v>569</v>
      </c>
      <c r="P101">
        <v>7.6337331367458752E-2</v>
      </c>
      <c r="Q101" t="s">
        <v>162</v>
      </c>
      <c r="S101" t="s">
        <v>401</v>
      </c>
      <c r="T101" t="s">
        <v>569</v>
      </c>
      <c r="U101">
        <v>0.10556517507866604</v>
      </c>
      <c r="V101" t="s">
        <v>162</v>
      </c>
      <c r="AK101">
        <v>2044</v>
      </c>
      <c r="AL101" t="s">
        <v>560</v>
      </c>
      <c r="AM101">
        <v>0.48776666666666663</v>
      </c>
      <c r="AN101" t="s">
        <v>510</v>
      </c>
    </row>
    <row r="102" spans="9:40" x14ac:dyDescent="0.45">
      <c r="I102" t="s">
        <v>177</v>
      </c>
      <c r="J102" t="s">
        <v>570</v>
      </c>
      <c r="K102">
        <v>2.5832354943488723E-2</v>
      </c>
      <c r="L102" t="s">
        <v>162</v>
      </c>
      <c r="N102" t="s">
        <v>289</v>
      </c>
      <c r="O102" t="s">
        <v>570</v>
      </c>
      <c r="P102">
        <v>5.4257979984694935E-2</v>
      </c>
      <c r="Q102" t="s">
        <v>162</v>
      </c>
      <c r="S102" t="s">
        <v>401</v>
      </c>
      <c r="T102" t="s">
        <v>570</v>
      </c>
      <c r="U102">
        <v>0.12363125573005272</v>
      </c>
      <c r="V102" t="s">
        <v>162</v>
      </c>
      <c r="AK102">
        <v>2044</v>
      </c>
      <c r="AL102" t="s">
        <v>562</v>
      </c>
      <c r="AM102">
        <v>0.65540000000000009</v>
      </c>
      <c r="AN102" t="s">
        <v>510</v>
      </c>
    </row>
    <row r="103" spans="9:40" x14ac:dyDescent="0.45">
      <c r="I103" t="s">
        <v>177</v>
      </c>
      <c r="J103" t="s">
        <v>571</v>
      </c>
      <c r="K103">
        <v>3.6691132596131347E-2</v>
      </c>
      <c r="L103" t="s">
        <v>162</v>
      </c>
      <c r="N103" t="s">
        <v>289</v>
      </c>
      <c r="O103" t="s">
        <v>571</v>
      </c>
      <c r="P103">
        <v>1.5322630961722667E-2</v>
      </c>
      <c r="Q103" t="s">
        <v>162</v>
      </c>
      <c r="S103" t="s">
        <v>401</v>
      </c>
      <c r="T103" t="s">
        <v>571</v>
      </c>
      <c r="U103">
        <v>2.0940557084853893E-2</v>
      </c>
      <c r="V103" t="s">
        <v>162</v>
      </c>
      <c r="AK103">
        <v>2045</v>
      </c>
      <c r="AL103" t="s">
        <v>557</v>
      </c>
      <c r="AM103">
        <v>0.47326666666666667</v>
      </c>
      <c r="AN103" t="s">
        <v>510</v>
      </c>
    </row>
    <row r="104" spans="9:40" x14ac:dyDescent="0.45">
      <c r="I104" t="s">
        <v>177</v>
      </c>
      <c r="J104" t="s">
        <v>572</v>
      </c>
      <c r="K104">
        <v>0.1387040258948265</v>
      </c>
      <c r="L104" t="s">
        <v>162</v>
      </c>
      <c r="N104" t="s">
        <v>289</v>
      </c>
      <c r="O104" t="s">
        <v>572</v>
      </c>
      <c r="P104">
        <v>0.1273297702273376</v>
      </c>
      <c r="Q104" t="s">
        <v>162</v>
      </c>
      <c r="S104" t="s">
        <v>401</v>
      </c>
      <c r="T104" t="s">
        <v>572</v>
      </c>
      <c r="U104">
        <v>9.2259961819751546E-2</v>
      </c>
      <c r="V104" t="s">
        <v>162</v>
      </c>
      <c r="AK104">
        <v>2045</v>
      </c>
      <c r="AL104" t="s">
        <v>559</v>
      </c>
      <c r="AM104">
        <v>0.51639999999999997</v>
      </c>
      <c r="AN104" t="s">
        <v>510</v>
      </c>
    </row>
    <row r="105" spans="9:40" x14ac:dyDescent="0.45">
      <c r="I105" t="s">
        <v>177</v>
      </c>
      <c r="J105" t="s">
        <v>573</v>
      </c>
      <c r="K105">
        <v>0</v>
      </c>
      <c r="L105" t="s">
        <v>162</v>
      </c>
      <c r="N105" t="s">
        <v>289</v>
      </c>
      <c r="O105" t="s">
        <v>573</v>
      </c>
      <c r="P105">
        <v>0.13355009136857932</v>
      </c>
      <c r="Q105" t="s">
        <v>162</v>
      </c>
      <c r="S105" t="s">
        <v>401</v>
      </c>
      <c r="T105" t="s">
        <v>573</v>
      </c>
      <c r="U105">
        <v>9.137934717554537E-2</v>
      </c>
      <c r="V105" t="s">
        <v>162</v>
      </c>
      <c r="AK105">
        <v>2045</v>
      </c>
      <c r="AL105" t="s">
        <v>560</v>
      </c>
      <c r="AM105">
        <v>0.46713333333333334</v>
      </c>
      <c r="AN105" t="s">
        <v>510</v>
      </c>
    </row>
    <row r="106" spans="9:40" x14ac:dyDescent="0.45">
      <c r="I106" t="s">
        <v>177</v>
      </c>
      <c r="J106" t="s">
        <v>574</v>
      </c>
      <c r="K106">
        <v>5.3344099839190548E-3</v>
      </c>
      <c r="L106" t="s">
        <v>162</v>
      </c>
      <c r="N106" t="s">
        <v>289</v>
      </c>
      <c r="O106" t="s">
        <v>574</v>
      </c>
      <c r="P106">
        <v>2.5610221453237852E-2</v>
      </c>
      <c r="Q106" t="s">
        <v>162</v>
      </c>
      <c r="S106" t="s">
        <v>401</v>
      </c>
      <c r="T106" t="s">
        <v>574</v>
      </c>
      <c r="U106">
        <v>1.6357922607068281E-2</v>
      </c>
      <c r="V106" t="s">
        <v>162</v>
      </c>
      <c r="AK106">
        <v>2045</v>
      </c>
      <c r="AL106" t="s">
        <v>562</v>
      </c>
      <c r="AM106">
        <v>0.64226666666666665</v>
      </c>
      <c r="AN106" t="s">
        <v>510</v>
      </c>
    </row>
    <row r="107" spans="9:40" x14ac:dyDescent="0.45">
      <c r="I107" t="s">
        <v>178</v>
      </c>
      <c r="J107" t="s">
        <v>563</v>
      </c>
      <c r="K107">
        <v>0.15532620530972771</v>
      </c>
      <c r="L107" t="s">
        <v>162</v>
      </c>
      <c r="N107" t="s">
        <v>290</v>
      </c>
      <c r="O107" t="s">
        <v>563</v>
      </c>
      <c r="P107">
        <v>0.14060798168972741</v>
      </c>
      <c r="Q107" t="s">
        <v>162</v>
      </c>
      <c r="S107" t="s">
        <v>402</v>
      </c>
      <c r="T107" t="s">
        <v>563</v>
      </c>
      <c r="U107">
        <v>0.13755375573029652</v>
      </c>
      <c r="V107" t="s">
        <v>162</v>
      </c>
      <c r="AK107">
        <v>2046</v>
      </c>
      <c r="AL107" t="s">
        <v>557</v>
      </c>
      <c r="AM107">
        <v>0.49446666666666667</v>
      </c>
      <c r="AN107" t="s">
        <v>510</v>
      </c>
    </row>
    <row r="108" spans="9:40" x14ac:dyDescent="0.45">
      <c r="I108" t="s">
        <v>178</v>
      </c>
      <c r="J108" t="s">
        <v>564</v>
      </c>
      <c r="K108">
        <v>3.188798593633473E-4</v>
      </c>
      <c r="L108" t="s">
        <v>162</v>
      </c>
      <c r="N108" t="s">
        <v>290</v>
      </c>
      <c r="O108" t="s">
        <v>564</v>
      </c>
      <c r="P108">
        <v>0.13058638321503682</v>
      </c>
      <c r="Q108" t="s">
        <v>162</v>
      </c>
      <c r="S108" t="s">
        <v>402</v>
      </c>
      <c r="T108" t="s">
        <v>564</v>
      </c>
      <c r="U108">
        <v>0.14148362035184178</v>
      </c>
      <c r="V108" t="s">
        <v>162</v>
      </c>
      <c r="AK108">
        <v>2046</v>
      </c>
      <c r="AL108" t="s">
        <v>559</v>
      </c>
      <c r="AM108">
        <v>0.54430000000000012</v>
      </c>
      <c r="AN108" t="s">
        <v>510</v>
      </c>
    </row>
    <row r="109" spans="9:40" x14ac:dyDescent="0.45">
      <c r="I109" t="s">
        <v>178</v>
      </c>
      <c r="J109" t="s">
        <v>565</v>
      </c>
      <c r="K109">
        <v>8.8710225125499132E-3</v>
      </c>
      <c r="L109" t="s">
        <v>162</v>
      </c>
      <c r="N109" t="s">
        <v>290</v>
      </c>
      <c r="O109" t="s">
        <v>565</v>
      </c>
      <c r="P109">
        <v>2.7855803719838083E-2</v>
      </c>
      <c r="Q109" t="s">
        <v>162</v>
      </c>
      <c r="S109" t="s">
        <v>402</v>
      </c>
      <c r="T109" t="s">
        <v>565</v>
      </c>
      <c r="U109">
        <v>2.5916831424992369E-2</v>
      </c>
      <c r="V109" t="s">
        <v>162</v>
      </c>
      <c r="AK109">
        <v>2046</v>
      </c>
      <c r="AL109" t="s">
        <v>560</v>
      </c>
      <c r="AM109">
        <v>0.45746666666666663</v>
      </c>
      <c r="AN109" t="s">
        <v>510</v>
      </c>
    </row>
    <row r="110" spans="9:40" x14ac:dyDescent="0.45">
      <c r="I110" t="s">
        <v>178</v>
      </c>
      <c r="J110" t="s">
        <v>566</v>
      </c>
      <c r="K110">
        <v>0.29164460611577969</v>
      </c>
      <c r="L110" t="s">
        <v>162</v>
      </c>
      <c r="N110" t="s">
        <v>290</v>
      </c>
      <c r="O110" t="s">
        <v>566</v>
      </c>
      <c r="P110">
        <v>0.15327956411372473</v>
      </c>
      <c r="Q110" t="s">
        <v>162</v>
      </c>
      <c r="S110" t="s">
        <v>402</v>
      </c>
      <c r="T110" t="s">
        <v>566</v>
      </c>
      <c r="U110">
        <v>0.10665712670777305</v>
      </c>
      <c r="V110" t="s">
        <v>162</v>
      </c>
      <c r="AK110">
        <v>2046</v>
      </c>
      <c r="AL110" t="s">
        <v>562</v>
      </c>
      <c r="AM110">
        <v>0.6404333333333333</v>
      </c>
      <c r="AN110" t="s">
        <v>510</v>
      </c>
    </row>
    <row r="111" spans="9:40" x14ac:dyDescent="0.45">
      <c r="I111" t="s">
        <v>178</v>
      </c>
      <c r="J111" t="s">
        <v>567</v>
      </c>
      <c r="K111">
        <v>1.0248790570205992E-2</v>
      </c>
      <c r="L111" t="s">
        <v>162</v>
      </c>
      <c r="N111" t="s">
        <v>290</v>
      </c>
      <c r="O111" t="s">
        <v>567</v>
      </c>
      <c r="P111">
        <v>0.10608129295029646</v>
      </c>
      <c r="Q111" t="s">
        <v>162</v>
      </c>
      <c r="S111" t="s">
        <v>402</v>
      </c>
      <c r="T111" t="s">
        <v>567</v>
      </c>
      <c r="U111">
        <v>0.11307087310544597</v>
      </c>
      <c r="V111" t="s">
        <v>162</v>
      </c>
      <c r="AK111">
        <v>2047</v>
      </c>
      <c r="AL111" t="s">
        <v>557</v>
      </c>
      <c r="AM111">
        <v>0.51690000000000003</v>
      </c>
      <c r="AN111" t="s">
        <v>510</v>
      </c>
    </row>
    <row r="112" spans="9:40" x14ac:dyDescent="0.45">
      <c r="I112" t="s">
        <v>178</v>
      </c>
      <c r="J112" t="s">
        <v>568</v>
      </c>
      <c r="K112">
        <v>3.4897327175919153E-2</v>
      </c>
      <c r="L112" t="s">
        <v>162</v>
      </c>
      <c r="N112" t="s">
        <v>290</v>
      </c>
      <c r="O112" t="s">
        <v>568</v>
      </c>
      <c r="P112">
        <v>2.8307745623909648E-2</v>
      </c>
      <c r="Q112" t="s">
        <v>162</v>
      </c>
      <c r="S112" t="s">
        <v>402</v>
      </c>
      <c r="T112" t="s">
        <v>568</v>
      </c>
      <c r="U112">
        <v>1.9781891807186182E-2</v>
      </c>
      <c r="V112" t="s">
        <v>162</v>
      </c>
      <c r="AK112">
        <v>2047</v>
      </c>
      <c r="AL112" t="s">
        <v>559</v>
      </c>
      <c r="AM112">
        <v>0.52690000000000003</v>
      </c>
      <c r="AN112" t="s">
        <v>510</v>
      </c>
    </row>
    <row r="113" spans="9:40" x14ac:dyDescent="0.45">
      <c r="I113" t="s">
        <v>178</v>
      </c>
      <c r="J113" t="s">
        <v>569</v>
      </c>
      <c r="K113">
        <v>0.28925607534145303</v>
      </c>
      <c r="L113" t="s">
        <v>162</v>
      </c>
      <c r="N113" t="s">
        <v>290</v>
      </c>
      <c r="O113" t="s">
        <v>569</v>
      </c>
      <c r="P113">
        <v>6.7451197881076716E-2</v>
      </c>
      <c r="Q113" t="s">
        <v>162</v>
      </c>
      <c r="S113" t="s">
        <v>402</v>
      </c>
      <c r="T113" t="s">
        <v>569</v>
      </c>
      <c r="U113">
        <v>0.11197580188631208</v>
      </c>
      <c r="V113" t="s">
        <v>162</v>
      </c>
      <c r="AK113">
        <v>2047</v>
      </c>
      <c r="AL113" t="s">
        <v>560</v>
      </c>
      <c r="AM113">
        <v>0.48776666666666668</v>
      </c>
      <c r="AN113" t="s">
        <v>510</v>
      </c>
    </row>
    <row r="114" spans="9:40" x14ac:dyDescent="0.45">
      <c r="I114" t="s">
        <v>178</v>
      </c>
      <c r="J114" t="s">
        <v>570</v>
      </c>
      <c r="K114">
        <v>2.2868937124264955E-2</v>
      </c>
      <c r="L114" t="s">
        <v>162</v>
      </c>
      <c r="N114" t="s">
        <v>290</v>
      </c>
      <c r="O114" t="s">
        <v>570</v>
      </c>
      <c r="P114">
        <v>4.0970019266955406E-2</v>
      </c>
      <c r="Q114" t="s">
        <v>162</v>
      </c>
      <c r="S114" t="s">
        <v>402</v>
      </c>
      <c r="T114" t="s">
        <v>570</v>
      </c>
      <c r="U114">
        <v>0.12149201518060679</v>
      </c>
      <c r="V114" t="s">
        <v>162</v>
      </c>
      <c r="AK114">
        <v>2047</v>
      </c>
      <c r="AL114" t="s">
        <v>562</v>
      </c>
      <c r="AM114">
        <v>0.60396666666666665</v>
      </c>
      <c r="AN114" t="s">
        <v>510</v>
      </c>
    </row>
    <row r="115" spans="9:40" x14ac:dyDescent="0.45">
      <c r="I115" t="s">
        <v>178</v>
      </c>
      <c r="J115" t="s">
        <v>571</v>
      </c>
      <c r="K115">
        <v>3.8010207951493284E-2</v>
      </c>
      <c r="L115" t="s">
        <v>162</v>
      </c>
      <c r="N115" t="s">
        <v>290</v>
      </c>
      <c r="O115" t="s">
        <v>571</v>
      </c>
      <c r="P115">
        <v>1.5246806348594105E-2</v>
      </c>
      <c r="Q115" t="s">
        <v>162</v>
      </c>
      <c r="S115" t="s">
        <v>402</v>
      </c>
      <c r="T115" t="s">
        <v>571</v>
      </c>
      <c r="U115">
        <v>2.1934339834981831E-2</v>
      </c>
      <c r="V115" t="s">
        <v>162</v>
      </c>
      <c r="AK115">
        <v>2048</v>
      </c>
      <c r="AL115" t="s">
        <v>557</v>
      </c>
      <c r="AM115">
        <v>0.49710000000000004</v>
      </c>
      <c r="AN115" t="s">
        <v>510</v>
      </c>
    </row>
    <row r="116" spans="9:40" x14ac:dyDescent="0.45">
      <c r="I116" t="s">
        <v>178</v>
      </c>
      <c r="J116" t="s">
        <v>572</v>
      </c>
      <c r="K116">
        <v>0.14432813968024003</v>
      </c>
      <c r="L116" t="s">
        <v>162</v>
      </c>
      <c r="N116" t="s">
        <v>290</v>
      </c>
      <c r="O116" t="s">
        <v>572</v>
      </c>
      <c r="P116">
        <v>0.12970671308172541</v>
      </c>
      <c r="Q116" t="s">
        <v>162</v>
      </c>
      <c r="S116" t="s">
        <v>402</v>
      </c>
      <c r="T116" t="s">
        <v>572</v>
      </c>
      <c r="U116">
        <v>9.0671497251440164E-2</v>
      </c>
      <c r="V116" t="s">
        <v>162</v>
      </c>
      <c r="AK116">
        <v>2048</v>
      </c>
      <c r="AL116" t="s">
        <v>559</v>
      </c>
      <c r="AM116">
        <v>0.54926666666666668</v>
      </c>
      <c r="AN116" t="s">
        <v>510</v>
      </c>
    </row>
    <row r="117" spans="9:40" x14ac:dyDescent="0.45">
      <c r="I117" t="s">
        <v>178</v>
      </c>
      <c r="J117" t="s">
        <v>573</v>
      </c>
      <c r="K117">
        <v>0</v>
      </c>
      <c r="L117" t="s">
        <v>162</v>
      </c>
      <c r="N117" t="s">
        <v>290</v>
      </c>
      <c r="O117" t="s">
        <v>573</v>
      </c>
      <c r="P117">
        <v>0.13337528023287387</v>
      </c>
      <c r="Q117" t="s">
        <v>162</v>
      </c>
      <c r="S117" t="s">
        <v>402</v>
      </c>
      <c r="T117" t="s">
        <v>573</v>
      </c>
      <c r="U117">
        <v>9.338772464153304E-2</v>
      </c>
      <c r="V117" t="s">
        <v>162</v>
      </c>
      <c r="AK117">
        <v>2048</v>
      </c>
      <c r="AL117" t="s">
        <v>560</v>
      </c>
      <c r="AM117">
        <v>0.48006666666666664</v>
      </c>
      <c r="AN117" t="s">
        <v>510</v>
      </c>
    </row>
    <row r="118" spans="9:40" x14ac:dyDescent="0.45">
      <c r="I118" t="s">
        <v>178</v>
      </c>
      <c r="J118" t="s">
        <v>574</v>
      </c>
      <c r="K118">
        <v>4.2298083590055239E-3</v>
      </c>
      <c r="L118" t="s">
        <v>162</v>
      </c>
      <c r="N118" t="s">
        <v>290</v>
      </c>
      <c r="O118" t="s">
        <v>574</v>
      </c>
      <c r="P118">
        <v>2.6531211876244208E-2</v>
      </c>
      <c r="Q118" t="s">
        <v>162</v>
      </c>
      <c r="S118" t="s">
        <v>402</v>
      </c>
      <c r="T118" t="s">
        <v>574</v>
      </c>
      <c r="U118">
        <v>1.6074522077588721E-2</v>
      </c>
      <c r="V118" t="s">
        <v>162</v>
      </c>
      <c r="AK118">
        <v>2048</v>
      </c>
      <c r="AL118" t="s">
        <v>562</v>
      </c>
      <c r="AM118">
        <v>0.59856666666666669</v>
      </c>
      <c r="AN118" t="s">
        <v>510</v>
      </c>
    </row>
    <row r="119" spans="9:40" x14ac:dyDescent="0.45">
      <c r="I119" t="s">
        <v>179</v>
      </c>
      <c r="J119" t="s">
        <v>563</v>
      </c>
      <c r="K119">
        <v>0.14373968518902572</v>
      </c>
      <c r="L119" t="s">
        <v>162</v>
      </c>
      <c r="N119" t="s">
        <v>291</v>
      </c>
      <c r="O119" t="s">
        <v>563</v>
      </c>
      <c r="P119">
        <v>0.12513808186282935</v>
      </c>
      <c r="Q119" t="s">
        <v>162</v>
      </c>
      <c r="S119" t="s">
        <v>403</v>
      </c>
      <c r="T119" t="s">
        <v>563</v>
      </c>
      <c r="U119">
        <v>0.1249099847607122</v>
      </c>
      <c r="V119" t="s">
        <v>162</v>
      </c>
      <c r="AK119">
        <v>2049</v>
      </c>
      <c r="AL119" t="s">
        <v>557</v>
      </c>
      <c r="AM119">
        <v>0.45333333333333337</v>
      </c>
      <c r="AN119" t="s">
        <v>510</v>
      </c>
    </row>
    <row r="120" spans="9:40" x14ac:dyDescent="0.45">
      <c r="I120" t="s">
        <v>179</v>
      </c>
      <c r="J120" t="s">
        <v>564</v>
      </c>
      <c r="K120">
        <v>6.5705256452081408E-4</v>
      </c>
      <c r="L120" t="s">
        <v>162</v>
      </c>
      <c r="N120" t="s">
        <v>291</v>
      </c>
      <c r="O120" t="s">
        <v>564</v>
      </c>
      <c r="P120">
        <v>0.1311483703177227</v>
      </c>
      <c r="Q120" t="s">
        <v>162</v>
      </c>
      <c r="S120" t="s">
        <v>403</v>
      </c>
      <c r="T120" t="s">
        <v>564</v>
      </c>
      <c r="U120">
        <v>0.13389018084051943</v>
      </c>
      <c r="V120" t="s">
        <v>162</v>
      </c>
      <c r="AK120">
        <v>2049</v>
      </c>
      <c r="AL120" t="s">
        <v>559</v>
      </c>
      <c r="AM120">
        <v>0.49943333333333334</v>
      </c>
      <c r="AN120" t="s">
        <v>510</v>
      </c>
    </row>
    <row r="121" spans="9:40" x14ac:dyDescent="0.45">
      <c r="I121" t="s">
        <v>179</v>
      </c>
      <c r="J121" t="s">
        <v>565</v>
      </c>
      <c r="K121">
        <v>7.853214747662993E-3</v>
      </c>
      <c r="L121" t="s">
        <v>162</v>
      </c>
      <c r="N121" t="s">
        <v>291</v>
      </c>
      <c r="O121" t="s">
        <v>565</v>
      </c>
      <c r="P121">
        <v>2.4448282765707183E-2</v>
      </c>
      <c r="Q121" t="s">
        <v>162</v>
      </c>
      <c r="S121" t="s">
        <v>403</v>
      </c>
      <c r="T121" t="s">
        <v>565</v>
      </c>
      <c r="U121">
        <v>2.4069880437218583E-2</v>
      </c>
      <c r="V121" t="s">
        <v>162</v>
      </c>
      <c r="AK121">
        <v>2049</v>
      </c>
      <c r="AL121" t="s">
        <v>560</v>
      </c>
      <c r="AM121">
        <v>0.50819999999999999</v>
      </c>
      <c r="AN121" t="s">
        <v>510</v>
      </c>
    </row>
    <row r="122" spans="9:40" x14ac:dyDescent="0.45">
      <c r="I122" t="s">
        <v>179</v>
      </c>
      <c r="J122" t="s">
        <v>566</v>
      </c>
      <c r="K122">
        <v>0.30255017129668244</v>
      </c>
      <c r="L122" t="s">
        <v>162</v>
      </c>
      <c r="N122" t="s">
        <v>291</v>
      </c>
      <c r="O122" t="s">
        <v>566</v>
      </c>
      <c r="P122">
        <v>0.15444053389605628</v>
      </c>
      <c r="Q122" t="s">
        <v>162</v>
      </c>
      <c r="S122" t="s">
        <v>403</v>
      </c>
      <c r="T122" t="s">
        <v>566</v>
      </c>
      <c r="U122">
        <v>0.10955478770472607</v>
      </c>
      <c r="V122" t="s">
        <v>162</v>
      </c>
      <c r="AK122">
        <v>2049</v>
      </c>
      <c r="AL122" t="s">
        <v>562</v>
      </c>
      <c r="AM122">
        <v>0.67006666666666659</v>
      </c>
      <c r="AN122" t="s">
        <v>510</v>
      </c>
    </row>
    <row r="123" spans="9:40" x14ac:dyDescent="0.45">
      <c r="I123" t="s">
        <v>179</v>
      </c>
      <c r="J123" t="s">
        <v>567</v>
      </c>
      <c r="K123">
        <v>1.2741508570159587E-2</v>
      </c>
      <c r="L123" t="s">
        <v>162</v>
      </c>
      <c r="N123" t="s">
        <v>291</v>
      </c>
      <c r="O123" t="s">
        <v>567</v>
      </c>
      <c r="P123">
        <v>0.13358693569068564</v>
      </c>
      <c r="Q123" t="s">
        <v>162</v>
      </c>
      <c r="S123" t="s">
        <v>403</v>
      </c>
      <c r="T123" t="s">
        <v>567</v>
      </c>
      <c r="U123">
        <v>0.11298347460619622</v>
      </c>
      <c r="V123" t="s">
        <v>162</v>
      </c>
      <c r="AK123">
        <v>2050</v>
      </c>
      <c r="AL123" t="s">
        <v>557</v>
      </c>
      <c r="AM123">
        <v>0.47803333333333331</v>
      </c>
      <c r="AN123" t="s">
        <v>510</v>
      </c>
    </row>
    <row r="124" spans="9:40" x14ac:dyDescent="0.45">
      <c r="I124" t="s">
        <v>179</v>
      </c>
      <c r="J124" t="s">
        <v>568</v>
      </c>
      <c r="K124">
        <v>4.0093672196656029E-2</v>
      </c>
      <c r="L124" t="s">
        <v>162</v>
      </c>
      <c r="N124" t="s">
        <v>291</v>
      </c>
      <c r="O124" t="s">
        <v>568</v>
      </c>
      <c r="P124">
        <v>2.9008408345416202E-2</v>
      </c>
      <c r="Q124" t="s">
        <v>162</v>
      </c>
      <c r="S124" t="s">
        <v>403</v>
      </c>
      <c r="T124" t="s">
        <v>568</v>
      </c>
      <c r="U124">
        <v>2.009543308023767E-2</v>
      </c>
      <c r="V124" t="s">
        <v>162</v>
      </c>
      <c r="AK124">
        <v>2050</v>
      </c>
      <c r="AL124" t="s">
        <v>559</v>
      </c>
      <c r="AM124">
        <v>0.5423</v>
      </c>
      <c r="AN124" t="s">
        <v>510</v>
      </c>
    </row>
    <row r="125" spans="9:40" x14ac:dyDescent="0.45">
      <c r="I125" t="s">
        <v>179</v>
      </c>
      <c r="J125" t="s">
        <v>569</v>
      </c>
      <c r="K125">
        <v>0.26729729259157337</v>
      </c>
      <c r="L125" t="s">
        <v>162</v>
      </c>
      <c r="N125" t="s">
        <v>291</v>
      </c>
      <c r="O125" t="s">
        <v>569</v>
      </c>
      <c r="P125">
        <v>8.211915301323508E-2</v>
      </c>
      <c r="Q125" t="s">
        <v>162</v>
      </c>
      <c r="S125" t="s">
        <v>403</v>
      </c>
      <c r="T125" t="s">
        <v>569</v>
      </c>
      <c r="U125">
        <v>0.1252566189244626</v>
      </c>
      <c r="V125" t="s">
        <v>162</v>
      </c>
      <c r="AK125">
        <v>2050</v>
      </c>
      <c r="AL125" t="s">
        <v>560</v>
      </c>
      <c r="AM125">
        <v>0.47336666666666671</v>
      </c>
      <c r="AN125" t="s">
        <v>510</v>
      </c>
    </row>
    <row r="126" spans="9:40" x14ac:dyDescent="0.45">
      <c r="I126" t="s">
        <v>179</v>
      </c>
      <c r="J126" t="s">
        <v>570</v>
      </c>
      <c r="K126">
        <v>2.3634420047624387E-2</v>
      </c>
      <c r="L126" t="s">
        <v>162</v>
      </c>
      <c r="N126" t="s">
        <v>291</v>
      </c>
      <c r="O126" t="s">
        <v>570</v>
      </c>
      <c r="P126">
        <v>8.275774651173412E-2</v>
      </c>
      <c r="Q126" t="s">
        <v>162</v>
      </c>
      <c r="S126" t="s">
        <v>403</v>
      </c>
      <c r="T126" t="s">
        <v>570</v>
      </c>
      <c r="U126">
        <v>0.13070444364534708</v>
      </c>
      <c r="V126" t="s">
        <v>162</v>
      </c>
      <c r="AK126">
        <v>2050</v>
      </c>
      <c r="AL126" t="s">
        <v>562</v>
      </c>
      <c r="AM126">
        <v>0.63529999999999998</v>
      </c>
      <c r="AN126" t="s">
        <v>510</v>
      </c>
    </row>
    <row r="127" spans="9:40" x14ac:dyDescent="0.45">
      <c r="I127" t="s">
        <v>179</v>
      </c>
      <c r="J127" t="s">
        <v>571</v>
      </c>
      <c r="K127">
        <v>3.6202691761626667E-2</v>
      </c>
      <c r="L127" t="s">
        <v>162</v>
      </c>
      <c r="N127" t="s">
        <v>291</v>
      </c>
      <c r="O127" t="s">
        <v>571</v>
      </c>
      <c r="P127">
        <v>1.717023694206327E-2</v>
      </c>
      <c r="Q127" t="s">
        <v>162</v>
      </c>
      <c r="S127" t="s">
        <v>403</v>
      </c>
      <c r="T127" t="s">
        <v>571</v>
      </c>
      <c r="U127">
        <v>2.3007529366105579E-2</v>
      </c>
      <c r="V127" t="s">
        <v>162</v>
      </c>
    </row>
    <row r="128" spans="9:40" x14ac:dyDescent="0.45">
      <c r="I128" t="s">
        <v>179</v>
      </c>
      <c r="J128" t="s">
        <v>572</v>
      </c>
      <c r="K128">
        <v>0.15885981341054145</v>
      </c>
      <c r="L128" t="s">
        <v>162</v>
      </c>
      <c r="N128" t="s">
        <v>291</v>
      </c>
      <c r="O128" t="s">
        <v>572</v>
      </c>
      <c r="P128">
        <v>9.3424838137712879E-2</v>
      </c>
      <c r="Q128" t="s">
        <v>162</v>
      </c>
      <c r="S128" t="s">
        <v>403</v>
      </c>
      <c r="T128" t="s">
        <v>572</v>
      </c>
      <c r="U128">
        <v>8.9721414097291091E-2</v>
      </c>
      <c r="V128" t="s">
        <v>162</v>
      </c>
    </row>
    <row r="129" spans="9:22" x14ac:dyDescent="0.45">
      <c r="I129" t="s">
        <v>179</v>
      </c>
      <c r="J129" t="s">
        <v>573</v>
      </c>
      <c r="K129">
        <v>0</v>
      </c>
      <c r="L129" t="s">
        <v>162</v>
      </c>
      <c r="N129" t="s">
        <v>291</v>
      </c>
      <c r="O129" t="s">
        <v>573</v>
      </c>
      <c r="P129">
        <v>0.10587713323724934</v>
      </c>
      <c r="Q129" t="s">
        <v>162</v>
      </c>
      <c r="S129" t="s">
        <v>403</v>
      </c>
      <c r="T129" t="s">
        <v>573</v>
      </c>
      <c r="U129">
        <v>9.0066247367326435E-2</v>
      </c>
      <c r="V129" t="s">
        <v>162</v>
      </c>
    </row>
    <row r="130" spans="9:22" x14ac:dyDescent="0.45">
      <c r="I130" t="s">
        <v>179</v>
      </c>
      <c r="J130" t="s">
        <v>574</v>
      </c>
      <c r="K130">
        <v>6.3704776239274282E-3</v>
      </c>
      <c r="L130" t="s">
        <v>162</v>
      </c>
      <c r="N130" t="s">
        <v>291</v>
      </c>
      <c r="O130" t="s">
        <v>574</v>
      </c>
      <c r="P130">
        <v>2.0880279279589731E-2</v>
      </c>
      <c r="Q130" t="s">
        <v>162</v>
      </c>
      <c r="S130" t="s">
        <v>403</v>
      </c>
      <c r="T130" t="s">
        <v>574</v>
      </c>
      <c r="U130">
        <v>1.5740005169856353E-2</v>
      </c>
      <c r="V130" t="s">
        <v>162</v>
      </c>
    </row>
    <row r="131" spans="9:22" x14ac:dyDescent="0.45">
      <c r="I131" t="s">
        <v>180</v>
      </c>
      <c r="J131" t="s">
        <v>563</v>
      </c>
      <c r="K131">
        <v>0.1593832971232173</v>
      </c>
      <c r="L131" t="s">
        <v>162</v>
      </c>
      <c r="N131" t="s">
        <v>292</v>
      </c>
      <c r="O131" t="s">
        <v>563</v>
      </c>
      <c r="P131">
        <v>0.14507280749287155</v>
      </c>
      <c r="Q131" t="s">
        <v>162</v>
      </c>
      <c r="S131" t="s">
        <v>404</v>
      </c>
      <c r="T131" t="s">
        <v>563</v>
      </c>
      <c r="U131">
        <v>0.13516503222891921</v>
      </c>
      <c r="V131" t="s">
        <v>162</v>
      </c>
    </row>
    <row r="132" spans="9:22" x14ac:dyDescent="0.45">
      <c r="I132" t="s">
        <v>180</v>
      </c>
      <c r="J132" t="s">
        <v>564</v>
      </c>
      <c r="K132">
        <v>1.2585949517214543E-6</v>
      </c>
      <c r="L132" t="s">
        <v>162</v>
      </c>
      <c r="N132" t="s">
        <v>292</v>
      </c>
      <c r="O132" t="s">
        <v>564</v>
      </c>
      <c r="P132">
        <v>0.1393436820896691</v>
      </c>
      <c r="Q132" t="s">
        <v>162</v>
      </c>
      <c r="S132" t="s">
        <v>404</v>
      </c>
      <c r="T132" t="s">
        <v>564</v>
      </c>
      <c r="U132">
        <v>0.12848898956622171</v>
      </c>
      <c r="V132" t="s">
        <v>162</v>
      </c>
    </row>
    <row r="133" spans="9:22" x14ac:dyDescent="0.45">
      <c r="I133" t="s">
        <v>180</v>
      </c>
      <c r="J133" t="s">
        <v>565</v>
      </c>
      <c r="K133">
        <v>7.9407879687253269E-3</v>
      </c>
      <c r="L133" t="s">
        <v>162</v>
      </c>
      <c r="N133" t="s">
        <v>292</v>
      </c>
      <c r="O133" t="s">
        <v>565</v>
      </c>
      <c r="P133">
        <v>2.5248230439725228E-2</v>
      </c>
      <c r="Q133" t="s">
        <v>162</v>
      </c>
      <c r="S133" t="s">
        <v>404</v>
      </c>
      <c r="T133" t="s">
        <v>565</v>
      </c>
      <c r="U133">
        <v>2.5806269600823672E-2</v>
      </c>
      <c r="V133" t="s">
        <v>162</v>
      </c>
    </row>
    <row r="134" spans="9:22" x14ac:dyDescent="0.45">
      <c r="I134" t="s">
        <v>180</v>
      </c>
      <c r="J134" t="s">
        <v>566</v>
      </c>
      <c r="K134">
        <v>0.26686859697748933</v>
      </c>
      <c r="L134" t="s">
        <v>162</v>
      </c>
      <c r="N134" t="s">
        <v>292</v>
      </c>
      <c r="O134" t="s">
        <v>566</v>
      </c>
      <c r="P134">
        <v>0.14361929058719689</v>
      </c>
      <c r="Q134" t="s">
        <v>162</v>
      </c>
      <c r="S134" t="s">
        <v>404</v>
      </c>
      <c r="T134" t="s">
        <v>566</v>
      </c>
      <c r="U134">
        <v>0.10631765411051372</v>
      </c>
      <c r="V134" t="s">
        <v>162</v>
      </c>
    </row>
    <row r="135" spans="9:22" x14ac:dyDescent="0.45">
      <c r="I135" t="s">
        <v>180</v>
      </c>
      <c r="J135" t="s">
        <v>567</v>
      </c>
      <c r="K135">
        <v>7.9655260668155415E-3</v>
      </c>
      <c r="L135" t="s">
        <v>162</v>
      </c>
      <c r="N135" t="s">
        <v>292</v>
      </c>
      <c r="O135" t="s">
        <v>567</v>
      </c>
      <c r="P135">
        <v>0.12408699037117897</v>
      </c>
      <c r="Q135" t="s">
        <v>162</v>
      </c>
      <c r="S135" t="s">
        <v>404</v>
      </c>
      <c r="T135" t="s">
        <v>567</v>
      </c>
      <c r="U135">
        <v>0.11098562825693054</v>
      </c>
      <c r="V135" t="s">
        <v>162</v>
      </c>
    </row>
    <row r="136" spans="9:22" x14ac:dyDescent="0.45">
      <c r="I136" t="s">
        <v>180</v>
      </c>
      <c r="J136" t="s">
        <v>568</v>
      </c>
      <c r="K136">
        <v>3.0070585749824259E-2</v>
      </c>
      <c r="L136" t="s">
        <v>162</v>
      </c>
      <c r="N136" t="s">
        <v>292</v>
      </c>
      <c r="O136" t="s">
        <v>568</v>
      </c>
      <c r="P136">
        <v>2.3888966046272136E-2</v>
      </c>
      <c r="Q136" t="s">
        <v>162</v>
      </c>
      <c r="S136" t="s">
        <v>404</v>
      </c>
      <c r="T136" t="s">
        <v>568</v>
      </c>
      <c r="U136">
        <v>2.0239732110450395E-2</v>
      </c>
      <c r="V136" t="s">
        <v>162</v>
      </c>
    </row>
    <row r="137" spans="9:22" x14ac:dyDescent="0.45">
      <c r="I137" t="s">
        <v>180</v>
      </c>
      <c r="J137" t="s">
        <v>569</v>
      </c>
      <c r="K137">
        <v>0.30804373554634973</v>
      </c>
      <c r="L137" t="s">
        <v>162</v>
      </c>
      <c r="N137" t="s">
        <v>292</v>
      </c>
      <c r="O137" t="s">
        <v>569</v>
      </c>
      <c r="P137">
        <v>8.2221263345898118E-2</v>
      </c>
      <c r="Q137" t="s">
        <v>162</v>
      </c>
      <c r="S137" t="s">
        <v>404</v>
      </c>
      <c r="T137" t="s">
        <v>569</v>
      </c>
      <c r="U137">
        <v>0.12078329288968577</v>
      </c>
      <c r="V137" t="s">
        <v>162</v>
      </c>
    </row>
    <row r="138" spans="9:22" x14ac:dyDescent="0.45">
      <c r="I138" t="s">
        <v>180</v>
      </c>
      <c r="J138" t="s">
        <v>570</v>
      </c>
      <c r="K138">
        <v>2.2894425388402598E-2</v>
      </c>
      <c r="L138" t="s">
        <v>162</v>
      </c>
      <c r="N138" t="s">
        <v>292</v>
      </c>
      <c r="O138" t="s">
        <v>570</v>
      </c>
      <c r="P138">
        <v>7.4580930601379034E-2</v>
      </c>
      <c r="Q138" t="s">
        <v>162</v>
      </c>
      <c r="S138" t="s">
        <v>404</v>
      </c>
      <c r="T138" t="s">
        <v>570</v>
      </c>
      <c r="U138">
        <v>0.12712455441386586</v>
      </c>
      <c r="V138" t="s">
        <v>162</v>
      </c>
    </row>
    <row r="139" spans="9:22" x14ac:dyDescent="0.45">
      <c r="I139" t="s">
        <v>180</v>
      </c>
      <c r="J139" t="s">
        <v>571</v>
      </c>
      <c r="K139">
        <v>4.0773810504850454E-2</v>
      </c>
      <c r="L139" t="s">
        <v>162</v>
      </c>
      <c r="N139" t="s">
        <v>292</v>
      </c>
      <c r="O139" t="s">
        <v>571</v>
      </c>
      <c r="P139">
        <v>1.2433400331700073E-2</v>
      </c>
      <c r="Q139" t="s">
        <v>162</v>
      </c>
      <c r="S139" t="s">
        <v>404</v>
      </c>
      <c r="T139" t="s">
        <v>571</v>
      </c>
      <c r="U139">
        <v>2.3070431774148775E-2</v>
      </c>
      <c r="V139" t="s">
        <v>162</v>
      </c>
    </row>
    <row r="140" spans="9:22" x14ac:dyDescent="0.45">
      <c r="I140" t="s">
        <v>180</v>
      </c>
      <c r="J140" t="s">
        <v>572</v>
      </c>
      <c r="K140">
        <v>0.1525147691696192</v>
      </c>
      <c r="L140" t="s">
        <v>162</v>
      </c>
      <c r="N140" t="s">
        <v>292</v>
      </c>
      <c r="O140" t="s">
        <v>572</v>
      </c>
      <c r="P140">
        <v>0.10138409176623064</v>
      </c>
      <c r="Q140" t="s">
        <v>162</v>
      </c>
      <c r="S140" t="s">
        <v>404</v>
      </c>
      <c r="T140" t="s">
        <v>572</v>
      </c>
      <c r="U140">
        <v>9.2858005702625451E-2</v>
      </c>
      <c r="V140" t="s">
        <v>162</v>
      </c>
    </row>
    <row r="141" spans="9:22" x14ac:dyDescent="0.45">
      <c r="I141" t="s">
        <v>180</v>
      </c>
      <c r="J141" t="s">
        <v>573</v>
      </c>
      <c r="K141">
        <v>0</v>
      </c>
      <c r="L141" t="s">
        <v>162</v>
      </c>
      <c r="N141" t="s">
        <v>292</v>
      </c>
      <c r="O141" t="s">
        <v>573</v>
      </c>
      <c r="P141">
        <v>0.10904545900958476</v>
      </c>
      <c r="Q141" t="s">
        <v>162</v>
      </c>
      <c r="S141" t="s">
        <v>404</v>
      </c>
      <c r="T141" t="s">
        <v>573</v>
      </c>
      <c r="U141">
        <v>9.3037494754893368E-2</v>
      </c>
      <c r="V141" t="s">
        <v>162</v>
      </c>
    </row>
    <row r="142" spans="9:22" x14ac:dyDescent="0.45">
      <c r="I142" t="s">
        <v>180</v>
      </c>
      <c r="J142" t="s">
        <v>574</v>
      </c>
      <c r="K142">
        <v>3.5432069097520078E-3</v>
      </c>
      <c r="L142" t="s">
        <v>162</v>
      </c>
      <c r="N142" t="s">
        <v>292</v>
      </c>
      <c r="O142" t="s">
        <v>574</v>
      </c>
      <c r="P142">
        <v>1.9074887918294731E-2</v>
      </c>
      <c r="Q142" t="s">
        <v>162</v>
      </c>
      <c r="S142" t="s">
        <v>404</v>
      </c>
      <c r="T142" t="s">
        <v>574</v>
      </c>
      <c r="U142">
        <v>1.6122914590923854E-2</v>
      </c>
      <c r="V142" t="s">
        <v>162</v>
      </c>
    </row>
    <row r="143" spans="9:22" x14ac:dyDescent="0.45">
      <c r="I143" t="s">
        <v>181</v>
      </c>
      <c r="J143" t="s">
        <v>563</v>
      </c>
      <c r="K143">
        <v>0.16125762178071534</v>
      </c>
      <c r="L143" t="s">
        <v>162</v>
      </c>
      <c r="N143" t="s">
        <v>293</v>
      </c>
      <c r="O143" t="s">
        <v>563</v>
      </c>
      <c r="P143">
        <v>0.12491030168654874</v>
      </c>
      <c r="Q143" t="s">
        <v>162</v>
      </c>
      <c r="S143" t="s">
        <v>405</v>
      </c>
      <c r="T143" t="s">
        <v>563</v>
      </c>
      <c r="U143">
        <v>0.13690390633268934</v>
      </c>
      <c r="V143" t="s">
        <v>162</v>
      </c>
    </row>
    <row r="144" spans="9:22" x14ac:dyDescent="0.45">
      <c r="I144" t="s">
        <v>181</v>
      </c>
      <c r="J144" t="s">
        <v>564</v>
      </c>
      <c r="K144">
        <v>3.5977503093656776E-4</v>
      </c>
      <c r="L144" t="s">
        <v>162</v>
      </c>
      <c r="N144" t="s">
        <v>293</v>
      </c>
      <c r="O144" t="s">
        <v>564</v>
      </c>
      <c r="P144">
        <v>0.12792277341166125</v>
      </c>
      <c r="Q144" t="s">
        <v>162</v>
      </c>
      <c r="S144" t="s">
        <v>405</v>
      </c>
      <c r="T144" t="s">
        <v>564</v>
      </c>
      <c r="U144">
        <v>0.13513395093809233</v>
      </c>
      <c r="V144" t="s">
        <v>162</v>
      </c>
    </row>
    <row r="145" spans="9:22" x14ac:dyDescent="0.45">
      <c r="I145" t="s">
        <v>181</v>
      </c>
      <c r="J145" t="s">
        <v>565</v>
      </c>
      <c r="K145">
        <v>1.2410579100429718E-2</v>
      </c>
      <c r="L145" t="s">
        <v>162</v>
      </c>
      <c r="N145" t="s">
        <v>293</v>
      </c>
      <c r="O145" t="s">
        <v>565</v>
      </c>
      <c r="P145">
        <v>2.4470235616471131E-2</v>
      </c>
      <c r="Q145" t="s">
        <v>162</v>
      </c>
      <c r="S145" t="s">
        <v>405</v>
      </c>
      <c r="T145" t="s">
        <v>565</v>
      </c>
      <c r="U145">
        <v>2.7083979607829718E-2</v>
      </c>
      <c r="V145" t="s">
        <v>162</v>
      </c>
    </row>
    <row r="146" spans="9:22" x14ac:dyDescent="0.45">
      <c r="I146" t="s">
        <v>181</v>
      </c>
      <c r="J146" t="s">
        <v>566</v>
      </c>
      <c r="K146">
        <v>0.26356492831543338</v>
      </c>
      <c r="L146" t="s">
        <v>162</v>
      </c>
      <c r="N146" t="s">
        <v>293</v>
      </c>
      <c r="O146" t="s">
        <v>566</v>
      </c>
      <c r="P146">
        <v>0.13242986460691428</v>
      </c>
      <c r="Q146" t="s">
        <v>162</v>
      </c>
      <c r="S146" t="s">
        <v>405</v>
      </c>
      <c r="T146" t="s">
        <v>566</v>
      </c>
      <c r="U146">
        <v>0.10451676215912488</v>
      </c>
      <c r="V146" t="s">
        <v>162</v>
      </c>
    </row>
    <row r="147" spans="9:22" x14ac:dyDescent="0.45">
      <c r="I147" t="s">
        <v>181</v>
      </c>
      <c r="J147" t="s">
        <v>567</v>
      </c>
      <c r="K147">
        <v>9.6929597286232738E-3</v>
      </c>
      <c r="L147" t="s">
        <v>162</v>
      </c>
      <c r="N147" t="s">
        <v>293</v>
      </c>
      <c r="O147" t="s">
        <v>567</v>
      </c>
      <c r="P147">
        <v>0.10460831793223896</v>
      </c>
      <c r="Q147" t="s">
        <v>162</v>
      </c>
      <c r="S147" t="s">
        <v>405</v>
      </c>
      <c r="T147" t="s">
        <v>567</v>
      </c>
      <c r="U147">
        <v>0.110862739732754</v>
      </c>
      <c r="V147" t="s">
        <v>162</v>
      </c>
    </row>
    <row r="148" spans="9:22" x14ac:dyDescent="0.45">
      <c r="I148" t="s">
        <v>181</v>
      </c>
      <c r="J148" t="s">
        <v>568</v>
      </c>
      <c r="K148">
        <v>3.9511014212681411E-2</v>
      </c>
      <c r="L148" t="s">
        <v>162</v>
      </c>
      <c r="N148" t="s">
        <v>293</v>
      </c>
      <c r="O148" t="s">
        <v>568</v>
      </c>
      <c r="P148">
        <v>2.2977247015427124E-2</v>
      </c>
      <c r="Q148" t="s">
        <v>162</v>
      </c>
      <c r="S148" t="s">
        <v>405</v>
      </c>
      <c r="T148" t="s">
        <v>568</v>
      </c>
      <c r="U148">
        <v>1.9452582052436013E-2</v>
      </c>
      <c r="V148" t="s">
        <v>162</v>
      </c>
    </row>
    <row r="149" spans="9:22" x14ac:dyDescent="0.45">
      <c r="I149" t="s">
        <v>181</v>
      </c>
      <c r="J149" t="s">
        <v>569</v>
      </c>
      <c r="K149">
        <v>0.30524551056821114</v>
      </c>
      <c r="L149" t="s">
        <v>162</v>
      </c>
      <c r="N149" t="s">
        <v>293</v>
      </c>
      <c r="O149" t="s">
        <v>569</v>
      </c>
      <c r="P149">
        <v>6.9350160019724549E-2</v>
      </c>
      <c r="Q149" t="s">
        <v>162</v>
      </c>
      <c r="S149" t="s">
        <v>405</v>
      </c>
      <c r="T149" t="s">
        <v>569</v>
      </c>
      <c r="U149">
        <v>0.11567859530421654</v>
      </c>
      <c r="V149" t="s">
        <v>162</v>
      </c>
    </row>
    <row r="150" spans="9:22" x14ac:dyDescent="0.45">
      <c r="I150" t="s">
        <v>181</v>
      </c>
      <c r="J150" t="s">
        <v>570</v>
      </c>
      <c r="K150">
        <v>2.4495223539142109E-2</v>
      </c>
      <c r="L150" t="s">
        <v>162</v>
      </c>
      <c r="N150" t="s">
        <v>293</v>
      </c>
      <c r="O150" t="s">
        <v>570</v>
      </c>
      <c r="P150">
        <v>4.8949315999553128E-2</v>
      </c>
      <c r="Q150" t="s">
        <v>162</v>
      </c>
      <c r="S150" t="s">
        <v>405</v>
      </c>
      <c r="T150" t="s">
        <v>570</v>
      </c>
      <c r="U150">
        <v>0.12481870241607115</v>
      </c>
      <c r="V150" t="s">
        <v>162</v>
      </c>
    </row>
    <row r="151" spans="9:22" x14ac:dyDescent="0.45">
      <c r="I151" t="s">
        <v>181</v>
      </c>
      <c r="J151" t="s">
        <v>571</v>
      </c>
      <c r="K151">
        <v>4.5780495100147478E-2</v>
      </c>
      <c r="L151" t="s">
        <v>162</v>
      </c>
      <c r="N151" t="s">
        <v>293</v>
      </c>
      <c r="O151" t="s">
        <v>571</v>
      </c>
      <c r="P151">
        <v>1.2851698591530833E-2</v>
      </c>
      <c r="Q151" t="s">
        <v>162</v>
      </c>
      <c r="S151" t="s">
        <v>405</v>
      </c>
      <c r="T151" t="s">
        <v>571</v>
      </c>
      <c r="U151">
        <v>2.2513415117630876E-2</v>
      </c>
      <c r="V151" t="s">
        <v>162</v>
      </c>
    </row>
    <row r="152" spans="9:22" x14ac:dyDescent="0.45">
      <c r="I152" t="s">
        <v>181</v>
      </c>
      <c r="J152" t="s">
        <v>572</v>
      </c>
      <c r="K152">
        <v>0.13039906598416409</v>
      </c>
      <c r="L152" t="s">
        <v>162</v>
      </c>
      <c r="N152" t="s">
        <v>293</v>
      </c>
      <c r="O152" t="s">
        <v>572</v>
      </c>
      <c r="P152">
        <v>0.14930368421022994</v>
      </c>
      <c r="Q152" t="s">
        <v>162</v>
      </c>
      <c r="S152" t="s">
        <v>405</v>
      </c>
      <c r="T152" t="s">
        <v>572</v>
      </c>
      <c r="U152">
        <v>9.3402782979642898E-2</v>
      </c>
      <c r="V152" t="s">
        <v>162</v>
      </c>
    </row>
    <row r="153" spans="9:22" x14ac:dyDescent="0.45">
      <c r="I153" t="s">
        <v>181</v>
      </c>
      <c r="J153" t="s">
        <v>573</v>
      </c>
      <c r="K153">
        <v>0</v>
      </c>
      <c r="L153" t="s">
        <v>162</v>
      </c>
      <c r="N153" t="s">
        <v>293</v>
      </c>
      <c r="O153" t="s">
        <v>573</v>
      </c>
      <c r="P153">
        <v>0.15517355645662154</v>
      </c>
      <c r="Q153" t="s">
        <v>162</v>
      </c>
      <c r="S153" t="s">
        <v>405</v>
      </c>
      <c r="T153" t="s">
        <v>573</v>
      </c>
      <c r="U153">
        <v>9.2850750164175044E-2</v>
      </c>
      <c r="V153" t="s">
        <v>162</v>
      </c>
    </row>
    <row r="154" spans="9:22" x14ac:dyDescent="0.45">
      <c r="I154" t="s">
        <v>181</v>
      </c>
      <c r="J154" t="s">
        <v>574</v>
      </c>
      <c r="K154">
        <v>7.2828266395182327E-3</v>
      </c>
      <c r="L154" t="s">
        <v>162</v>
      </c>
      <c r="N154" t="s">
        <v>293</v>
      </c>
      <c r="O154" t="s">
        <v>574</v>
      </c>
      <c r="P154">
        <v>2.7052844453082221E-2</v>
      </c>
      <c r="Q154" t="s">
        <v>162</v>
      </c>
      <c r="S154" t="s">
        <v>405</v>
      </c>
      <c r="T154" t="s">
        <v>574</v>
      </c>
      <c r="U154">
        <v>1.6781833195336712E-2</v>
      </c>
      <c r="V154" t="s">
        <v>162</v>
      </c>
    </row>
    <row r="155" spans="9:22" x14ac:dyDescent="0.45">
      <c r="I155" t="s">
        <v>182</v>
      </c>
      <c r="J155" t="s">
        <v>563</v>
      </c>
      <c r="K155">
        <v>0.15120351480093638</v>
      </c>
      <c r="L155" t="s">
        <v>162</v>
      </c>
      <c r="N155" t="s">
        <v>294</v>
      </c>
      <c r="O155" t="s">
        <v>563</v>
      </c>
      <c r="P155">
        <v>0.12126476960992547</v>
      </c>
      <c r="Q155" t="s">
        <v>162</v>
      </c>
      <c r="S155" t="s">
        <v>406</v>
      </c>
      <c r="T155" t="s">
        <v>563</v>
      </c>
      <c r="U155">
        <v>0.1310927904903659</v>
      </c>
      <c r="V155" t="s">
        <v>162</v>
      </c>
    </row>
    <row r="156" spans="9:22" x14ac:dyDescent="0.45">
      <c r="I156" t="s">
        <v>182</v>
      </c>
      <c r="J156" t="s">
        <v>564</v>
      </c>
      <c r="K156">
        <v>1.0620873329425898E-4</v>
      </c>
      <c r="L156" t="s">
        <v>162</v>
      </c>
      <c r="N156" t="s">
        <v>294</v>
      </c>
      <c r="O156" t="s">
        <v>564</v>
      </c>
      <c r="P156">
        <v>0.13122689776347182</v>
      </c>
      <c r="Q156" t="s">
        <v>162</v>
      </c>
      <c r="S156" t="s">
        <v>406</v>
      </c>
      <c r="T156" t="s">
        <v>564</v>
      </c>
      <c r="U156">
        <v>0.13884358234985303</v>
      </c>
      <c r="V156" t="s">
        <v>162</v>
      </c>
    </row>
    <row r="157" spans="9:22" x14ac:dyDescent="0.45">
      <c r="I157" t="s">
        <v>182</v>
      </c>
      <c r="J157" t="s">
        <v>565</v>
      </c>
      <c r="K157">
        <v>8.8863758113415757E-3</v>
      </c>
      <c r="L157" t="s">
        <v>162</v>
      </c>
      <c r="N157" t="s">
        <v>294</v>
      </c>
      <c r="O157" t="s">
        <v>565</v>
      </c>
      <c r="P157">
        <v>2.3489223495463021E-2</v>
      </c>
      <c r="Q157" t="s">
        <v>162</v>
      </c>
      <c r="S157" t="s">
        <v>406</v>
      </c>
      <c r="T157" t="s">
        <v>565</v>
      </c>
      <c r="U157">
        <v>2.4224050069890545E-2</v>
      </c>
      <c r="V157" t="s">
        <v>162</v>
      </c>
    </row>
    <row r="158" spans="9:22" x14ac:dyDescent="0.45">
      <c r="I158" t="s">
        <v>182</v>
      </c>
      <c r="J158" t="s">
        <v>566</v>
      </c>
      <c r="K158">
        <v>0.27125848228111582</v>
      </c>
      <c r="L158" t="s">
        <v>162</v>
      </c>
      <c r="N158" t="s">
        <v>294</v>
      </c>
      <c r="O158" t="s">
        <v>566</v>
      </c>
      <c r="P158">
        <v>0.11258574342701115</v>
      </c>
      <c r="Q158" t="s">
        <v>162</v>
      </c>
      <c r="S158" t="s">
        <v>406</v>
      </c>
      <c r="T158" t="s">
        <v>566</v>
      </c>
      <c r="U158">
        <v>0.11909146489166614</v>
      </c>
      <c r="V158" t="s">
        <v>162</v>
      </c>
    </row>
    <row r="159" spans="9:22" x14ac:dyDescent="0.45">
      <c r="I159" t="s">
        <v>182</v>
      </c>
      <c r="J159" t="s">
        <v>567</v>
      </c>
      <c r="K159">
        <v>9.078565590967657E-3</v>
      </c>
      <c r="L159" t="s">
        <v>162</v>
      </c>
      <c r="N159" t="s">
        <v>294</v>
      </c>
      <c r="O159" t="s">
        <v>567</v>
      </c>
      <c r="P159">
        <v>9.7601713408357063E-2</v>
      </c>
      <c r="Q159" t="s">
        <v>162</v>
      </c>
      <c r="S159" t="s">
        <v>406</v>
      </c>
      <c r="T159" t="s">
        <v>567</v>
      </c>
      <c r="U159">
        <v>0.12623359798118003</v>
      </c>
      <c r="V159" t="s">
        <v>162</v>
      </c>
    </row>
    <row r="160" spans="9:22" x14ac:dyDescent="0.45">
      <c r="I160" t="s">
        <v>182</v>
      </c>
      <c r="J160" t="s">
        <v>568</v>
      </c>
      <c r="K160">
        <v>3.6280160834650119E-2</v>
      </c>
      <c r="L160" t="s">
        <v>162</v>
      </c>
      <c r="N160" t="s">
        <v>294</v>
      </c>
      <c r="O160" t="s">
        <v>568</v>
      </c>
      <c r="P160">
        <v>1.9311370128351716E-2</v>
      </c>
      <c r="Q160" t="s">
        <v>162</v>
      </c>
      <c r="S160" t="s">
        <v>406</v>
      </c>
      <c r="T160" t="s">
        <v>568</v>
      </c>
      <c r="U160">
        <v>2.4007912880868617E-2</v>
      </c>
      <c r="V160" t="s">
        <v>162</v>
      </c>
    </row>
    <row r="161" spans="9:22" x14ac:dyDescent="0.45">
      <c r="I161" t="s">
        <v>182</v>
      </c>
      <c r="J161" t="s">
        <v>569</v>
      </c>
      <c r="K161">
        <v>0.2882015821290832</v>
      </c>
      <c r="L161" t="s">
        <v>162</v>
      </c>
      <c r="N161" t="s">
        <v>294</v>
      </c>
      <c r="O161" t="s">
        <v>569</v>
      </c>
      <c r="P161">
        <v>6.2835420925725166E-2</v>
      </c>
      <c r="Q161" t="s">
        <v>162</v>
      </c>
      <c r="S161" t="s">
        <v>406</v>
      </c>
      <c r="T161" t="s">
        <v>569</v>
      </c>
      <c r="U161">
        <v>9.9809105321740643E-2</v>
      </c>
      <c r="V161" t="s">
        <v>162</v>
      </c>
    </row>
    <row r="162" spans="9:22" x14ac:dyDescent="0.45">
      <c r="I162" t="s">
        <v>182</v>
      </c>
      <c r="J162" t="s">
        <v>570</v>
      </c>
      <c r="K162">
        <v>2.3489993781960646E-2</v>
      </c>
      <c r="L162" t="s">
        <v>162</v>
      </c>
      <c r="N162" t="s">
        <v>294</v>
      </c>
      <c r="O162" t="s">
        <v>570</v>
      </c>
      <c r="P162">
        <v>5.1463952237998677E-2</v>
      </c>
      <c r="Q162" t="s">
        <v>162</v>
      </c>
      <c r="S162" t="s">
        <v>406</v>
      </c>
      <c r="T162" t="s">
        <v>570</v>
      </c>
      <c r="U162">
        <v>0.10902913766572198</v>
      </c>
      <c r="V162" t="s">
        <v>162</v>
      </c>
    </row>
    <row r="163" spans="9:22" x14ac:dyDescent="0.45">
      <c r="I163" t="s">
        <v>182</v>
      </c>
      <c r="J163" t="s">
        <v>571</v>
      </c>
      <c r="K163">
        <v>3.8487705735355759E-2</v>
      </c>
      <c r="L163" t="s">
        <v>162</v>
      </c>
      <c r="N163" t="s">
        <v>294</v>
      </c>
      <c r="O163" t="s">
        <v>571</v>
      </c>
      <c r="P163">
        <v>1.0730621141295502E-2</v>
      </c>
      <c r="Q163" t="s">
        <v>162</v>
      </c>
      <c r="S163" t="s">
        <v>406</v>
      </c>
      <c r="T163" t="s">
        <v>571</v>
      </c>
      <c r="U163">
        <v>1.9060459265781302E-2</v>
      </c>
      <c r="V163" t="s">
        <v>162</v>
      </c>
    </row>
    <row r="164" spans="9:22" x14ac:dyDescent="0.45">
      <c r="I164" t="s">
        <v>182</v>
      </c>
      <c r="J164" t="s">
        <v>572</v>
      </c>
      <c r="K164">
        <v>0.16761705822399448</v>
      </c>
      <c r="L164" t="s">
        <v>162</v>
      </c>
      <c r="N164" t="s">
        <v>294</v>
      </c>
      <c r="O164" t="s">
        <v>572</v>
      </c>
      <c r="P164">
        <v>0.16880767307192474</v>
      </c>
      <c r="Q164" t="s">
        <v>162</v>
      </c>
      <c r="S164" t="s">
        <v>406</v>
      </c>
      <c r="T164" t="s">
        <v>572</v>
      </c>
      <c r="U164">
        <v>9.2680125083476075E-2</v>
      </c>
      <c r="V164" t="s">
        <v>162</v>
      </c>
    </row>
    <row r="165" spans="9:22" x14ac:dyDescent="0.45">
      <c r="I165" t="s">
        <v>182</v>
      </c>
      <c r="J165" t="s">
        <v>573</v>
      </c>
      <c r="K165">
        <v>0</v>
      </c>
      <c r="L165" t="s">
        <v>162</v>
      </c>
      <c r="N165" t="s">
        <v>294</v>
      </c>
      <c r="O165" t="s">
        <v>573</v>
      </c>
      <c r="P165">
        <v>0.17059121042795802</v>
      </c>
      <c r="Q165" t="s">
        <v>162</v>
      </c>
      <c r="S165" t="s">
        <v>406</v>
      </c>
      <c r="T165" t="s">
        <v>573</v>
      </c>
      <c r="U165">
        <v>9.7523472643060077E-2</v>
      </c>
      <c r="V165" t="s">
        <v>162</v>
      </c>
    </row>
    <row r="166" spans="9:22" x14ac:dyDescent="0.45">
      <c r="I166" t="s">
        <v>182</v>
      </c>
      <c r="J166" t="s">
        <v>574</v>
      </c>
      <c r="K166">
        <v>5.3903520773017511E-3</v>
      </c>
      <c r="L166" t="s">
        <v>162</v>
      </c>
      <c r="N166" t="s">
        <v>294</v>
      </c>
      <c r="O166" t="s">
        <v>574</v>
      </c>
      <c r="P166">
        <v>3.0091404362514725E-2</v>
      </c>
      <c r="Q166" t="s">
        <v>162</v>
      </c>
      <c r="S166" t="s">
        <v>406</v>
      </c>
      <c r="T166" t="s">
        <v>574</v>
      </c>
      <c r="U166">
        <v>1.8404301356395539E-2</v>
      </c>
      <c r="V166" t="s">
        <v>162</v>
      </c>
    </row>
    <row r="167" spans="9:22" x14ac:dyDescent="0.45">
      <c r="I167" t="s">
        <v>183</v>
      </c>
      <c r="J167" t="s">
        <v>563</v>
      </c>
      <c r="K167">
        <v>0.14359150888577843</v>
      </c>
      <c r="L167" t="s">
        <v>162</v>
      </c>
      <c r="N167" t="s">
        <v>295</v>
      </c>
      <c r="O167" t="s">
        <v>563</v>
      </c>
      <c r="P167">
        <v>0.10419194238059665</v>
      </c>
      <c r="Q167" t="s">
        <v>162</v>
      </c>
      <c r="S167" t="s">
        <v>407</v>
      </c>
      <c r="T167" t="s">
        <v>563</v>
      </c>
      <c r="U167">
        <v>0.12959129498694186</v>
      </c>
      <c r="V167" t="s">
        <v>162</v>
      </c>
    </row>
    <row r="168" spans="9:22" x14ac:dyDescent="0.45">
      <c r="I168" t="s">
        <v>183</v>
      </c>
      <c r="J168" t="s">
        <v>564</v>
      </c>
      <c r="K168">
        <v>5.5299600146568666E-4</v>
      </c>
      <c r="L168" t="s">
        <v>162</v>
      </c>
      <c r="N168" t="s">
        <v>295</v>
      </c>
      <c r="O168" t="s">
        <v>564</v>
      </c>
      <c r="P168">
        <v>0.13106371483870191</v>
      </c>
      <c r="Q168" t="s">
        <v>162</v>
      </c>
      <c r="S168" t="s">
        <v>407</v>
      </c>
      <c r="T168" t="s">
        <v>564</v>
      </c>
      <c r="U168">
        <v>0.13533499832940804</v>
      </c>
      <c r="V168" t="s">
        <v>162</v>
      </c>
    </row>
    <row r="169" spans="9:22" x14ac:dyDescent="0.45">
      <c r="I169" t="s">
        <v>183</v>
      </c>
      <c r="J169" t="s">
        <v>565</v>
      </c>
      <c r="K169">
        <v>9.5402746387611027E-3</v>
      </c>
      <c r="L169" t="s">
        <v>162</v>
      </c>
      <c r="N169" t="s">
        <v>295</v>
      </c>
      <c r="O169" t="s">
        <v>565</v>
      </c>
      <c r="P169">
        <v>2.1962327411968345E-2</v>
      </c>
      <c r="Q169" t="s">
        <v>162</v>
      </c>
      <c r="S169" t="s">
        <v>407</v>
      </c>
      <c r="T169" t="s">
        <v>565</v>
      </c>
      <c r="U169">
        <v>2.3764027619756774E-2</v>
      </c>
      <c r="V169" t="s">
        <v>162</v>
      </c>
    </row>
    <row r="170" spans="9:22" x14ac:dyDescent="0.45">
      <c r="I170" t="s">
        <v>183</v>
      </c>
      <c r="J170" t="s">
        <v>566</v>
      </c>
      <c r="K170">
        <v>0.28389081070235117</v>
      </c>
      <c r="L170" t="s">
        <v>162</v>
      </c>
      <c r="N170" t="s">
        <v>295</v>
      </c>
      <c r="O170" t="s">
        <v>566</v>
      </c>
      <c r="P170">
        <v>0.10956801380182077</v>
      </c>
      <c r="Q170" t="s">
        <v>162</v>
      </c>
      <c r="S170" t="s">
        <v>407</v>
      </c>
      <c r="T170" t="s">
        <v>566</v>
      </c>
      <c r="U170">
        <v>0.10944831553565382</v>
      </c>
      <c r="V170" t="s">
        <v>162</v>
      </c>
    </row>
    <row r="171" spans="9:22" x14ac:dyDescent="0.45">
      <c r="I171" t="s">
        <v>183</v>
      </c>
      <c r="J171" t="s">
        <v>567</v>
      </c>
      <c r="K171">
        <v>1.1544672747622418E-2</v>
      </c>
      <c r="L171" t="s">
        <v>162</v>
      </c>
      <c r="N171" t="s">
        <v>295</v>
      </c>
      <c r="O171" t="s">
        <v>567</v>
      </c>
      <c r="P171">
        <v>9.8886929675628371E-2</v>
      </c>
      <c r="Q171" t="s">
        <v>162</v>
      </c>
      <c r="S171" t="s">
        <v>407</v>
      </c>
      <c r="T171" t="s">
        <v>567</v>
      </c>
      <c r="U171">
        <v>0.11920450285459053</v>
      </c>
      <c r="V171" t="s">
        <v>162</v>
      </c>
    </row>
    <row r="172" spans="9:22" x14ac:dyDescent="0.45">
      <c r="I172" t="s">
        <v>183</v>
      </c>
      <c r="J172" t="s">
        <v>568</v>
      </c>
      <c r="K172">
        <v>4.0136725718862523E-2</v>
      </c>
      <c r="L172" t="s">
        <v>162</v>
      </c>
      <c r="N172" t="s">
        <v>295</v>
      </c>
      <c r="O172" t="s">
        <v>568</v>
      </c>
      <c r="P172">
        <v>1.989566203879499E-2</v>
      </c>
      <c r="Q172" t="s">
        <v>162</v>
      </c>
      <c r="S172" t="s">
        <v>407</v>
      </c>
      <c r="T172" t="s">
        <v>568</v>
      </c>
      <c r="U172">
        <v>2.1864774278160998E-2</v>
      </c>
      <c r="V172" t="s">
        <v>162</v>
      </c>
    </row>
    <row r="173" spans="9:22" x14ac:dyDescent="0.45">
      <c r="I173" t="s">
        <v>183</v>
      </c>
      <c r="J173" t="s">
        <v>569</v>
      </c>
      <c r="K173">
        <v>0.27736733519745965</v>
      </c>
      <c r="L173" t="s">
        <v>162</v>
      </c>
      <c r="N173" t="s">
        <v>295</v>
      </c>
      <c r="O173" t="s">
        <v>569</v>
      </c>
      <c r="P173">
        <v>5.7306037363145657E-2</v>
      </c>
      <c r="Q173" t="s">
        <v>162</v>
      </c>
      <c r="S173" t="s">
        <v>407</v>
      </c>
      <c r="T173" t="s">
        <v>569</v>
      </c>
      <c r="U173">
        <v>0.10027137101549119</v>
      </c>
      <c r="V173" t="s">
        <v>162</v>
      </c>
    </row>
    <row r="174" spans="9:22" x14ac:dyDescent="0.45">
      <c r="I174" t="s">
        <v>183</v>
      </c>
      <c r="J174" t="s">
        <v>570</v>
      </c>
      <c r="K174">
        <v>2.3499166662048796E-2</v>
      </c>
      <c r="L174" t="s">
        <v>162</v>
      </c>
      <c r="N174" t="s">
        <v>295</v>
      </c>
      <c r="O174" t="s">
        <v>570</v>
      </c>
      <c r="P174">
        <v>5.7781697151223894E-2</v>
      </c>
      <c r="Q174" t="s">
        <v>162</v>
      </c>
      <c r="S174" t="s">
        <v>407</v>
      </c>
      <c r="T174" t="s">
        <v>570</v>
      </c>
      <c r="U174">
        <v>0.105206977514476</v>
      </c>
      <c r="V174" t="s">
        <v>162</v>
      </c>
    </row>
    <row r="175" spans="9:22" x14ac:dyDescent="0.45">
      <c r="I175" t="s">
        <v>183</v>
      </c>
      <c r="J175" t="s">
        <v>571</v>
      </c>
      <c r="K175">
        <v>3.6517149214924889E-2</v>
      </c>
      <c r="L175" t="s">
        <v>162</v>
      </c>
      <c r="N175" t="s">
        <v>295</v>
      </c>
      <c r="O175" t="s">
        <v>571</v>
      </c>
      <c r="P175">
        <v>1.0039052158350536E-2</v>
      </c>
      <c r="Q175" t="s">
        <v>162</v>
      </c>
      <c r="S175" t="s">
        <v>407</v>
      </c>
      <c r="T175" t="s">
        <v>571</v>
      </c>
      <c r="U175">
        <v>1.79649939609937E-2</v>
      </c>
      <c r="V175" t="s">
        <v>162</v>
      </c>
    </row>
    <row r="176" spans="9:22" x14ac:dyDescent="0.45">
      <c r="I176" t="s">
        <v>183</v>
      </c>
      <c r="J176" t="s">
        <v>572</v>
      </c>
      <c r="K176">
        <v>0.16577934796113272</v>
      </c>
      <c r="L176" t="s">
        <v>162</v>
      </c>
      <c r="N176" t="s">
        <v>295</v>
      </c>
      <c r="O176" t="s">
        <v>572</v>
      </c>
      <c r="P176">
        <v>0.17100122018060115</v>
      </c>
      <c r="Q176" t="s">
        <v>162</v>
      </c>
      <c r="S176" t="s">
        <v>407</v>
      </c>
      <c r="T176" t="s">
        <v>572</v>
      </c>
      <c r="U176">
        <v>0.10662885147954544</v>
      </c>
      <c r="V176" t="s">
        <v>162</v>
      </c>
    </row>
    <row r="177" spans="9:22" x14ac:dyDescent="0.45">
      <c r="I177" t="s">
        <v>183</v>
      </c>
      <c r="J177" t="s">
        <v>573</v>
      </c>
      <c r="K177">
        <v>0</v>
      </c>
      <c r="L177" t="s">
        <v>162</v>
      </c>
      <c r="N177" t="s">
        <v>295</v>
      </c>
      <c r="O177" t="s">
        <v>573</v>
      </c>
      <c r="P177">
        <v>0.18677425007786044</v>
      </c>
      <c r="Q177" t="s">
        <v>162</v>
      </c>
      <c r="S177" t="s">
        <v>407</v>
      </c>
      <c r="T177" t="s">
        <v>573</v>
      </c>
      <c r="U177">
        <v>0.11000528884070659</v>
      </c>
      <c r="V177" t="s">
        <v>162</v>
      </c>
    </row>
    <row r="178" spans="9:22" x14ac:dyDescent="0.45">
      <c r="I178" t="s">
        <v>183</v>
      </c>
      <c r="J178" t="s">
        <v>574</v>
      </c>
      <c r="K178">
        <v>7.5800122695910454E-3</v>
      </c>
      <c r="L178" t="s">
        <v>162</v>
      </c>
      <c r="N178" t="s">
        <v>295</v>
      </c>
      <c r="O178" t="s">
        <v>574</v>
      </c>
      <c r="P178">
        <v>3.1529152921305516E-2</v>
      </c>
      <c r="Q178" t="s">
        <v>162</v>
      </c>
      <c r="S178" t="s">
        <v>407</v>
      </c>
      <c r="T178" t="s">
        <v>574</v>
      </c>
      <c r="U178">
        <v>2.0714603584277357E-2</v>
      </c>
      <c r="V178" t="s">
        <v>162</v>
      </c>
    </row>
    <row r="179" spans="9:22" x14ac:dyDescent="0.45">
      <c r="I179" t="s">
        <v>184</v>
      </c>
      <c r="J179" t="s">
        <v>563</v>
      </c>
      <c r="K179">
        <v>0.13078906572078211</v>
      </c>
      <c r="L179" t="s">
        <v>162</v>
      </c>
      <c r="N179" t="s">
        <v>296</v>
      </c>
      <c r="O179" t="s">
        <v>563</v>
      </c>
      <c r="P179">
        <v>0.10192880317964531</v>
      </c>
      <c r="Q179" t="s">
        <v>162</v>
      </c>
      <c r="S179" t="s">
        <v>408</v>
      </c>
      <c r="T179" t="s">
        <v>563</v>
      </c>
      <c r="U179">
        <v>0.13651541835830147</v>
      </c>
      <c r="V179" t="s">
        <v>162</v>
      </c>
    </row>
    <row r="180" spans="9:22" x14ac:dyDescent="0.45">
      <c r="I180" t="s">
        <v>184</v>
      </c>
      <c r="J180" t="s">
        <v>564</v>
      </c>
      <c r="K180">
        <v>2.8571893190539022E-5</v>
      </c>
      <c r="L180" t="s">
        <v>162</v>
      </c>
      <c r="N180" t="s">
        <v>296</v>
      </c>
      <c r="O180" t="s">
        <v>564</v>
      </c>
      <c r="P180">
        <v>0.14334046205401221</v>
      </c>
      <c r="Q180" t="s">
        <v>162</v>
      </c>
      <c r="S180" t="s">
        <v>408</v>
      </c>
      <c r="T180" t="s">
        <v>564</v>
      </c>
      <c r="U180">
        <v>0.13942654806050755</v>
      </c>
      <c r="V180" t="s">
        <v>162</v>
      </c>
    </row>
    <row r="181" spans="9:22" x14ac:dyDescent="0.45">
      <c r="I181" t="s">
        <v>184</v>
      </c>
      <c r="J181" t="s">
        <v>565</v>
      </c>
      <c r="K181">
        <v>8.5589951892811583E-3</v>
      </c>
      <c r="L181" t="s">
        <v>162</v>
      </c>
      <c r="N181" t="s">
        <v>296</v>
      </c>
      <c r="O181" t="s">
        <v>565</v>
      </c>
      <c r="P181">
        <v>2.3167268942442983E-2</v>
      </c>
      <c r="Q181" t="s">
        <v>162</v>
      </c>
      <c r="S181" t="s">
        <v>408</v>
      </c>
      <c r="T181" t="s">
        <v>565</v>
      </c>
      <c r="U181">
        <v>2.6697367028649707E-2</v>
      </c>
      <c r="V181" t="s">
        <v>162</v>
      </c>
    </row>
    <row r="182" spans="9:22" x14ac:dyDescent="0.45">
      <c r="I182" t="s">
        <v>184</v>
      </c>
      <c r="J182" t="s">
        <v>566</v>
      </c>
      <c r="K182">
        <v>0.29908964965634866</v>
      </c>
      <c r="L182" t="s">
        <v>162</v>
      </c>
      <c r="N182" t="s">
        <v>296</v>
      </c>
      <c r="O182" t="s">
        <v>566</v>
      </c>
      <c r="P182">
        <v>0.10628543573234288</v>
      </c>
      <c r="Q182" t="s">
        <v>162</v>
      </c>
      <c r="S182" t="s">
        <v>408</v>
      </c>
      <c r="T182" t="s">
        <v>566</v>
      </c>
      <c r="U182">
        <v>0.10899564861103408</v>
      </c>
      <c r="V182" t="s">
        <v>162</v>
      </c>
    </row>
    <row r="183" spans="9:22" x14ac:dyDescent="0.45">
      <c r="I183" t="s">
        <v>184</v>
      </c>
      <c r="J183" t="s">
        <v>567</v>
      </c>
      <c r="K183">
        <v>9.6952667992898471E-3</v>
      </c>
      <c r="L183" t="s">
        <v>162</v>
      </c>
      <c r="N183" t="s">
        <v>296</v>
      </c>
      <c r="O183" t="s">
        <v>567</v>
      </c>
      <c r="P183">
        <v>0.1394885401968842</v>
      </c>
      <c r="Q183" t="s">
        <v>162</v>
      </c>
      <c r="S183" t="s">
        <v>408</v>
      </c>
      <c r="T183" t="s">
        <v>567</v>
      </c>
      <c r="U183">
        <v>0.11220714559868009</v>
      </c>
      <c r="V183" t="s">
        <v>162</v>
      </c>
    </row>
    <row r="184" spans="9:22" x14ac:dyDescent="0.45">
      <c r="I184" t="s">
        <v>184</v>
      </c>
      <c r="J184" t="s">
        <v>568</v>
      </c>
      <c r="K184">
        <v>3.4197490769583852E-2</v>
      </c>
      <c r="L184" t="s">
        <v>162</v>
      </c>
      <c r="N184" t="s">
        <v>296</v>
      </c>
      <c r="O184" t="s">
        <v>568</v>
      </c>
      <c r="P184">
        <v>2.0815203051997126E-2</v>
      </c>
      <c r="Q184" t="s">
        <v>162</v>
      </c>
      <c r="S184" t="s">
        <v>408</v>
      </c>
      <c r="T184" t="s">
        <v>568</v>
      </c>
      <c r="U184">
        <v>1.9994240025383442E-2</v>
      </c>
      <c r="V184" t="s">
        <v>162</v>
      </c>
    </row>
    <row r="185" spans="9:22" x14ac:dyDescent="0.45">
      <c r="I185" t="s">
        <v>184</v>
      </c>
      <c r="J185" t="s">
        <v>569</v>
      </c>
      <c r="K185">
        <v>0.30076451649017294</v>
      </c>
      <c r="L185" t="s">
        <v>162</v>
      </c>
      <c r="N185" t="s">
        <v>296</v>
      </c>
      <c r="O185" t="s">
        <v>569</v>
      </c>
      <c r="P185">
        <v>6.2820531042701452E-2</v>
      </c>
      <c r="Q185" t="s">
        <v>162</v>
      </c>
      <c r="S185" t="s">
        <v>408</v>
      </c>
      <c r="T185" t="s">
        <v>569</v>
      </c>
      <c r="U185">
        <v>0.1078572643986711</v>
      </c>
      <c r="V185" t="s">
        <v>162</v>
      </c>
    </row>
    <row r="186" spans="9:22" x14ac:dyDescent="0.45">
      <c r="I186" t="s">
        <v>184</v>
      </c>
      <c r="J186" t="s">
        <v>570</v>
      </c>
      <c r="K186">
        <v>2.5047095252083981E-2</v>
      </c>
      <c r="L186" t="s">
        <v>162</v>
      </c>
      <c r="N186" t="s">
        <v>296</v>
      </c>
      <c r="O186" t="s">
        <v>570</v>
      </c>
      <c r="P186">
        <v>8.1830275273713657E-2</v>
      </c>
      <c r="Q186" t="s">
        <v>162</v>
      </c>
      <c r="S186" t="s">
        <v>408</v>
      </c>
      <c r="T186" t="s">
        <v>570</v>
      </c>
      <c r="U186">
        <v>0.11584841920746247</v>
      </c>
      <c r="V186" t="s">
        <v>162</v>
      </c>
    </row>
    <row r="187" spans="9:22" x14ac:dyDescent="0.45">
      <c r="I187" t="s">
        <v>184</v>
      </c>
      <c r="J187" t="s">
        <v>571</v>
      </c>
      <c r="K187">
        <v>4.124849136859695E-2</v>
      </c>
      <c r="L187" t="s">
        <v>162</v>
      </c>
      <c r="N187" t="s">
        <v>296</v>
      </c>
      <c r="O187" t="s">
        <v>571</v>
      </c>
      <c r="P187">
        <v>1.0835696167799893E-2</v>
      </c>
      <c r="Q187" t="s">
        <v>162</v>
      </c>
      <c r="S187" t="s">
        <v>408</v>
      </c>
      <c r="T187" t="s">
        <v>571</v>
      </c>
      <c r="U187">
        <v>2.064452931287352E-2</v>
      </c>
      <c r="V187" t="s">
        <v>162</v>
      </c>
    </row>
    <row r="188" spans="9:22" x14ac:dyDescent="0.45">
      <c r="I188" t="s">
        <v>184</v>
      </c>
      <c r="J188" t="s">
        <v>572</v>
      </c>
      <c r="K188">
        <v>0.14560075191828592</v>
      </c>
      <c r="L188" t="s">
        <v>162</v>
      </c>
      <c r="N188" t="s">
        <v>296</v>
      </c>
      <c r="O188" t="s">
        <v>572</v>
      </c>
      <c r="P188">
        <v>0.13447712567285114</v>
      </c>
      <c r="Q188" t="s">
        <v>162</v>
      </c>
      <c r="S188" t="s">
        <v>408</v>
      </c>
      <c r="T188" t="s">
        <v>572</v>
      </c>
      <c r="U188">
        <v>9.7510806299415692E-2</v>
      </c>
      <c r="V188" t="s">
        <v>162</v>
      </c>
    </row>
    <row r="189" spans="9:22" x14ac:dyDescent="0.45">
      <c r="I189" t="s">
        <v>184</v>
      </c>
      <c r="J189" t="s">
        <v>573</v>
      </c>
      <c r="K189">
        <v>0</v>
      </c>
      <c r="L189" t="s">
        <v>162</v>
      </c>
      <c r="N189" t="s">
        <v>296</v>
      </c>
      <c r="O189" t="s">
        <v>573</v>
      </c>
      <c r="P189">
        <v>0.14850357221757599</v>
      </c>
      <c r="Q189" t="s">
        <v>162</v>
      </c>
      <c r="S189" t="s">
        <v>408</v>
      </c>
      <c r="T189" t="s">
        <v>573</v>
      </c>
      <c r="U189">
        <v>9.6363182237773196E-2</v>
      </c>
      <c r="V189" t="s">
        <v>162</v>
      </c>
    </row>
    <row r="190" spans="9:22" x14ac:dyDescent="0.45">
      <c r="I190" t="s">
        <v>184</v>
      </c>
      <c r="J190" t="s">
        <v>574</v>
      </c>
      <c r="K190">
        <v>4.9801049423855819E-3</v>
      </c>
      <c r="L190" t="s">
        <v>162</v>
      </c>
      <c r="N190" t="s">
        <v>296</v>
      </c>
      <c r="O190" t="s">
        <v>574</v>
      </c>
      <c r="P190">
        <v>2.6507086468031266E-2</v>
      </c>
      <c r="Q190" t="s">
        <v>162</v>
      </c>
      <c r="S190" t="s">
        <v>408</v>
      </c>
      <c r="T190" t="s">
        <v>574</v>
      </c>
      <c r="U190">
        <v>1.7939430861248679E-2</v>
      </c>
      <c r="V190" t="s">
        <v>162</v>
      </c>
    </row>
    <row r="191" spans="9:22" x14ac:dyDescent="0.45">
      <c r="I191" t="s">
        <v>185</v>
      </c>
      <c r="J191" t="s">
        <v>563</v>
      </c>
      <c r="K191">
        <v>0.1355252642234171</v>
      </c>
      <c r="L191" t="s">
        <v>162</v>
      </c>
      <c r="N191" t="s">
        <v>297</v>
      </c>
      <c r="O191" t="s">
        <v>563</v>
      </c>
      <c r="P191">
        <v>0.12010054012019783</v>
      </c>
      <c r="Q191" t="s">
        <v>162</v>
      </c>
      <c r="S191" t="s">
        <v>409</v>
      </c>
      <c r="T191" t="s">
        <v>563</v>
      </c>
      <c r="U191">
        <v>0.13331640158368266</v>
      </c>
      <c r="V191" t="s">
        <v>162</v>
      </c>
    </row>
    <row r="192" spans="9:22" x14ac:dyDescent="0.45">
      <c r="I192" t="s">
        <v>185</v>
      </c>
      <c r="J192" t="s">
        <v>564</v>
      </c>
      <c r="K192">
        <v>3.7460078168256492E-4</v>
      </c>
      <c r="L192" t="s">
        <v>162</v>
      </c>
      <c r="N192" t="s">
        <v>297</v>
      </c>
      <c r="O192" t="s">
        <v>564</v>
      </c>
      <c r="P192">
        <v>0.16225750882273962</v>
      </c>
      <c r="Q192" t="s">
        <v>162</v>
      </c>
      <c r="S192" t="s">
        <v>409</v>
      </c>
      <c r="T192" t="s">
        <v>564</v>
      </c>
      <c r="U192">
        <v>0.13784320661280949</v>
      </c>
      <c r="V192" t="s">
        <v>162</v>
      </c>
    </row>
    <row r="193" spans="9:22" x14ac:dyDescent="0.45">
      <c r="I193" t="s">
        <v>185</v>
      </c>
      <c r="J193" t="s">
        <v>565</v>
      </c>
      <c r="K193">
        <v>1.0661602185655268E-2</v>
      </c>
      <c r="L193" t="s">
        <v>162</v>
      </c>
      <c r="N193" t="s">
        <v>297</v>
      </c>
      <c r="O193" t="s">
        <v>565</v>
      </c>
      <c r="P193">
        <v>2.5753534183724582E-2</v>
      </c>
      <c r="Q193" t="s">
        <v>162</v>
      </c>
      <c r="S193" t="s">
        <v>409</v>
      </c>
      <c r="T193" t="s">
        <v>565</v>
      </c>
      <c r="U193">
        <v>2.5374949589309546E-2</v>
      </c>
      <c r="V193" t="s">
        <v>162</v>
      </c>
    </row>
    <row r="194" spans="9:22" x14ac:dyDescent="0.45">
      <c r="I194" t="s">
        <v>185</v>
      </c>
      <c r="J194" t="s">
        <v>566</v>
      </c>
      <c r="K194">
        <v>0.29163895678001484</v>
      </c>
      <c r="L194" t="s">
        <v>162</v>
      </c>
      <c r="N194" t="s">
        <v>297</v>
      </c>
      <c r="O194" t="s">
        <v>566</v>
      </c>
      <c r="P194">
        <v>9.7024470745047511E-2</v>
      </c>
      <c r="Q194" t="s">
        <v>162</v>
      </c>
      <c r="S194" t="s">
        <v>409</v>
      </c>
      <c r="T194" t="s">
        <v>566</v>
      </c>
      <c r="U194">
        <v>0.10663106841298398</v>
      </c>
      <c r="V194" t="s">
        <v>162</v>
      </c>
    </row>
    <row r="195" spans="9:22" x14ac:dyDescent="0.45">
      <c r="I195" t="s">
        <v>185</v>
      </c>
      <c r="J195" t="s">
        <v>567</v>
      </c>
      <c r="K195">
        <v>1.2020276611260395E-2</v>
      </c>
      <c r="L195" t="s">
        <v>162</v>
      </c>
      <c r="N195" t="s">
        <v>297</v>
      </c>
      <c r="O195" t="s">
        <v>567</v>
      </c>
      <c r="P195">
        <v>0.138227688617134</v>
      </c>
      <c r="Q195" t="s">
        <v>162</v>
      </c>
      <c r="S195" t="s">
        <v>409</v>
      </c>
      <c r="T195" t="s">
        <v>567</v>
      </c>
      <c r="U195">
        <v>0.1126234128055095</v>
      </c>
      <c r="V195" t="s">
        <v>162</v>
      </c>
    </row>
    <row r="196" spans="9:22" x14ac:dyDescent="0.45">
      <c r="I196" t="s">
        <v>185</v>
      </c>
      <c r="J196" t="s">
        <v>568</v>
      </c>
      <c r="K196">
        <v>3.7880053967949349E-2</v>
      </c>
      <c r="L196" t="s">
        <v>162</v>
      </c>
      <c r="N196" t="s">
        <v>297</v>
      </c>
      <c r="O196" t="s">
        <v>568</v>
      </c>
      <c r="P196">
        <v>1.944946095451356E-2</v>
      </c>
      <c r="Q196" t="s">
        <v>162</v>
      </c>
      <c r="S196" t="s">
        <v>409</v>
      </c>
      <c r="T196" t="s">
        <v>568</v>
      </c>
      <c r="U196">
        <v>2.0777325796135979E-2</v>
      </c>
      <c r="V196" t="s">
        <v>162</v>
      </c>
    </row>
    <row r="197" spans="9:22" x14ac:dyDescent="0.45">
      <c r="I197" t="s">
        <v>185</v>
      </c>
      <c r="J197" t="s">
        <v>569</v>
      </c>
      <c r="K197">
        <v>0.300012013435623</v>
      </c>
      <c r="L197" t="s">
        <v>162</v>
      </c>
      <c r="N197" t="s">
        <v>297</v>
      </c>
      <c r="O197" t="s">
        <v>569</v>
      </c>
      <c r="P197">
        <v>6.2791274087488233E-2</v>
      </c>
      <c r="Q197" t="s">
        <v>162</v>
      </c>
      <c r="S197" t="s">
        <v>409</v>
      </c>
      <c r="T197" t="s">
        <v>569</v>
      </c>
      <c r="U197">
        <v>9.972792937560758E-2</v>
      </c>
      <c r="V197" t="s">
        <v>162</v>
      </c>
    </row>
    <row r="198" spans="9:22" x14ac:dyDescent="0.45">
      <c r="I198" t="s">
        <v>185</v>
      </c>
      <c r="J198" t="s">
        <v>570</v>
      </c>
      <c r="K198">
        <v>2.7991823451002998E-2</v>
      </c>
      <c r="L198" t="s">
        <v>162</v>
      </c>
      <c r="N198" t="s">
        <v>297</v>
      </c>
      <c r="O198" t="s">
        <v>570</v>
      </c>
      <c r="P198">
        <v>8.7529390912699664E-2</v>
      </c>
      <c r="Q198" t="s">
        <v>162</v>
      </c>
      <c r="S198" t="s">
        <v>409</v>
      </c>
      <c r="T198" t="s">
        <v>570</v>
      </c>
      <c r="U198">
        <v>0.10873010910244887</v>
      </c>
      <c r="V198" t="s">
        <v>162</v>
      </c>
    </row>
    <row r="199" spans="9:22" x14ac:dyDescent="0.45">
      <c r="I199" t="s">
        <v>185</v>
      </c>
      <c r="J199" t="s">
        <v>571</v>
      </c>
      <c r="K199">
        <v>4.5017840767483767E-2</v>
      </c>
      <c r="L199" t="s">
        <v>162</v>
      </c>
      <c r="N199" t="s">
        <v>297</v>
      </c>
      <c r="O199" t="s">
        <v>571</v>
      </c>
      <c r="P199">
        <v>1.0525711403221479E-2</v>
      </c>
      <c r="Q199" t="s">
        <v>162</v>
      </c>
      <c r="S199" t="s">
        <v>409</v>
      </c>
      <c r="T199" t="s">
        <v>571</v>
      </c>
      <c r="U199">
        <v>1.9378663390149889E-2</v>
      </c>
      <c r="V199" t="s">
        <v>162</v>
      </c>
    </row>
    <row r="200" spans="9:22" x14ac:dyDescent="0.45">
      <c r="I200" t="s">
        <v>185</v>
      </c>
      <c r="J200" t="s">
        <v>572</v>
      </c>
      <c r="K200">
        <v>0.13328558800910417</v>
      </c>
      <c r="L200" t="s">
        <v>162</v>
      </c>
      <c r="N200" t="s">
        <v>297</v>
      </c>
      <c r="O200" t="s">
        <v>572</v>
      </c>
      <c r="P200">
        <v>0.11577418552844118</v>
      </c>
      <c r="Q200" t="s">
        <v>162</v>
      </c>
      <c r="S200" t="s">
        <v>409</v>
      </c>
      <c r="T200" t="s">
        <v>572</v>
      </c>
      <c r="U200">
        <v>0.10653084680152491</v>
      </c>
      <c r="V200" t="s">
        <v>162</v>
      </c>
    </row>
    <row r="201" spans="9:22" x14ac:dyDescent="0.45">
      <c r="I201" t="s">
        <v>185</v>
      </c>
      <c r="J201" t="s">
        <v>573</v>
      </c>
      <c r="K201">
        <v>0</v>
      </c>
      <c r="L201" t="s">
        <v>162</v>
      </c>
      <c r="N201" t="s">
        <v>297</v>
      </c>
      <c r="O201" t="s">
        <v>573</v>
      </c>
      <c r="P201">
        <v>0.13670368539868755</v>
      </c>
      <c r="Q201" t="s">
        <v>162</v>
      </c>
      <c r="S201" t="s">
        <v>409</v>
      </c>
      <c r="T201" t="s">
        <v>573</v>
      </c>
      <c r="U201">
        <v>0.10865069456214529</v>
      </c>
      <c r="V201" t="s">
        <v>162</v>
      </c>
    </row>
    <row r="202" spans="9:22" x14ac:dyDescent="0.45">
      <c r="I202" t="s">
        <v>185</v>
      </c>
      <c r="J202" t="s">
        <v>574</v>
      </c>
      <c r="K202">
        <v>5.5919797868055126E-3</v>
      </c>
      <c r="L202" t="s">
        <v>162</v>
      </c>
      <c r="N202" t="s">
        <v>297</v>
      </c>
      <c r="O202" t="s">
        <v>574</v>
      </c>
      <c r="P202">
        <v>2.3862549226104483E-2</v>
      </c>
      <c r="Q202" t="s">
        <v>162</v>
      </c>
      <c r="S202" t="s">
        <v>409</v>
      </c>
      <c r="T202" t="s">
        <v>574</v>
      </c>
      <c r="U202">
        <v>2.0415391967694312E-2</v>
      </c>
      <c r="V202" t="s">
        <v>162</v>
      </c>
    </row>
    <row r="203" spans="9:22" x14ac:dyDescent="0.45">
      <c r="I203" t="s">
        <v>186</v>
      </c>
      <c r="J203" t="s">
        <v>563</v>
      </c>
      <c r="K203">
        <v>0.13807089706244169</v>
      </c>
      <c r="L203" t="s">
        <v>162</v>
      </c>
      <c r="N203" t="s">
        <v>298</v>
      </c>
      <c r="O203" t="s">
        <v>563</v>
      </c>
      <c r="P203">
        <v>0.11771395604452285</v>
      </c>
      <c r="Q203" t="s">
        <v>162</v>
      </c>
      <c r="S203" t="s">
        <v>410</v>
      </c>
      <c r="T203" t="s">
        <v>563</v>
      </c>
      <c r="U203">
        <v>0.13586046378867123</v>
      </c>
      <c r="V203" t="s">
        <v>162</v>
      </c>
    </row>
    <row r="204" spans="9:22" x14ac:dyDescent="0.45">
      <c r="I204" t="s">
        <v>186</v>
      </c>
      <c r="J204" t="s">
        <v>564</v>
      </c>
      <c r="K204">
        <v>2.3875687163578082E-4</v>
      </c>
      <c r="L204" t="s">
        <v>162</v>
      </c>
      <c r="N204" t="s">
        <v>298</v>
      </c>
      <c r="O204" t="s">
        <v>564</v>
      </c>
      <c r="P204">
        <v>0.16964051625740423</v>
      </c>
      <c r="Q204" t="s">
        <v>162</v>
      </c>
      <c r="S204" t="s">
        <v>410</v>
      </c>
      <c r="T204" t="s">
        <v>564</v>
      </c>
      <c r="U204">
        <v>0.13604227156071294</v>
      </c>
      <c r="V204" t="s">
        <v>162</v>
      </c>
    </row>
    <row r="205" spans="9:22" x14ac:dyDescent="0.45">
      <c r="I205" t="s">
        <v>186</v>
      </c>
      <c r="J205" t="s">
        <v>565</v>
      </c>
      <c r="K205">
        <v>9.9264147092863707E-3</v>
      </c>
      <c r="L205" t="s">
        <v>162</v>
      </c>
      <c r="N205" t="s">
        <v>298</v>
      </c>
      <c r="O205" t="s">
        <v>565</v>
      </c>
      <c r="P205">
        <v>2.5617035510892987E-2</v>
      </c>
      <c r="Q205" t="s">
        <v>162</v>
      </c>
      <c r="S205" t="s">
        <v>410</v>
      </c>
      <c r="T205" t="s">
        <v>565</v>
      </c>
      <c r="U205">
        <v>2.4807965779173307E-2</v>
      </c>
      <c r="V205" t="s">
        <v>162</v>
      </c>
    </row>
    <row r="206" spans="9:22" x14ac:dyDescent="0.45">
      <c r="I206" t="s">
        <v>186</v>
      </c>
      <c r="J206" t="s">
        <v>566</v>
      </c>
      <c r="K206">
        <v>0.28768766809347346</v>
      </c>
      <c r="L206" t="s">
        <v>162</v>
      </c>
      <c r="N206" t="s">
        <v>298</v>
      </c>
      <c r="O206" t="s">
        <v>566</v>
      </c>
      <c r="P206">
        <v>9.4315691355463235E-2</v>
      </c>
      <c r="Q206" t="s">
        <v>162</v>
      </c>
      <c r="S206" t="s">
        <v>410</v>
      </c>
      <c r="T206" t="s">
        <v>566</v>
      </c>
      <c r="U206">
        <v>0.10663024719554626</v>
      </c>
      <c r="V206" t="s">
        <v>162</v>
      </c>
    </row>
    <row r="207" spans="9:22" x14ac:dyDescent="0.45">
      <c r="I207" t="s">
        <v>186</v>
      </c>
      <c r="J207" t="s">
        <v>567</v>
      </c>
      <c r="K207">
        <v>1.065733918286681E-2</v>
      </c>
      <c r="L207" t="s">
        <v>162</v>
      </c>
      <c r="N207" t="s">
        <v>298</v>
      </c>
      <c r="O207" t="s">
        <v>567</v>
      </c>
      <c r="P207">
        <v>0.14868328694113206</v>
      </c>
      <c r="Q207" t="s">
        <v>162</v>
      </c>
      <c r="S207" t="s">
        <v>410</v>
      </c>
      <c r="T207" t="s">
        <v>567</v>
      </c>
      <c r="U207">
        <v>0.10867077075884929</v>
      </c>
      <c r="V207" t="s">
        <v>162</v>
      </c>
    </row>
    <row r="208" spans="9:22" x14ac:dyDescent="0.45">
      <c r="I208" t="s">
        <v>186</v>
      </c>
      <c r="J208" t="s">
        <v>568</v>
      </c>
      <c r="K208">
        <v>3.5746971093026249E-2</v>
      </c>
      <c r="L208" t="s">
        <v>162</v>
      </c>
      <c r="N208" t="s">
        <v>298</v>
      </c>
      <c r="O208" t="s">
        <v>568</v>
      </c>
      <c r="P208">
        <v>1.8131403754832142E-2</v>
      </c>
      <c r="Q208" t="s">
        <v>162</v>
      </c>
      <c r="S208" t="s">
        <v>410</v>
      </c>
      <c r="T208" t="s">
        <v>568</v>
      </c>
      <c r="U208">
        <v>1.9959460956647381E-2</v>
      </c>
      <c r="V208" t="s">
        <v>162</v>
      </c>
    </row>
    <row r="209" spans="9:22" x14ac:dyDescent="0.45">
      <c r="I209" t="s">
        <v>186</v>
      </c>
      <c r="J209" t="s">
        <v>569</v>
      </c>
      <c r="K209">
        <v>0.29448914476354582</v>
      </c>
      <c r="L209" t="s">
        <v>162</v>
      </c>
      <c r="N209" t="s">
        <v>298</v>
      </c>
      <c r="O209" t="s">
        <v>569</v>
      </c>
      <c r="P209">
        <v>5.5354284296551141E-2</v>
      </c>
      <c r="Q209" t="s">
        <v>162</v>
      </c>
      <c r="S209" t="s">
        <v>410</v>
      </c>
      <c r="T209" t="s">
        <v>569</v>
      </c>
      <c r="U209">
        <v>0.11014848269602159</v>
      </c>
      <c r="V209" t="s">
        <v>162</v>
      </c>
    </row>
    <row r="210" spans="9:22" x14ac:dyDescent="0.45">
      <c r="I210" t="s">
        <v>186</v>
      </c>
      <c r="J210" t="s">
        <v>570</v>
      </c>
      <c r="K210">
        <v>2.6271428642589471E-2</v>
      </c>
      <c r="L210" t="s">
        <v>162</v>
      </c>
      <c r="N210" t="s">
        <v>298</v>
      </c>
      <c r="O210" t="s">
        <v>570</v>
      </c>
      <c r="P210">
        <v>8.4606270115308885E-2</v>
      </c>
      <c r="Q210" t="s">
        <v>162</v>
      </c>
      <c r="S210" t="s">
        <v>410</v>
      </c>
      <c r="T210" t="s">
        <v>570</v>
      </c>
      <c r="U210">
        <v>0.12247732365857207</v>
      </c>
      <c r="V210" t="s">
        <v>162</v>
      </c>
    </row>
    <row r="211" spans="9:22" x14ac:dyDescent="0.45">
      <c r="I211" t="s">
        <v>186</v>
      </c>
      <c r="J211" t="s">
        <v>571</v>
      </c>
      <c r="K211">
        <v>4.1686379855924306E-2</v>
      </c>
      <c r="L211" t="s">
        <v>162</v>
      </c>
      <c r="N211" t="s">
        <v>298</v>
      </c>
      <c r="O211" t="s">
        <v>571</v>
      </c>
      <c r="P211">
        <v>9.7316808841944064E-3</v>
      </c>
      <c r="Q211" t="s">
        <v>162</v>
      </c>
      <c r="S211" t="s">
        <v>410</v>
      </c>
      <c r="T211" t="s">
        <v>571</v>
      </c>
      <c r="U211">
        <v>2.159485773652426E-2</v>
      </c>
      <c r="V211" t="s">
        <v>162</v>
      </c>
    </row>
    <row r="212" spans="9:22" x14ac:dyDescent="0.45">
      <c r="I212" t="s">
        <v>186</v>
      </c>
      <c r="J212" t="s">
        <v>572</v>
      </c>
      <c r="K212">
        <v>0.14959178817637042</v>
      </c>
      <c r="L212" t="s">
        <v>162</v>
      </c>
      <c r="N212" t="s">
        <v>298</v>
      </c>
      <c r="O212" t="s">
        <v>572</v>
      </c>
      <c r="P212">
        <v>0.11000318829085923</v>
      </c>
      <c r="Q212" t="s">
        <v>162</v>
      </c>
      <c r="S212" t="s">
        <v>410</v>
      </c>
      <c r="T212" t="s">
        <v>572</v>
      </c>
      <c r="U212">
        <v>9.7815731884347529E-2</v>
      </c>
      <c r="V212" t="s">
        <v>162</v>
      </c>
    </row>
    <row r="213" spans="9:22" x14ac:dyDescent="0.45">
      <c r="I213" t="s">
        <v>186</v>
      </c>
      <c r="J213" t="s">
        <v>573</v>
      </c>
      <c r="K213">
        <v>0</v>
      </c>
      <c r="L213" t="s">
        <v>162</v>
      </c>
      <c r="N213" t="s">
        <v>298</v>
      </c>
      <c r="O213" t="s">
        <v>573</v>
      </c>
      <c r="P213">
        <v>0.14313762271917568</v>
      </c>
      <c r="Q213" t="s">
        <v>162</v>
      </c>
      <c r="S213" t="s">
        <v>410</v>
      </c>
      <c r="T213" t="s">
        <v>573</v>
      </c>
      <c r="U213">
        <v>9.8453910384666568E-2</v>
      </c>
      <c r="V213" t="s">
        <v>162</v>
      </c>
    </row>
    <row r="214" spans="9:22" x14ac:dyDescent="0.45">
      <c r="I214" t="s">
        <v>186</v>
      </c>
      <c r="J214" t="s">
        <v>574</v>
      </c>
      <c r="K214">
        <v>5.6332115488379611E-3</v>
      </c>
      <c r="L214" t="s">
        <v>162</v>
      </c>
      <c r="N214" t="s">
        <v>298</v>
      </c>
      <c r="O214" t="s">
        <v>574</v>
      </c>
      <c r="P214">
        <v>2.3065063829665854E-2</v>
      </c>
      <c r="Q214" t="s">
        <v>162</v>
      </c>
      <c r="S214" t="s">
        <v>410</v>
      </c>
      <c r="T214" t="s">
        <v>574</v>
      </c>
      <c r="U214">
        <v>1.7538513600264961E-2</v>
      </c>
      <c r="V214" t="s">
        <v>162</v>
      </c>
    </row>
    <row r="215" spans="9:22" x14ac:dyDescent="0.45">
      <c r="I215" t="s">
        <v>187</v>
      </c>
      <c r="J215" t="s">
        <v>563</v>
      </c>
      <c r="K215">
        <v>0.1265956874998318</v>
      </c>
      <c r="L215" t="s">
        <v>162</v>
      </c>
      <c r="N215" t="s">
        <v>299</v>
      </c>
      <c r="O215" t="s">
        <v>563</v>
      </c>
      <c r="P215">
        <v>0.127152500198465</v>
      </c>
      <c r="Q215" t="s">
        <v>162</v>
      </c>
      <c r="S215" t="s">
        <v>411</v>
      </c>
      <c r="T215" t="s">
        <v>563</v>
      </c>
      <c r="U215">
        <v>0.12437904133595058</v>
      </c>
      <c r="V215" t="s">
        <v>162</v>
      </c>
    </row>
    <row r="216" spans="9:22" x14ac:dyDescent="0.45">
      <c r="I216" t="s">
        <v>187</v>
      </c>
      <c r="J216" t="s">
        <v>564</v>
      </c>
      <c r="K216">
        <v>1.9775327119864053E-4</v>
      </c>
      <c r="L216" t="s">
        <v>162</v>
      </c>
      <c r="N216" t="s">
        <v>299</v>
      </c>
      <c r="O216" t="s">
        <v>564</v>
      </c>
      <c r="P216">
        <v>0.13687261746896662</v>
      </c>
      <c r="Q216" t="s">
        <v>162</v>
      </c>
      <c r="S216" t="s">
        <v>411</v>
      </c>
      <c r="T216" t="s">
        <v>564</v>
      </c>
      <c r="U216">
        <v>0.12690089907125202</v>
      </c>
      <c r="V216" t="s">
        <v>162</v>
      </c>
    </row>
    <row r="217" spans="9:22" x14ac:dyDescent="0.45">
      <c r="I217" t="s">
        <v>187</v>
      </c>
      <c r="J217" t="s">
        <v>565</v>
      </c>
      <c r="K217">
        <v>8.0058089108238153E-3</v>
      </c>
      <c r="L217" t="s">
        <v>162</v>
      </c>
      <c r="N217" t="s">
        <v>299</v>
      </c>
      <c r="O217" t="s">
        <v>565</v>
      </c>
      <c r="P217">
        <v>2.5940919532740764E-2</v>
      </c>
      <c r="Q217" t="s">
        <v>162</v>
      </c>
      <c r="S217" t="s">
        <v>411</v>
      </c>
      <c r="T217" t="s">
        <v>565</v>
      </c>
      <c r="U217">
        <v>2.2505310107407778E-2</v>
      </c>
      <c r="V217" t="s">
        <v>162</v>
      </c>
    </row>
    <row r="218" spans="9:22" x14ac:dyDescent="0.45">
      <c r="I218" t="s">
        <v>187</v>
      </c>
      <c r="J218" t="s">
        <v>566</v>
      </c>
      <c r="K218">
        <v>0.32334730825325442</v>
      </c>
      <c r="L218" t="s">
        <v>162</v>
      </c>
      <c r="N218" t="s">
        <v>299</v>
      </c>
      <c r="O218" t="s">
        <v>566</v>
      </c>
      <c r="P218">
        <v>9.5157916618845956E-2</v>
      </c>
      <c r="Q218" t="s">
        <v>162</v>
      </c>
      <c r="S218" t="s">
        <v>411</v>
      </c>
      <c r="T218" t="s">
        <v>566</v>
      </c>
      <c r="U218">
        <v>0.10951454054967946</v>
      </c>
      <c r="V218" t="s">
        <v>162</v>
      </c>
    </row>
    <row r="219" spans="9:22" x14ac:dyDescent="0.45">
      <c r="I219" t="s">
        <v>187</v>
      </c>
      <c r="J219" t="s">
        <v>567</v>
      </c>
      <c r="K219">
        <v>1.1672505941696333E-2</v>
      </c>
      <c r="L219" t="s">
        <v>162</v>
      </c>
      <c r="N219" t="s">
        <v>299</v>
      </c>
      <c r="O219" t="s">
        <v>567</v>
      </c>
      <c r="P219">
        <v>0.14048734513306527</v>
      </c>
      <c r="Q219" t="s">
        <v>162</v>
      </c>
      <c r="S219" t="s">
        <v>411</v>
      </c>
      <c r="T219" t="s">
        <v>567</v>
      </c>
      <c r="U219">
        <v>0.11757904123982428</v>
      </c>
      <c r="V219" t="s">
        <v>162</v>
      </c>
    </row>
    <row r="220" spans="9:22" x14ac:dyDescent="0.45">
      <c r="I220" t="s">
        <v>187</v>
      </c>
      <c r="J220" t="s">
        <v>568</v>
      </c>
      <c r="K220">
        <v>4.0932272280625397E-2</v>
      </c>
      <c r="L220" t="s">
        <v>162</v>
      </c>
      <c r="N220" t="s">
        <v>299</v>
      </c>
      <c r="O220" t="s">
        <v>568</v>
      </c>
      <c r="P220">
        <v>1.7668128528131297E-2</v>
      </c>
      <c r="Q220" t="s">
        <v>162</v>
      </c>
      <c r="S220" t="s">
        <v>411</v>
      </c>
      <c r="T220" t="s">
        <v>568</v>
      </c>
      <c r="U220">
        <v>2.1551269325118333E-2</v>
      </c>
      <c r="V220" t="s">
        <v>162</v>
      </c>
    </row>
    <row r="221" spans="9:22" x14ac:dyDescent="0.45">
      <c r="I221" t="s">
        <v>187</v>
      </c>
      <c r="J221" t="s">
        <v>569</v>
      </c>
      <c r="K221">
        <v>0.29291112430876937</v>
      </c>
      <c r="L221" t="s">
        <v>162</v>
      </c>
      <c r="N221" t="s">
        <v>299</v>
      </c>
      <c r="O221" t="s">
        <v>569</v>
      </c>
      <c r="P221">
        <v>8.250745064400454E-2</v>
      </c>
      <c r="Q221" t="s">
        <v>162</v>
      </c>
      <c r="S221" t="s">
        <v>411</v>
      </c>
      <c r="T221" t="s">
        <v>569</v>
      </c>
      <c r="U221">
        <v>0.10462208060971158</v>
      </c>
      <c r="V221" t="s">
        <v>162</v>
      </c>
    </row>
    <row r="222" spans="9:22" x14ac:dyDescent="0.45">
      <c r="I222" t="s">
        <v>187</v>
      </c>
      <c r="J222" t="s">
        <v>570</v>
      </c>
      <c r="K222">
        <v>2.7197384799649907E-2</v>
      </c>
      <c r="L222" t="s">
        <v>162</v>
      </c>
      <c r="N222" t="s">
        <v>299</v>
      </c>
      <c r="O222" t="s">
        <v>570</v>
      </c>
      <c r="P222">
        <v>0.10921547769873667</v>
      </c>
      <c r="Q222" t="s">
        <v>162</v>
      </c>
      <c r="S222" t="s">
        <v>411</v>
      </c>
      <c r="T222" t="s">
        <v>570</v>
      </c>
      <c r="U222">
        <v>0.1141803789804635</v>
      </c>
      <c r="V222" t="s">
        <v>162</v>
      </c>
    </row>
    <row r="223" spans="9:22" x14ac:dyDescent="0.45">
      <c r="I223" t="s">
        <v>187</v>
      </c>
      <c r="J223" t="s">
        <v>571</v>
      </c>
      <c r="K223">
        <v>4.2156593979537943E-2</v>
      </c>
      <c r="L223" t="s">
        <v>162</v>
      </c>
      <c r="N223" t="s">
        <v>299</v>
      </c>
      <c r="O223" t="s">
        <v>571</v>
      </c>
      <c r="P223">
        <v>1.5707726337542822E-2</v>
      </c>
      <c r="Q223" t="s">
        <v>162</v>
      </c>
      <c r="S223" t="s">
        <v>411</v>
      </c>
      <c r="T223" t="s">
        <v>571</v>
      </c>
      <c r="U223">
        <v>2.0508556262638509E-2</v>
      </c>
      <c r="V223" t="s">
        <v>162</v>
      </c>
    </row>
    <row r="224" spans="9:22" x14ac:dyDescent="0.45">
      <c r="I224" t="s">
        <v>187</v>
      </c>
      <c r="J224" t="s">
        <v>572</v>
      </c>
      <c r="K224">
        <v>0.12277915053483257</v>
      </c>
      <c r="L224" t="s">
        <v>162</v>
      </c>
      <c r="N224" t="s">
        <v>299</v>
      </c>
      <c r="O224" t="s">
        <v>572</v>
      </c>
      <c r="P224">
        <v>0.10897509944821906</v>
      </c>
      <c r="Q224" t="s">
        <v>162</v>
      </c>
      <c r="S224" t="s">
        <v>411</v>
      </c>
      <c r="T224" t="s">
        <v>572</v>
      </c>
      <c r="U224">
        <v>0.10847563454559053</v>
      </c>
      <c r="V224" t="s">
        <v>162</v>
      </c>
    </row>
    <row r="225" spans="9:22" x14ac:dyDescent="0.45">
      <c r="I225" t="s">
        <v>187</v>
      </c>
      <c r="J225" t="s">
        <v>573</v>
      </c>
      <c r="K225">
        <v>0</v>
      </c>
      <c r="L225" t="s">
        <v>162</v>
      </c>
      <c r="N225" t="s">
        <v>299</v>
      </c>
      <c r="O225" t="s">
        <v>573</v>
      </c>
      <c r="P225">
        <v>0.11752064499078015</v>
      </c>
      <c r="Q225" t="s">
        <v>162</v>
      </c>
      <c r="S225" t="s">
        <v>411</v>
      </c>
      <c r="T225" t="s">
        <v>573</v>
      </c>
      <c r="U225">
        <v>0.1095570618300236</v>
      </c>
      <c r="V225" t="s">
        <v>162</v>
      </c>
    </row>
    <row r="226" spans="9:22" x14ac:dyDescent="0.45">
      <c r="I226" t="s">
        <v>187</v>
      </c>
      <c r="J226" t="s">
        <v>574</v>
      </c>
      <c r="K226">
        <v>4.2044102197784372E-3</v>
      </c>
      <c r="L226" t="s">
        <v>162</v>
      </c>
      <c r="N226" t="s">
        <v>299</v>
      </c>
      <c r="O226" t="s">
        <v>574</v>
      </c>
      <c r="P226">
        <v>2.2794173400497459E-2</v>
      </c>
      <c r="Q226" t="s">
        <v>162</v>
      </c>
      <c r="S226" t="s">
        <v>411</v>
      </c>
      <c r="T226" t="s">
        <v>574</v>
      </c>
      <c r="U226">
        <v>2.0226186142340678E-2</v>
      </c>
      <c r="V226" t="s">
        <v>162</v>
      </c>
    </row>
    <row r="227" spans="9:22" x14ac:dyDescent="0.45">
      <c r="I227" t="s">
        <v>188</v>
      </c>
      <c r="J227" t="s">
        <v>563</v>
      </c>
      <c r="K227">
        <v>0.1301192493694103</v>
      </c>
      <c r="L227" t="s">
        <v>162</v>
      </c>
      <c r="N227" t="s">
        <v>300</v>
      </c>
      <c r="O227" t="s">
        <v>563</v>
      </c>
      <c r="P227">
        <v>0.12260267619408147</v>
      </c>
      <c r="Q227" t="s">
        <v>162</v>
      </c>
      <c r="S227" t="s">
        <v>412</v>
      </c>
      <c r="T227" t="s">
        <v>563</v>
      </c>
      <c r="U227">
        <v>0.12322493781135199</v>
      </c>
      <c r="V227" t="s">
        <v>162</v>
      </c>
    </row>
    <row r="228" spans="9:22" x14ac:dyDescent="0.45">
      <c r="I228" t="s">
        <v>188</v>
      </c>
      <c r="J228" t="s">
        <v>564</v>
      </c>
      <c r="K228">
        <v>1.8179709213327164E-4</v>
      </c>
      <c r="L228" t="s">
        <v>162</v>
      </c>
      <c r="N228" t="s">
        <v>300</v>
      </c>
      <c r="O228" t="s">
        <v>564</v>
      </c>
      <c r="P228">
        <v>0.14180677755712298</v>
      </c>
      <c r="Q228" t="s">
        <v>162</v>
      </c>
      <c r="S228" t="s">
        <v>412</v>
      </c>
      <c r="T228" t="s">
        <v>564</v>
      </c>
      <c r="U228">
        <v>0.12442166252068128</v>
      </c>
      <c r="V228" t="s">
        <v>162</v>
      </c>
    </row>
    <row r="229" spans="9:22" x14ac:dyDescent="0.45">
      <c r="I229" t="s">
        <v>188</v>
      </c>
      <c r="J229" t="s">
        <v>565</v>
      </c>
      <c r="K229">
        <v>8.9153735597095225E-3</v>
      </c>
      <c r="L229" t="s">
        <v>162</v>
      </c>
      <c r="N229" t="s">
        <v>300</v>
      </c>
      <c r="O229" t="s">
        <v>565</v>
      </c>
      <c r="P229">
        <v>2.6504416909111147E-2</v>
      </c>
      <c r="Q229" t="s">
        <v>162</v>
      </c>
      <c r="S229" t="s">
        <v>412</v>
      </c>
      <c r="T229" t="s">
        <v>565</v>
      </c>
      <c r="U229">
        <v>2.2545163907301685E-2</v>
      </c>
      <c r="V229" t="s">
        <v>162</v>
      </c>
    </row>
    <row r="230" spans="9:22" x14ac:dyDescent="0.45">
      <c r="I230" t="s">
        <v>188</v>
      </c>
      <c r="J230" t="s">
        <v>566</v>
      </c>
      <c r="K230">
        <v>0.31192776309187986</v>
      </c>
      <c r="L230" t="s">
        <v>162</v>
      </c>
      <c r="N230" t="s">
        <v>300</v>
      </c>
      <c r="O230" t="s">
        <v>566</v>
      </c>
      <c r="P230">
        <v>9.4053026743942933E-2</v>
      </c>
      <c r="Q230" t="s">
        <v>162</v>
      </c>
      <c r="S230" t="s">
        <v>412</v>
      </c>
      <c r="T230" t="s">
        <v>566</v>
      </c>
      <c r="U230">
        <v>0.11346385562058371</v>
      </c>
      <c r="V230" t="s">
        <v>162</v>
      </c>
    </row>
    <row r="231" spans="9:22" x14ac:dyDescent="0.45">
      <c r="I231" t="s">
        <v>188</v>
      </c>
      <c r="J231" t="s">
        <v>567</v>
      </c>
      <c r="K231">
        <v>1.1601834572559028E-2</v>
      </c>
      <c r="L231" t="s">
        <v>162</v>
      </c>
      <c r="N231" t="s">
        <v>300</v>
      </c>
      <c r="O231" t="s">
        <v>567</v>
      </c>
      <c r="P231">
        <v>0.1574796505603597</v>
      </c>
      <c r="Q231" t="s">
        <v>162</v>
      </c>
      <c r="S231" t="s">
        <v>412</v>
      </c>
      <c r="T231" t="s">
        <v>567</v>
      </c>
      <c r="U231">
        <v>0.12089991669848303</v>
      </c>
      <c r="V231" t="s">
        <v>162</v>
      </c>
    </row>
    <row r="232" spans="9:22" x14ac:dyDescent="0.45">
      <c r="I232" t="s">
        <v>188</v>
      </c>
      <c r="J232" t="s">
        <v>568</v>
      </c>
      <c r="K232">
        <v>4.0182704506097511E-2</v>
      </c>
      <c r="L232" t="s">
        <v>162</v>
      </c>
      <c r="N232" t="s">
        <v>300</v>
      </c>
      <c r="O232" t="s">
        <v>568</v>
      </c>
      <c r="P232">
        <v>2.0325377985374399E-2</v>
      </c>
      <c r="Q232" t="s">
        <v>162</v>
      </c>
      <c r="S232" t="s">
        <v>412</v>
      </c>
      <c r="T232" t="s">
        <v>568</v>
      </c>
      <c r="U232">
        <v>2.1027650047510806E-2</v>
      </c>
      <c r="V232" t="s">
        <v>162</v>
      </c>
    </row>
    <row r="233" spans="9:22" x14ac:dyDescent="0.45">
      <c r="I233" t="s">
        <v>188</v>
      </c>
      <c r="J233" t="s">
        <v>569</v>
      </c>
      <c r="K233">
        <v>0.29079610574797843</v>
      </c>
      <c r="L233" t="s">
        <v>162</v>
      </c>
      <c r="N233" t="s">
        <v>300</v>
      </c>
      <c r="O233" t="s">
        <v>569</v>
      </c>
      <c r="P233">
        <v>7.5260504704757827E-2</v>
      </c>
      <c r="Q233" t="s">
        <v>162</v>
      </c>
      <c r="S233" t="s">
        <v>412</v>
      </c>
      <c r="T233" t="s">
        <v>569</v>
      </c>
      <c r="U233">
        <v>0.11880079729426389</v>
      </c>
      <c r="V233" t="s">
        <v>162</v>
      </c>
    </row>
    <row r="234" spans="9:22" x14ac:dyDescent="0.45">
      <c r="I234" t="s">
        <v>188</v>
      </c>
      <c r="J234" t="s">
        <v>570</v>
      </c>
      <c r="K234">
        <v>2.7440506656854109E-2</v>
      </c>
      <c r="L234" t="s">
        <v>162</v>
      </c>
      <c r="N234" t="s">
        <v>300</v>
      </c>
      <c r="O234" t="s">
        <v>570</v>
      </c>
      <c r="P234">
        <v>0.10310713394939706</v>
      </c>
      <c r="Q234" t="s">
        <v>162</v>
      </c>
      <c r="S234" t="s">
        <v>412</v>
      </c>
      <c r="T234" t="s">
        <v>570</v>
      </c>
      <c r="U234">
        <v>0.12349175658835496</v>
      </c>
      <c r="V234" t="s">
        <v>162</v>
      </c>
    </row>
    <row r="235" spans="9:22" x14ac:dyDescent="0.45">
      <c r="I235" t="s">
        <v>188</v>
      </c>
      <c r="J235" t="s">
        <v>571</v>
      </c>
      <c r="K235">
        <v>4.2666019541356723E-2</v>
      </c>
      <c r="L235" t="s">
        <v>162</v>
      </c>
      <c r="N235" t="s">
        <v>300</v>
      </c>
      <c r="O235" t="s">
        <v>571</v>
      </c>
      <c r="P235">
        <v>1.3284889985696283E-2</v>
      </c>
      <c r="Q235" t="s">
        <v>162</v>
      </c>
      <c r="S235" t="s">
        <v>412</v>
      </c>
      <c r="T235" t="s">
        <v>571</v>
      </c>
      <c r="U235">
        <v>2.2229414369356923E-2</v>
      </c>
      <c r="V235" t="s">
        <v>162</v>
      </c>
    </row>
    <row r="236" spans="9:22" x14ac:dyDescent="0.45">
      <c r="I236" t="s">
        <v>188</v>
      </c>
      <c r="J236" t="s">
        <v>572</v>
      </c>
      <c r="K236">
        <v>0.13111249253659726</v>
      </c>
      <c r="L236" t="s">
        <v>162</v>
      </c>
      <c r="N236" t="s">
        <v>300</v>
      </c>
      <c r="O236" t="s">
        <v>572</v>
      </c>
      <c r="P236">
        <v>0.10560904320513007</v>
      </c>
      <c r="Q236" t="s">
        <v>162</v>
      </c>
      <c r="S236" t="s">
        <v>412</v>
      </c>
      <c r="T236" t="s">
        <v>572</v>
      </c>
      <c r="U236">
        <v>9.5151245851587976E-2</v>
      </c>
      <c r="V236" t="s">
        <v>162</v>
      </c>
    </row>
    <row r="237" spans="9:22" x14ac:dyDescent="0.45">
      <c r="I237" t="s">
        <v>188</v>
      </c>
      <c r="J237" t="s">
        <v>573</v>
      </c>
      <c r="K237">
        <v>0</v>
      </c>
      <c r="L237" t="s">
        <v>162</v>
      </c>
      <c r="N237" t="s">
        <v>300</v>
      </c>
      <c r="O237" t="s">
        <v>573</v>
      </c>
      <c r="P237">
        <v>0.11732377779710279</v>
      </c>
      <c r="Q237" t="s">
        <v>162</v>
      </c>
      <c r="S237" t="s">
        <v>412</v>
      </c>
      <c r="T237" t="s">
        <v>573</v>
      </c>
      <c r="U237">
        <v>9.7859559771224847E-2</v>
      </c>
      <c r="V237" t="s">
        <v>162</v>
      </c>
    </row>
    <row r="238" spans="9:22" x14ac:dyDescent="0.45">
      <c r="I238" t="s">
        <v>188</v>
      </c>
      <c r="J238" t="s">
        <v>574</v>
      </c>
      <c r="K238">
        <v>5.0561533254263645E-3</v>
      </c>
      <c r="L238" t="s">
        <v>162</v>
      </c>
      <c r="N238" t="s">
        <v>300</v>
      </c>
      <c r="O238" t="s">
        <v>574</v>
      </c>
      <c r="P238">
        <v>2.2642724407924409E-2</v>
      </c>
      <c r="Q238" t="s">
        <v>162</v>
      </c>
      <c r="S238" t="s">
        <v>412</v>
      </c>
      <c r="T238" t="s">
        <v>574</v>
      </c>
      <c r="U238">
        <v>1.6884039519299881E-2</v>
      </c>
      <c r="V238" t="s">
        <v>162</v>
      </c>
    </row>
    <row r="239" spans="9:22" x14ac:dyDescent="0.45">
      <c r="I239" t="s">
        <v>189</v>
      </c>
      <c r="J239" t="s">
        <v>563</v>
      </c>
      <c r="K239">
        <v>0.13719859331071771</v>
      </c>
      <c r="L239" t="s">
        <v>162</v>
      </c>
      <c r="N239" t="s">
        <v>301</v>
      </c>
      <c r="O239" t="s">
        <v>563</v>
      </c>
      <c r="P239">
        <v>0.12046832377595243</v>
      </c>
      <c r="Q239" t="s">
        <v>162</v>
      </c>
      <c r="S239" t="s">
        <v>413</v>
      </c>
      <c r="T239" t="s">
        <v>563</v>
      </c>
      <c r="U239">
        <v>0.12728314487064052</v>
      </c>
      <c r="V239" t="s">
        <v>162</v>
      </c>
    </row>
    <row r="240" spans="9:22" x14ac:dyDescent="0.45">
      <c r="I240" t="s">
        <v>189</v>
      </c>
      <c r="J240" t="s">
        <v>564</v>
      </c>
      <c r="K240">
        <v>6.3067529917845301E-6</v>
      </c>
      <c r="L240" t="s">
        <v>162</v>
      </c>
      <c r="N240" t="s">
        <v>301</v>
      </c>
      <c r="O240" t="s">
        <v>564</v>
      </c>
      <c r="P240">
        <v>0.1439191394700827</v>
      </c>
      <c r="Q240" t="s">
        <v>162</v>
      </c>
      <c r="S240" t="s">
        <v>413</v>
      </c>
      <c r="T240" t="s">
        <v>564</v>
      </c>
      <c r="U240">
        <v>0.12718966399415155</v>
      </c>
      <c r="V240" t="s">
        <v>162</v>
      </c>
    </row>
    <row r="241" spans="9:22" x14ac:dyDescent="0.45">
      <c r="I241" t="s">
        <v>189</v>
      </c>
      <c r="J241" t="s">
        <v>565</v>
      </c>
      <c r="K241">
        <v>7.888847378004377E-3</v>
      </c>
      <c r="L241" t="s">
        <v>162</v>
      </c>
      <c r="N241" t="s">
        <v>301</v>
      </c>
      <c r="O241" t="s">
        <v>565</v>
      </c>
      <c r="P241">
        <v>2.6794087986673754E-2</v>
      </c>
      <c r="Q241" t="s">
        <v>162</v>
      </c>
      <c r="S241" t="s">
        <v>413</v>
      </c>
      <c r="T241" t="s">
        <v>565</v>
      </c>
      <c r="U241">
        <v>2.1715350886809776E-2</v>
      </c>
      <c r="V241" t="s">
        <v>162</v>
      </c>
    </row>
    <row r="242" spans="9:22" x14ac:dyDescent="0.45">
      <c r="I242" t="s">
        <v>189</v>
      </c>
      <c r="J242" t="s">
        <v>566</v>
      </c>
      <c r="K242">
        <v>0.32167353619775502</v>
      </c>
      <c r="L242" t="s">
        <v>162</v>
      </c>
      <c r="N242" t="s">
        <v>301</v>
      </c>
      <c r="O242" t="s">
        <v>566</v>
      </c>
      <c r="P242">
        <v>9.1265432907307958E-2</v>
      </c>
      <c r="Q242" t="s">
        <v>162</v>
      </c>
      <c r="S242" t="s">
        <v>413</v>
      </c>
      <c r="T242" t="s">
        <v>566</v>
      </c>
      <c r="U242">
        <v>0.10706751527643502</v>
      </c>
      <c r="V242" t="s">
        <v>162</v>
      </c>
    </row>
    <row r="243" spans="9:22" x14ac:dyDescent="0.45">
      <c r="I243" t="s">
        <v>189</v>
      </c>
      <c r="J243" t="s">
        <v>567</v>
      </c>
      <c r="K243">
        <v>8.3315234083181592E-3</v>
      </c>
      <c r="L243" t="s">
        <v>162</v>
      </c>
      <c r="N243" t="s">
        <v>301</v>
      </c>
      <c r="O243" t="s">
        <v>567</v>
      </c>
      <c r="P243">
        <v>0.1441676067246381</v>
      </c>
      <c r="Q243" t="s">
        <v>162</v>
      </c>
      <c r="S243" t="s">
        <v>413</v>
      </c>
      <c r="T243" t="s">
        <v>567</v>
      </c>
      <c r="U243">
        <v>0.11002404269428014</v>
      </c>
      <c r="V243" t="s">
        <v>162</v>
      </c>
    </row>
    <row r="244" spans="9:22" x14ac:dyDescent="0.45">
      <c r="I244" t="s">
        <v>189</v>
      </c>
      <c r="J244" t="s">
        <v>568</v>
      </c>
      <c r="K244">
        <v>3.0866577815756142E-2</v>
      </c>
      <c r="L244" t="s">
        <v>162</v>
      </c>
      <c r="N244" t="s">
        <v>301</v>
      </c>
      <c r="O244" t="s">
        <v>568</v>
      </c>
      <c r="P244">
        <v>1.8591275562296221E-2</v>
      </c>
      <c r="Q244" t="s">
        <v>162</v>
      </c>
      <c r="S244" t="s">
        <v>413</v>
      </c>
      <c r="T244" t="s">
        <v>568</v>
      </c>
      <c r="U244">
        <v>2.0230391420346928E-2</v>
      </c>
      <c r="V244" t="s">
        <v>162</v>
      </c>
    </row>
    <row r="245" spans="9:22" x14ac:dyDescent="0.45">
      <c r="I245" t="s">
        <v>189</v>
      </c>
      <c r="J245" t="s">
        <v>569</v>
      </c>
      <c r="K245">
        <v>0.2902073648338041</v>
      </c>
      <c r="L245" t="s">
        <v>162</v>
      </c>
      <c r="N245" t="s">
        <v>301</v>
      </c>
      <c r="O245" t="s">
        <v>569</v>
      </c>
      <c r="P245">
        <v>7.7302845047680355E-2</v>
      </c>
      <c r="Q245" t="s">
        <v>162</v>
      </c>
      <c r="S245" t="s">
        <v>413</v>
      </c>
      <c r="T245" t="s">
        <v>569</v>
      </c>
      <c r="U245">
        <v>0.10921832245490244</v>
      </c>
      <c r="V245" t="s">
        <v>162</v>
      </c>
    </row>
    <row r="246" spans="9:22" x14ac:dyDescent="0.45">
      <c r="I246" t="s">
        <v>189</v>
      </c>
      <c r="J246" t="s">
        <v>570</v>
      </c>
      <c r="K246">
        <v>2.5274552741342382E-2</v>
      </c>
      <c r="L246" t="s">
        <v>162</v>
      </c>
      <c r="N246" t="s">
        <v>301</v>
      </c>
      <c r="O246" t="s">
        <v>570</v>
      </c>
      <c r="P246">
        <v>0.10318616144530278</v>
      </c>
      <c r="Q246" t="s">
        <v>162</v>
      </c>
      <c r="S246" t="s">
        <v>413</v>
      </c>
      <c r="T246" t="s">
        <v>570</v>
      </c>
      <c r="U246">
        <v>0.11899228101921071</v>
      </c>
      <c r="V246" t="s">
        <v>162</v>
      </c>
    </row>
    <row r="247" spans="9:22" x14ac:dyDescent="0.45">
      <c r="I247" t="s">
        <v>189</v>
      </c>
      <c r="J247" t="s">
        <v>571</v>
      </c>
      <c r="K247">
        <v>3.88056154000255E-2</v>
      </c>
      <c r="L247" t="s">
        <v>162</v>
      </c>
      <c r="N247" t="s">
        <v>301</v>
      </c>
      <c r="O247" t="s">
        <v>571</v>
      </c>
      <c r="P247">
        <v>1.3343893254153359E-2</v>
      </c>
      <c r="Q247" t="s">
        <v>162</v>
      </c>
      <c r="S247" t="s">
        <v>413</v>
      </c>
      <c r="T247" t="s">
        <v>571</v>
      </c>
      <c r="U247">
        <v>1.972058874744731E-2</v>
      </c>
      <c r="V247" t="s">
        <v>162</v>
      </c>
    </row>
    <row r="248" spans="9:22" x14ac:dyDescent="0.45">
      <c r="I248" t="s">
        <v>189</v>
      </c>
      <c r="J248" t="s">
        <v>572</v>
      </c>
      <c r="K248">
        <v>0.13673034100238063</v>
      </c>
      <c r="L248" t="s">
        <v>162</v>
      </c>
      <c r="N248" t="s">
        <v>301</v>
      </c>
      <c r="O248" t="s">
        <v>572</v>
      </c>
      <c r="P248">
        <v>0.10942447629115261</v>
      </c>
      <c r="Q248" t="s">
        <v>162</v>
      </c>
      <c r="S248" t="s">
        <v>413</v>
      </c>
      <c r="T248" t="s">
        <v>572</v>
      </c>
      <c r="U248">
        <v>0.10879941369886305</v>
      </c>
      <c r="V248" t="s">
        <v>162</v>
      </c>
    </row>
    <row r="249" spans="9:22" x14ac:dyDescent="0.45">
      <c r="I249" t="s">
        <v>189</v>
      </c>
      <c r="J249" t="s">
        <v>573</v>
      </c>
      <c r="K249">
        <v>0</v>
      </c>
      <c r="L249" t="s">
        <v>162</v>
      </c>
      <c r="N249" t="s">
        <v>301</v>
      </c>
      <c r="O249" t="s">
        <v>573</v>
      </c>
      <c r="P249">
        <v>0.12729918203048851</v>
      </c>
      <c r="Q249" t="s">
        <v>162</v>
      </c>
      <c r="S249" t="s">
        <v>413</v>
      </c>
      <c r="T249" t="s">
        <v>573</v>
      </c>
      <c r="U249">
        <v>0.1100843310106351</v>
      </c>
      <c r="V249" t="s">
        <v>162</v>
      </c>
    </row>
    <row r="250" spans="9:22" x14ac:dyDescent="0.45">
      <c r="I250" t="s">
        <v>189</v>
      </c>
      <c r="J250" t="s">
        <v>574</v>
      </c>
      <c r="K250">
        <v>3.0167411589033799E-3</v>
      </c>
      <c r="L250" t="s">
        <v>162</v>
      </c>
      <c r="N250" t="s">
        <v>301</v>
      </c>
      <c r="O250" t="s">
        <v>574</v>
      </c>
      <c r="P250">
        <v>2.4237575504272073E-2</v>
      </c>
      <c r="Q250" t="s">
        <v>162</v>
      </c>
      <c r="S250" t="s">
        <v>413</v>
      </c>
      <c r="T250" t="s">
        <v>574</v>
      </c>
      <c r="U250">
        <v>1.9674953926271579E-2</v>
      </c>
      <c r="V250" t="s">
        <v>162</v>
      </c>
    </row>
    <row r="251" spans="9:22" x14ac:dyDescent="0.45">
      <c r="I251" t="s">
        <v>190</v>
      </c>
      <c r="J251" t="s">
        <v>563</v>
      </c>
      <c r="K251">
        <v>0.13658289692108203</v>
      </c>
      <c r="L251" t="s">
        <v>162</v>
      </c>
      <c r="N251" t="s">
        <v>302</v>
      </c>
      <c r="O251" t="s">
        <v>563</v>
      </c>
      <c r="P251">
        <v>0.11788332291035909</v>
      </c>
      <c r="Q251" t="s">
        <v>162</v>
      </c>
      <c r="S251" t="s">
        <v>414</v>
      </c>
      <c r="T251" t="s">
        <v>563</v>
      </c>
      <c r="U251">
        <v>0.13998842239927883</v>
      </c>
      <c r="V251" t="s">
        <v>162</v>
      </c>
    </row>
    <row r="252" spans="9:22" x14ac:dyDescent="0.45">
      <c r="I252" t="s">
        <v>190</v>
      </c>
      <c r="J252" t="s">
        <v>564</v>
      </c>
      <c r="K252">
        <v>3.7707787775216855E-5</v>
      </c>
      <c r="L252" t="s">
        <v>162</v>
      </c>
      <c r="N252" t="s">
        <v>302</v>
      </c>
      <c r="O252" t="s">
        <v>564</v>
      </c>
      <c r="P252">
        <v>0.15914967739763744</v>
      </c>
      <c r="Q252" t="s">
        <v>162</v>
      </c>
      <c r="S252" t="s">
        <v>414</v>
      </c>
      <c r="T252" t="s">
        <v>564</v>
      </c>
      <c r="U252">
        <v>0.13097790575144541</v>
      </c>
      <c r="V252" t="s">
        <v>162</v>
      </c>
    </row>
    <row r="253" spans="9:22" x14ac:dyDescent="0.45">
      <c r="I253" t="s">
        <v>190</v>
      </c>
      <c r="J253" t="s">
        <v>565</v>
      </c>
      <c r="K253">
        <v>6.7309807219524016E-3</v>
      </c>
      <c r="L253" t="s">
        <v>162</v>
      </c>
      <c r="N253" t="s">
        <v>302</v>
      </c>
      <c r="O253" t="s">
        <v>565</v>
      </c>
      <c r="P253">
        <v>2.4834813443560155E-2</v>
      </c>
      <c r="Q253" t="s">
        <v>162</v>
      </c>
      <c r="S253" t="s">
        <v>414</v>
      </c>
      <c r="T253" t="s">
        <v>565</v>
      </c>
      <c r="U253">
        <v>2.4435846881059355E-2</v>
      </c>
      <c r="V253" t="s">
        <v>162</v>
      </c>
    </row>
    <row r="254" spans="9:22" x14ac:dyDescent="0.45">
      <c r="I254" t="s">
        <v>190</v>
      </c>
      <c r="J254" t="s">
        <v>566</v>
      </c>
      <c r="K254">
        <v>0.33243342855335895</v>
      </c>
      <c r="L254" t="s">
        <v>162</v>
      </c>
      <c r="N254" t="s">
        <v>302</v>
      </c>
      <c r="O254" t="s">
        <v>566</v>
      </c>
      <c r="P254">
        <v>0.10292218561433721</v>
      </c>
      <c r="Q254" t="s">
        <v>162</v>
      </c>
      <c r="S254" t="s">
        <v>414</v>
      </c>
      <c r="T254" t="s">
        <v>566</v>
      </c>
      <c r="U254">
        <v>0.10707299511309069</v>
      </c>
      <c r="V254" t="s">
        <v>162</v>
      </c>
    </row>
    <row r="255" spans="9:22" x14ac:dyDescent="0.45">
      <c r="I255" t="s">
        <v>190</v>
      </c>
      <c r="J255" t="s">
        <v>567</v>
      </c>
      <c r="K255">
        <v>7.7185449199555448E-3</v>
      </c>
      <c r="L255" t="s">
        <v>162</v>
      </c>
      <c r="N255" t="s">
        <v>302</v>
      </c>
      <c r="O255" t="s">
        <v>567</v>
      </c>
      <c r="P255">
        <v>0.13512501678969291</v>
      </c>
      <c r="Q255" t="s">
        <v>162</v>
      </c>
      <c r="S255" t="s">
        <v>414</v>
      </c>
      <c r="T255" t="s">
        <v>567</v>
      </c>
      <c r="U255">
        <v>0.10894204628364604</v>
      </c>
      <c r="V255" t="s">
        <v>162</v>
      </c>
    </row>
    <row r="256" spans="9:22" x14ac:dyDescent="0.45">
      <c r="I256" t="s">
        <v>190</v>
      </c>
      <c r="J256" t="s">
        <v>568</v>
      </c>
      <c r="K256">
        <v>3.2045358765036461E-2</v>
      </c>
      <c r="L256" t="s">
        <v>162</v>
      </c>
      <c r="N256" t="s">
        <v>302</v>
      </c>
      <c r="O256" t="s">
        <v>568</v>
      </c>
      <c r="P256">
        <v>1.8159327483351868E-2</v>
      </c>
      <c r="Q256" t="s">
        <v>162</v>
      </c>
      <c r="S256" t="s">
        <v>414</v>
      </c>
      <c r="T256" t="s">
        <v>568</v>
      </c>
      <c r="U256">
        <v>2.0348668045852593E-2</v>
      </c>
      <c r="V256" t="s">
        <v>162</v>
      </c>
    </row>
    <row r="257" spans="9:22" x14ac:dyDescent="0.45">
      <c r="I257" t="s">
        <v>190</v>
      </c>
      <c r="J257" t="s">
        <v>569</v>
      </c>
      <c r="K257">
        <v>0.29333004915431993</v>
      </c>
      <c r="L257" t="s">
        <v>162</v>
      </c>
      <c r="N257" t="s">
        <v>302</v>
      </c>
      <c r="O257" t="s">
        <v>569</v>
      </c>
      <c r="P257">
        <v>7.3768475365556876E-2</v>
      </c>
      <c r="Q257" t="s">
        <v>162</v>
      </c>
      <c r="S257" t="s">
        <v>414</v>
      </c>
      <c r="T257" t="s">
        <v>569</v>
      </c>
      <c r="U257">
        <v>0.11608099281263713</v>
      </c>
      <c r="V257" t="s">
        <v>162</v>
      </c>
    </row>
    <row r="258" spans="9:22" x14ac:dyDescent="0.45">
      <c r="I258" t="s">
        <v>190</v>
      </c>
      <c r="J258" t="s">
        <v>570</v>
      </c>
      <c r="K258">
        <v>2.5762136841219932E-2</v>
      </c>
      <c r="L258" t="s">
        <v>162</v>
      </c>
      <c r="N258" t="s">
        <v>302</v>
      </c>
      <c r="O258" t="s">
        <v>570</v>
      </c>
      <c r="P258">
        <v>9.8372343173771387E-2</v>
      </c>
      <c r="Q258" t="s">
        <v>162</v>
      </c>
      <c r="S258" t="s">
        <v>414</v>
      </c>
      <c r="T258" t="s">
        <v>570</v>
      </c>
      <c r="U258">
        <v>0.12062940819780343</v>
      </c>
      <c r="V258" t="s">
        <v>162</v>
      </c>
    </row>
    <row r="259" spans="9:22" x14ac:dyDescent="0.45">
      <c r="I259" t="s">
        <v>190</v>
      </c>
      <c r="J259" t="s">
        <v>571</v>
      </c>
      <c r="K259">
        <v>3.6467395492874997E-2</v>
      </c>
      <c r="L259" t="s">
        <v>162</v>
      </c>
      <c r="N259" t="s">
        <v>302</v>
      </c>
      <c r="O259" t="s">
        <v>571</v>
      </c>
      <c r="P259">
        <v>1.2345159522179822E-2</v>
      </c>
      <c r="Q259" t="s">
        <v>162</v>
      </c>
      <c r="S259" t="s">
        <v>414</v>
      </c>
      <c r="T259" t="s">
        <v>571</v>
      </c>
      <c r="U259">
        <v>2.0902089117521831E-2</v>
      </c>
      <c r="V259" t="s">
        <v>162</v>
      </c>
    </row>
    <row r="260" spans="9:22" x14ac:dyDescent="0.45">
      <c r="I260" t="s">
        <v>190</v>
      </c>
      <c r="J260" t="s">
        <v>572</v>
      </c>
      <c r="K260">
        <v>0.12694003512185273</v>
      </c>
      <c r="L260" t="s">
        <v>162</v>
      </c>
      <c r="N260" t="s">
        <v>302</v>
      </c>
      <c r="O260" t="s">
        <v>572</v>
      </c>
      <c r="P260">
        <v>0.10160385859746325</v>
      </c>
      <c r="Q260" t="s">
        <v>162</v>
      </c>
      <c r="S260" t="s">
        <v>414</v>
      </c>
      <c r="T260" t="s">
        <v>572</v>
      </c>
      <c r="U260">
        <v>9.6648875498055759E-2</v>
      </c>
      <c r="V260" t="s">
        <v>162</v>
      </c>
    </row>
    <row r="261" spans="9:22" x14ac:dyDescent="0.45">
      <c r="I261" t="s">
        <v>190</v>
      </c>
      <c r="J261" t="s">
        <v>573</v>
      </c>
      <c r="K261">
        <v>0</v>
      </c>
      <c r="L261" t="s">
        <v>162</v>
      </c>
      <c r="N261" t="s">
        <v>302</v>
      </c>
      <c r="O261" t="s">
        <v>573</v>
      </c>
      <c r="P261">
        <v>0.1330669136181005</v>
      </c>
      <c r="Q261" t="s">
        <v>162</v>
      </c>
      <c r="S261" t="s">
        <v>414</v>
      </c>
      <c r="T261" t="s">
        <v>573</v>
      </c>
      <c r="U261">
        <v>9.6605570470955207E-2</v>
      </c>
      <c r="V261" t="s">
        <v>162</v>
      </c>
    </row>
    <row r="262" spans="9:22" x14ac:dyDescent="0.45">
      <c r="I262" t="s">
        <v>190</v>
      </c>
      <c r="J262" t="s">
        <v>574</v>
      </c>
      <c r="K262">
        <v>1.9514657205725154E-3</v>
      </c>
      <c r="L262" t="s">
        <v>162</v>
      </c>
      <c r="N262" t="s">
        <v>302</v>
      </c>
      <c r="O262" t="s">
        <v>574</v>
      </c>
      <c r="P262">
        <v>2.2768906083989709E-2</v>
      </c>
      <c r="Q262" t="s">
        <v>162</v>
      </c>
      <c r="S262" t="s">
        <v>414</v>
      </c>
      <c r="T262" t="s">
        <v>574</v>
      </c>
      <c r="U262">
        <v>1.736717942865084E-2</v>
      </c>
      <c r="V262" t="s">
        <v>162</v>
      </c>
    </row>
    <row r="263" spans="9:22" x14ac:dyDescent="0.45">
      <c r="I263" t="s">
        <v>191</v>
      </c>
      <c r="J263" t="s">
        <v>563</v>
      </c>
      <c r="K263">
        <v>0.12738461119645622</v>
      </c>
      <c r="L263" t="s">
        <v>162</v>
      </c>
      <c r="N263" t="s">
        <v>303</v>
      </c>
      <c r="O263" t="s">
        <v>563</v>
      </c>
      <c r="P263">
        <v>0.1063291359548415</v>
      </c>
      <c r="Q263" t="s">
        <v>162</v>
      </c>
      <c r="S263" t="s">
        <v>415</v>
      </c>
      <c r="T263" t="s">
        <v>563</v>
      </c>
      <c r="U263">
        <v>0.13482080740825703</v>
      </c>
      <c r="V263" t="s">
        <v>162</v>
      </c>
    </row>
    <row r="264" spans="9:22" x14ac:dyDescent="0.45">
      <c r="I264" t="s">
        <v>191</v>
      </c>
      <c r="J264" t="s">
        <v>564</v>
      </c>
      <c r="K264">
        <v>1.7962108148562259E-4</v>
      </c>
      <c r="L264" t="s">
        <v>162</v>
      </c>
      <c r="N264" t="s">
        <v>303</v>
      </c>
      <c r="O264" t="s">
        <v>564</v>
      </c>
      <c r="P264">
        <v>0.14703249023139298</v>
      </c>
      <c r="Q264" t="s">
        <v>162</v>
      </c>
      <c r="S264" t="s">
        <v>415</v>
      </c>
      <c r="T264" t="s">
        <v>564</v>
      </c>
      <c r="U264">
        <v>0.13496507666906354</v>
      </c>
      <c r="V264" t="s">
        <v>162</v>
      </c>
    </row>
    <row r="265" spans="9:22" x14ac:dyDescent="0.45">
      <c r="I265" t="s">
        <v>191</v>
      </c>
      <c r="J265" t="s">
        <v>565</v>
      </c>
      <c r="K265">
        <v>5.7720670208793144E-3</v>
      </c>
      <c r="L265" t="s">
        <v>162</v>
      </c>
      <c r="N265" t="s">
        <v>303</v>
      </c>
      <c r="O265" t="s">
        <v>565</v>
      </c>
      <c r="P265">
        <v>2.5382295846485495E-2</v>
      </c>
      <c r="Q265" t="s">
        <v>162</v>
      </c>
      <c r="S265" t="s">
        <v>415</v>
      </c>
      <c r="T265" t="s">
        <v>565</v>
      </c>
      <c r="U265">
        <v>2.314746218427478E-2</v>
      </c>
      <c r="V265" t="s">
        <v>162</v>
      </c>
    </row>
    <row r="266" spans="9:22" x14ac:dyDescent="0.45">
      <c r="I266" t="s">
        <v>191</v>
      </c>
      <c r="J266" t="s">
        <v>566</v>
      </c>
      <c r="K266">
        <v>0.33617030417057325</v>
      </c>
      <c r="L266" t="s">
        <v>162</v>
      </c>
      <c r="N266" t="s">
        <v>303</v>
      </c>
      <c r="O266" t="s">
        <v>566</v>
      </c>
      <c r="P266">
        <v>0.10428079656414109</v>
      </c>
      <c r="Q266" t="s">
        <v>162</v>
      </c>
      <c r="S266" t="s">
        <v>415</v>
      </c>
      <c r="T266" t="s">
        <v>566</v>
      </c>
      <c r="U266">
        <v>0.10361498144914918</v>
      </c>
      <c r="V266" t="s">
        <v>162</v>
      </c>
    </row>
    <row r="267" spans="9:22" x14ac:dyDescent="0.45">
      <c r="I267" t="s">
        <v>191</v>
      </c>
      <c r="J267" t="s">
        <v>567</v>
      </c>
      <c r="K267">
        <v>8.6197054117641697E-3</v>
      </c>
      <c r="L267" t="s">
        <v>162</v>
      </c>
      <c r="N267" t="s">
        <v>303</v>
      </c>
      <c r="O267" t="s">
        <v>567</v>
      </c>
      <c r="P267">
        <v>0.13755104589614209</v>
      </c>
      <c r="Q267" t="s">
        <v>162</v>
      </c>
      <c r="S267" t="s">
        <v>415</v>
      </c>
      <c r="T267" t="s">
        <v>567</v>
      </c>
      <c r="U267">
        <v>0.1045328871238933</v>
      </c>
      <c r="V267" t="s">
        <v>162</v>
      </c>
    </row>
    <row r="268" spans="9:22" x14ac:dyDescent="0.45">
      <c r="I268" t="s">
        <v>191</v>
      </c>
      <c r="J268" t="s">
        <v>568</v>
      </c>
      <c r="K268">
        <v>3.7134447201367153E-2</v>
      </c>
      <c r="L268" t="s">
        <v>162</v>
      </c>
      <c r="N268" t="s">
        <v>303</v>
      </c>
      <c r="O268" t="s">
        <v>568</v>
      </c>
      <c r="P268">
        <v>2.0076222009319685E-2</v>
      </c>
      <c r="Q268" t="s">
        <v>162</v>
      </c>
      <c r="S268" t="s">
        <v>415</v>
      </c>
      <c r="T268" t="s">
        <v>568</v>
      </c>
      <c r="U268">
        <v>1.871219888875968E-2</v>
      </c>
      <c r="V268" t="s">
        <v>162</v>
      </c>
    </row>
    <row r="269" spans="9:22" x14ac:dyDescent="0.45">
      <c r="I269" t="s">
        <v>191</v>
      </c>
      <c r="J269" t="s">
        <v>569</v>
      </c>
      <c r="K269">
        <v>0.29714953172352998</v>
      </c>
      <c r="L269" t="s">
        <v>162</v>
      </c>
      <c r="N269" t="s">
        <v>303</v>
      </c>
      <c r="O269" t="s">
        <v>569</v>
      </c>
      <c r="P269">
        <v>7.4838331344992001E-2</v>
      </c>
      <c r="Q269" t="s">
        <v>162</v>
      </c>
      <c r="S269" t="s">
        <v>415</v>
      </c>
      <c r="T269" t="s">
        <v>569</v>
      </c>
      <c r="U269">
        <v>0.10679308948482205</v>
      </c>
      <c r="V269" t="s">
        <v>162</v>
      </c>
    </row>
    <row r="270" spans="9:22" x14ac:dyDescent="0.45">
      <c r="I270" t="s">
        <v>191</v>
      </c>
      <c r="J270" t="s">
        <v>570</v>
      </c>
      <c r="K270">
        <v>2.7651419800913488E-2</v>
      </c>
      <c r="L270" t="s">
        <v>162</v>
      </c>
      <c r="N270" t="s">
        <v>303</v>
      </c>
      <c r="O270" t="s">
        <v>570</v>
      </c>
      <c r="P270">
        <v>9.4067681192911201E-2</v>
      </c>
      <c r="Q270" t="s">
        <v>162</v>
      </c>
      <c r="S270" t="s">
        <v>415</v>
      </c>
      <c r="T270" t="s">
        <v>570</v>
      </c>
      <c r="U270">
        <v>0.10986344443846921</v>
      </c>
      <c r="V270" t="s">
        <v>162</v>
      </c>
    </row>
    <row r="271" spans="9:22" x14ac:dyDescent="0.45">
      <c r="I271" t="s">
        <v>191</v>
      </c>
      <c r="J271" t="s">
        <v>571</v>
      </c>
      <c r="K271">
        <v>3.8863408957888444E-2</v>
      </c>
      <c r="L271" t="s">
        <v>162</v>
      </c>
      <c r="N271" t="s">
        <v>303</v>
      </c>
      <c r="O271" t="s">
        <v>571</v>
      </c>
      <c r="P271">
        <v>1.1971032168015778E-2</v>
      </c>
      <c r="Q271" t="s">
        <v>162</v>
      </c>
      <c r="S271" t="s">
        <v>415</v>
      </c>
      <c r="T271" t="s">
        <v>571</v>
      </c>
      <c r="U271">
        <v>1.7727711987378155E-2</v>
      </c>
      <c r="V271" t="s">
        <v>162</v>
      </c>
    </row>
    <row r="272" spans="9:22" x14ac:dyDescent="0.45">
      <c r="I272" t="s">
        <v>191</v>
      </c>
      <c r="J272" t="s">
        <v>572</v>
      </c>
      <c r="K272">
        <v>0.11888359380701882</v>
      </c>
      <c r="L272" t="s">
        <v>162</v>
      </c>
      <c r="N272" t="s">
        <v>303</v>
      </c>
      <c r="O272" t="s">
        <v>572</v>
      </c>
      <c r="P272">
        <v>0.11716481796649628</v>
      </c>
      <c r="Q272" t="s">
        <v>162</v>
      </c>
      <c r="S272" t="s">
        <v>415</v>
      </c>
      <c r="T272" t="s">
        <v>572</v>
      </c>
      <c r="U272">
        <v>0.11233127717390737</v>
      </c>
      <c r="V272" t="s">
        <v>162</v>
      </c>
    </row>
    <row r="273" spans="9:22" x14ac:dyDescent="0.45">
      <c r="I273" t="s">
        <v>191</v>
      </c>
      <c r="J273" t="s">
        <v>573</v>
      </c>
      <c r="K273">
        <v>0</v>
      </c>
      <c r="L273" t="s">
        <v>162</v>
      </c>
      <c r="N273" t="s">
        <v>303</v>
      </c>
      <c r="O273" t="s">
        <v>573</v>
      </c>
      <c r="P273">
        <v>0.13503249706770093</v>
      </c>
      <c r="Q273" t="s">
        <v>162</v>
      </c>
      <c r="S273" t="s">
        <v>415</v>
      </c>
      <c r="T273" t="s">
        <v>573</v>
      </c>
      <c r="U273">
        <v>0.11320260918227676</v>
      </c>
      <c r="V273" t="s">
        <v>162</v>
      </c>
    </row>
    <row r="274" spans="9:22" x14ac:dyDescent="0.45">
      <c r="I274" t="s">
        <v>191</v>
      </c>
      <c r="J274" t="s">
        <v>574</v>
      </c>
      <c r="K274">
        <v>2.1912896281258165E-3</v>
      </c>
      <c r="L274" t="s">
        <v>162</v>
      </c>
      <c r="N274" t="s">
        <v>303</v>
      </c>
      <c r="O274" t="s">
        <v>574</v>
      </c>
      <c r="P274">
        <v>2.6273653757557171E-2</v>
      </c>
      <c r="Q274" t="s">
        <v>162</v>
      </c>
      <c r="S274" t="s">
        <v>415</v>
      </c>
      <c r="T274" t="s">
        <v>574</v>
      </c>
      <c r="U274">
        <v>2.0288454009747121E-2</v>
      </c>
      <c r="V274" t="s">
        <v>162</v>
      </c>
    </row>
    <row r="275" spans="9:22" x14ac:dyDescent="0.45">
      <c r="I275" t="s">
        <v>192</v>
      </c>
      <c r="J275" t="s">
        <v>563</v>
      </c>
      <c r="K275">
        <v>0.120043559508533</v>
      </c>
      <c r="L275" t="s">
        <v>162</v>
      </c>
      <c r="N275" t="s">
        <v>304</v>
      </c>
      <c r="O275" t="s">
        <v>563</v>
      </c>
      <c r="P275">
        <v>0.11489705252264625</v>
      </c>
      <c r="Q275" t="s">
        <v>162</v>
      </c>
      <c r="S275" t="s">
        <v>416</v>
      </c>
      <c r="T275" t="s">
        <v>563</v>
      </c>
      <c r="U275">
        <v>0.14717363782673915</v>
      </c>
      <c r="V275" t="s">
        <v>162</v>
      </c>
    </row>
    <row r="276" spans="9:22" x14ac:dyDescent="0.45">
      <c r="I276" t="s">
        <v>192</v>
      </c>
      <c r="J276" t="s">
        <v>564</v>
      </c>
      <c r="K276">
        <v>3.8587150693536541E-4</v>
      </c>
      <c r="L276" t="s">
        <v>162</v>
      </c>
      <c r="N276" t="s">
        <v>304</v>
      </c>
      <c r="O276" t="s">
        <v>564</v>
      </c>
      <c r="P276">
        <v>0.15212595934576428</v>
      </c>
      <c r="Q276" t="s">
        <v>162</v>
      </c>
      <c r="S276" t="s">
        <v>416</v>
      </c>
      <c r="T276" t="s">
        <v>564</v>
      </c>
      <c r="U276">
        <v>0.14114012343546384</v>
      </c>
      <c r="V276" t="s">
        <v>162</v>
      </c>
    </row>
    <row r="277" spans="9:22" x14ac:dyDescent="0.45">
      <c r="I277" t="s">
        <v>192</v>
      </c>
      <c r="J277" t="s">
        <v>565</v>
      </c>
      <c r="K277">
        <v>6.3241084031230516E-3</v>
      </c>
      <c r="L277" t="s">
        <v>162</v>
      </c>
      <c r="N277" t="s">
        <v>304</v>
      </c>
      <c r="O277" t="s">
        <v>565</v>
      </c>
      <c r="P277">
        <v>2.6823936223909113E-2</v>
      </c>
      <c r="Q277" t="s">
        <v>162</v>
      </c>
      <c r="S277" t="s">
        <v>416</v>
      </c>
      <c r="T277" t="s">
        <v>565</v>
      </c>
      <c r="U277">
        <v>2.7116942905646858E-2</v>
      </c>
      <c r="V277" t="s">
        <v>162</v>
      </c>
    </row>
    <row r="278" spans="9:22" x14ac:dyDescent="0.45">
      <c r="I278" t="s">
        <v>192</v>
      </c>
      <c r="J278" t="s">
        <v>566</v>
      </c>
      <c r="K278">
        <v>0.33681002873977067</v>
      </c>
      <c r="L278" t="s">
        <v>162</v>
      </c>
      <c r="N278" t="s">
        <v>304</v>
      </c>
      <c r="O278" t="s">
        <v>566</v>
      </c>
      <c r="P278">
        <v>9.5805108783625567E-2</v>
      </c>
      <c r="Q278" t="s">
        <v>162</v>
      </c>
      <c r="S278" t="s">
        <v>416</v>
      </c>
      <c r="T278" t="s">
        <v>566</v>
      </c>
      <c r="U278">
        <v>0.10246405463495904</v>
      </c>
      <c r="V278" t="s">
        <v>162</v>
      </c>
    </row>
    <row r="279" spans="9:22" x14ac:dyDescent="0.45">
      <c r="I279" t="s">
        <v>192</v>
      </c>
      <c r="J279" t="s">
        <v>567</v>
      </c>
      <c r="K279">
        <v>1.0499789896915711E-2</v>
      </c>
      <c r="L279" t="s">
        <v>162</v>
      </c>
      <c r="N279" t="s">
        <v>304</v>
      </c>
      <c r="O279" t="s">
        <v>567</v>
      </c>
      <c r="P279">
        <v>0.13972753786090131</v>
      </c>
      <c r="Q279" t="s">
        <v>162</v>
      </c>
      <c r="S279" t="s">
        <v>416</v>
      </c>
      <c r="T279" t="s">
        <v>567</v>
      </c>
      <c r="U279">
        <v>0.10626800892657078</v>
      </c>
      <c r="V279" t="s">
        <v>162</v>
      </c>
    </row>
    <row r="280" spans="9:22" x14ac:dyDescent="0.45">
      <c r="I280" t="s">
        <v>192</v>
      </c>
      <c r="J280" t="s">
        <v>568</v>
      </c>
      <c r="K280">
        <v>3.8992002303167107E-2</v>
      </c>
      <c r="L280" t="s">
        <v>162</v>
      </c>
      <c r="N280" t="s">
        <v>304</v>
      </c>
      <c r="O280" t="s">
        <v>568</v>
      </c>
      <c r="P280">
        <v>1.893728074408519E-2</v>
      </c>
      <c r="Q280" t="s">
        <v>162</v>
      </c>
      <c r="S280" t="s">
        <v>416</v>
      </c>
      <c r="T280" t="s">
        <v>568</v>
      </c>
      <c r="U280">
        <v>1.9653841153471428E-2</v>
      </c>
      <c r="V280" t="s">
        <v>162</v>
      </c>
    </row>
    <row r="281" spans="9:22" x14ac:dyDescent="0.45">
      <c r="I281" t="s">
        <v>192</v>
      </c>
      <c r="J281" t="s">
        <v>569</v>
      </c>
      <c r="K281">
        <v>0.30131160099342474</v>
      </c>
      <c r="L281" t="s">
        <v>162</v>
      </c>
      <c r="N281" t="s">
        <v>304</v>
      </c>
      <c r="O281" t="s">
        <v>569</v>
      </c>
      <c r="P281">
        <v>7.2913676834916313E-2</v>
      </c>
      <c r="Q281" t="s">
        <v>162</v>
      </c>
      <c r="S281" t="s">
        <v>416</v>
      </c>
      <c r="T281" t="s">
        <v>569</v>
      </c>
      <c r="U281">
        <v>9.7424636780148774E-2</v>
      </c>
      <c r="V281" t="s">
        <v>162</v>
      </c>
    </row>
    <row r="282" spans="9:22" x14ac:dyDescent="0.45">
      <c r="I282" t="s">
        <v>192</v>
      </c>
      <c r="J282" t="s">
        <v>570</v>
      </c>
      <c r="K282">
        <v>3.0728074563445659E-2</v>
      </c>
      <c r="L282" t="s">
        <v>162</v>
      </c>
      <c r="N282" t="s">
        <v>304</v>
      </c>
      <c r="O282" t="s">
        <v>570</v>
      </c>
      <c r="P282">
        <v>0.10241684135236441</v>
      </c>
      <c r="Q282" t="s">
        <v>162</v>
      </c>
      <c r="S282" t="s">
        <v>416</v>
      </c>
      <c r="T282" t="s">
        <v>570</v>
      </c>
      <c r="U282">
        <v>0.10258610966929056</v>
      </c>
      <c r="V282" t="s">
        <v>162</v>
      </c>
    </row>
    <row r="283" spans="9:22" x14ac:dyDescent="0.45">
      <c r="I283" t="s">
        <v>192</v>
      </c>
      <c r="J283" t="s">
        <v>571</v>
      </c>
      <c r="K283">
        <v>4.0750187073127893E-2</v>
      </c>
      <c r="L283" t="s">
        <v>162</v>
      </c>
      <c r="N283" t="s">
        <v>304</v>
      </c>
      <c r="O283" t="s">
        <v>571</v>
      </c>
      <c r="P283">
        <v>1.2270232162326493E-2</v>
      </c>
      <c r="Q283" t="s">
        <v>162</v>
      </c>
      <c r="S283" t="s">
        <v>416</v>
      </c>
      <c r="T283" t="s">
        <v>571</v>
      </c>
      <c r="U283">
        <v>1.8513981361302338E-2</v>
      </c>
      <c r="V283" t="s">
        <v>162</v>
      </c>
    </row>
    <row r="284" spans="9:22" x14ac:dyDescent="0.45">
      <c r="I284" t="s">
        <v>192</v>
      </c>
      <c r="J284" t="s">
        <v>572</v>
      </c>
      <c r="K284">
        <v>0.11155011136994544</v>
      </c>
      <c r="L284" t="s">
        <v>162</v>
      </c>
      <c r="N284" t="s">
        <v>304</v>
      </c>
      <c r="O284" t="s">
        <v>572</v>
      </c>
      <c r="P284">
        <v>0.10510087479748496</v>
      </c>
      <c r="Q284" t="s">
        <v>162</v>
      </c>
      <c r="S284" t="s">
        <v>416</v>
      </c>
      <c r="T284" t="s">
        <v>572</v>
      </c>
      <c r="U284">
        <v>0.10822878383853304</v>
      </c>
      <c r="V284" t="s">
        <v>162</v>
      </c>
    </row>
    <row r="285" spans="9:22" x14ac:dyDescent="0.45">
      <c r="I285" t="s">
        <v>192</v>
      </c>
      <c r="J285" t="s">
        <v>573</v>
      </c>
      <c r="K285">
        <v>0</v>
      </c>
      <c r="L285" t="s">
        <v>162</v>
      </c>
      <c r="N285" t="s">
        <v>304</v>
      </c>
      <c r="O285" t="s">
        <v>573</v>
      </c>
      <c r="P285">
        <v>0.13398254493589748</v>
      </c>
      <c r="Q285" t="s">
        <v>162</v>
      </c>
      <c r="S285" t="s">
        <v>416</v>
      </c>
      <c r="T285" t="s">
        <v>573</v>
      </c>
      <c r="U285">
        <v>0.10859786753872405</v>
      </c>
      <c r="V285" t="s">
        <v>162</v>
      </c>
    </row>
    <row r="286" spans="9:22" x14ac:dyDescent="0.45">
      <c r="I286" t="s">
        <v>192</v>
      </c>
      <c r="J286" t="s">
        <v>574</v>
      </c>
      <c r="K286">
        <v>2.604665641609456E-3</v>
      </c>
      <c r="L286" t="s">
        <v>162</v>
      </c>
      <c r="N286" t="s">
        <v>304</v>
      </c>
      <c r="O286" t="s">
        <v>574</v>
      </c>
      <c r="P286">
        <v>2.4998954436084315E-2</v>
      </c>
      <c r="Q286" t="s">
        <v>162</v>
      </c>
      <c r="S286" t="s">
        <v>416</v>
      </c>
      <c r="T286" t="s">
        <v>574</v>
      </c>
      <c r="U286">
        <v>2.0832011929151753E-2</v>
      </c>
      <c r="V286" t="s">
        <v>162</v>
      </c>
    </row>
    <row r="287" spans="9:22" x14ac:dyDescent="0.45">
      <c r="I287" t="s">
        <v>193</v>
      </c>
      <c r="J287" t="s">
        <v>563</v>
      </c>
      <c r="K287">
        <v>0.11163833854736603</v>
      </c>
      <c r="L287" t="s">
        <v>162</v>
      </c>
      <c r="N287" t="s">
        <v>305</v>
      </c>
      <c r="O287" t="s">
        <v>563</v>
      </c>
      <c r="P287">
        <v>0.12380800105396723</v>
      </c>
      <c r="Q287" t="s">
        <v>162</v>
      </c>
      <c r="S287" t="s">
        <v>417</v>
      </c>
      <c r="T287" t="s">
        <v>563</v>
      </c>
      <c r="U287">
        <v>0.14970296278166481</v>
      </c>
      <c r="V287" t="s">
        <v>162</v>
      </c>
    </row>
    <row r="288" spans="9:22" x14ac:dyDescent="0.45">
      <c r="I288" t="s">
        <v>193</v>
      </c>
      <c r="J288" t="s">
        <v>564</v>
      </c>
      <c r="K288">
        <v>2.1942586227000231E-4</v>
      </c>
      <c r="L288" t="s">
        <v>162</v>
      </c>
      <c r="N288" t="s">
        <v>305</v>
      </c>
      <c r="O288" t="s">
        <v>564</v>
      </c>
      <c r="P288">
        <v>0.14370185458737189</v>
      </c>
      <c r="Q288" t="s">
        <v>162</v>
      </c>
      <c r="S288" t="s">
        <v>417</v>
      </c>
      <c r="T288" t="s">
        <v>564</v>
      </c>
      <c r="U288">
        <v>0.13734457027905561</v>
      </c>
      <c r="V288" t="s">
        <v>162</v>
      </c>
    </row>
    <row r="289" spans="9:22" x14ac:dyDescent="0.45">
      <c r="I289" t="s">
        <v>193</v>
      </c>
      <c r="J289" t="s">
        <v>565</v>
      </c>
      <c r="K289">
        <v>5.1600587332945877E-3</v>
      </c>
      <c r="L289" t="s">
        <v>162</v>
      </c>
      <c r="N289" t="s">
        <v>305</v>
      </c>
      <c r="O289" t="s">
        <v>565</v>
      </c>
      <c r="P289">
        <v>2.5422500575208107E-2</v>
      </c>
      <c r="Q289" t="s">
        <v>162</v>
      </c>
      <c r="S289" t="s">
        <v>417</v>
      </c>
      <c r="T289" t="s">
        <v>565</v>
      </c>
      <c r="U289">
        <v>2.5286652620787692E-2</v>
      </c>
      <c r="V289" t="s">
        <v>162</v>
      </c>
    </row>
    <row r="290" spans="9:22" x14ac:dyDescent="0.45">
      <c r="I290" t="s">
        <v>193</v>
      </c>
      <c r="J290" t="s">
        <v>566</v>
      </c>
      <c r="K290">
        <v>0.35845163030400917</v>
      </c>
      <c r="L290" t="s">
        <v>162</v>
      </c>
      <c r="N290" t="s">
        <v>305</v>
      </c>
      <c r="O290" t="s">
        <v>566</v>
      </c>
      <c r="P290">
        <v>0.10215300150633891</v>
      </c>
      <c r="Q290" t="s">
        <v>162</v>
      </c>
      <c r="S290" t="s">
        <v>417</v>
      </c>
      <c r="T290" t="s">
        <v>566</v>
      </c>
      <c r="U290">
        <v>0.10308093560247722</v>
      </c>
      <c r="V290" t="s">
        <v>162</v>
      </c>
    </row>
    <row r="291" spans="9:22" x14ac:dyDescent="0.45">
      <c r="I291" t="s">
        <v>193</v>
      </c>
      <c r="J291" t="s">
        <v>567</v>
      </c>
      <c r="K291">
        <v>1.2036286063221288E-2</v>
      </c>
      <c r="L291" t="s">
        <v>162</v>
      </c>
      <c r="N291" t="s">
        <v>305</v>
      </c>
      <c r="O291" t="s">
        <v>567</v>
      </c>
      <c r="P291">
        <v>0.13664536398802868</v>
      </c>
      <c r="Q291" t="s">
        <v>162</v>
      </c>
      <c r="S291" t="s">
        <v>417</v>
      </c>
      <c r="T291" t="s">
        <v>567</v>
      </c>
      <c r="U291">
        <v>0.10547797832733806</v>
      </c>
      <c r="V291" t="s">
        <v>162</v>
      </c>
    </row>
    <row r="292" spans="9:22" x14ac:dyDescent="0.45">
      <c r="I292" t="s">
        <v>193</v>
      </c>
      <c r="J292" t="s">
        <v>568</v>
      </c>
      <c r="K292">
        <v>3.6799647389541806E-2</v>
      </c>
      <c r="L292" t="s">
        <v>162</v>
      </c>
      <c r="N292" t="s">
        <v>305</v>
      </c>
      <c r="O292" t="s">
        <v>568</v>
      </c>
      <c r="P292">
        <v>1.7531719550698686E-2</v>
      </c>
      <c r="Q292" t="s">
        <v>162</v>
      </c>
      <c r="S292" t="s">
        <v>417</v>
      </c>
      <c r="T292" t="s">
        <v>568</v>
      </c>
      <c r="U292">
        <v>1.9566961089839189E-2</v>
      </c>
      <c r="V292" t="s">
        <v>162</v>
      </c>
    </row>
    <row r="293" spans="9:22" x14ac:dyDescent="0.45">
      <c r="I293" t="s">
        <v>193</v>
      </c>
      <c r="J293" t="s">
        <v>569</v>
      </c>
      <c r="K293">
        <v>0.29285039201791202</v>
      </c>
      <c r="L293" t="s">
        <v>162</v>
      </c>
      <c r="N293" t="s">
        <v>305</v>
      </c>
      <c r="O293" t="s">
        <v>569</v>
      </c>
      <c r="P293">
        <v>8.1739433706457101E-2</v>
      </c>
      <c r="Q293" t="s">
        <v>162</v>
      </c>
      <c r="S293" t="s">
        <v>417</v>
      </c>
      <c r="T293" t="s">
        <v>569</v>
      </c>
      <c r="U293">
        <v>0.10493111085316749</v>
      </c>
      <c r="V293" t="s">
        <v>162</v>
      </c>
    </row>
    <row r="294" spans="9:22" x14ac:dyDescent="0.45">
      <c r="I294" t="s">
        <v>193</v>
      </c>
      <c r="J294" t="s">
        <v>570</v>
      </c>
      <c r="K294">
        <v>3.0806175238121625E-2</v>
      </c>
      <c r="L294" t="s">
        <v>162</v>
      </c>
      <c r="N294" t="s">
        <v>305</v>
      </c>
      <c r="O294" t="s">
        <v>570</v>
      </c>
      <c r="P294">
        <v>9.9364334033492499E-2</v>
      </c>
      <c r="Q294" t="s">
        <v>162</v>
      </c>
      <c r="S294" t="s">
        <v>417</v>
      </c>
      <c r="T294" t="s">
        <v>570</v>
      </c>
      <c r="U294">
        <v>0.10625623326682708</v>
      </c>
      <c r="V294" t="s">
        <v>162</v>
      </c>
    </row>
    <row r="295" spans="9:22" x14ac:dyDescent="0.45">
      <c r="I295" t="s">
        <v>193</v>
      </c>
      <c r="J295" t="s">
        <v>571</v>
      </c>
      <c r="K295">
        <v>3.6747186253949266E-2</v>
      </c>
      <c r="L295" t="s">
        <v>162</v>
      </c>
      <c r="N295" t="s">
        <v>305</v>
      </c>
      <c r="O295" t="s">
        <v>571</v>
      </c>
      <c r="P295">
        <v>1.4717045478139025E-2</v>
      </c>
      <c r="Q295" t="s">
        <v>162</v>
      </c>
      <c r="S295" t="s">
        <v>417</v>
      </c>
      <c r="T295" t="s">
        <v>571</v>
      </c>
      <c r="U295">
        <v>1.8689849961742812E-2</v>
      </c>
      <c r="V295" t="s">
        <v>162</v>
      </c>
    </row>
    <row r="296" spans="9:22" x14ac:dyDescent="0.45">
      <c r="I296" t="s">
        <v>193</v>
      </c>
      <c r="J296" t="s">
        <v>572</v>
      </c>
      <c r="K296">
        <v>0.11360098127123794</v>
      </c>
      <c r="L296" t="s">
        <v>162</v>
      </c>
      <c r="N296" t="s">
        <v>305</v>
      </c>
      <c r="O296" t="s">
        <v>572</v>
      </c>
      <c r="P296">
        <v>0.10225297015125623</v>
      </c>
      <c r="Q296" t="s">
        <v>162</v>
      </c>
      <c r="S296" t="s">
        <v>417</v>
      </c>
      <c r="T296" t="s">
        <v>572</v>
      </c>
      <c r="U296">
        <v>0.10677136705247604</v>
      </c>
      <c r="V296" t="s">
        <v>162</v>
      </c>
    </row>
    <row r="297" spans="9:22" x14ac:dyDescent="0.45">
      <c r="I297" t="s">
        <v>193</v>
      </c>
      <c r="J297" t="s">
        <v>573</v>
      </c>
      <c r="K297">
        <v>0</v>
      </c>
      <c r="L297" t="s">
        <v>162</v>
      </c>
      <c r="N297" t="s">
        <v>305</v>
      </c>
      <c r="O297" t="s">
        <v>573</v>
      </c>
      <c r="P297">
        <v>0.12974375879856337</v>
      </c>
      <c r="Q297" t="s">
        <v>162</v>
      </c>
      <c r="S297" t="s">
        <v>417</v>
      </c>
      <c r="T297" t="s">
        <v>573</v>
      </c>
      <c r="U297">
        <v>0.10358599250747004</v>
      </c>
      <c r="V297" t="s">
        <v>162</v>
      </c>
    </row>
    <row r="298" spans="9:22" x14ac:dyDescent="0.45">
      <c r="I298" t="s">
        <v>193</v>
      </c>
      <c r="J298" t="s">
        <v>574</v>
      </c>
      <c r="K298">
        <v>1.6898783190734358E-3</v>
      </c>
      <c r="L298" t="s">
        <v>162</v>
      </c>
      <c r="N298" t="s">
        <v>305</v>
      </c>
      <c r="O298" t="s">
        <v>574</v>
      </c>
      <c r="P298">
        <v>2.2920016570474756E-2</v>
      </c>
      <c r="Q298" t="s">
        <v>162</v>
      </c>
      <c r="S298" t="s">
        <v>417</v>
      </c>
      <c r="T298" t="s">
        <v>574</v>
      </c>
      <c r="U298">
        <v>1.9305385657153801E-2</v>
      </c>
      <c r="V298" t="s">
        <v>162</v>
      </c>
    </row>
    <row r="299" spans="9:22" x14ac:dyDescent="0.45">
      <c r="I299" t="s">
        <v>194</v>
      </c>
      <c r="J299" t="s">
        <v>563</v>
      </c>
      <c r="K299">
        <v>0.1149372047056961</v>
      </c>
      <c r="L299" t="s">
        <v>162</v>
      </c>
      <c r="N299" t="s">
        <v>306</v>
      </c>
      <c r="O299" t="s">
        <v>563</v>
      </c>
      <c r="P299">
        <v>0.12793326954510187</v>
      </c>
      <c r="Q299" t="s">
        <v>162</v>
      </c>
      <c r="S299" t="s">
        <v>418</v>
      </c>
      <c r="T299" t="s">
        <v>563</v>
      </c>
      <c r="U299">
        <v>0.12397216143618758</v>
      </c>
      <c r="V299" t="s">
        <v>162</v>
      </c>
    </row>
    <row r="300" spans="9:22" x14ac:dyDescent="0.45">
      <c r="I300" t="s">
        <v>194</v>
      </c>
      <c r="J300" t="s">
        <v>564</v>
      </c>
      <c r="K300">
        <v>6.0388791754276182E-4</v>
      </c>
      <c r="L300" t="s">
        <v>162</v>
      </c>
      <c r="N300" t="s">
        <v>306</v>
      </c>
      <c r="O300" t="s">
        <v>564</v>
      </c>
      <c r="P300">
        <v>0.15025026524532542</v>
      </c>
      <c r="Q300" t="s">
        <v>162</v>
      </c>
      <c r="S300" t="s">
        <v>418</v>
      </c>
      <c r="T300" t="s">
        <v>564</v>
      </c>
      <c r="U300">
        <v>0.12365455305273212</v>
      </c>
      <c r="V300" t="s">
        <v>162</v>
      </c>
    </row>
    <row r="301" spans="9:22" x14ac:dyDescent="0.45">
      <c r="I301" t="s">
        <v>194</v>
      </c>
      <c r="J301" t="s">
        <v>565</v>
      </c>
      <c r="K301">
        <v>6.2528549734111767E-3</v>
      </c>
      <c r="L301" t="s">
        <v>162</v>
      </c>
      <c r="N301" t="s">
        <v>306</v>
      </c>
      <c r="O301" t="s">
        <v>565</v>
      </c>
      <c r="P301">
        <v>2.6435078159987541E-2</v>
      </c>
      <c r="Q301" t="s">
        <v>162</v>
      </c>
      <c r="S301" t="s">
        <v>418</v>
      </c>
      <c r="T301" t="s">
        <v>565</v>
      </c>
      <c r="U301">
        <v>2.3515739136101412E-2</v>
      </c>
      <c r="V301" t="s">
        <v>162</v>
      </c>
    </row>
    <row r="302" spans="9:22" x14ac:dyDescent="0.45">
      <c r="I302" t="s">
        <v>194</v>
      </c>
      <c r="J302" t="s">
        <v>566</v>
      </c>
      <c r="K302">
        <v>0.35222080337846318</v>
      </c>
      <c r="L302" t="s">
        <v>162</v>
      </c>
      <c r="N302" t="s">
        <v>306</v>
      </c>
      <c r="O302" t="s">
        <v>566</v>
      </c>
      <c r="P302">
        <v>0.10410296899503015</v>
      </c>
      <c r="Q302" t="s">
        <v>162</v>
      </c>
      <c r="S302" t="s">
        <v>418</v>
      </c>
      <c r="T302" t="s">
        <v>566</v>
      </c>
      <c r="U302">
        <v>0.11179197008430238</v>
      </c>
      <c r="V302" t="s">
        <v>162</v>
      </c>
    </row>
    <row r="303" spans="9:22" x14ac:dyDescent="0.45">
      <c r="I303" t="s">
        <v>194</v>
      </c>
      <c r="J303" t="s">
        <v>567</v>
      </c>
      <c r="K303">
        <v>1.2358573075693043E-2</v>
      </c>
      <c r="L303" t="s">
        <v>162</v>
      </c>
      <c r="N303" t="s">
        <v>306</v>
      </c>
      <c r="O303" t="s">
        <v>567</v>
      </c>
      <c r="P303">
        <v>0.12913173522957241</v>
      </c>
      <c r="Q303" t="s">
        <v>162</v>
      </c>
      <c r="S303" t="s">
        <v>418</v>
      </c>
      <c r="T303" t="s">
        <v>567</v>
      </c>
      <c r="U303">
        <v>0.11388782985707219</v>
      </c>
      <c r="V303" t="s">
        <v>162</v>
      </c>
    </row>
    <row r="304" spans="9:22" x14ac:dyDescent="0.45">
      <c r="I304" t="s">
        <v>194</v>
      </c>
      <c r="J304" t="s">
        <v>568</v>
      </c>
      <c r="K304">
        <v>3.9673435938657547E-2</v>
      </c>
      <c r="L304" t="s">
        <v>162</v>
      </c>
      <c r="N304" t="s">
        <v>306</v>
      </c>
      <c r="O304" t="s">
        <v>568</v>
      </c>
      <c r="P304">
        <v>1.94125709366989E-2</v>
      </c>
      <c r="Q304" t="s">
        <v>162</v>
      </c>
      <c r="S304" t="s">
        <v>418</v>
      </c>
      <c r="T304" t="s">
        <v>568</v>
      </c>
      <c r="U304">
        <v>2.039791917549514E-2</v>
      </c>
      <c r="V304" t="s">
        <v>162</v>
      </c>
    </row>
    <row r="305" spans="9:22" x14ac:dyDescent="0.45">
      <c r="I305" t="s">
        <v>194</v>
      </c>
      <c r="J305" t="s">
        <v>569</v>
      </c>
      <c r="K305">
        <v>0.29198192064632639</v>
      </c>
      <c r="L305" t="s">
        <v>162</v>
      </c>
      <c r="N305" t="s">
        <v>306</v>
      </c>
      <c r="O305" t="s">
        <v>569</v>
      </c>
      <c r="P305">
        <v>7.9660778740485924E-2</v>
      </c>
      <c r="Q305" t="s">
        <v>162</v>
      </c>
      <c r="S305" t="s">
        <v>418</v>
      </c>
      <c r="T305" t="s">
        <v>569</v>
      </c>
      <c r="U305">
        <v>0.13391798934787588</v>
      </c>
      <c r="V305" t="s">
        <v>162</v>
      </c>
    </row>
    <row r="306" spans="9:22" x14ac:dyDescent="0.45">
      <c r="I306" t="s">
        <v>194</v>
      </c>
      <c r="J306" t="s">
        <v>570</v>
      </c>
      <c r="K306">
        <v>3.4290576809359395E-2</v>
      </c>
      <c r="L306" t="s">
        <v>162</v>
      </c>
      <c r="N306" t="s">
        <v>306</v>
      </c>
      <c r="O306" t="s">
        <v>570</v>
      </c>
      <c r="P306">
        <v>0.10306670202536417</v>
      </c>
      <c r="Q306" t="s">
        <v>162</v>
      </c>
      <c r="S306" t="s">
        <v>418</v>
      </c>
      <c r="T306" t="s">
        <v>570</v>
      </c>
      <c r="U306">
        <v>0.12876534475162738</v>
      </c>
      <c r="V306" t="s">
        <v>162</v>
      </c>
    </row>
    <row r="307" spans="9:22" x14ac:dyDescent="0.45">
      <c r="I307" t="s">
        <v>194</v>
      </c>
      <c r="J307" t="s">
        <v>571</v>
      </c>
      <c r="K307">
        <v>4.0087929729330202E-2</v>
      </c>
      <c r="L307" t="s">
        <v>162</v>
      </c>
      <c r="N307" t="s">
        <v>306</v>
      </c>
      <c r="O307" t="s">
        <v>571</v>
      </c>
      <c r="P307">
        <v>1.3937940233567417E-2</v>
      </c>
      <c r="Q307" t="s">
        <v>162</v>
      </c>
      <c r="S307" t="s">
        <v>418</v>
      </c>
      <c r="T307" t="s">
        <v>571</v>
      </c>
      <c r="U307">
        <v>2.3524598318656567E-2</v>
      </c>
      <c r="V307" t="s">
        <v>162</v>
      </c>
    </row>
    <row r="308" spans="9:22" x14ac:dyDescent="0.45">
      <c r="I308" t="s">
        <v>194</v>
      </c>
      <c r="J308" t="s">
        <v>572</v>
      </c>
      <c r="K308">
        <v>0.10543672955288258</v>
      </c>
      <c r="L308" t="s">
        <v>162</v>
      </c>
      <c r="N308" t="s">
        <v>306</v>
      </c>
      <c r="O308" t="s">
        <v>572</v>
      </c>
      <c r="P308">
        <v>0.10118951960578823</v>
      </c>
      <c r="Q308" t="s">
        <v>162</v>
      </c>
      <c r="S308" t="s">
        <v>418</v>
      </c>
      <c r="T308" t="s">
        <v>572</v>
      </c>
      <c r="U308">
        <v>8.8314628993768657E-2</v>
      </c>
      <c r="V308" t="s">
        <v>162</v>
      </c>
    </row>
    <row r="309" spans="9:22" x14ac:dyDescent="0.45">
      <c r="I309" t="s">
        <v>194</v>
      </c>
      <c r="J309" t="s">
        <v>573</v>
      </c>
      <c r="K309">
        <v>0</v>
      </c>
      <c r="L309" t="s">
        <v>162</v>
      </c>
      <c r="N309" t="s">
        <v>306</v>
      </c>
      <c r="O309" t="s">
        <v>573</v>
      </c>
      <c r="P309">
        <v>0.12276871188359992</v>
      </c>
      <c r="Q309" t="s">
        <v>162</v>
      </c>
      <c r="S309" t="s">
        <v>418</v>
      </c>
      <c r="T309" t="s">
        <v>573</v>
      </c>
      <c r="U309">
        <v>9.169539560956709E-2</v>
      </c>
      <c r="V309" t="s">
        <v>162</v>
      </c>
    </row>
    <row r="310" spans="9:22" x14ac:dyDescent="0.45">
      <c r="I310" t="s">
        <v>194</v>
      </c>
      <c r="J310" t="s">
        <v>574</v>
      </c>
      <c r="K310">
        <v>2.1560832726409624E-3</v>
      </c>
      <c r="L310" t="s">
        <v>162</v>
      </c>
      <c r="N310" t="s">
        <v>306</v>
      </c>
      <c r="O310" t="s">
        <v>574</v>
      </c>
      <c r="P310">
        <v>2.2110459399476531E-2</v>
      </c>
      <c r="Q310" t="s">
        <v>162</v>
      </c>
      <c r="S310" t="s">
        <v>418</v>
      </c>
      <c r="T310" t="s">
        <v>574</v>
      </c>
      <c r="U310">
        <v>1.6561870236610696E-2</v>
      </c>
      <c r="V310" t="s">
        <v>162</v>
      </c>
    </row>
    <row r="311" spans="9:22" x14ac:dyDescent="0.45">
      <c r="I311" t="s">
        <v>195</v>
      </c>
      <c r="J311" t="s">
        <v>563</v>
      </c>
      <c r="K311">
        <v>0.11408072123305806</v>
      </c>
      <c r="L311" t="s">
        <v>162</v>
      </c>
      <c r="N311" t="s">
        <v>307</v>
      </c>
      <c r="O311" t="s">
        <v>563</v>
      </c>
      <c r="P311">
        <v>0.12251127903286195</v>
      </c>
      <c r="Q311" t="s">
        <v>162</v>
      </c>
      <c r="S311" t="s">
        <v>419</v>
      </c>
      <c r="T311" t="s">
        <v>563</v>
      </c>
      <c r="U311">
        <v>0.1171760237394224</v>
      </c>
      <c r="V311" t="s">
        <v>162</v>
      </c>
    </row>
    <row r="312" spans="9:22" x14ac:dyDescent="0.45">
      <c r="I312" t="s">
        <v>195</v>
      </c>
      <c r="J312" t="s">
        <v>564</v>
      </c>
      <c r="K312">
        <v>1.4791770199944019E-5</v>
      </c>
      <c r="L312" t="s">
        <v>162</v>
      </c>
      <c r="N312" t="s">
        <v>307</v>
      </c>
      <c r="O312" t="s">
        <v>564</v>
      </c>
      <c r="P312">
        <v>0.14844771688280986</v>
      </c>
      <c r="Q312" t="s">
        <v>162</v>
      </c>
      <c r="S312" t="s">
        <v>419</v>
      </c>
      <c r="T312" t="s">
        <v>564</v>
      </c>
      <c r="U312">
        <v>0.12088757519066164</v>
      </c>
      <c r="V312" t="s">
        <v>162</v>
      </c>
    </row>
    <row r="313" spans="9:22" x14ac:dyDescent="0.45">
      <c r="I313" t="s">
        <v>195</v>
      </c>
      <c r="J313" t="s">
        <v>565</v>
      </c>
      <c r="K313">
        <v>3.6036739122928718E-3</v>
      </c>
      <c r="L313" t="s">
        <v>162</v>
      </c>
      <c r="N313" t="s">
        <v>307</v>
      </c>
      <c r="O313" t="s">
        <v>565</v>
      </c>
      <c r="P313">
        <v>2.5993200967339956E-2</v>
      </c>
      <c r="Q313" t="s">
        <v>162</v>
      </c>
      <c r="S313" t="s">
        <v>419</v>
      </c>
      <c r="T313" t="s">
        <v>565</v>
      </c>
      <c r="U313">
        <v>2.2700722243134085E-2</v>
      </c>
      <c r="V313" t="s">
        <v>162</v>
      </c>
    </row>
    <row r="314" spans="9:22" x14ac:dyDescent="0.45">
      <c r="I314" t="s">
        <v>195</v>
      </c>
      <c r="J314" t="s">
        <v>566</v>
      </c>
      <c r="K314">
        <v>0.34603821673992219</v>
      </c>
      <c r="L314" t="s">
        <v>162</v>
      </c>
      <c r="N314" t="s">
        <v>307</v>
      </c>
      <c r="O314" t="s">
        <v>566</v>
      </c>
      <c r="P314">
        <v>9.4043020123752152E-2</v>
      </c>
      <c r="Q314" t="s">
        <v>162</v>
      </c>
      <c r="S314" t="s">
        <v>419</v>
      </c>
      <c r="T314" t="s">
        <v>566</v>
      </c>
      <c r="U314">
        <v>0.11411775565402861</v>
      </c>
      <c r="V314" t="s">
        <v>162</v>
      </c>
    </row>
    <row r="315" spans="9:22" x14ac:dyDescent="0.45">
      <c r="I315" t="s">
        <v>195</v>
      </c>
      <c r="J315" t="s">
        <v>567</v>
      </c>
      <c r="K315">
        <v>1.0427476122023946E-2</v>
      </c>
      <c r="L315" t="s">
        <v>162</v>
      </c>
      <c r="N315" t="s">
        <v>307</v>
      </c>
      <c r="O315" t="s">
        <v>567</v>
      </c>
      <c r="P315">
        <v>0.13310758935619679</v>
      </c>
      <c r="Q315" t="s">
        <v>162</v>
      </c>
      <c r="S315" t="s">
        <v>419</v>
      </c>
      <c r="T315" t="s">
        <v>567</v>
      </c>
      <c r="U315">
        <v>0.11441564343428685</v>
      </c>
      <c r="V315" t="s">
        <v>162</v>
      </c>
    </row>
    <row r="316" spans="9:22" x14ac:dyDescent="0.45">
      <c r="I316" t="s">
        <v>195</v>
      </c>
      <c r="J316" t="s">
        <v>568</v>
      </c>
      <c r="K316">
        <v>2.737319398296845E-2</v>
      </c>
      <c r="L316" t="s">
        <v>162</v>
      </c>
      <c r="N316" t="s">
        <v>307</v>
      </c>
      <c r="O316" t="s">
        <v>568</v>
      </c>
      <c r="P316">
        <v>2.129581175267857E-2</v>
      </c>
      <c r="Q316" t="s">
        <v>162</v>
      </c>
      <c r="S316" t="s">
        <v>419</v>
      </c>
      <c r="T316" t="s">
        <v>568</v>
      </c>
      <c r="U316">
        <v>2.062705252292588E-2</v>
      </c>
      <c r="V316" t="s">
        <v>162</v>
      </c>
    </row>
    <row r="317" spans="9:22" x14ac:dyDescent="0.45">
      <c r="I317" t="s">
        <v>195</v>
      </c>
      <c r="J317" t="s">
        <v>569</v>
      </c>
      <c r="K317">
        <v>0.33100117023642217</v>
      </c>
      <c r="L317" t="s">
        <v>162</v>
      </c>
      <c r="N317" t="s">
        <v>307</v>
      </c>
      <c r="O317" t="s">
        <v>569</v>
      </c>
      <c r="P317">
        <v>9.2220928599261995E-2</v>
      </c>
      <c r="Q317" t="s">
        <v>162</v>
      </c>
      <c r="S317" t="s">
        <v>419</v>
      </c>
      <c r="T317" t="s">
        <v>569</v>
      </c>
      <c r="U317">
        <v>0.12056261822807335</v>
      </c>
      <c r="V317" t="s">
        <v>162</v>
      </c>
    </row>
    <row r="318" spans="9:22" x14ac:dyDescent="0.45">
      <c r="I318" t="s">
        <v>195</v>
      </c>
      <c r="J318" t="s">
        <v>570</v>
      </c>
      <c r="K318">
        <v>3.1661872646880876E-2</v>
      </c>
      <c r="L318" t="s">
        <v>162</v>
      </c>
      <c r="N318" t="s">
        <v>307</v>
      </c>
      <c r="O318" t="s">
        <v>570</v>
      </c>
      <c r="P318">
        <v>0.1156705448575302</v>
      </c>
      <c r="Q318" t="s">
        <v>162</v>
      </c>
      <c r="S318" t="s">
        <v>419</v>
      </c>
      <c r="T318" t="s">
        <v>570</v>
      </c>
      <c r="U318">
        <v>0.11979743799113463</v>
      </c>
      <c r="V318" t="s">
        <v>162</v>
      </c>
    </row>
    <row r="319" spans="9:22" x14ac:dyDescent="0.45">
      <c r="I319" t="s">
        <v>195</v>
      </c>
      <c r="J319" t="s">
        <v>571</v>
      </c>
      <c r="K319">
        <v>4.1424049981081242E-2</v>
      </c>
      <c r="L319" t="s">
        <v>162</v>
      </c>
      <c r="N319" t="s">
        <v>307</v>
      </c>
      <c r="O319" t="s">
        <v>571</v>
      </c>
      <c r="P319">
        <v>1.6376985895468609E-2</v>
      </c>
      <c r="Q319" t="s">
        <v>162</v>
      </c>
      <c r="S319" t="s">
        <v>419</v>
      </c>
      <c r="T319" t="s">
        <v>571</v>
      </c>
      <c r="U319">
        <v>2.1105820139043361E-2</v>
      </c>
      <c r="V319" t="s">
        <v>162</v>
      </c>
    </row>
    <row r="320" spans="9:22" x14ac:dyDescent="0.45">
      <c r="I320" t="s">
        <v>195</v>
      </c>
      <c r="J320" t="s">
        <v>572</v>
      </c>
      <c r="K320">
        <v>9.4142152143328953E-2</v>
      </c>
      <c r="L320" t="s">
        <v>162</v>
      </c>
      <c r="N320" t="s">
        <v>307</v>
      </c>
      <c r="O320" t="s">
        <v>572</v>
      </c>
      <c r="P320">
        <v>9.5677356525969107E-2</v>
      </c>
      <c r="Q320" t="s">
        <v>162</v>
      </c>
      <c r="S320" t="s">
        <v>419</v>
      </c>
      <c r="T320" t="s">
        <v>572</v>
      </c>
      <c r="U320">
        <v>0.10446193388282454</v>
      </c>
      <c r="V320" t="s">
        <v>162</v>
      </c>
    </row>
    <row r="321" spans="9:22" x14ac:dyDescent="0.45">
      <c r="I321" t="s">
        <v>195</v>
      </c>
      <c r="J321" t="s">
        <v>573</v>
      </c>
      <c r="K321">
        <v>0</v>
      </c>
      <c r="L321" t="s">
        <v>162</v>
      </c>
      <c r="N321" t="s">
        <v>307</v>
      </c>
      <c r="O321" t="s">
        <v>573</v>
      </c>
      <c r="P321">
        <v>0.11223558539941943</v>
      </c>
      <c r="Q321" t="s">
        <v>162</v>
      </c>
      <c r="S321" t="s">
        <v>419</v>
      </c>
      <c r="T321" t="s">
        <v>573</v>
      </c>
      <c r="U321">
        <v>0.10548312296859505</v>
      </c>
      <c r="V321" t="s">
        <v>162</v>
      </c>
    </row>
    <row r="322" spans="9:22" x14ac:dyDescent="0.45">
      <c r="I322" t="s">
        <v>195</v>
      </c>
      <c r="J322" t="s">
        <v>574</v>
      </c>
      <c r="K322">
        <v>2.3268123182060613E-4</v>
      </c>
      <c r="L322" t="s">
        <v>162</v>
      </c>
      <c r="N322" t="s">
        <v>307</v>
      </c>
      <c r="O322" t="s">
        <v>574</v>
      </c>
      <c r="P322">
        <v>2.2419980606711E-2</v>
      </c>
      <c r="Q322" t="s">
        <v>162</v>
      </c>
      <c r="S322" t="s">
        <v>419</v>
      </c>
      <c r="T322" t="s">
        <v>574</v>
      </c>
      <c r="U322">
        <v>1.8664294005870944E-2</v>
      </c>
      <c r="V322" t="s">
        <v>162</v>
      </c>
    </row>
    <row r="323" spans="9:22" x14ac:dyDescent="0.45">
      <c r="I323" t="s">
        <v>196</v>
      </c>
      <c r="J323" t="s">
        <v>563</v>
      </c>
      <c r="K323">
        <v>0.11747908216557673</v>
      </c>
      <c r="L323" t="s">
        <v>162</v>
      </c>
      <c r="N323" t="s">
        <v>308</v>
      </c>
      <c r="O323" t="s">
        <v>563</v>
      </c>
      <c r="P323">
        <v>0.12127274445814795</v>
      </c>
      <c r="Q323" t="s">
        <v>162</v>
      </c>
      <c r="S323" t="s">
        <v>420</v>
      </c>
      <c r="T323" t="s">
        <v>563</v>
      </c>
      <c r="U323">
        <v>0.12857737755111565</v>
      </c>
      <c r="V323" t="s">
        <v>162</v>
      </c>
    </row>
    <row r="324" spans="9:22" x14ac:dyDescent="0.45">
      <c r="I324" t="s">
        <v>196</v>
      </c>
      <c r="J324" t="s">
        <v>564</v>
      </c>
      <c r="K324">
        <v>7.0622990857592191E-4</v>
      </c>
      <c r="L324" t="s">
        <v>162</v>
      </c>
      <c r="N324" t="s">
        <v>308</v>
      </c>
      <c r="O324" t="s">
        <v>564</v>
      </c>
      <c r="P324">
        <v>0.14714934224339091</v>
      </c>
      <c r="Q324" t="s">
        <v>162</v>
      </c>
      <c r="S324" t="s">
        <v>420</v>
      </c>
      <c r="T324" t="s">
        <v>564</v>
      </c>
      <c r="U324">
        <v>0.13151321692058002</v>
      </c>
      <c r="V324" t="s">
        <v>162</v>
      </c>
    </row>
    <row r="325" spans="9:22" x14ac:dyDescent="0.45">
      <c r="I325" t="s">
        <v>196</v>
      </c>
      <c r="J325" t="s">
        <v>565</v>
      </c>
      <c r="K325">
        <v>7.9713512660192169E-3</v>
      </c>
      <c r="L325" t="s">
        <v>162</v>
      </c>
      <c r="N325" t="s">
        <v>308</v>
      </c>
      <c r="O325" t="s">
        <v>565</v>
      </c>
      <c r="P325">
        <v>2.452756461157202E-2</v>
      </c>
      <c r="Q325" t="s">
        <v>162</v>
      </c>
      <c r="S325" t="s">
        <v>420</v>
      </c>
      <c r="T325" t="s">
        <v>565</v>
      </c>
      <c r="U325">
        <v>2.3890868898271453E-2</v>
      </c>
      <c r="V325" t="s">
        <v>162</v>
      </c>
    </row>
    <row r="326" spans="9:22" x14ac:dyDescent="0.45">
      <c r="I326" t="s">
        <v>196</v>
      </c>
      <c r="J326" t="s">
        <v>566</v>
      </c>
      <c r="K326">
        <v>0.33019927696223172</v>
      </c>
      <c r="L326" t="s">
        <v>162</v>
      </c>
      <c r="N326" t="s">
        <v>308</v>
      </c>
      <c r="O326" t="s">
        <v>566</v>
      </c>
      <c r="P326">
        <v>9.4821497111344674E-2</v>
      </c>
      <c r="Q326" t="s">
        <v>162</v>
      </c>
      <c r="S326" t="s">
        <v>420</v>
      </c>
      <c r="T326" t="s">
        <v>566</v>
      </c>
      <c r="U326">
        <v>0.10672791486175491</v>
      </c>
      <c r="V326" t="s">
        <v>162</v>
      </c>
    </row>
    <row r="327" spans="9:22" x14ac:dyDescent="0.45">
      <c r="I327" t="s">
        <v>196</v>
      </c>
      <c r="J327" t="s">
        <v>567</v>
      </c>
      <c r="K327">
        <v>1.285810480387618E-2</v>
      </c>
      <c r="L327" t="s">
        <v>162</v>
      </c>
      <c r="N327" t="s">
        <v>308</v>
      </c>
      <c r="O327" t="s">
        <v>567</v>
      </c>
      <c r="P327">
        <v>0.13374994442487728</v>
      </c>
      <c r="Q327" t="s">
        <v>162</v>
      </c>
      <c r="S327" t="s">
        <v>420</v>
      </c>
      <c r="T327" t="s">
        <v>567</v>
      </c>
      <c r="U327">
        <v>0.11137636513142678</v>
      </c>
      <c r="V327" t="s">
        <v>162</v>
      </c>
    </row>
    <row r="328" spans="9:22" x14ac:dyDescent="0.45">
      <c r="I328" t="s">
        <v>196</v>
      </c>
      <c r="J328" t="s">
        <v>568</v>
      </c>
      <c r="K328">
        <v>4.2560457627879689E-2</v>
      </c>
      <c r="L328" t="s">
        <v>162</v>
      </c>
      <c r="N328" t="s">
        <v>308</v>
      </c>
      <c r="O328" t="s">
        <v>568</v>
      </c>
      <c r="P328">
        <v>2.2189383046026388E-2</v>
      </c>
      <c r="Q328" t="s">
        <v>162</v>
      </c>
      <c r="S328" t="s">
        <v>420</v>
      </c>
      <c r="T328" t="s">
        <v>568</v>
      </c>
      <c r="U328">
        <v>2.033738404562593E-2</v>
      </c>
      <c r="V328" t="s">
        <v>162</v>
      </c>
    </row>
    <row r="329" spans="9:22" x14ac:dyDescent="0.45">
      <c r="I329" t="s">
        <v>196</v>
      </c>
      <c r="J329" t="s">
        <v>569</v>
      </c>
      <c r="K329">
        <v>0.30459348706301442</v>
      </c>
      <c r="L329" t="s">
        <v>162</v>
      </c>
      <c r="N329" t="s">
        <v>308</v>
      </c>
      <c r="O329" t="s">
        <v>569</v>
      </c>
      <c r="P329">
        <v>9.0043193081147416E-2</v>
      </c>
      <c r="Q329" t="s">
        <v>162</v>
      </c>
      <c r="S329" t="s">
        <v>420</v>
      </c>
      <c r="T329" t="s">
        <v>569</v>
      </c>
      <c r="U329">
        <v>0.1366851543848232</v>
      </c>
      <c r="V329" t="s">
        <v>162</v>
      </c>
    </row>
    <row r="330" spans="9:22" x14ac:dyDescent="0.45">
      <c r="I330" t="s">
        <v>196</v>
      </c>
      <c r="J330" t="s">
        <v>570</v>
      </c>
      <c r="K330">
        <v>3.6968349355354424E-2</v>
      </c>
      <c r="L330" t="s">
        <v>162</v>
      </c>
      <c r="N330" t="s">
        <v>308</v>
      </c>
      <c r="O330" t="s">
        <v>570</v>
      </c>
      <c r="P330">
        <v>0.1105982180326656</v>
      </c>
      <c r="Q330" t="s">
        <v>162</v>
      </c>
      <c r="S330" t="s">
        <v>420</v>
      </c>
      <c r="T330" t="s">
        <v>570</v>
      </c>
      <c r="U330">
        <v>0.13332030073557333</v>
      </c>
      <c r="V330" t="s">
        <v>162</v>
      </c>
    </row>
    <row r="331" spans="9:22" x14ac:dyDescent="0.45">
      <c r="I331" t="s">
        <v>196</v>
      </c>
      <c r="J331" t="s">
        <v>571</v>
      </c>
      <c r="K331">
        <v>4.905624721168491E-2</v>
      </c>
      <c r="L331" t="s">
        <v>162</v>
      </c>
      <c r="N331" t="s">
        <v>308</v>
      </c>
      <c r="O331" t="s">
        <v>571</v>
      </c>
      <c r="P331">
        <v>1.594673310355962E-2</v>
      </c>
      <c r="Q331" t="s">
        <v>162</v>
      </c>
      <c r="S331" t="s">
        <v>420</v>
      </c>
      <c r="T331" t="s">
        <v>571</v>
      </c>
      <c r="U331">
        <v>2.4298036521143609E-2</v>
      </c>
      <c r="V331" t="s">
        <v>162</v>
      </c>
    </row>
    <row r="332" spans="9:22" x14ac:dyDescent="0.45">
      <c r="I332" t="s">
        <v>196</v>
      </c>
      <c r="J332" t="s">
        <v>572</v>
      </c>
      <c r="K332">
        <v>9.4434973020360372E-2</v>
      </c>
      <c r="L332" t="s">
        <v>162</v>
      </c>
      <c r="N332" t="s">
        <v>308</v>
      </c>
      <c r="O332" t="s">
        <v>572</v>
      </c>
      <c r="P332">
        <v>9.64143772857005E-2</v>
      </c>
      <c r="Q332" t="s">
        <v>162</v>
      </c>
      <c r="S332" t="s">
        <v>420</v>
      </c>
      <c r="T332" t="s">
        <v>572</v>
      </c>
      <c r="U332">
        <v>8.2119358152896393E-2</v>
      </c>
      <c r="V332" t="s">
        <v>162</v>
      </c>
    </row>
    <row r="333" spans="9:22" x14ac:dyDescent="0.45">
      <c r="I333" t="s">
        <v>196</v>
      </c>
      <c r="J333" t="s">
        <v>573</v>
      </c>
      <c r="K333">
        <v>0</v>
      </c>
      <c r="L333" t="s">
        <v>162</v>
      </c>
      <c r="N333" t="s">
        <v>308</v>
      </c>
      <c r="O333" t="s">
        <v>573</v>
      </c>
      <c r="P333">
        <v>0.1198800715683267</v>
      </c>
      <c r="Q333" t="s">
        <v>162</v>
      </c>
      <c r="S333" t="s">
        <v>420</v>
      </c>
      <c r="T333" t="s">
        <v>573</v>
      </c>
      <c r="U333">
        <v>8.6111836797505253E-2</v>
      </c>
      <c r="V333" t="s">
        <v>162</v>
      </c>
    </row>
    <row r="334" spans="9:22" x14ac:dyDescent="0.45">
      <c r="I334" t="s">
        <v>196</v>
      </c>
      <c r="J334" t="s">
        <v>574</v>
      </c>
      <c r="K334">
        <v>3.1724406154279125E-3</v>
      </c>
      <c r="L334" t="s">
        <v>162</v>
      </c>
      <c r="N334" t="s">
        <v>308</v>
      </c>
      <c r="O334" t="s">
        <v>574</v>
      </c>
      <c r="P334">
        <v>2.3406931033240142E-2</v>
      </c>
      <c r="Q334" t="s">
        <v>162</v>
      </c>
      <c r="S334" t="s">
        <v>420</v>
      </c>
      <c r="T334" t="s">
        <v>574</v>
      </c>
      <c r="U334">
        <v>1.5042185999282287E-2</v>
      </c>
      <c r="V334" t="s">
        <v>162</v>
      </c>
    </row>
    <row r="335" spans="9:22" x14ac:dyDescent="0.45">
      <c r="I335" t="s">
        <v>197</v>
      </c>
      <c r="J335" t="s">
        <v>563</v>
      </c>
      <c r="K335">
        <v>0.14202243324561062</v>
      </c>
      <c r="L335" t="s">
        <v>162</v>
      </c>
      <c r="N335" t="s">
        <v>309</v>
      </c>
      <c r="O335" t="s">
        <v>563</v>
      </c>
      <c r="P335">
        <v>0.12749675610781708</v>
      </c>
      <c r="Q335" t="s">
        <v>162</v>
      </c>
      <c r="S335" t="s">
        <v>421</v>
      </c>
      <c r="T335" t="s">
        <v>563</v>
      </c>
      <c r="U335">
        <v>0.13406514242057438</v>
      </c>
      <c r="V335" t="s">
        <v>162</v>
      </c>
    </row>
    <row r="336" spans="9:22" x14ac:dyDescent="0.45">
      <c r="I336" t="s">
        <v>197</v>
      </c>
      <c r="J336" t="s">
        <v>564</v>
      </c>
      <c r="K336">
        <v>0</v>
      </c>
      <c r="L336" t="s">
        <v>162</v>
      </c>
      <c r="N336" t="s">
        <v>309</v>
      </c>
      <c r="O336" t="s">
        <v>564</v>
      </c>
      <c r="P336">
        <v>0.15457899329875724</v>
      </c>
      <c r="Q336" t="s">
        <v>162</v>
      </c>
      <c r="S336" t="s">
        <v>421</v>
      </c>
      <c r="T336" t="s">
        <v>564</v>
      </c>
      <c r="U336">
        <v>0.13250004784009625</v>
      </c>
      <c r="V336" t="s">
        <v>162</v>
      </c>
    </row>
    <row r="337" spans="9:22" x14ac:dyDescent="0.45">
      <c r="I337" t="s">
        <v>197</v>
      </c>
      <c r="J337" t="s">
        <v>565</v>
      </c>
      <c r="K337">
        <v>5.5540542707508906E-3</v>
      </c>
      <c r="L337" t="s">
        <v>162</v>
      </c>
      <c r="N337" t="s">
        <v>309</v>
      </c>
      <c r="O337" t="s">
        <v>565</v>
      </c>
      <c r="P337">
        <v>2.6304183763280586E-2</v>
      </c>
      <c r="Q337" t="s">
        <v>162</v>
      </c>
      <c r="S337" t="s">
        <v>421</v>
      </c>
      <c r="T337" t="s">
        <v>565</v>
      </c>
      <c r="U337">
        <v>2.3670650773029565E-2</v>
      </c>
      <c r="V337" t="s">
        <v>162</v>
      </c>
    </row>
    <row r="338" spans="9:22" x14ac:dyDescent="0.45">
      <c r="I338" t="s">
        <v>197</v>
      </c>
      <c r="J338" t="s">
        <v>566</v>
      </c>
      <c r="K338">
        <v>0.33365218986905176</v>
      </c>
      <c r="L338" t="s">
        <v>162</v>
      </c>
      <c r="N338" t="s">
        <v>309</v>
      </c>
      <c r="O338" t="s">
        <v>566</v>
      </c>
      <c r="P338">
        <v>0.10012767739378646</v>
      </c>
      <c r="Q338" t="s">
        <v>162</v>
      </c>
      <c r="S338" t="s">
        <v>421</v>
      </c>
      <c r="T338" t="s">
        <v>566</v>
      </c>
      <c r="U338">
        <v>0.10373493787020167</v>
      </c>
      <c r="V338" t="s">
        <v>162</v>
      </c>
    </row>
    <row r="339" spans="9:22" x14ac:dyDescent="0.45">
      <c r="I339" t="s">
        <v>197</v>
      </c>
      <c r="J339" t="s">
        <v>567</v>
      </c>
      <c r="K339">
        <v>7.6841857458551793E-3</v>
      </c>
      <c r="L339" t="s">
        <v>162</v>
      </c>
      <c r="N339" t="s">
        <v>309</v>
      </c>
      <c r="O339" t="s">
        <v>567</v>
      </c>
      <c r="P339">
        <v>0.1234354935953699</v>
      </c>
      <c r="Q339" t="s">
        <v>162</v>
      </c>
      <c r="S339" t="s">
        <v>421</v>
      </c>
      <c r="T339" t="s">
        <v>567</v>
      </c>
      <c r="U339">
        <v>0.11058133395498941</v>
      </c>
      <c r="V339" t="s">
        <v>162</v>
      </c>
    </row>
    <row r="340" spans="9:22" x14ac:dyDescent="0.45">
      <c r="I340" t="s">
        <v>197</v>
      </c>
      <c r="J340" t="s">
        <v>568</v>
      </c>
      <c r="K340">
        <v>2.8290213776275382E-2</v>
      </c>
      <c r="L340" t="s">
        <v>162</v>
      </c>
      <c r="N340" t="s">
        <v>309</v>
      </c>
      <c r="O340" t="s">
        <v>568</v>
      </c>
      <c r="P340">
        <v>2.2179197865899166E-2</v>
      </c>
      <c r="Q340" t="s">
        <v>162</v>
      </c>
      <c r="S340" t="s">
        <v>421</v>
      </c>
      <c r="T340" t="s">
        <v>568</v>
      </c>
      <c r="U340">
        <v>1.9956257739413258E-2</v>
      </c>
      <c r="V340" t="s">
        <v>162</v>
      </c>
    </row>
    <row r="341" spans="9:22" x14ac:dyDescent="0.45">
      <c r="I341" t="s">
        <v>197</v>
      </c>
      <c r="J341" t="s">
        <v>569</v>
      </c>
      <c r="K341">
        <v>0.28242867614159506</v>
      </c>
      <c r="L341" t="s">
        <v>162</v>
      </c>
      <c r="N341" t="s">
        <v>309</v>
      </c>
      <c r="O341" t="s">
        <v>569</v>
      </c>
      <c r="P341">
        <v>7.9882849090287686E-2</v>
      </c>
      <c r="Q341" t="s">
        <v>162</v>
      </c>
      <c r="S341" t="s">
        <v>421</v>
      </c>
      <c r="T341" t="s">
        <v>569</v>
      </c>
      <c r="U341">
        <v>0.14241697131841533</v>
      </c>
      <c r="V341" t="s">
        <v>162</v>
      </c>
    </row>
    <row r="342" spans="9:22" x14ac:dyDescent="0.45">
      <c r="I342" t="s">
        <v>197</v>
      </c>
      <c r="J342" t="s">
        <v>570</v>
      </c>
      <c r="K342">
        <v>2.5693298407728965E-2</v>
      </c>
      <c r="L342" t="s">
        <v>162</v>
      </c>
      <c r="N342" t="s">
        <v>309</v>
      </c>
      <c r="O342" t="s">
        <v>570</v>
      </c>
      <c r="P342">
        <v>0.10726300591416678</v>
      </c>
      <c r="Q342" t="s">
        <v>162</v>
      </c>
      <c r="S342" t="s">
        <v>421</v>
      </c>
      <c r="T342" t="s">
        <v>570</v>
      </c>
      <c r="U342">
        <v>0.13377546063821749</v>
      </c>
      <c r="V342" t="s">
        <v>162</v>
      </c>
    </row>
    <row r="343" spans="9:22" x14ac:dyDescent="0.45">
      <c r="I343" t="s">
        <v>197</v>
      </c>
      <c r="J343" t="s">
        <v>571</v>
      </c>
      <c r="K343">
        <v>3.3062576418582894E-2</v>
      </c>
      <c r="L343" t="s">
        <v>162</v>
      </c>
      <c r="N343" t="s">
        <v>309</v>
      </c>
      <c r="O343" t="s">
        <v>571</v>
      </c>
      <c r="P343">
        <v>1.4122065195765521E-2</v>
      </c>
      <c r="Q343" t="s">
        <v>162</v>
      </c>
      <c r="S343" t="s">
        <v>421</v>
      </c>
      <c r="T343" t="s">
        <v>571</v>
      </c>
      <c r="U343">
        <v>2.4579321232998913E-2</v>
      </c>
      <c r="V343" t="s">
        <v>162</v>
      </c>
    </row>
    <row r="344" spans="9:22" x14ac:dyDescent="0.45">
      <c r="I344" t="s">
        <v>197</v>
      </c>
      <c r="J344" t="s">
        <v>572</v>
      </c>
      <c r="K344">
        <v>0.13987500856972804</v>
      </c>
      <c r="L344" t="s">
        <v>162</v>
      </c>
      <c r="N344" t="s">
        <v>309</v>
      </c>
      <c r="O344" t="s">
        <v>572</v>
      </c>
      <c r="P344">
        <v>9.9374013712791379E-2</v>
      </c>
      <c r="Q344" t="s">
        <v>162</v>
      </c>
      <c r="S344" t="s">
        <v>421</v>
      </c>
      <c r="T344" t="s">
        <v>572</v>
      </c>
      <c r="U344">
        <v>7.8996676213531167E-2</v>
      </c>
      <c r="V344" t="s">
        <v>162</v>
      </c>
    </row>
    <row r="345" spans="9:22" x14ac:dyDescent="0.45">
      <c r="I345" t="s">
        <v>197</v>
      </c>
      <c r="J345" t="s">
        <v>573</v>
      </c>
      <c r="K345">
        <v>0</v>
      </c>
      <c r="L345" t="s">
        <v>162</v>
      </c>
      <c r="N345" t="s">
        <v>309</v>
      </c>
      <c r="O345" t="s">
        <v>573</v>
      </c>
      <c r="P345">
        <v>0.12207255538480143</v>
      </c>
      <c r="Q345" t="s">
        <v>162</v>
      </c>
      <c r="S345" t="s">
        <v>421</v>
      </c>
      <c r="T345" t="s">
        <v>573</v>
      </c>
      <c r="U345">
        <v>8.2239981898749343E-2</v>
      </c>
      <c r="V345" t="s">
        <v>162</v>
      </c>
    </row>
    <row r="346" spans="9:22" x14ac:dyDescent="0.45">
      <c r="I346" t="s">
        <v>197</v>
      </c>
      <c r="J346" t="s">
        <v>574</v>
      </c>
      <c r="K346">
        <v>1.7373635548242124E-3</v>
      </c>
      <c r="L346" t="s">
        <v>162</v>
      </c>
      <c r="N346" t="s">
        <v>309</v>
      </c>
      <c r="O346" t="s">
        <v>574</v>
      </c>
      <c r="P346">
        <v>2.3163208677276843E-2</v>
      </c>
      <c r="Q346" t="s">
        <v>162</v>
      </c>
      <c r="S346" t="s">
        <v>421</v>
      </c>
      <c r="T346" t="s">
        <v>574</v>
      </c>
      <c r="U346">
        <v>1.3483218099778375E-2</v>
      </c>
      <c r="V346" t="s">
        <v>162</v>
      </c>
    </row>
    <row r="347" spans="9:22" x14ac:dyDescent="0.45">
      <c r="I347" t="s">
        <v>198</v>
      </c>
      <c r="J347" t="s">
        <v>563</v>
      </c>
      <c r="K347">
        <v>0.13853607423201589</v>
      </c>
      <c r="L347" t="s">
        <v>162</v>
      </c>
      <c r="N347" t="s">
        <v>310</v>
      </c>
      <c r="O347" t="s">
        <v>563</v>
      </c>
      <c r="P347">
        <v>0.12130676641918507</v>
      </c>
      <c r="Q347" t="s">
        <v>162</v>
      </c>
      <c r="S347" t="s">
        <v>422</v>
      </c>
      <c r="T347" t="s">
        <v>563</v>
      </c>
      <c r="U347">
        <v>0.14319408774445977</v>
      </c>
      <c r="V347" t="s">
        <v>162</v>
      </c>
    </row>
    <row r="348" spans="9:22" x14ac:dyDescent="0.45">
      <c r="I348" t="s">
        <v>198</v>
      </c>
      <c r="J348" t="s">
        <v>564</v>
      </c>
      <c r="K348">
        <v>1.7327510987660308E-6</v>
      </c>
      <c r="L348" t="s">
        <v>162</v>
      </c>
      <c r="N348" t="s">
        <v>310</v>
      </c>
      <c r="O348" t="s">
        <v>564</v>
      </c>
      <c r="P348">
        <v>0.13671535136346957</v>
      </c>
      <c r="Q348" t="s">
        <v>162</v>
      </c>
      <c r="S348" t="s">
        <v>422</v>
      </c>
      <c r="T348" t="s">
        <v>564</v>
      </c>
      <c r="U348">
        <v>0.13446839739848063</v>
      </c>
      <c r="V348" t="s">
        <v>162</v>
      </c>
    </row>
    <row r="349" spans="9:22" x14ac:dyDescent="0.45">
      <c r="I349" t="s">
        <v>198</v>
      </c>
      <c r="J349" t="s">
        <v>565</v>
      </c>
      <c r="K349">
        <v>4.4385394446060222E-3</v>
      </c>
      <c r="L349" t="s">
        <v>162</v>
      </c>
      <c r="N349" t="s">
        <v>310</v>
      </c>
      <c r="O349" t="s">
        <v>565</v>
      </c>
      <c r="P349">
        <v>2.5171008276671795E-2</v>
      </c>
      <c r="Q349" t="s">
        <v>162</v>
      </c>
      <c r="S349" t="s">
        <v>422</v>
      </c>
      <c r="T349" t="s">
        <v>565</v>
      </c>
      <c r="U349">
        <v>2.5679719828790994E-2</v>
      </c>
      <c r="V349" t="s">
        <v>162</v>
      </c>
    </row>
    <row r="350" spans="9:22" x14ac:dyDescent="0.45">
      <c r="I350" t="s">
        <v>198</v>
      </c>
      <c r="J350" t="s">
        <v>566</v>
      </c>
      <c r="K350">
        <v>0.33196831087768064</v>
      </c>
      <c r="L350" t="s">
        <v>162</v>
      </c>
      <c r="N350" t="s">
        <v>310</v>
      </c>
      <c r="O350" t="s">
        <v>566</v>
      </c>
      <c r="P350">
        <v>9.4182833398111274E-2</v>
      </c>
      <c r="Q350" t="s">
        <v>162</v>
      </c>
      <c r="S350" t="s">
        <v>422</v>
      </c>
      <c r="T350" t="s">
        <v>566</v>
      </c>
      <c r="U350">
        <v>9.5306206176532043E-2</v>
      </c>
      <c r="V350" t="s">
        <v>162</v>
      </c>
    </row>
    <row r="351" spans="9:22" x14ac:dyDescent="0.45">
      <c r="I351" t="s">
        <v>198</v>
      </c>
      <c r="J351" t="s">
        <v>567</v>
      </c>
      <c r="K351">
        <v>1.0148457706258347E-2</v>
      </c>
      <c r="L351" t="s">
        <v>162</v>
      </c>
      <c r="N351" t="s">
        <v>310</v>
      </c>
      <c r="O351" t="s">
        <v>567</v>
      </c>
      <c r="P351">
        <v>0.12219783589010687</v>
      </c>
      <c r="Q351" t="s">
        <v>162</v>
      </c>
      <c r="S351" t="s">
        <v>422</v>
      </c>
      <c r="T351" t="s">
        <v>567</v>
      </c>
      <c r="U351">
        <v>0.10153958848962512</v>
      </c>
      <c r="V351" t="s">
        <v>162</v>
      </c>
    </row>
    <row r="352" spans="9:22" x14ac:dyDescent="0.45">
      <c r="I352" t="s">
        <v>198</v>
      </c>
      <c r="J352" t="s">
        <v>568</v>
      </c>
      <c r="K352">
        <v>2.9645516130981028E-2</v>
      </c>
      <c r="L352" t="s">
        <v>162</v>
      </c>
      <c r="N352" t="s">
        <v>310</v>
      </c>
      <c r="O352" t="s">
        <v>568</v>
      </c>
      <c r="P352">
        <v>2.0017495640496295E-2</v>
      </c>
      <c r="Q352" t="s">
        <v>162</v>
      </c>
      <c r="S352" t="s">
        <v>422</v>
      </c>
      <c r="T352" t="s">
        <v>568</v>
      </c>
      <c r="U352">
        <v>1.6732229981463474E-2</v>
      </c>
      <c r="V352" t="s">
        <v>162</v>
      </c>
    </row>
    <row r="353" spans="9:22" x14ac:dyDescent="0.45">
      <c r="I353" t="s">
        <v>198</v>
      </c>
      <c r="J353" t="s">
        <v>569</v>
      </c>
      <c r="K353">
        <v>0.28821108355092628</v>
      </c>
      <c r="L353" t="s">
        <v>162</v>
      </c>
      <c r="N353" t="s">
        <v>310</v>
      </c>
      <c r="O353" t="s">
        <v>569</v>
      </c>
      <c r="P353">
        <v>9.1413274390015981E-2</v>
      </c>
      <c r="Q353" t="s">
        <v>162</v>
      </c>
      <c r="S353" t="s">
        <v>422</v>
      </c>
      <c r="T353" t="s">
        <v>569</v>
      </c>
      <c r="U353">
        <v>0.12935115142151254</v>
      </c>
      <c r="V353" t="s">
        <v>162</v>
      </c>
    </row>
    <row r="354" spans="9:22" x14ac:dyDescent="0.45">
      <c r="I354" t="s">
        <v>198</v>
      </c>
      <c r="J354" t="s">
        <v>570</v>
      </c>
      <c r="K354">
        <v>2.7385344026952026E-2</v>
      </c>
      <c r="L354" t="s">
        <v>162</v>
      </c>
      <c r="N354" t="s">
        <v>310</v>
      </c>
      <c r="O354" t="s">
        <v>570</v>
      </c>
      <c r="P354">
        <v>0.10895506329685878</v>
      </c>
      <c r="Q354" t="s">
        <v>162</v>
      </c>
      <c r="S354" t="s">
        <v>422</v>
      </c>
      <c r="T354" t="s">
        <v>570</v>
      </c>
      <c r="U354">
        <v>0.12430176146264256</v>
      </c>
      <c r="V354" t="s">
        <v>162</v>
      </c>
    </row>
    <row r="355" spans="9:22" x14ac:dyDescent="0.45">
      <c r="I355" t="s">
        <v>198</v>
      </c>
      <c r="J355" t="s">
        <v>571</v>
      </c>
      <c r="K355">
        <v>3.1032080379383011E-2</v>
      </c>
      <c r="L355" t="s">
        <v>162</v>
      </c>
      <c r="N355" t="s">
        <v>310</v>
      </c>
      <c r="O355" t="s">
        <v>571</v>
      </c>
      <c r="P355">
        <v>1.7001541302812503E-2</v>
      </c>
      <c r="Q355" t="s">
        <v>162</v>
      </c>
      <c r="S355" t="s">
        <v>422</v>
      </c>
      <c r="T355" t="s">
        <v>571</v>
      </c>
      <c r="U355">
        <v>2.3576122044493115E-2</v>
      </c>
      <c r="V355" t="s">
        <v>162</v>
      </c>
    </row>
    <row r="356" spans="9:22" x14ac:dyDescent="0.45">
      <c r="I356" t="s">
        <v>198</v>
      </c>
      <c r="J356" t="s">
        <v>572</v>
      </c>
      <c r="K356">
        <v>0.1378705601862972</v>
      </c>
      <c r="L356" t="s">
        <v>162</v>
      </c>
      <c r="N356" t="s">
        <v>310</v>
      </c>
      <c r="O356" t="s">
        <v>572</v>
      </c>
      <c r="P356">
        <v>0.1152609641430154</v>
      </c>
      <c r="Q356" t="s">
        <v>162</v>
      </c>
      <c r="S356" t="s">
        <v>422</v>
      </c>
      <c r="T356" t="s">
        <v>572</v>
      </c>
      <c r="U356">
        <v>9.4480732389110381E-2</v>
      </c>
      <c r="V356" t="s">
        <v>162</v>
      </c>
    </row>
    <row r="357" spans="9:22" x14ac:dyDescent="0.45">
      <c r="I357" t="s">
        <v>198</v>
      </c>
      <c r="J357" t="s">
        <v>573</v>
      </c>
      <c r="K357">
        <v>0</v>
      </c>
      <c r="L357" t="s">
        <v>162</v>
      </c>
      <c r="N357" t="s">
        <v>310</v>
      </c>
      <c r="O357" t="s">
        <v>573</v>
      </c>
      <c r="P357">
        <v>0.12462084863548004</v>
      </c>
      <c r="Q357" t="s">
        <v>162</v>
      </c>
      <c r="S357" t="s">
        <v>422</v>
      </c>
      <c r="T357" t="s">
        <v>573</v>
      </c>
      <c r="U357">
        <v>9.5595086454878922E-2</v>
      </c>
      <c r="V357" t="s">
        <v>162</v>
      </c>
    </row>
    <row r="358" spans="9:22" x14ac:dyDescent="0.45">
      <c r="I358" t="s">
        <v>198</v>
      </c>
      <c r="J358" t="s">
        <v>574</v>
      </c>
      <c r="K358">
        <v>7.6230071379998292E-4</v>
      </c>
      <c r="L358" t="s">
        <v>162</v>
      </c>
      <c r="N358" t="s">
        <v>310</v>
      </c>
      <c r="O358" t="s">
        <v>574</v>
      </c>
      <c r="P358">
        <v>2.3157017243776331E-2</v>
      </c>
      <c r="Q358" t="s">
        <v>162</v>
      </c>
      <c r="S358" t="s">
        <v>422</v>
      </c>
      <c r="T358" t="s">
        <v>574</v>
      </c>
      <c r="U358">
        <v>1.5774916608013237E-2</v>
      </c>
      <c r="V358" t="s">
        <v>162</v>
      </c>
    </row>
    <row r="359" spans="9:22" x14ac:dyDescent="0.45">
      <c r="I359" t="s">
        <v>199</v>
      </c>
      <c r="J359" t="s">
        <v>563</v>
      </c>
      <c r="K359">
        <v>0.13329063777226516</v>
      </c>
      <c r="L359" t="s">
        <v>162</v>
      </c>
      <c r="N359" t="s">
        <v>311</v>
      </c>
      <c r="O359" t="s">
        <v>563</v>
      </c>
      <c r="P359">
        <v>0.11958608952085702</v>
      </c>
      <c r="Q359" t="s">
        <v>162</v>
      </c>
      <c r="S359" t="s">
        <v>423</v>
      </c>
      <c r="T359" t="s">
        <v>563</v>
      </c>
      <c r="U359">
        <v>0.13100018892473891</v>
      </c>
      <c r="V359" t="s">
        <v>162</v>
      </c>
    </row>
    <row r="360" spans="9:22" x14ac:dyDescent="0.45">
      <c r="I360" t="s">
        <v>199</v>
      </c>
      <c r="J360" t="s">
        <v>564</v>
      </c>
      <c r="K360">
        <v>4.6624308119704582E-5</v>
      </c>
      <c r="L360" t="s">
        <v>162</v>
      </c>
      <c r="N360" t="s">
        <v>311</v>
      </c>
      <c r="O360" t="s">
        <v>564</v>
      </c>
      <c r="P360">
        <v>0.13159790756248274</v>
      </c>
      <c r="Q360" t="s">
        <v>162</v>
      </c>
      <c r="S360" t="s">
        <v>423</v>
      </c>
      <c r="T360" t="s">
        <v>564</v>
      </c>
      <c r="U360">
        <v>0.13548405555189269</v>
      </c>
      <c r="V360" t="s">
        <v>162</v>
      </c>
    </row>
    <row r="361" spans="9:22" x14ac:dyDescent="0.45">
      <c r="I361" t="s">
        <v>199</v>
      </c>
      <c r="J361" t="s">
        <v>565</v>
      </c>
      <c r="K361">
        <v>4.0854600636572591E-3</v>
      </c>
      <c r="L361" t="s">
        <v>162</v>
      </c>
      <c r="N361" t="s">
        <v>311</v>
      </c>
      <c r="O361" t="s">
        <v>565</v>
      </c>
      <c r="P361">
        <v>2.464668920556648E-2</v>
      </c>
      <c r="Q361" t="s">
        <v>162</v>
      </c>
      <c r="S361" t="s">
        <v>423</v>
      </c>
      <c r="T361" t="s">
        <v>565</v>
      </c>
      <c r="U361">
        <v>2.5010287296144587E-2</v>
      </c>
      <c r="V361" t="s">
        <v>162</v>
      </c>
    </row>
    <row r="362" spans="9:22" x14ac:dyDescent="0.45">
      <c r="I362" t="s">
        <v>199</v>
      </c>
      <c r="J362" t="s">
        <v>566</v>
      </c>
      <c r="K362">
        <v>0.34925437582461955</v>
      </c>
      <c r="L362" t="s">
        <v>162</v>
      </c>
      <c r="N362" t="s">
        <v>311</v>
      </c>
      <c r="O362" t="s">
        <v>566</v>
      </c>
      <c r="P362">
        <v>9.9189131289121407E-2</v>
      </c>
      <c r="Q362" t="s">
        <v>162</v>
      </c>
      <c r="S362" t="s">
        <v>423</v>
      </c>
      <c r="T362" t="s">
        <v>566</v>
      </c>
      <c r="U362">
        <v>9.9121090824499852E-2</v>
      </c>
      <c r="V362" t="s">
        <v>162</v>
      </c>
    </row>
    <row r="363" spans="9:22" x14ac:dyDescent="0.45">
      <c r="I363" t="s">
        <v>199</v>
      </c>
      <c r="J363" t="s">
        <v>567</v>
      </c>
      <c r="K363">
        <v>1.1341111304889151E-2</v>
      </c>
      <c r="L363" t="s">
        <v>162</v>
      </c>
      <c r="N363" t="s">
        <v>311</v>
      </c>
      <c r="O363" t="s">
        <v>567</v>
      </c>
      <c r="P363">
        <v>0.1335299669786239</v>
      </c>
      <c r="Q363" t="s">
        <v>162</v>
      </c>
      <c r="S363" t="s">
        <v>423</v>
      </c>
      <c r="T363" t="s">
        <v>567</v>
      </c>
      <c r="U363">
        <v>0.10791981420930197</v>
      </c>
      <c r="V363" t="s">
        <v>162</v>
      </c>
    </row>
    <row r="364" spans="9:22" x14ac:dyDescent="0.45">
      <c r="I364" t="s">
        <v>199</v>
      </c>
      <c r="J364" t="s">
        <v>568</v>
      </c>
      <c r="K364">
        <v>3.0954143334756747E-2</v>
      </c>
      <c r="L364" t="s">
        <v>162</v>
      </c>
      <c r="N364" t="s">
        <v>311</v>
      </c>
      <c r="O364" t="s">
        <v>568</v>
      </c>
      <c r="P364">
        <v>1.8446942899423228E-2</v>
      </c>
      <c r="Q364" t="s">
        <v>162</v>
      </c>
      <c r="S364" t="s">
        <v>423</v>
      </c>
      <c r="T364" t="s">
        <v>568</v>
      </c>
      <c r="U364">
        <v>1.950625536521991E-2</v>
      </c>
      <c r="V364" t="s">
        <v>162</v>
      </c>
    </row>
    <row r="365" spans="9:22" x14ac:dyDescent="0.45">
      <c r="I365" t="s">
        <v>199</v>
      </c>
      <c r="J365" t="s">
        <v>569</v>
      </c>
      <c r="K365">
        <v>0.29245624843230678</v>
      </c>
      <c r="L365" t="s">
        <v>162</v>
      </c>
      <c r="N365" t="s">
        <v>311</v>
      </c>
      <c r="O365" t="s">
        <v>569</v>
      </c>
      <c r="P365">
        <v>9.3453260354177198E-2</v>
      </c>
      <c r="Q365" t="s">
        <v>162</v>
      </c>
      <c r="S365" t="s">
        <v>423</v>
      </c>
      <c r="T365" t="s">
        <v>569</v>
      </c>
      <c r="U365">
        <v>0.11920655733705895</v>
      </c>
      <c r="V365" t="s">
        <v>162</v>
      </c>
    </row>
    <row r="366" spans="9:22" x14ac:dyDescent="0.45">
      <c r="I366" t="s">
        <v>199</v>
      </c>
      <c r="J366" t="s">
        <v>570</v>
      </c>
      <c r="K366">
        <v>2.8399850665266898E-2</v>
      </c>
      <c r="L366" t="s">
        <v>162</v>
      </c>
      <c r="N366" t="s">
        <v>311</v>
      </c>
      <c r="O366" t="s">
        <v>570</v>
      </c>
      <c r="P366">
        <v>0.11355390466448835</v>
      </c>
      <c r="Q366" t="s">
        <v>162</v>
      </c>
      <c r="S366" t="s">
        <v>423</v>
      </c>
      <c r="T366" t="s">
        <v>570</v>
      </c>
      <c r="U366">
        <v>0.13167808190346872</v>
      </c>
      <c r="V366" t="s">
        <v>162</v>
      </c>
    </row>
    <row r="367" spans="9:22" x14ac:dyDescent="0.45">
      <c r="I367" t="s">
        <v>199</v>
      </c>
      <c r="J367" t="s">
        <v>571</v>
      </c>
      <c r="K367">
        <v>3.4626059550281099E-2</v>
      </c>
      <c r="L367" t="s">
        <v>162</v>
      </c>
      <c r="N367" t="s">
        <v>311</v>
      </c>
      <c r="O367" t="s">
        <v>571</v>
      </c>
      <c r="P367">
        <v>1.8769675461886643E-2</v>
      </c>
      <c r="Q367" t="s">
        <v>162</v>
      </c>
      <c r="S367" t="s">
        <v>423</v>
      </c>
      <c r="T367" t="s">
        <v>571</v>
      </c>
      <c r="U367">
        <v>2.4737980232248134E-2</v>
      </c>
      <c r="V367" t="s">
        <v>162</v>
      </c>
    </row>
    <row r="368" spans="9:22" x14ac:dyDescent="0.45">
      <c r="I368" t="s">
        <v>199</v>
      </c>
      <c r="J368" t="s">
        <v>572</v>
      </c>
      <c r="K368">
        <v>0.11513605435601942</v>
      </c>
      <c r="L368" t="s">
        <v>162</v>
      </c>
      <c r="N368" t="s">
        <v>311</v>
      </c>
      <c r="O368" t="s">
        <v>572</v>
      </c>
      <c r="P368">
        <v>0.10634376541364661</v>
      </c>
      <c r="Q368" t="s">
        <v>162</v>
      </c>
      <c r="S368" t="s">
        <v>423</v>
      </c>
      <c r="T368" t="s">
        <v>572</v>
      </c>
      <c r="U368">
        <v>9.3471982837688122E-2</v>
      </c>
      <c r="V368" t="s">
        <v>162</v>
      </c>
    </row>
    <row r="369" spans="9:22" x14ac:dyDescent="0.45">
      <c r="I369" t="s">
        <v>199</v>
      </c>
      <c r="J369" t="s">
        <v>573</v>
      </c>
      <c r="K369">
        <v>0</v>
      </c>
      <c r="L369" t="s">
        <v>162</v>
      </c>
      <c r="N369" t="s">
        <v>311</v>
      </c>
      <c r="O369" t="s">
        <v>573</v>
      </c>
      <c r="P369">
        <v>0.11815237054988986</v>
      </c>
      <c r="Q369" t="s">
        <v>162</v>
      </c>
      <c r="S369" t="s">
        <v>423</v>
      </c>
      <c r="T369" t="s">
        <v>573</v>
      </c>
      <c r="U369">
        <v>9.530310753201629E-2</v>
      </c>
      <c r="V369" t="s">
        <v>162</v>
      </c>
    </row>
    <row r="370" spans="9:22" x14ac:dyDescent="0.45">
      <c r="I370" t="s">
        <v>199</v>
      </c>
      <c r="J370" t="s">
        <v>574</v>
      </c>
      <c r="K370">
        <v>4.0943438782109151E-4</v>
      </c>
      <c r="L370" t="s">
        <v>162</v>
      </c>
      <c r="N370" t="s">
        <v>311</v>
      </c>
      <c r="O370" t="s">
        <v>574</v>
      </c>
      <c r="P370">
        <v>2.2730296099835182E-2</v>
      </c>
      <c r="Q370" t="s">
        <v>162</v>
      </c>
      <c r="S370" t="s">
        <v>423</v>
      </c>
      <c r="T370" t="s">
        <v>574</v>
      </c>
      <c r="U370">
        <v>1.7560597985719923E-2</v>
      </c>
      <c r="V370" t="s">
        <v>162</v>
      </c>
    </row>
    <row r="371" spans="9:22" x14ac:dyDescent="0.45">
      <c r="I371" t="s">
        <v>200</v>
      </c>
      <c r="J371" t="s">
        <v>563</v>
      </c>
      <c r="K371">
        <v>0.1237881836595057</v>
      </c>
      <c r="L371" t="s">
        <v>162</v>
      </c>
      <c r="N371" t="s">
        <v>312</v>
      </c>
      <c r="O371" t="s">
        <v>563</v>
      </c>
      <c r="P371">
        <v>0.12306463879779166</v>
      </c>
      <c r="Q371" t="s">
        <v>162</v>
      </c>
      <c r="S371" t="s">
        <v>424</v>
      </c>
      <c r="T371" t="s">
        <v>563</v>
      </c>
      <c r="U371">
        <v>0.13266005155493829</v>
      </c>
      <c r="V371" t="s">
        <v>162</v>
      </c>
    </row>
    <row r="372" spans="9:22" x14ac:dyDescent="0.45">
      <c r="I372" t="s">
        <v>200</v>
      </c>
      <c r="J372" t="s">
        <v>564</v>
      </c>
      <c r="K372">
        <v>3.518435701085076E-5</v>
      </c>
      <c r="L372" t="s">
        <v>162</v>
      </c>
      <c r="N372" t="s">
        <v>312</v>
      </c>
      <c r="O372" t="s">
        <v>564</v>
      </c>
      <c r="P372">
        <v>0.13905705163272525</v>
      </c>
      <c r="Q372" t="s">
        <v>162</v>
      </c>
      <c r="S372" t="s">
        <v>424</v>
      </c>
      <c r="T372" t="s">
        <v>564</v>
      </c>
      <c r="U372">
        <v>0.13155587052948864</v>
      </c>
      <c r="V372" t="s">
        <v>162</v>
      </c>
    </row>
    <row r="373" spans="9:22" x14ac:dyDescent="0.45">
      <c r="I373" t="s">
        <v>200</v>
      </c>
      <c r="J373" t="s">
        <v>565</v>
      </c>
      <c r="K373">
        <v>3.8956684025676343E-3</v>
      </c>
      <c r="L373" t="s">
        <v>162</v>
      </c>
      <c r="N373" t="s">
        <v>312</v>
      </c>
      <c r="O373" t="s">
        <v>565</v>
      </c>
      <c r="P373">
        <v>2.5467208818815996E-2</v>
      </c>
      <c r="Q373" t="s">
        <v>162</v>
      </c>
      <c r="S373" t="s">
        <v>424</v>
      </c>
      <c r="T373" t="s">
        <v>565</v>
      </c>
      <c r="U373">
        <v>2.4545856519311918E-2</v>
      </c>
      <c r="V373" t="s">
        <v>162</v>
      </c>
    </row>
    <row r="374" spans="9:22" x14ac:dyDescent="0.45">
      <c r="I374" t="s">
        <v>200</v>
      </c>
      <c r="J374" t="s">
        <v>566</v>
      </c>
      <c r="K374">
        <v>0.35646087713990654</v>
      </c>
      <c r="L374" t="s">
        <v>162</v>
      </c>
      <c r="N374" t="s">
        <v>312</v>
      </c>
      <c r="O374" t="s">
        <v>566</v>
      </c>
      <c r="P374">
        <v>9.9931865124040509E-2</v>
      </c>
      <c r="Q374" t="s">
        <v>162</v>
      </c>
      <c r="S374" t="s">
        <v>424</v>
      </c>
      <c r="T374" t="s">
        <v>566</v>
      </c>
      <c r="U374">
        <v>0.11072123815417075</v>
      </c>
      <c r="V374" t="s">
        <v>162</v>
      </c>
    </row>
    <row r="375" spans="9:22" x14ac:dyDescent="0.45">
      <c r="I375" t="s">
        <v>200</v>
      </c>
      <c r="J375" t="s">
        <v>567</v>
      </c>
      <c r="K375">
        <v>1.3230864335269602E-2</v>
      </c>
      <c r="L375" t="s">
        <v>162</v>
      </c>
      <c r="N375" t="s">
        <v>312</v>
      </c>
      <c r="O375" t="s">
        <v>567</v>
      </c>
      <c r="P375">
        <v>0.12508295846382458</v>
      </c>
      <c r="Q375" t="s">
        <v>162</v>
      </c>
      <c r="S375" t="s">
        <v>424</v>
      </c>
      <c r="T375" t="s">
        <v>567</v>
      </c>
      <c r="U375">
        <v>0.11647822827094111</v>
      </c>
      <c r="V375" t="s">
        <v>162</v>
      </c>
    </row>
    <row r="376" spans="9:22" x14ac:dyDescent="0.45">
      <c r="I376" t="s">
        <v>200</v>
      </c>
      <c r="J376" t="s">
        <v>568</v>
      </c>
      <c r="K376">
        <v>3.1454591873055514E-2</v>
      </c>
      <c r="L376" t="s">
        <v>162</v>
      </c>
      <c r="N376" t="s">
        <v>312</v>
      </c>
      <c r="O376" t="s">
        <v>568</v>
      </c>
      <c r="P376">
        <v>1.8694453024663344E-2</v>
      </c>
      <c r="Q376" t="s">
        <v>162</v>
      </c>
      <c r="S376" t="s">
        <v>424</v>
      </c>
      <c r="T376" t="s">
        <v>568</v>
      </c>
      <c r="U376">
        <v>1.98996485140506E-2</v>
      </c>
      <c r="V376" t="s">
        <v>162</v>
      </c>
    </row>
    <row r="377" spans="9:22" x14ac:dyDescent="0.45">
      <c r="I377" t="s">
        <v>200</v>
      </c>
      <c r="J377" t="s">
        <v>569</v>
      </c>
      <c r="K377">
        <v>0.31164167517034802</v>
      </c>
      <c r="L377" t="s">
        <v>162</v>
      </c>
      <c r="N377" t="s">
        <v>312</v>
      </c>
      <c r="O377" t="s">
        <v>569</v>
      </c>
      <c r="P377">
        <v>9.0067127423716031E-2</v>
      </c>
      <c r="Q377" t="s">
        <v>162</v>
      </c>
      <c r="S377" t="s">
        <v>424</v>
      </c>
      <c r="T377" t="s">
        <v>569</v>
      </c>
      <c r="U377">
        <v>0.13021679442404799</v>
      </c>
      <c r="V377" t="s">
        <v>162</v>
      </c>
    </row>
    <row r="378" spans="9:22" x14ac:dyDescent="0.45">
      <c r="I378" t="s">
        <v>200</v>
      </c>
      <c r="J378" t="s">
        <v>570</v>
      </c>
      <c r="K378">
        <v>3.0134536515136579E-2</v>
      </c>
      <c r="L378" t="s">
        <v>162</v>
      </c>
      <c r="N378" t="s">
        <v>312</v>
      </c>
      <c r="O378" t="s">
        <v>570</v>
      </c>
      <c r="P378">
        <v>0.10505061855233179</v>
      </c>
      <c r="Q378" t="s">
        <v>162</v>
      </c>
      <c r="S378" t="s">
        <v>424</v>
      </c>
      <c r="T378" t="s">
        <v>570</v>
      </c>
      <c r="U378">
        <v>0.12846968618386026</v>
      </c>
      <c r="V378" t="s">
        <v>162</v>
      </c>
    </row>
    <row r="379" spans="9:22" x14ac:dyDescent="0.45">
      <c r="I379" t="s">
        <v>200</v>
      </c>
      <c r="J379" t="s">
        <v>571</v>
      </c>
      <c r="K379">
        <v>4.1053106169470471E-2</v>
      </c>
      <c r="L379" t="s">
        <v>162</v>
      </c>
      <c r="N379" t="s">
        <v>312</v>
      </c>
      <c r="O379" t="s">
        <v>571</v>
      </c>
      <c r="P379">
        <v>1.6440878141970209E-2</v>
      </c>
      <c r="Q379" t="s">
        <v>162</v>
      </c>
      <c r="S379" t="s">
        <v>424</v>
      </c>
      <c r="T379" t="s">
        <v>571</v>
      </c>
      <c r="U379">
        <v>2.3461939995960683E-2</v>
      </c>
      <c r="V379" t="s">
        <v>162</v>
      </c>
    </row>
    <row r="380" spans="9:22" x14ac:dyDescent="0.45">
      <c r="I380" t="s">
        <v>200</v>
      </c>
      <c r="J380" t="s">
        <v>572</v>
      </c>
      <c r="K380">
        <v>8.8101489166999405E-2</v>
      </c>
      <c r="L380" t="s">
        <v>162</v>
      </c>
      <c r="N380" t="s">
        <v>312</v>
      </c>
      <c r="O380" t="s">
        <v>572</v>
      </c>
      <c r="P380">
        <v>0.10908900604148011</v>
      </c>
      <c r="Q380" t="s">
        <v>162</v>
      </c>
      <c r="S380" t="s">
        <v>424</v>
      </c>
      <c r="T380" t="s">
        <v>572</v>
      </c>
      <c r="U380">
        <v>8.4055753788432011E-2</v>
      </c>
      <c r="V380" t="s">
        <v>162</v>
      </c>
    </row>
    <row r="381" spans="9:22" x14ac:dyDescent="0.45">
      <c r="I381" t="s">
        <v>200</v>
      </c>
      <c r="J381" t="s">
        <v>573</v>
      </c>
      <c r="K381">
        <v>0</v>
      </c>
      <c r="L381" t="s">
        <v>162</v>
      </c>
      <c r="N381" t="s">
        <v>312</v>
      </c>
      <c r="O381" t="s">
        <v>573</v>
      </c>
      <c r="P381">
        <v>0.12527714264476777</v>
      </c>
      <c r="Q381" t="s">
        <v>162</v>
      </c>
      <c r="S381" t="s">
        <v>424</v>
      </c>
      <c r="T381" t="s">
        <v>573</v>
      </c>
      <c r="U381">
        <v>8.3561227182765679E-2</v>
      </c>
      <c r="V381" t="s">
        <v>162</v>
      </c>
    </row>
    <row r="382" spans="9:22" x14ac:dyDescent="0.45">
      <c r="I382" t="s">
        <v>200</v>
      </c>
      <c r="J382" t="s">
        <v>574</v>
      </c>
      <c r="K382">
        <v>2.0382321073018022E-4</v>
      </c>
      <c r="L382" t="s">
        <v>162</v>
      </c>
      <c r="N382" t="s">
        <v>312</v>
      </c>
      <c r="O382" t="s">
        <v>574</v>
      </c>
      <c r="P382">
        <v>2.2777051333875423E-2</v>
      </c>
      <c r="Q382" t="s">
        <v>162</v>
      </c>
      <c r="S382" t="s">
        <v>424</v>
      </c>
      <c r="T382" t="s">
        <v>574</v>
      </c>
      <c r="U382">
        <v>1.4373704882033083E-2</v>
      </c>
      <c r="V382" t="s">
        <v>162</v>
      </c>
    </row>
    <row r="383" spans="9:22" x14ac:dyDescent="0.45">
      <c r="I383" t="s">
        <v>201</v>
      </c>
      <c r="J383" t="s">
        <v>563</v>
      </c>
      <c r="K383">
        <v>0.13487443893828194</v>
      </c>
      <c r="L383" t="s">
        <v>162</v>
      </c>
      <c r="N383" t="s">
        <v>313</v>
      </c>
      <c r="O383" t="s">
        <v>563</v>
      </c>
      <c r="P383">
        <v>9.9313742331445257E-2</v>
      </c>
      <c r="Q383" t="s">
        <v>162</v>
      </c>
      <c r="S383" t="s">
        <v>425</v>
      </c>
      <c r="T383" t="s">
        <v>563</v>
      </c>
      <c r="U383">
        <v>0.12063913305192805</v>
      </c>
      <c r="V383" t="s">
        <v>162</v>
      </c>
    </row>
    <row r="384" spans="9:22" x14ac:dyDescent="0.45">
      <c r="I384" t="s">
        <v>201</v>
      </c>
      <c r="J384" t="s">
        <v>564</v>
      </c>
      <c r="K384">
        <v>0</v>
      </c>
      <c r="L384" t="s">
        <v>162</v>
      </c>
      <c r="N384" t="s">
        <v>313</v>
      </c>
      <c r="O384" t="s">
        <v>564</v>
      </c>
      <c r="P384">
        <v>0.10365934945321796</v>
      </c>
      <c r="Q384" t="s">
        <v>162</v>
      </c>
      <c r="S384" t="s">
        <v>425</v>
      </c>
      <c r="T384" t="s">
        <v>564</v>
      </c>
      <c r="U384">
        <v>0.12250943881783344</v>
      </c>
      <c r="V384" t="s">
        <v>162</v>
      </c>
    </row>
    <row r="385" spans="9:22" x14ac:dyDescent="0.45">
      <c r="I385" t="s">
        <v>201</v>
      </c>
      <c r="J385" t="s">
        <v>565</v>
      </c>
      <c r="K385">
        <v>5.6076753294930295E-3</v>
      </c>
      <c r="L385" t="s">
        <v>162</v>
      </c>
      <c r="N385" t="s">
        <v>313</v>
      </c>
      <c r="O385" t="s">
        <v>565</v>
      </c>
      <c r="P385">
        <v>2.055933947141575E-2</v>
      </c>
      <c r="Q385" t="s">
        <v>162</v>
      </c>
      <c r="S385" t="s">
        <v>425</v>
      </c>
      <c r="T385" t="s">
        <v>565</v>
      </c>
      <c r="U385">
        <v>2.2541733043153371E-2</v>
      </c>
      <c r="V385" t="s">
        <v>162</v>
      </c>
    </row>
    <row r="386" spans="9:22" x14ac:dyDescent="0.45">
      <c r="I386" t="s">
        <v>201</v>
      </c>
      <c r="J386" t="s">
        <v>566</v>
      </c>
      <c r="K386">
        <v>0.33353900958414501</v>
      </c>
      <c r="L386" t="s">
        <v>162</v>
      </c>
      <c r="N386" t="s">
        <v>313</v>
      </c>
      <c r="O386" t="s">
        <v>566</v>
      </c>
      <c r="P386">
        <v>0.13876407833641566</v>
      </c>
      <c r="Q386" t="s">
        <v>162</v>
      </c>
      <c r="S386" t="s">
        <v>425</v>
      </c>
      <c r="T386" t="s">
        <v>566</v>
      </c>
      <c r="U386">
        <v>0.11053350599681992</v>
      </c>
      <c r="V386" t="s">
        <v>162</v>
      </c>
    </row>
    <row r="387" spans="9:22" x14ac:dyDescent="0.45">
      <c r="I387" t="s">
        <v>201</v>
      </c>
      <c r="J387" t="s">
        <v>567</v>
      </c>
      <c r="K387">
        <v>9.5566700420211936E-3</v>
      </c>
      <c r="L387" t="s">
        <v>162</v>
      </c>
      <c r="N387" t="s">
        <v>313</v>
      </c>
      <c r="O387" t="s">
        <v>567</v>
      </c>
      <c r="P387">
        <v>0.12921758116617246</v>
      </c>
      <c r="Q387" t="s">
        <v>162</v>
      </c>
      <c r="S387" t="s">
        <v>425</v>
      </c>
      <c r="T387" t="s">
        <v>567</v>
      </c>
      <c r="U387">
        <v>0.11396301390832052</v>
      </c>
      <c r="V387" t="s">
        <v>162</v>
      </c>
    </row>
    <row r="388" spans="9:22" x14ac:dyDescent="0.45">
      <c r="I388" t="s">
        <v>201</v>
      </c>
      <c r="J388" t="s">
        <v>568</v>
      </c>
      <c r="K388">
        <v>3.0839151283495632E-2</v>
      </c>
      <c r="L388" t="s">
        <v>162</v>
      </c>
      <c r="N388" t="s">
        <v>313</v>
      </c>
      <c r="O388" t="s">
        <v>568</v>
      </c>
      <c r="P388">
        <v>2.5306496265905563E-2</v>
      </c>
      <c r="Q388" t="s">
        <v>162</v>
      </c>
      <c r="S388" t="s">
        <v>425</v>
      </c>
      <c r="T388" t="s">
        <v>568</v>
      </c>
      <c r="U388">
        <v>1.970469586043971E-2</v>
      </c>
      <c r="V388" t="s">
        <v>162</v>
      </c>
    </row>
    <row r="389" spans="9:22" x14ac:dyDescent="0.45">
      <c r="I389" t="s">
        <v>201</v>
      </c>
      <c r="J389" t="s">
        <v>569</v>
      </c>
      <c r="K389">
        <v>0.30016194004263674</v>
      </c>
      <c r="L389" t="s">
        <v>162</v>
      </c>
      <c r="N389" t="s">
        <v>313</v>
      </c>
      <c r="O389" t="s">
        <v>569</v>
      </c>
      <c r="P389">
        <v>7.7684031251814223E-2</v>
      </c>
      <c r="Q389" t="s">
        <v>162</v>
      </c>
      <c r="S389" t="s">
        <v>425</v>
      </c>
      <c r="T389" t="s">
        <v>569</v>
      </c>
      <c r="U389">
        <v>0.12766478444749144</v>
      </c>
      <c r="V389" t="s">
        <v>162</v>
      </c>
    </row>
    <row r="390" spans="9:22" x14ac:dyDescent="0.45">
      <c r="I390" t="s">
        <v>201</v>
      </c>
      <c r="J390" t="s">
        <v>570</v>
      </c>
      <c r="K390">
        <v>2.7781568701334303E-2</v>
      </c>
      <c r="L390" t="s">
        <v>162</v>
      </c>
      <c r="N390" t="s">
        <v>313</v>
      </c>
      <c r="O390" t="s">
        <v>570</v>
      </c>
      <c r="P390">
        <v>6.14688932094897E-2</v>
      </c>
      <c r="Q390" t="s">
        <v>162</v>
      </c>
      <c r="S390" t="s">
        <v>425</v>
      </c>
      <c r="T390" t="s">
        <v>570</v>
      </c>
      <c r="U390">
        <v>0.13468012422945316</v>
      </c>
      <c r="V390" t="s">
        <v>162</v>
      </c>
    </row>
    <row r="391" spans="9:22" x14ac:dyDescent="0.45">
      <c r="I391" t="s">
        <v>201</v>
      </c>
      <c r="J391" t="s">
        <v>571</v>
      </c>
      <c r="K391">
        <v>3.5720256506678344E-2</v>
      </c>
      <c r="L391" t="s">
        <v>162</v>
      </c>
      <c r="N391" t="s">
        <v>313</v>
      </c>
      <c r="O391" t="s">
        <v>571</v>
      </c>
      <c r="P391">
        <v>1.5460705561334531E-2</v>
      </c>
      <c r="Q391" t="s">
        <v>162</v>
      </c>
      <c r="S391" t="s">
        <v>425</v>
      </c>
      <c r="T391" t="s">
        <v>571</v>
      </c>
      <c r="U391">
        <v>2.2679713903053084E-2</v>
      </c>
      <c r="V391" t="s">
        <v>162</v>
      </c>
    </row>
    <row r="392" spans="9:22" x14ac:dyDescent="0.45">
      <c r="I392" t="s">
        <v>201</v>
      </c>
      <c r="J392" t="s">
        <v>572</v>
      </c>
      <c r="K392">
        <v>0.12054272560797534</v>
      </c>
      <c r="L392" t="s">
        <v>162</v>
      </c>
      <c r="N392" t="s">
        <v>313</v>
      </c>
      <c r="O392" t="s">
        <v>572</v>
      </c>
      <c r="P392">
        <v>0.14082975126228742</v>
      </c>
      <c r="Q392" t="s">
        <v>162</v>
      </c>
      <c r="S392" t="s">
        <v>425</v>
      </c>
      <c r="T392" t="s">
        <v>572</v>
      </c>
      <c r="U392">
        <v>9.3129399482796971E-2</v>
      </c>
      <c r="V392" t="s">
        <v>162</v>
      </c>
    </row>
    <row r="393" spans="9:22" x14ac:dyDescent="0.45">
      <c r="I393" t="s">
        <v>201</v>
      </c>
      <c r="J393" t="s">
        <v>573</v>
      </c>
      <c r="K393">
        <v>0</v>
      </c>
      <c r="L393" t="s">
        <v>162</v>
      </c>
      <c r="N393" t="s">
        <v>313</v>
      </c>
      <c r="O393" t="s">
        <v>573</v>
      </c>
      <c r="P393">
        <v>0.15918829376533836</v>
      </c>
      <c r="Q393" t="s">
        <v>162</v>
      </c>
      <c r="S393" t="s">
        <v>425</v>
      </c>
      <c r="T393" t="s">
        <v>573</v>
      </c>
      <c r="U393">
        <v>9.5274389450996991E-2</v>
      </c>
      <c r="V393" t="s">
        <v>162</v>
      </c>
    </row>
    <row r="394" spans="9:22" x14ac:dyDescent="0.45">
      <c r="I394" t="s">
        <v>201</v>
      </c>
      <c r="J394" t="s">
        <v>574</v>
      </c>
      <c r="K394">
        <v>1.3765639639413665E-3</v>
      </c>
      <c r="L394" t="s">
        <v>162</v>
      </c>
      <c r="N394" t="s">
        <v>313</v>
      </c>
      <c r="O394" t="s">
        <v>574</v>
      </c>
      <c r="P394">
        <v>2.8547737925163706E-2</v>
      </c>
      <c r="Q394" t="s">
        <v>162</v>
      </c>
      <c r="S394" t="s">
        <v>425</v>
      </c>
      <c r="T394" t="s">
        <v>574</v>
      </c>
      <c r="U394">
        <v>1.6680067807714003E-2</v>
      </c>
      <c r="V394" t="s">
        <v>162</v>
      </c>
    </row>
    <row r="395" spans="9:22" x14ac:dyDescent="0.45">
      <c r="I395" t="s">
        <v>202</v>
      </c>
      <c r="J395" t="s">
        <v>563</v>
      </c>
      <c r="K395">
        <v>0.11931614496686155</v>
      </c>
      <c r="L395" t="s">
        <v>162</v>
      </c>
      <c r="N395" t="s">
        <v>314</v>
      </c>
      <c r="O395" t="s">
        <v>563</v>
      </c>
      <c r="P395">
        <v>9.6476035073530447E-2</v>
      </c>
      <c r="Q395" t="s">
        <v>162</v>
      </c>
      <c r="S395" t="s">
        <v>426</v>
      </c>
      <c r="T395" t="s">
        <v>563</v>
      </c>
      <c r="U395">
        <v>0.13289588483007367</v>
      </c>
      <c r="V395" t="s">
        <v>162</v>
      </c>
    </row>
    <row r="396" spans="9:22" x14ac:dyDescent="0.45">
      <c r="I396" t="s">
        <v>202</v>
      </c>
      <c r="J396" t="s">
        <v>564</v>
      </c>
      <c r="K396">
        <v>4.1121286658197442E-6</v>
      </c>
      <c r="L396" t="s">
        <v>162</v>
      </c>
      <c r="N396" t="s">
        <v>314</v>
      </c>
      <c r="O396" t="s">
        <v>564</v>
      </c>
      <c r="P396">
        <v>0.10685008710906758</v>
      </c>
      <c r="Q396" t="s">
        <v>162</v>
      </c>
      <c r="S396" t="s">
        <v>426</v>
      </c>
      <c r="T396" t="s">
        <v>564</v>
      </c>
      <c r="U396">
        <v>0.1326727828650254</v>
      </c>
      <c r="V396" t="s">
        <v>162</v>
      </c>
    </row>
    <row r="397" spans="9:22" x14ac:dyDescent="0.45">
      <c r="I397" t="s">
        <v>202</v>
      </c>
      <c r="J397" t="s">
        <v>565</v>
      </c>
      <c r="K397">
        <v>5.218607345558986E-3</v>
      </c>
      <c r="L397" t="s">
        <v>162</v>
      </c>
      <c r="N397" t="s">
        <v>314</v>
      </c>
      <c r="O397" t="s">
        <v>565</v>
      </c>
      <c r="P397">
        <v>1.986811422139528E-2</v>
      </c>
      <c r="Q397" t="s">
        <v>162</v>
      </c>
      <c r="S397" t="s">
        <v>426</v>
      </c>
      <c r="T397" t="s">
        <v>565</v>
      </c>
      <c r="U397">
        <v>2.5151076872082831E-2</v>
      </c>
      <c r="V397" t="s">
        <v>162</v>
      </c>
    </row>
    <row r="398" spans="9:22" x14ac:dyDescent="0.45">
      <c r="I398" t="s">
        <v>202</v>
      </c>
      <c r="J398" t="s">
        <v>566</v>
      </c>
      <c r="K398">
        <v>0.34506746145957562</v>
      </c>
      <c r="L398" t="s">
        <v>162</v>
      </c>
      <c r="N398" t="s">
        <v>314</v>
      </c>
      <c r="O398" t="s">
        <v>566</v>
      </c>
      <c r="P398">
        <v>0.11697728418028439</v>
      </c>
      <c r="Q398" t="s">
        <v>162</v>
      </c>
      <c r="S398" t="s">
        <v>426</v>
      </c>
      <c r="T398" t="s">
        <v>566</v>
      </c>
      <c r="U398">
        <v>0.10824413362991139</v>
      </c>
      <c r="V398" t="s">
        <v>162</v>
      </c>
    </row>
    <row r="399" spans="9:22" x14ac:dyDescent="0.45">
      <c r="I399" t="s">
        <v>202</v>
      </c>
      <c r="J399" t="s">
        <v>567</v>
      </c>
      <c r="K399">
        <v>1.1506590927713568E-2</v>
      </c>
      <c r="L399" t="s">
        <v>162</v>
      </c>
      <c r="N399" t="s">
        <v>314</v>
      </c>
      <c r="O399" t="s">
        <v>567</v>
      </c>
      <c r="P399">
        <v>0.11313167255490776</v>
      </c>
      <c r="Q399" t="s">
        <v>162</v>
      </c>
      <c r="S399" t="s">
        <v>426</v>
      </c>
      <c r="T399" t="s">
        <v>567</v>
      </c>
      <c r="U399">
        <v>0.11525644689430681</v>
      </c>
      <c r="V399" t="s">
        <v>162</v>
      </c>
    </row>
    <row r="400" spans="9:22" x14ac:dyDescent="0.45">
      <c r="I400" t="s">
        <v>202</v>
      </c>
      <c r="J400" t="s">
        <v>568</v>
      </c>
      <c r="K400">
        <v>3.3813311785391473E-2</v>
      </c>
      <c r="L400" t="s">
        <v>162</v>
      </c>
      <c r="N400" t="s">
        <v>314</v>
      </c>
      <c r="O400" t="s">
        <v>568</v>
      </c>
      <c r="P400">
        <v>2.4216296028754049E-2</v>
      </c>
      <c r="Q400" t="s">
        <v>162</v>
      </c>
      <c r="S400" t="s">
        <v>426</v>
      </c>
      <c r="T400" t="s">
        <v>568</v>
      </c>
      <c r="U400">
        <v>2.0684740286033704E-2</v>
      </c>
      <c r="V400" t="s">
        <v>162</v>
      </c>
    </row>
    <row r="401" spans="9:22" x14ac:dyDescent="0.45">
      <c r="I401" t="s">
        <v>202</v>
      </c>
      <c r="J401" t="s">
        <v>569</v>
      </c>
      <c r="K401">
        <v>0.30714224673424573</v>
      </c>
      <c r="L401" t="s">
        <v>162</v>
      </c>
      <c r="N401" t="s">
        <v>314</v>
      </c>
      <c r="O401" t="s">
        <v>569</v>
      </c>
      <c r="P401">
        <v>6.5782392337373707E-2</v>
      </c>
      <c r="Q401" t="s">
        <v>162</v>
      </c>
      <c r="S401" t="s">
        <v>426</v>
      </c>
      <c r="T401" t="s">
        <v>569</v>
      </c>
      <c r="U401">
        <v>0.11455703703831917</v>
      </c>
      <c r="V401" t="s">
        <v>162</v>
      </c>
    </row>
    <row r="402" spans="9:22" x14ac:dyDescent="0.45">
      <c r="I402" t="s">
        <v>202</v>
      </c>
      <c r="J402" t="s">
        <v>570</v>
      </c>
      <c r="K402">
        <v>2.9362097514086919E-2</v>
      </c>
      <c r="L402" t="s">
        <v>162</v>
      </c>
      <c r="N402" t="s">
        <v>314</v>
      </c>
      <c r="O402" t="s">
        <v>570</v>
      </c>
      <c r="P402">
        <v>6.5419540864245423E-2</v>
      </c>
      <c r="Q402" t="s">
        <v>162</v>
      </c>
      <c r="S402" t="s">
        <v>426</v>
      </c>
      <c r="T402" t="s">
        <v>570</v>
      </c>
      <c r="U402">
        <v>0.11939400404211797</v>
      </c>
      <c r="V402" t="s">
        <v>162</v>
      </c>
    </row>
    <row r="403" spans="9:22" x14ac:dyDescent="0.45">
      <c r="I403" t="s">
        <v>202</v>
      </c>
      <c r="J403" t="s">
        <v>571</v>
      </c>
      <c r="K403">
        <v>3.7510792127463319E-2</v>
      </c>
      <c r="L403" t="s">
        <v>162</v>
      </c>
      <c r="N403" t="s">
        <v>314</v>
      </c>
      <c r="O403" t="s">
        <v>571</v>
      </c>
      <c r="P403">
        <v>1.6420643564663849E-2</v>
      </c>
      <c r="Q403" t="s">
        <v>162</v>
      </c>
      <c r="S403" t="s">
        <v>426</v>
      </c>
      <c r="T403" t="s">
        <v>571</v>
      </c>
      <c r="U403">
        <v>2.0474765018844283E-2</v>
      </c>
      <c r="V403" t="s">
        <v>162</v>
      </c>
    </row>
    <row r="404" spans="9:22" x14ac:dyDescent="0.45">
      <c r="I404" t="s">
        <v>202</v>
      </c>
      <c r="J404" t="s">
        <v>572</v>
      </c>
      <c r="K404">
        <v>0.10985520892110562</v>
      </c>
      <c r="L404" t="s">
        <v>162</v>
      </c>
      <c r="N404" t="s">
        <v>314</v>
      </c>
      <c r="O404" t="s">
        <v>572</v>
      </c>
      <c r="P404">
        <v>0.15910448582300088</v>
      </c>
      <c r="Q404" t="s">
        <v>162</v>
      </c>
      <c r="S404" t="s">
        <v>426</v>
      </c>
      <c r="T404" t="s">
        <v>572</v>
      </c>
      <c r="U404">
        <v>9.67078791624911E-2</v>
      </c>
      <c r="V404" t="s">
        <v>162</v>
      </c>
    </row>
    <row r="405" spans="9:22" x14ac:dyDescent="0.45">
      <c r="I405" t="s">
        <v>202</v>
      </c>
      <c r="J405" t="s">
        <v>573</v>
      </c>
      <c r="K405">
        <v>0</v>
      </c>
      <c r="L405" t="s">
        <v>162</v>
      </c>
      <c r="N405" t="s">
        <v>314</v>
      </c>
      <c r="O405" t="s">
        <v>573</v>
      </c>
      <c r="P405">
        <v>0.18211730651431807</v>
      </c>
      <c r="Q405" t="s">
        <v>162</v>
      </c>
      <c r="S405" t="s">
        <v>426</v>
      </c>
      <c r="T405" t="s">
        <v>573</v>
      </c>
      <c r="U405">
        <v>9.6795953974616211E-2</v>
      </c>
      <c r="V405" t="s">
        <v>162</v>
      </c>
    </row>
    <row r="406" spans="9:22" x14ac:dyDescent="0.45">
      <c r="I406" t="s">
        <v>202</v>
      </c>
      <c r="J406" t="s">
        <v>574</v>
      </c>
      <c r="K406">
        <v>1.2034260893303897E-3</v>
      </c>
      <c r="L406" t="s">
        <v>162</v>
      </c>
      <c r="N406" t="s">
        <v>314</v>
      </c>
      <c r="O406" t="s">
        <v>574</v>
      </c>
      <c r="P406">
        <v>3.3636141728459142E-2</v>
      </c>
      <c r="Q406" t="s">
        <v>162</v>
      </c>
      <c r="S406" t="s">
        <v>426</v>
      </c>
      <c r="T406" t="s">
        <v>574</v>
      </c>
      <c r="U406">
        <v>1.7165295386176043E-2</v>
      </c>
      <c r="V406" t="s">
        <v>162</v>
      </c>
    </row>
    <row r="407" spans="9:22" x14ac:dyDescent="0.45">
      <c r="I407" t="s">
        <v>203</v>
      </c>
      <c r="J407" t="s">
        <v>563</v>
      </c>
      <c r="K407">
        <v>0.10531950451489043</v>
      </c>
      <c r="L407" t="s">
        <v>162</v>
      </c>
      <c r="N407" t="s">
        <v>315</v>
      </c>
      <c r="O407" t="s">
        <v>563</v>
      </c>
      <c r="P407">
        <v>0.10501239243619756</v>
      </c>
      <c r="Q407" t="s">
        <v>162</v>
      </c>
      <c r="S407" t="s">
        <v>427</v>
      </c>
      <c r="T407" t="s">
        <v>563</v>
      </c>
      <c r="U407">
        <v>0.12905159860117069</v>
      </c>
      <c r="V407" t="s">
        <v>162</v>
      </c>
    </row>
    <row r="408" spans="9:22" x14ac:dyDescent="0.45">
      <c r="I408" t="s">
        <v>203</v>
      </c>
      <c r="J408" t="s">
        <v>564</v>
      </c>
      <c r="K408">
        <v>2.7644527945514999E-4</v>
      </c>
      <c r="L408" t="s">
        <v>162</v>
      </c>
      <c r="N408" t="s">
        <v>315</v>
      </c>
      <c r="O408" t="s">
        <v>564</v>
      </c>
      <c r="P408">
        <v>0.11063724246640777</v>
      </c>
      <c r="Q408" t="s">
        <v>162</v>
      </c>
      <c r="S408" t="s">
        <v>427</v>
      </c>
      <c r="T408" t="s">
        <v>564</v>
      </c>
      <c r="U408">
        <v>0.13516223276551725</v>
      </c>
      <c r="V408" t="s">
        <v>162</v>
      </c>
    </row>
    <row r="409" spans="9:22" x14ac:dyDescent="0.45">
      <c r="I409" t="s">
        <v>203</v>
      </c>
      <c r="J409" t="s">
        <v>565</v>
      </c>
      <c r="K409">
        <v>5.689374944625198E-3</v>
      </c>
      <c r="L409" t="s">
        <v>162</v>
      </c>
      <c r="N409" t="s">
        <v>315</v>
      </c>
      <c r="O409" t="s">
        <v>565</v>
      </c>
      <c r="P409">
        <v>2.1026202616675409E-2</v>
      </c>
      <c r="Q409" t="s">
        <v>162</v>
      </c>
      <c r="S409" t="s">
        <v>427</v>
      </c>
      <c r="T409" t="s">
        <v>565</v>
      </c>
      <c r="U409">
        <v>2.4428056415378294E-2</v>
      </c>
      <c r="V409" t="s">
        <v>162</v>
      </c>
    </row>
    <row r="410" spans="9:22" x14ac:dyDescent="0.45">
      <c r="I410" t="s">
        <v>203</v>
      </c>
      <c r="J410" t="s">
        <v>566</v>
      </c>
      <c r="K410">
        <v>0.35394180941429865</v>
      </c>
      <c r="L410" t="s">
        <v>162</v>
      </c>
      <c r="N410" t="s">
        <v>315</v>
      </c>
      <c r="O410" t="s">
        <v>566</v>
      </c>
      <c r="P410">
        <v>0.12156807941572048</v>
      </c>
      <c r="Q410" t="s">
        <v>162</v>
      </c>
      <c r="S410" t="s">
        <v>427</v>
      </c>
      <c r="T410" t="s">
        <v>566</v>
      </c>
      <c r="U410">
        <v>9.2981967089280665E-2</v>
      </c>
      <c r="V410" t="s">
        <v>162</v>
      </c>
    </row>
    <row r="411" spans="9:22" x14ac:dyDescent="0.45">
      <c r="I411" t="s">
        <v>203</v>
      </c>
      <c r="J411" t="s">
        <v>567</v>
      </c>
      <c r="K411">
        <v>1.9087406941111995E-2</v>
      </c>
      <c r="L411" t="s">
        <v>162</v>
      </c>
      <c r="N411" t="s">
        <v>315</v>
      </c>
      <c r="O411" t="s">
        <v>567</v>
      </c>
      <c r="P411">
        <v>0.1079356560078544</v>
      </c>
      <c r="Q411" t="s">
        <v>162</v>
      </c>
      <c r="S411" t="s">
        <v>427</v>
      </c>
      <c r="T411" t="s">
        <v>567</v>
      </c>
      <c r="U411">
        <v>9.5888980551878361E-2</v>
      </c>
      <c r="V411" t="s">
        <v>162</v>
      </c>
    </row>
    <row r="412" spans="9:22" x14ac:dyDescent="0.45">
      <c r="I412" t="s">
        <v>203</v>
      </c>
      <c r="J412" t="s">
        <v>568</v>
      </c>
      <c r="K412">
        <v>5.0314376181032849E-2</v>
      </c>
      <c r="L412" t="s">
        <v>162</v>
      </c>
      <c r="N412" t="s">
        <v>315</v>
      </c>
      <c r="O412" t="s">
        <v>568</v>
      </c>
      <c r="P412">
        <v>2.3262626279363395E-2</v>
      </c>
      <c r="Q412" t="s">
        <v>162</v>
      </c>
      <c r="S412" t="s">
        <v>427</v>
      </c>
      <c r="T412" t="s">
        <v>568</v>
      </c>
      <c r="U412">
        <v>1.6866631841220333E-2</v>
      </c>
      <c r="V412" t="s">
        <v>162</v>
      </c>
    </row>
    <row r="413" spans="9:22" x14ac:dyDescent="0.45">
      <c r="I413" t="s">
        <v>203</v>
      </c>
      <c r="J413" t="s">
        <v>569</v>
      </c>
      <c r="K413">
        <v>0.32201921995943084</v>
      </c>
      <c r="L413" t="s">
        <v>162</v>
      </c>
      <c r="N413" t="s">
        <v>315</v>
      </c>
      <c r="O413" t="s">
        <v>569</v>
      </c>
      <c r="P413">
        <v>9.4332251055518374E-2</v>
      </c>
      <c r="Q413" t="s">
        <v>162</v>
      </c>
      <c r="S413" t="s">
        <v>427</v>
      </c>
      <c r="T413" t="s">
        <v>569</v>
      </c>
      <c r="U413">
        <v>9.5600192181187316E-2</v>
      </c>
      <c r="V413" t="s">
        <v>162</v>
      </c>
    </row>
    <row r="414" spans="9:22" x14ac:dyDescent="0.45">
      <c r="I414" t="s">
        <v>203</v>
      </c>
      <c r="J414" t="s">
        <v>570</v>
      </c>
      <c r="K414">
        <v>3.8484383835375002E-2</v>
      </c>
      <c r="L414" t="s">
        <v>162</v>
      </c>
      <c r="N414" t="s">
        <v>315</v>
      </c>
      <c r="O414" t="s">
        <v>570</v>
      </c>
      <c r="P414">
        <v>8.26560216339908E-2</v>
      </c>
      <c r="Q414" t="s">
        <v>162</v>
      </c>
      <c r="S414" t="s">
        <v>427</v>
      </c>
      <c r="T414" t="s">
        <v>570</v>
      </c>
      <c r="U414">
        <v>9.8320749414115505E-2</v>
      </c>
      <c r="V414" t="s">
        <v>162</v>
      </c>
    </row>
    <row r="415" spans="9:22" x14ac:dyDescent="0.45">
      <c r="I415" t="s">
        <v>203</v>
      </c>
      <c r="J415" t="s">
        <v>571</v>
      </c>
      <c r="K415">
        <v>5.0596663352937103E-2</v>
      </c>
      <c r="L415" t="s">
        <v>162</v>
      </c>
      <c r="N415" t="s">
        <v>315</v>
      </c>
      <c r="O415" t="s">
        <v>571</v>
      </c>
      <c r="P415">
        <v>2.0728922467509885E-2</v>
      </c>
      <c r="Q415" t="s">
        <v>162</v>
      </c>
      <c r="S415" t="s">
        <v>427</v>
      </c>
      <c r="T415" t="s">
        <v>571</v>
      </c>
      <c r="U415">
        <v>1.7800147547965221E-2</v>
      </c>
      <c r="V415" t="s">
        <v>162</v>
      </c>
    </row>
    <row r="416" spans="9:22" x14ac:dyDescent="0.45">
      <c r="I416" t="s">
        <v>203</v>
      </c>
      <c r="J416" t="s">
        <v>572</v>
      </c>
      <c r="K416">
        <v>5.3171159257208098E-2</v>
      </c>
      <c r="L416" t="s">
        <v>162</v>
      </c>
      <c r="N416" t="s">
        <v>315</v>
      </c>
      <c r="O416" t="s">
        <v>572</v>
      </c>
      <c r="P416">
        <v>0.14684429767252441</v>
      </c>
      <c r="Q416" t="s">
        <v>162</v>
      </c>
      <c r="S416" t="s">
        <v>427</v>
      </c>
      <c r="T416" t="s">
        <v>572</v>
      </c>
      <c r="U416">
        <v>0.1341684767500809</v>
      </c>
      <c r="V416" t="s">
        <v>162</v>
      </c>
    </row>
    <row r="417" spans="9:22" x14ac:dyDescent="0.45">
      <c r="I417" t="s">
        <v>203</v>
      </c>
      <c r="J417" t="s">
        <v>573</v>
      </c>
      <c r="K417">
        <v>0</v>
      </c>
      <c r="L417" t="s">
        <v>162</v>
      </c>
      <c r="N417" t="s">
        <v>315</v>
      </c>
      <c r="O417" t="s">
        <v>573</v>
      </c>
      <c r="P417">
        <v>0.13879755898683147</v>
      </c>
      <c r="Q417" t="s">
        <v>162</v>
      </c>
      <c r="S417" t="s">
        <v>427</v>
      </c>
      <c r="T417" t="s">
        <v>573</v>
      </c>
      <c r="U417">
        <v>0.13562798239801435</v>
      </c>
      <c r="V417" t="s">
        <v>162</v>
      </c>
    </row>
    <row r="418" spans="9:22" x14ac:dyDescent="0.45">
      <c r="I418" t="s">
        <v>203</v>
      </c>
      <c r="J418" t="s">
        <v>574</v>
      </c>
      <c r="K418">
        <v>1.0996563196311927E-3</v>
      </c>
      <c r="L418" t="s">
        <v>162</v>
      </c>
      <c r="N418" t="s">
        <v>315</v>
      </c>
      <c r="O418" t="s">
        <v>574</v>
      </c>
      <c r="P418">
        <v>2.7198748961405381E-2</v>
      </c>
      <c r="Q418" t="s">
        <v>162</v>
      </c>
      <c r="S418" t="s">
        <v>427</v>
      </c>
      <c r="T418" t="s">
        <v>574</v>
      </c>
      <c r="U418">
        <v>2.4102984444187604E-2</v>
      </c>
      <c r="V418" t="s">
        <v>162</v>
      </c>
    </row>
    <row r="419" spans="9:22" x14ac:dyDescent="0.45">
      <c r="I419" t="s">
        <v>204</v>
      </c>
      <c r="J419" t="s">
        <v>563</v>
      </c>
      <c r="K419">
        <v>0.17231648210630471</v>
      </c>
      <c r="L419" t="s">
        <v>162</v>
      </c>
      <c r="N419" t="s">
        <v>316</v>
      </c>
      <c r="O419" t="s">
        <v>563</v>
      </c>
      <c r="P419">
        <v>0.11416246929659692</v>
      </c>
      <c r="Q419" t="s">
        <v>162</v>
      </c>
      <c r="S419" t="s">
        <v>428</v>
      </c>
      <c r="T419" t="s">
        <v>563</v>
      </c>
      <c r="U419">
        <v>0.12673111357109296</v>
      </c>
      <c r="V419" t="s">
        <v>162</v>
      </c>
    </row>
    <row r="420" spans="9:22" x14ac:dyDescent="0.45">
      <c r="I420" t="s">
        <v>204</v>
      </c>
      <c r="J420" t="s">
        <v>564</v>
      </c>
      <c r="K420">
        <v>0</v>
      </c>
      <c r="L420" t="s">
        <v>162</v>
      </c>
      <c r="N420" t="s">
        <v>316</v>
      </c>
      <c r="O420" t="s">
        <v>564</v>
      </c>
      <c r="P420">
        <v>0.11327570007058778</v>
      </c>
      <c r="Q420" t="s">
        <v>162</v>
      </c>
      <c r="S420" t="s">
        <v>428</v>
      </c>
      <c r="T420" t="s">
        <v>564</v>
      </c>
      <c r="U420">
        <v>0.1278260631368246</v>
      </c>
      <c r="V420" t="s">
        <v>162</v>
      </c>
    </row>
    <row r="421" spans="9:22" x14ac:dyDescent="0.45">
      <c r="I421" t="s">
        <v>204</v>
      </c>
      <c r="J421" t="s">
        <v>565</v>
      </c>
      <c r="K421">
        <v>1.0786659797021434E-2</v>
      </c>
      <c r="L421" t="s">
        <v>162</v>
      </c>
      <c r="N421" t="s">
        <v>316</v>
      </c>
      <c r="O421" t="s">
        <v>565</v>
      </c>
      <c r="P421">
        <v>2.1306120911670497E-2</v>
      </c>
      <c r="Q421" t="s">
        <v>162</v>
      </c>
      <c r="S421" t="s">
        <v>428</v>
      </c>
      <c r="T421" t="s">
        <v>565</v>
      </c>
      <c r="U421">
        <v>2.2499731872930164E-2</v>
      </c>
      <c r="V421" t="s">
        <v>162</v>
      </c>
    </row>
    <row r="422" spans="9:22" x14ac:dyDescent="0.45">
      <c r="I422" t="s">
        <v>204</v>
      </c>
      <c r="J422" t="s">
        <v>566</v>
      </c>
      <c r="K422">
        <v>0.31733954640275724</v>
      </c>
      <c r="L422" t="s">
        <v>162</v>
      </c>
      <c r="N422" t="s">
        <v>316</v>
      </c>
      <c r="O422" t="s">
        <v>566</v>
      </c>
      <c r="P422">
        <v>0.10839482365468103</v>
      </c>
      <c r="Q422" t="s">
        <v>162</v>
      </c>
      <c r="S422" t="s">
        <v>428</v>
      </c>
      <c r="T422" t="s">
        <v>566</v>
      </c>
      <c r="U422">
        <v>9.2164255060779465E-2</v>
      </c>
      <c r="V422" t="s">
        <v>162</v>
      </c>
    </row>
    <row r="423" spans="9:22" x14ac:dyDescent="0.45">
      <c r="I423" t="s">
        <v>204</v>
      </c>
      <c r="J423" t="s">
        <v>567</v>
      </c>
      <c r="K423">
        <v>9.6229110830146989E-3</v>
      </c>
      <c r="L423" t="s">
        <v>162</v>
      </c>
      <c r="N423" t="s">
        <v>316</v>
      </c>
      <c r="O423" t="s">
        <v>567</v>
      </c>
      <c r="P423">
        <v>0.10873001232165259</v>
      </c>
      <c r="Q423" t="s">
        <v>162</v>
      </c>
      <c r="S423" t="s">
        <v>428</v>
      </c>
      <c r="T423" t="s">
        <v>567</v>
      </c>
      <c r="U423">
        <v>9.3737845717645138E-2</v>
      </c>
      <c r="V423" t="s">
        <v>162</v>
      </c>
    </row>
    <row r="424" spans="9:22" x14ac:dyDescent="0.45">
      <c r="I424" t="s">
        <v>204</v>
      </c>
      <c r="J424" t="s">
        <v>568</v>
      </c>
      <c r="K424">
        <v>3.7549508978778005E-2</v>
      </c>
      <c r="L424" t="s">
        <v>162</v>
      </c>
      <c r="N424" t="s">
        <v>316</v>
      </c>
      <c r="O424" t="s">
        <v>568</v>
      </c>
      <c r="P424">
        <v>2.0151106239608921E-2</v>
      </c>
      <c r="Q424" t="s">
        <v>162</v>
      </c>
      <c r="S424" t="s">
        <v>428</v>
      </c>
      <c r="T424" t="s">
        <v>568</v>
      </c>
      <c r="U424">
        <v>1.6008543011822571E-2</v>
      </c>
      <c r="V424" t="s">
        <v>162</v>
      </c>
    </row>
    <row r="425" spans="9:22" x14ac:dyDescent="0.45">
      <c r="I425" t="s">
        <v>204</v>
      </c>
      <c r="J425" t="s">
        <v>569</v>
      </c>
      <c r="K425">
        <v>0.31688504146265406</v>
      </c>
      <c r="L425" t="s">
        <v>162</v>
      </c>
      <c r="N425" t="s">
        <v>316</v>
      </c>
      <c r="O425" t="s">
        <v>569</v>
      </c>
      <c r="P425">
        <v>7.3448395133779334E-2</v>
      </c>
      <c r="Q425" t="s">
        <v>162</v>
      </c>
      <c r="S425" t="s">
        <v>428</v>
      </c>
      <c r="T425" t="s">
        <v>569</v>
      </c>
      <c r="U425">
        <v>9.8578172315280405E-2</v>
      </c>
      <c r="V425" t="s">
        <v>162</v>
      </c>
    </row>
    <row r="426" spans="9:22" x14ac:dyDescent="0.45">
      <c r="I426" t="s">
        <v>204</v>
      </c>
      <c r="J426" t="s">
        <v>570</v>
      </c>
      <c r="K426">
        <v>2.5302812444533192E-2</v>
      </c>
      <c r="L426" t="s">
        <v>162</v>
      </c>
      <c r="N426" t="s">
        <v>316</v>
      </c>
      <c r="O426" t="s">
        <v>570</v>
      </c>
      <c r="P426">
        <v>6.9521569611958434E-2</v>
      </c>
      <c r="Q426" t="s">
        <v>162</v>
      </c>
      <c r="S426" t="s">
        <v>428</v>
      </c>
      <c r="T426" t="s">
        <v>570</v>
      </c>
      <c r="U426">
        <v>0.10178839642505098</v>
      </c>
      <c r="V426" t="s">
        <v>162</v>
      </c>
    </row>
    <row r="427" spans="9:22" x14ac:dyDescent="0.45">
      <c r="I427" t="s">
        <v>204</v>
      </c>
      <c r="J427" t="s">
        <v>571</v>
      </c>
      <c r="K427">
        <v>4.5253529534059603E-2</v>
      </c>
      <c r="L427" t="s">
        <v>162</v>
      </c>
      <c r="N427" t="s">
        <v>316</v>
      </c>
      <c r="O427" t="s">
        <v>571</v>
      </c>
      <c r="P427">
        <v>1.4439953164047366E-2</v>
      </c>
      <c r="Q427" t="s">
        <v>162</v>
      </c>
      <c r="S427" t="s">
        <v>428</v>
      </c>
      <c r="T427" t="s">
        <v>571</v>
      </c>
      <c r="U427">
        <v>1.8485628893687586E-2</v>
      </c>
      <c r="V427" t="s">
        <v>162</v>
      </c>
    </row>
    <row r="428" spans="9:22" x14ac:dyDescent="0.45">
      <c r="I428" t="s">
        <v>204</v>
      </c>
      <c r="J428" t="s">
        <v>572</v>
      </c>
      <c r="K428">
        <v>6.3753405884498807E-2</v>
      </c>
      <c r="L428" t="s">
        <v>162</v>
      </c>
      <c r="N428" t="s">
        <v>316</v>
      </c>
      <c r="O428" t="s">
        <v>572</v>
      </c>
      <c r="P428">
        <v>0.16578857999921556</v>
      </c>
      <c r="Q428" t="s">
        <v>162</v>
      </c>
      <c r="S428" t="s">
        <v>428</v>
      </c>
      <c r="T428" t="s">
        <v>572</v>
      </c>
      <c r="U428">
        <v>0.14290406444059278</v>
      </c>
      <c r="V428" t="s">
        <v>162</v>
      </c>
    </row>
    <row r="429" spans="9:22" x14ac:dyDescent="0.45">
      <c r="I429" t="s">
        <v>204</v>
      </c>
      <c r="J429" t="s">
        <v>573</v>
      </c>
      <c r="K429">
        <v>0</v>
      </c>
      <c r="L429" t="s">
        <v>162</v>
      </c>
      <c r="N429" t="s">
        <v>316</v>
      </c>
      <c r="O429" t="s">
        <v>573</v>
      </c>
      <c r="P429">
        <v>0.16024089524747206</v>
      </c>
      <c r="Q429" t="s">
        <v>162</v>
      </c>
      <c r="S429" t="s">
        <v>428</v>
      </c>
      <c r="T429" t="s">
        <v>573</v>
      </c>
      <c r="U429">
        <v>0.13422395220008779</v>
      </c>
      <c r="V429" t="s">
        <v>162</v>
      </c>
    </row>
    <row r="430" spans="9:22" x14ac:dyDescent="0.45">
      <c r="I430" t="s">
        <v>204</v>
      </c>
      <c r="J430" t="s">
        <v>574</v>
      </c>
      <c r="K430">
        <v>1.1901023063769043E-3</v>
      </c>
      <c r="L430" t="s">
        <v>162</v>
      </c>
      <c r="N430" t="s">
        <v>316</v>
      </c>
      <c r="O430" t="s">
        <v>574</v>
      </c>
      <c r="P430">
        <v>3.0540374348730304E-2</v>
      </c>
      <c r="Q430" t="s">
        <v>162</v>
      </c>
      <c r="S430" t="s">
        <v>428</v>
      </c>
      <c r="T430" t="s">
        <v>574</v>
      </c>
      <c r="U430">
        <v>2.5052233354205179E-2</v>
      </c>
      <c r="V430" t="s">
        <v>162</v>
      </c>
    </row>
    <row r="431" spans="9:22" x14ac:dyDescent="0.45">
      <c r="I431" t="s">
        <v>205</v>
      </c>
      <c r="J431" t="s">
        <v>563</v>
      </c>
      <c r="K431">
        <v>0.13156271239406037</v>
      </c>
      <c r="L431" t="s">
        <v>162</v>
      </c>
      <c r="N431" t="s">
        <v>317</v>
      </c>
      <c r="O431" t="s">
        <v>563</v>
      </c>
      <c r="P431">
        <v>0.10299531650330715</v>
      </c>
      <c r="Q431" t="s">
        <v>162</v>
      </c>
      <c r="S431" t="s">
        <v>429</v>
      </c>
      <c r="T431" t="s">
        <v>563</v>
      </c>
      <c r="U431">
        <v>0.14288316105166043</v>
      </c>
      <c r="V431" t="s">
        <v>162</v>
      </c>
    </row>
    <row r="432" spans="9:22" x14ac:dyDescent="0.45">
      <c r="I432" t="s">
        <v>205</v>
      </c>
      <c r="J432" t="s">
        <v>564</v>
      </c>
      <c r="K432">
        <v>1.3758113177035074E-4</v>
      </c>
      <c r="L432" t="s">
        <v>162</v>
      </c>
      <c r="N432" t="s">
        <v>317</v>
      </c>
      <c r="O432" t="s">
        <v>564</v>
      </c>
      <c r="P432">
        <v>0.11172922857235718</v>
      </c>
      <c r="Q432" t="s">
        <v>162</v>
      </c>
      <c r="S432" t="s">
        <v>429</v>
      </c>
      <c r="T432" t="s">
        <v>564</v>
      </c>
      <c r="U432">
        <v>0.14964279639266923</v>
      </c>
      <c r="V432" t="s">
        <v>162</v>
      </c>
    </row>
    <row r="433" spans="9:22" x14ac:dyDescent="0.45">
      <c r="I433" t="s">
        <v>205</v>
      </c>
      <c r="J433" t="s">
        <v>565</v>
      </c>
      <c r="K433">
        <v>8.7204009693099757E-3</v>
      </c>
      <c r="L433" t="s">
        <v>162</v>
      </c>
      <c r="N433" t="s">
        <v>317</v>
      </c>
      <c r="O433" t="s">
        <v>565</v>
      </c>
      <c r="P433">
        <v>1.9942871696689155E-2</v>
      </c>
      <c r="Q433" t="s">
        <v>162</v>
      </c>
      <c r="S433" t="s">
        <v>429</v>
      </c>
      <c r="T433" t="s">
        <v>565</v>
      </c>
      <c r="U433">
        <v>2.7713714114814526E-2</v>
      </c>
      <c r="V433" t="s">
        <v>162</v>
      </c>
    </row>
    <row r="434" spans="9:22" x14ac:dyDescent="0.45">
      <c r="I434" t="s">
        <v>205</v>
      </c>
      <c r="J434" t="s">
        <v>566</v>
      </c>
      <c r="K434">
        <v>0.33520455341393018</v>
      </c>
      <c r="L434" t="s">
        <v>162</v>
      </c>
      <c r="N434" t="s">
        <v>317</v>
      </c>
      <c r="O434" t="s">
        <v>566</v>
      </c>
      <c r="P434">
        <v>0.13327438244759568</v>
      </c>
      <c r="Q434" t="s">
        <v>162</v>
      </c>
      <c r="S434" t="s">
        <v>429</v>
      </c>
      <c r="T434" t="s">
        <v>566</v>
      </c>
      <c r="U434">
        <v>9.3212887292540139E-2</v>
      </c>
      <c r="V434" t="s">
        <v>162</v>
      </c>
    </row>
    <row r="435" spans="9:22" x14ac:dyDescent="0.45">
      <c r="I435" t="s">
        <v>205</v>
      </c>
      <c r="J435" t="s">
        <v>567</v>
      </c>
      <c r="K435">
        <v>1.7788784729561517E-2</v>
      </c>
      <c r="L435" t="s">
        <v>162</v>
      </c>
      <c r="N435" t="s">
        <v>317</v>
      </c>
      <c r="O435" t="s">
        <v>567</v>
      </c>
      <c r="P435">
        <v>0.14143799806492438</v>
      </c>
      <c r="Q435" t="s">
        <v>162</v>
      </c>
      <c r="S435" t="s">
        <v>429</v>
      </c>
      <c r="T435" t="s">
        <v>567</v>
      </c>
      <c r="U435">
        <v>0.10272879337391667</v>
      </c>
      <c r="V435" t="s">
        <v>162</v>
      </c>
    </row>
    <row r="436" spans="9:22" x14ac:dyDescent="0.45">
      <c r="I436" t="s">
        <v>205</v>
      </c>
      <c r="J436" t="s">
        <v>568</v>
      </c>
      <c r="K436">
        <v>4.1190942341420733E-2</v>
      </c>
      <c r="L436" t="s">
        <v>162</v>
      </c>
      <c r="N436" t="s">
        <v>317</v>
      </c>
      <c r="O436" t="s">
        <v>568</v>
      </c>
      <c r="P436">
        <v>2.663384735502709E-2</v>
      </c>
      <c r="Q436" t="s">
        <v>162</v>
      </c>
      <c r="S436" t="s">
        <v>429</v>
      </c>
      <c r="T436" t="s">
        <v>568</v>
      </c>
      <c r="U436">
        <v>1.7486628358908001E-2</v>
      </c>
      <c r="V436" t="s">
        <v>162</v>
      </c>
    </row>
    <row r="437" spans="9:22" x14ac:dyDescent="0.45">
      <c r="I437" t="s">
        <v>205</v>
      </c>
      <c r="J437" t="s">
        <v>569</v>
      </c>
      <c r="K437">
        <v>0.31435783008230539</v>
      </c>
      <c r="L437" t="s">
        <v>162</v>
      </c>
      <c r="N437" t="s">
        <v>317</v>
      </c>
      <c r="O437" t="s">
        <v>569</v>
      </c>
      <c r="P437">
        <v>5.8047108023151071E-2</v>
      </c>
      <c r="Q437" t="s">
        <v>162</v>
      </c>
      <c r="S437" t="s">
        <v>429</v>
      </c>
      <c r="T437" t="s">
        <v>569</v>
      </c>
      <c r="U437">
        <v>8.9807271808037575E-2</v>
      </c>
      <c r="V437" t="s">
        <v>162</v>
      </c>
    </row>
    <row r="438" spans="9:22" x14ac:dyDescent="0.45">
      <c r="I438" t="s">
        <v>205</v>
      </c>
      <c r="J438" t="s">
        <v>570</v>
      </c>
      <c r="K438">
        <v>4.0176434271431964E-2</v>
      </c>
      <c r="L438" t="s">
        <v>162</v>
      </c>
      <c r="N438" t="s">
        <v>317</v>
      </c>
      <c r="O438" t="s">
        <v>570</v>
      </c>
      <c r="P438">
        <v>7.2099248407944364E-2</v>
      </c>
      <c r="Q438" t="s">
        <v>162</v>
      </c>
      <c r="S438" t="s">
        <v>429</v>
      </c>
      <c r="T438" t="s">
        <v>570</v>
      </c>
      <c r="U438">
        <v>9.2161892418003627E-2</v>
      </c>
      <c r="V438" t="s">
        <v>162</v>
      </c>
    </row>
    <row r="439" spans="9:22" x14ac:dyDescent="0.45">
      <c r="I439" t="s">
        <v>205</v>
      </c>
      <c r="J439" t="s">
        <v>571</v>
      </c>
      <c r="K439">
        <v>4.2426270980138736E-2</v>
      </c>
      <c r="L439" t="s">
        <v>162</v>
      </c>
      <c r="N439" t="s">
        <v>317</v>
      </c>
      <c r="O439" t="s">
        <v>571</v>
      </c>
      <c r="P439">
        <v>1.5619023875664597E-2</v>
      </c>
      <c r="Q439" t="s">
        <v>162</v>
      </c>
      <c r="S439" t="s">
        <v>429</v>
      </c>
      <c r="T439" t="s">
        <v>571</v>
      </c>
      <c r="U439">
        <v>1.6488702457874246E-2</v>
      </c>
      <c r="V439" t="s">
        <v>162</v>
      </c>
    </row>
    <row r="440" spans="9:22" x14ac:dyDescent="0.45">
      <c r="I440" t="s">
        <v>205</v>
      </c>
      <c r="J440" t="s">
        <v>572</v>
      </c>
      <c r="K440">
        <v>6.730932742920688E-2</v>
      </c>
      <c r="L440" t="s">
        <v>162</v>
      </c>
      <c r="N440" t="s">
        <v>317</v>
      </c>
      <c r="O440" t="s">
        <v>572</v>
      </c>
      <c r="P440">
        <v>0.14354997892879237</v>
      </c>
      <c r="Q440" t="s">
        <v>162</v>
      </c>
      <c r="S440" t="s">
        <v>429</v>
      </c>
      <c r="T440" t="s">
        <v>572</v>
      </c>
      <c r="U440">
        <v>0.12085938792739463</v>
      </c>
      <c r="V440" t="s">
        <v>162</v>
      </c>
    </row>
    <row r="441" spans="9:22" x14ac:dyDescent="0.45">
      <c r="I441" t="s">
        <v>205</v>
      </c>
      <c r="J441" t="s">
        <v>573</v>
      </c>
      <c r="K441">
        <v>0</v>
      </c>
      <c r="L441" t="s">
        <v>162</v>
      </c>
      <c r="N441" t="s">
        <v>317</v>
      </c>
      <c r="O441" t="s">
        <v>573</v>
      </c>
      <c r="P441">
        <v>0.14681360828019457</v>
      </c>
      <c r="Q441" t="s">
        <v>162</v>
      </c>
      <c r="S441" t="s">
        <v>429</v>
      </c>
      <c r="T441" t="s">
        <v>573</v>
      </c>
      <c r="U441">
        <v>0.12441053248352892</v>
      </c>
      <c r="V441" t="s">
        <v>162</v>
      </c>
    </row>
    <row r="442" spans="9:22" x14ac:dyDescent="0.45">
      <c r="I442" t="s">
        <v>205</v>
      </c>
      <c r="J442" t="s">
        <v>574</v>
      </c>
      <c r="K442">
        <v>1.1251622568639022E-3</v>
      </c>
      <c r="L442" t="s">
        <v>162</v>
      </c>
      <c r="N442" t="s">
        <v>317</v>
      </c>
      <c r="O442" t="s">
        <v>574</v>
      </c>
      <c r="P442">
        <v>2.7857387844350077E-2</v>
      </c>
      <c r="Q442" t="s">
        <v>162</v>
      </c>
      <c r="S442" t="s">
        <v>429</v>
      </c>
      <c r="T442" t="s">
        <v>574</v>
      </c>
      <c r="U442">
        <v>2.2604232320653454E-2</v>
      </c>
      <c r="V442" t="s">
        <v>162</v>
      </c>
    </row>
    <row r="443" spans="9:22" x14ac:dyDescent="0.45">
      <c r="I443" t="s">
        <v>206</v>
      </c>
      <c r="J443" t="s">
        <v>563</v>
      </c>
      <c r="K443">
        <v>0.1367841263382111</v>
      </c>
      <c r="L443" t="s">
        <v>162</v>
      </c>
      <c r="N443" t="s">
        <v>318</v>
      </c>
      <c r="O443" t="s">
        <v>563</v>
      </c>
      <c r="P443">
        <v>0.12269528661069021</v>
      </c>
      <c r="Q443" t="s">
        <v>162</v>
      </c>
      <c r="S443" t="s">
        <v>430</v>
      </c>
      <c r="T443" t="s">
        <v>563</v>
      </c>
      <c r="U443">
        <v>0.13088557838964271</v>
      </c>
      <c r="V443" t="s">
        <v>162</v>
      </c>
    </row>
    <row r="444" spans="9:22" x14ac:dyDescent="0.45">
      <c r="I444" t="s">
        <v>206</v>
      </c>
      <c r="J444" t="s">
        <v>564</v>
      </c>
      <c r="K444">
        <v>9.8002075347811257E-5</v>
      </c>
      <c r="L444" t="s">
        <v>162</v>
      </c>
      <c r="N444" t="s">
        <v>318</v>
      </c>
      <c r="O444" t="s">
        <v>564</v>
      </c>
      <c r="P444">
        <v>0.14761100280302178</v>
      </c>
      <c r="Q444" t="s">
        <v>162</v>
      </c>
      <c r="S444" t="s">
        <v>430</v>
      </c>
      <c r="T444" t="s">
        <v>564</v>
      </c>
      <c r="U444">
        <v>0.1359250872896445</v>
      </c>
      <c r="V444" t="s">
        <v>162</v>
      </c>
    </row>
    <row r="445" spans="9:22" x14ac:dyDescent="0.45">
      <c r="I445" t="s">
        <v>206</v>
      </c>
      <c r="J445" t="s">
        <v>565</v>
      </c>
      <c r="K445">
        <v>9.1659177644486372E-3</v>
      </c>
      <c r="L445" t="s">
        <v>162</v>
      </c>
      <c r="N445" t="s">
        <v>318</v>
      </c>
      <c r="O445" t="s">
        <v>565</v>
      </c>
      <c r="P445">
        <v>2.5800419220615028E-2</v>
      </c>
      <c r="Q445" t="s">
        <v>162</v>
      </c>
      <c r="S445" t="s">
        <v>430</v>
      </c>
      <c r="T445" t="s">
        <v>565</v>
      </c>
      <c r="U445">
        <v>2.4371716918961762E-2</v>
      </c>
      <c r="V445" t="s">
        <v>162</v>
      </c>
    </row>
    <row r="446" spans="9:22" x14ac:dyDescent="0.45">
      <c r="I446" t="s">
        <v>206</v>
      </c>
      <c r="J446" t="s">
        <v>566</v>
      </c>
      <c r="K446">
        <v>0.34468095376134078</v>
      </c>
      <c r="L446" t="s">
        <v>162</v>
      </c>
      <c r="N446" t="s">
        <v>318</v>
      </c>
      <c r="O446" t="s">
        <v>566</v>
      </c>
      <c r="P446">
        <v>0.10162743626877632</v>
      </c>
      <c r="Q446" t="s">
        <v>162</v>
      </c>
      <c r="S446" t="s">
        <v>430</v>
      </c>
      <c r="T446" t="s">
        <v>566</v>
      </c>
      <c r="U446">
        <v>9.982249668307594E-2</v>
      </c>
      <c r="V446" t="s">
        <v>162</v>
      </c>
    </row>
    <row r="447" spans="9:22" x14ac:dyDescent="0.45">
      <c r="I447" t="s">
        <v>206</v>
      </c>
      <c r="J447" t="s">
        <v>567</v>
      </c>
      <c r="K447">
        <v>1.3800665224783393E-2</v>
      </c>
      <c r="L447" t="s">
        <v>162</v>
      </c>
      <c r="N447" t="s">
        <v>318</v>
      </c>
      <c r="O447" t="s">
        <v>567</v>
      </c>
      <c r="P447">
        <v>0.11553657725821304</v>
      </c>
      <c r="Q447" t="s">
        <v>162</v>
      </c>
      <c r="S447" t="s">
        <v>430</v>
      </c>
      <c r="T447" t="s">
        <v>567</v>
      </c>
      <c r="U447">
        <v>9.9089618487177844E-2</v>
      </c>
      <c r="V447" t="s">
        <v>162</v>
      </c>
    </row>
    <row r="448" spans="9:22" x14ac:dyDescent="0.45">
      <c r="I448" t="s">
        <v>206</v>
      </c>
      <c r="J448" t="s">
        <v>568</v>
      </c>
      <c r="K448">
        <v>4.2520509715348778E-2</v>
      </c>
      <c r="L448" t="s">
        <v>162</v>
      </c>
      <c r="N448" t="s">
        <v>318</v>
      </c>
      <c r="O448" t="s">
        <v>568</v>
      </c>
      <c r="P448">
        <v>1.8658902469409419E-2</v>
      </c>
      <c r="Q448" t="s">
        <v>162</v>
      </c>
      <c r="S448" t="s">
        <v>430</v>
      </c>
      <c r="T448" t="s">
        <v>568</v>
      </c>
      <c r="U448">
        <v>1.8594134970671278E-2</v>
      </c>
      <c r="V448" t="s">
        <v>162</v>
      </c>
    </row>
    <row r="449" spans="9:22" x14ac:dyDescent="0.45">
      <c r="I449" t="s">
        <v>206</v>
      </c>
      <c r="J449" t="s">
        <v>569</v>
      </c>
      <c r="K449">
        <v>0.31275585909987258</v>
      </c>
      <c r="L449" t="s">
        <v>162</v>
      </c>
      <c r="N449" t="s">
        <v>318</v>
      </c>
      <c r="O449" t="s">
        <v>569</v>
      </c>
      <c r="P449">
        <v>4.3775569332591927E-2</v>
      </c>
      <c r="Q449" t="s">
        <v>162</v>
      </c>
      <c r="S449" t="s">
        <v>430</v>
      </c>
      <c r="T449" t="s">
        <v>569</v>
      </c>
      <c r="U449">
        <v>9.1407347847513684E-2</v>
      </c>
      <c r="V449" t="s">
        <v>162</v>
      </c>
    </row>
    <row r="450" spans="9:22" x14ac:dyDescent="0.45">
      <c r="I450" t="s">
        <v>206</v>
      </c>
      <c r="J450" t="s">
        <v>570</v>
      </c>
      <c r="K450">
        <v>2.9160572107609854E-2</v>
      </c>
      <c r="L450" t="s">
        <v>162</v>
      </c>
      <c r="N450" t="s">
        <v>318</v>
      </c>
      <c r="O450" t="s">
        <v>570</v>
      </c>
      <c r="P450">
        <v>6.0332644298754644E-2</v>
      </c>
      <c r="Q450" t="s">
        <v>162</v>
      </c>
      <c r="S450" t="s">
        <v>430</v>
      </c>
      <c r="T450" t="s">
        <v>570</v>
      </c>
      <c r="U450">
        <v>9.3971870171228183E-2</v>
      </c>
      <c r="V450" t="s">
        <v>162</v>
      </c>
    </row>
    <row r="451" spans="9:22" x14ac:dyDescent="0.45">
      <c r="I451" t="s">
        <v>206</v>
      </c>
      <c r="J451" t="s">
        <v>571</v>
      </c>
      <c r="K451">
        <v>4.5770298804406195E-2</v>
      </c>
      <c r="L451" t="s">
        <v>162</v>
      </c>
      <c r="N451" t="s">
        <v>318</v>
      </c>
      <c r="O451" t="s">
        <v>571</v>
      </c>
      <c r="P451">
        <v>1.0521576840020126E-2</v>
      </c>
      <c r="Q451" t="s">
        <v>162</v>
      </c>
      <c r="S451" t="s">
        <v>430</v>
      </c>
      <c r="T451" t="s">
        <v>571</v>
      </c>
      <c r="U451">
        <v>1.6564685430235076E-2</v>
      </c>
      <c r="V451" t="s">
        <v>162</v>
      </c>
    </row>
    <row r="452" spans="9:22" x14ac:dyDescent="0.45">
      <c r="I452" t="s">
        <v>206</v>
      </c>
      <c r="J452" t="s">
        <v>572</v>
      </c>
      <c r="K452">
        <v>6.4050993134197709E-2</v>
      </c>
      <c r="L452" t="s">
        <v>162</v>
      </c>
      <c r="N452" t="s">
        <v>318</v>
      </c>
      <c r="O452" t="s">
        <v>572</v>
      </c>
      <c r="P452">
        <v>0.14294103023079438</v>
      </c>
      <c r="Q452" t="s">
        <v>162</v>
      </c>
      <c r="S452" t="s">
        <v>430</v>
      </c>
      <c r="T452" t="s">
        <v>572</v>
      </c>
      <c r="U452">
        <v>0.13145086090261085</v>
      </c>
      <c r="V452" t="s">
        <v>162</v>
      </c>
    </row>
    <row r="453" spans="9:22" x14ac:dyDescent="0.45">
      <c r="I453" t="s">
        <v>206</v>
      </c>
      <c r="J453" t="s">
        <v>573</v>
      </c>
      <c r="K453">
        <v>0</v>
      </c>
      <c r="L453" t="s">
        <v>162</v>
      </c>
      <c r="N453" t="s">
        <v>318</v>
      </c>
      <c r="O453" t="s">
        <v>573</v>
      </c>
      <c r="P453">
        <v>0.18021769577136765</v>
      </c>
      <c r="Q453" t="s">
        <v>162</v>
      </c>
      <c r="S453" t="s">
        <v>430</v>
      </c>
      <c r="T453" t="s">
        <v>573</v>
      </c>
      <c r="U453">
        <v>0.13323301268940069</v>
      </c>
      <c r="V453" t="s">
        <v>162</v>
      </c>
    </row>
    <row r="454" spans="9:22" x14ac:dyDescent="0.45">
      <c r="I454" t="s">
        <v>206</v>
      </c>
      <c r="J454" t="s">
        <v>574</v>
      </c>
      <c r="K454">
        <v>1.2121019744337001E-3</v>
      </c>
      <c r="L454" t="s">
        <v>162</v>
      </c>
      <c r="N454" t="s">
        <v>318</v>
      </c>
      <c r="O454" t="s">
        <v>574</v>
      </c>
      <c r="P454">
        <v>3.0281858895745185E-2</v>
      </c>
      <c r="Q454" t="s">
        <v>162</v>
      </c>
      <c r="S454" t="s">
        <v>430</v>
      </c>
      <c r="T454" t="s">
        <v>574</v>
      </c>
      <c r="U454">
        <v>2.4683590219835416E-2</v>
      </c>
      <c r="V454" t="s">
        <v>162</v>
      </c>
    </row>
    <row r="455" spans="9:22" x14ac:dyDescent="0.45">
      <c r="I455" t="s">
        <v>207</v>
      </c>
      <c r="J455" t="s">
        <v>563</v>
      </c>
      <c r="K455">
        <v>0.15075420356842814</v>
      </c>
      <c r="L455" t="s">
        <v>162</v>
      </c>
      <c r="N455" t="s">
        <v>319</v>
      </c>
      <c r="O455" t="s">
        <v>563</v>
      </c>
      <c r="P455">
        <v>0.11295498424225475</v>
      </c>
      <c r="Q455" t="s">
        <v>162</v>
      </c>
      <c r="S455" t="s">
        <v>431</v>
      </c>
      <c r="T455" t="s">
        <v>563</v>
      </c>
      <c r="U455">
        <v>0.12994545683302022</v>
      </c>
      <c r="V455" t="s">
        <v>162</v>
      </c>
    </row>
    <row r="456" spans="9:22" x14ac:dyDescent="0.45">
      <c r="I456" t="s">
        <v>207</v>
      </c>
      <c r="J456" t="s">
        <v>564</v>
      </c>
      <c r="K456">
        <v>3.2788879717174117E-6</v>
      </c>
      <c r="L456" t="s">
        <v>162</v>
      </c>
      <c r="N456" t="s">
        <v>319</v>
      </c>
      <c r="O456" t="s">
        <v>564</v>
      </c>
      <c r="P456">
        <v>0.14086848756681752</v>
      </c>
      <c r="Q456" t="s">
        <v>162</v>
      </c>
      <c r="S456" t="s">
        <v>431</v>
      </c>
      <c r="T456" t="s">
        <v>564</v>
      </c>
      <c r="U456">
        <v>0.11840147261619553</v>
      </c>
      <c r="V456" t="s">
        <v>162</v>
      </c>
    </row>
    <row r="457" spans="9:22" x14ac:dyDescent="0.45">
      <c r="I457" t="s">
        <v>207</v>
      </c>
      <c r="J457" t="s">
        <v>565</v>
      </c>
      <c r="K457">
        <v>9.2652791324848681E-3</v>
      </c>
      <c r="L457" t="s">
        <v>162</v>
      </c>
      <c r="N457" t="s">
        <v>319</v>
      </c>
      <c r="O457" t="s">
        <v>565</v>
      </c>
      <c r="P457">
        <v>2.2902076970306655E-2</v>
      </c>
      <c r="Q457" t="s">
        <v>162</v>
      </c>
      <c r="S457" t="s">
        <v>431</v>
      </c>
      <c r="T457" t="s">
        <v>565</v>
      </c>
      <c r="U457">
        <v>2.2897369070716642E-2</v>
      </c>
      <c r="V457" t="s">
        <v>162</v>
      </c>
    </row>
    <row r="458" spans="9:22" x14ac:dyDescent="0.45">
      <c r="I458" t="s">
        <v>207</v>
      </c>
      <c r="J458" t="s">
        <v>566</v>
      </c>
      <c r="K458">
        <v>0.33815036070180315</v>
      </c>
      <c r="L458" t="s">
        <v>162</v>
      </c>
      <c r="N458" t="s">
        <v>319</v>
      </c>
      <c r="O458" t="s">
        <v>566</v>
      </c>
      <c r="P458">
        <v>9.352332172577725E-2</v>
      </c>
      <c r="Q458" t="s">
        <v>162</v>
      </c>
      <c r="S458" t="s">
        <v>431</v>
      </c>
      <c r="T458" t="s">
        <v>566</v>
      </c>
      <c r="U458">
        <v>0.12500512726375976</v>
      </c>
      <c r="V458" t="s">
        <v>162</v>
      </c>
    </row>
    <row r="459" spans="9:22" x14ac:dyDescent="0.45">
      <c r="I459" t="s">
        <v>207</v>
      </c>
      <c r="J459" t="s">
        <v>567</v>
      </c>
      <c r="K459">
        <v>1.5589242567364194E-2</v>
      </c>
      <c r="L459" t="s">
        <v>162</v>
      </c>
      <c r="N459" t="s">
        <v>319</v>
      </c>
      <c r="O459" t="s">
        <v>567</v>
      </c>
      <c r="P459">
        <v>0.10968648057573085</v>
      </c>
      <c r="Q459" t="s">
        <v>162</v>
      </c>
      <c r="S459" t="s">
        <v>431</v>
      </c>
      <c r="T459" t="s">
        <v>567</v>
      </c>
      <c r="U459">
        <v>0.12795814265005837</v>
      </c>
      <c r="V459" t="s">
        <v>162</v>
      </c>
    </row>
    <row r="460" spans="9:22" x14ac:dyDescent="0.45">
      <c r="I460" t="s">
        <v>207</v>
      </c>
      <c r="J460" t="s">
        <v>568</v>
      </c>
      <c r="K460">
        <v>3.8294103367130711E-2</v>
      </c>
      <c r="L460" t="s">
        <v>162</v>
      </c>
      <c r="N460" t="s">
        <v>319</v>
      </c>
      <c r="O460" t="s">
        <v>568</v>
      </c>
      <c r="P460">
        <v>1.9148827251375847E-2</v>
      </c>
      <c r="Q460" t="s">
        <v>162</v>
      </c>
      <c r="S460" t="s">
        <v>431</v>
      </c>
      <c r="T460" t="s">
        <v>568</v>
      </c>
      <c r="U460">
        <v>2.3261034257027014E-2</v>
      </c>
      <c r="V460" t="s">
        <v>162</v>
      </c>
    </row>
    <row r="461" spans="9:22" x14ac:dyDescent="0.45">
      <c r="I461" t="s">
        <v>207</v>
      </c>
      <c r="J461" t="s">
        <v>569</v>
      </c>
      <c r="K461">
        <v>0.30706814212392508</v>
      </c>
      <c r="L461" t="s">
        <v>162</v>
      </c>
      <c r="N461" t="s">
        <v>319</v>
      </c>
      <c r="O461" t="s">
        <v>569</v>
      </c>
      <c r="P461">
        <v>4.0080012491168444E-2</v>
      </c>
      <c r="Q461" t="s">
        <v>162</v>
      </c>
      <c r="S461" t="s">
        <v>431</v>
      </c>
      <c r="T461" t="s">
        <v>569</v>
      </c>
      <c r="U461">
        <v>0.12553744359950494</v>
      </c>
      <c r="V461" t="s">
        <v>162</v>
      </c>
    </row>
    <row r="462" spans="9:22" x14ac:dyDescent="0.45">
      <c r="I462" t="s">
        <v>207</v>
      </c>
      <c r="J462" t="s">
        <v>570</v>
      </c>
      <c r="K462">
        <v>3.2582036095218481E-2</v>
      </c>
      <c r="L462" t="s">
        <v>162</v>
      </c>
      <c r="N462" t="s">
        <v>319</v>
      </c>
      <c r="O462" t="s">
        <v>570</v>
      </c>
      <c r="P462">
        <v>5.7047869993676774E-2</v>
      </c>
      <c r="Q462" t="s">
        <v>162</v>
      </c>
      <c r="S462" t="s">
        <v>431</v>
      </c>
      <c r="T462" t="s">
        <v>570</v>
      </c>
      <c r="U462">
        <v>0.11764933253687171</v>
      </c>
      <c r="V462" t="s">
        <v>162</v>
      </c>
    </row>
    <row r="463" spans="9:22" x14ac:dyDescent="0.45">
      <c r="I463" t="s">
        <v>207</v>
      </c>
      <c r="J463" t="s">
        <v>571</v>
      </c>
      <c r="K463">
        <v>3.9964475510817957E-2</v>
      </c>
      <c r="L463" t="s">
        <v>162</v>
      </c>
      <c r="N463" t="s">
        <v>319</v>
      </c>
      <c r="O463" t="s">
        <v>571</v>
      </c>
      <c r="P463">
        <v>1.0808540642344235E-2</v>
      </c>
      <c r="Q463" t="s">
        <v>162</v>
      </c>
      <c r="S463" t="s">
        <v>431</v>
      </c>
      <c r="T463" t="s">
        <v>571</v>
      </c>
      <c r="U463">
        <v>2.3517587519549563E-2</v>
      </c>
      <c r="V463" t="s">
        <v>162</v>
      </c>
    </row>
    <row r="464" spans="9:22" x14ac:dyDescent="0.45">
      <c r="I464" t="s">
        <v>207</v>
      </c>
      <c r="J464" t="s">
        <v>572</v>
      </c>
      <c r="K464">
        <v>6.7343251105948007E-2</v>
      </c>
      <c r="L464" t="s">
        <v>162</v>
      </c>
      <c r="N464" t="s">
        <v>319</v>
      </c>
      <c r="O464" t="s">
        <v>572</v>
      </c>
      <c r="P464">
        <v>0.16043929757484002</v>
      </c>
      <c r="Q464" t="s">
        <v>162</v>
      </c>
      <c r="S464" t="s">
        <v>431</v>
      </c>
      <c r="T464" t="s">
        <v>572</v>
      </c>
      <c r="U464">
        <v>8.4357853260775176E-2</v>
      </c>
      <c r="V464" t="s">
        <v>162</v>
      </c>
    </row>
    <row r="465" spans="9:22" x14ac:dyDescent="0.45">
      <c r="I465" t="s">
        <v>207</v>
      </c>
      <c r="J465" t="s">
        <v>573</v>
      </c>
      <c r="K465">
        <v>0</v>
      </c>
      <c r="L465" t="s">
        <v>162</v>
      </c>
      <c r="N465" t="s">
        <v>319</v>
      </c>
      <c r="O465" t="s">
        <v>573</v>
      </c>
      <c r="P465">
        <v>0.19789975116980585</v>
      </c>
      <c r="Q465" t="s">
        <v>162</v>
      </c>
      <c r="S465" t="s">
        <v>431</v>
      </c>
      <c r="T465" t="s">
        <v>573</v>
      </c>
      <c r="U465">
        <v>8.5859366840097831E-2</v>
      </c>
      <c r="V465" t="s">
        <v>162</v>
      </c>
    </row>
    <row r="466" spans="9:22" x14ac:dyDescent="0.45">
      <c r="I466" t="s">
        <v>207</v>
      </c>
      <c r="J466" t="s">
        <v>574</v>
      </c>
      <c r="K466">
        <v>9.8562693890816484E-4</v>
      </c>
      <c r="L466" t="s">
        <v>162</v>
      </c>
      <c r="N466" t="s">
        <v>319</v>
      </c>
      <c r="O466" t="s">
        <v>574</v>
      </c>
      <c r="P466">
        <v>3.4640349795898695E-2</v>
      </c>
      <c r="Q466" t="s">
        <v>162</v>
      </c>
      <c r="S466" t="s">
        <v>431</v>
      </c>
      <c r="T466" t="s">
        <v>574</v>
      </c>
      <c r="U466">
        <v>1.5609813552423062E-2</v>
      </c>
      <c r="V466" t="s">
        <v>162</v>
      </c>
    </row>
    <row r="467" spans="9:22" x14ac:dyDescent="0.45">
      <c r="I467" t="s">
        <v>208</v>
      </c>
      <c r="J467" t="s">
        <v>563</v>
      </c>
      <c r="K467">
        <v>0.16226276347669108</v>
      </c>
      <c r="L467" t="s">
        <v>162</v>
      </c>
      <c r="N467" t="s">
        <v>320</v>
      </c>
      <c r="O467" t="s">
        <v>563</v>
      </c>
      <c r="P467">
        <v>0.11053780431550732</v>
      </c>
      <c r="Q467" t="s">
        <v>162</v>
      </c>
      <c r="S467" t="s">
        <v>432</v>
      </c>
      <c r="T467" t="s">
        <v>563</v>
      </c>
      <c r="U467">
        <v>0.14303548601835972</v>
      </c>
      <c r="V467" t="s">
        <v>162</v>
      </c>
    </row>
    <row r="468" spans="9:22" x14ac:dyDescent="0.45">
      <c r="I468" t="s">
        <v>208</v>
      </c>
      <c r="J468" t="s">
        <v>564</v>
      </c>
      <c r="K468">
        <v>5.4191217692240092E-5</v>
      </c>
      <c r="L468" t="s">
        <v>162</v>
      </c>
      <c r="N468" t="s">
        <v>320</v>
      </c>
      <c r="O468" t="s">
        <v>564</v>
      </c>
      <c r="P468">
        <v>0.14066861839993375</v>
      </c>
      <c r="Q468" t="s">
        <v>162</v>
      </c>
      <c r="S468" t="s">
        <v>432</v>
      </c>
      <c r="T468" t="s">
        <v>564</v>
      </c>
      <c r="U468">
        <v>0.1369481427033</v>
      </c>
      <c r="V468" t="s">
        <v>162</v>
      </c>
    </row>
    <row r="469" spans="9:22" x14ac:dyDescent="0.45">
      <c r="I469" t="s">
        <v>208</v>
      </c>
      <c r="J469" t="s">
        <v>565</v>
      </c>
      <c r="K469">
        <v>7.3251614276734697E-3</v>
      </c>
      <c r="L469" t="s">
        <v>162</v>
      </c>
      <c r="N469" t="s">
        <v>320</v>
      </c>
      <c r="O469" t="s">
        <v>565</v>
      </c>
      <c r="P469">
        <v>2.1656390344297866E-2</v>
      </c>
      <c r="Q469" t="s">
        <v>162</v>
      </c>
      <c r="S469" t="s">
        <v>432</v>
      </c>
      <c r="T469" t="s">
        <v>565</v>
      </c>
      <c r="U469">
        <v>2.5331199451037085E-2</v>
      </c>
      <c r="V469" t="s">
        <v>162</v>
      </c>
    </row>
    <row r="470" spans="9:22" x14ac:dyDescent="0.45">
      <c r="I470" t="s">
        <v>208</v>
      </c>
      <c r="J470" t="s">
        <v>566</v>
      </c>
      <c r="K470">
        <v>0.32414407929063321</v>
      </c>
      <c r="L470" t="s">
        <v>162</v>
      </c>
      <c r="N470" t="s">
        <v>320</v>
      </c>
      <c r="O470" t="s">
        <v>566</v>
      </c>
      <c r="P470">
        <v>0.11106559498325499</v>
      </c>
      <c r="Q470" t="s">
        <v>162</v>
      </c>
      <c r="S470" t="s">
        <v>432</v>
      </c>
      <c r="T470" t="s">
        <v>566</v>
      </c>
      <c r="U470">
        <v>0.10129118115880037</v>
      </c>
      <c r="V470" t="s">
        <v>162</v>
      </c>
    </row>
    <row r="471" spans="9:22" x14ac:dyDescent="0.45">
      <c r="I471" t="s">
        <v>208</v>
      </c>
      <c r="J471" t="s">
        <v>567</v>
      </c>
      <c r="K471">
        <v>1.8474828263765907E-2</v>
      </c>
      <c r="L471" t="s">
        <v>162</v>
      </c>
      <c r="N471" t="s">
        <v>320</v>
      </c>
      <c r="O471" t="s">
        <v>567</v>
      </c>
      <c r="P471">
        <v>0.13341626802357393</v>
      </c>
      <c r="Q471" t="s">
        <v>162</v>
      </c>
      <c r="S471" t="s">
        <v>432</v>
      </c>
      <c r="T471" t="s">
        <v>567</v>
      </c>
      <c r="U471">
        <v>0.10399977060807497</v>
      </c>
      <c r="V471" t="s">
        <v>162</v>
      </c>
    </row>
    <row r="472" spans="9:22" x14ac:dyDescent="0.45">
      <c r="I472" t="s">
        <v>208</v>
      </c>
      <c r="J472" t="s">
        <v>568</v>
      </c>
      <c r="K472">
        <v>3.4144945299441551E-2</v>
      </c>
      <c r="L472" t="s">
        <v>162</v>
      </c>
      <c r="N472" t="s">
        <v>320</v>
      </c>
      <c r="O472" t="s">
        <v>568</v>
      </c>
      <c r="P472">
        <v>1.9003592892605014E-2</v>
      </c>
      <c r="Q472" t="s">
        <v>162</v>
      </c>
      <c r="S472" t="s">
        <v>432</v>
      </c>
      <c r="T472" t="s">
        <v>568</v>
      </c>
      <c r="U472">
        <v>1.8576915708560834E-2</v>
      </c>
      <c r="V472" t="s">
        <v>162</v>
      </c>
    </row>
    <row r="473" spans="9:22" x14ac:dyDescent="0.45">
      <c r="I473" t="s">
        <v>208</v>
      </c>
      <c r="J473" t="s">
        <v>569</v>
      </c>
      <c r="K473">
        <v>0.30340399915145633</v>
      </c>
      <c r="L473" t="s">
        <v>162</v>
      </c>
      <c r="N473" t="s">
        <v>320</v>
      </c>
      <c r="O473" t="s">
        <v>569</v>
      </c>
      <c r="P473">
        <v>7.4178629696352652E-2</v>
      </c>
      <c r="Q473" t="s">
        <v>162</v>
      </c>
      <c r="S473" t="s">
        <v>432</v>
      </c>
      <c r="T473" t="s">
        <v>569</v>
      </c>
      <c r="U473">
        <v>0.10964995554919221</v>
      </c>
      <c r="V473" t="s">
        <v>162</v>
      </c>
    </row>
    <row r="474" spans="9:22" x14ac:dyDescent="0.45">
      <c r="I474" t="s">
        <v>208</v>
      </c>
      <c r="J474" t="s">
        <v>570</v>
      </c>
      <c r="K474">
        <v>3.6352426272993905E-2</v>
      </c>
      <c r="L474" t="s">
        <v>162</v>
      </c>
      <c r="N474" t="s">
        <v>320</v>
      </c>
      <c r="O474" t="s">
        <v>570</v>
      </c>
      <c r="P474">
        <v>9.3923952340493375E-2</v>
      </c>
      <c r="Q474" t="s">
        <v>162</v>
      </c>
      <c r="S474" t="s">
        <v>432</v>
      </c>
      <c r="T474" t="s">
        <v>570</v>
      </c>
      <c r="U474">
        <v>0.11376346012506498</v>
      </c>
      <c r="V474" t="s">
        <v>162</v>
      </c>
    </row>
    <row r="475" spans="9:22" x14ac:dyDescent="0.45">
      <c r="I475" t="s">
        <v>208</v>
      </c>
      <c r="J475" t="s">
        <v>571</v>
      </c>
      <c r="K475">
        <v>3.6615585094636839E-2</v>
      </c>
      <c r="L475" t="s">
        <v>162</v>
      </c>
      <c r="N475" t="s">
        <v>320</v>
      </c>
      <c r="O475" t="s">
        <v>571</v>
      </c>
      <c r="P475">
        <v>1.3438638116141623E-2</v>
      </c>
      <c r="Q475" t="s">
        <v>162</v>
      </c>
      <c r="S475" t="s">
        <v>432</v>
      </c>
      <c r="T475" t="s">
        <v>571</v>
      </c>
      <c r="U475">
        <v>2.0573038418066739E-2</v>
      </c>
      <c r="V475" t="s">
        <v>162</v>
      </c>
    </row>
    <row r="476" spans="9:22" x14ac:dyDescent="0.45">
      <c r="I476" t="s">
        <v>208</v>
      </c>
      <c r="J476" t="s">
        <v>572</v>
      </c>
      <c r="K476">
        <v>7.7075608941474291E-2</v>
      </c>
      <c r="L476" t="s">
        <v>162</v>
      </c>
      <c r="N476" t="s">
        <v>320</v>
      </c>
      <c r="O476" t="s">
        <v>572</v>
      </c>
      <c r="P476">
        <v>0.1228641609346528</v>
      </c>
      <c r="Q476" t="s">
        <v>162</v>
      </c>
      <c r="S476" t="s">
        <v>432</v>
      </c>
      <c r="T476" t="s">
        <v>572</v>
      </c>
      <c r="U476">
        <v>0.10526755611731382</v>
      </c>
      <c r="V476" t="s">
        <v>162</v>
      </c>
    </row>
    <row r="477" spans="9:22" x14ac:dyDescent="0.45">
      <c r="I477" t="s">
        <v>208</v>
      </c>
      <c r="J477" t="s">
        <v>573</v>
      </c>
      <c r="K477">
        <v>0</v>
      </c>
      <c r="L477" t="s">
        <v>162</v>
      </c>
      <c r="N477" t="s">
        <v>320</v>
      </c>
      <c r="O477" t="s">
        <v>573</v>
      </c>
      <c r="P477">
        <v>0.13517458567872026</v>
      </c>
      <c r="Q477" t="s">
        <v>162</v>
      </c>
      <c r="S477" t="s">
        <v>432</v>
      </c>
      <c r="T477" t="s">
        <v>573</v>
      </c>
      <c r="U477">
        <v>0.10264931608479819</v>
      </c>
      <c r="V477" t="s">
        <v>162</v>
      </c>
    </row>
    <row r="478" spans="9:22" x14ac:dyDescent="0.45">
      <c r="I478" t="s">
        <v>208</v>
      </c>
      <c r="J478" t="s">
        <v>574</v>
      </c>
      <c r="K478">
        <v>1.4641156353952515E-4</v>
      </c>
      <c r="L478" t="s">
        <v>162</v>
      </c>
      <c r="N478" t="s">
        <v>320</v>
      </c>
      <c r="O478" t="s">
        <v>574</v>
      </c>
      <c r="P478">
        <v>2.4071764274468846E-2</v>
      </c>
      <c r="Q478" t="s">
        <v>162</v>
      </c>
      <c r="S478" t="s">
        <v>432</v>
      </c>
      <c r="T478" t="s">
        <v>574</v>
      </c>
      <c r="U478">
        <v>1.8913978057429261E-2</v>
      </c>
      <c r="V478" t="s">
        <v>162</v>
      </c>
    </row>
    <row r="479" spans="9:22" x14ac:dyDescent="0.45">
      <c r="I479" t="s">
        <v>209</v>
      </c>
      <c r="J479" t="s">
        <v>563</v>
      </c>
      <c r="K479">
        <v>0.15939081806455843</v>
      </c>
      <c r="L479" t="s">
        <v>162</v>
      </c>
      <c r="N479" t="s">
        <v>321</v>
      </c>
      <c r="O479" t="s">
        <v>563</v>
      </c>
      <c r="P479">
        <v>0.10288219623347755</v>
      </c>
      <c r="Q479" t="s">
        <v>162</v>
      </c>
      <c r="S479" t="s">
        <v>433</v>
      </c>
      <c r="T479" t="s">
        <v>563</v>
      </c>
      <c r="U479">
        <v>0.14042908383825797</v>
      </c>
      <c r="V479" t="s">
        <v>162</v>
      </c>
    </row>
    <row r="480" spans="9:22" x14ac:dyDescent="0.45">
      <c r="I480" t="s">
        <v>209</v>
      </c>
      <c r="J480" t="s">
        <v>564</v>
      </c>
      <c r="K480">
        <v>1.1555786870327208E-3</v>
      </c>
      <c r="L480" t="s">
        <v>162</v>
      </c>
      <c r="N480" t="s">
        <v>321</v>
      </c>
      <c r="O480" t="s">
        <v>564</v>
      </c>
      <c r="P480">
        <v>0.13123765999995776</v>
      </c>
      <c r="Q480" t="s">
        <v>162</v>
      </c>
      <c r="S480" t="s">
        <v>433</v>
      </c>
      <c r="T480" t="s">
        <v>564</v>
      </c>
      <c r="U480">
        <v>0.13697781407879281</v>
      </c>
      <c r="V480" t="s">
        <v>162</v>
      </c>
    </row>
    <row r="481" spans="9:22" x14ac:dyDescent="0.45">
      <c r="I481" t="s">
        <v>209</v>
      </c>
      <c r="J481" t="s">
        <v>565</v>
      </c>
      <c r="K481">
        <v>1.3222544455246642E-2</v>
      </c>
      <c r="L481" t="s">
        <v>162</v>
      </c>
      <c r="N481" t="s">
        <v>321</v>
      </c>
      <c r="O481" t="s">
        <v>565</v>
      </c>
      <c r="P481">
        <v>2.2903366285619932E-2</v>
      </c>
      <c r="Q481" t="s">
        <v>162</v>
      </c>
      <c r="S481" t="s">
        <v>433</v>
      </c>
      <c r="T481" t="s">
        <v>565</v>
      </c>
      <c r="U481">
        <v>2.6726633929517421E-2</v>
      </c>
      <c r="V481" t="s">
        <v>162</v>
      </c>
    </row>
    <row r="482" spans="9:22" x14ac:dyDescent="0.45">
      <c r="I482" t="s">
        <v>209</v>
      </c>
      <c r="J482" t="s">
        <v>566</v>
      </c>
      <c r="K482">
        <v>0.31269879331888023</v>
      </c>
      <c r="L482" t="s">
        <v>162</v>
      </c>
      <c r="N482" t="s">
        <v>321</v>
      </c>
      <c r="O482" t="s">
        <v>566</v>
      </c>
      <c r="P482">
        <v>0.10968845548115409</v>
      </c>
      <c r="Q482" t="s">
        <v>162</v>
      </c>
      <c r="S482" t="s">
        <v>433</v>
      </c>
      <c r="T482" t="s">
        <v>566</v>
      </c>
      <c r="U482">
        <v>8.3874973650503837E-2</v>
      </c>
      <c r="V482" t="s">
        <v>162</v>
      </c>
    </row>
    <row r="483" spans="9:22" x14ac:dyDescent="0.45">
      <c r="I483" t="s">
        <v>209</v>
      </c>
      <c r="J483" t="s">
        <v>567</v>
      </c>
      <c r="K483">
        <v>1.8637630052917437E-2</v>
      </c>
      <c r="L483" t="s">
        <v>162</v>
      </c>
      <c r="N483" t="s">
        <v>321</v>
      </c>
      <c r="O483" t="s">
        <v>567</v>
      </c>
      <c r="P483">
        <v>0.1259660230439113</v>
      </c>
      <c r="Q483" t="s">
        <v>162</v>
      </c>
      <c r="S483" t="s">
        <v>433</v>
      </c>
      <c r="T483" t="s">
        <v>567</v>
      </c>
      <c r="U483">
        <v>8.3189634614356703E-2</v>
      </c>
      <c r="V483" t="s">
        <v>162</v>
      </c>
    </row>
    <row r="484" spans="9:22" x14ac:dyDescent="0.45">
      <c r="I484" t="s">
        <v>209</v>
      </c>
      <c r="J484" t="s">
        <v>568</v>
      </c>
      <c r="K484">
        <v>4.3629535712263814E-2</v>
      </c>
      <c r="L484" t="s">
        <v>162</v>
      </c>
      <c r="N484" t="s">
        <v>321</v>
      </c>
      <c r="O484" t="s">
        <v>568</v>
      </c>
      <c r="P484">
        <v>1.9749213333723575E-2</v>
      </c>
      <c r="Q484" t="s">
        <v>162</v>
      </c>
      <c r="S484" t="s">
        <v>433</v>
      </c>
      <c r="T484" t="s">
        <v>568</v>
      </c>
      <c r="U484">
        <v>1.5641063084500601E-2</v>
      </c>
      <c r="V484" t="s">
        <v>162</v>
      </c>
    </row>
    <row r="485" spans="9:22" x14ac:dyDescent="0.45">
      <c r="I485" t="s">
        <v>209</v>
      </c>
      <c r="J485" t="s">
        <v>569</v>
      </c>
      <c r="K485">
        <v>0.29088370407401237</v>
      </c>
      <c r="L485" t="s">
        <v>162</v>
      </c>
      <c r="N485" t="s">
        <v>321</v>
      </c>
      <c r="O485" t="s">
        <v>569</v>
      </c>
      <c r="P485">
        <v>6.8846664428387563E-2</v>
      </c>
      <c r="Q485" t="s">
        <v>162</v>
      </c>
      <c r="S485" t="s">
        <v>433</v>
      </c>
      <c r="T485" t="s">
        <v>569</v>
      </c>
      <c r="U485">
        <v>0.11090471159570636</v>
      </c>
      <c r="V485" t="s">
        <v>162</v>
      </c>
    </row>
    <row r="486" spans="9:22" x14ac:dyDescent="0.45">
      <c r="I486" t="s">
        <v>209</v>
      </c>
      <c r="J486" t="s">
        <v>570</v>
      </c>
      <c r="K486">
        <v>3.6342536273178218E-2</v>
      </c>
      <c r="L486" t="s">
        <v>162</v>
      </c>
      <c r="N486" t="s">
        <v>321</v>
      </c>
      <c r="O486" t="s">
        <v>570</v>
      </c>
      <c r="P486">
        <v>9.7436403469892019E-2</v>
      </c>
      <c r="Q486" t="s">
        <v>162</v>
      </c>
      <c r="S486" t="s">
        <v>433</v>
      </c>
      <c r="T486" t="s">
        <v>570</v>
      </c>
      <c r="U486">
        <v>0.11579985373885311</v>
      </c>
      <c r="V486" t="s">
        <v>162</v>
      </c>
    </row>
    <row r="487" spans="9:22" x14ac:dyDescent="0.45">
      <c r="I487" t="s">
        <v>209</v>
      </c>
      <c r="J487" t="s">
        <v>571</v>
      </c>
      <c r="K487">
        <v>4.128163204313004E-2</v>
      </c>
      <c r="L487" t="s">
        <v>162</v>
      </c>
      <c r="N487" t="s">
        <v>321</v>
      </c>
      <c r="O487" t="s">
        <v>571</v>
      </c>
      <c r="P487">
        <v>1.1849821931373197E-2</v>
      </c>
      <c r="Q487" t="s">
        <v>162</v>
      </c>
      <c r="S487" t="s">
        <v>433</v>
      </c>
      <c r="T487" t="s">
        <v>571</v>
      </c>
      <c r="U487">
        <v>2.0376835735273591E-2</v>
      </c>
      <c r="V487" t="s">
        <v>162</v>
      </c>
    </row>
    <row r="488" spans="9:22" x14ac:dyDescent="0.45">
      <c r="I488" t="s">
        <v>209</v>
      </c>
      <c r="J488" t="s">
        <v>572</v>
      </c>
      <c r="K488">
        <v>7.9865276840562938E-2</v>
      </c>
      <c r="L488" t="s">
        <v>162</v>
      </c>
      <c r="N488" t="s">
        <v>321</v>
      </c>
      <c r="O488" t="s">
        <v>572</v>
      </c>
      <c r="P488">
        <v>0.13497332635782269</v>
      </c>
      <c r="Q488" t="s">
        <v>162</v>
      </c>
      <c r="S488" t="s">
        <v>433</v>
      </c>
      <c r="T488" t="s">
        <v>572</v>
      </c>
      <c r="U488">
        <v>0.12593153955517675</v>
      </c>
      <c r="V488" t="s">
        <v>162</v>
      </c>
    </row>
    <row r="489" spans="9:22" x14ac:dyDescent="0.45">
      <c r="I489" t="s">
        <v>209</v>
      </c>
      <c r="J489" t="s">
        <v>573</v>
      </c>
      <c r="K489">
        <v>0</v>
      </c>
      <c r="L489" t="s">
        <v>162</v>
      </c>
      <c r="N489" t="s">
        <v>321</v>
      </c>
      <c r="O489" t="s">
        <v>573</v>
      </c>
      <c r="P489">
        <v>0.14789102140792235</v>
      </c>
      <c r="Q489" t="s">
        <v>162</v>
      </c>
      <c r="S489" t="s">
        <v>433</v>
      </c>
      <c r="T489" t="s">
        <v>573</v>
      </c>
      <c r="U489">
        <v>0.11826088682857525</v>
      </c>
      <c r="V489" t="s">
        <v>162</v>
      </c>
    </row>
    <row r="490" spans="9:22" x14ac:dyDescent="0.45">
      <c r="I490" t="s">
        <v>209</v>
      </c>
      <c r="J490" t="s">
        <v>574</v>
      </c>
      <c r="K490">
        <v>2.8919504782146284E-3</v>
      </c>
      <c r="L490" t="s">
        <v>162</v>
      </c>
      <c r="N490" t="s">
        <v>321</v>
      </c>
      <c r="O490" t="s">
        <v>574</v>
      </c>
      <c r="P490">
        <v>2.6575848026754723E-2</v>
      </c>
      <c r="Q490" t="s">
        <v>162</v>
      </c>
      <c r="S490" t="s">
        <v>433</v>
      </c>
      <c r="T490" t="s">
        <v>574</v>
      </c>
      <c r="U490">
        <v>2.1886969350485969E-2</v>
      </c>
      <c r="V490" t="s">
        <v>162</v>
      </c>
    </row>
    <row r="491" spans="9:22" x14ac:dyDescent="0.45">
      <c r="I491" t="s">
        <v>210</v>
      </c>
      <c r="J491" t="s">
        <v>563</v>
      </c>
      <c r="K491">
        <v>0.16370057283886996</v>
      </c>
      <c r="L491" t="s">
        <v>162</v>
      </c>
      <c r="N491" t="s">
        <v>322</v>
      </c>
      <c r="O491" t="s">
        <v>563</v>
      </c>
      <c r="P491">
        <v>0.10657226074995438</v>
      </c>
      <c r="Q491" t="s">
        <v>162</v>
      </c>
      <c r="S491" t="s">
        <v>434</v>
      </c>
      <c r="T491" t="s">
        <v>563</v>
      </c>
      <c r="U491">
        <v>0.13018186811266066</v>
      </c>
      <c r="V491" t="s">
        <v>162</v>
      </c>
    </row>
    <row r="492" spans="9:22" x14ac:dyDescent="0.45">
      <c r="I492" t="s">
        <v>210</v>
      </c>
      <c r="J492" t="s">
        <v>564</v>
      </c>
      <c r="K492">
        <v>4.2586076498252954E-4</v>
      </c>
      <c r="L492" t="s">
        <v>162</v>
      </c>
      <c r="N492" t="s">
        <v>322</v>
      </c>
      <c r="O492" t="s">
        <v>564</v>
      </c>
      <c r="P492">
        <v>0.1299847564581541</v>
      </c>
      <c r="Q492" t="s">
        <v>162</v>
      </c>
      <c r="S492" t="s">
        <v>434</v>
      </c>
      <c r="T492" t="s">
        <v>564</v>
      </c>
      <c r="U492">
        <v>0.12953176654615323</v>
      </c>
      <c r="V492" t="s">
        <v>162</v>
      </c>
    </row>
    <row r="493" spans="9:22" x14ac:dyDescent="0.45">
      <c r="I493" t="s">
        <v>210</v>
      </c>
      <c r="J493" t="s">
        <v>565</v>
      </c>
      <c r="K493">
        <v>1.1156171535742172E-2</v>
      </c>
      <c r="L493" t="s">
        <v>162</v>
      </c>
      <c r="N493" t="s">
        <v>322</v>
      </c>
      <c r="O493" t="s">
        <v>565</v>
      </c>
      <c r="P493">
        <v>2.0988937070805649E-2</v>
      </c>
      <c r="Q493" t="s">
        <v>162</v>
      </c>
      <c r="S493" t="s">
        <v>434</v>
      </c>
      <c r="T493" t="s">
        <v>565</v>
      </c>
      <c r="U493">
        <v>2.3735028347585483E-2</v>
      </c>
      <c r="V493" t="s">
        <v>162</v>
      </c>
    </row>
    <row r="494" spans="9:22" x14ac:dyDescent="0.45">
      <c r="I494" t="s">
        <v>210</v>
      </c>
      <c r="J494" t="s">
        <v>566</v>
      </c>
      <c r="K494">
        <v>0.32299546032313869</v>
      </c>
      <c r="L494" t="s">
        <v>162</v>
      </c>
      <c r="N494" t="s">
        <v>322</v>
      </c>
      <c r="O494" t="s">
        <v>566</v>
      </c>
      <c r="P494">
        <v>0.1116464606179301</v>
      </c>
      <c r="Q494" t="s">
        <v>162</v>
      </c>
      <c r="S494" t="s">
        <v>434</v>
      </c>
      <c r="T494" t="s">
        <v>566</v>
      </c>
      <c r="U494">
        <v>9.3713902269559751E-2</v>
      </c>
      <c r="V494" t="s">
        <v>162</v>
      </c>
    </row>
    <row r="495" spans="9:22" x14ac:dyDescent="0.45">
      <c r="I495" t="s">
        <v>210</v>
      </c>
      <c r="J495" t="s">
        <v>567</v>
      </c>
      <c r="K495">
        <v>1.7444683546851449E-2</v>
      </c>
      <c r="L495" t="s">
        <v>162</v>
      </c>
      <c r="N495" t="s">
        <v>322</v>
      </c>
      <c r="O495" t="s">
        <v>567</v>
      </c>
      <c r="P495">
        <v>0.13777282528612103</v>
      </c>
      <c r="Q495" t="s">
        <v>162</v>
      </c>
      <c r="S495" t="s">
        <v>434</v>
      </c>
      <c r="T495" t="s">
        <v>567</v>
      </c>
      <c r="U495">
        <v>0.10120853326431946</v>
      </c>
      <c r="V495" t="s">
        <v>162</v>
      </c>
    </row>
    <row r="496" spans="9:22" x14ac:dyDescent="0.45">
      <c r="I496" t="s">
        <v>210</v>
      </c>
      <c r="J496" t="s">
        <v>568</v>
      </c>
      <c r="K496">
        <v>4.0062477420908245E-2</v>
      </c>
      <c r="L496" t="s">
        <v>162</v>
      </c>
      <c r="N496" t="s">
        <v>322</v>
      </c>
      <c r="O496" t="s">
        <v>568</v>
      </c>
      <c r="P496">
        <v>2.0532874393799222E-2</v>
      </c>
      <c r="Q496" t="s">
        <v>162</v>
      </c>
      <c r="S496" t="s">
        <v>434</v>
      </c>
      <c r="T496" t="s">
        <v>568</v>
      </c>
      <c r="U496">
        <v>1.6847351611322281E-2</v>
      </c>
      <c r="V496" t="s">
        <v>162</v>
      </c>
    </row>
    <row r="497" spans="9:22" x14ac:dyDescent="0.45">
      <c r="I497" t="s">
        <v>210</v>
      </c>
      <c r="J497" t="s">
        <v>569</v>
      </c>
      <c r="K497">
        <v>0.28770496676116841</v>
      </c>
      <c r="L497" t="s">
        <v>162</v>
      </c>
      <c r="N497" t="s">
        <v>322</v>
      </c>
      <c r="O497" t="s">
        <v>569</v>
      </c>
      <c r="P497">
        <v>6.8008068757149445E-2</v>
      </c>
      <c r="Q497" t="s">
        <v>162</v>
      </c>
      <c r="S497" t="s">
        <v>434</v>
      </c>
      <c r="T497" t="s">
        <v>569</v>
      </c>
      <c r="U497">
        <v>0.10385442103814578</v>
      </c>
      <c r="V497" t="s">
        <v>162</v>
      </c>
    </row>
    <row r="498" spans="9:22" x14ac:dyDescent="0.45">
      <c r="I498" t="s">
        <v>210</v>
      </c>
      <c r="J498" t="s">
        <v>570</v>
      </c>
      <c r="K498">
        <v>3.3773691928982733E-2</v>
      </c>
      <c r="L498" t="s">
        <v>162</v>
      </c>
      <c r="N498" t="s">
        <v>322</v>
      </c>
      <c r="O498" t="s">
        <v>570</v>
      </c>
      <c r="P498">
        <v>9.0956793666728902E-2</v>
      </c>
      <c r="Q498" t="s">
        <v>162</v>
      </c>
      <c r="S498" t="s">
        <v>434</v>
      </c>
      <c r="T498" t="s">
        <v>570</v>
      </c>
      <c r="U498">
        <v>0.10195372991679004</v>
      </c>
      <c r="V498" t="s">
        <v>162</v>
      </c>
    </row>
    <row r="499" spans="9:22" x14ac:dyDescent="0.45">
      <c r="I499" t="s">
        <v>210</v>
      </c>
      <c r="J499" t="s">
        <v>571</v>
      </c>
      <c r="K499">
        <v>3.7524105004568098E-2</v>
      </c>
      <c r="L499" t="s">
        <v>162</v>
      </c>
      <c r="N499" t="s">
        <v>322</v>
      </c>
      <c r="O499" t="s">
        <v>571</v>
      </c>
      <c r="P499">
        <v>1.2053777446221705E-2</v>
      </c>
      <c r="Q499" t="s">
        <v>162</v>
      </c>
      <c r="S499" t="s">
        <v>434</v>
      </c>
      <c r="T499" t="s">
        <v>571</v>
      </c>
      <c r="U499">
        <v>1.7222139589715215E-2</v>
      </c>
      <c r="V499" t="s">
        <v>162</v>
      </c>
    </row>
    <row r="500" spans="9:22" x14ac:dyDescent="0.45">
      <c r="I500" t="s">
        <v>210</v>
      </c>
      <c r="J500" t="s">
        <v>572</v>
      </c>
      <c r="K500">
        <v>8.3074118549652368E-2</v>
      </c>
      <c r="L500" t="s">
        <v>162</v>
      </c>
      <c r="N500" t="s">
        <v>322</v>
      </c>
      <c r="O500" t="s">
        <v>572</v>
      </c>
      <c r="P500">
        <v>0.13165988112742588</v>
      </c>
      <c r="Q500" t="s">
        <v>162</v>
      </c>
      <c r="S500" t="s">
        <v>434</v>
      </c>
      <c r="T500" t="s">
        <v>572</v>
      </c>
      <c r="U500">
        <v>0.13371441771589626</v>
      </c>
      <c r="V500" t="s">
        <v>162</v>
      </c>
    </row>
    <row r="501" spans="9:22" x14ac:dyDescent="0.45">
      <c r="I501" t="s">
        <v>210</v>
      </c>
      <c r="J501" t="s">
        <v>573</v>
      </c>
      <c r="K501">
        <v>0</v>
      </c>
      <c r="L501" t="s">
        <v>162</v>
      </c>
      <c r="N501" t="s">
        <v>322</v>
      </c>
      <c r="O501" t="s">
        <v>573</v>
      </c>
      <c r="P501">
        <v>0.14466391569147949</v>
      </c>
      <c r="Q501" t="s">
        <v>162</v>
      </c>
      <c r="S501" t="s">
        <v>434</v>
      </c>
      <c r="T501" t="s">
        <v>573</v>
      </c>
      <c r="U501">
        <v>0.12419947719878914</v>
      </c>
      <c r="V501" t="s">
        <v>162</v>
      </c>
    </row>
    <row r="502" spans="9:22" x14ac:dyDescent="0.45">
      <c r="I502" t="s">
        <v>210</v>
      </c>
      <c r="J502" t="s">
        <v>574</v>
      </c>
      <c r="K502">
        <v>2.1378913251342787E-3</v>
      </c>
      <c r="L502" t="s">
        <v>162</v>
      </c>
      <c r="N502" t="s">
        <v>322</v>
      </c>
      <c r="O502" t="s">
        <v>574</v>
      </c>
      <c r="P502">
        <v>2.515944873422701E-2</v>
      </c>
      <c r="Q502" t="s">
        <v>162</v>
      </c>
      <c r="S502" t="s">
        <v>434</v>
      </c>
      <c r="T502" t="s">
        <v>574</v>
      </c>
      <c r="U502">
        <v>2.3837364389060804E-2</v>
      </c>
      <c r="V502" t="s">
        <v>162</v>
      </c>
    </row>
    <row r="503" spans="9:22" x14ac:dyDescent="0.45">
      <c r="I503" t="s">
        <v>211</v>
      </c>
      <c r="J503" t="s">
        <v>563</v>
      </c>
      <c r="K503">
        <v>0.1545243107598856</v>
      </c>
      <c r="L503" t="s">
        <v>162</v>
      </c>
      <c r="N503" t="s">
        <v>323</v>
      </c>
      <c r="O503" t="s">
        <v>563</v>
      </c>
      <c r="P503">
        <v>0.10616505972787608</v>
      </c>
      <c r="Q503" t="s">
        <v>162</v>
      </c>
      <c r="S503" t="s">
        <v>435</v>
      </c>
      <c r="T503" t="s">
        <v>563</v>
      </c>
      <c r="U503">
        <v>0.13245721130035004</v>
      </c>
      <c r="V503" t="s">
        <v>162</v>
      </c>
    </row>
    <row r="504" spans="9:22" x14ac:dyDescent="0.45">
      <c r="I504" t="s">
        <v>211</v>
      </c>
      <c r="J504" t="s">
        <v>564</v>
      </c>
      <c r="K504">
        <v>1.9223711568510036E-5</v>
      </c>
      <c r="L504" t="s">
        <v>162</v>
      </c>
      <c r="N504" t="s">
        <v>323</v>
      </c>
      <c r="O504" t="s">
        <v>564</v>
      </c>
      <c r="P504">
        <v>0.12991603062529353</v>
      </c>
      <c r="Q504" t="s">
        <v>162</v>
      </c>
      <c r="S504" t="s">
        <v>435</v>
      </c>
      <c r="T504" t="s">
        <v>564</v>
      </c>
      <c r="U504">
        <v>0.13217237473783863</v>
      </c>
      <c r="V504" t="s">
        <v>162</v>
      </c>
    </row>
    <row r="505" spans="9:22" x14ac:dyDescent="0.45">
      <c r="I505" t="s">
        <v>211</v>
      </c>
      <c r="J505" t="s">
        <v>565</v>
      </c>
      <c r="K505">
        <v>9.1575722195928726E-3</v>
      </c>
      <c r="L505" t="s">
        <v>162</v>
      </c>
      <c r="N505" t="s">
        <v>323</v>
      </c>
      <c r="O505" t="s">
        <v>565</v>
      </c>
      <c r="P505">
        <v>2.0424804639670408E-2</v>
      </c>
      <c r="Q505" t="s">
        <v>162</v>
      </c>
      <c r="S505" t="s">
        <v>435</v>
      </c>
      <c r="T505" t="s">
        <v>565</v>
      </c>
      <c r="U505">
        <v>2.4942116908429977E-2</v>
      </c>
      <c r="V505" t="s">
        <v>162</v>
      </c>
    </row>
    <row r="506" spans="9:22" x14ac:dyDescent="0.45">
      <c r="I506" t="s">
        <v>211</v>
      </c>
      <c r="J506" t="s">
        <v>566</v>
      </c>
      <c r="K506">
        <v>0.33263251059298354</v>
      </c>
      <c r="L506" t="s">
        <v>162</v>
      </c>
      <c r="N506" t="s">
        <v>323</v>
      </c>
      <c r="O506" t="s">
        <v>566</v>
      </c>
      <c r="P506">
        <v>0.12009424125226292</v>
      </c>
      <c r="Q506" t="s">
        <v>162</v>
      </c>
      <c r="S506" t="s">
        <v>435</v>
      </c>
      <c r="T506" t="s">
        <v>566</v>
      </c>
      <c r="U506">
        <v>8.0469309089527305E-2</v>
      </c>
      <c r="V506" t="s">
        <v>162</v>
      </c>
    </row>
    <row r="507" spans="9:22" x14ac:dyDescent="0.45">
      <c r="I507" t="s">
        <v>211</v>
      </c>
      <c r="J507" t="s">
        <v>567</v>
      </c>
      <c r="K507">
        <v>1.8093370441904798E-2</v>
      </c>
      <c r="L507" t="s">
        <v>162</v>
      </c>
      <c r="N507" t="s">
        <v>323</v>
      </c>
      <c r="O507" t="s">
        <v>567</v>
      </c>
      <c r="P507">
        <v>0.14123873916803475</v>
      </c>
      <c r="Q507" t="s">
        <v>162</v>
      </c>
      <c r="S507" t="s">
        <v>435</v>
      </c>
      <c r="T507" t="s">
        <v>567</v>
      </c>
      <c r="U507">
        <v>8.9782918926316554E-2</v>
      </c>
      <c r="V507" t="s">
        <v>162</v>
      </c>
    </row>
    <row r="508" spans="9:22" x14ac:dyDescent="0.45">
      <c r="I508" t="s">
        <v>211</v>
      </c>
      <c r="J508" t="s">
        <v>568</v>
      </c>
      <c r="K508">
        <v>3.7534614622631857E-2</v>
      </c>
      <c r="L508" t="s">
        <v>162</v>
      </c>
      <c r="N508" t="s">
        <v>323</v>
      </c>
      <c r="O508" t="s">
        <v>568</v>
      </c>
      <c r="P508">
        <v>2.1493354619460867E-2</v>
      </c>
      <c r="Q508" t="s">
        <v>162</v>
      </c>
      <c r="S508" t="s">
        <v>435</v>
      </c>
      <c r="T508" t="s">
        <v>568</v>
      </c>
      <c r="U508">
        <v>1.4932856315637868E-2</v>
      </c>
      <c r="V508" t="s">
        <v>162</v>
      </c>
    </row>
    <row r="509" spans="9:22" x14ac:dyDescent="0.45">
      <c r="I509" t="s">
        <v>211</v>
      </c>
      <c r="J509" t="s">
        <v>569</v>
      </c>
      <c r="K509">
        <v>0.28989739687657923</v>
      </c>
      <c r="L509" t="s">
        <v>162</v>
      </c>
      <c r="N509" t="s">
        <v>323</v>
      </c>
      <c r="O509" t="s">
        <v>569</v>
      </c>
      <c r="P509">
        <v>6.9378854711003968E-2</v>
      </c>
      <c r="Q509" t="s">
        <v>162</v>
      </c>
      <c r="S509" t="s">
        <v>435</v>
      </c>
      <c r="T509" t="s">
        <v>569</v>
      </c>
      <c r="U509">
        <v>0.12434510152320824</v>
      </c>
      <c r="V509" t="s">
        <v>162</v>
      </c>
    </row>
    <row r="510" spans="9:22" x14ac:dyDescent="0.45">
      <c r="I510" t="s">
        <v>211</v>
      </c>
      <c r="J510" t="s">
        <v>570</v>
      </c>
      <c r="K510">
        <v>3.4472417713955324E-2</v>
      </c>
      <c r="L510" t="s">
        <v>162</v>
      </c>
      <c r="N510" t="s">
        <v>323</v>
      </c>
      <c r="O510" t="s">
        <v>570</v>
      </c>
      <c r="P510">
        <v>9.135018556904205E-2</v>
      </c>
      <c r="Q510" t="s">
        <v>162</v>
      </c>
      <c r="S510" t="s">
        <v>435</v>
      </c>
      <c r="T510" t="s">
        <v>570</v>
      </c>
      <c r="U510">
        <v>0.13919434885591422</v>
      </c>
      <c r="V510" t="s">
        <v>162</v>
      </c>
    </row>
    <row r="511" spans="9:22" x14ac:dyDescent="0.45">
      <c r="I511" t="s">
        <v>211</v>
      </c>
      <c r="J511" t="s">
        <v>571</v>
      </c>
      <c r="K511">
        <v>3.6101791389564049E-2</v>
      </c>
      <c r="L511" t="s">
        <v>162</v>
      </c>
      <c r="N511" t="s">
        <v>323</v>
      </c>
      <c r="O511" t="s">
        <v>571</v>
      </c>
      <c r="P511">
        <v>1.2541928465527827E-2</v>
      </c>
      <c r="Q511" t="s">
        <v>162</v>
      </c>
      <c r="S511" t="s">
        <v>435</v>
      </c>
      <c r="T511" t="s">
        <v>571</v>
      </c>
      <c r="U511">
        <v>2.3559197201317592E-2</v>
      </c>
      <c r="V511" t="s">
        <v>162</v>
      </c>
    </row>
    <row r="512" spans="9:22" x14ac:dyDescent="0.45">
      <c r="I512" t="s">
        <v>211</v>
      </c>
      <c r="J512" t="s">
        <v>572</v>
      </c>
      <c r="K512">
        <v>8.6564523126456877E-2</v>
      </c>
      <c r="L512" t="s">
        <v>162</v>
      </c>
      <c r="N512" t="s">
        <v>323</v>
      </c>
      <c r="O512" t="s">
        <v>572</v>
      </c>
      <c r="P512">
        <v>0.12305367656185325</v>
      </c>
      <c r="Q512" t="s">
        <v>162</v>
      </c>
      <c r="S512" t="s">
        <v>435</v>
      </c>
      <c r="T512" t="s">
        <v>572</v>
      </c>
      <c r="U512">
        <v>0.11085822438552013</v>
      </c>
      <c r="V512" t="s">
        <v>162</v>
      </c>
    </row>
    <row r="513" spans="9:22" x14ac:dyDescent="0.45">
      <c r="I513" t="s">
        <v>211</v>
      </c>
      <c r="J513" t="s">
        <v>573</v>
      </c>
      <c r="K513">
        <v>0</v>
      </c>
      <c r="L513" t="s">
        <v>162</v>
      </c>
      <c r="N513" t="s">
        <v>323</v>
      </c>
      <c r="O513" t="s">
        <v>573</v>
      </c>
      <c r="P513">
        <v>0.13929619705989571</v>
      </c>
      <c r="Q513" t="s">
        <v>162</v>
      </c>
      <c r="S513" t="s">
        <v>435</v>
      </c>
      <c r="T513" t="s">
        <v>573</v>
      </c>
      <c r="U513">
        <v>0.10797433788872431</v>
      </c>
      <c r="V513" t="s">
        <v>162</v>
      </c>
    </row>
    <row r="514" spans="9:22" x14ac:dyDescent="0.45">
      <c r="I514" t="s">
        <v>211</v>
      </c>
      <c r="J514" t="s">
        <v>574</v>
      </c>
      <c r="K514">
        <v>1.0022685448797593E-3</v>
      </c>
      <c r="L514" t="s">
        <v>162</v>
      </c>
      <c r="N514" t="s">
        <v>323</v>
      </c>
      <c r="O514" t="s">
        <v>574</v>
      </c>
      <c r="P514">
        <v>2.5046927600083192E-2</v>
      </c>
      <c r="Q514" t="s">
        <v>162</v>
      </c>
      <c r="S514" t="s">
        <v>435</v>
      </c>
      <c r="T514" t="s">
        <v>574</v>
      </c>
      <c r="U514">
        <v>1.9312002867218722E-2</v>
      </c>
      <c r="V514" t="s">
        <v>162</v>
      </c>
    </row>
    <row r="515" spans="9:22" x14ac:dyDescent="0.45">
      <c r="I515" t="s">
        <v>212</v>
      </c>
      <c r="J515" t="s">
        <v>563</v>
      </c>
      <c r="K515">
        <v>0.17453266530438227</v>
      </c>
      <c r="L515" t="s">
        <v>162</v>
      </c>
      <c r="N515" t="s">
        <v>324</v>
      </c>
      <c r="O515" t="s">
        <v>563</v>
      </c>
      <c r="P515">
        <v>0.1231703690689329</v>
      </c>
      <c r="Q515" t="s">
        <v>162</v>
      </c>
      <c r="S515" t="s">
        <v>436</v>
      </c>
      <c r="T515" t="s">
        <v>563</v>
      </c>
      <c r="U515">
        <v>0.12437626462290048</v>
      </c>
      <c r="V515" t="s">
        <v>162</v>
      </c>
    </row>
    <row r="516" spans="9:22" x14ac:dyDescent="0.45">
      <c r="I516" t="s">
        <v>212</v>
      </c>
      <c r="J516" t="s">
        <v>564</v>
      </c>
      <c r="K516">
        <v>1.6705288953140647E-5</v>
      </c>
      <c r="L516" t="s">
        <v>162</v>
      </c>
      <c r="N516" t="s">
        <v>324</v>
      </c>
      <c r="O516" t="s">
        <v>564</v>
      </c>
      <c r="P516">
        <v>0.14528915282958665</v>
      </c>
      <c r="Q516" t="s">
        <v>162</v>
      </c>
      <c r="S516" t="s">
        <v>436</v>
      </c>
      <c r="T516" t="s">
        <v>564</v>
      </c>
      <c r="U516">
        <v>0.12716664373265579</v>
      </c>
      <c r="V516" t="s">
        <v>162</v>
      </c>
    </row>
    <row r="517" spans="9:22" x14ac:dyDescent="0.45">
      <c r="I517" t="s">
        <v>212</v>
      </c>
      <c r="J517" t="s">
        <v>565</v>
      </c>
      <c r="K517">
        <v>9.8942771493840589E-3</v>
      </c>
      <c r="L517" t="s">
        <v>162</v>
      </c>
      <c r="N517" t="s">
        <v>324</v>
      </c>
      <c r="O517" t="s">
        <v>565</v>
      </c>
      <c r="P517">
        <v>2.3011902954178758E-2</v>
      </c>
      <c r="Q517" t="s">
        <v>162</v>
      </c>
      <c r="S517" t="s">
        <v>436</v>
      </c>
      <c r="T517" t="s">
        <v>565</v>
      </c>
      <c r="U517">
        <v>2.3979379869314622E-2</v>
      </c>
      <c r="V517" t="s">
        <v>162</v>
      </c>
    </row>
    <row r="518" spans="9:22" x14ac:dyDescent="0.45">
      <c r="I518" t="s">
        <v>212</v>
      </c>
      <c r="J518" t="s">
        <v>566</v>
      </c>
      <c r="K518">
        <v>0.32140463780637152</v>
      </c>
      <c r="L518" t="s">
        <v>162</v>
      </c>
      <c r="N518" t="s">
        <v>324</v>
      </c>
      <c r="O518" t="s">
        <v>566</v>
      </c>
      <c r="P518">
        <v>0.10776434203573754</v>
      </c>
      <c r="Q518" t="s">
        <v>162</v>
      </c>
      <c r="S518" t="s">
        <v>436</v>
      </c>
      <c r="T518" t="s">
        <v>566</v>
      </c>
      <c r="U518">
        <v>8.3803549838650807E-2</v>
      </c>
      <c r="V518" t="s">
        <v>162</v>
      </c>
    </row>
    <row r="519" spans="9:22" x14ac:dyDescent="0.45">
      <c r="I519" t="s">
        <v>212</v>
      </c>
      <c r="J519" t="s">
        <v>567</v>
      </c>
      <c r="K519">
        <v>1.6480791041959261E-2</v>
      </c>
      <c r="L519" t="s">
        <v>162</v>
      </c>
      <c r="N519" t="s">
        <v>324</v>
      </c>
      <c r="O519" t="s">
        <v>567</v>
      </c>
      <c r="P519">
        <v>0.12542281366855554</v>
      </c>
      <c r="Q519" t="s">
        <v>162</v>
      </c>
      <c r="S519" t="s">
        <v>436</v>
      </c>
      <c r="T519" t="s">
        <v>567</v>
      </c>
      <c r="U519">
        <v>9.7007514750963628E-2</v>
      </c>
      <c r="V519" t="s">
        <v>162</v>
      </c>
    </row>
    <row r="520" spans="9:22" x14ac:dyDescent="0.45">
      <c r="I520" t="s">
        <v>212</v>
      </c>
      <c r="J520" t="s">
        <v>568</v>
      </c>
      <c r="K520">
        <v>3.5877255554872201E-2</v>
      </c>
      <c r="L520" t="s">
        <v>162</v>
      </c>
      <c r="N520" t="s">
        <v>324</v>
      </c>
      <c r="O520" t="s">
        <v>568</v>
      </c>
      <c r="P520">
        <v>2.0257797381134562E-2</v>
      </c>
      <c r="Q520" t="s">
        <v>162</v>
      </c>
      <c r="S520" t="s">
        <v>436</v>
      </c>
      <c r="T520" t="s">
        <v>568</v>
      </c>
      <c r="U520">
        <v>1.6276750345887974E-2</v>
      </c>
      <c r="V520" t="s">
        <v>162</v>
      </c>
    </row>
    <row r="521" spans="9:22" x14ac:dyDescent="0.45">
      <c r="I521" t="s">
        <v>212</v>
      </c>
      <c r="J521" t="s">
        <v>569</v>
      </c>
      <c r="K521">
        <v>0.28274572698004441</v>
      </c>
      <c r="L521" t="s">
        <v>162</v>
      </c>
      <c r="N521" t="s">
        <v>324</v>
      </c>
      <c r="O521" t="s">
        <v>569</v>
      </c>
      <c r="P521">
        <v>7.6273184716364045E-2</v>
      </c>
      <c r="Q521" t="s">
        <v>162</v>
      </c>
      <c r="S521" t="s">
        <v>436</v>
      </c>
      <c r="T521" t="s">
        <v>569</v>
      </c>
      <c r="U521">
        <v>0.12474723042838762</v>
      </c>
      <c r="V521" t="s">
        <v>162</v>
      </c>
    </row>
    <row r="522" spans="9:22" x14ac:dyDescent="0.45">
      <c r="I522" t="s">
        <v>212</v>
      </c>
      <c r="J522" t="s">
        <v>570</v>
      </c>
      <c r="K522">
        <v>3.0016978708814927E-2</v>
      </c>
      <c r="L522" t="s">
        <v>162</v>
      </c>
      <c r="N522" t="s">
        <v>324</v>
      </c>
      <c r="O522" t="s">
        <v>570</v>
      </c>
      <c r="P522">
        <v>9.9102534279158383E-2</v>
      </c>
      <c r="Q522" t="s">
        <v>162</v>
      </c>
      <c r="S522" t="s">
        <v>436</v>
      </c>
      <c r="T522" t="s">
        <v>570</v>
      </c>
      <c r="U522">
        <v>0.13981315128325567</v>
      </c>
      <c r="V522" t="s">
        <v>162</v>
      </c>
    </row>
    <row r="523" spans="9:22" x14ac:dyDescent="0.45">
      <c r="I523" t="s">
        <v>212</v>
      </c>
      <c r="J523" t="s">
        <v>571</v>
      </c>
      <c r="K523">
        <v>3.5333307916378384E-2</v>
      </c>
      <c r="L523" t="s">
        <v>162</v>
      </c>
      <c r="N523" t="s">
        <v>324</v>
      </c>
      <c r="O523" t="s">
        <v>571</v>
      </c>
      <c r="P523">
        <v>1.3094070512710059E-2</v>
      </c>
      <c r="Q523" t="s">
        <v>162</v>
      </c>
      <c r="S523" t="s">
        <v>436</v>
      </c>
      <c r="T523" t="s">
        <v>571</v>
      </c>
      <c r="U523">
        <v>2.3840901990594729E-2</v>
      </c>
      <c r="V523" t="s">
        <v>162</v>
      </c>
    </row>
    <row r="524" spans="9:22" x14ac:dyDescent="0.45">
      <c r="I524" t="s">
        <v>212</v>
      </c>
      <c r="J524" t="s">
        <v>572</v>
      </c>
      <c r="K524">
        <v>9.2474597955126664E-2</v>
      </c>
      <c r="L524" t="s">
        <v>162</v>
      </c>
      <c r="N524" t="s">
        <v>324</v>
      </c>
      <c r="O524" t="s">
        <v>572</v>
      </c>
      <c r="P524">
        <v>0.11268184661609501</v>
      </c>
      <c r="Q524" t="s">
        <v>162</v>
      </c>
      <c r="S524" t="s">
        <v>436</v>
      </c>
      <c r="T524" t="s">
        <v>572</v>
      </c>
      <c r="U524">
        <v>0.11154438262337814</v>
      </c>
      <c r="V524" t="s">
        <v>162</v>
      </c>
    </row>
    <row r="525" spans="9:22" x14ac:dyDescent="0.45">
      <c r="I525" t="s">
        <v>212</v>
      </c>
      <c r="J525" t="s">
        <v>573</v>
      </c>
      <c r="K525">
        <v>0</v>
      </c>
      <c r="L525" t="s">
        <v>162</v>
      </c>
      <c r="N525" t="s">
        <v>324</v>
      </c>
      <c r="O525" t="s">
        <v>573</v>
      </c>
      <c r="P525">
        <v>0.13028471156149535</v>
      </c>
      <c r="Q525" t="s">
        <v>162</v>
      </c>
      <c r="S525" t="s">
        <v>436</v>
      </c>
      <c r="T525" t="s">
        <v>573</v>
      </c>
      <c r="U525">
        <v>0.10795741928427945</v>
      </c>
      <c r="V525" t="s">
        <v>162</v>
      </c>
    </row>
    <row r="526" spans="9:22" x14ac:dyDescent="0.45">
      <c r="I526" t="s">
        <v>212</v>
      </c>
      <c r="J526" t="s">
        <v>574</v>
      </c>
      <c r="K526">
        <v>1.2230562937119464E-3</v>
      </c>
      <c r="L526" t="s">
        <v>162</v>
      </c>
      <c r="N526" t="s">
        <v>324</v>
      </c>
      <c r="O526" t="s">
        <v>574</v>
      </c>
      <c r="P526">
        <v>2.3647274376050638E-2</v>
      </c>
      <c r="Q526" t="s">
        <v>162</v>
      </c>
      <c r="S526" t="s">
        <v>436</v>
      </c>
      <c r="T526" t="s">
        <v>574</v>
      </c>
      <c r="U526">
        <v>1.9486811229732361E-2</v>
      </c>
      <c r="V526" t="s">
        <v>162</v>
      </c>
    </row>
    <row r="527" spans="9:22" x14ac:dyDescent="0.45">
      <c r="I527" t="s">
        <v>213</v>
      </c>
      <c r="J527" t="s">
        <v>563</v>
      </c>
      <c r="K527">
        <v>0.13868439666035512</v>
      </c>
      <c r="L527" t="s">
        <v>162</v>
      </c>
      <c r="N527" t="s">
        <v>325</v>
      </c>
      <c r="O527" t="s">
        <v>563</v>
      </c>
      <c r="P527">
        <v>0.11587619049088665</v>
      </c>
      <c r="Q527" t="s">
        <v>162</v>
      </c>
      <c r="S527" t="s">
        <v>437</v>
      </c>
      <c r="T527" t="s">
        <v>563</v>
      </c>
      <c r="U527">
        <v>0.11548865303774067</v>
      </c>
      <c r="V527" t="s">
        <v>162</v>
      </c>
    </row>
    <row r="528" spans="9:22" x14ac:dyDescent="0.45">
      <c r="I528" t="s">
        <v>213</v>
      </c>
      <c r="J528" t="s">
        <v>564</v>
      </c>
      <c r="K528">
        <v>6.0876795970495063E-6</v>
      </c>
      <c r="L528" t="s">
        <v>162</v>
      </c>
      <c r="N528" t="s">
        <v>325</v>
      </c>
      <c r="O528" t="s">
        <v>564</v>
      </c>
      <c r="P528">
        <v>0.12760263453406487</v>
      </c>
      <c r="Q528" t="s">
        <v>162</v>
      </c>
      <c r="S528" t="s">
        <v>437</v>
      </c>
      <c r="T528" t="s">
        <v>564</v>
      </c>
      <c r="U528">
        <v>0.1195374819877614</v>
      </c>
      <c r="V528" t="s">
        <v>162</v>
      </c>
    </row>
    <row r="529" spans="9:22" x14ac:dyDescent="0.45">
      <c r="I529" t="s">
        <v>213</v>
      </c>
      <c r="J529" t="s">
        <v>565</v>
      </c>
      <c r="K529">
        <v>6.8316501960028891E-3</v>
      </c>
      <c r="L529" t="s">
        <v>162</v>
      </c>
      <c r="N529" t="s">
        <v>325</v>
      </c>
      <c r="O529" t="s">
        <v>565</v>
      </c>
      <c r="P529">
        <v>2.3473568707876858E-2</v>
      </c>
      <c r="Q529" t="s">
        <v>162</v>
      </c>
      <c r="S529" t="s">
        <v>437</v>
      </c>
      <c r="T529" t="s">
        <v>565</v>
      </c>
      <c r="U529">
        <v>2.183515061509932E-2</v>
      </c>
      <c r="V529" t="s">
        <v>162</v>
      </c>
    </row>
    <row r="530" spans="9:22" x14ac:dyDescent="0.45">
      <c r="I530" t="s">
        <v>213</v>
      </c>
      <c r="J530" t="s">
        <v>566</v>
      </c>
      <c r="K530">
        <v>0.33895131340027917</v>
      </c>
      <c r="L530" t="s">
        <v>162</v>
      </c>
      <c r="N530" t="s">
        <v>325</v>
      </c>
      <c r="O530" t="s">
        <v>566</v>
      </c>
      <c r="P530">
        <v>9.5192676702868836E-2</v>
      </c>
      <c r="Q530" t="s">
        <v>162</v>
      </c>
      <c r="S530" t="s">
        <v>437</v>
      </c>
      <c r="T530" t="s">
        <v>566</v>
      </c>
      <c r="U530">
        <v>8.6698634801770369E-2</v>
      </c>
      <c r="V530" t="s">
        <v>162</v>
      </c>
    </row>
    <row r="531" spans="9:22" x14ac:dyDescent="0.45">
      <c r="I531" t="s">
        <v>213</v>
      </c>
      <c r="J531" t="s">
        <v>567</v>
      </c>
      <c r="K531">
        <v>1.8687352459045563E-2</v>
      </c>
      <c r="L531" t="s">
        <v>162</v>
      </c>
      <c r="N531" t="s">
        <v>325</v>
      </c>
      <c r="O531" t="s">
        <v>567</v>
      </c>
      <c r="P531">
        <v>9.4193867522973068E-2</v>
      </c>
      <c r="Q531" t="s">
        <v>162</v>
      </c>
      <c r="S531" t="s">
        <v>437</v>
      </c>
      <c r="T531" t="s">
        <v>567</v>
      </c>
      <c r="U531">
        <v>0.10085626945624605</v>
      </c>
      <c r="V531" t="s">
        <v>162</v>
      </c>
    </row>
    <row r="532" spans="9:22" x14ac:dyDescent="0.45">
      <c r="I532" t="s">
        <v>213</v>
      </c>
      <c r="J532" t="s">
        <v>568</v>
      </c>
      <c r="K532">
        <v>3.6169931602005254E-2</v>
      </c>
      <c r="L532" t="s">
        <v>162</v>
      </c>
      <c r="N532" t="s">
        <v>325</v>
      </c>
      <c r="O532" t="s">
        <v>568</v>
      </c>
      <c r="P532">
        <v>1.8176519260347912E-2</v>
      </c>
      <c r="Q532" t="s">
        <v>162</v>
      </c>
      <c r="S532" t="s">
        <v>437</v>
      </c>
      <c r="T532" t="s">
        <v>568</v>
      </c>
      <c r="U532">
        <v>1.74170699904743E-2</v>
      </c>
      <c r="V532" t="s">
        <v>162</v>
      </c>
    </row>
    <row r="533" spans="9:22" x14ac:dyDescent="0.45">
      <c r="I533" t="s">
        <v>213</v>
      </c>
      <c r="J533" t="s">
        <v>569</v>
      </c>
      <c r="K533">
        <v>0.30086411153376275</v>
      </c>
      <c r="L533" t="s">
        <v>162</v>
      </c>
      <c r="N533" t="s">
        <v>325</v>
      </c>
      <c r="O533" t="s">
        <v>569</v>
      </c>
      <c r="P533">
        <v>5.3560697164178953E-2</v>
      </c>
      <c r="Q533" t="s">
        <v>162</v>
      </c>
      <c r="S533" t="s">
        <v>437</v>
      </c>
      <c r="T533" t="s">
        <v>569</v>
      </c>
      <c r="U533">
        <v>0.12941270087100881</v>
      </c>
      <c r="V533" t="s">
        <v>162</v>
      </c>
    </row>
    <row r="534" spans="9:22" x14ac:dyDescent="0.45">
      <c r="I534" t="s">
        <v>213</v>
      </c>
      <c r="J534" t="s">
        <v>570</v>
      </c>
      <c r="K534">
        <v>3.5906829164455881E-2</v>
      </c>
      <c r="L534" t="s">
        <v>162</v>
      </c>
      <c r="N534" t="s">
        <v>325</v>
      </c>
      <c r="O534" t="s">
        <v>570</v>
      </c>
      <c r="P534">
        <v>5.0537317891837075E-2</v>
      </c>
      <c r="Q534" t="s">
        <v>162</v>
      </c>
      <c r="S534" t="s">
        <v>437</v>
      </c>
      <c r="T534" t="s">
        <v>570</v>
      </c>
      <c r="U534">
        <v>0.14176963206250481</v>
      </c>
      <c r="V534" t="s">
        <v>162</v>
      </c>
    </row>
    <row r="535" spans="9:22" x14ac:dyDescent="0.45">
      <c r="I535" t="s">
        <v>213</v>
      </c>
      <c r="J535" t="s">
        <v>571</v>
      </c>
      <c r="K535">
        <v>3.6197552682769855E-2</v>
      </c>
      <c r="L535" t="s">
        <v>162</v>
      </c>
      <c r="N535" t="s">
        <v>325</v>
      </c>
      <c r="O535" t="s">
        <v>571</v>
      </c>
      <c r="P535">
        <v>9.7011896118499811E-3</v>
      </c>
      <c r="Q535" t="s">
        <v>162</v>
      </c>
      <c r="S535" t="s">
        <v>437</v>
      </c>
      <c r="T535" t="s">
        <v>571</v>
      </c>
      <c r="U535">
        <v>2.4147348863901279E-2</v>
      </c>
      <c r="V535" t="s">
        <v>162</v>
      </c>
    </row>
    <row r="536" spans="9:22" x14ac:dyDescent="0.45">
      <c r="I536" t="s">
        <v>213</v>
      </c>
      <c r="J536" t="s">
        <v>572</v>
      </c>
      <c r="K536">
        <v>8.7402481920831956E-2</v>
      </c>
      <c r="L536" t="s">
        <v>162</v>
      </c>
      <c r="N536" t="s">
        <v>325</v>
      </c>
      <c r="O536" t="s">
        <v>572</v>
      </c>
      <c r="P536">
        <v>0.1785118106491245</v>
      </c>
      <c r="Q536" t="s">
        <v>162</v>
      </c>
      <c r="S536" t="s">
        <v>437</v>
      </c>
      <c r="T536" t="s">
        <v>572</v>
      </c>
      <c r="U536">
        <v>0.11045338742270358</v>
      </c>
      <c r="V536" t="s">
        <v>162</v>
      </c>
    </row>
    <row r="537" spans="9:22" x14ac:dyDescent="0.45">
      <c r="I537" t="s">
        <v>213</v>
      </c>
      <c r="J537" t="s">
        <v>573</v>
      </c>
      <c r="K537">
        <v>0</v>
      </c>
      <c r="L537" t="s">
        <v>162</v>
      </c>
      <c r="N537" t="s">
        <v>325</v>
      </c>
      <c r="O537" t="s">
        <v>573</v>
      </c>
      <c r="P537">
        <v>0.20191639902039579</v>
      </c>
      <c r="Q537" t="s">
        <v>162</v>
      </c>
      <c r="S537" t="s">
        <v>437</v>
      </c>
      <c r="T537" t="s">
        <v>573</v>
      </c>
      <c r="U537">
        <v>0.11217593455627428</v>
      </c>
      <c r="V537" t="s">
        <v>162</v>
      </c>
    </row>
    <row r="538" spans="9:22" x14ac:dyDescent="0.45">
      <c r="I538" t="s">
        <v>213</v>
      </c>
      <c r="J538" t="s">
        <v>574</v>
      </c>
      <c r="K538">
        <v>2.9829270089558454E-4</v>
      </c>
      <c r="L538" t="s">
        <v>162</v>
      </c>
      <c r="N538" t="s">
        <v>325</v>
      </c>
      <c r="O538" t="s">
        <v>574</v>
      </c>
      <c r="P538">
        <v>3.1257128443594538E-2</v>
      </c>
      <c r="Q538" t="s">
        <v>162</v>
      </c>
      <c r="S538" t="s">
        <v>437</v>
      </c>
      <c r="T538" t="s">
        <v>574</v>
      </c>
      <c r="U538">
        <v>2.0207736334516092E-2</v>
      </c>
      <c r="V538" t="s">
        <v>162</v>
      </c>
    </row>
    <row r="539" spans="9:22" x14ac:dyDescent="0.45">
      <c r="I539" t="s">
        <v>214</v>
      </c>
      <c r="J539" t="s">
        <v>563</v>
      </c>
      <c r="K539">
        <v>0.17456956301882162</v>
      </c>
      <c r="L539" t="s">
        <v>162</v>
      </c>
      <c r="N539" t="s">
        <v>326</v>
      </c>
      <c r="O539" t="s">
        <v>563</v>
      </c>
      <c r="P539">
        <v>0.10650759013312538</v>
      </c>
      <c r="Q539" t="s">
        <v>162</v>
      </c>
      <c r="S539" t="s">
        <v>438</v>
      </c>
      <c r="T539" t="s">
        <v>563</v>
      </c>
      <c r="U539">
        <v>0.12653336536995971</v>
      </c>
      <c r="V539" t="s">
        <v>162</v>
      </c>
    </row>
    <row r="540" spans="9:22" x14ac:dyDescent="0.45">
      <c r="I540" t="s">
        <v>214</v>
      </c>
      <c r="J540" t="s">
        <v>564</v>
      </c>
      <c r="K540">
        <v>1.4544376892800098E-6</v>
      </c>
      <c r="L540" t="s">
        <v>162</v>
      </c>
      <c r="N540" t="s">
        <v>326</v>
      </c>
      <c r="O540" t="s">
        <v>564</v>
      </c>
      <c r="P540">
        <v>0.13702675781044887</v>
      </c>
      <c r="Q540" t="s">
        <v>162</v>
      </c>
      <c r="S540" t="s">
        <v>438</v>
      </c>
      <c r="T540" t="s">
        <v>564</v>
      </c>
      <c r="U540">
        <v>0.12756956350742338</v>
      </c>
      <c r="V540" t="s">
        <v>162</v>
      </c>
    </row>
    <row r="541" spans="9:22" x14ac:dyDescent="0.45">
      <c r="I541" t="s">
        <v>214</v>
      </c>
      <c r="J541" t="s">
        <v>565</v>
      </c>
      <c r="K541">
        <v>8.0721804693246156E-3</v>
      </c>
      <c r="L541" t="s">
        <v>162</v>
      </c>
      <c r="N541" t="s">
        <v>326</v>
      </c>
      <c r="O541" t="s">
        <v>565</v>
      </c>
      <c r="P541">
        <v>2.4662942499683864E-2</v>
      </c>
      <c r="Q541" t="s">
        <v>162</v>
      </c>
      <c r="S541" t="s">
        <v>438</v>
      </c>
      <c r="T541" t="s">
        <v>565</v>
      </c>
      <c r="U541">
        <v>2.443223236188553E-2</v>
      </c>
      <c r="V541" t="s">
        <v>162</v>
      </c>
    </row>
    <row r="542" spans="9:22" x14ac:dyDescent="0.45">
      <c r="I542" t="s">
        <v>214</v>
      </c>
      <c r="J542" t="s">
        <v>566</v>
      </c>
      <c r="K542">
        <v>0.32661631787437506</v>
      </c>
      <c r="L542" t="s">
        <v>162</v>
      </c>
      <c r="N542" t="s">
        <v>326</v>
      </c>
      <c r="O542" t="s">
        <v>566</v>
      </c>
      <c r="P542">
        <v>9.7372597337075817E-2</v>
      </c>
      <c r="Q542" t="s">
        <v>162</v>
      </c>
      <c r="S542" t="s">
        <v>438</v>
      </c>
      <c r="T542" t="s">
        <v>566</v>
      </c>
      <c r="U542">
        <v>8.1916296656376675E-2</v>
      </c>
      <c r="V542" t="s">
        <v>162</v>
      </c>
    </row>
    <row r="543" spans="9:22" x14ac:dyDescent="0.45">
      <c r="I543" t="s">
        <v>214</v>
      </c>
      <c r="J543" t="s">
        <v>567</v>
      </c>
      <c r="K543">
        <v>1.6290389878720758E-2</v>
      </c>
      <c r="L543" t="s">
        <v>162</v>
      </c>
      <c r="N543" t="s">
        <v>326</v>
      </c>
      <c r="O543" t="s">
        <v>567</v>
      </c>
      <c r="P543">
        <v>0.12896838056751436</v>
      </c>
      <c r="Q543" t="s">
        <v>162</v>
      </c>
      <c r="S543" t="s">
        <v>438</v>
      </c>
      <c r="T543" t="s">
        <v>567</v>
      </c>
      <c r="U543">
        <v>9.405358489497441E-2</v>
      </c>
      <c r="V543" t="s">
        <v>162</v>
      </c>
    </row>
    <row r="544" spans="9:22" x14ac:dyDescent="0.45">
      <c r="I544" t="s">
        <v>214</v>
      </c>
      <c r="J544" t="s">
        <v>568</v>
      </c>
      <c r="K544">
        <v>3.2352642743974099E-2</v>
      </c>
      <c r="L544" t="s">
        <v>162</v>
      </c>
      <c r="N544" t="s">
        <v>326</v>
      </c>
      <c r="O544" t="s">
        <v>568</v>
      </c>
      <c r="P544">
        <v>1.8854018587664327E-2</v>
      </c>
      <c r="Q544" t="s">
        <v>162</v>
      </c>
      <c r="S544" t="s">
        <v>438</v>
      </c>
      <c r="T544" t="s">
        <v>568</v>
      </c>
      <c r="U544">
        <v>1.6566103764881122E-2</v>
      </c>
      <c r="V544" t="s">
        <v>162</v>
      </c>
    </row>
    <row r="545" spans="9:22" x14ac:dyDescent="0.45">
      <c r="I545" t="s">
        <v>214</v>
      </c>
      <c r="J545" t="s">
        <v>569</v>
      </c>
      <c r="K545">
        <v>0.28340107871154635</v>
      </c>
      <c r="L545" t="s">
        <v>162</v>
      </c>
      <c r="N545" t="s">
        <v>326</v>
      </c>
      <c r="O545" t="s">
        <v>569</v>
      </c>
      <c r="P545">
        <v>4.9828023102216616E-2</v>
      </c>
      <c r="Q545" t="s">
        <v>162</v>
      </c>
      <c r="S545" t="s">
        <v>438</v>
      </c>
      <c r="T545" t="s">
        <v>569</v>
      </c>
      <c r="U545">
        <v>0.13380362219954425</v>
      </c>
      <c r="V545" t="s">
        <v>162</v>
      </c>
    </row>
    <row r="546" spans="9:22" x14ac:dyDescent="0.45">
      <c r="I546" t="s">
        <v>214</v>
      </c>
      <c r="J546" t="s">
        <v>570</v>
      </c>
      <c r="K546">
        <v>2.757352116868728E-2</v>
      </c>
      <c r="L546" t="s">
        <v>162</v>
      </c>
      <c r="N546" t="s">
        <v>326</v>
      </c>
      <c r="O546" t="s">
        <v>570</v>
      </c>
      <c r="P546">
        <v>9.1304934939148305E-2</v>
      </c>
      <c r="Q546" t="s">
        <v>162</v>
      </c>
      <c r="S546" t="s">
        <v>438</v>
      </c>
      <c r="T546" t="s">
        <v>570</v>
      </c>
      <c r="U546">
        <v>0.14753509868848944</v>
      </c>
      <c r="V546" t="s">
        <v>162</v>
      </c>
    </row>
    <row r="547" spans="9:22" x14ac:dyDescent="0.45">
      <c r="I547" t="s">
        <v>214</v>
      </c>
      <c r="J547" t="s">
        <v>571</v>
      </c>
      <c r="K547">
        <v>3.1473851838897747E-2</v>
      </c>
      <c r="L547" t="s">
        <v>162</v>
      </c>
      <c r="N547" t="s">
        <v>326</v>
      </c>
      <c r="O547" t="s">
        <v>571</v>
      </c>
      <c r="P547">
        <v>1.0708980985780187E-2</v>
      </c>
      <c r="Q547" t="s">
        <v>162</v>
      </c>
      <c r="S547" t="s">
        <v>438</v>
      </c>
      <c r="T547" t="s">
        <v>571</v>
      </c>
      <c r="U547">
        <v>2.6021200990923546E-2</v>
      </c>
      <c r="V547" t="s">
        <v>162</v>
      </c>
    </row>
    <row r="548" spans="9:22" x14ac:dyDescent="0.45">
      <c r="I548" t="s">
        <v>214</v>
      </c>
      <c r="J548" t="s">
        <v>572</v>
      </c>
      <c r="K548">
        <v>9.9178160910901092E-2</v>
      </c>
      <c r="L548" t="s">
        <v>162</v>
      </c>
      <c r="N548" t="s">
        <v>326</v>
      </c>
      <c r="O548" t="s">
        <v>572</v>
      </c>
      <c r="P548">
        <v>0.14230316995522263</v>
      </c>
      <c r="Q548" t="s">
        <v>162</v>
      </c>
      <c r="S548" t="s">
        <v>438</v>
      </c>
      <c r="T548" t="s">
        <v>572</v>
      </c>
      <c r="U548">
        <v>0.10171112210361383</v>
      </c>
      <c r="V548" t="s">
        <v>162</v>
      </c>
    </row>
    <row r="549" spans="9:22" x14ac:dyDescent="0.45">
      <c r="I549" t="s">
        <v>214</v>
      </c>
      <c r="J549" t="s">
        <v>573</v>
      </c>
      <c r="K549">
        <v>0</v>
      </c>
      <c r="L549" t="s">
        <v>162</v>
      </c>
      <c r="N549" t="s">
        <v>326</v>
      </c>
      <c r="O549" t="s">
        <v>573</v>
      </c>
      <c r="P549">
        <v>0.16450906643891727</v>
      </c>
      <c r="Q549" t="s">
        <v>162</v>
      </c>
      <c r="S549" t="s">
        <v>438</v>
      </c>
      <c r="T549" t="s">
        <v>573</v>
      </c>
      <c r="U549">
        <v>0.10168684504373525</v>
      </c>
      <c r="V549" t="s">
        <v>162</v>
      </c>
    </row>
    <row r="550" spans="9:22" x14ac:dyDescent="0.45">
      <c r="I550" t="s">
        <v>214</v>
      </c>
      <c r="J550" t="s">
        <v>574</v>
      </c>
      <c r="K550">
        <v>4.7083894706708145E-4</v>
      </c>
      <c r="L550" t="s">
        <v>162</v>
      </c>
      <c r="N550" t="s">
        <v>326</v>
      </c>
      <c r="O550" t="s">
        <v>574</v>
      </c>
      <c r="P550">
        <v>2.7953537643199029E-2</v>
      </c>
      <c r="Q550" t="s">
        <v>162</v>
      </c>
      <c r="S550" t="s">
        <v>438</v>
      </c>
      <c r="T550" t="s">
        <v>574</v>
      </c>
      <c r="U550">
        <v>1.8170964418196101E-2</v>
      </c>
      <c r="V550" t="s">
        <v>162</v>
      </c>
    </row>
    <row r="551" spans="9:22" x14ac:dyDescent="0.45">
      <c r="I551" t="s">
        <v>215</v>
      </c>
      <c r="J551" t="s">
        <v>563</v>
      </c>
      <c r="K551">
        <v>0.17662474612100093</v>
      </c>
      <c r="L551" t="s">
        <v>162</v>
      </c>
      <c r="N551" t="s">
        <v>327</v>
      </c>
      <c r="O551" t="s">
        <v>563</v>
      </c>
      <c r="P551">
        <v>0.1153675353363266</v>
      </c>
      <c r="Q551" t="s">
        <v>162</v>
      </c>
      <c r="S551" t="s">
        <v>439</v>
      </c>
      <c r="T551" t="s">
        <v>563</v>
      </c>
      <c r="U551">
        <v>0.12848241105279365</v>
      </c>
      <c r="V551" t="s">
        <v>162</v>
      </c>
    </row>
    <row r="552" spans="9:22" x14ac:dyDescent="0.45">
      <c r="I552" t="s">
        <v>215</v>
      </c>
      <c r="J552" t="s">
        <v>564</v>
      </c>
      <c r="K552">
        <v>0</v>
      </c>
      <c r="L552" t="s">
        <v>162</v>
      </c>
      <c r="N552" t="s">
        <v>327</v>
      </c>
      <c r="O552" t="s">
        <v>564</v>
      </c>
      <c r="P552">
        <v>0.12004291292762008</v>
      </c>
      <c r="Q552" t="s">
        <v>162</v>
      </c>
      <c r="S552" t="s">
        <v>439</v>
      </c>
      <c r="T552" t="s">
        <v>564</v>
      </c>
      <c r="U552">
        <v>0.12873673164887861</v>
      </c>
      <c r="V552" t="s">
        <v>162</v>
      </c>
    </row>
    <row r="553" spans="9:22" x14ac:dyDescent="0.45">
      <c r="I553" t="s">
        <v>215</v>
      </c>
      <c r="J553" t="s">
        <v>565</v>
      </c>
      <c r="K553">
        <v>7.9038796678844777E-3</v>
      </c>
      <c r="L553" t="s">
        <v>162</v>
      </c>
      <c r="N553" t="s">
        <v>327</v>
      </c>
      <c r="O553" t="s">
        <v>565</v>
      </c>
      <c r="P553">
        <v>2.2363337434570137E-2</v>
      </c>
      <c r="Q553" t="s">
        <v>162</v>
      </c>
      <c r="S553" t="s">
        <v>439</v>
      </c>
      <c r="T553" t="s">
        <v>565</v>
      </c>
      <c r="U553">
        <v>2.3644135450450868E-2</v>
      </c>
      <c r="V553" t="s">
        <v>162</v>
      </c>
    </row>
    <row r="554" spans="9:22" x14ac:dyDescent="0.45">
      <c r="I554" t="s">
        <v>215</v>
      </c>
      <c r="J554" t="s">
        <v>566</v>
      </c>
      <c r="K554">
        <v>0.30323767092252002</v>
      </c>
      <c r="L554" t="s">
        <v>162</v>
      </c>
      <c r="N554" t="s">
        <v>327</v>
      </c>
      <c r="O554" t="s">
        <v>566</v>
      </c>
      <c r="P554">
        <v>0.11738602897415858</v>
      </c>
      <c r="Q554" t="s">
        <v>162</v>
      </c>
      <c r="S554" t="s">
        <v>439</v>
      </c>
      <c r="T554" t="s">
        <v>566</v>
      </c>
      <c r="U554">
        <v>0.10590174115815505</v>
      </c>
      <c r="V554" t="s">
        <v>162</v>
      </c>
    </row>
    <row r="555" spans="9:22" x14ac:dyDescent="0.45">
      <c r="I555" t="s">
        <v>215</v>
      </c>
      <c r="J555" t="s">
        <v>567</v>
      </c>
      <c r="K555">
        <v>1.055027989932172E-2</v>
      </c>
      <c r="L555" t="s">
        <v>162</v>
      </c>
      <c r="N555" t="s">
        <v>327</v>
      </c>
      <c r="O555" t="s">
        <v>567</v>
      </c>
      <c r="P555">
        <v>0.1097250504149373</v>
      </c>
      <c r="Q555" t="s">
        <v>162</v>
      </c>
      <c r="S555" t="s">
        <v>439</v>
      </c>
      <c r="T555" t="s">
        <v>567</v>
      </c>
      <c r="U555">
        <v>0.10946033081628076</v>
      </c>
      <c r="V555" t="s">
        <v>162</v>
      </c>
    </row>
    <row r="556" spans="9:22" x14ac:dyDescent="0.45">
      <c r="I556" t="s">
        <v>215</v>
      </c>
      <c r="J556" t="s">
        <v>568</v>
      </c>
      <c r="K556">
        <v>3.0256479343401158E-2</v>
      </c>
      <c r="L556" t="s">
        <v>162</v>
      </c>
      <c r="N556" t="s">
        <v>327</v>
      </c>
      <c r="O556" t="s">
        <v>568</v>
      </c>
      <c r="P556">
        <v>2.1010924092213317E-2</v>
      </c>
      <c r="Q556" t="s">
        <v>162</v>
      </c>
      <c r="S556" t="s">
        <v>439</v>
      </c>
      <c r="T556" t="s">
        <v>568</v>
      </c>
      <c r="U556">
        <v>2.0498758620543178E-2</v>
      </c>
      <c r="V556" t="s">
        <v>162</v>
      </c>
    </row>
    <row r="557" spans="9:22" x14ac:dyDescent="0.45">
      <c r="I557" t="s">
        <v>215</v>
      </c>
      <c r="J557" t="s">
        <v>569</v>
      </c>
      <c r="K557">
        <v>0.31293290129497503</v>
      </c>
      <c r="L557" t="s">
        <v>162</v>
      </c>
      <c r="N557" t="s">
        <v>327</v>
      </c>
      <c r="O557" t="s">
        <v>569</v>
      </c>
      <c r="P557">
        <v>6.3880284488823699E-2</v>
      </c>
      <c r="Q557" t="s">
        <v>162</v>
      </c>
      <c r="S557" t="s">
        <v>439</v>
      </c>
      <c r="T557" t="s">
        <v>569</v>
      </c>
      <c r="U557">
        <v>0.12685349924247052</v>
      </c>
      <c r="V557" t="s">
        <v>162</v>
      </c>
    </row>
    <row r="558" spans="9:22" x14ac:dyDescent="0.45">
      <c r="I558" t="s">
        <v>215</v>
      </c>
      <c r="J558" t="s">
        <v>570</v>
      </c>
      <c r="K558">
        <v>2.8149340546376331E-2</v>
      </c>
      <c r="L558" t="s">
        <v>162</v>
      </c>
      <c r="N558" t="s">
        <v>327</v>
      </c>
      <c r="O558" t="s">
        <v>570</v>
      </c>
      <c r="P558">
        <v>5.4850901421671455E-2</v>
      </c>
      <c r="Q558" t="s">
        <v>162</v>
      </c>
      <c r="S558" t="s">
        <v>439</v>
      </c>
      <c r="T558" t="s">
        <v>570</v>
      </c>
      <c r="U558">
        <v>0.1166932651783389</v>
      </c>
      <c r="V558" t="s">
        <v>162</v>
      </c>
    </row>
    <row r="559" spans="9:22" x14ac:dyDescent="0.45">
      <c r="I559" t="s">
        <v>215</v>
      </c>
      <c r="J559" t="s">
        <v>571</v>
      </c>
      <c r="K559">
        <v>3.5847108898988934E-2</v>
      </c>
      <c r="L559" t="s">
        <v>162</v>
      </c>
      <c r="N559" t="s">
        <v>327</v>
      </c>
      <c r="O559" t="s">
        <v>571</v>
      </c>
      <c r="P559">
        <v>1.3355583147317857E-2</v>
      </c>
      <c r="Q559" t="s">
        <v>162</v>
      </c>
      <c r="S559" t="s">
        <v>439</v>
      </c>
      <c r="T559" t="s">
        <v>571</v>
      </c>
      <c r="U559">
        <v>2.1244670247018371E-2</v>
      </c>
      <c r="V559" t="s">
        <v>162</v>
      </c>
    </row>
    <row r="560" spans="9:22" x14ac:dyDescent="0.45">
      <c r="I560" t="s">
        <v>215</v>
      </c>
      <c r="J560" t="s">
        <v>572</v>
      </c>
      <c r="K560">
        <v>9.4016502107691247E-2</v>
      </c>
      <c r="L560" t="s">
        <v>162</v>
      </c>
      <c r="N560" t="s">
        <v>327</v>
      </c>
      <c r="O560" t="s">
        <v>572</v>
      </c>
      <c r="P560">
        <v>0.16291638944141693</v>
      </c>
      <c r="Q560" t="s">
        <v>162</v>
      </c>
      <c r="S560" t="s">
        <v>439</v>
      </c>
      <c r="T560" t="s">
        <v>572</v>
      </c>
      <c r="U560">
        <v>0.10011093718552795</v>
      </c>
      <c r="V560" t="s">
        <v>162</v>
      </c>
    </row>
    <row r="561" spans="9:22" x14ac:dyDescent="0.45">
      <c r="I561" t="s">
        <v>215</v>
      </c>
      <c r="J561" t="s">
        <v>573</v>
      </c>
      <c r="K561">
        <v>0</v>
      </c>
      <c r="L561" t="s">
        <v>162</v>
      </c>
      <c r="N561" t="s">
        <v>327</v>
      </c>
      <c r="O561" t="s">
        <v>573</v>
      </c>
      <c r="P561">
        <v>0.16830803914383369</v>
      </c>
      <c r="Q561" t="s">
        <v>162</v>
      </c>
      <c r="S561" t="s">
        <v>439</v>
      </c>
      <c r="T561" t="s">
        <v>573</v>
      </c>
      <c r="U561">
        <v>9.9937654457582847E-2</v>
      </c>
      <c r="V561" t="s">
        <v>162</v>
      </c>
    </row>
    <row r="562" spans="9:22" x14ac:dyDescent="0.45">
      <c r="I562" t="s">
        <v>215</v>
      </c>
      <c r="J562" t="s">
        <v>574</v>
      </c>
      <c r="K562">
        <v>4.8109119783756388E-4</v>
      </c>
      <c r="L562" t="s">
        <v>162</v>
      </c>
      <c r="N562" t="s">
        <v>327</v>
      </c>
      <c r="O562" t="s">
        <v>574</v>
      </c>
      <c r="P562">
        <v>3.0793013177112524E-2</v>
      </c>
      <c r="Q562" t="s">
        <v>162</v>
      </c>
      <c r="S562" t="s">
        <v>439</v>
      </c>
      <c r="T562" t="s">
        <v>574</v>
      </c>
      <c r="U562">
        <v>1.8435864941958913E-2</v>
      </c>
      <c r="V562" t="s">
        <v>162</v>
      </c>
    </row>
    <row r="563" spans="9:22" x14ac:dyDescent="0.45">
      <c r="I563" t="s">
        <v>216</v>
      </c>
      <c r="J563" t="s">
        <v>563</v>
      </c>
      <c r="K563">
        <v>0.17274711757658773</v>
      </c>
      <c r="L563" t="s">
        <v>162</v>
      </c>
      <c r="N563" t="s">
        <v>328</v>
      </c>
      <c r="O563" t="s">
        <v>563</v>
      </c>
      <c r="P563">
        <v>9.7892340248228377E-2</v>
      </c>
      <c r="Q563" t="s">
        <v>162</v>
      </c>
      <c r="S563" t="s">
        <v>440</v>
      </c>
      <c r="T563" t="s">
        <v>563</v>
      </c>
      <c r="U563">
        <v>0.13799108491377776</v>
      </c>
      <c r="V563" t="s">
        <v>162</v>
      </c>
    </row>
    <row r="564" spans="9:22" x14ac:dyDescent="0.45">
      <c r="I564" t="s">
        <v>216</v>
      </c>
      <c r="J564" t="s">
        <v>564</v>
      </c>
      <c r="K564">
        <v>8.8248083234761015E-4</v>
      </c>
      <c r="L564" t="s">
        <v>162</v>
      </c>
      <c r="N564" t="s">
        <v>328</v>
      </c>
      <c r="O564" t="s">
        <v>564</v>
      </c>
      <c r="P564">
        <v>0.1289933848073723</v>
      </c>
      <c r="Q564" t="s">
        <v>162</v>
      </c>
      <c r="S564" t="s">
        <v>440</v>
      </c>
      <c r="T564" t="s">
        <v>564</v>
      </c>
      <c r="U564">
        <v>0.13658741952321757</v>
      </c>
      <c r="V564" t="s">
        <v>162</v>
      </c>
    </row>
    <row r="565" spans="9:22" x14ac:dyDescent="0.45">
      <c r="I565" t="s">
        <v>216</v>
      </c>
      <c r="J565" t="s">
        <v>565</v>
      </c>
      <c r="K565">
        <v>1.5323831872839993E-2</v>
      </c>
      <c r="L565" t="s">
        <v>162</v>
      </c>
      <c r="N565" t="s">
        <v>328</v>
      </c>
      <c r="O565" t="s">
        <v>565</v>
      </c>
      <c r="P565">
        <v>1.9925280607328857E-2</v>
      </c>
      <c r="Q565" t="s">
        <v>162</v>
      </c>
      <c r="S565" t="s">
        <v>440</v>
      </c>
      <c r="T565" t="s">
        <v>565</v>
      </c>
      <c r="U565">
        <v>2.501855387248849E-2</v>
      </c>
      <c r="V565" t="s">
        <v>162</v>
      </c>
    </row>
    <row r="566" spans="9:22" x14ac:dyDescent="0.45">
      <c r="I566" t="s">
        <v>216</v>
      </c>
      <c r="J566" t="s">
        <v>566</v>
      </c>
      <c r="K566">
        <v>0.2827132397293145</v>
      </c>
      <c r="L566" t="s">
        <v>162</v>
      </c>
      <c r="N566" t="s">
        <v>328</v>
      </c>
      <c r="O566" t="s">
        <v>566</v>
      </c>
      <c r="P566">
        <v>0.10453640272670368</v>
      </c>
      <c r="Q566" t="s">
        <v>162</v>
      </c>
      <c r="S566" t="s">
        <v>440</v>
      </c>
      <c r="T566" t="s">
        <v>566</v>
      </c>
      <c r="U566">
        <v>9.2772982825634898E-2</v>
      </c>
      <c r="V566" t="s">
        <v>162</v>
      </c>
    </row>
    <row r="567" spans="9:22" x14ac:dyDescent="0.45">
      <c r="I567" t="s">
        <v>216</v>
      </c>
      <c r="J567" t="s">
        <v>567</v>
      </c>
      <c r="K567">
        <v>1.2642115675513705E-2</v>
      </c>
      <c r="L567" t="s">
        <v>162</v>
      </c>
      <c r="N567" t="s">
        <v>328</v>
      </c>
      <c r="O567" t="s">
        <v>567</v>
      </c>
      <c r="P567">
        <v>0.14366097104481329</v>
      </c>
      <c r="Q567" t="s">
        <v>162</v>
      </c>
      <c r="S567" t="s">
        <v>440</v>
      </c>
      <c r="T567" t="s">
        <v>567</v>
      </c>
      <c r="U567">
        <v>0.10312637127160469</v>
      </c>
      <c r="V567" t="s">
        <v>162</v>
      </c>
    </row>
    <row r="568" spans="9:22" x14ac:dyDescent="0.45">
      <c r="I568" t="s">
        <v>216</v>
      </c>
      <c r="J568" t="s">
        <v>568</v>
      </c>
      <c r="K568">
        <v>3.9843036389599067E-2</v>
      </c>
      <c r="L568" t="s">
        <v>162</v>
      </c>
      <c r="N568" t="s">
        <v>328</v>
      </c>
      <c r="O568" t="s">
        <v>568</v>
      </c>
      <c r="P568">
        <v>2.0150605077851911E-2</v>
      </c>
      <c r="Q568" t="s">
        <v>162</v>
      </c>
      <c r="S568" t="s">
        <v>440</v>
      </c>
      <c r="T568" t="s">
        <v>568</v>
      </c>
      <c r="U568">
        <v>1.82280707386967E-2</v>
      </c>
      <c r="V568" t="s">
        <v>162</v>
      </c>
    </row>
    <row r="569" spans="9:22" x14ac:dyDescent="0.45">
      <c r="I569" t="s">
        <v>216</v>
      </c>
      <c r="J569" t="s">
        <v>569</v>
      </c>
      <c r="K569">
        <v>0.30607268503817481</v>
      </c>
      <c r="L569" t="s">
        <v>162</v>
      </c>
      <c r="N569" t="s">
        <v>328</v>
      </c>
      <c r="O569" t="s">
        <v>569</v>
      </c>
      <c r="P569">
        <v>6.1607578671884412E-2</v>
      </c>
      <c r="Q569" t="s">
        <v>162</v>
      </c>
      <c r="S569" t="s">
        <v>440</v>
      </c>
      <c r="T569" t="s">
        <v>569</v>
      </c>
      <c r="U569">
        <v>0.12159962226824883</v>
      </c>
      <c r="V569" t="s">
        <v>162</v>
      </c>
    </row>
    <row r="570" spans="9:22" x14ac:dyDescent="0.45">
      <c r="I570" t="s">
        <v>216</v>
      </c>
      <c r="J570" t="s">
        <v>570</v>
      </c>
      <c r="K570">
        <v>2.7907148851480056E-2</v>
      </c>
      <c r="L570" t="s">
        <v>162</v>
      </c>
      <c r="N570" t="s">
        <v>328</v>
      </c>
      <c r="O570" t="s">
        <v>570</v>
      </c>
      <c r="P570">
        <v>9.3537375272285783E-2</v>
      </c>
      <c r="Q570" t="s">
        <v>162</v>
      </c>
      <c r="S570" t="s">
        <v>440</v>
      </c>
      <c r="T570" t="s">
        <v>570</v>
      </c>
      <c r="U570">
        <v>0.12959509359760518</v>
      </c>
      <c r="V570" t="s">
        <v>162</v>
      </c>
    </row>
    <row r="571" spans="9:22" x14ac:dyDescent="0.45">
      <c r="I571" t="s">
        <v>216</v>
      </c>
      <c r="J571" t="s">
        <v>571</v>
      </c>
      <c r="K571">
        <v>4.2941733714758526E-2</v>
      </c>
      <c r="L571" t="s">
        <v>162</v>
      </c>
      <c r="N571" t="s">
        <v>328</v>
      </c>
      <c r="O571" t="s">
        <v>571</v>
      </c>
      <c r="P571">
        <v>1.1405291039377225E-2</v>
      </c>
      <c r="Q571" t="s">
        <v>162</v>
      </c>
      <c r="S571" t="s">
        <v>440</v>
      </c>
      <c r="T571" t="s">
        <v>571</v>
      </c>
      <c r="U571">
        <v>2.3068154756240276E-2</v>
      </c>
      <c r="V571" t="s">
        <v>162</v>
      </c>
    </row>
    <row r="572" spans="9:22" x14ac:dyDescent="0.45">
      <c r="I572" t="s">
        <v>216</v>
      </c>
      <c r="J572" t="s">
        <v>572</v>
      </c>
      <c r="K572">
        <v>9.5870356448634161E-2</v>
      </c>
      <c r="L572" t="s">
        <v>162</v>
      </c>
      <c r="N572" t="s">
        <v>328</v>
      </c>
      <c r="O572" t="s">
        <v>572</v>
      </c>
      <c r="P572">
        <v>0.1347280666598441</v>
      </c>
      <c r="Q572" t="s">
        <v>162</v>
      </c>
      <c r="S572" t="s">
        <v>440</v>
      </c>
      <c r="T572" t="s">
        <v>572</v>
      </c>
      <c r="U572">
        <v>9.6774326584900025E-2</v>
      </c>
      <c r="V572" t="s">
        <v>162</v>
      </c>
    </row>
    <row r="573" spans="9:22" x14ac:dyDescent="0.45">
      <c r="I573" t="s">
        <v>216</v>
      </c>
      <c r="J573" t="s">
        <v>573</v>
      </c>
      <c r="K573">
        <v>0</v>
      </c>
      <c r="L573" t="s">
        <v>162</v>
      </c>
      <c r="N573" t="s">
        <v>328</v>
      </c>
      <c r="O573" t="s">
        <v>573</v>
      </c>
      <c r="P573">
        <v>0.15814334025633467</v>
      </c>
      <c r="Q573" t="s">
        <v>162</v>
      </c>
      <c r="S573" t="s">
        <v>440</v>
      </c>
      <c r="T573" t="s">
        <v>573</v>
      </c>
      <c r="U573">
        <v>9.7333974765954845E-2</v>
      </c>
      <c r="V573" t="s">
        <v>162</v>
      </c>
    </row>
    <row r="574" spans="9:22" x14ac:dyDescent="0.45">
      <c r="I574" t="s">
        <v>216</v>
      </c>
      <c r="J574" t="s">
        <v>574</v>
      </c>
      <c r="K574">
        <v>3.0562538707490086E-3</v>
      </c>
      <c r="L574" t="s">
        <v>162</v>
      </c>
      <c r="N574" t="s">
        <v>328</v>
      </c>
      <c r="O574" t="s">
        <v>574</v>
      </c>
      <c r="P574">
        <v>2.5419363587978284E-2</v>
      </c>
      <c r="Q574" t="s">
        <v>162</v>
      </c>
      <c r="S574" t="s">
        <v>440</v>
      </c>
      <c r="T574" t="s">
        <v>574</v>
      </c>
      <c r="U574">
        <v>1.7904344881629619E-2</v>
      </c>
      <c r="V574" t="s">
        <v>162</v>
      </c>
    </row>
    <row r="575" spans="9:22" x14ac:dyDescent="0.45">
      <c r="I575" t="s">
        <v>217</v>
      </c>
      <c r="J575" t="s">
        <v>563</v>
      </c>
      <c r="K575">
        <v>0.19192156514359424</v>
      </c>
      <c r="L575" t="s">
        <v>162</v>
      </c>
      <c r="N575" t="s">
        <v>329</v>
      </c>
      <c r="O575" t="s">
        <v>563</v>
      </c>
      <c r="P575">
        <v>9.331386322912591E-2</v>
      </c>
      <c r="Q575" t="s">
        <v>162</v>
      </c>
      <c r="S575" t="s">
        <v>441</v>
      </c>
      <c r="T575" t="s">
        <v>563</v>
      </c>
      <c r="U575">
        <v>0.13940646878330162</v>
      </c>
      <c r="V575" t="s">
        <v>162</v>
      </c>
    </row>
    <row r="576" spans="9:22" x14ac:dyDescent="0.45">
      <c r="I576" t="s">
        <v>217</v>
      </c>
      <c r="J576" t="s">
        <v>564</v>
      </c>
      <c r="K576">
        <v>0</v>
      </c>
      <c r="L576" t="s">
        <v>162</v>
      </c>
      <c r="N576" t="s">
        <v>329</v>
      </c>
      <c r="O576" t="s">
        <v>564</v>
      </c>
      <c r="P576">
        <v>0.1237631085811956</v>
      </c>
      <c r="Q576" t="s">
        <v>162</v>
      </c>
      <c r="S576" t="s">
        <v>441</v>
      </c>
      <c r="T576" t="s">
        <v>564</v>
      </c>
      <c r="U576">
        <v>0.14048107187394671</v>
      </c>
      <c r="V576" t="s">
        <v>162</v>
      </c>
    </row>
    <row r="577" spans="9:22" x14ac:dyDescent="0.45">
      <c r="I577" t="s">
        <v>217</v>
      </c>
      <c r="J577" t="s">
        <v>565</v>
      </c>
      <c r="K577">
        <v>7.6459203922445143E-3</v>
      </c>
      <c r="L577" t="s">
        <v>162</v>
      </c>
      <c r="N577" t="s">
        <v>329</v>
      </c>
      <c r="O577" t="s">
        <v>565</v>
      </c>
      <c r="P577">
        <v>2.0202434143704453E-2</v>
      </c>
      <c r="Q577" t="s">
        <v>162</v>
      </c>
      <c r="S577" t="s">
        <v>441</v>
      </c>
      <c r="T577" t="s">
        <v>565</v>
      </c>
      <c r="U577">
        <v>2.5861001044424445E-2</v>
      </c>
      <c r="V577" t="s">
        <v>162</v>
      </c>
    </row>
    <row r="578" spans="9:22" x14ac:dyDescent="0.45">
      <c r="I578" t="s">
        <v>217</v>
      </c>
      <c r="J578" t="s">
        <v>566</v>
      </c>
      <c r="K578">
        <v>0.29016830266142585</v>
      </c>
      <c r="L578" t="s">
        <v>162</v>
      </c>
      <c r="N578" t="s">
        <v>329</v>
      </c>
      <c r="O578" t="s">
        <v>566</v>
      </c>
      <c r="P578">
        <v>0.11256356188938438</v>
      </c>
      <c r="Q578" t="s">
        <v>162</v>
      </c>
      <c r="S578" t="s">
        <v>441</v>
      </c>
      <c r="T578" t="s">
        <v>566</v>
      </c>
      <c r="U578">
        <v>8.8704599753569494E-2</v>
      </c>
      <c r="V578" t="s">
        <v>162</v>
      </c>
    </row>
    <row r="579" spans="9:22" x14ac:dyDescent="0.45">
      <c r="I579" t="s">
        <v>217</v>
      </c>
      <c r="J579" t="s">
        <v>567</v>
      </c>
      <c r="K579">
        <v>7.2806342835913399E-3</v>
      </c>
      <c r="L579" t="s">
        <v>162</v>
      </c>
      <c r="N579" t="s">
        <v>329</v>
      </c>
      <c r="O579" t="s">
        <v>567</v>
      </c>
      <c r="P579">
        <v>0.12484355440816584</v>
      </c>
      <c r="Q579" t="s">
        <v>162</v>
      </c>
      <c r="S579" t="s">
        <v>441</v>
      </c>
      <c r="T579" t="s">
        <v>567</v>
      </c>
      <c r="U579">
        <v>9.5374597689236645E-2</v>
      </c>
      <c r="V579" t="s">
        <v>162</v>
      </c>
    </row>
    <row r="580" spans="9:22" x14ac:dyDescent="0.45">
      <c r="I580" t="s">
        <v>217</v>
      </c>
      <c r="J580" t="s">
        <v>568</v>
      </c>
      <c r="K580">
        <v>2.9237133842869953E-2</v>
      </c>
      <c r="L580" t="s">
        <v>162</v>
      </c>
      <c r="N580" t="s">
        <v>329</v>
      </c>
      <c r="O580" t="s">
        <v>568</v>
      </c>
      <c r="P580">
        <v>2.164014960331757E-2</v>
      </c>
      <c r="Q580" t="s">
        <v>162</v>
      </c>
      <c r="S580" t="s">
        <v>441</v>
      </c>
      <c r="T580" t="s">
        <v>568</v>
      </c>
      <c r="U580">
        <v>1.6825009426902075E-2</v>
      </c>
      <c r="V580" t="s">
        <v>162</v>
      </c>
    </row>
    <row r="581" spans="9:22" x14ac:dyDescent="0.45">
      <c r="I581" t="s">
        <v>217</v>
      </c>
      <c r="J581" t="s">
        <v>569</v>
      </c>
      <c r="K581">
        <v>0.3178627263732095</v>
      </c>
      <c r="L581" t="s">
        <v>162</v>
      </c>
      <c r="N581" t="s">
        <v>329</v>
      </c>
      <c r="O581" t="s">
        <v>569</v>
      </c>
      <c r="P581">
        <v>6.5069473168297684E-2</v>
      </c>
      <c r="Q581" t="s">
        <v>162</v>
      </c>
      <c r="S581" t="s">
        <v>441</v>
      </c>
      <c r="T581" t="s">
        <v>569</v>
      </c>
      <c r="U581">
        <v>0.13014812139228571</v>
      </c>
      <c r="V581" t="s">
        <v>162</v>
      </c>
    </row>
    <row r="582" spans="9:22" x14ac:dyDescent="0.45">
      <c r="I582" t="s">
        <v>217</v>
      </c>
      <c r="J582" t="s">
        <v>570</v>
      </c>
      <c r="K582">
        <v>2.041263379830327E-2</v>
      </c>
      <c r="L582" t="s">
        <v>162</v>
      </c>
      <c r="N582" t="s">
        <v>329</v>
      </c>
      <c r="O582" t="s">
        <v>570</v>
      </c>
      <c r="P582">
        <v>8.1143979257420104E-2</v>
      </c>
      <c r="Q582" t="s">
        <v>162</v>
      </c>
      <c r="S582" t="s">
        <v>441</v>
      </c>
      <c r="T582" t="s">
        <v>570</v>
      </c>
      <c r="U582">
        <v>0.13594935378592335</v>
      </c>
      <c r="V582" t="s">
        <v>162</v>
      </c>
    </row>
    <row r="583" spans="9:22" x14ac:dyDescent="0.45">
      <c r="I583" t="s">
        <v>217</v>
      </c>
      <c r="J583" t="s">
        <v>571</v>
      </c>
      <c r="K583">
        <v>3.9918533129941702E-2</v>
      </c>
      <c r="L583" t="s">
        <v>162</v>
      </c>
      <c r="N583" t="s">
        <v>329</v>
      </c>
      <c r="O583" t="s">
        <v>571</v>
      </c>
      <c r="P583">
        <v>1.1628776701096348E-2</v>
      </c>
      <c r="Q583" t="s">
        <v>162</v>
      </c>
      <c r="S583" t="s">
        <v>441</v>
      </c>
      <c r="T583" t="s">
        <v>571</v>
      </c>
      <c r="U583">
        <v>2.4584446542979622E-2</v>
      </c>
      <c r="V583" t="s">
        <v>162</v>
      </c>
    </row>
    <row r="584" spans="9:22" x14ac:dyDescent="0.45">
      <c r="I584" t="s">
        <v>217</v>
      </c>
      <c r="J584" t="s">
        <v>572</v>
      </c>
      <c r="K584">
        <v>9.4878515856936116E-2</v>
      </c>
      <c r="L584" t="s">
        <v>162</v>
      </c>
      <c r="N584" t="s">
        <v>329</v>
      </c>
      <c r="O584" t="s">
        <v>572</v>
      </c>
      <c r="P584">
        <v>0.14989901041502296</v>
      </c>
      <c r="Q584" t="s">
        <v>162</v>
      </c>
      <c r="S584" t="s">
        <v>441</v>
      </c>
      <c r="T584" t="s">
        <v>572</v>
      </c>
      <c r="U584">
        <v>9.2711705539418959E-2</v>
      </c>
      <c r="V584" t="s">
        <v>162</v>
      </c>
    </row>
    <row r="585" spans="9:22" x14ac:dyDescent="0.45">
      <c r="I585" t="s">
        <v>217</v>
      </c>
      <c r="J585" t="s">
        <v>573</v>
      </c>
      <c r="K585">
        <v>0</v>
      </c>
      <c r="L585" t="s">
        <v>162</v>
      </c>
      <c r="N585" t="s">
        <v>329</v>
      </c>
      <c r="O585" t="s">
        <v>573</v>
      </c>
      <c r="P585">
        <v>0.168063197707331</v>
      </c>
      <c r="Q585" t="s">
        <v>162</v>
      </c>
      <c r="S585" t="s">
        <v>441</v>
      </c>
      <c r="T585" t="s">
        <v>573</v>
      </c>
      <c r="U585">
        <v>9.3366766682481228E-2</v>
      </c>
      <c r="V585" t="s">
        <v>162</v>
      </c>
    </row>
    <row r="586" spans="9:22" x14ac:dyDescent="0.45">
      <c r="I586" t="s">
        <v>217</v>
      </c>
      <c r="J586" t="s">
        <v>574</v>
      </c>
      <c r="K586">
        <v>6.7403451788278961E-4</v>
      </c>
      <c r="L586" t="s">
        <v>162</v>
      </c>
      <c r="N586" t="s">
        <v>329</v>
      </c>
      <c r="O586" t="s">
        <v>574</v>
      </c>
      <c r="P586">
        <v>2.7868890895937574E-2</v>
      </c>
      <c r="Q586" t="s">
        <v>162</v>
      </c>
      <c r="S586" t="s">
        <v>441</v>
      </c>
      <c r="T586" t="s">
        <v>574</v>
      </c>
      <c r="U586">
        <v>1.6586857485526733E-2</v>
      </c>
      <c r="V586" t="s">
        <v>162</v>
      </c>
    </row>
    <row r="587" spans="9:22" x14ac:dyDescent="0.45">
      <c r="I587" t="s">
        <v>218</v>
      </c>
      <c r="J587" t="s">
        <v>563</v>
      </c>
      <c r="K587">
        <v>0.17883261420177868</v>
      </c>
      <c r="L587" t="s">
        <v>162</v>
      </c>
      <c r="N587" t="s">
        <v>330</v>
      </c>
      <c r="O587" t="s">
        <v>563</v>
      </c>
      <c r="P587">
        <v>0.10291034730425803</v>
      </c>
      <c r="Q587" t="s">
        <v>162</v>
      </c>
      <c r="S587" t="s">
        <v>442</v>
      </c>
      <c r="T587" t="s">
        <v>563</v>
      </c>
      <c r="U587">
        <v>0.14007134230493321</v>
      </c>
      <c r="V587" t="s">
        <v>162</v>
      </c>
    </row>
    <row r="588" spans="9:22" x14ac:dyDescent="0.45">
      <c r="I588" t="s">
        <v>218</v>
      </c>
      <c r="J588" t="s">
        <v>564</v>
      </c>
      <c r="K588">
        <v>3.8700264586671455E-4</v>
      </c>
      <c r="L588" t="s">
        <v>162</v>
      </c>
      <c r="N588" t="s">
        <v>330</v>
      </c>
      <c r="O588" t="s">
        <v>564</v>
      </c>
      <c r="P588">
        <v>0.13220136138269453</v>
      </c>
      <c r="Q588" t="s">
        <v>162</v>
      </c>
      <c r="S588" t="s">
        <v>442</v>
      </c>
      <c r="T588" t="s">
        <v>564</v>
      </c>
      <c r="U588">
        <v>0.13749641235227322</v>
      </c>
      <c r="V588" t="s">
        <v>162</v>
      </c>
    </row>
    <row r="589" spans="9:22" x14ac:dyDescent="0.45">
      <c r="I589" t="s">
        <v>218</v>
      </c>
      <c r="J589" t="s">
        <v>565</v>
      </c>
      <c r="K589">
        <v>1.4884393214487892E-2</v>
      </c>
      <c r="L589" t="s">
        <v>162</v>
      </c>
      <c r="N589" t="s">
        <v>330</v>
      </c>
      <c r="O589" t="s">
        <v>565</v>
      </c>
      <c r="P589">
        <v>2.3585856702338235E-2</v>
      </c>
      <c r="Q589" t="s">
        <v>162</v>
      </c>
      <c r="S589" t="s">
        <v>442</v>
      </c>
      <c r="T589" t="s">
        <v>565</v>
      </c>
      <c r="U589">
        <v>2.5853894831529733E-2</v>
      </c>
      <c r="V589" t="s">
        <v>162</v>
      </c>
    </row>
    <row r="590" spans="9:22" x14ac:dyDescent="0.45">
      <c r="I590" t="s">
        <v>218</v>
      </c>
      <c r="J590" t="s">
        <v>566</v>
      </c>
      <c r="K590">
        <v>0.26735473890662509</v>
      </c>
      <c r="L590" t="s">
        <v>162</v>
      </c>
      <c r="N590" t="s">
        <v>330</v>
      </c>
      <c r="O590" t="s">
        <v>566</v>
      </c>
      <c r="P590">
        <v>0.10192519614330096</v>
      </c>
      <c r="Q590" t="s">
        <v>162</v>
      </c>
      <c r="S590" t="s">
        <v>442</v>
      </c>
      <c r="T590" t="s">
        <v>566</v>
      </c>
      <c r="U590">
        <v>8.2211687902902078E-2</v>
      </c>
      <c r="V590" t="s">
        <v>162</v>
      </c>
    </row>
    <row r="591" spans="9:22" x14ac:dyDescent="0.45">
      <c r="I591" t="s">
        <v>218</v>
      </c>
      <c r="J591" t="s">
        <v>567</v>
      </c>
      <c r="K591">
        <v>9.5652771357045956E-3</v>
      </c>
      <c r="L591" t="s">
        <v>162</v>
      </c>
      <c r="N591" t="s">
        <v>330</v>
      </c>
      <c r="O591" t="s">
        <v>567</v>
      </c>
      <c r="P591">
        <v>0.13511139781796436</v>
      </c>
      <c r="Q591" t="s">
        <v>162</v>
      </c>
      <c r="S591" t="s">
        <v>442</v>
      </c>
      <c r="T591" t="s">
        <v>567</v>
      </c>
      <c r="U591">
        <v>8.9068799799114098E-2</v>
      </c>
      <c r="V591" t="s">
        <v>162</v>
      </c>
    </row>
    <row r="592" spans="9:22" x14ac:dyDescent="0.45">
      <c r="I592" t="s">
        <v>218</v>
      </c>
      <c r="J592" t="s">
        <v>568</v>
      </c>
      <c r="K592">
        <v>3.5989170457820477E-2</v>
      </c>
      <c r="L592" t="s">
        <v>162</v>
      </c>
      <c r="N592" t="s">
        <v>330</v>
      </c>
      <c r="O592" t="s">
        <v>568</v>
      </c>
      <c r="P592">
        <v>2.0101946491703909E-2</v>
      </c>
      <c r="Q592" t="s">
        <v>162</v>
      </c>
      <c r="S592" t="s">
        <v>442</v>
      </c>
      <c r="T592" t="s">
        <v>568</v>
      </c>
      <c r="U592">
        <v>1.5252596598735834E-2</v>
      </c>
      <c r="V592" t="s">
        <v>162</v>
      </c>
    </row>
    <row r="593" spans="9:22" x14ac:dyDescent="0.45">
      <c r="I593" t="s">
        <v>218</v>
      </c>
      <c r="J593" t="s">
        <v>569</v>
      </c>
      <c r="K593">
        <v>0.30872285704261931</v>
      </c>
      <c r="L593" t="s">
        <v>162</v>
      </c>
      <c r="N593" t="s">
        <v>330</v>
      </c>
      <c r="O593" t="s">
        <v>569</v>
      </c>
      <c r="P593">
        <v>5.5367342888094272E-2</v>
      </c>
      <c r="Q593" t="s">
        <v>162</v>
      </c>
      <c r="S593" t="s">
        <v>442</v>
      </c>
      <c r="T593" t="s">
        <v>569</v>
      </c>
      <c r="U593">
        <v>0.1209553478251293</v>
      </c>
      <c r="V593" t="s">
        <v>162</v>
      </c>
    </row>
    <row r="594" spans="9:22" x14ac:dyDescent="0.45">
      <c r="I594" t="s">
        <v>218</v>
      </c>
      <c r="J594" t="s">
        <v>570</v>
      </c>
      <c r="K594">
        <v>2.6067468849147901E-2</v>
      </c>
      <c r="L594" t="s">
        <v>162</v>
      </c>
      <c r="N594" t="s">
        <v>330</v>
      </c>
      <c r="O594" t="s">
        <v>570</v>
      </c>
      <c r="P594">
        <v>9.8042462444852624E-2</v>
      </c>
      <c r="Q594" t="s">
        <v>162</v>
      </c>
      <c r="S594" t="s">
        <v>442</v>
      </c>
      <c r="T594" t="s">
        <v>570</v>
      </c>
      <c r="U594">
        <v>0.13228241690485848</v>
      </c>
      <c r="V594" t="s">
        <v>162</v>
      </c>
    </row>
    <row r="595" spans="9:22" x14ac:dyDescent="0.45">
      <c r="I595" t="s">
        <v>218</v>
      </c>
      <c r="J595" t="s">
        <v>571</v>
      </c>
      <c r="K595">
        <v>4.4183371953182192E-2</v>
      </c>
      <c r="L595" t="s">
        <v>162</v>
      </c>
      <c r="N595" t="s">
        <v>330</v>
      </c>
      <c r="O595" t="s">
        <v>571</v>
      </c>
      <c r="P595">
        <v>1.1370093615847968E-2</v>
      </c>
      <c r="Q595" t="s">
        <v>162</v>
      </c>
      <c r="S595" t="s">
        <v>442</v>
      </c>
      <c r="T595" t="s">
        <v>571</v>
      </c>
      <c r="U595">
        <v>2.4012598525769754E-2</v>
      </c>
      <c r="V595" t="s">
        <v>162</v>
      </c>
    </row>
    <row r="596" spans="9:22" x14ac:dyDescent="0.45">
      <c r="I596" t="s">
        <v>218</v>
      </c>
      <c r="J596" t="s">
        <v>572</v>
      </c>
      <c r="K596">
        <v>0.11030980737689496</v>
      </c>
      <c r="L596" t="s">
        <v>162</v>
      </c>
      <c r="N596" t="s">
        <v>330</v>
      </c>
      <c r="O596" t="s">
        <v>572</v>
      </c>
      <c r="P596">
        <v>0.13321651598357617</v>
      </c>
      <c r="Q596" t="s">
        <v>162</v>
      </c>
      <c r="S596" t="s">
        <v>442</v>
      </c>
      <c r="T596" t="s">
        <v>572</v>
      </c>
      <c r="U596">
        <v>0.10582754744533802</v>
      </c>
      <c r="V596" t="s">
        <v>162</v>
      </c>
    </row>
    <row r="597" spans="9:22" x14ac:dyDescent="0.45">
      <c r="I597" t="s">
        <v>218</v>
      </c>
      <c r="J597" t="s">
        <v>573</v>
      </c>
      <c r="K597">
        <v>0</v>
      </c>
      <c r="L597" t="s">
        <v>162</v>
      </c>
      <c r="N597" t="s">
        <v>330</v>
      </c>
      <c r="O597" t="s">
        <v>573</v>
      </c>
      <c r="P597">
        <v>0.16038839908549229</v>
      </c>
      <c r="Q597" t="s">
        <v>162</v>
      </c>
      <c r="S597" t="s">
        <v>442</v>
      </c>
      <c r="T597" t="s">
        <v>573</v>
      </c>
      <c r="U597">
        <v>0.10773679517542367</v>
      </c>
      <c r="V597" t="s">
        <v>162</v>
      </c>
    </row>
    <row r="598" spans="9:22" x14ac:dyDescent="0.45">
      <c r="I598" t="s">
        <v>218</v>
      </c>
      <c r="J598" t="s">
        <v>574</v>
      </c>
      <c r="K598">
        <v>3.7032982158719842E-3</v>
      </c>
      <c r="L598" t="s">
        <v>162</v>
      </c>
      <c r="N598" t="s">
        <v>330</v>
      </c>
      <c r="O598" t="s">
        <v>574</v>
      </c>
      <c r="P598">
        <v>2.5779080139875257E-2</v>
      </c>
      <c r="Q598" t="s">
        <v>162</v>
      </c>
      <c r="S598" t="s">
        <v>442</v>
      </c>
      <c r="T598" t="s">
        <v>574</v>
      </c>
      <c r="U598">
        <v>1.9230560333995658E-2</v>
      </c>
      <c r="V598" t="s">
        <v>162</v>
      </c>
    </row>
    <row r="599" spans="9:22" x14ac:dyDescent="0.45">
      <c r="I599" t="s">
        <v>219</v>
      </c>
      <c r="J599" t="s">
        <v>563</v>
      </c>
      <c r="K599">
        <v>0.19696954535176919</v>
      </c>
      <c r="L599" t="s">
        <v>162</v>
      </c>
      <c r="N599" t="s">
        <v>331</v>
      </c>
      <c r="O599" t="s">
        <v>563</v>
      </c>
      <c r="P599">
        <v>0.10689893818633482</v>
      </c>
      <c r="Q599" t="s">
        <v>162</v>
      </c>
      <c r="S599" t="s">
        <v>443</v>
      </c>
      <c r="T599" t="s">
        <v>563</v>
      </c>
      <c r="U599">
        <v>0.13841629128464328</v>
      </c>
      <c r="V599" t="s">
        <v>162</v>
      </c>
    </row>
    <row r="600" spans="9:22" x14ac:dyDescent="0.45">
      <c r="I600" t="s">
        <v>219</v>
      </c>
      <c r="J600" t="s">
        <v>564</v>
      </c>
      <c r="K600">
        <v>0</v>
      </c>
      <c r="L600" t="s">
        <v>162</v>
      </c>
      <c r="N600" t="s">
        <v>331</v>
      </c>
      <c r="O600" t="s">
        <v>564</v>
      </c>
      <c r="P600">
        <v>0.13212385046646621</v>
      </c>
      <c r="Q600" t="s">
        <v>162</v>
      </c>
      <c r="S600" t="s">
        <v>443</v>
      </c>
      <c r="T600" t="s">
        <v>564</v>
      </c>
      <c r="U600">
        <v>0.13905561977002256</v>
      </c>
      <c r="V600" t="s">
        <v>162</v>
      </c>
    </row>
    <row r="601" spans="9:22" x14ac:dyDescent="0.45">
      <c r="I601" t="s">
        <v>219</v>
      </c>
      <c r="J601" t="s">
        <v>565</v>
      </c>
      <c r="K601">
        <v>6.873547850834336E-3</v>
      </c>
      <c r="L601" t="s">
        <v>162</v>
      </c>
      <c r="N601" t="s">
        <v>331</v>
      </c>
      <c r="O601" t="s">
        <v>565</v>
      </c>
      <c r="P601">
        <v>2.2497990383200921E-2</v>
      </c>
      <c r="Q601" t="s">
        <v>162</v>
      </c>
      <c r="S601" t="s">
        <v>443</v>
      </c>
      <c r="T601" t="s">
        <v>565</v>
      </c>
      <c r="U601">
        <v>2.5010844101141572E-2</v>
      </c>
      <c r="V601" t="s">
        <v>162</v>
      </c>
    </row>
    <row r="602" spans="9:22" x14ac:dyDescent="0.45">
      <c r="I602" t="s">
        <v>219</v>
      </c>
      <c r="J602" t="s">
        <v>566</v>
      </c>
      <c r="K602">
        <v>0.28518332533123808</v>
      </c>
      <c r="L602" t="s">
        <v>162</v>
      </c>
      <c r="N602" t="s">
        <v>331</v>
      </c>
      <c r="O602" t="s">
        <v>566</v>
      </c>
      <c r="P602">
        <v>0.10992058358122667</v>
      </c>
      <c r="Q602" t="s">
        <v>162</v>
      </c>
      <c r="S602" t="s">
        <v>443</v>
      </c>
      <c r="T602" t="s">
        <v>566</v>
      </c>
      <c r="U602">
        <v>7.7753452812798329E-2</v>
      </c>
      <c r="V602" t="s">
        <v>162</v>
      </c>
    </row>
    <row r="603" spans="9:22" x14ac:dyDescent="0.45">
      <c r="I603" t="s">
        <v>219</v>
      </c>
      <c r="J603" t="s">
        <v>567</v>
      </c>
      <c r="K603">
        <v>7.6608053263042802E-3</v>
      </c>
      <c r="L603" t="s">
        <v>162</v>
      </c>
      <c r="N603" t="s">
        <v>331</v>
      </c>
      <c r="O603" t="s">
        <v>567</v>
      </c>
      <c r="P603">
        <v>0.13801379240561135</v>
      </c>
      <c r="Q603" t="s">
        <v>162</v>
      </c>
      <c r="S603" t="s">
        <v>443</v>
      </c>
      <c r="T603" t="s">
        <v>567</v>
      </c>
      <c r="U603">
        <v>8.9993407710964646E-2</v>
      </c>
      <c r="V603" t="s">
        <v>162</v>
      </c>
    </row>
    <row r="604" spans="9:22" x14ac:dyDescent="0.45">
      <c r="I604" t="s">
        <v>219</v>
      </c>
      <c r="J604" t="s">
        <v>568</v>
      </c>
      <c r="K604">
        <v>2.6682564869809827E-2</v>
      </c>
      <c r="L604" t="s">
        <v>162</v>
      </c>
      <c r="N604" t="s">
        <v>331</v>
      </c>
      <c r="O604" t="s">
        <v>568</v>
      </c>
      <c r="P604">
        <v>1.9417523436447794E-2</v>
      </c>
      <c r="Q604" t="s">
        <v>162</v>
      </c>
      <c r="S604" t="s">
        <v>443</v>
      </c>
      <c r="T604" t="s">
        <v>568</v>
      </c>
      <c r="U604">
        <v>1.3713345518274092E-2</v>
      </c>
      <c r="V604" t="s">
        <v>162</v>
      </c>
    </row>
    <row r="605" spans="9:22" x14ac:dyDescent="0.45">
      <c r="I605" t="s">
        <v>219</v>
      </c>
      <c r="J605" t="s">
        <v>569</v>
      </c>
      <c r="K605">
        <v>0.29152757660970297</v>
      </c>
      <c r="L605" t="s">
        <v>162</v>
      </c>
      <c r="N605" t="s">
        <v>331</v>
      </c>
      <c r="O605" t="s">
        <v>569</v>
      </c>
      <c r="P605">
        <v>6.7635154555856072E-2</v>
      </c>
      <c r="Q605" t="s">
        <v>162</v>
      </c>
      <c r="S605" t="s">
        <v>443</v>
      </c>
      <c r="T605" t="s">
        <v>569</v>
      </c>
      <c r="U605">
        <v>0.13089420774767321</v>
      </c>
      <c r="V605" t="s">
        <v>162</v>
      </c>
    </row>
    <row r="606" spans="9:22" x14ac:dyDescent="0.45">
      <c r="I606" t="s">
        <v>219</v>
      </c>
      <c r="J606" t="s">
        <v>570</v>
      </c>
      <c r="K606">
        <v>1.9453344510166011E-2</v>
      </c>
      <c r="L606" t="s">
        <v>162</v>
      </c>
      <c r="N606" t="s">
        <v>331</v>
      </c>
      <c r="O606" t="s">
        <v>570</v>
      </c>
      <c r="P606">
        <v>8.8231253424454245E-2</v>
      </c>
      <c r="Q606" t="s">
        <v>162</v>
      </c>
      <c r="S606" t="s">
        <v>443</v>
      </c>
      <c r="T606" t="s">
        <v>570</v>
      </c>
      <c r="U606">
        <v>0.1422130501480609</v>
      </c>
      <c r="V606" t="s">
        <v>162</v>
      </c>
    </row>
    <row r="607" spans="9:22" x14ac:dyDescent="0.45">
      <c r="I607" t="s">
        <v>219</v>
      </c>
      <c r="J607" t="s">
        <v>571</v>
      </c>
      <c r="K607">
        <v>3.3838426516986687E-2</v>
      </c>
      <c r="L607" t="s">
        <v>162</v>
      </c>
      <c r="N607" t="s">
        <v>331</v>
      </c>
      <c r="O607" t="s">
        <v>571</v>
      </c>
      <c r="P607">
        <v>1.1722001446260646E-2</v>
      </c>
      <c r="Q607" t="s">
        <v>162</v>
      </c>
      <c r="S607" t="s">
        <v>443</v>
      </c>
      <c r="T607" t="s">
        <v>571</v>
      </c>
      <c r="U607">
        <v>2.6592610086465157E-2</v>
      </c>
      <c r="V607" t="s">
        <v>162</v>
      </c>
    </row>
    <row r="608" spans="9:22" x14ac:dyDescent="0.45">
      <c r="I608" t="s">
        <v>219</v>
      </c>
      <c r="J608" t="s">
        <v>572</v>
      </c>
      <c r="K608">
        <v>0.13049824583254069</v>
      </c>
      <c r="L608" t="s">
        <v>162</v>
      </c>
      <c r="N608" t="s">
        <v>331</v>
      </c>
      <c r="O608" t="s">
        <v>572</v>
      </c>
      <c r="P608">
        <v>0.13282994931559186</v>
      </c>
      <c r="Q608" t="s">
        <v>162</v>
      </c>
      <c r="S608" t="s">
        <v>443</v>
      </c>
      <c r="T608" t="s">
        <v>572</v>
      </c>
      <c r="U608">
        <v>9.857972397773028E-2</v>
      </c>
      <c r="V608" t="s">
        <v>162</v>
      </c>
    </row>
    <row r="609" spans="9:22" x14ac:dyDescent="0.45">
      <c r="I609" t="s">
        <v>219</v>
      </c>
      <c r="J609" t="s">
        <v>573</v>
      </c>
      <c r="K609">
        <v>0</v>
      </c>
      <c r="L609" t="s">
        <v>162</v>
      </c>
      <c r="N609" t="s">
        <v>331</v>
      </c>
      <c r="O609" t="s">
        <v>573</v>
      </c>
      <c r="P609">
        <v>0.14552421716979538</v>
      </c>
      <c r="Q609" t="s">
        <v>162</v>
      </c>
      <c r="S609" t="s">
        <v>443</v>
      </c>
      <c r="T609" t="s">
        <v>573</v>
      </c>
      <c r="U609">
        <v>0.10037192605847846</v>
      </c>
      <c r="V609" t="s">
        <v>162</v>
      </c>
    </row>
    <row r="610" spans="9:22" x14ac:dyDescent="0.45">
      <c r="I610" t="s">
        <v>219</v>
      </c>
      <c r="J610" t="s">
        <v>574</v>
      </c>
      <c r="K610">
        <v>1.3126178006499989E-3</v>
      </c>
      <c r="L610" t="s">
        <v>162</v>
      </c>
      <c r="N610" t="s">
        <v>331</v>
      </c>
      <c r="O610" t="s">
        <v>574</v>
      </c>
      <c r="P610">
        <v>2.5184745628755018E-2</v>
      </c>
      <c r="Q610" t="s">
        <v>162</v>
      </c>
      <c r="S610" t="s">
        <v>443</v>
      </c>
      <c r="T610" t="s">
        <v>574</v>
      </c>
      <c r="U610">
        <v>1.7405520783748327E-2</v>
      </c>
      <c r="V610" t="s">
        <v>162</v>
      </c>
    </row>
    <row r="611" spans="9:22" x14ac:dyDescent="0.45">
      <c r="I611" t="s">
        <v>220</v>
      </c>
      <c r="J611" t="s">
        <v>563</v>
      </c>
      <c r="K611">
        <v>0.19320928973977991</v>
      </c>
      <c r="L611" t="s">
        <v>162</v>
      </c>
      <c r="N611" t="s">
        <v>332</v>
      </c>
      <c r="O611" t="s">
        <v>563</v>
      </c>
      <c r="P611">
        <v>0.11335850795077926</v>
      </c>
      <c r="Q611" t="s">
        <v>162</v>
      </c>
      <c r="S611" t="s">
        <v>444</v>
      </c>
      <c r="T611" t="s">
        <v>563</v>
      </c>
      <c r="U611">
        <v>0.12660909279137633</v>
      </c>
      <c r="V611" t="s">
        <v>162</v>
      </c>
    </row>
    <row r="612" spans="9:22" x14ac:dyDescent="0.45">
      <c r="I612" t="s">
        <v>220</v>
      </c>
      <c r="J612" t="s">
        <v>564</v>
      </c>
      <c r="K612">
        <v>0</v>
      </c>
      <c r="L612" t="s">
        <v>162</v>
      </c>
      <c r="N612" t="s">
        <v>332</v>
      </c>
      <c r="O612" t="s">
        <v>564</v>
      </c>
      <c r="P612">
        <v>0.11894035392001233</v>
      </c>
      <c r="Q612" t="s">
        <v>162</v>
      </c>
      <c r="S612" t="s">
        <v>444</v>
      </c>
      <c r="T612" t="s">
        <v>564</v>
      </c>
      <c r="U612">
        <v>0.12968993561634218</v>
      </c>
      <c r="V612" t="s">
        <v>162</v>
      </c>
    </row>
    <row r="613" spans="9:22" x14ac:dyDescent="0.45">
      <c r="I613" t="s">
        <v>220</v>
      </c>
      <c r="J613" t="s">
        <v>565</v>
      </c>
      <c r="K613">
        <v>9.4493646863391279E-3</v>
      </c>
      <c r="L613" t="s">
        <v>162</v>
      </c>
      <c r="N613" t="s">
        <v>332</v>
      </c>
      <c r="O613" t="s">
        <v>565</v>
      </c>
      <c r="P613">
        <v>2.1093610009200875E-2</v>
      </c>
      <c r="Q613" t="s">
        <v>162</v>
      </c>
      <c r="S613" t="s">
        <v>444</v>
      </c>
      <c r="T613" t="s">
        <v>565</v>
      </c>
      <c r="U613">
        <v>2.3270137821706872E-2</v>
      </c>
      <c r="V613" t="s">
        <v>162</v>
      </c>
    </row>
    <row r="614" spans="9:22" x14ac:dyDescent="0.45">
      <c r="I614" t="s">
        <v>220</v>
      </c>
      <c r="J614" t="s">
        <v>566</v>
      </c>
      <c r="K614">
        <v>0.27757757311003084</v>
      </c>
      <c r="L614" t="s">
        <v>162</v>
      </c>
      <c r="N614" t="s">
        <v>332</v>
      </c>
      <c r="O614" t="s">
        <v>566</v>
      </c>
      <c r="P614">
        <v>0.11914653613900467</v>
      </c>
      <c r="Q614" t="s">
        <v>162</v>
      </c>
      <c r="S614" t="s">
        <v>444</v>
      </c>
      <c r="T614" t="s">
        <v>566</v>
      </c>
      <c r="U614">
        <v>7.2148472190213225E-2</v>
      </c>
      <c r="V614" t="s">
        <v>162</v>
      </c>
    </row>
    <row r="615" spans="9:22" x14ac:dyDescent="0.45">
      <c r="I615" t="s">
        <v>220</v>
      </c>
      <c r="J615" t="s">
        <v>567</v>
      </c>
      <c r="K615">
        <v>7.9724307238450542E-3</v>
      </c>
      <c r="L615" t="s">
        <v>162</v>
      </c>
      <c r="N615" t="s">
        <v>332</v>
      </c>
      <c r="O615" t="s">
        <v>567</v>
      </c>
      <c r="P615">
        <v>0.12123810817020339</v>
      </c>
      <c r="Q615" t="s">
        <v>162</v>
      </c>
      <c r="S615" t="s">
        <v>444</v>
      </c>
      <c r="T615" t="s">
        <v>567</v>
      </c>
      <c r="U615">
        <v>8.7829568127897523E-2</v>
      </c>
      <c r="V615" t="s">
        <v>162</v>
      </c>
    </row>
    <row r="616" spans="9:22" x14ac:dyDescent="0.45">
      <c r="I616" t="s">
        <v>220</v>
      </c>
      <c r="J616" t="s">
        <v>568</v>
      </c>
      <c r="K616">
        <v>3.0555713113379693E-2</v>
      </c>
      <c r="L616" t="s">
        <v>162</v>
      </c>
      <c r="N616" t="s">
        <v>332</v>
      </c>
      <c r="O616" t="s">
        <v>568</v>
      </c>
      <c r="P616">
        <v>2.1377902968262363E-2</v>
      </c>
      <c r="Q616" t="s">
        <v>162</v>
      </c>
      <c r="S616" t="s">
        <v>444</v>
      </c>
      <c r="T616" t="s">
        <v>568</v>
      </c>
      <c r="U616">
        <v>1.4833366359777993E-2</v>
      </c>
      <c r="V616" t="s">
        <v>162</v>
      </c>
    </row>
    <row r="617" spans="9:22" x14ac:dyDescent="0.45">
      <c r="I617" t="s">
        <v>220</v>
      </c>
      <c r="J617" t="s">
        <v>569</v>
      </c>
      <c r="K617">
        <v>0.29240557180354376</v>
      </c>
      <c r="L617" t="s">
        <v>162</v>
      </c>
      <c r="N617" t="s">
        <v>332</v>
      </c>
      <c r="O617" t="s">
        <v>569</v>
      </c>
      <c r="P617">
        <v>7.9467721533038604E-2</v>
      </c>
      <c r="Q617" t="s">
        <v>162</v>
      </c>
      <c r="S617" t="s">
        <v>444</v>
      </c>
      <c r="T617" t="s">
        <v>569</v>
      </c>
      <c r="U617">
        <v>0.12145879777859307</v>
      </c>
      <c r="V617" t="s">
        <v>162</v>
      </c>
    </row>
    <row r="618" spans="9:22" x14ac:dyDescent="0.45">
      <c r="I618" t="s">
        <v>220</v>
      </c>
      <c r="J618" t="s">
        <v>570</v>
      </c>
      <c r="K618">
        <v>1.9603354947883456E-2</v>
      </c>
      <c r="L618" t="s">
        <v>162</v>
      </c>
      <c r="N618" t="s">
        <v>332</v>
      </c>
      <c r="O618" t="s">
        <v>570</v>
      </c>
      <c r="P618">
        <v>9.8296452130949744E-2</v>
      </c>
      <c r="Q618" t="s">
        <v>162</v>
      </c>
      <c r="S618" t="s">
        <v>444</v>
      </c>
      <c r="T618" t="s">
        <v>570</v>
      </c>
      <c r="U618">
        <v>0.13609813890793804</v>
      </c>
      <c r="V618" t="s">
        <v>162</v>
      </c>
    </row>
    <row r="619" spans="9:22" x14ac:dyDescent="0.45">
      <c r="I619" t="s">
        <v>220</v>
      </c>
      <c r="J619" t="s">
        <v>571</v>
      </c>
      <c r="K619">
        <v>3.5915547506913351E-2</v>
      </c>
      <c r="L619" t="s">
        <v>162</v>
      </c>
      <c r="N619" t="s">
        <v>332</v>
      </c>
      <c r="O619" t="s">
        <v>571</v>
      </c>
      <c r="P619">
        <v>1.5664810192931391E-2</v>
      </c>
      <c r="Q619" t="s">
        <v>162</v>
      </c>
      <c r="S619" t="s">
        <v>444</v>
      </c>
      <c r="T619" t="s">
        <v>571</v>
      </c>
      <c r="U619">
        <v>2.3210615262583258E-2</v>
      </c>
      <c r="V619" t="s">
        <v>162</v>
      </c>
    </row>
    <row r="620" spans="9:22" x14ac:dyDescent="0.45">
      <c r="I620" t="s">
        <v>220</v>
      </c>
      <c r="J620" t="s">
        <v>572</v>
      </c>
      <c r="K620">
        <v>0.13082190119054668</v>
      </c>
      <c r="L620" t="s">
        <v>162</v>
      </c>
      <c r="N620" t="s">
        <v>332</v>
      </c>
      <c r="O620" t="s">
        <v>572</v>
      </c>
      <c r="P620">
        <v>0.13217904083302284</v>
      </c>
      <c r="Q620" t="s">
        <v>162</v>
      </c>
      <c r="S620" t="s">
        <v>444</v>
      </c>
      <c r="T620" t="s">
        <v>572</v>
      </c>
      <c r="U620">
        <v>0.12134093114247727</v>
      </c>
      <c r="V620" t="s">
        <v>162</v>
      </c>
    </row>
    <row r="621" spans="9:22" x14ac:dyDescent="0.45">
      <c r="I621" t="s">
        <v>220</v>
      </c>
      <c r="J621" t="s">
        <v>573</v>
      </c>
      <c r="K621">
        <v>0</v>
      </c>
      <c r="L621" t="s">
        <v>162</v>
      </c>
      <c r="N621" t="s">
        <v>332</v>
      </c>
      <c r="O621" t="s">
        <v>573</v>
      </c>
      <c r="P621">
        <v>0.13447981204127382</v>
      </c>
      <c r="Q621" t="s">
        <v>162</v>
      </c>
      <c r="S621" t="s">
        <v>444</v>
      </c>
      <c r="T621" t="s">
        <v>573</v>
      </c>
      <c r="U621">
        <v>0.12166682943487596</v>
      </c>
      <c r="V621" t="s">
        <v>162</v>
      </c>
    </row>
    <row r="622" spans="9:22" x14ac:dyDescent="0.45">
      <c r="I622" t="s">
        <v>220</v>
      </c>
      <c r="J622" t="s">
        <v>574</v>
      </c>
      <c r="K622">
        <v>2.4892531777395439E-3</v>
      </c>
      <c r="L622" t="s">
        <v>162</v>
      </c>
      <c r="N622" t="s">
        <v>332</v>
      </c>
      <c r="O622" t="s">
        <v>574</v>
      </c>
      <c r="P622">
        <v>2.4757144111323511E-2</v>
      </c>
      <c r="Q622" t="s">
        <v>162</v>
      </c>
      <c r="S622" t="s">
        <v>444</v>
      </c>
      <c r="T622" t="s">
        <v>574</v>
      </c>
      <c r="U622">
        <v>2.1844114566219219E-2</v>
      </c>
      <c r="V622" t="s">
        <v>162</v>
      </c>
    </row>
    <row r="623" spans="9:22" x14ac:dyDescent="0.45">
      <c r="I623" t="s">
        <v>221</v>
      </c>
      <c r="J623" t="s">
        <v>563</v>
      </c>
      <c r="K623">
        <v>0.18610500116066769</v>
      </c>
      <c r="L623" t="s">
        <v>162</v>
      </c>
      <c r="N623" t="s">
        <v>333</v>
      </c>
      <c r="O623" t="s">
        <v>563</v>
      </c>
      <c r="P623">
        <v>0.11484175292447157</v>
      </c>
      <c r="Q623" t="s">
        <v>162</v>
      </c>
      <c r="S623" t="s">
        <v>445</v>
      </c>
      <c r="T623" t="s">
        <v>563</v>
      </c>
      <c r="U623">
        <v>0.13667311804400029</v>
      </c>
      <c r="V623" t="s">
        <v>162</v>
      </c>
    </row>
    <row r="624" spans="9:22" x14ac:dyDescent="0.45">
      <c r="I624" t="s">
        <v>221</v>
      </c>
      <c r="J624" t="s">
        <v>564</v>
      </c>
      <c r="K624">
        <v>0</v>
      </c>
      <c r="L624" t="s">
        <v>162</v>
      </c>
      <c r="N624" t="s">
        <v>333</v>
      </c>
      <c r="O624" t="s">
        <v>564</v>
      </c>
      <c r="P624">
        <v>0.1212338238006017</v>
      </c>
      <c r="Q624" t="s">
        <v>162</v>
      </c>
      <c r="S624" t="s">
        <v>445</v>
      </c>
      <c r="T624" t="s">
        <v>564</v>
      </c>
      <c r="U624">
        <v>0.13014838413528629</v>
      </c>
      <c r="V624" t="s">
        <v>162</v>
      </c>
    </row>
    <row r="625" spans="9:22" x14ac:dyDescent="0.45">
      <c r="I625" t="s">
        <v>221</v>
      </c>
      <c r="J625" t="s">
        <v>565</v>
      </c>
      <c r="K625">
        <v>9.8179717418293636E-3</v>
      </c>
      <c r="L625" t="s">
        <v>162</v>
      </c>
      <c r="N625" t="s">
        <v>333</v>
      </c>
      <c r="O625" t="s">
        <v>565</v>
      </c>
      <c r="P625">
        <v>2.3097712464407474E-2</v>
      </c>
      <c r="Q625" t="s">
        <v>162</v>
      </c>
      <c r="S625" t="s">
        <v>445</v>
      </c>
      <c r="T625" t="s">
        <v>565</v>
      </c>
      <c r="U625">
        <v>2.4105060745144121E-2</v>
      </c>
      <c r="V625" t="s">
        <v>162</v>
      </c>
    </row>
    <row r="626" spans="9:22" x14ac:dyDescent="0.45">
      <c r="I626" t="s">
        <v>221</v>
      </c>
      <c r="J626" t="s">
        <v>566</v>
      </c>
      <c r="K626">
        <v>0.31821186304943944</v>
      </c>
      <c r="L626" t="s">
        <v>162</v>
      </c>
      <c r="N626" t="s">
        <v>333</v>
      </c>
      <c r="O626" t="s">
        <v>566</v>
      </c>
      <c r="P626">
        <v>0.1181861919581698</v>
      </c>
      <c r="Q626" t="s">
        <v>162</v>
      </c>
      <c r="S626" t="s">
        <v>445</v>
      </c>
      <c r="T626" t="s">
        <v>566</v>
      </c>
      <c r="U626">
        <v>0.10296586294918431</v>
      </c>
      <c r="V626" t="s">
        <v>162</v>
      </c>
    </row>
    <row r="627" spans="9:22" x14ac:dyDescent="0.45">
      <c r="I627" t="s">
        <v>221</v>
      </c>
      <c r="J627" t="s">
        <v>567</v>
      </c>
      <c r="K627">
        <v>1.3919057077728446E-2</v>
      </c>
      <c r="L627" t="s">
        <v>162</v>
      </c>
      <c r="N627" t="s">
        <v>333</v>
      </c>
      <c r="O627" t="s">
        <v>567</v>
      </c>
      <c r="P627">
        <v>0.12759245626754173</v>
      </c>
      <c r="Q627" t="s">
        <v>162</v>
      </c>
      <c r="S627" t="s">
        <v>445</v>
      </c>
      <c r="T627" t="s">
        <v>567</v>
      </c>
      <c r="U627">
        <v>0.10966501055136328</v>
      </c>
      <c r="V627" t="s">
        <v>162</v>
      </c>
    </row>
    <row r="628" spans="9:22" x14ac:dyDescent="0.45">
      <c r="I628" t="s">
        <v>221</v>
      </c>
      <c r="J628" t="s">
        <v>568</v>
      </c>
      <c r="K628">
        <v>3.464969192410855E-2</v>
      </c>
      <c r="L628" t="s">
        <v>162</v>
      </c>
      <c r="N628" t="s">
        <v>333</v>
      </c>
      <c r="O628" t="s">
        <v>568</v>
      </c>
      <c r="P628">
        <v>2.1546371184862568E-2</v>
      </c>
      <c r="Q628" t="s">
        <v>162</v>
      </c>
      <c r="S628" t="s">
        <v>445</v>
      </c>
      <c r="T628" t="s">
        <v>568</v>
      </c>
      <c r="U628">
        <v>1.8901276029093122E-2</v>
      </c>
      <c r="V628" t="s">
        <v>162</v>
      </c>
    </row>
    <row r="629" spans="9:22" x14ac:dyDescent="0.45">
      <c r="I629" t="s">
        <v>221</v>
      </c>
      <c r="J629" t="s">
        <v>569</v>
      </c>
      <c r="K629">
        <v>0.27872345479098337</v>
      </c>
      <c r="L629" t="s">
        <v>162</v>
      </c>
      <c r="N629" t="s">
        <v>333</v>
      </c>
      <c r="O629" t="s">
        <v>569</v>
      </c>
      <c r="P629">
        <v>7.2139310377689503E-2</v>
      </c>
      <c r="Q629" t="s">
        <v>162</v>
      </c>
      <c r="S629" t="s">
        <v>445</v>
      </c>
      <c r="T629" t="s">
        <v>569</v>
      </c>
      <c r="U629">
        <v>9.0317456524739548E-2</v>
      </c>
      <c r="V629" t="s">
        <v>162</v>
      </c>
    </row>
    <row r="630" spans="9:22" x14ac:dyDescent="0.45">
      <c r="I630" t="s">
        <v>221</v>
      </c>
      <c r="J630" t="s">
        <v>570</v>
      </c>
      <c r="K630">
        <v>2.5667369453916341E-2</v>
      </c>
      <c r="L630" t="s">
        <v>162</v>
      </c>
      <c r="N630" t="s">
        <v>333</v>
      </c>
      <c r="O630" t="s">
        <v>570</v>
      </c>
      <c r="P630">
        <v>8.7454519596943725E-2</v>
      </c>
      <c r="Q630" t="s">
        <v>162</v>
      </c>
      <c r="S630" t="s">
        <v>445</v>
      </c>
      <c r="T630" t="s">
        <v>570</v>
      </c>
      <c r="U630">
        <v>8.9367097135982121E-2</v>
      </c>
      <c r="V630" t="s">
        <v>162</v>
      </c>
    </row>
    <row r="631" spans="9:22" x14ac:dyDescent="0.45">
      <c r="I631" t="s">
        <v>221</v>
      </c>
      <c r="J631" t="s">
        <v>571</v>
      </c>
      <c r="K631">
        <v>3.4285049514852659E-2</v>
      </c>
      <c r="L631" t="s">
        <v>162</v>
      </c>
      <c r="N631" t="s">
        <v>333</v>
      </c>
      <c r="O631" t="s">
        <v>571</v>
      </c>
      <c r="P631">
        <v>1.3169648050603389E-2</v>
      </c>
      <c r="Q631" t="s">
        <v>162</v>
      </c>
      <c r="S631" t="s">
        <v>445</v>
      </c>
      <c r="T631" t="s">
        <v>571</v>
      </c>
      <c r="U631">
        <v>1.6437143173018004E-2</v>
      </c>
      <c r="V631" t="s">
        <v>162</v>
      </c>
    </row>
    <row r="632" spans="9:22" x14ac:dyDescent="0.45">
      <c r="I632" t="s">
        <v>221</v>
      </c>
      <c r="J632" t="s">
        <v>572</v>
      </c>
      <c r="K632">
        <v>9.7273144205206052E-2</v>
      </c>
      <c r="L632" t="s">
        <v>162</v>
      </c>
      <c r="N632" t="s">
        <v>333</v>
      </c>
      <c r="O632" t="s">
        <v>572</v>
      </c>
      <c r="P632">
        <v>0.13391773739850718</v>
      </c>
      <c r="Q632" t="s">
        <v>162</v>
      </c>
      <c r="S632" t="s">
        <v>445</v>
      </c>
      <c r="T632" t="s">
        <v>572</v>
      </c>
      <c r="U632">
        <v>0.13220972799972683</v>
      </c>
      <c r="V632" t="s">
        <v>162</v>
      </c>
    </row>
    <row r="633" spans="9:22" x14ac:dyDescent="0.45">
      <c r="I633" t="s">
        <v>221</v>
      </c>
      <c r="J633" t="s">
        <v>573</v>
      </c>
      <c r="K633">
        <v>0</v>
      </c>
      <c r="L633" t="s">
        <v>162</v>
      </c>
      <c r="N633" t="s">
        <v>333</v>
      </c>
      <c r="O633" t="s">
        <v>573</v>
      </c>
      <c r="P633">
        <v>0.1399695208453115</v>
      </c>
      <c r="Q633" t="s">
        <v>162</v>
      </c>
      <c r="S633" t="s">
        <v>445</v>
      </c>
      <c r="T633" t="s">
        <v>573</v>
      </c>
      <c r="U633">
        <v>0.12555872215006941</v>
      </c>
      <c r="V633" t="s">
        <v>162</v>
      </c>
    </row>
    <row r="634" spans="9:22" x14ac:dyDescent="0.45">
      <c r="I634" t="s">
        <v>221</v>
      </c>
      <c r="J634" t="s">
        <v>574</v>
      </c>
      <c r="K634">
        <v>1.3473970812655652E-3</v>
      </c>
      <c r="L634" t="s">
        <v>162</v>
      </c>
      <c r="N634" t="s">
        <v>333</v>
      </c>
      <c r="O634" t="s">
        <v>574</v>
      </c>
      <c r="P634">
        <v>2.6850955130887089E-2</v>
      </c>
      <c r="Q634" t="s">
        <v>162</v>
      </c>
      <c r="S634" t="s">
        <v>445</v>
      </c>
      <c r="T634" t="s">
        <v>574</v>
      </c>
      <c r="U634">
        <v>2.3651140562392831E-2</v>
      </c>
      <c r="V634" t="s">
        <v>162</v>
      </c>
    </row>
    <row r="635" spans="9:22" x14ac:dyDescent="0.45">
      <c r="I635" t="s">
        <v>222</v>
      </c>
      <c r="J635" t="s">
        <v>563</v>
      </c>
      <c r="K635">
        <v>0.19083725796955761</v>
      </c>
      <c r="L635" t="s">
        <v>162</v>
      </c>
      <c r="N635" t="s">
        <v>334</v>
      </c>
      <c r="O635" t="s">
        <v>563</v>
      </c>
      <c r="P635">
        <v>0.13596692420781778</v>
      </c>
      <c r="Q635" t="s">
        <v>162</v>
      </c>
      <c r="S635" t="s">
        <v>446</v>
      </c>
      <c r="T635" t="s">
        <v>563</v>
      </c>
      <c r="U635">
        <v>0.14257343826971844</v>
      </c>
      <c r="V635" t="s">
        <v>162</v>
      </c>
    </row>
    <row r="636" spans="9:22" x14ac:dyDescent="0.45">
      <c r="I636" t="s">
        <v>222</v>
      </c>
      <c r="J636" t="s">
        <v>564</v>
      </c>
      <c r="K636">
        <v>0</v>
      </c>
      <c r="L636" t="s">
        <v>162</v>
      </c>
      <c r="N636" t="s">
        <v>334</v>
      </c>
      <c r="O636" t="s">
        <v>564</v>
      </c>
      <c r="P636">
        <v>0.13034205616386979</v>
      </c>
      <c r="Q636" t="s">
        <v>162</v>
      </c>
      <c r="S636" t="s">
        <v>446</v>
      </c>
      <c r="T636" t="s">
        <v>564</v>
      </c>
      <c r="U636">
        <v>0.14140658214953422</v>
      </c>
      <c r="V636" t="s">
        <v>162</v>
      </c>
    </row>
    <row r="637" spans="9:22" x14ac:dyDescent="0.45">
      <c r="I637" t="s">
        <v>222</v>
      </c>
      <c r="J637" t="s">
        <v>565</v>
      </c>
      <c r="K637">
        <v>8.3320180156009893E-3</v>
      </c>
      <c r="L637" t="s">
        <v>162</v>
      </c>
      <c r="N637" t="s">
        <v>334</v>
      </c>
      <c r="O637" t="s">
        <v>565</v>
      </c>
      <c r="P637">
        <v>2.4675687789327279E-2</v>
      </c>
      <c r="Q637" t="s">
        <v>162</v>
      </c>
      <c r="S637" t="s">
        <v>446</v>
      </c>
      <c r="T637" t="s">
        <v>565</v>
      </c>
      <c r="U637">
        <v>2.6014077681050133E-2</v>
      </c>
      <c r="V637" t="s">
        <v>162</v>
      </c>
    </row>
    <row r="638" spans="9:22" x14ac:dyDescent="0.45">
      <c r="I638" t="s">
        <v>222</v>
      </c>
      <c r="J638" t="s">
        <v>566</v>
      </c>
      <c r="K638">
        <v>0.31344308815862743</v>
      </c>
      <c r="L638" t="s">
        <v>162</v>
      </c>
      <c r="N638" t="s">
        <v>334</v>
      </c>
      <c r="O638" t="s">
        <v>566</v>
      </c>
      <c r="P638">
        <v>0.11357075094598247</v>
      </c>
      <c r="Q638" t="s">
        <v>162</v>
      </c>
      <c r="S638" t="s">
        <v>446</v>
      </c>
      <c r="T638" t="s">
        <v>566</v>
      </c>
      <c r="U638">
        <v>0.10537918203711867</v>
      </c>
      <c r="V638" t="s">
        <v>162</v>
      </c>
    </row>
    <row r="639" spans="9:22" x14ac:dyDescent="0.45">
      <c r="I639" t="s">
        <v>222</v>
      </c>
      <c r="J639" t="s">
        <v>567</v>
      </c>
      <c r="K639">
        <v>1.3149940930439072E-2</v>
      </c>
      <c r="L639" t="s">
        <v>162</v>
      </c>
      <c r="N639" t="s">
        <v>334</v>
      </c>
      <c r="O639" t="s">
        <v>567</v>
      </c>
      <c r="P639">
        <v>0.11960646039185645</v>
      </c>
      <c r="Q639" t="s">
        <v>162</v>
      </c>
      <c r="S639" t="s">
        <v>446</v>
      </c>
      <c r="T639" t="s">
        <v>567</v>
      </c>
      <c r="U639">
        <v>0.10673878796873128</v>
      </c>
      <c r="V639" t="s">
        <v>162</v>
      </c>
    </row>
    <row r="640" spans="9:22" x14ac:dyDescent="0.45">
      <c r="I640" t="s">
        <v>222</v>
      </c>
      <c r="J640" t="s">
        <v>568</v>
      </c>
      <c r="K640">
        <v>3.0422619076779307E-2</v>
      </c>
      <c r="L640" t="s">
        <v>162</v>
      </c>
      <c r="N640" t="s">
        <v>334</v>
      </c>
      <c r="O640" t="s">
        <v>568</v>
      </c>
      <c r="P640">
        <v>2.1654322016758425E-2</v>
      </c>
      <c r="Q640" t="s">
        <v>162</v>
      </c>
      <c r="S640" t="s">
        <v>446</v>
      </c>
      <c r="T640" t="s">
        <v>568</v>
      </c>
      <c r="U640">
        <v>1.9636889295890286E-2</v>
      </c>
      <c r="V640" t="s">
        <v>162</v>
      </c>
    </row>
    <row r="641" spans="9:22" x14ac:dyDescent="0.45">
      <c r="I641" t="s">
        <v>222</v>
      </c>
      <c r="J641" t="s">
        <v>569</v>
      </c>
      <c r="K641">
        <v>0.28373773590580231</v>
      </c>
      <c r="L641" t="s">
        <v>162</v>
      </c>
      <c r="N641" t="s">
        <v>334</v>
      </c>
      <c r="O641" t="s">
        <v>569</v>
      </c>
      <c r="P641">
        <v>9.3527597313095456E-2</v>
      </c>
      <c r="Q641" t="s">
        <v>162</v>
      </c>
      <c r="S641" t="s">
        <v>446</v>
      </c>
      <c r="T641" t="s">
        <v>569</v>
      </c>
      <c r="U641">
        <v>9.7347292060636054E-2</v>
      </c>
      <c r="V641" t="s">
        <v>162</v>
      </c>
    </row>
    <row r="642" spans="9:22" x14ac:dyDescent="0.45">
      <c r="I642" t="s">
        <v>222</v>
      </c>
      <c r="J642" t="s">
        <v>570</v>
      </c>
      <c r="K642">
        <v>2.6178528323181228E-2</v>
      </c>
      <c r="L642" t="s">
        <v>162</v>
      </c>
      <c r="N642" t="s">
        <v>334</v>
      </c>
      <c r="O642" t="s">
        <v>570</v>
      </c>
      <c r="P642">
        <v>8.6705880942038308E-2</v>
      </c>
      <c r="Q642" t="s">
        <v>162</v>
      </c>
      <c r="S642" t="s">
        <v>446</v>
      </c>
      <c r="T642" t="s">
        <v>570</v>
      </c>
      <c r="U642">
        <v>9.7275506452314503E-2</v>
      </c>
      <c r="V642" t="s">
        <v>162</v>
      </c>
    </row>
    <row r="643" spans="9:22" x14ac:dyDescent="0.45">
      <c r="I643" t="s">
        <v>222</v>
      </c>
      <c r="J643" t="s">
        <v>571</v>
      </c>
      <c r="K643">
        <v>3.2323086430049622E-2</v>
      </c>
      <c r="L643" t="s">
        <v>162</v>
      </c>
      <c r="N643" t="s">
        <v>334</v>
      </c>
      <c r="O643" t="s">
        <v>571</v>
      </c>
      <c r="P643">
        <v>1.5066060213683893E-2</v>
      </c>
      <c r="Q643" t="s">
        <v>162</v>
      </c>
      <c r="S643" t="s">
        <v>446</v>
      </c>
      <c r="T643" t="s">
        <v>571</v>
      </c>
      <c r="U643">
        <v>1.8695688136406884E-2</v>
      </c>
      <c r="V643" t="s">
        <v>162</v>
      </c>
    </row>
    <row r="644" spans="9:22" x14ac:dyDescent="0.45">
      <c r="I644" t="s">
        <v>222</v>
      </c>
      <c r="J644" t="s">
        <v>572</v>
      </c>
      <c r="K644">
        <v>0.10106716123123807</v>
      </c>
      <c r="L644" t="s">
        <v>162</v>
      </c>
      <c r="N644" t="s">
        <v>334</v>
      </c>
      <c r="O644" t="s">
        <v>572</v>
      </c>
      <c r="P644">
        <v>0.11272403088959386</v>
      </c>
      <c r="Q644" t="s">
        <v>162</v>
      </c>
      <c r="S644" t="s">
        <v>446</v>
      </c>
      <c r="T644" t="s">
        <v>572</v>
      </c>
      <c r="U644">
        <v>0.11328239771329093</v>
      </c>
      <c r="V644" t="s">
        <v>162</v>
      </c>
    </row>
    <row r="645" spans="9:22" x14ac:dyDescent="0.45">
      <c r="I645" t="s">
        <v>222</v>
      </c>
      <c r="J645" t="s">
        <v>573</v>
      </c>
      <c r="K645">
        <v>0</v>
      </c>
      <c r="L645" t="s">
        <v>162</v>
      </c>
      <c r="N645" t="s">
        <v>334</v>
      </c>
      <c r="O645" t="s">
        <v>573</v>
      </c>
      <c r="P645">
        <v>0.12280436752546091</v>
      </c>
      <c r="Q645" t="s">
        <v>162</v>
      </c>
      <c r="S645" t="s">
        <v>446</v>
      </c>
      <c r="T645" t="s">
        <v>573</v>
      </c>
      <c r="U645">
        <v>0.11051280381521</v>
      </c>
      <c r="V645" t="s">
        <v>162</v>
      </c>
    </row>
    <row r="646" spans="9:22" x14ac:dyDescent="0.45">
      <c r="I646" t="s">
        <v>222</v>
      </c>
      <c r="J646" t="s">
        <v>574</v>
      </c>
      <c r="K646">
        <v>5.0856395872333907E-4</v>
      </c>
      <c r="L646" t="s">
        <v>162</v>
      </c>
      <c r="N646" t="s">
        <v>334</v>
      </c>
      <c r="O646" t="s">
        <v>574</v>
      </c>
      <c r="P646">
        <v>2.335586160051498E-2</v>
      </c>
      <c r="Q646" t="s">
        <v>162</v>
      </c>
      <c r="S646" t="s">
        <v>446</v>
      </c>
      <c r="T646" t="s">
        <v>574</v>
      </c>
      <c r="U646">
        <v>2.1137354420095983E-2</v>
      </c>
      <c r="V646" t="s">
        <v>162</v>
      </c>
    </row>
    <row r="647" spans="9:22" x14ac:dyDescent="0.45">
      <c r="I647" t="s">
        <v>223</v>
      </c>
      <c r="J647" t="s">
        <v>563</v>
      </c>
      <c r="K647">
        <v>0.19092461490026422</v>
      </c>
      <c r="L647" t="s">
        <v>162</v>
      </c>
      <c r="N647" t="s">
        <v>335</v>
      </c>
      <c r="O647" t="s">
        <v>563</v>
      </c>
      <c r="P647">
        <v>0.12555646275094315</v>
      </c>
      <c r="Q647" t="s">
        <v>162</v>
      </c>
      <c r="S647" t="s">
        <v>447</v>
      </c>
      <c r="T647" t="s">
        <v>563</v>
      </c>
      <c r="U647">
        <v>0.14394209861478988</v>
      </c>
      <c r="V647" t="s">
        <v>162</v>
      </c>
    </row>
    <row r="648" spans="9:22" x14ac:dyDescent="0.45">
      <c r="I648" t="s">
        <v>223</v>
      </c>
      <c r="J648" t="s">
        <v>564</v>
      </c>
      <c r="K648">
        <v>0</v>
      </c>
      <c r="L648" t="s">
        <v>162</v>
      </c>
      <c r="N648" t="s">
        <v>335</v>
      </c>
      <c r="O648" t="s">
        <v>564</v>
      </c>
      <c r="P648">
        <v>0.12466762035808254</v>
      </c>
      <c r="Q648" t="s">
        <v>162</v>
      </c>
      <c r="S648" t="s">
        <v>447</v>
      </c>
      <c r="T648" t="s">
        <v>564</v>
      </c>
      <c r="U648">
        <v>0.14496115333373238</v>
      </c>
      <c r="V648" t="s">
        <v>162</v>
      </c>
    </row>
    <row r="649" spans="9:22" x14ac:dyDescent="0.45">
      <c r="I649" t="s">
        <v>223</v>
      </c>
      <c r="J649" t="s">
        <v>565</v>
      </c>
      <c r="K649">
        <v>8.1566244188553596E-3</v>
      </c>
      <c r="L649" t="s">
        <v>162</v>
      </c>
      <c r="N649" t="s">
        <v>335</v>
      </c>
      <c r="O649" t="s">
        <v>565</v>
      </c>
      <c r="P649">
        <v>2.3056733500191492E-2</v>
      </c>
      <c r="Q649" t="s">
        <v>162</v>
      </c>
      <c r="S649" t="s">
        <v>447</v>
      </c>
      <c r="T649" t="s">
        <v>565</v>
      </c>
      <c r="U649">
        <v>2.6234915468549867E-2</v>
      </c>
      <c r="V649" t="s">
        <v>162</v>
      </c>
    </row>
    <row r="650" spans="9:22" x14ac:dyDescent="0.45">
      <c r="I650" t="s">
        <v>223</v>
      </c>
      <c r="J650" t="s">
        <v>566</v>
      </c>
      <c r="K650">
        <v>0.30570185817458745</v>
      </c>
      <c r="L650" t="s">
        <v>162</v>
      </c>
      <c r="N650" t="s">
        <v>335</v>
      </c>
      <c r="O650" t="s">
        <v>566</v>
      </c>
      <c r="P650">
        <v>0.1062702889975128</v>
      </c>
      <c r="Q650" t="s">
        <v>162</v>
      </c>
      <c r="S650" t="s">
        <v>447</v>
      </c>
      <c r="T650" t="s">
        <v>566</v>
      </c>
      <c r="U650">
        <v>0.10589823409225071</v>
      </c>
      <c r="V650" t="s">
        <v>162</v>
      </c>
    </row>
    <row r="651" spans="9:22" x14ac:dyDescent="0.45">
      <c r="I651" t="s">
        <v>223</v>
      </c>
      <c r="J651" t="s">
        <v>567</v>
      </c>
      <c r="K651">
        <v>1.0721227373828896E-2</v>
      </c>
      <c r="L651" t="s">
        <v>162</v>
      </c>
      <c r="N651" t="s">
        <v>335</v>
      </c>
      <c r="O651" t="s">
        <v>567</v>
      </c>
      <c r="P651">
        <v>0.11266098292927085</v>
      </c>
      <c r="Q651" t="s">
        <v>162</v>
      </c>
      <c r="S651" t="s">
        <v>447</v>
      </c>
      <c r="T651" t="s">
        <v>567</v>
      </c>
      <c r="U651">
        <v>0.1081569323309572</v>
      </c>
      <c r="V651" t="s">
        <v>162</v>
      </c>
    </row>
    <row r="652" spans="9:22" x14ac:dyDescent="0.45">
      <c r="I652" t="s">
        <v>223</v>
      </c>
      <c r="J652" t="s">
        <v>568</v>
      </c>
      <c r="K652">
        <v>2.930280784901922E-2</v>
      </c>
      <c r="L652" t="s">
        <v>162</v>
      </c>
      <c r="N652" t="s">
        <v>335</v>
      </c>
      <c r="O652" t="s">
        <v>568</v>
      </c>
      <c r="P652">
        <v>1.9173025624190411E-2</v>
      </c>
      <c r="Q652" t="s">
        <v>162</v>
      </c>
      <c r="S652" t="s">
        <v>447</v>
      </c>
      <c r="T652" t="s">
        <v>568</v>
      </c>
      <c r="U652">
        <v>2.039326429415754E-2</v>
      </c>
      <c r="V652" t="s">
        <v>162</v>
      </c>
    </row>
    <row r="653" spans="9:22" x14ac:dyDescent="0.45">
      <c r="I653" t="s">
        <v>223</v>
      </c>
      <c r="J653" t="s">
        <v>569</v>
      </c>
      <c r="K653">
        <v>0.28544960824564802</v>
      </c>
      <c r="L653" t="s">
        <v>162</v>
      </c>
      <c r="N653" t="s">
        <v>335</v>
      </c>
      <c r="O653" t="s">
        <v>569</v>
      </c>
      <c r="P653">
        <v>8.6490197120759546E-2</v>
      </c>
      <c r="Q653" t="s">
        <v>162</v>
      </c>
      <c r="S653" t="s">
        <v>447</v>
      </c>
      <c r="T653" t="s">
        <v>569</v>
      </c>
      <c r="U653">
        <v>0.10181934031695979</v>
      </c>
      <c r="V653" t="s">
        <v>162</v>
      </c>
    </row>
    <row r="654" spans="9:22" x14ac:dyDescent="0.45">
      <c r="I654" t="s">
        <v>223</v>
      </c>
      <c r="J654" t="s">
        <v>570</v>
      </c>
      <c r="K654">
        <v>2.2062199513412924E-2</v>
      </c>
      <c r="L654" t="s">
        <v>162</v>
      </c>
      <c r="N654" t="s">
        <v>335</v>
      </c>
      <c r="O654" t="s">
        <v>570</v>
      </c>
      <c r="P654">
        <v>8.6017327587128711E-2</v>
      </c>
      <c r="Q654" t="s">
        <v>162</v>
      </c>
      <c r="S654" t="s">
        <v>447</v>
      </c>
      <c r="T654" t="s">
        <v>570</v>
      </c>
      <c r="U654">
        <v>0.10058506306695859</v>
      </c>
      <c r="V654" t="s">
        <v>162</v>
      </c>
    </row>
    <row r="655" spans="9:22" x14ac:dyDescent="0.45">
      <c r="I655" t="s">
        <v>223</v>
      </c>
      <c r="J655" t="s">
        <v>571</v>
      </c>
      <c r="K655">
        <v>3.4528982787356201E-2</v>
      </c>
      <c r="L655" t="s">
        <v>162</v>
      </c>
      <c r="N655" t="s">
        <v>335</v>
      </c>
      <c r="O655" t="s">
        <v>571</v>
      </c>
      <c r="P655">
        <v>1.5264654106950926E-2</v>
      </c>
      <c r="Q655" t="s">
        <v>162</v>
      </c>
      <c r="S655" t="s">
        <v>447</v>
      </c>
      <c r="T655" t="s">
        <v>571</v>
      </c>
      <c r="U655">
        <v>1.9535012069283934E-2</v>
      </c>
      <c r="V655" t="s">
        <v>162</v>
      </c>
    </row>
    <row r="656" spans="9:22" x14ac:dyDescent="0.45">
      <c r="I656" t="s">
        <v>223</v>
      </c>
      <c r="J656" t="s">
        <v>572</v>
      </c>
      <c r="K656">
        <v>0.11222527297991311</v>
      </c>
      <c r="L656" t="s">
        <v>162</v>
      </c>
      <c r="N656" t="s">
        <v>335</v>
      </c>
      <c r="O656" t="s">
        <v>572</v>
      </c>
      <c r="P656">
        <v>0.13181795420754697</v>
      </c>
      <c r="Q656" t="s">
        <v>162</v>
      </c>
      <c r="S656" t="s">
        <v>447</v>
      </c>
      <c r="T656" t="s">
        <v>572</v>
      </c>
      <c r="U656">
        <v>0.10571474688363902</v>
      </c>
      <c r="V656" t="s">
        <v>162</v>
      </c>
    </row>
    <row r="657" spans="9:22" x14ac:dyDescent="0.45">
      <c r="I657" t="s">
        <v>223</v>
      </c>
      <c r="J657" t="s">
        <v>573</v>
      </c>
      <c r="K657">
        <v>0</v>
      </c>
      <c r="L657" t="s">
        <v>162</v>
      </c>
      <c r="N657" t="s">
        <v>335</v>
      </c>
      <c r="O657" t="s">
        <v>573</v>
      </c>
      <c r="P657">
        <v>0.14190325202978019</v>
      </c>
      <c r="Q657" t="s">
        <v>162</v>
      </c>
      <c r="S657" t="s">
        <v>447</v>
      </c>
      <c r="T657" t="s">
        <v>573</v>
      </c>
      <c r="U657">
        <v>0.10273320171550021</v>
      </c>
      <c r="V657" t="s">
        <v>162</v>
      </c>
    </row>
    <row r="658" spans="9:22" x14ac:dyDescent="0.45">
      <c r="I658" t="s">
        <v>223</v>
      </c>
      <c r="J658" t="s">
        <v>574</v>
      </c>
      <c r="K658">
        <v>9.2680375711660175E-4</v>
      </c>
      <c r="L658" t="s">
        <v>162</v>
      </c>
      <c r="N658" t="s">
        <v>335</v>
      </c>
      <c r="O658" t="s">
        <v>574</v>
      </c>
      <c r="P658">
        <v>2.7121500787642205E-2</v>
      </c>
      <c r="Q658" t="s">
        <v>162</v>
      </c>
      <c r="S658" t="s">
        <v>447</v>
      </c>
      <c r="T658" t="s">
        <v>574</v>
      </c>
      <c r="U658">
        <v>2.0026037813218198E-2</v>
      </c>
      <c r="V658" t="s">
        <v>162</v>
      </c>
    </row>
    <row r="659" spans="9:22" x14ac:dyDescent="0.45">
      <c r="I659" t="s">
        <v>224</v>
      </c>
      <c r="J659" t="s">
        <v>563</v>
      </c>
      <c r="K659">
        <v>0.1900048942745422</v>
      </c>
      <c r="L659" t="s">
        <v>162</v>
      </c>
      <c r="N659" t="s">
        <v>336</v>
      </c>
      <c r="O659" t="s">
        <v>563</v>
      </c>
      <c r="P659">
        <v>0.13132599278195101</v>
      </c>
      <c r="Q659" t="s">
        <v>162</v>
      </c>
      <c r="S659" t="s">
        <v>448</v>
      </c>
      <c r="T659" t="s">
        <v>563</v>
      </c>
      <c r="U659">
        <v>0.1323279248275373</v>
      </c>
      <c r="V659" t="s">
        <v>162</v>
      </c>
    </row>
    <row r="660" spans="9:22" x14ac:dyDescent="0.45">
      <c r="I660" t="s">
        <v>224</v>
      </c>
      <c r="J660" t="s">
        <v>564</v>
      </c>
      <c r="K660">
        <v>2.4175681078834963E-5</v>
      </c>
      <c r="L660" t="s">
        <v>162</v>
      </c>
      <c r="N660" t="s">
        <v>336</v>
      </c>
      <c r="O660" t="s">
        <v>564</v>
      </c>
      <c r="P660">
        <v>0.13286217145340201</v>
      </c>
      <c r="Q660" t="s">
        <v>162</v>
      </c>
      <c r="S660" t="s">
        <v>448</v>
      </c>
      <c r="T660" t="s">
        <v>564</v>
      </c>
      <c r="U660">
        <v>0.13553276321156024</v>
      </c>
      <c r="V660" t="s">
        <v>162</v>
      </c>
    </row>
    <row r="661" spans="9:22" x14ac:dyDescent="0.45">
      <c r="I661" t="s">
        <v>224</v>
      </c>
      <c r="J661" t="s">
        <v>565</v>
      </c>
      <c r="K661">
        <v>1.2109340927127784E-2</v>
      </c>
      <c r="L661" t="s">
        <v>162</v>
      </c>
      <c r="N661" t="s">
        <v>336</v>
      </c>
      <c r="O661" t="s">
        <v>565</v>
      </c>
      <c r="P661">
        <v>2.4400039216498266E-2</v>
      </c>
      <c r="Q661" t="s">
        <v>162</v>
      </c>
      <c r="S661" t="s">
        <v>448</v>
      </c>
      <c r="T661" t="s">
        <v>565</v>
      </c>
      <c r="U661">
        <v>2.4021755112151249E-2</v>
      </c>
      <c r="V661" t="s">
        <v>162</v>
      </c>
    </row>
    <row r="662" spans="9:22" x14ac:dyDescent="0.45">
      <c r="I662" t="s">
        <v>224</v>
      </c>
      <c r="J662" t="s">
        <v>566</v>
      </c>
      <c r="K662">
        <v>0.29428098133549485</v>
      </c>
      <c r="L662" t="s">
        <v>162</v>
      </c>
      <c r="N662" t="s">
        <v>336</v>
      </c>
      <c r="O662" t="s">
        <v>566</v>
      </c>
      <c r="P662">
        <v>0.10837715089242103</v>
      </c>
      <c r="Q662" t="s">
        <v>162</v>
      </c>
      <c r="S662" t="s">
        <v>448</v>
      </c>
      <c r="T662" t="s">
        <v>566</v>
      </c>
      <c r="U662">
        <v>0.10175677702366018</v>
      </c>
      <c r="V662" t="s">
        <v>162</v>
      </c>
    </row>
    <row r="663" spans="9:22" x14ac:dyDescent="0.45">
      <c r="I663" t="s">
        <v>224</v>
      </c>
      <c r="J663" t="s">
        <v>567</v>
      </c>
      <c r="K663">
        <v>1.0315779662527938E-2</v>
      </c>
      <c r="L663" t="s">
        <v>162</v>
      </c>
      <c r="N663" t="s">
        <v>336</v>
      </c>
      <c r="O663" t="s">
        <v>567</v>
      </c>
      <c r="P663">
        <v>0.12015984326778154</v>
      </c>
      <c r="Q663" t="s">
        <v>162</v>
      </c>
      <c r="S663" t="s">
        <v>448</v>
      </c>
      <c r="T663" t="s">
        <v>567</v>
      </c>
      <c r="U663">
        <v>0.10371354101443771</v>
      </c>
      <c r="V663" t="s">
        <v>162</v>
      </c>
    </row>
    <row r="664" spans="9:22" x14ac:dyDescent="0.45">
      <c r="I664" t="s">
        <v>224</v>
      </c>
      <c r="J664" t="s">
        <v>568</v>
      </c>
      <c r="K664">
        <v>3.3877260064893694E-2</v>
      </c>
      <c r="L664" t="s">
        <v>162</v>
      </c>
      <c r="N664" t="s">
        <v>336</v>
      </c>
      <c r="O664" t="s">
        <v>568</v>
      </c>
      <c r="P664">
        <v>1.8846594939056577E-2</v>
      </c>
      <c r="Q664" t="s">
        <v>162</v>
      </c>
      <c r="S664" t="s">
        <v>448</v>
      </c>
      <c r="T664" t="s">
        <v>568</v>
      </c>
      <c r="U664">
        <v>1.8864435452848473E-2</v>
      </c>
      <c r="V664" t="s">
        <v>162</v>
      </c>
    </row>
    <row r="665" spans="9:22" x14ac:dyDescent="0.45">
      <c r="I665" t="s">
        <v>224</v>
      </c>
      <c r="J665" t="s">
        <v>569</v>
      </c>
      <c r="K665">
        <v>0.28750555890714874</v>
      </c>
      <c r="L665" t="s">
        <v>162</v>
      </c>
      <c r="N665" t="s">
        <v>336</v>
      </c>
      <c r="O665" t="s">
        <v>569</v>
      </c>
      <c r="P665">
        <v>7.7658120076345372E-2</v>
      </c>
      <c r="Q665" t="s">
        <v>162</v>
      </c>
      <c r="S665" t="s">
        <v>448</v>
      </c>
      <c r="T665" t="s">
        <v>569</v>
      </c>
      <c r="U665">
        <v>0.10766435288794252</v>
      </c>
      <c r="V665" t="s">
        <v>162</v>
      </c>
    </row>
    <row r="666" spans="9:22" x14ac:dyDescent="0.45">
      <c r="I666" t="s">
        <v>224</v>
      </c>
      <c r="J666" t="s">
        <v>570</v>
      </c>
      <c r="K666">
        <v>2.3525606435195447E-2</v>
      </c>
      <c r="L666" t="s">
        <v>162</v>
      </c>
      <c r="N666" t="s">
        <v>336</v>
      </c>
      <c r="O666" t="s">
        <v>570</v>
      </c>
      <c r="P666">
        <v>8.4720254049024266E-2</v>
      </c>
      <c r="Q666" t="s">
        <v>162</v>
      </c>
      <c r="S666" t="s">
        <v>448</v>
      </c>
      <c r="T666" t="s">
        <v>570</v>
      </c>
      <c r="U666">
        <v>0.10662003058004119</v>
      </c>
      <c r="V666" t="s">
        <v>162</v>
      </c>
    </row>
    <row r="667" spans="9:22" x14ac:dyDescent="0.45">
      <c r="I667" t="s">
        <v>224</v>
      </c>
      <c r="J667" t="s">
        <v>571</v>
      </c>
      <c r="K667">
        <v>3.6265481242281135E-2</v>
      </c>
      <c r="L667" t="s">
        <v>162</v>
      </c>
      <c r="N667" t="s">
        <v>336</v>
      </c>
      <c r="O667" t="s">
        <v>571</v>
      </c>
      <c r="P667">
        <v>1.4270125601232494E-2</v>
      </c>
      <c r="Q667" t="s">
        <v>162</v>
      </c>
      <c r="S667" t="s">
        <v>448</v>
      </c>
      <c r="T667" t="s">
        <v>571</v>
      </c>
      <c r="U667">
        <v>2.0894049058276153E-2</v>
      </c>
      <c r="V667" t="s">
        <v>162</v>
      </c>
    </row>
    <row r="668" spans="9:22" x14ac:dyDescent="0.45">
      <c r="I668" t="s">
        <v>224</v>
      </c>
      <c r="J668" t="s">
        <v>572</v>
      </c>
      <c r="K668">
        <v>0.1093091751426202</v>
      </c>
      <c r="L668" t="s">
        <v>162</v>
      </c>
      <c r="N668" t="s">
        <v>336</v>
      </c>
      <c r="O668" t="s">
        <v>572</v>
      </c>
      <c r="P668">
        <v>0.1295018355518745</v>
      </c>
      <c r="Q668" t="s">
        <v>162</v>
      </c>
      <c r="S668" t="s">
        <v>448</v>
      </c>
      <c r="T668" t="s">
        <v>572</v>
      </c>
      <c r="U668">
        <v>0.11393659344433982</v>
      </c>
      <c r="V668" t="s">
        <v>162</v>
      </c>
    </row>
    <row r="669" spans="9:22" x14ac:dyDescent="0.45">
      <c r="I669" t="s">
        <v>224</v>
      </c>
      <c r="J669" t="s">
        <v>573</v>
      </c>
      <c r="K669">
        <v>0</v>
      </c>
      <c r="L669" t="s">
        <v>162</v>
      </c>
      <c r="N669" t="s">
        <v>336</v>
      </c>
      <c r="O669" t="s">
        <v>573</v>
      </c>
      <c r="P669">
        <v>0.13243604245365706</v>
      </c>
      <c r="Q669" t="s">
        <v>162</v>
      </c>
      <c r="S669" t="s">
        <v>448</v>
      </c>
      <c r="T669" t="s">
        <v>573</v>
      </c>
      <c r="U669">
        <v>0.11388784349728519</v>
      </c>
      <c r="V669" t="s">
        <v>162</v>
      </c>
    </row>
    <row r="670" spans="9:22" x14ac:dyDescent="0.45">
      <c r="I670" t="s">
        <v>224</v>
      </c>
      <c r="J670" t="s">
        <v>574</v>
      </c>
      <c r="K670">
        <v>2.7817463270907259E-3</v>
      </c>
      <c r="L670" t="s">
        <v>162</v>
      </c>
      <c r="N670" t="s">
        <v>336</v>
      </c>
      <c r="O670" t="s">
        <v>574</v>
      </c>
      <c r="P670">
        <v>2.5441829716756861E-2</v>
      </c>
      <c r="Q670" t="s">
        <v>162</v>
      </c>
      <c r="S670" t="s">
        <v>448</v>
      </c>
      <c r="T670" t="s">
        <v>574</v>
      </c>
      <c r="U670">
        <v>2.0779933889916963E-2</v>
      </c>
      <c r="V670" t="s">
        <v>162</v>
      </c>
    </row>
    <row r="671" spans="9:22" x14ac:dyDescent="0.45">
      <c r="I671" t="s">
        <v>225</v>
      </c>
      <c r="J671" t="s">
        <v>563</v>
      </c>
      <c r="K671">
        <v>0.1802597039078159</v>
      </c>
      <c r="L671" t="s">
        <v>162</v>
      </c>
      <c r="N671" t="s">
        <v>337</v>
      </c>
      <c r="O671" t="s">
        <v>563</v>
      </c>
      <c r="P671">
        <v>0.11439922467796382</v>
      </c>
      <c r="Q671" t="s">
        <v>162</v>
      </c>
      <c r="S671" t="s">
        <v>449</v>
      </c>
      <c r="T671" t="s">
        <v>563</v>
      </c>
      <c r="U671">
        <v>0.13965613836081803</v>
      </c>
      <c r="V671" t="s">
        <v>162</v>
      </c>
    </row>
    <row r="672" spans="9:22" x14ac:dyDescent="0.45">
      <c r="I672" t="s">
        <v>225</v>
      </c>
      <c r="J672" t="s">
        <v>564</v>
      </c>
      <c r="K672">
        <v>1.9708408186160507E-4</v>
      </c>
      <c r="L672" t="s">
        <v>162</v>
      </c>
      <c r="N672" t="s">
        <v>337</v>
      </c>
      <c r="O672" t="s">
        <v>564</v>
      </c>
      <c r="P672">
        <v>0.11309950118614071</v>
      </c>
      <c r="Q672" t="s">
        <v>162</v>
      </c>
      <c r="S672" t="s">
        <v>449</v>
      </c>
      <c r="T672" t="s">
        <v>564</v>
      </c>
      <c r="U672">
        <v>0.14505571878215909</v>
      </c>
      <c r="V672" t="s">
        <v>162</v>
      </c>
    </row>
    <row r="673" spans="9:22" x14ac:dyDescent="0.45">
      <c r="I673" t="s">
        <v>225</v>
      </c>
      <c r="J673" t="s">
        <v>565</v>
      </c>
      <c r="K673">
        <v>1.1675245867562229E-2</v>
      </c>
      <c r="L673" t="s">
        <v>162</v>
      </c>
      <c r="N673" t="s">
        <v>337</v>
      </c>
      <c r="O673" t="s">
        <v>565</v>
      </c>
      <c r="P673">
        <v>2.1198555001538211E-2</v>
      </c>
      <c r="Q673" t="s">
        <v>162</v>
      </c>
      <c r="S673" t="s">
        <v>449</v>
      </c>
      <c r="T673" t="s">
        <v>565</v>
      </c>
      <c r="U673">
        <v>2.5408631900169825E-2</v>
      </c>
      <c r="V673" t="s">
        <v>162</v>
      </c>
    </row>
    <row r="674" spans="9:22" x14ac:dyDescent="0.45">
      <c r="I674" t="s">
        <v>225</v>
      </c>
      <c r="J674" t="s">
        <v>566</v>
      </c>
      <c r="K674">
        <v>0.31646668129911087</v>
      </c>
      <c r="L674" t="s">
        <v>162</v>
      </c>
      <c r="N674" t="s">
        <v>337</v>
      </c>
      <c r="O674" t="s">
        <v>566</v>
      </c>
      <c r="P674">
        <v>0.11425363663318713</v>
      </c>
      <c r="Q674" t="s">
        <v>162</v>
      </c>
      <c r="S674" t="s">
        <v>449</v>
      </c>
      <c r="T674" t="s">
        <v>566</v>
      </c>
      <c r="U674">
        <v>0.10145142682903985</v>
      </c>
      <c r="V674" t="s">
        <v>162</v>
      </c>
    </row>
    <row r="675" spans="9:22" x14ac:dyDescent="0.45">
      <c r="I675" t="s">
        <v>225</v>
      </c>
      <c r="J675" t="s">
        <v>567</v>
      </c>
      <c r="K675">
        <v>1.4774857334902965E-2</v>
      </c>
      <c r="L675" t="s">
        <v>162</v>
      </c>
      <c r="N675" t="s">
        <v>337</v>
      </c>
      <c r="O675" t="s">
        <v>567</v>
      </c>
      <c r="P675">
        <v>0.1163101944763504</v>
      </c>
      <c r="Q675" t="s">
        <v>162</v>
      </c>
      <c r="S675" t="s">
        <v>449</v>
      </c>
      <c r="T675" t="s">
        <v>567</v>
      </c>
      <c r="U675">
        <v>0.10641718741426889</v>
      </c>
      <c r="V675" t="s">
        <v>162</v>
      </c>
    </row>
    <row r="676" spans="9:22" x14ac:dyDescent="0.45">
      <c r="I676" t="s">
        <v>225</v>
      </c>
      <c r="J676" t="s">
        <v>568</v>
      </c>
      <c r="K676">
        <v>3.8540297451430797E-2</v>
      </c>
      <c r="L676" t="s">
        <v>162</v>
      </c>
      <c r="N676" t="s">
        <v>337</v>
      </c>
      <c r="O676" t="s">
        <v>568</v>
      </c>
      <c r="P676">
        <v>2.1317953672550509E-2</v>
      </c>
      <c r="Q676" t="s">
        <v>162</v>
      </c>
      <c r="S676" t="s">
        <v>449</v>
      </c>
      <c r="T676" t="s">
        <v>568</v>
      </c>
      <c r="U676">
        <v>1.8947493156823873E-2</v>
      </c>
      <c r="V676" t="s">
        <v>162</v>
      </c>
    </row>
    <row r="677" spans="9:22" x14ac:dyDescent="0.45">
      <c r="I677" t="s">
        <v>225</v>
      </c>
      <c r="J677" t="s">
        <v>569</v>
      </c>
      <c r="K677">
        <v>0.27733428987240488</v>
      </c>
      <c r="L677" t="s">
        <v>162</v>
      </c>
      <c r="N677" t="s">
        <v>337</v>
      </c>
      <c r="O677" t="s">
        <v>569</v>
      </c>
      <c r="P677">
        <v>9.0865544836210704E-2</v>
      </c>
      <c r="Q677" t="s">
        <v>162</v>
      </c>
      <c r="S677" t="s">
        <v>449</v>
      </c>
      <c r="T677" t="s">
        <v>569</v>
      </c>
      <c r="U677">
        <v>9.9792900623263431E-2</v>
      </c>
      <c r="V677" t="s">
        <v>162</v>
      </c>
    </row>
    <row r="678" spans="9:22" x14ac:dyDescent="0.45">
      <c r="I678" t="s">
        <v>225</v>
      </c>
      <c r="J678" t="s">
        <v>570</v>
      </c>
      <c r="K678">
        <v>2.8279634299073663E-2</v>
      </c>
      <c r="L678" t="s">
        <v>162</v>
      </c>
      <c r="N678" t="s">
        <v>337</v>
      </c>
      <c r="O678" t="s">
        <v>570</v>
      </c>
      <c r="P678">
        <v>9.5845842089286509E-2</v>
      </c>
      <c r="Q678" t="s">
        <v>162</v>
      </c>
      <c r="S678" t="s">
        <v>449</v>
      </c>
      <c r="T678" t="s">
        <v>570</v>
      </c>
      <c r="U678">
        <v>9.979580471249451E-2</v>
      </c>
      <c r="V678" t="s">
        <v>162</v>
      </c>
    </row>
    <row r="679" spans="9:22" x14ac:dyDescent="0.45">
      <c r="I679" t="s">
        <v>225</v>
      </c>
      <c r="J679" t="s">
        <v>571</v>
      </c>
      <c r="K679">
        <v>3.8511314906944635E-2</v>
      </c>
      <c r="L679" t="s">
        <v>162</v>
      </c>
      <c r="N679" t="s">
        <v>337</v>
      </c>
      <c r="O679" t="s">
        <v>571</v>
      </c>
      <c r="P679">
        <v>1.7418368370577971E-2</v>
      </c>
      <c r="Q679" t="s">
        <v>162</v>
      </c>
      <c r="S679" t="s">
        <v>449</v>
      </c>
      <c r="T679" t="s">
        <v>571</v>
      </c>
      <c r="U679">
        <v>1.8251180895575023E-2</v>
      </c>
      <c r="V679" t="s">
        <v>162</v>
      </c>
    </row>
    <row r="680" spans="9:22" x14ac:dyDescent="0.45">
      <c r="I680" t="s">
        <v>225</v>
      </c>
      <c r="J680" t="s">
        <v>572</v>
      </c>
      <c r="K680">
        <v>9.1577178237715828E-2</v>
      </c>
      <c r="L680" t="s">
        <v>162</v>
      </c>
      <c r="N680" t="s">
        <v>337</v>
      </c>
      <c r="O680" t="s">
        <v>572</v>
      </c>
      <c r="P680">
        <v>0.13158008524560624</v>
      </c>
      <c r="Q680" t="s">
        <v>162</v>
      </c>
      <c r="S680" t="s">
        <v>449</v>
      </c>
      <c r="T680" t="s">
        <v>572</v>
      </c>
      <c r="U680">
        <v>0.11371675019514695</v>
      </c>
      <c r="V680" t="s">
        <v>162</v>
      </c>
    </row>
    <row r="681" spans="9:22" x14ac:dyDescent="0.45">
      <c r="I681" t="s">
        <v>225</v>
      </c>
      <c r="J681" t="s">
        <v>573</v>
      </c>
      <c r="K681">
        <v>0</v>
      </c>
      <c r="L681" t="s">
        <v>162</v>
      </c>
      <c r="N681" t="s">
        <v>337</v>
      </c>
      <c r="O681" t="s">
        <v>573</v>
      </c>
      <c r="P681">
        <v>0.1387865687793183</v>
      </c>
      <c r="Q681" t="s">
        <v>162</v>
      </c>
      <c r="S681" t="s">
        <v>449</v>
      </c>
      <c r="T681" t="s">
        <v>573</v>
      </c>
      <c r="U681">
        <v>0.11028126499100367</v>
      </c>
      <c r="V681" t="s">
        <v>162</v>
      </c>
    </row>
    <row r="682" spans="9:22" x14ac:dyDescent="0.45">
      <c r="I682" t="s">
        <v>225</v>
      </c>
      <c r="J682" t="s">
        <v>574</v>
      </c>
      <c r="K682">
        <v>2.3837127411770595E-3</v>
      </c>
      <c r="L682" t="s">
        <v>162</v>
      </c>
      <c r="N682" t="s">
        <v>337</v>
      </c>
      <c r="O682" t="s">
        <v>574</v>
      </c>
      <c r="P682">
        <v>2.4924525031266825E-2</v>
      </c>
      <c r="Q682" t="s">
        <v>162</v>
      </c>
      <c r="S682" t="s">
        <v>449</v>
      </c>
      <c r="T682" t="s">
        <v>574</v>
      </c>
      <c r="U682">
        <v>2.1225502139235908E-2</v>
      </c>
      <c r="V682" t="s">
        <v>162</v>
      </c>
    </row>
    <row r="683" spans="9:22" x14ac:dyDescent="0.45">
      <c r="I683" t="s">
        <v>226</v>
      </c>
      <c r="J683" t="s">
        <v>563</v>
      </c>
      <c r="K683">
        <v>0.17716679682594769</v>
      </c>
      <c r="L683" t="s">
        <v>162</v>
      </c>
      <c r="N683" t="s">
        <v>338</v>
      </c>
      <c r="O683" t="s">
        <v>563</v>
      </c>
      <c r="P683">
        <v>0.11701269837937651</v>
      </c>
      <c r="Q683" t="s">
        <v>162</v>
      </c>
      <c r="S683" t="s">
        <v>450</v>
      </c>
      <c r="T683" t="s">
        <v>563</v>
      </c>
      <c r="U683">
        <v>0.14497070269263787</v>
      </c>
      <c r="V683" t="s">
        <v>162</v>
      </c>
    </row>
    <row r="684" spans="9:22" x14ac:dyDescent="0.45">
      <c r="I684" t="s">
        <v>226</v>
      </c>
      <c r="J684" t="s">
        <v>564</v>
      </c>
      <c r="K684">
        <v>9.5275360940306401E-4</v>
      </c>
      <c r="L684" t="s">
        <v>162</v>
      </c>
      <c r="N684" t="s">
        <v>338</v>
      </c>
      <c r="O684" t="s">
        <v>564</v>
      </c>
      <c r="P684">
        <v>0.11427035696159182</v>
      </c>
      <c r="Q684" t="s">
        <v>162</v>
      </c>
      <c r="S684" t="s">
        <v>450</v>
      </c>
      <c r="T684" t="s">
        <v>564</v>
      </c>
      <c r="U684">
        <v>0.14668540807432512</v>
      </c>
      <c r="V684" t="s">
        <v>162</v>
      </c>
    </row>
    <row r="685" spans="9:22" x14ac:dyDescent="0.45">
      <c r="I685" t="s">
        <v>226</v>
      </c>
      <c r="J685" t="s">
        <v>565</v>
      </c>
      <c r="K685">
        <v>1.417886318820253E-2</v>
      </c>
      <c r="L685" t="s">
        <v>162</v>
      </c>
      <c r="N685" t="s">
        <v>338</v>
      </c>
      <c r="O685" t="s">
        <v>565</v>
      </c>
      <c r="P685">
        <v>2.1336727173832077E-2</v>
      </c>
      <c r="Q685" t="s">
        <v>162</v>
      </c>
      <c r="S685" t="s">
        <v>450</v>
      </c>
      <c r="T685" t="s">
        <v>565</v>
      </c>
      <c r="U685">
        <v>2.6120720295184439E-2</v>
      </c>
      <c r="V685" t="s">
        <v>162</v>
      </c>
    </row>
    <row r="686" spans="9:22" x14ac:dyDescent="0.45">
      <c r="I686" t="s">
        <v>226</v>
      </c>
      <c r="J686" t="s">
        <v>566</v>
      </c>
      <c r="K686">
        <v>0.3000742710018941</v>
      </c>
      <c r="L686" t="s">
        <v>162</v>
      </c>
      <c r="N686" t="s">
        <v>338</v>
      </c>
      <c r="O686" t="s">
        <v>566</v>
      </c>
      <c r="P686">
        <v>0.11226936709099471</v>
      </c>
      <c r="Q686" t="s">
        <v>162</v>
      </c>
      <c r="S686" t="s">
        <v>450</v>
      </c>
      <c r="T686" t="s">
        <v>566</v>
      </c>
      <c r="U686">
        <v>0.10415516645234778</v>
      </c>
      <c r="V686" t="s">
        <v>162</v>
      </c>
    </row>
    <row r="687" spans="9:22" x14ac:dyDescent="0.45">
      <c r="I687" t="s">
        <v>226</v>
      </c>
      <c r="J687" t="s">
        <v>567</v>
      </c>
      <c r="K687">
        <v>1.4594674067169326E-2</v>
      </c>
      <c r="L687" t="s">
        <v>162</v>
      </c>
      <c r="N687" t="s">
        <v>338</v>
      </c>
      <c r="O687" t="s">
        <v>567</v>
      </c>
      <c r="P687">
        <v>0.1170784736675551</v>
      </c>
      <c r="Q687" t="s">
        <v>162</v>
      </c>
      <c r="S687" t="s">
        <v>450</v>
      </c>
      <c r="T687" t="s">
        <v>567</v>
      </c>
      <c r="U687">
        <v>0.11318725801558056</v>
      </c>
      <c r="V687" t="s">
        <v>162</v>
      </c>
    </row>
    <row r="688" spans="9:22" x14ac:dyDescent="0.45">
      <c r="I688" t="s">
        <v>226</v>
      </c>
      <c r="J688" t="s">
        <v>568</v>
      </c>
      <c r="K688">
        <v>4.0286118095353624E-2</v>
      </c>
      <c r="L688" t="s">
        <v>162</v>
      </c>
      <c r="N688" t="s">
        <v>338</v>
      </c>
      <c r="O688" t="s">
        <v>568</v>
      </c>
      <c r="P688">
        <v>2.0458586584100186E-2</v>
      </c>
      <c r="Q688" t="s">
        <v>162</v>
      </c>
      <c r="S688" t="s">
        <v>450</v>
      </c>
      <c r="T688" t="s">
        <v>568</v>
      </c>
      <c r="U688">
        <v>2.0370532150635848E-2</v>
      </c>
      <c r="V688" t="s">
        <v>162</v>
      </c>
    </row>
    <row r="689" spans="9:22" x14ac:dyDescent="0.45">
      <c r="I689" t="s">
        <v>226</v>
      </c>
      <c r="J689" t="s">
        <v>569</v>
      </c>
      <c r="K689">
        <v>0.28762937727527144</v>
      </c>
      <c r="L689" t="s">
        <v>162</v>
      </c>
      <c r="N689" t="s">
        <v>338</v>
      </c>
      <c r="O689" t="s">
        <v>569</v>
      </c>
      <c r="P689">
        <v>9.0153713247149908E-2</v>
      </c>
      <c r="Q689" t="s">
        <v>162</v>
      </c>
      <c r="S689" t="s">
        <v>450</v>
      </c>
      <c r="T689" t="s">
        <v>569</v>
      </c>
      <c r="U689">
        <v>0.10315244776385307</v>
      </c>
      <c r="V689" t="s">
        <v>162</v>
      </c>
    </row>
    <row r="690" spans="9:22" x14ac:dyDescent="0.45">
      <c r="I690" t="s">
        <v>226</v>
      </c>
      <c r="J690" t="s">
        <v>570</v>
      </c>
      <c r="K690">
        <v>2.8952343583117452E-2</v>
      </c>
      <c r="L690" t="s">
        <v>162</v>
      </c>
      <c r="N690" t="s">
        <v>338</v>
      </c>
      <c r="O690" t="s">
        <v>570</v>
      </c>
      <c r="P690">
        <v>9.3155347795140203E-2</v>
      </c>
      <c r="Q690" t="s">
        <v>162</v>
      </c>
      <c r="S690" t="s">
        <v>450</v>
      </c>
      <c r="T690" t="s">
        <v>570</v>
      </c>
      <c r="U690">
        <v>9.8550349448447178E-2</v>
      </c>
      <c r="V690" t="s">
        <v>162</v>
      </c>
    </row>
    <row r="691" spans="9:22" x14ac:dyDescent="0.45">
      <c r="I691" t="s">
        <v>226</v>
      </c>
      <c r="J691" t="s">
        <v>571</v>
      </c>
      <c r="K691">
        <v>4.1335966399181731E-2</v>
      </c>
      <c r="L691" t="s">
        <v>162</v>
      </c>
      <c r="N691" t="s">
        <v>338</v>
      </c>
      <c r="O691" t="s">
        <v>571</v>
      </c>
      <c r="P691">
        <v>1.6929827688388174E-2</v>
      </c>
      <c r="Q691" t="s">
        <v>162</v>
      </c>
      <c r="S691" t="s">
        <v>450</v>
      </c>
      <c r="T691" t="s">
        <v>571</v>
      </c>
      <c r="U691">
        <v>1.9501609331282938E-2</v>
      </c>
      <c r="V691" t="s">
        <v>162</v>
      </c>
    </row>
    <row r="692" spans="9:22" x14ac:dyDescent="0.45">
      <c r="I692" t="s">
        <v>226</v>
      </c>
      <c r="J692" t="s">
        <v>572</v>
      </c>
      <c r="K692">
        <v>9.1964901231753826E-2</v>
      </c>
      <c r="L692" t="s">
        <v>162</v>
      </c>
      <c r="N692" t="s">
        <v>338</v>
      </c>
      <c r="O692" t="s">
        <v>572</v>
      </c>
      <c r="P692">
        <v>0.13331414161388805</v>
      </c>
      <c r="Q692" t="s">
        <v>162</v>
      </c>
      <c r="S692" t="s">
        <v>450</v>
      </c>
      <c r="T692" t="s">
        <v>572</v>
      </c>
      <c r="U692">
        <v>0.10287446549839387</v>
      </c>
      <c r="V692" t="s">
        <v>162</v>
      </c>
    </row>
    <row r="693" spans="9:22" x14ac:dyDescent="0.45">
      <c r="I693" t="s">
        <v>226</v>
      </c>
      <c r="J693" t="s">
        <v>573</v>
      </c>
      <c r="K693">
        <v>0</v>
      </c>
      <c r="L693" t="s">
        <v>162</v>
      </c>
      <c r="N693" t="s">
        <v>338</v>
      </c>
      <c r="O693" t="s">
        <v>573</v>
      </c>
      <c r="P693">
        <v>0.13941225381572225</v>
      </c>
      <c r="Q693" t="s">
        <v>162</v>
      </c>
      <c r="S693" t="s">
        <v>450</v>
      </c>
      <c r="T693" t="s">
        <v>573</v>
      </c>
      <c r="U693">
        <v>0.10105643966335476</v>
      </c>
      <c r="V693" t="s">
        <v>162</v>
      </c>
    </row>
    <row r="694" spans="9:22" x14ac:dyDescent="0.45">
      <c r="I694" t="s">
        <v>226</v>
      </c>
      <c r="J694" t="s">
        <v>574</v>
      </c>
      <c r="K694">
        <v>2.8639347227009545E-3</v>
      </c>
      <c r="L694" t="s">
        <v>162</v>
      </c>
      <c r="N694" t="s">
        <v>338</v>
      </c>
      <c r="O694" t="s">
        <v>574</v>
      </c>
      <c r="P694">
        <v>2.4608505982259651E-2</v>
      </c>
      <c r="Q694" t="s">
        <v>162</v>
      </c>
      <c r="S694" t="s">
        <v>450</v>
      </c>
      <c r="T694" t="s">
        <v>574</v>
      </c>
      <c r="U694">
        <v>1.9374900613956678E-2</v>
      </c>
      <c r="V694" t="s">
        <v>162</v>
      </c>
    </row>
    <row r="695" spans="9:22" x14ac:dyDescent="0.45">
      <c r="I695" t="s">
        <v>227</v>
      </c>
      <c r="J695" t="s">
        <v>563</v>
      </c>
      <c r="K695">
        <v>0.11973881465483027</v>
      </c>
      <c r="L695" t="s">
        <v>162</v>
      </c>
      <c r="N695" t="s">
        <v>339</v>
      </c>
      <c r="O695" t="s">
        <v>563</v>
      </c>
      <c r="P695">
        <v>0.11151100763056762</v>
      </c>
      <c r="Q695" t="s">
        <v>162</v>
      </c>
      <c r="S695" t="s">
        <v>451</v>
      </c>
      <c r="T695" t="s">
        <v>563</v>
      </c>
      <c r="U695">
        <v>0.15845210483689354</v>
      </c>
      <c r="V695" t="s">
        <v>162</v>
      </c>
    </row>
    <row r="696" spans="9:22" x14ac:dyDescent="0.45">
      <c r="I696" t="s">
        <v>227</v>
      </c>
      <c r="J696" t="s">
        <v>564</v>
      </c>
      <c r="K696">
        <v>0</v>
      </c>
      <c r="L696" t="s">
        <v>162</v>
      </c>
      <c r="N696" t="s">
        <v>339</v>
      </c>
      <c r="O696" t="s">
        <v>564</v>
      </c>
      <c r="P696">
        <v>0.11601751269324093</v>
      </c>
      <c r="Q696" t="s">
        <v>162</v>
      </c>
      <c r="S696" t="s">
        <v>451</v>
      </c>
      <c r="T696" t="s">
        <v>564</v>
      </c>
      <c r="U696">
        <v>0.15856935013181678</v>
      </c>
      <c r="V696" t="s">
        <v>162</v>
      </c>
    </row>
    <row r="697" spans="9:22" x14ac:dyDescent="0.45">
      <c r="I697" t="s">
        <v>227</v>
      </c>
      <c r="J697" t="s">
        <v>565</v>
      </c>
      <c r="K697">
        <v>7.0285461321495397E-3</v>
      </c>
      <c r="L697" t="s">
        <v>162</v>
      </c>
      <c r="N697" t="s">
        <v>339</v>
      </c>
      <c r="O697" t="s">
        <v>565</v>
      </c>
      <c r="P697">
        <v>2.1953032718064276E-2</v>
      </c>
      <c r="Q697" t="s">
        <v>162</v>
      </c>
      <c r="S697" t="s">
        <v>451</v>
      </c>
      <c r="T697" t="s">
        <v>565</v>
      </c>
      <c r="U697">
        <v>2.8390453657112579E-2</v>
      </c>
      <c r="V697" t="s">
        <v>162</v>
      </c>
    </row>
    <row r="698" spans="9:22" x14ac:dyDescent="0.45">
      <c r="I698" t="s">
        <v>227</v>
      </c>
      <c r="J698" t="s">
        <v>566</v>
      </c>
      <c r="K698">
        <v>0.33213327732805809</v>
      </c>
      <c r="L698" t="s">
        <v>162</v>
      </c>
      <c r="N698" t="s">
        <v>339</v>
      </c>
      <c r="O698" t="s">
        <v>566</v>
      </c>
      <c r="P698">
        <v>0.11613462216077619</v>
      </c>
      <c r="Q698" t="s">
        <v>162</v>
      </c>
      <c r="S698" t="s">
        <v>451</v>
      </c>
      <c r="T698" t="s">
        <v>566</v>
      </c>
      <c r="U698">
        <v>9.607436219268814E-2</v>
      </c>
      <c r="V698" t="s">
        <v>162</v>
      </c>
    </row>
    <row r="699" spans="9:22" x14ac:dyDescent="0.45">
      <c r="I699" t="s">
        <v>227</v>
      </c>
      <c r="J699" t="s">
        <v>567</v>
      </c>
      <c r="K699">
        <v>1.330532314387603E-2</v>
      </c>
      <c r="L699" t="s">
        <v>162</v>
      </c>
      <c r="N699" t="s">
        <v>339</v>
      </c>
      <c r="O699" t="s">
        <v>567</v>
      </c>
      <c r="P699">
        <v>0.1207708745043428</v>
      </c>
      <c r="Q699" t="s">
        <v>162</v>
      </c>
      <c r="S699" t="s">
        <v>451</v>
      </c>
      <c r="T699" t="s">
        <v>567</v>
      </c>
      <c r="U699">
        <v>0.10559446291640909</v>
      </c>
      <c r="V699" t="s">
        <v>162</v>
      </c>
    </row>
    <row r="700" spans="9:22" x14ac:dyDescent="0.45">
      <c r="I700" t="s">
        <v>227</v>
      </c>
      <c r="J700" t="s">
        <v>568</v>
      </c>
      <c r="K700">
        <v>3.8248587019064091E-2</v>
      </c>
      <c r="L700" t="s">
        <v>162</v>
      </c>
      <c r="N700" t="s">
        <v>339</v>
      </c>
      <c r="O700" t="s">
        <v>568</v>
      </c>
      <c r="P700">
        <v>2.1571406705676949E-2</v>
      </c>
      <c r="Q700" t="s">
        <v>162</v>
      </c>
      <c r="S700" t="s">
        <v>451</v>
      </c>
      <c r="T700" t="s">
        <v>568</v>
      </c>
      <c r="U700">
        <v>1.8153449688416066E-2</v>
      </c>
      <c r="V700" t="s">
        <v>162</v>
      </c>
    </row>
    <row r="701" spans="9:22" x14ac:dyDescent="0.45">
      <c r="I701" t="s">
        <v>227</v>
      </c>
      <c r="J701" t="s">
        <v>569</v>
      </c>
      <c r="K701">
        <v>0.3003538125020852</v>
      </c>
      <c r="L701" t="s">
        <v>162</v>
      </c>
      <c r="N701" t="s">
        <v>339</v>
      </c>
      <c r="O701" t="s">
        <v>569</v>
      </c>
      <c r="P701">
        <v>8.893321025875639E-2</v>
      </c>
      <c r="Q701" t="s">
        <v>162</v>
      </c>
      <c r="S701" t="s">
        <v>451</v>
      </c>
      <c r="T701" t="s">
        <v>569</v>
      </c>
      <c r="U701">
        <v>0.10395612149018589</v>
      </c>
      <c r="V701" t="s">
        <v>162</v>
      </c>
    </row>
    <row r="702" spans="9:22" x14ac:dyDescent="0.45">
      <c r="I702" t="s">
        <v>227</v>
      </c>
      <c r="J702" t="s">
        <v>570</v>
      </c>
      <c r="K702">
        <v>3.0816733011874906E-2</v>
      </c>
      <c r="L702" t="s">
        <v>162</v>
      </c>
      <c r="N702" t="s">
        <v>339</v>
      </c>
      <c r="O702" t="s">
        <v>570</v>
      </c>
      <c r="P702">
        <v>9.796717309842079E-2</v>
      </c>
      <c r="Q702" t="s">
        <v>162</v>
      </c>
      <c r="S702" t="s">
        <v>451</v>
      </c>
      <c r="T702" t="s">
        <v>570</v>
      </c>
      <c r="U702">
        <v>0.10717228900127203</v>
      </c>
      <c r="V702" t="s">
        <v>162</v>
      </c>
    </row>
    <row r="703" spans="9:22" x14ac:dyDescent="0.45">
      <c r="I703" t="s">
        <v>227</v>
      </c>
      <c r="J703" t="s">
        <v>571</v>
      </c>
      <c r="K703">
        <v>3.7755415900102229E-2</v>
      </c>
      <c r="L703" t="s">
        <v>162</v>
      </c>
      <c r="N703" t="s">
        <v>339</v>
      </c>
      <c r="O703" t="s">
        <v>571</v>
      </c>
      <c r="P703">
        <v>1.7536056310884302E-2</v>
      </c>
      <c r="Q703" t="s">
        <v>162</v>
      </c>
      <c r="S703" t="s">
        <v>451</v>
      </c>
      <c r="T703" t="s">
        <v>571</v>
      </c>
      <c r="U703">
        <v>2.0472710292626432E-2</v>
      </c>
      <c r="V703" t="s">
        <v>162</v>
      </c>
    </row>
    <row r="704" spans="9:22" x14ac:dyDescent="0.45">
      <c r="I704" t="s">
        <v>227</v>
      </c>
      <c r="J704" t="s">
        <v>572</v>
      </c>
      <c r="K704">
        <v>0.11964111261135423</v>
      </c>
      <c r="L704" t="s">
        <v>162</v>
      </c>
      <c r="N704" t="s">
        <v>339</v>
      </c>
      <c r="O704" t="s">
        <v>572</v>
      </c>
      <c r="P704">
        <v>0.12799771758335146</v>
      </c>
      <c r="Q704" t="s">
        <v>162</v>
      </c>
      <c r="S704" t="s">
        <v>451</v>
      </c>
      <c r="T704" t="s">
        <v>572</v>
      </c>
      <c r="U704">
        <v>9.1750482068608002E-2</v>
      </c>
      <c r="V704" t="s">
        <v>162</v>
      </c>
    </row>
    <row r="705" spans="9:22" x14ac:dyDescent="0.45">
      <c r="I705" t="s">
        <v>227</v>
      </c>
      <c r="J705" t="s">
        <v>573</v>
      </c>
      <c r="K705">
        <v>0</v>
      </c>
      <c r="L705" t="s">
        <v>162</v>
      </c>
      <c r="N705" t="s">
        <v>339</v>
      </c>
      <c r="O705" t="s">
        <v>573</v>
      </c>
      <c r="P705">
        <v>0.1351206859348639</v>
      </c>
      <c r="Q705" t="s">
        <v>162</v>
      </c>
      <c r="S705" t="s">
        <v>451</v>
      </c>
      <c r="T705" t="s">
        <v>573</v>
      </c>
      <c r="U705">
        <v>9.3898232765027428E-2</v>
      </c>
      <c r="V705" t="s">
        <v>162</v>
      </c>
    </row>
    <row r="706" spans="9:22" x14ac:dyDescent="0.45">
      <c r="I706" t="s">
        <v>227</v>
      </c>
      <c r="J706" t="s">
        <v>574</v>
      </c>
      <c r="K706">
        <v>9.7837769660320925E-4</v>
      </c>
      <c r="L706" t="s">
        <v>162</v>
      </c>
      <c r="N706" t="s">
        <v>339</v>
      </c>
      <c r="O706" t="s">
        <v>574</v>
      </c>
      <c r="P706">
        <v>2.4486700401054346E-2</v>
      </c>
      <c r="Q706" t="s">
        <v>162</v>
      </c>
      <c r="S706" t="s">
        <v>451</v>
      </c>
      <c r="T706" t="s">
        <v>574</v>
      </c>
      <c r="U706">
        <v>1.7515980958944622E-2</v>
      </c>
      <c r="V706" t="s">
        <v>162</v>
      </c>
    </row>
    <row r="707" spans="9:22" x14ac:dyDescent="0.45">
      <c r="I707" t="s">
        <v>228</v>
      </c>
      <c r="J707" t="s">
        <v>563</v>
      </c>
      <c r="K707">
        <v>0.12616823785468212</v>
      </c>
      <c r="L707" t="s">
        <v>162</v>
      </c>
      <c r="N707" t="s">
        <v>340</v>
      </c>
      <c r="O707" t="s">
        <v>563</v>
      </c>
      <c r="P707">
        <v>0.11003077778990109</v>
      </c>
      <c r="Q707" t="s">
        <v>162</v>
      </c>
      <c r="S707" t="s">
        <v>452</v>
      </c>
      <c r="T707" t="s">
        <v>563</v>
      </c>
      <c r="U707">
        <v>0.14617438037194735</v>
      </c>
      <c r="V707" t="s">
        <v>162</v>
      </c>
    </row>
    <row r="708" spans="9:22" x14ac:dyDescent="0.45">
      <c r="I708" t="s">
        <v>228</v>
      </c>
      <c r="J708" t="s">
        <v>564</v>
      </c>
      <c r="K708">
        <v>0</v>
      </c>
      <c r="L708" t="s">
        <v>162</v>
      </c>
      <c r="N708" t="s">
        <v>340</v>
      </c>
      <c r="O708" t="s">
        <v>564</v>
      </c>
      <c r="P708">
        <v>0.11122692169457273</v>
      </c>
      <c r="Q708" t="s">
        <v>162</v>
      </c>
      <c r="S708" t="s">
        <v>452</v>
      </c>
      <c r="T708" t="s">
        <v>564</v>
      </c>
      <c r="U708">
        <v>0.14317143240083779</v>
      </c>
      <c r="V708" t="s">
        <v>162</v>
      </c>
    </row>
    <row r="709" spans="9:22" x14ac:dyDescent="0.45">
      <c r="I709" t="s">
        <v>228</v>
      </c>
      <c r="J709" t="s">
        <v>565</v>
      </c>
      <c r="K709">
        <v>5.998577929827097E-3</v>
      </c>
      <c r="L709" t="s">
        <v>162</v>
      </c>
      <c r="N709" t="s">
        <v>340</v>
      </c>
      <c r="O709" t="s">
        <v>565</v>
      </c>
      <c r="P709">
        <v>2.0101029728787315E-2</v>
      </c>
      <c r="Q709" t="s">
        <v>162</v>
      </c>
      <c r="S709" t="s">
        <v>452</v>
      </c>
      <c r="T709" t="s">
        <v>565</v>
      </c>
      <c r="U709">
        <v>2.7023811221047953E-2</v>
      </c>
      <c r="V709" t="s">
        <v>162</v>
      </c>
    </row>
    <row r="710" spans="9:22" x14ac:dyDescent="0.45">
      <c r="I710" t="s">
        <v>228</v>
      </c>
      <c r="J710" t="s">
        <v>566</v>
      </c>
      <c r="K710">
        <v>0.32494551561977097</v>
      </c>
      <c r="L710" t="s">
        <v>162</v>
      </c>
      <c r="N710" t="s">
        <v>340</v>
      </c>
      <c r="O710" t="s">
        <v>566</v>
      </c>
      <c r="P710">
        <v>0.11226515976183431</v>
      </c>
      <c r="Q710" t="s">
        <v>162</v>
      </c>
      <c r="S710" t="s">
        <v>452</v>
      </c>
      <c r="T710" t="s">
        <v>566</v>
      </c>
      <c r="U710">
        <v>9.1092549783643187E-2</v>
      </c>
      <c r="V710" t="s">
        <v>162</v>
      </c>
    </row>
    <row r="711" spans="9:22" x14ac:dyDescent="0.45">
      <c r="I711" t="s">
        <v>228</v>
      </c>
      <c r="J711" t="s">
        <v>567</v>
      </c>
      <c r="K711">
        <v>1.0920950755849767E-2</v>
      </c>
      <c r="L711" t="s">
        <v>162</v>
      </c>
      <c r="N711" t="s">
        <v>340</v>
      </c>
      <c r="O711" t="s">
        <v>567</v>
      </c>
      <c r="P711">
        <v>0.12175399825952483</v>
      </c>
      <c r="Q711" t="s">
        <v>162</v>
      </c>
      <c r="S711" t="s">
        <v>452</v>
      </c>
      <c r="T711" t="s">
        <v>567</v>
      </c>
      <c r="U711">
        <v>9.9635585349040379E-2</v>
      </c>
      <c r="V711" t="s">
        <v>162</v>
      </c>
    </row>
    <row r="712" spans="9:22" x14ac:dyDescent="0.45">
      <c r="I712" t="s">
        <v>228</v>
      </c>
      <c r="J712" t="s">
        <v>568</v>
      </c>
      <c r="K712">
        <v>3.4174475542809869E-2</v>
      </c>
      <c r="L712" t="s">
        <v>162</v>
      </c>
      <c r="N712" t="s">
        <v>340</v>
      </c>
      <c r="O712" t="s">
        <v>568</v>
      </c>
      <c r="P712">
        <v>2.0617385919018537E-2</v>
      </c>
      <c r="Q712" t="s">
        <v>162</v>
      </c>
      <c r="S712" t="s">
        <v>452</v>
      </c>
      <c r="T712" t="s">
        <v>568</v>
      </c>
      <c r="U712">
        <v>1.7706889093270655E-2</v>
      </c>
      <c r="V712" t="s">
        <v>162</v>
      </c>
    </row>
    <row r="713" spans="9:22" x14ac:dyDescent="0.45">
      <c r="I713" t="s">
        <v>228</v>
      </c>
      <c r="J713" t="s">
        <v>569</v>
      </c>
      <c r="K713">
        <v>0.29808738795114686</v>
      </c>
      <c r="L713" t="s">
        <v>162</v>
      </c>
      <c r="N713" t="s">
        <v>340</v>
      </c>
      <c r="O713" t="s">
        <v>569</v>
      </c>
      <c r="P713">
        <v>8.3319986159233972E-2</v>
      </c>
      <c r="Q713" t="s">
        <v>162</v>
      </c>
      <c r="S713" t="s">
        <v>452</v>
      </c>
      <c r="T713" t="s">
        <v>569</v>
      </c>
      <c r="U713">
        <v>9.6491762440961831E-2</v>
      </c>
      <c r="V713" t="s">
        <v>162</v>
      </c>
    </row>
    <row r="714" spans="9:22" x14ac:dyDescent="0.45">
      <c r="I714" t="s">
        <v>228</v>
      </c>
      <c r="J714" t="s">
        <v>570</v>
      </c>
      <c r="K714">
        <v>2.9364511340949331E-2</v>
      </c>
      <c r="L714" t="s">
        <v>162</v>
      </c>
      <c r="N714" t="s">
        <v>340</v>
      </c>
      <c r="O714" t="s">
        <v>570</v>
      </c>
      <c r="P714">
        <v>8.7628139392112753E-2</v>
      </c>
      <c r="Q714" t="s">
        <v>162</v>
      </c>
      <c r="S714" t="s">
        <v>452</v>
      </c>
      <c r="T714" t="s">
        <v>570</v>
      </c>
      <c r="U714">
        <v>0.10026962475050971</v>
      </c>
      <c r="V714" t="s">
        <v>162</v>
      </c>
    </row>
    <row r="715" spans="9:22" x14ac:dyDescent="0.45">
      <c r="I715" t="s">
        <v>228</v>
      </c>
      <c r="J715" t="s">
        <v>571</v>
      </c>
      <c r="K715">
        <v>3.5973936176131247E-2</v>
      </c>
      <c r="L715" t="s">
        <v>162</v>
      </c>
      <c r="N715" t="s">
        <v>340</v>
      </c>
      <c r="O715" t="s">
        <v>571</v>
      </c>
      <c r="P715">
        <v>1.4946286742412869E-2</v>
      </c>
      <c r="Q715" t="s">
        <v>162</v>
      </c>
      <c r="S715" t="s">
        <v>452</v>
      </c>
      <c r="T715" t="s">
        <v>571</v>
      </c>
      <c r="U715">
        <v>1.9465709756938173E-2</v>
      </c>
      <c r="V715" t="s">
        <v>162</v>
      </c>
    </row>
    <row r="716" spans="9:22" x14ac:dyDescent="0.45">
      <c r="I716" t="s">
        <v>228</v>
      </c>
      <c r="J716" t="s">
        <v>572</v>
      </c>
      <c r="K716">
        <v>0.13345060258936969</v>
      </c>
      <c r="L716" t="s">
        <v>162</v>
      </c>
      <c r="N716" t="s">
        <v>340</v>
      </c>
      <c r="O716" t="s">
        <v>572</v>
      </c>
      <c r="P716">
        <v>0.1403551606389393</v>
      </c>
      <c r="Q716" t="s">
        <v>162</v>
      </c>
      <c r="S716" t="s">
        <v>452</v>
      </c>
      <c r="T716" t="s">
        <v>572</v>
      </c>
      <c r="U716">
        <v>0.1183556340991789</v>
      </c>
      <c r="V716" t="s">
        <v>162</v>
      </c>
    </row>
    <row r="717" spans="9:22" x14ac:dyDescent="0.45">
      <c r="I717" t="s">
        <v>228</v>
      </c>
      <c r="J717" t="s">
        <v>573</v>
      </c>
      <c r="K717">
        <v>0</v>
      </c>
      <c r="L717" t="s">
        <v>162</v>
      </c>
      <c r="N717" t="s">
        <v>340</v>
      </c>
      <c r="O717" t="s">
        <v>573</v>
      </c>
      <c r="P717">
        <v>0.15038601628932466</v>
      </c>
      <c r="Q717" t="s">
        <v>162</v>
      </c>
      <c r="S717" t="s">
        <v>452</v>
      </c>
      <c r="T717" t="s">
        <v>573</v>
      </c>
      <c r="U717">
        <v>0.11816668751517222</v>
      </c>
      <c r="V717" t="s">
        <v>162</v>
      </c>
    </row>
    <row r="718" spans="9:22" x14ac:dyDescent="0.45">
      <c r="I718" t="s">
        <v>228</v>
      </c>
      <c r="J718" t="s">
        <v>574</v>
      </c>
      <c r="K718">
        <v>9.158042394650141E-4</v>
      </c>
      <c r="L718" t="s">
        <v>162</v>
      </c>
      <c r="N718" t="s">
        <v>340</v>
      </c>
      <c r="O718" t="s">
        <v>574</v>
      </c>
      <c r="P718">
        <v>2.7369137624336997E-2</v>
      </c>
      <c r="Q718" t="s">
        <v>162</v>
      </c>
      <c r="S718" t="s">
        <v>452</v>
      </c>
      <c r="T718" t="s">
        <v>574</v>
      </c>
      <c r="U718">
        <v>2.2445933217454396E-2</v>
      </c>
      <c r="V718" t="s">
        <v>162</v>
      </c>
    </row>
    <row r="719" spans="9:22" x14ac:dyDescent="0.45">
      <c r="I719" t="s">
        <v>229</v>
      </c>
      <c r="J719" t="s">
        <v>563</v>
      </c>
      <c r="K719">
        <v>0.10974011174895201</v>
      </c>
      <c r="L719" t="s">
        <v>162</v>
      </c>
      <c r="N719" t="s">
        <v>341</v>
      </c>
      <c r="O719" t="s">
        <v>563</v>
      </c>
      <c r="P719">
        <v>0.11732319933552822</v>
      </c>
      <c r="Q719" t="s">
        <v>162</v>
      </c>
      <c r="S719" t="s">
        <v>453</v>
      </c>
      <c r="T719" t="s">
        <v>563</v>
      </c>
      <c r="U719">
        <v>0.15636660178401901</v>
      </c>
      <c r="V719" t="s">
        <v>162</v>
      </c>
    </row>
    <row r="720" spans="9:22" x14ac:dyDescent="0.45">
      <c r="I720" t="s">
        <v>229</v>
      </c>
      <c r="J720" t="s">
        <v>564</v>
      </c>
      <c r="K720">
        <v>2.0612140387964199E-6</v>
      </c>
      <c r="L720" t="s">
        <v>162</v>
      </c>
      <c r="N720" t="s">
        <v>341</v>
      </c>
      <c r="O720" t="s">
        <v>564</v>
      </c>
      <c r="P720">
        <v>0.11148626802676904</v>
      </c>
      <c r="Q720" t="s">
        <v>162</v>
      </c>
      <c r="S720" t="s">
        <v>453</v>
      </c>
      <c r="T720" t="s">
        <v>564</v>
      </c>
      <c r="U720">
        <v>0.15356626669572515</v>
      </c>
      <c r="V720" t="s">
        <v>162</v>
      </c>
    </row>
    <row r="721" spans="9:22" x14ac:dyDescent="0.45">
      <c r="I721" t="s">
        <v>229</v>
      </c>
      <c r="J721" t="s">
        <v>565</v>
      </c>
      <c r="K721">
        <v>3.157041092436141E-3</v>
      </c>
      <c r="L721" t="s">
        <v>162</v>
      </c>
      <c r="N721" t="s">
        <v>341</v>
      </c>
      <c r="O721" t="s">
        <v>565</v>
      </c>
      <c r="P721">
        <v>2.1808476074309024E-2</v>
      </c>
      <c r="Q721" t="s">
        <v>162</v>
      </c>
      <c r="S721" t="s">
        <v>453</v>
      </c>
      <c r="T721" t="s">
        <v>565</v>
      </c>
      <c r="U721">
        <v>2.8260222410696589E-2</v>
      </c>
      <c r="V721" t="s">
        <v>162</v>
      </c>
    </row>
    <row r="722" spans="9:22" x14ac:dyDescent="0.45">
      <c r="I722" t="s">
        <v>229</v>
      </c>
      <c r="J722" t="s">
        <v>566</v>
      </c>
      <c r="K722">
        <v>0.33612378141066224</v>
      </c>
      <c r="L722" t="s">
        <v>162</v>
      </c>
      <c r="N722" t="s">
        <v>341</v>
      </c>
      <c r="O722" t="s">
        <v>566</v>
      </c>
      <c r="P722">
        <v>0.1138184777381057</v>
      </c>
      <c r="Q722" t="s">
        <v>162</v>
      </c>
      <c r="S722" t="s">
        <v>453</v>
      </c>
      <c r="T722" t="s">
        <v>566</v>
      </c>
      <c r="U722">
        <v>0.1044483692694344</v>
      </c>
      <c r="V722" t="s">
        <v>162</v>
      </c>
    </row>
    <row r="723" spans="9:22" x14ac:dyDescent="0.45">
      <c r="I723" t="s">
        <v>229</v>
      </c>
      <c r="J723" t="s">
        <v>567</v>
      </c>
      <c r="K723">
        <v>1.1333016339724569E-2</v>
      </c>
      <c r="L723" t="s">
        <v>162</v>
      </c>
      <c r="N723" t="s">
        <v>341</v>
      </c>
      <c r="O723" t="s">
        <v>567</v>
      </c>
      <c r="P723">
        <v>0.12910386805550347</v>
      </c>
      <c r="Q723" t="s">
        <v>162</v>
      </c>
      <c r="S723" t="s">
        <v>453</v>
      </c>
      <c r="T723" t="s">
        <v>567</v>
      </c>
      <c r="U723">
        <v>0.1156259098664706</v>
      </c>
      <c r="V723" t="s">
        <v>162</v>
      </c>
    </row>
    <row r="724" spans="9:22" x14ac:dyDescent="0.45">
      <c r="I724" t="s">
        <v>229</v>
      </c>
      <c r="J724" t="s">
        <v>568</v>
      </c>
      <c r="K724">
        <v>2.9404456645349745E-2</v>
      </c>
      <c r="L724" t="s">
        <v>162</v>
      </c>
      <c r="N724" t="s">
        <v>341</v>
      </c>
      <c r="O724" t="s">
        <v>568</v>
      </c>
      <c r="P724">
        <v>2.2503628349557398E-2</v>
      </c>
      <c r="Q724" t="s">
        <v>162</v>
      </c>
      <c r="S724" t="s">
        <v>453</v>
      </c>
      <c r="T724" t="s">
        <v>568</v>
      </c>
      <c r="U724">
        <v>1.9533463507768838E-2</v>
      </c>
      <c r="V724" t="s">
        <v>162</v>
      </c>
    </row>
    <row r="725" spans="9:22" x14ac:dyDescent="0.45">
      <c r="I725" t="s">
        <v>229</v>
      </c>
      <c r="J725" t="s">
        <v>569</v>
      </c>
      <c r="K725">
        <v>0.31633127426354529</v>
      </c>
      <c r="L725" t="s">
        <v>162</v>
      </c>
      <c r="N725" t="s">
        <v>341</v>
      </c>
      <c r="O725" t="s">
        <v>569</v>
      </c>
      <c r="P725">
        <v>9.3356820632831225E-2</v>
      </c>
      <c r="Q725" t="s">
        <v>162</v>
      </c>
      <c r="S725" t="s">
        <v>453</v>
      </c>
      <c r="T725" t="s">
        <v>569</v>
      </c>
      <c r="U725">
        <v>8.4827920308302163E-2</v>
      </c>
      <c r="V725" t="s">
        <v>162</v>
      </c>
    </row>
    <row r="726" spans="9:22" x14ac:dyDescent="0.45">
      <c r="I726" t="s">
        <v>229</v>
      </c>
      <c r="J726" t="s">
        <v>570</v>
      </c>
      <c r="K726">
        <v>3.9500940946187856E-2</v>
      </c>
      <c r="L726" t="s">
        <v>162</v>
      </c>
      <c r="N726" t="s">
        <v>341</v>
      </c>
      <c r="O726" t="s">
        <v>570</v>
      </c>
      <c r="P726">
        <v>8.0155372724682344E-2</v>
      </c>
      <c r="Q726" t="s">
        <v>162</v>
      </c>
      <c r="S726" t="s">
        <v>453</v>
      </c>
      <c r="T726" t="s">
        <v>570</v>
      </c>
      <c r="U726">
        <v>0.10361980857606168</v>
      </c>
      <c r="V726" t="s">
        <v>162</v>
      </c>
    </row>
    <row r="727" spans="9:22" x14ac:dyDescent="0.45">
      <c r="I727" t="s">
        <v>229</v>
      </c>
      <c r="J727" t="s">
        <v>571</v>
      </c>
      <c r="K727">
        <v>3.8809519512246544E-2</v>
      </c>
      <c r="L727" t="s">
        <v>162</v>
      </c>
      <c r="N727" t="s">
        <v>341</v>
      </c>
      <c r="O727" t="s">
        <v>571</v>
      </c>
      <c r="P727">
        <v>1.4655195309323276E-2</v>
      </c>
      <c r="Q727" t="s">
        <v>162</v>
      </c>
      <c r="S727" t="s">
        <v>453</v>
      </c>
      <c r="T727" t="s">
        <v>571</v>
      </c>
      <c r="U727">
        <v>1.5877922881903598E-2</v>
      </c>
      <c r="V727" t="s">
        <v>162</v>
      </c>
    </row>
    <row r="728" spans="9:22" x14ac:dyDescent="0.45">
      <c r="I728" t="s">
        <v>229</v>
      </c>
      <c r="J728" t="s">
        <v>572</v>
      </c>
      <c r="K728">
        <v>0.11528274910761141</v>
      </c>
      <c r="L728" t="s">
        <v>162</v>
      </c>
      <c r="N728" t="s">
        <v>341</v>
      </c>
      <c r="O728" t="s">
        <v>572</v>
      </c>
      <c r="P728">
        <v>0.12560616456682627</v>
      </c>
      <c r="Q728" t="s">
        <v>162</v>
      </c>
      <c r="S728" t="s">
        <v>453</v>
      </c>
      <c r="T728" t="s">
        <v>572</v>
      </c>
      <c r="U728">
        <v>9.5195758603109304E-2</v>
      </c>
      <c r="V728" t="s">
        <v>162</v>
      </c>
    </row>
    <row r="729" spans="9:22" x14ac:dyDescent="0.45">
      <c r="I729" t="s">
        <v>229</v>
      </c>
      <c r="J729" t="s">
        <v>573</v>
      </c>
      <c r="K729">
        <v>0</v>
      </c>
      <c r="L729" t="s">
        <v>162</v>
      </c>
      <c r="N729" t="s">
        <v>341</v>
      </c>
      <c r="O729" t="s">
        <v>573</v>
      </c>
      <c r="P729">
        <v>0.14389100316813119</v>
      </c>
      <c r="Q729" t="s">
        <v>162</v>
      </c>
      <c r="S729" t="s">
        <v>453</v>
      </c>
      <c r="T729" t="s">
        <v>573</v>
      </c>
      <c r="U729">
        <v>0.10342304042003266</v>
      </c>
      <c r="V729" t="s">
        <v>162</v>
      </c>
    </row>
    <row r="730" spans="9:22" x14ac:dyDescent="0.45">
      <c r="I730" t="s">
        <v>229</v>
      </c>
      <c r="J730" t="s">
        <v>574</v>
      </c>
      <c r="K730">
        <v>3.1504771924686828E-4</v>
      </c>
      <c r="L730" t="s">
        <v>162</v>
      </c>
      <c r="N730" t="s">
        <v>341</v>
      </c>
      <c r="O730" t="s">
        <v>574</v>
      </c>
      <c r="P730">
        <v>2.6291526018437362E-2</v>
      </c>
      <c r="Q730" t="s">
        <v>162</v>
      </c>
      <c r="S730" t="s">
        <v>453</v>
      </c>
      <c r="T730" t="s">
        <v>574</v>
      </c>
      <c r="U730">
        <v>1.9254715676475496E-2</v>
      </c>
      <c r="V730" t="s">
        <v>162</v>
      </c>
    </row>
    <row r="731" spans="9:22" x14ac:dyDescent="0.45">
      <c r="I731" t="s">
        <v>230</v>
      </c>
      <c r="J731" t="s">
        <v>563</v>
      </c>
      <c r="K731">
        <v>0.11718871740170431</v>
      </c>
      <c r="L731" t="s">
        <v>162</v>
      </c>
      <c r="N731" t="s">
        <v>342</v>
      </c>
      <c r="O731" t="s">
        <v>563</v>
      </c>
      <c r="P731">
        <v>0.10794224935891542</v>
      </c>
      <c r="Q731" t="s">
        <v>162</v>
      </c>
      <c r="S731" t="s">
        <v>454</v>
      </c>
      <c r="T731" t="s">
        <v>563</v>
      </c>
      <c r="U731">
        <v>0.14304818942102646</v>
      </c>
      <c r="V731" t="s">
        <v>162</v>
      </c>
    </row>
    <row r="732" spans="9:22" x14ac:dyDescent="0.45">
      <c r="I732" t="s">
        <v>230</v>
      </c>
      <c r="J732" t="s">
        <v>564</v>
      </c>
      <c r="K732">
        <v>7.4723595625647812E-8</v>
      </c>
      <c r="L732" t="s">
        <v>162</v>
      </c>
      <c r="N732" t="s">
        <v>342</v>
      </c>
      <c r="O732" t="s">
        <v>564</v>
      </c>
      <c r="P732">
        <v>0.11254079948694233</v>
      </c>
      <c r="Q732" t="s">
        <v>162</v>
      </c>
      <c r="S732" t="s">
        <v>454</v>
      </c>
      <c r="T732" t="s">
        <v>564</v>
      </c>
      <c r="U732">
        <v>0.14337251246135799</v>
      </c>
      <c r="V732" t="s">
        <v>162</v>
      </c>
    </row>
    <row r="733" spans="9:22" x14ac:dyDescent="0.45">
      <c r="I733" t="s">
        <v>230</v>
      </c>
      <c r="J733" t="s">
        <v>565</v>
      </c>
      <c r="K733">
        <v>3.9905904238189778E-3</v>
      </c>
      <c r="L733" t="s">
        <v>162</v>
      </c>
      <c r="N733" t="s">
        <v>342</v>
      </c>
      <c r="O733" t="s">
        <v>565</v>
      </c>
      <c r="P733">
        <v>2.1118055525529086E-2</v>
      </c>
      <c r="Q733" t="s">
        <v>162</v>
      </c>
      <c r="S733" t="s">
        <v>454</v>
      </c>
      <c r="T733" t="s">
        <v>565</v>
      </c>
      <c r="U733">
        <v>2.5787341947793689E-2</v>
      </c>
      <c r="V733" t="s">
        <v>162</v>
      </c>
    </row>
    <row r="734" spans="9:22" x14ac:dyDescent="0.45">
      <c r="I734" t="s">
        <v>230</v>
      </c>
      <c r="J734" t="s">
        <v>566</v>
      </c>
      <c r="K734">
        <v>0.32669725478607431</v>
      </c>
      <c r="L734" t="s">
        <v>162</v>
      </c>
      <c r="N734" t="s">
        <v>342</v>
      </c>
      <c r="O734" t="s">
        <v>566</v>
      </c>
      <c r="P734">
        <v>0.11243057915485868</v>
      </c>
      <c r="Q734" t="s">
        <v>162</v>
      </c>
      <c r="S734" t="s">
        <v>454</v>
      </c>
      <c r="T734" t="s">
        <v>566</v>
      </c>
      <c r="U734">
        <v>9.2923753759068653E-2</v>
      </c>
      <c r="V734" t="s">
        <v>162</v>
      </c>
    </row>
    <row r="735" spans="9:22" x14ac:dyDescent="0.45">
      <c r="I735" t="s">
        <v>230</v>
      </c>
      <c r="J735" t="s">
        <v>567</v>
      </c>
      <c r="K735">
        <v>1.0281188596806804E-2</v>
      </c>
      <c r="L735" t="s">
        <v>162</v>
      </c>
      <c r="N735" t="s">
        <v>342</v>
      </c>
      <c r="O735" t="s">
        <v>567</v>
      </c>
      <c r="P735">
        <v>0.13049470248011294</v>
      </c>
      <c r="Q735" t="s">
        <v>162</v>
      </c>
      <c r="S735" t="s">
        <v>454</v>
      </c>
      <c r="T735" t="s">
        <v>567</v>
      </c>
      <c r="U735">
        <v>0.10406301580920854</v>
      </c>
      <c r="V735" t="s">
        <v>162</v>
      </c>
    </row>
    <row r="736" spans="9:22" x14ac:dyDescent="0.45">
      <c r="I736" t="s">
        <v>230</v>
      </c>
      <c r="J736" t="s">
        <v>568</v>
      </c>
      <c r="K736">
        <v>2.8498956586430722E-2</v>
      </c>
      <c r="L736" t="s">
        <v>162</v>
      </c>
      <c r="N736" t="s">
        <v>342</v>
      </c>
      <c r="O736" t="s">
        <v>568</v>
      </c>
      <c r="P736">
        <v>2.132291704948645E-2</v>
      </c>
      <c r="Q736" t="s">
        <v>162</v>
      </c>
      <c r="S736" t="s">
        <v>454</v>
      </c>
      <c r="T736" t="s">
        <v>568</v>
      </c>
      <c r="U736">
        <v>1.9379113366830784E-2</v>
      </c>
      <c r="V736" t="s">
        <v>162</v>
      </c>
    </row>
    <row r="737" spans="9:22" x14ac:dyDescent="0.45">
      <c r="I737" t="s">
        <v>230</v>
      </c>
      <c r="J737" t="s">
        <v>569</v>
      </c>
      <c r="K737">
        <v>0.31080357798350794</v>
      </c>
      <c r="L737" t="s">
        <v>162</v>
      </c>
      <c r="N737" t="s">
        <v>342</v>
      </c>
      <c r="O737" t="s">
        <v>569</v>
      </c>
      <c r="P737">
        <v>8.3111651772764444E-2</v>
      </c>
      <c r="Q737" t="s">
        <v>162</v>
      </c>
      <c r="S737" t="s">
        <v>454</v>
      </c>
      <c r="T737" t="s">
        <v>569</v>
      </c>
      <c r="U737">
        <v>9.8212993264023052E-2</v>
      </c>
      <c r="V737" t="s">
        <v>162</v>
      </c>
    </row>
    <row r="738" spans="9:22" x14ac:dyDescent="0.45">
      <c r="I738" t="s">
        <v>230</v>
      </c>
      <c r="J738" t="s">
        <v>570</v>
      </c>
      <c r="K738">
        <v>3.4539143503195389E-2</v>
      </c>
      <c r="L738" t="s">
        <v>162</v>
      </c>
      <c r="N738" t="s">
        <v>342</v>
      </c>
      <c r="O738" t="s">
        <v>570</v>
      </c>
      <c r="P738">
        <v>8.4688380009457331E-2</v>
      </c>
      <c r="Q738" t="s">
        <v>162</v>
      </c>
      <c r="S738" t="s">
        <v>454</v>
      </c>
      <c r="T738" t="s">
        <v>570</v>
      </c>
      <c r="U738">
        <v>0.10755364308788515</v>
      </c>
      <c r="V738" t="s">
        <v>162</v>
      </c>
    </row>
    <row r="739" spans="9:22" x14ac:dyDescent="0.45">
      <c r="I739" t="s">
        <v>230</v>
      </c>
      <c r="J739" t="s">
        <v>571</v>
      </c>
      <c r="K739">
        <v>3.722968889348837E-2</v>
      </c>
      <c r="L739" t="s">
        <v>162</v>
      </c>
      <c r="N739" t="s">
        <v>342</v>
      </c>
      <c r="O739" t="s">
        <v>571</v>
      </c>
      <c r="P739">
        <v>1.6182851185357162E-2</v>
      </c>
      <c r="Q739" t="s">
        <v>162</v>
      </c>
      <c r="S739" t="s">
        <v>454</v>
      </c>
      <c r="T739" t="s">
        <v>571</v>
      </c>
      <c r="U739">
        <v>1.9956153177194774E-2</v>
      </c>
      <c r="V739" t="s">
        <v>162</v>
      </c>
    </row>
    <row r="740" spans="9:22" x14ac:dyDescent="0.45">
      <c r="I740" t="s">
        <v>230</v>
      </c>
      <c r="J740" t="s">
        <v>572</v>
      </c>
      <c r="K740">
        <v>0.13037401333754681</v>
      </c>
      <c r="L740" t="s">
        <v>162</v>
      </c>
      <c r="N740" t="s">
        <v>342</v>
      </c>
      <c r="O740" t="s">
        <v>572</v>
      </c>
      <c r="P740">
        <v>0.12851025455367793</v>
      </c>
      <c r="Q740" t="s">
        <v>162</v>
      </c>
      <c r="S740" t="s">
        <v>454</v>
      </c>
      <c r="T740" t="s">
        <v>572</v>
      </c>
      <c r="U740">
        <v>0.11015104639855644</v>
      </c>
      <c r="V740" t="s">
        <v>162</v>
      </c>
    </row>
    <row r="741" spans="9:22" x14ac:dyDescent="0.45">
      <c r="I741" t="s">
        <v>230</v>
      </c>
      <c r="J741" t="s">
        <v>573</v>
      </c>
      <c r="K741">
        <v>0</v>
      </c>
      <c r="L741" t="s">
        <v>162</v>
      </c>
      <c r="N741" t="s">
        <v>342</v>
      </c>
      <c r="O741" t="s">
        <v>573</v>
      </c>
      <c r="P741">
        <v>0.15478348127436836</v>
      </c>
      <c r="Q741" t="s">
        <v>162</v>
      </c>
      <c r="S741" t="s">
        <v>454</v>
      </c>
      <c r="T741" t="s">
        <v>573</v>
      </c>
      <c r="U741">
        <v>0.11427718013204927</v>
      </c>
      <c r="V741" t="s">
        <v>162</v>
      </c>
    </row>
    <row r="742" spans="9:22" x14ac:dyDescent="0.45">
      <c r="I742" t="s">
        <v>230</v>
      </c>
      <c r="J742" t="s">
        <v>574</v>
      </c>
      <c r="K742">
        <v>3.9679376383031681E-4</v>
      </c>
      <c r="L742" t="s">
        <v>162</v>
      </c>
      <c r="N742" t="s">
        <v>342</v>
      </c>
      <c r="O742" t="s">
        <v>574</v>
      </c>
      <c r="P742">
        <v>2.687407814852982E-2</v>
      </c>
      <c r="Q742" t="s">
        <v>162</v>
      </c>
      <c r="S742" t="s">
        <v>454</v>
      </c>
      <c r="T742" t="s">
        <v>574</v>
      </c>
      <c r="U742">
        <v>2.1275057175002884E-2</v>
      </c>
      <c r="V742" t="s">
        <v>162</v>
      </c>
    </row>
    <row r="743" spans="9:22" x14ac:dyDescent="0.45">
      <c r="I743" t="s">
        <v>231</v>
      </c>
      <c r="J743" t="s">
        <v>563</v>
      </c>
      <c r="K743">
        <v>0.10921087856818466</v>
      </c>
      <c r="L743" t="s">
        <v>162</v>
      </c>
      <c r="N743" t="s">
        <v>343</v>
      </c>
      <c r="O743" t="s">
        <v>563</v>
      </c>
      <c r="P743">
        <v>0.12023671165181309</v>
      </c>
      <c r="Q743" t="s">
        <v>162</v>
      </c>
      <c r="S743" t="s">
        <v>455</v>
      </c>
      <c r="T743" t="s">
        <v>563</v>
      </c>
      <c r="U743">
        <v>0.1154471728034004</v>
      </c>
      <c r="V743" t="s">
        <v>162</v>
      </c>
    </row>
    <row r="744" spans="9:22" x14ac:dyDescent="0.45">
      <c r="I744" t="s">
        <v>231</v>
      </c>
      <c r="J744" t="s">
        <v>564</v>
      </c>
      <c r="K744">
        <v>2.5119682490505786E-4</v>
      </c>
      <c r="L744" t="s">
        <v>162</v>
      </c>
      <c r="N744" t="s">
        <v>343</v>
      </c>
      <c r="O744" t="s">
        <v>564</v>
      </c>
      <c r="P744">
        <v>0.12421759532138171</v>
      </c>
      <c r="Q744" t="s">
        <v>162</v>
      </c>
      <c r="S744" t="s">
        <v>455</v>
      </c>
      <c r="T744" t="s">
        <v>564</v>
      </c>
      <c r="U744">
        <v>0.11755781132933273</v>
      </c>
      <c r="V744" t="s">
        <v>162</v>
      </c>
    </row>
    <row r="745" spans="9:22" x14ac:dyDescent="0.45">
      <c r="I745" t="s">
        <v>231</v>
      </c>
      <c r="J745" t="s">
        <v>565</v>
      </c>
      <c r="K745">
        <v>7.5933225496433226E-3</v>
      </c>
      <c r="L745" t="s">
        <v>162</v>
      </c>
      <c r="N745" t="s">
        <v>343</v>
      </c>
      <c r="O745" t="s">
        <v>565</v>
      </c>
      <c r="P745">
        <v>2.0719660541516284E-2</v>
      </c>
      <c r="Q745" t="s">
        <v>162</v>
      </c>
      <c r="S745" t="s">
        <v>455</v>
      </c>
      <c r="T745" t="s">
        <v>565</v>
      </c>
      <c r="U745">
        <v>2.1790075870811079E-2</v>
      </c>
      <c r="V745" t="s">
        <v>162</v>
      </c>
    </row>
    <row r="746" spans="9:22" x14ac:dyDescent="0.45">
      <c r="I746" t="s">
        <v>231</v>
      </c>
      <c r="J746" t="s">
        <v>566</v>
      </c>
      <c r="K746">
        <v>0.33055766685821847</v>
      </c>
      <c r="L746" t="s">
        <v>162</v>
      </c>
      <c r="N746" t="s">
        <v>343</v>
      </c>
      <c r="O746" t="s">
        <v>566</v>
      </c>
      <c r="P746">
        <v>0.11011921028680759</v>
      </c>
      <c r="Q746" t="s">
        <v>162</v>
      </c>
      <c r="S746" t="s">
        <v>455</v>
      </c>
      <c r="T746" t="s">
        <v>566</v>
      </c>
      <c r="U746">
        <v>0.12002518438909295</v>
      </c>
      <c r="V746" t="s">
        <v>162</v>
      </c>
    </row>
    <row r="747" spans="9:22" x14ac:dyDescent="0.45">
      <c r="I747" t="s">
        <v>231</v>
      </c>
      <c r="J747" t="s">
        <v>567</v>
      </c>
      <c r="K747">
        <v>1.7856749535249145E-2</v>
      </c>
      <c r="L747" t="s">
        <v>162</v>
      </c>
      <c r="N747" t="s">
        <v>343</v>
      </c>
      <c r="O747" t="s">
        <v>567</v>
      </c>
      <c r="P747">
        <v>0.11214051813593656</v>
      </c>
      <c r="Q747" t="s">
        <v>162</v>
      </c>
      <c r="S747" t="s">
        <v>455</v>
      </c>
      <c r="T747" t="s">
        <v>567</v>
      </c>
      <c r="U747">
        <v>0.11911671714317379</v>
      </c>
      <c r="V747" t="s">
        <v>162</v>
      </c>
    </row>
    <row r="748" spans="9:22" x14ac:dyDescent="0.45">
      <c r="I748" t="s">
        <v>231</v>
      </c>
      <c r="J748" t="s">
        <v>568</v>
      </c>
      <c r="K748">
        <v>4.4648289467404359E-2</v>
      </c>
      <c r="L748" t="s">
        <v>162</v>
      </c>
      <c r="N748" t="s">
        <v>343</v>
      </c>
      <c r="O748" t="s">
        <v>568</v>
      </c>
      <c r="P748">
        <v>1.974537871168866E-2</v>
      </c>
      <c r="Q748" t="s">
        <v>162</v>
      </c>
      <c r="S748" t="s">
        <v>455</v>
      </c>
      <c r="T748" t="s">
        <v>568</v>
      </c>
      <c r="U748">
        <v>2.0758269545708027E-2</v>
      </c>
      <c r="V748" t="s">
        <v>162</v>
      </c>
    </row>
    <row r="749" spans="9:22" x14ac:dyDescent="0.45">
      <c r="I749" t="s">
        <v>231</v>
      </c>
      <c r="J749" t="s">
        <v>569</v>
      </c>
      <c r="K749">
        <v>0.3096164154484583</v>
      </c>
      <c r="L749" t="s">
        <v>162</v>
      </c>
      <c r="N749" t="s">
        <v>343</v>
      </c>
      <c r="O749" t="s">
        <v>569</v>
      </c>
      <c r="P749">
        <v>9.288442465946449E-2</v>
      </c>
      <c r="Q749" t="s">
        <v>162</v>
      </c>
      <c r="S749" t="s">
        <v>455</v>
      </c>
      <c r="T749" t="s">
        <v>569</v>
      </c>
      <c r="U749">
        <v>0.10488636181523182</v>
      </c>
      <c r="V749" t="s">
        <v>162</v>
      </c>
    </row>
    <row r="750" spans="9:22" x14ac:dyDescent="0.45">
      <c r="I750" t="s">
        <v>231</v>
      </c>
      <c r="J750" t="s">
        <v>570</v>
      </c>
      <c r="K750">
        <v>3.9769618330768364E-2</v>
      </c>
      <c r="L750" t="s">
        <v>162</v>
      </c>
      <c r="N750" t="s">
        <v>343</v>
      </c>
      <c r="O750" t="s">
        <v>570</v>
      </c>
      <c r="P750">
        <v>8.897575197665103E-2</v>
      </c>
      <c r="Q750" t="s">
        <v>162</v>
      </c>
      <c r="S750" t="s">
        <v>455</v>
      </c>
      <c r="T750" t="s">
        <v>570</v>
      </c>
      <c r="U750">
        <v>0.10877135614425544</v>
      </c>
      <c r="V750" t="s">
        <v>162</v>
      </c>
    </row>
    <row r="751" spans="9:22" x14ac:dyDescent="0.45">
      <c r="I751" t="s">
        <v>231</v>
      </c>
      <c r="J751" t="s">
        <v>571</v>
      </c>
      <c r="K751">
        <v>4.2054945733362187E-2</v>
      </c>
      <c r="L751" t="s">
        <v>162</v>
      </c>
      <c r="N751" t="s">
        <v>343</v>
      </c>
      <c r="O751" t="s">
        <v>571</v>
      </c>
      <c r="P751">
        <v>1.4837032699472246E-2</v>
      </c>
      <c r="Q751" t="s">
        <v>162</v>
      </c>
      <c r="S751" t="s">
        <v>455</v>
      </c>
      <c r="T751" t="s">
        <v>571</v>
      </c>
      <c r="U751">
        <v>1.8844821344058738E-2</v>
      </c>
      <c r="V751" t="s">
        <v>162</v>
      </c>
    </row>
    <row r="752" spans="9:22" x14ac:dyDescent="0.45">
      <c r="I752" t="s">
        <v>231</v>
      </c>
      <c r="J752" t="s">
        <v>572</v>
      </c>
      <c r="K752">
        <v>9.712203625604135E-2</v>
      </c>
      <c r="L752" t="s">
        <v>162</v>
      </c>
      <c r="N752" t="s">
        <v>343</v>
      </c>
      <c r="O752" t="s">
        <v>572</v>
      </c>
      <c r="P752">
        <v>0.13529424475324975</v>
      </c>
      <c r="Q752" t="s">
        <v>162</v>
      </c>
      <c r="S752" t="s">
        <v>455</v>
      </c>
      <c r="T752" t="s">
        <v>572</v>
      </c>
      <c r="U752">
        <v>0.11619365166358421</v>
      </c>
      <c r="V752" t="s">
        <v>162</v>
      </c>
    </row>
    <row r="753" spans="9:22" x14ac:dyDescent="0.45">
      <c r="I753" t="s">
        <v>231</v>
      </c>
      <c r="J753" t="s">
        <v>573</v>
      </c>
      <c r="K753">
        <v>0</v>
      </c>
      <c r="L753" t="s">
        <v>162</v>
      </c>
      <c r="N753" t="s">
        <v>343</v>
      </c>
      <c r="O753" t="s">
        <v>573</v>
      </c>
      <c r="P753">
        <v>0.13661089545524288</v>
      </c>
      <c r="Q753" t="s">
        <v>162</v>
      </c>
      <c r="S753" t="s">
        <v>455</v>
      </c>
      <c r="T753" t="s">
        <v>573</v>
      </c>
      <c r="U753">
        <v>0.11581733572481415</v>
      </c>
      <c r="V753" t="s">
        <v>162</v>
      </c>
    </row>
    <row r="754" spans="9:22" x14ac:dyDescent="0.45">
      <c r="I754" t="s">
        <v>231</v>
      </c>
      <c r="J754" t="s">
        <v>574</v>
      </c>
      <c r="K754">
        <v>1.318880427763192E-3</v>
      </c>
      <c r="L754" t="s">
        <v>162</v>
      </c>
      <c r="N754" t="s">
        <v>343</v>
      </c>
      <c r="O754" t="s">
        <v>574</v>
      </c>
      <c r="P754">
        <v>2.4218575806774185E-2</v>
      </c>
      <c r="Q754" t="s">
        <v>162</v>
      </c>
      <c r="S754" t="s">
        <v>455</v>
      </c>
      <c r="T754" t="s">
        <v>574</v>
      </c>
      <c r="U754">
        <v>2.0791242226534185E-2</v>
      </c>
      <c r="V754" t="s">
        <v>162</v>
      </c>
    </row>
    <row r="755" spans="9:22" x14ac:dyDescent="0.45">
      <c r="I755" t="s">
        <v>232</v>
      </c>
      <c r="J755" t="s">
        <v>563</v>
      </c>
      <c r="K755">
        <v>0.10341795626821104</v>
      </c>
      <c r="L755" t="s">
        <v>162</v>
      </c>
      <c r="N755" t="s">
        <v>344</v>
      </c>
      <c r="O755" t="s">
        <v>563</v>
      </c>
      <c r="P755">
        <v>0.11380866108376232</v>
      </c>
      <c r="Q755" t="s">
        <v>162</v>
      </c>
      <c r="S755" t="s">
        <v>456</v>
      </c>
      <c r="T755" t="s">
        <v>563</v>
      </c>
      <c r="U755">
        <v>0.11095885820902333</v>
      </c>
      <c r="V755" t="s">
        <v>162</v>
      </c>
    </row>
    <row r="756" spans="9:22" x14ac:dyDescent="0.45">
      <c r="I756" t="s">
        <v>232</v>
      </c>
      <c r="J756" t="s">
        <v>564</v>
      </c>
      <c r="K756">
        <v>6.7245985485568989E-6</v>
      </c>
      <c r="L756" t="s">
        <v>162</v>
      </c>
      <c r="N756" t="s">
        <v>344</v>
      </c>
      <c r="O756" t="s">
        <v>564</v>
      </c>
      <c r="P756">
        <v>0.11182430870381163</v>
      </c>
      <c r="Q756" t="s">
        <v>162</v>
      </c>
      <c r="S756" t="s">
        <v>456</v>
      </c>
      <c r="T756" t="s">
        <v>564</v>
      </c>
      <c r="U756">
        <v>0.11376519099852862</v>
      </c>
      <c r="V756" t="s">
        <v>162</v>
      </c>
    </row>
    <row r="757" spans="9:22" x14ac:dyDescent="0.45">
      <c r="I757" t="s">
        <v>232</v>
      </c>
      <c r="J757" t="s">
        <v>565</v>
      </c>
      <c r="K757">
        <v>5.1261876348281978E-3</v>
      </c>
      <c r="L757" t="s">
        <v>162</v>
      </c>
      <c r="N757" t="s">
        <v>344</v>
      </c>
      <c r="O757" t="s">
        <v>565</v>
      </c>
      <c r="P757">
        <v>1.9877298684199518E-2</v>
      </c>
      <c r="Q757" t="s">
        <v>162</v>
      </c>
      <c r="S757" t="s">
        <v>456</v>
      </c>
      <c r="T757" t="s">
        <v>565</v>
      </c>
      <c r="U757">
        <v>2.124416905282173E-2</v>
      </c>
      <c r="V757" t="s">
        <v>162</v>
      </c>
    </row>
    <row r="758" spans="9:22" x14ac:dyDescent="0.45">
      <c r="I758" t="s">
        <v>232</v>
      </c>
      <c r="J758" t="s">
        <v>566</v>
      </c>
      <c r="K758">
        <v>0.3404983528285086</v>
      </c>
      <c r="L758" t="s">
        <v>162</v>
      </c>
      <c r="N758" t="s">
        <v>344</v>
      </c>
      <c r="O758" t="s">
        <v>566</v>
      </c>
      <c r="P758">
        <v>0.10327879125780748</v>
      </c>
      <c r="Q758" t="s">
        <v>162</v>
      </c>
      <c r="S758" t="s">
        <v>456</v>
      </c>
      <c r="T758" t="s">
        <v>566</v>
      </c>
      <c r="U758">
        <v>0.11919095188538749</v>
      </c>
      <c r="V758" t="s">
        <v>162</v>
      </c>
    </row>
    <row r="759" spans="9:22" x14ac:dyDescent="0.45">
      <c r="I759" t="s">
        <v>232</v>
      </c>
      <c r="J759" t="s">
        <v>567</v>
      </c>
      <c r="K759">
        <v>1.3644477130684157E-2</v>
      </c>
      <c r="L759" t="s">
        <v>162</v>
      </c>
      <c r="N759" t="s">
        <v>344</v>
      </c>
      <c r="O759" t="s">
        <v>567</v>
      </c>
      <c r="P759">
        <v>0.10916295821914791</v>
      </c>
      <c r="Q759" t="s">
        <v>162</v>
      </c>
      <c r="S759" t="s">
        <v>456</v>
      </c>
      <c r="T759" t="s">
        <v>567</v>
      </c>
      <c r="U759">
        <v>0.11859466381517809</v>
      </c>
      <c r="V759" t="s">
        <v>162</v>
      </c>
    </row>
    <row r="760" spans="9:22" x14ac:dyDescent="0.45">
      <c r="I760" t="s">
        <v>232</v>
      </c>
      <c r="J760" t="s">
        <v>568</v>
      </c>
      <c r="K760">
        <v>3.6515063088779671E-2</v>
      </c>
      <c r="L760" t="s">
        <v>162</v>
      </c>
      <c r="N760" t="s">
        <v>344</v>
      </c>
      <c r="O760" t="s">
        <v>568</v>
      </c>
      <c r="P760">
        <v>1.944476216151568E-2</v>
      </c>
      <c r="Q760" t="s">
        <v>162</v>
      </c>
      <c r="S760" t="s">
        <v>456</v>
      </c>
      <c r="T760" t="s">
        <v>568</v>
      </c>
      <c r="U760">
        <v>2.0982161512257291E-2</v>
      </c>
      <c r="V760" t="s">
        <v>162</v>
      </c>
    </row>
    <row r="761" spans="9:22" x14ac:dyDescent="0.45">
      <c r="I761" t="s">
        <v>232</v>
      </c>
      <c r="J761" t="s">
        <v>569</v>
      </c>
      <c r="K761">
        <v>0.31213202618502134</v>
      </c>
      <c r="L761" t="s">
        <v>162</v>
      </c>
      <c r="N761" t="s">
        <v>344</v>
      </c>
      <c r="O761" t="s">
        <v>569</v>
      </c>
      <c r="P761">
        <v>0.1054949052529256</v>
      </c>
      <c r="Q761" t="s">
        <v>162</v>
      </c>
      <c r="S761" t="s">
        <v>456</v>
      </c>
      <c r="T761" t="s">
        <v>569</v>
      </c>
      <c r="U761">
        <v>0.11041834588393858</v>
      </c>
      <c r="V761" t="s">
        <v>162</v>
      </c>
    </row>
    <row r="762" spans="9:22" x14ac:dyDescent="0.45">
      <c r="I762" t="s">
        <v>232</v>
      </c>
      <c r="J762" t="s">
        <v>570</v>
      </c>
      <c r="K762">
        <v>3.8082427464232363E-2</v>
      </c>
      <c r="L762" t="s">
        <v>162</v>
      </c>
      <c r="N762" t="s">
        <v>344</v>
      </c>
      <c r="O762" t="s">
        <v>570</v>
      </c>
      <c r="P762">
        <v>9.5069044216345516E-2</v>
      </c>
      <c r="Q762" t="s">
        <v>162</v>
      </c>
      <c r="S762" t="s">
        <v>456</v>
      </c>
      <c r="T762" t="s">
        <v>570</v>
      </c>
      <c r="U762">
        <v>0.12048093086433873</v>
      </c>
      <c r="V762" t="s">
        <v>162</v>
      </c>
    </row>
    <row r="763" spans="9:22" x14ac:dyDescent="0.45">
      <c r="I763" t="s">
        <v>232</v>
      </c>
      <c r="J763" t="s">
        <v>571</v>
      </c>
      <c r="K763">
        <v>3.8832990479584571E-2</v>
      </c>
      <c r="L763" t="s">
        <v>162</v>
      </c>
      <c r="N763" t="s">
        <v>344</v>
      </c>
      <c r="O763" t="s">
        <v>571</v>
      </c>
      <c r="P763">
        <v>1.821730696337364E-2</v>
      </c>
      <c r="Q763" t="s">
        <v>162</v>
      </c>
      <c r="S763" t="s">
        <v>456</v>
      </c>
      <c r="T763" t="s">
        <v>571</v>
      </c>
      <c r="U763">
        <v>1.9509786578746136E-2</v>
      </c>
      <c r="V763" t="s">
        <v>162</v>
      </c>
    </row>
    <row r="764" spans="9:22" x14ac:dyDescent="0.45">
      <c r="I764" t="s">
        <v>232</v>
      </c>
      <c r="J764" t="s">
        <v>572</v>
      </c>
      <c r="K764">
        <v>0.11107863716766295</v>
      </c>
      <c r="L764" t="s">
        <v>162</v>
      </c>
      <c r="N764" t="s">
        <v>344</v>
      </c>
      <c r="O764" t="s">
        <v>572</v>
      </c>
      <c r="P764">
        <v>0.13368399421756236</v>
      </c>
      <c r="Q764" t="s">
        <v>162</v>
      </c>
      <c r="S764" t="s">
        <v>456</v>
      </c>
      <c r="T764" t="s">
        <v>572</v>
      </c>
      <c r="U764">
        <v>0.11120405408830358</v>
      </c>
      <c r="V764" t="s">
        <v>162</v>
      </c>
    </row>
    <row r="765" spans="9:22" x14ac:dyDescent="0.45">
      <c r="I765" t="s">
        <v>232</v>
      </c>
      <c r="J765" t="s">
        <v>573</v>
      </c>
      <c r="K765">
        <v>0</v>
      </c>
      <c r="L765" t="s">
        <v>162</v>
      </c>
      <c r="N765" t="s">
        <v>344</v>
      </c>
      <c r="O765" t="s">
        <v>573</v>
      </c>
      <c r="P765">
        <v>0.14447101479553626</v>
      </c>
      <c r="Q765" t="s">
        <v>162</v>
      </c>
      <c r="S765" t="s">
        <v>456</v>
      </c>
      <c r="T765" t="s">
        <v>573</v>
      </c>
      <c r="U765">
        <v>0.11331988702079149</v>
      </c>
      <c r="V765" t="s">
        <v>162</v>
      </c>
    </row>
    <row r="766" spans="9:22" x14ac:dyDescent="0.45">
      <c r="I766" t="s">
        <v>232</v>
      </c>
      <c r="J766" t="s">
        <v>574</v>
      </c>
      <c r="K766">
        <v>6.6515715393860707E-4</v>
      </c>
      <c r="L766" t="s">
        <v>162</v>
      </c>
      <c r="N766" t="s">
        <v>344</v>
      </c>
      <c r="O766" t="s">
        <v>574</v>
      </c>
      <c r="P766">
        <v>2.5666954444012544E-2</v>
      </c>
      <c r="Q766" t="s">
        <v>162</v>
      </c>
      <c r="S766" t="s">
        <v>456</v>
      </c>
      <c r="T766" t="s">
        <v>574</v>
      </c>
      <c r="U766">
        <v>2.0331000090684101E-2</v>
      </c>
      <c r="V766" t="s">
        <v>162</v>
      </c>
    </row>
    <row r="767" spans="9:22" x14ac:dyDescent="0.45">
      <c r="I767" t="s">
        <v>233</v>
      </c>
      <c r="J767" t="s">
        <v>563</v>
      </c>
      <c r="K767">
        <v>0.14924984404453837</v>
      </c>
      <c r="L767" t="s">
        <v>162</v>
      </c>
      <c r="N767" t="s">
        <v>345</v>
      </c>
      <c r="O767" t="s">
        <v>563</v>
      </c>
      <c r="P767">
        <v>0.1137630181007124</v>
      </c>
      <c r="Q767" t="s">
        <v>162</v>
      </c>
      <c r="S767" t="s">
        <v>457</v>
      </c>
      <c r="T767" t="s">
        <v>563</v>
      </c>
      <c r="U767">
        <v>0.13181189324679896</v>
      </c>
      <c r="V767" t="s">
        <v>162</v>
      </c>
    </row>
    <row r="768" spans="9:22" x14ac:dyDescent="0.45">
      <c r="I768" t="s">
        <v>233</v>
      </c>
      <c r="J768" t="s">
        <v>564</v>
      </c>
      <c r="K768">
        <v>0</v>
      </c>
      <c r="L768" t="s">
        <v>162</v>
      </c>
      <c r="N768" t="s">
        <v>345</v>
      </c>
      <c r="O768" t="s">
        <v>564</v>
      </c>
      <c r="P768">
        <v>0.1156204969958475</v>
      </c>
      <c r="Q768" t="s">
        <v>162</v>
      </c>
      <c r="S768" t="s">
        <v>457</v>
      </c>
      <c r="T768" t="s">
        <v>564</v>
      </c>
      <c r="U768">
        <v>0.12848595353096545</v>
      </c>
      <c r="V768" t="s">
        <v>162</v>
      </c>
    </row>
    <row r="769" spans="9:22" x14ac:dyDescent="0.45">
      <c r="I769" t="s">
        <v>233</v>
      </c>
      <c r="J769" t="s">
        <v>565</v>
      </c>
      <c r="K769">
        <v>9.5265366225858721E-3</v>
      </c>
      <c r="L769" t="s">
        <v>162</v>
      </c>
      <c r="N769" t="s">
        <v>345</v>
      </c>
      <c r="O769" t="s">
        <v>565</v>
      </c>
      <c r="P769">
        <v>2.0092377212244047E-2</v>
      </c>
      <c r="Q769" t="s">
        <v>162</v>
      </c>
      <c r="S769" t="s">
        <v>457</v>
      </c>
      <c r="T769" t="s">
        <v>565</v>
      </c>
      <c r="U769">
        <v>2.3773375633640632E-2</v>
      </c>
      <c r="V769" t="s">
        <v>162</v>
      </c>
    </row>
    <row r="770" spans="9:22" x14ac:dyDescent="0.45">
      <c r="I770" t="s">
        <v>233</v>
      </c>
      <c r="J770" t="s">
        <v>566</v>
      </c>
      <c r="K770">
        <v>0.32059305449686909</v>
      </c>
      <c r="L770" t="s">
        <v>162</v>
      </c>
      <c r="N770" t="s">
        <v>345</v>
      </c>
      <c r="O770" t="s">
        <v>566</v>
      </c>
      <c r="P770">
        <v>0.11056181611991518</v>
      </c>
      <c r="Q770" t="s">
        <v>162</v>
      </c>
      <c r="S770" t="s">
        <v>457</v>
      </c>
      <c r="T770" t="s">
        <v>566</v>
      </c>
      <c r="U770">
        <v>9.9918492685417026E-2</v>
      </c>
      <c r="V770" t="s">
        <v>162</v>
      </c>
    </row>
    <row r="771" spans="9:22" x14ac:dyDescent="0.45">
      <c r="I771" t="s">
        <v>233</v>
      </c>
      <c r="J771" t="s">
        <v>567</v>
      </c>
      <c r="K771">
        <v>1.0850928192577661E-2</v>
      </c>
      <c r="L771" t="s">
        <v>162</v>
      </c>
      <c r="N771" t="s">
        <v>345</v>
      </c>
      <c r="O771" t="s">
        <v>567</v>
      </c>
      <c r="P771">
        <v>0.11280349293471451</v>
      </c>
      <c r="Q771" t="s">
        <v>162</v>
      </c>
      <c r="S771" t="s">
        <v>457</v>
      </c>
      <c r="T771" t="s">
        <v>567</v>
      </c>
      <c r="U771">
        <v>0.10241937100906497</v>
      </c>
      <c r="V771" t="s">
        <v>162</v>
      </c>
    </row>
    <row r="772" spans="9:22" x14ac:dyDescent="0.45">
      <c r="I772" t="s">
        <v>233</v>
      </c>
      <c r="J772" t="s">
        <v>568</v>
      </c>
      <c r="K772">
        <v>3.87272437475693E-2</v>
      </c>
      <c r="L772" t="s">
        <v>162</v>
      </c>
      <c r="N772" t="s">
        <v>345</v>
      </c>
      <c r="O772" t="s">
        <v>568</v>
      </c>
      <c r="P772">
        <v>2.0316703501926756E-2</v>
      </c>
      <c r="Q772" t="s">
        <v>162</v>
      </c>
      <c r="S772" t="s">
        <v>457</v>
      </c>
      <c r="T772" t="s">
        <v>568</v>
      </c>
      <c r="U772">
        <v>1.8902721599443791E-2</v>
      </c>
      <c r="V772" t="s">
        <v>162</v>
      </c>
    </row>
    <row r="773" spans="9:22" x14ac:dyDescent="0.45">
      <c r="I773" t="s">
        <v>233</v>
      </c>
      <c r="J773" t="s">
        <v>569</v>
      </c>
      <c r="K773">
        <v>0.27887200452588923</v>
      </c>
      <c r="L773" t="s">
        <v>162</v>
      </c>
      <c r="N773" t="s">
        <v>345</v>
      </c>
      <c r="O773" t="s">
        <v>569</v>
      </c>
      <c r="P773">
        <v>9.7005598379043642E-2</v>
      </c>
      <c r="Q773" t="s">
        <v>162</v>
      </c>
      <c r="S773" t="s">
        <v>457</v>
      </c>
      <c r="T773" t="s">
        <v>569</v>
      </c>
      <c r="U773">
        <v>0.10846608814504594</v>
      </c>
      <c r="V773" t="s">
        <v>162</v>
      </c>
    </row>
    <row r="774" spans="9:22" x14ac:dyDescent="0.45">
      <c r="I774" t="s">
        <v>233</v>
      </c>
      <c r="J774" t="s">
        <v>570</v>
      </c>
      <c r="K774">
        <v>2.3448593989960284E-2</v>
      </c>
      <c r="L774" t="s">
        <v>162</v>
      </c>
      <c r="N774" t="s">
        <v>345</v>
      </c>
      <c r="O774" t="s">
        <v>570</v>
      </c>
      <c r="P774">
        <v>9.2511254261562814E-2</v>
      </c>
      <c r="Q774" t="s">
        <v>162</v>
      </c>
      <c r="S774" t="s">
        <v>457</v>
      </c>
      <c r="T774" t="s">
        <v>570</v>
      </c>
      <c r="U774">
        <v>0.11654412989807739</v>
      </c>
      <c r="V774" t="s">
        <v>162</v>
      </c>
    </row>
    <row r="775" spans="9:22" x14ac:dyDescent="0.45">
      <c r="I775" t="s">
        <v>233</v>
      </c>
      <c r="J775" t="s">
        <v>571</v>
      </c>
      <c r="K775">
        <v>3.6863702798690397E-2</v>
      </c>
      <c r="L775" t="s">
        <v>162</v>
      </c>
      <c r="N775" t="s">
        <v>345</v>
      </c>
      <c r="O775" t="s">
        <v>571</v>
      </c>
      <c r="P775">
        <v>1.6713964704221915E-2</v>
      </c>
      <c r="Q775" t="s">
        <v>162</v>
      </c>
      <c r="S775" t="s">
        <v>457</v>
      </c>
      <c r="T775" t="s">
        <v>571</v>
      </c>
      <c r="U775">
        <v>2.060443903150774E-2</v>
      </c>
      <c r="V775" t="s">
        <v>162</v>
      </c>
    </row>
    <row r="776" spans="9:22" x14ac:dyDescent="0.45">
      <c r="I776" t="s">
        <v>233</v>
      </c>
      <c r="J776" t="s">
        <v>572</v>
      </c>
      <c r="K776">
        <v>0.12977843059738281</v>
      </c>
      <c r="L776" t="s">
        <v>162</v>
      </c>
      <c r="N776" t="s">
        <v>345</v>
      </c>
      <c r="O776" t="s">
        <v>572</v>
      </c>
      <c r="P776">
        <v>0.13246135364423955</v>
      </c>
      <c r="Q776" t="s">
        <v>162</v>
      </c>
      <c r="S776" t="s">
        <v>457</v>
      </c>
      <c r="T776" t="s">
        <v>572</v>
      </c>
      <c r="U776">
        <v>0.11508976148419935</v>
      </c>
      <c r="V776" t="s">
        <v>162</v>
      </c>
    </row>
    <row r="777" spans="9:22" x14ac:dyDescent="0.45">
      <c r="I777" t="s">
        <v>233</v>
      </c>
      <c r="J777" t="s">
        <v>573</v>
      </c>
      <c r="K777">
        <v>0</v>
      </c>
      <c r="L777" t="s">
        <v>162</v>
      </c>
      <c r="N777" t="s">
        <v>345</v>
      </c>
      <c r="O777" t="s">
        <v>573</v>
      </c>
      <c r="P777">
        <v>0.14278369642678115</v>
      </c>
      <c r="Q777" t="s">
        <v>162</v>
      </c>
      <c r="S777" t="s">
        <v>457</v>
      </c>
      <c r="T777" t="s">
        <v>573</v>
      </c>
      <c r="U777">
        <v>0.11323814006193353</v>
      </c>
      <c r="V777" t="s">
        <v>162</v>
      </c>
    </row>
    <row r="778" spans="9:22" x14ac:dyDescent="0.45">
      <c r="I778" t="s">
        <v>233</v>
      </c>
      <c r="J778" t="s">
        <v>574</v>
      </c>
      <c r="K778">
        <v>2.089660983937851E-3</v>
      </c>
      <c r="L778" t="s">
        <v>162</v>
      </c>
      <c r="N778" t="s">
        <v>345</v>
      </c>
      <c r="O778" t="s">
        <v>574</v>
      </c>
      <c r="P778">
        <v>2.5366227718785724E-2</v>
      </c>
      <c r="Q778" t="s">
        <v>162</v>
      </c>
      <c r="S778" t="s">
        <v>457</v>
      </c>
      <c r="T778" t="s">
        <v>574</v>
      </c>
      <c r="U778">
        <v>2.0745633673906409E-2</v>
      </c>
      <c r="V778" t="s">
        <v>162</v>
      </c>
    </row>
    <row r="779" spans="9:22" x14ac:dyDescent="0.45">
      <c r="I779" t="s">
        <v>234</v>
      </c>
      <c r="J779" t="s">
        <v>563</v>
      </c>
      <c r="K779">
        <v>0.17283453128527893</v>
      </c>
      <c r="L779" t="s">
        <v>162</v>
      </c>
      <c r="N779" t="s">
        <v>346</v>
      </c>
      <c r="O779" t="s">
        <v>563</v>
      </c>
      <c r="P779">
        <v>0.12015441226895035</v>
      </c>
      <c r="Q779" t="s">
        <v>162</v>
      </c>
      <c r="S779" t="s">
        <v>458</v>
      </c>
      <c r="T779" t="s">
        <v>563</v>
      </c>
      <c r="U779">
        <v>0.12157986359839258</v>
      </c>
      <c r="V779" t="s">
        <v>162</v>
      </c>
    </row>
    <row r="780" spans="9:22" x14ac:dyDescent="0.45">
      <c r="I780" t="s">
        <v>234</v>
      </c>
      <c r="J780" t="s">
        <v>564</v>
      </c>
      <c r="K780">
        <v>0</v>
      </c>
      <c r="L780" t="s">
        <v>162</v>
      </c>
      <c r="N780" t="s">
        <v>346</v>
      </c>
      <c r="O780" t="s">
        <v>564</v>
      </c>
      <c r="P780">
        <v>0.10998074900081073</v>
      </c>
      <c r="Q780" t="s">
        <v>162</v>
      </c>
      <c r="S780" t="s">
        <v>458</v>
      </c>
      <c r="T780" t="s">
        <v>564</v>
      </c>
      <c r="U780">
        <v>0.11912988147102316</v>
      </c>
      <c r="V780" t="s">
        <v>162</v>
      </c>
    </row>
    <row r="781" spans="9:22" x14ac:dyDescent="0.45">
      <c r="I781" t="s">
        <v>234</v>
      </c>
      <c r="J781" t="s">
        <v>565</v>
      </c>
      <c r="K781">
        <v>1.0175522962258779E-2</v>
      </c>
      <c r="L781" t="s">
        <v>162</v>
      </c>
      <c r="N781" t="s">
        <v>346</v>
      </c>
      <c r="O781" t="s">
        <v>565</v>
      </c>
      <c r="P781">
        <v>1.9666063834500924E-2</v>
      </c>
      <c r="Q781" t="s">
        <v>162</v>
      </c>
      <c r="S781" t="s">
        <v>458</v>
      </c>
      <c r="T781" t="s">
        <v>565</v>
      </c>
      <c r="U781">
        <v>2.2786247692347373E-2</v>
      </c>
      <c r="V781" t="s">
        <v>162</v>
      </c>
    </row>
    <row r="782" spans="9:22" x14ac:dyDescent="0.45">
      <c r="I782" t="s">
        <v>234</v>
      </c>
      <c r="J782" t="s">
        <v>566</v>
      </c>
      <c r="K782">
        <v>0.29901644321660253</v>
      </c>
      <c r="L782" t="s">
        <v>162</v>
      </c>
      <c r="N782" t="s">
        <v>346</v>
      </c>
      <c r="O782" t="s">
        <v>566</v>
      </c>
      <c r="P782">
        <v>9.5589569728074655E-2</v>
      </c>
      <c r="Q782" t="s">
        <v>162</v>
      </c>
      <c r="S782" t="s">
        <v>458</v>
      </c>
      <c r="T782" t="s">
        <v>566</v>
      </c>
      <c r="U782">
        <v>0.10801982760793533</v>
      </c>
      <c r="V782" t="s">
        <v>162</v>
      </c>
    </row>
    <row r="783" spans="9:22" x14ac:dyDescent="0.45">
      <c r="I783" t="s">
        <v>234</v>
      </c>
      <c r="J783" t="s">
        <v>567</v>
      </c>
      <c r="K783">
        <v>8.08840341337109E-3</v>
      </c>
      <c r="L783" t="s">
        <v>162</v>
      </c>
      <c r="N783" t="s">
        <v>346</v>
      </c>
      <c r="O783" t="s">
        <v>567</v>
      </c>
      <c r="P783">
        <v>9.2547516873073998E-2</v>
      </c>
      <c r="Q783" t="s">
        <v>162</v>
      </c>
      <c r="S783" t="s">
        <v>458</v>
      </c>
      <c r="T783" t="s">
        <v>567</v>
      </c>
      <c r="U783">
        <v>0.10860727962720523</v>
      </c>
      <c r="V783" t="s">
        <v>162</v>
      </c>
    </row>
    <row r="784" spans="9:22" x14ac:dyDescent="0.45">
      <c r="I784" t="s">
        <v>234</v>
      </c>
      <c r="J784" t="s">
        <v>568</v>
      </c>
      <c r="K784">
        <v>3.6296152559756607E-2</v>
      </c>
      <c r="L784" t="s">
        <v>162</v>
      </c>
      <c r="N784" t="s">
        <v>346</v>
      </c>
      <c r="O784" t="s">
        <v>568</v>
      </c>
      <c r="P784">
        <v>1.8351570025289803E-2</v>
      </c>
      <c r="Q784" t="s">
        <v>162</v>
      </c>
      <c r="S784" t="s">
        <v>458</v>
      </c>
      <c r="T784" t="s">
        <v>568</v>
      </c>
      <c r="U784">
        <v>1.9646899100895437E-2</v>
      </c>
      <c r="V784" t="s">
        <v>162</v>
      </c>
    </row>
    <row r="785" spans="9:22" x14ac:dyDescent="0.45">
      <c r="I785" t="s">
        <v>234</v>
      </c>
      <c r="J785" t="s">
        <v>569</v>
      </c>
      <c r="K785">
        <v>0.28258288833220141</v>
      </c>
      <c r="L785" t="s">
        <v>162</v>
      </c>
      <c r="N785" t="s">
        <v>346</v>
      </c>
      <c r="O785" t="s">
        <v>569</v>
      </c>
      <c r="P785">
        <v>9.3561488607264084E-2</v>
      </c>
      <c r="Q785" t="s">
        <v>162</v>
      </c>
      <c r="S785" t="s">
        <v>458</v>
      </c>
      <c r="T785" t="s">
        <v>569</v>
      </c>
      <c r="U785">
        <v>0.11248594986843406</v>
      </c>
      <c r="V785" t="s">
        <v>162</v>
      </c>
    </row>
    <row r="786" spans="9:22" x14ac:dyDescent="0.45">
      <c r="I786" t="s">
        <v>234</v>
      </c>
      <c r="J786" t="s">
        <v>570</v>
      </c>
      <c r="K786">
        <v>2.1228910314972545E-2</v>
      </c>
      <c r="L786" t="s">
        <v>162</v>
      </c>
      <c r="N786" t="s">
        <v>346</v>
      </c>
      <c r="O786" t="s">
        <v>570</v>
      </c>
      <c r="P786">
        <v>7.6109181445595211E-2</v>
      </c>
      <c r="Q786" t="s">
        <v>162</v>
      </c>
      <c r="S786" t="s">
        <v>458</v>
      </c>
      <c r="T786" t="s">
        <v>570</v>
      </c>
      <c r="U786">
        <v>0.12219954648632841</v>
      </c>
      <c r="V786" t="s">
        <v>162</v>
      </c>
    </row>
    <row r="787" spans="9:22" x14ac:dyDescent="0.45">
      <c r="I787" t="s">
        <v>234</v>
      </c>
      <c r="J787" t="s">
        <v>571</v>
      </c>
      <c r="K787">
        <v>3.6929775099057677E-2</v>
      </c>
      <c r="L787" t="s">
        <v>162</v>
      </c>
      <c r="N787" t="s">
        <v>346</v>
      </c>
      <c r="O787" t="s">
        <v>571</v>
      </c>
      <c r="P787">
        <v>1.628226687232966E-2</v>
      </c>
      <c r="Q787" t="s">
        <v>162</v>
      </c>
      <c r="S787" t="s">
        <v>458</v>
      </c>
      <c r="T787" t="s">
        <v>571</v>
      </c>
      <c r="U787">
        <v>2.1258794765336018E-2</v>
      </c>
      <c r="V787" t="s">
        <v>162</v>
      </c>
    </row>
    <row r="788" spans="9:22" x14ac:dyDescent="0.45">
      <c r="I788" t="s">
        <v>234</v>
      </c>
      <c r="J788" t="s">
        <v>572</v>
      </c>
      <c r="K788">
        <v>0.13022007873912136</v>
      </c>
      <c r="L788" t="s">
        <v>162</v>
      </c>
      <c r="N788" t="s">
        <v>346</v>
      </c>
      <c r="O788" t="s">
        <v>572</v>
      </c>
      <c r="P788">
        <v>0.1627523670954143</v>
      </c>
      <c r="Q788" t="s">
        <v>162</v>
      </c>
      <c r="S788" t="s">
        <v>458</v>
      </c>
      <c r="T788" t="s">
        <v>572</v>
      </c>
      <c r="U788">
        <v>0.11186100109171977</v>
      </c>
      <c r="V788" t="s">
        <v>162</v>
      </c>
    </row>
    <row r="789" spans="9:22" x14ac:dyDescent="0.45">
      <c r="I789" t="s">
        <v>234</v>
      </c>
      <c r="J789" t="s">
        <v>573</v>
      </c>
      <c r="K789">
        <v>0</v>
      </c>
      <c r="L789" t="s">
        <v>162</v>
      </c>
      <c r="N789" t="s">
        <v>346</v>
      </c>
      <c r="O789" t="s">
        <v>573</v>
      </c>
      <c r="P789">
        <v>0.16575154869345493</v>
      </c>
      <c r="Q789" t="s">
        <v>162</v>
      </c>
      <c r="S789" t="s">
        <v>458</v>
      </c>
      <c r="T789" t="s">
        <v>573</v>
      </c>
      <c r="U789">
        <v>0.1125450823386237</v>
      </c>
      <c r="V789" t="s">
        <v>162</v>
      </c>
    </row>
    <row r="790" spans="9:22" x14ac:dyDescent="0.45">
      <c r="I790" t="s">
        <v>234</v>
      </c>
      <c r="J790" t="s">
        <v>574</v>
      </c>
      <c r="K790">
        <v>2.6272940773764655E-3</v>
      </c>
      <c r="L790" t="s">
        <v>162</v>
      </c>
      <c r="N790" t="s">
        <v>346</v>
      </c>
      <c r="O790" t="s">
        <v>574</v>
      </c>
      <c r="P790">
        <v>2.9253265555245548E-2</v>
      </c>
      <c r="Q790" t="s">
        <v>162</v>
      </c>
      <c r="S790" t="s">
        <v>458</v>
      </c>
      <c r="T790" t="s">
        <v>574</v>
      </c>
      <c r="U790">
        <v>1.9879626351759879E-2</v>
      </c>
      <c r="V790" t="s">
        <v>162</v>
      </c>
    </row>
    <row r="791" spans="9:22" x14ac:dyDescent="0.45">
      <c r="I791" t="s">
        <v>235</v>
      </c>
      <c r="J791" t="s">
        <v>563</v>
      </c>
      <c r="K791">
        <v>0.14347891434996149</v>
      </c>
      <c r="L791" t="s">
        <v>162</v>
      </c>
      <c r="N791" t="s">
        <v>347</v>
      </c>
      <c r="O791" t="s">
        <v>563</v>
      </c>
      <c r="P791">
        <v>0.11342416940381855</v>
      </c>
      <c r="Q791" t="s">
        <v>162</v>
      </c>
      <c r="S791" t="s">
        <v>459</v>
      </c>
      <c r="T791" t="s">
        <v>563</v>
      </c>
      <c r="U791">
        <v>0.1167470863675498</v>
      </c>
      <c r="V791" t="s">
        <v>162</v>
      </c>
    </row>
    <row r="792" spans="9:22" x14ac:dyDescent="0.45">
      <c r="I792" t="s">
        <v>235</v>
      </c>
      <c r="J792" t="s">
        <v>564</v>
      </c>
      <c r="K792">
        <v>0</v>
      </c>
      <c r="L792" t="s">
        <v>162</v>
      </c>
      <c r="N792" t="s">
        <v>347</v>
      </c>
      <c r="O792" t="s">
        <v>564</v>
      </c>
      <c r="P792">
        <v>0.10883105848597224</v>
      </c>
      <c r="Q792" t="s">
        <v>162</v>
      </c>
      <c r="S792" t="s">
        <v>459</v>
      </c>
      <c r="T792" t="s">
        <v>564</v>
      </c>
      <c r="U792">
        <v>0.11529706200010088</v>
      </c>
      <c r="V792" t="s">
        <v>162</v>
      </c>
    </row>
    <row r="793" spans="9:22" x14ac:dyDescent="0.45">
      <c r="I793" t="s">
        <v>235</v>
      </c>
      <c r="J793" t="s">
        <v>565</v>
      </c>
      <c r="K793">
        <v>6.6051309547938116E-3</v>
      </c>
      <c r="L793" t="s">
        <v>162</v>
      </c>
      <c r="N793" t="s">
        <v>347</v>
      </c>
      <c r="O793" t="s">
        <v>565</v>
      </c>
      <c r="P793">
        <v>1.9558740391915304E-2</v>
      </c>
      <c r="Q793" t="s">
        <v>162</v>
      </c>
      <c r="S793" t="s">
        <v>459</v>
      </c>
      <c r="T793" t="s">
        <v>565</v>
      </c>
      <c r="U793">
        <v>2.2048493695553621E-2</v>
      </c>
      <c r="V793" t="s">
        <v>162</v>
      </c>
    </row>
    <row r="794" spans="9:22" x14ac:dyDescent="0.45">
      <c r="I794" t="s">
        <v>235</v>
      </c>
      <c r="J794" t="s">
        <v>566</v>
      </c>
      <c r="K794">
        <v>0.31980787919187487</v>
      </c>
      <c r="L794" t="s">
        <v>162</v>
      </c>
      <c r="N794" t="s">
        <v>347</v>
      </c>
      <c r="O794" t="s">
        <v>566</v>
      </c>
      <c r="P794">
        <v>0.10809871451950885</v>
      </c>
      <c r="Q794" t="s">
        <v>162</v>
      </c>
      <c r="S794" t="s">
        <v>459</v>
      </c>
      <c r="T794" t="s">
        <v>566</v>
      </c>
      <c r="U794">
        <v>0.11611808429914465</v>
      </c>
      <c r="V794" t="s">
        <v>162</v>
      </c>
    </row>
    <row r="795" spans="9:22" x14ac:dyDescent="0.45">
      <c r="I795" t="s">
        <v>235</v>
      </c>
      <c r="J795" t="s">
        <v>567</v>
      </c>
      <c r="K795">
        <v>9.9679626508159379E-3</v>
      </c>
      <c r="L795" t="s">
        <v>162</v>
      </c>
      <c r="N795" t="s">
        <v>347</v>
      </c>
      <c r="O795" t="s">
        <v>567</v>
      </c>
      <c r="P795">
        <v>0.10946958869008105</v>
      </c>
      <c r="Q795" t="s">
        <v>162</v>
      </c>
      <c r="S795" t="s">
        <v>459</v>
      </c>
      <c r="T795" t="s">
        <v>567</v>
      </c>
      <c r="U795">
        <v>0.11759457067696182</v>
      </c>
      <c r="V795" t="s">
        <v>162</v>
      </c>
    </row>
    <row r="796" spans="9:22" x14ac:dyDescent="0.45">
      <c r="I796" t="s">
        <v>235</v>
      </c>
      <c r="J796" t="s">
        <v>568</v>
      </c>
      <c r="K796">
        <v>3.2443194134032113E-2</v>
      </c>
      <c r="L796" t="s">
        <v>162</v>
      </c>
      <c r="N796" t="s">
        <v>347</v>
      </c>
      <c r="O796" t="s">
        <v>568</v>
      </c>
      <c r="P796">
        <v>2.0083902902346563E-2</v>
      </c>
      <c r="Q796" t="s">
        <v>162</v>
      </c>
      <c r="S796" t="s">
        <v>459</v>
      </c>
      <c r="T796" t="s">
        <v>568</v>
      </c>
      <c r="U796">
        <v>2.1114116814839018E-2</v>
      </c>
      <c r="V796" t="s">
        <v>162</v>
      </c>
    </row>
    <row r="797" spans="9:22" x14ac:dyDescent="0.45">
      <c r="I797" t="s">
        <v>235</v>
      </c>
      <c r="J797" t="s">
        <v>569</v>
      </c>
      <c r="K797">
        <v>0.29075759810904511</v>
      </c>
      <c r="L797" t="s">
        <v>162</v>
      </c>
      <c r="N797" t="s">
        <v>347</v>
      </c>
      <c r="O797" t="s">
        <v>569</v>
      </c>
      <c r="P797">
        <v>9.7009378974228011E-2</v>
      </c>
      <c r="Q797" t="s">
        <v>162</v>
      </c>
      <c r="S797" t="s">
        <v>459</v>
      </c>
      <c r="T797" t="s">
        <v>569</v>
      </c>
      <c r="U797">
        <v>0.107852497698339</v>
      </c>
      <c r="V797" t="s">
        <v>162</v>
      </c>
    </row>
    <row r="798" spans="9:22" x14ac:dyDescent="0.45">
      <c r="I798" t="s">
        <v>235</v>
      </c>
      <c r="J798" t="s">
        <v>570</v>
      </c>
      <c r="K798">
        <v>2.6070368805453898E-2</v>
      </c>
      <c r="L798" t="s">
        <v>162</v>
      </c>
      <c r="N798" t="s">
        <v>347</v>
      </c>
      <c r="O798" t="s">
        <v>570</v>
      </c>
      <c r="P798">
        <v>9.2103035222219493E-2</v>
      </c>
      <c r="Q798" t="s">
        <v>162</v>
      </c>
      <c r="S798" t="s">
        <v>459</v>
      </c>
      <c r="T798" t="s">
        <v>570</v>
      </c>
      <c r="U798">
        <v>0.11764733771075564</v>
      </c>
      <c r="V798" t="s">
        <v>162</v>
      </c>
    </row>
    <row r="799" spans="9:22" x14ac:dyDescent="0.45">
      <c r="I799" t="s">
        <v>235</v>
      </c>
      <c r="J799" t="s">
        <v>571</v>
      </c>
      <c r="K799">
        <v>3.5954012968959115E-2</v>
      </c>
      <c r="L799" t="s">
        <v>162</v>
      </c>
      <c r="N799" t="s">
        <v>347</v>
      </c>
      <c r="O799" t="s">
        <v>571</v>
      </c>
      <c r="P799">
        <v>1.7415643264540703E-2</v>
      </c>
      <c r="Q799" t="s">
        <v>162</v>
      </c>
      <c r="S799" t="s">
        <v>459</v>
      </c>
      <c r="T799" t="s">
        <v>571</v>
      </c>
      <c r="U799">
        <v>1.9403010584587169E-2</v>
      </c>
      <c r="V799" t="s">
        <v>162</v>
      </c>
    </row>
    <row r="800" spans="9:22" x14ac:dyDescent="0.45">
      <c r="I800" t="s">
        <v>235</v>
      </c>
      <c r="J800" t="s">
        <v>572</v>
      </c>
      <c r="K800">
        <v>0.13380808596848781</v>
      </c>
      <c r="L800" t="s">
        <v>162</v>
      </c>
      <c r="N800" t="s">
        <v>347</v>
      </c>
      <c r="O800" t="s">
        <v>572</v>
      </c>
      <c r="P800">
        <v>0.14279532776080503</v>
      </c>
      <c r="Q800" t="s">
        <v>162</v>
      </c>
      <c r="S800" t="s">
        <v>459</v>
      </c>
      <c r="T800" t="s">
        <v>572</v>
      </c>
      <c r="U800">
        <v>0.11204964680206879</v>
      </c>
      <c r="V800" t="s">
        <v>162</v>
      </c>
    </row>
    <row r="801" spans="9:22" x14ac:dyDescent="0.45">
      <c r="I801" t="s">
        <v>235</v>
      </c>
      <c r="J801" t="s">
        <v>573</v>
      </c>
      <c r="K801">
        <v>0</v>
      </c>
      <c r="L801" t="s">
        <v>162</v>
      </c>
      <c r="N801" t="s">
        <v>347</v>
      </c>
      <c r="O801" t="s">
        <v>573</v>
      </c>
      <c r="P801">
        <v>0.14532287285022491</v>
      </c>
      <c r="Q801" t="s">
        <v>162</v>
      </c>
      <c r="S801" t="s">
        <v>459</v>
      </c>
      <c r="T801" t="s">
        <v>573</v>
      </c>
      <c r="U801">
        <v>0.11374804769604466</v>
      </c>
      <c r="V801" t="s">
        <v>162</v>
      </c>
    </row>
    <row r="802" spans="9:22" x14ac:dyDescent="0.45">
      <c r="I802" t="s">
        <v>235</v>
      </c>
      <c r="J802" t="s">
        <v>574</v>
      </c>
      <c r="K802">
        <v>1.1068528665748069E-3</v>
      </c>
      <c r="L802" t="s">
        <v>162</v>
      </c>
      <c r="N802" t="s">
        <v>347</v>
      </c>
      <c r="O802" t="s">
        <v>574</v>
      </c>
      <c r="P802">
        <v>2.5887567534343545E-2</v>
      </c>
      <c r="Q802" t="s">
        <v>162</v>
      </c>
      <c r="S802" t="s">
        <v>459</v>
      </c>
      <c r="T802" t="s">
        <v>574</v>
      </c>
      <c r="U802">
        <v>2.0380045654051746E-2</v>
      </c>
      <c r="V802" t="s">
        <v>162</v>
      </c>
    </row>
    <row r="803" spans="9:22" x14ac:dyDescent="0.45">
      <c r="I803" t="s">
        <v>236</v>
      </c>
      <c r="J803" t="s">
        <v>563</v>
      </c>
      <c r="K803">
        <v>0.18017529123626536</v>
      </c>
      <c r="L803" t="s">
        <v>162</v>
      </c>
      <c r="N803" t="s">
        <v>348</v>
      </c>
      <c r="O803" t="s">
        <v>563</v>
      </c>
      <c r="P803">
        <v>0.11042271920156778</v>
      </c>
      <c r="Q803" t="s">
        <v>162</v>
      </c>
      <c r="S803" t="s">
        <v>460</v>
      </c>
      <c r="T803" t="s">
        <v>563</v>
      </c>
      <c r="U803">
        <v>0.12017912115564962</v>
      </c>
      <c r="V803" t="s">
        <v>162</v>
      </c>
    </row>
    <row r="804" spans="9:22" x14ac:dyDescent="0.45">
      <c r="I804" t="s">
        <v>236</v>
      </c>
      <c r="J804" t="s">
        <v>564</v>
      </c>
      <c r="K804">
        <v>0</v>
      </c>
      <c r="L804" t="s">
        <v>162</v>
      </c>
      <c r="N804" t="s">
        <v>348</v>
      </c>
      <c r="O804" t="s">
        <v>564</v>
      </c>
      <c r="P804">
        <v>0.10989547810003862</v>
      </c>
      <c r="Q804" t="s">
        <v>162</v>
      </c>
      <c r="S804" t="s">
        <v>460</v>
      </c>
      <c r="T804" t="s">
        <v>564</v>
      </c>
      <c r="U804">
        <v>0.12846491137302868</v>
      </c>
      <c r="V804" t="s">
        <v>162</v>
      </c>
    </row>
    <row r="805" spans="9:22" x14ac:dyDescent="0.45">
      <c r="I805" t="s">
        <v>236</v>
      </c>
      <c r="J805" t="s">
        <v>565</v>
      </c>
      <c r="K805">
        <v>8.6517909358739872E-3</v>
      </c>
      <c r="L805" t="s">
        <v>162</v>
      </c>
      <c r="N805" t="s">
        <v>348</v>
      </c>
      <c r="O805" t="s">
        <v>565</v>
      </c>
      <c r="P805">
        <v>2.0042071989729661E-2</v>
      </c>
      <c r="Q805" t="s">
        <v>162</v>
      </c>
      <c r="S805" t="s">
        <v>460</v>
      </c>
      <c r="T805" t="s">
        <v>565</v>
      </c>
      <c r="U805">
        <v>2.2500560606131901E-2</v>
      </c>
      <c r="V805" t="s">
        <v>162</v>
      </c>
    </row>
    <row r="806" spans="9:22" x14ac:dyDescent="0.45">
      <c r="I806" t="s">
        <v>236</v>
      </c>
      <c r="J806" t="s">
        <v>566</v>
      </c>
      <c r="K806">
        <v>0.282932988405388</v>
      </c>
      <c r="L806" t="s">
        <v>162</v>
      </c>
      <c r="N806" t="s">
        <v>348</v>
      </c>
      <c r="O806" t="s">
        <v>566</v>
      </c>
      <c r="P806">
        <v>0.10929033815336195</v>
      </c>
      <c r="Q806" t="s">
        <v>162</v>
      </c>
      <c r="S806" t="s">
        <v>460</v>
      </c>
      <c r="T806" t="s">
        <v>566</v>
      </c>
      <c r="U806">
        <v>0.12273748607891991</v>
      </c>
      <c r="V806" t="s">
        <v>162</v>
      </c>
    </row>
    <row r="807" spans="9:22" x14ac:dyDescent="0.45">
      <c r="I807" t="s">
        <v>236</v>
      </c>
      <c r="J807" t="s">
        <v>567</v>
      </c>
      <c r="K807">
        <v>6.9773888406609039E-3</v>
      </c>
      <c r="L807" t="s">
        <v>162</v>
      </c>
      <c r="N807" t="s">
        <v>348</v>
      </c>
      <c r="O807" t="s">
        <v>567</v>
      </c>
      <c r="P807">
        <v>0.1121687459193051</v>
      </c>
      <c r="Q807" t="s">
        <v>162</v>
      </c>
      <c r="S807" t="s">
        <v>460</v>
      </c>
      <c r="T807" t="s">
        <v>567</v>
      </c>
      <c r="U807">
        <v>0.12122392808758685</v>
      </c>
      <c r="V807" t="s">
        <v>162</v>
      </c>
    </row>
    <row r="808" spans="9:22" x14ac:dyDescent="0.45">
      <c r="I808" t="s">
        <v>236</v>
      </c>
      <c r="J808" t="s">
        <v>568</v>
      </c>
      <c r="K808">
        <v>3.0895329115188226E-2</v>
      </c>
      <c r="L808" t="s">
        <v>162</v>
      </c>
      <c r="N808" t="s">
        <v>348</v>
      </c>
      <c r="O808" t="s">
        <v>568</v>
      </c>
      <c r="P808">
        <v>1.9898222252825282E-2</v>
      </c>
      <c r="Q808" t="s">
        <v>162</v>
      </c>
      <c r="S808" t="s">
        <v>460</v>
      </c>
      <c r="T808" t="s">
        <v>568</v>
      </c>
      <c r="U808">
        <v>2.2245628242850542E-2</v>
      </c>
      <c r="V808" t="s">
        <v>162</v>
      </c>
    </row>
    <row r="809" spans="9:22" x14ac:dyDescent="0.45">
      <c r="I809" t="s">
        <v>236</v>
      </c>
      <c r="J809" t="s">
        <v>569</v>
      </c>
      <c r="K809">
        <v>0.29217470579912547</v>
      </c>
      <c r="L809" t="s">
        <v>162</v>
      </c>
      <c r="N809" t="s">
        <v>348</v>
      </c>
      <c r="O809" t="s">
        <v>569</v>
      </c>
      <c r="P809">
        <v>8.7767355860845137E-2</v>
      </c>
      <c r="Q809" t="s">
        <v>162</v>
      </c>
      <c r="S809" t="s">
        <v>460</v>
      </c>
      <c r="T809" t="s">
        <v>569</v>
      </c>
      <c r="U809">
        <v>9.6178135297399839E-2</v>
      </c>
      <c r="V809" t="s">
        <v>162</v>
      </c>
    </row>
    <row r="810" spans="9:22" x14ac:dyDescent="0.45">
      <c r="I810" t="s">
        <v>236</v>
      </c>
      <c r="J810" t="s">
        <v>570</v>
      </c>
      <c r="K810">
        <v>1.8043389864538392E-2</v>
      </c>
      <c r="L810" t="s">
        <v>162</v>
      </c>
      <c r="N810" t="s">
        <v>348</v>
      </c>
      <c r="O810" t="s">
        <v>570</v>
      </c>
      <c r="P810">
        <v>8.832854147434803E-2</v>
      </c>
      <c r="Q810" t="s">
        <v>162</v>
      </c>
      <c r="S810" t="s">
        <v>460</v>
      </c>
      <c r="T810" t="s">
        <v>570</v>
      </c>
      <c r="U810">
        <v>0.11002514231390935</v>
      </c>
      <c r="V810" t="s">
        <v>162</v>
      </c>
    </row>
    <row r="811" spans="9:22" x14ac:dyDescent="0.45">
      <c r="I811" t="s">
        <v>236</v>
      </c>
      <c r="J811" t="s">
        <v>571</v>
      </c>
      <c r="K811">
        <v>3.4792612069263387E-2</v>
      </c>
      <c r="L811" t="s">
        <v>162</v>
      </c>
      <c r="N811" t="s">
        <v>348</v>
      </c>
      <c r="O811" t="s">
        <v>571</v>
      </c>
      <c r="P811">
        <v>1.6388953192838555E-2</v>
      </c>
      <c r="Q811" t="s">
        <v>162</v>
      </c>
      <c r="S811" t="s">
        <v>460</v>
      </c>
      <c r="T811" t="s">
        <v>571</v>
      </c>
      <c r="U811">
        <v>1.807668117014697E-2</v>
      </c>
      <c r="V811" t="s">
        <v>162</v>
      </c>
    </row>
    <row r="812" spans="9:22" x14ac:dyDescent="0.45">
      <c r="I812" t="s">
        <v>236</v>
      </c>
      <c r="J812" t="s">
        <v>572</v>
      </c>
      <c r="K812">
        <v>0.14284641121957498</v>
      </c>
      <c r="L812" t="s">
        <v>162</v>
      </c>
      <c r="N812" t="s">
        <v>348</v>
      </c>
      <c r="O812" t="s">
        <v>572</v>
      </c>
      <c r="P812">
        <v>0.14751319204119503</v>
      </c>
      <c r="Q812" t="s">
        <v>162</v>
      </c>
      <c r="S812" t="s">
        <v>460</v>
      </c>
      <c r="T812" t="s">
        <v>572</v>
      </c>
      <c r="U812">
        <v>0.10653212206757047</v>
      </c>
      <c r="V812" t="s">
        <v>162</v>
      </c>
    </row>
    <row r="813" spans="9:22" x14ac:dyDescent="0.45">
      <c r="I813" t="s">
        <v>236</v>
      </c>
      <c r="J813" t="s">
        <v>573</v>
      </c>
      <c r="K813">
        <v>0</v>
      </c>
      <c r="L813" t="s">
        <v>162</v>
      </c>
      <c r="N813" t="s">
        <v>348</v>
      </c>
      <c r="O813" t="s">
        <v>573</v>
      </c>
      <c r="P813">
        <v>0.15084535384000072</v>
      </c>
      <c r="Q813" t="s">
        <v>162</v>
      </c>
      <c r="S813" t="s">
        <v>460</v>
      </c>
      <c r="T813" t="s">
        <v>573</v>
      </c>
      <c r="U813">
        <v>0.11176087103622646</v>
      </c>
      <c r="V813" t="s">
        <v>162</v>
      </c>
    </row>
    <row r="814" spans="9:22" x14ac:dyDescent="0.45">
      <c r="I814" t="s">
        <v>236</v>
      </c>
      <c r="J814" t="s">
        <v>574</v>
      </c>
      <c r="K814">
        <v>2.510092514120139E-3</v>
      </c>
      <c r="L814" t="s">
        <v>162</v>
      </c>
      <c r="N814" t="s">
        <v>348</v>
      </c>
      <c r="O814" t="s">
        <v>574</v>
      </c>
      <c r="P814">
        <v>2.743902797394536E-2</v>
      </c>
      <c r="Q814" t="s">
        <v>162</v>
      </c>
      <c r="S814" t="s">
        <v>460</v>
      </c>
      <c r="T814" t="s">
        <v>574</v>
      </c>
      <c r="U814">
        <v>2.0075412570577815E-2</v>
      </c>
      <c r="V814" t="s">
        <v>162</v>
      </c>
    </row>
    <row r="815" spans="9:22" x14ac:dyDescent="0.45">
      <c r="I815" t="s">
        <v>237</v>
      </c>
      <c r="J815" t="s">
        <v>563</v>
      </c>
      <c r="K815">
        <v>0.16807539269733027</v>
      </c>
      <c r="L815" t="s">
        <v>162</v>
      </c>
      <c r="N815" t="s">
        <v>349</v>
      </c>
      <c r="O815" t="s">
        <v>563</v>
      </c>
      <c r="P815">
        <v>0.15326682346106144</v>
      </c>
      <c r="Q815" t="s">
        <v>162</v>
      </c>
      <c r="S815" t="s">
        <v>461</v>
      </c>
      <c r="T815" t="s">
        <v>563</v>
      </c>
      <c r="U815">
        <v>0.11620343758895821</v>
      </c>
      <c r="V815" t="s">
        <v>162</v>
      </c>
    </row>
    <row r="816" spans="9:22" x14ac:dyDescent="0.45">
      <c r="I816" t="s">
        <v>237</v>
      </c>
      <c r="J816" t="s">
        <v>564</v>
      </c>
      <c r="K816">
        <v>0</v>
      </c>
      <c r="L816" t="s">
        <v>162</v>
      </c>
      <c r="N816" t="s">
        <v>349</v>
      </c>
      <c r="O816" t="s">
        <v>564</v>
      </c>
      <c r="P816">
        <v>0.14530653852150902</v>
      </c>
      <c r="Q816" t="s">
        <v>162</v>
      </c>
      <c r="S816" t="s">
        <v>461</v>
      </c>
      <c r="T816" t="s">
        <v>564</v>
      </c>
      <c r="U816">
        <v>0.12511181622969544</v>
      </c>
      <c r="V816" t="s">
        <v>162</v>
      </c>
    </row>
    <row r="817" spans="9:22" x14ac:dyDescent="0.45">
      <c r="I817" t="s">
        <v>237</v>
      </c>
      <c r="J817" t="s">
        <v>565</v>
      </c>
      <c r="K817">
        <v>6.8461069591588515E-3</v>
      </c>
      <c r="L817" t="s">
        <v>162</v>
      </c>
      <c r="N817" t="s">
        <v>349</v>
      </c>
      <c r="O817" t="s">
        <v>565</v>
      </c>
      <c r="P817">
        <v>2.5350349941445523E-2</v>
      </c>
      <c r="Q817" t="s">
        <v>162</v>
      </c>
      <c r="S817" t="s">
        <v>461</v>
      </c>
      <c r="T817" t="s">
        <v>565</v>
      </c>
      <c r="U817">
        <v>2.2910509300438565E-2</v>
      </c>
      <c r="V817" t="s">
        <v>162</v>
      </c>
    </row>
    <row r="818" spans="9:22" x14ac:dyDescent="0.45">
      <c r="I818" t="s">
        <v>237</v>
      </c>
      <c r="J818" t="s">
        <v>566</v>
      </c>
      <c r="K818">
        <v>0.2943252854676317</v>
      </c>
      <c r="L818" t="s">
        <v>162</v>
      </c>
      <c r="N818" t="s">
        <v>349</v>
      </c>
      <c r="O818" t="s">
        <v>566</v>
      </c>
      <c r="P818">
        <v>0.10373665844842526</v>
      </c>
      <c r="Q818" t="s">
        <v>162</v>
      </c>
      <c r="S818" t="s">
        <v>461</v>
      </c>
      <c r="T818" t="s">
        <v>566</v>
      </c>
      <c r="U818">
        <v>0.12297866640581721</v>
      </c>
      <c r="V818" t="s">
        <v>162</v>
      </c>
    </row>
    <row r="819" spans="9:22" x14ac:dyDescent="0.45">
      <c r="I819" t="s">
        <v>237</v>
      </c>
      <c r="J819" t="s">
        <v>567</v>
      </c>
      <c r="K819">
        <v>7.6116846058727284E-3</v>
      </c>
      <c r="L819" t="s">
        <v>162</v>
      </c>
      <c r="N819" t="s">
        <v>349</v>
      </c>
      <c r="O819" t="s">
        <v>567</v>
      </c>
      <c r="P819">
        <v>0.12640215306841618</v>
      </c>
      <c r="Q819" t="s">
        <v>162</v>
      </c>
      <c r="S819" t="s">
        <v>461</v>
      </c>
      <c r="T819" t="s">
        <v>567</v>
      </c>
      <c r="U819">
        <v>0.12717488627874302</v>
      </c>
      <c r="V819" t="s">
        <v>162</v>
      </c>
    </row>
    <row r="820" spans="9:22" x14ac:dyDescent="0.45">
      <c r="I820" t="s">
        <v>237</v>
      </c>
      <c r="J820" t="s">
        <v>568</v>
      </c>
      <c r="K820">
        <v>2.8037389198619672E-2</v>
      </c>
      <c r="L820" t="s">
        <v>162</v>
      </c>
      <c r="N820" t="s">
        <v>349</v>
      </c>
      <c r="O820" t="s">
        <v>568</v>
      </c>
      <c r="P820">
        <v>2.0903316854752472E-2</v>
      </c>
      <c r="Q820" t="s">
        <v>162</v>
      </c>
      <c r="S820" t="s">
        <v>461</v>
      </c>
      <c r="T820" t="s">
        <v>568</v>
      </c>
      <c r="U820">
        <v>2.2287089714230327E-2</v>
      </c>
      <c r="V820" t="s">
        <v>162</v>
      </c>
    </row>
    <row r="821" spans="9:22" x14ac:dyDescent="0.45">
      <c r="I821" t="s">
        <v>237</v>
      </c>
      <c r="J821" t="s">
        <v>569</v>
      </c>
      <c r="K821">
        <v>0.29301107119324032</v>
      </c>
      <c r="L821" t="s">
        <v>162</v>
      </c>
      <c r="N821" t="s">
        <v>349</v>
      </c>
      <c r="O821" t="s">
        <v>569</v>
      </c>
      <c r="P821">
        <v>7.9639598113076221E-2</v>
      </c>
      <c r="Q821" t="s">
        <v>162</v>
      </c>
      <c r="S821" t="s">
        <v>461</v>
      </c>
      <c r="T821" t="s">
        <v>569</v>
      </c>
      <c r="U821">
        <v>8.2408460436858857E-2</v>
      </c>
      <c r="V821" t="s">
        <v>162</v>
      </c>
    </row>
    <row r="822" spans="9:22" x14ac:dyDescent="0.45">
      <c r="I822" t="s">
        <v>237</v>
      </c>
      <c r="J822" t="s">
        <v>570</v>
      </c>
      <c r="K822">
        <v>2.1004330128758287E-2</v>
      </c>
      <c r="L822" t="s">
        <v>162</v>
      </c>
      <c r="N822" t="s">
        <v>349</v>
      </c>
      <c r="O822" t="s">
        <v>570</v>
      </c>
      <c r="P822">
        <v>9.2240485801592956E-2</v>
      </c>
      <c r="Q822" t="s">
        <v>162</v>
      </c>
      <c r="S822" t="s">
        <v>461</v>
      </c>
      <c r="T822" t="s">
        <v>570</v>
      </c>
      <c r="U822">
        <v>0.10761976322714072</v>
      </c>
      <c r="V822" t="s">
        <v>162</v>
      </c>
    </row>
    <row r="823" spans="9:22" x14ac:dyDescent="0.45">
      <c r="I823" t="s">
        <v>237</v>
      </c>
      <c r="J823" t="s">
        <v>571</v>
      </c>
      <c r="K823">
        <v>3.4768579626684865E-2</v>
      </c>
      <c r="L823" t="s">
        <v>162</v>
      </c>
      <c r="N823" t="s">
        <v>349</v>
      </c>
      <c r="O823" t="s">
        <v>571</v>
      </c>
      <c r="P823">
        <v>1.4306599940245499E-2</v>
      </c>
      <c r="Q823" t="s">
        <v>162</v>
      </c>
      <c r="S823" t="s">
        <v>461</v>
      </c>
      <c r="T823" t="s">
        <v>571</v>
      </c>
      <c r="U823">
        <v>1.7363737916554343E-2</v>
      </c>
      <c r="V823" t="s">
        <v>162</v>
      </c>
    </row>
    <row r="824" spans="9:22" x14ac:dyDescent="0.45">
      <c r="I824" t="s">
        <v>237</v>
      </c>
      <c r="J824" t="s">
        <v>572</v>
      </c>
      <c r="K824">
        <v>0.14457725108557395</v>
      </c>
      <c r="L824" t="s">
        <v>162</v>
      </c>
      <c r="N824" t="s">
        <v>349</v>
      </c>
      <c r="O824" t="s">
        <v>572</v>
      </c>
      <c r="P824">
        <v>0.10532676454285414</v>
      </c>
      <c r="Q824" t="s">
        <v>162</v>
      </c>
      <c r="S824" t="s">
        <v>461</v>
      </c>
      <c r="T824" t="s">
        <v>572</v>
      </c>
      <c r="U824">
        <v>0.11521352303493249</v>
      </c>
      <c r="V824" t="s">
        <v>162</v>
      </c>
    </row>
    <row r="825" spans="9:22" x14ac:dyDescent="0.45">
      <c r="I825" t="s">
        <v>237</v>
      </c>
      <c r="J825" t="s">
        <v>573</v>
      </c>
      <c r="K825">
        <v>0</v>
      </c>
      <c r="L825" t="s">
        <v>162</v>
      </c>
      <c r="N825" t="s">
        <v>349</v>
      </c>
      <c r="O825" t="s">
        <v>573</v>
      </c>
      <c r="P825">
        <v>0.11426451605332512</v>
      </c>
      <c r="Q825" t="s">
        <v>162</v>
      </c>
      <c r="S825" t="s">
        <v>461</v>
      </c>
      <c r="T825" t="s">
        <v>573</v>
      </c>
      <c r="U825">
        <v>0.11877084801119661</v>
      </c>
      <c r="V825" t="s">
        <v>162</v>
      </c>
    </row>
    <row r="826" spans="9:22" x14ac:dyDescent="0.45">
      <c r="I826" t="s">
        <v>237</v>
      </c>
      <c r="J826" t="s">
        <v>574</v>
      </c>
      <c r="K826">
        <v>1.7429090371300652E-3</v>
      </c>
      <c r="L826" t="s">
        <v>162</v>
      </c>
      <c r="N826" t="s">
        <v>349</v>
      </c>
      <c r="O826" t="s">
        <v>574</v>
      </c>
      <c r="P826">
        <v>1.9256195253291676E-2</v>
      </c>
      <c r="Q826" t="s">
        <v>162</v>
      </c>
      <c r="S826" t="s">
        <v>461</v>
      </c>
      <c r="T826" t="s">
        <v>574</v>
      </c>
      <c r="U826">
        <v>2.1957261855434958E-2</v>
      </c>
      <c r="V826" t="s">
        <v>162</v>
      </c>
    </row>
    <row r="827" spans="9:22" x14ac:dyDescent="0.45">
      <c r="I827" t="s">
        <v>238</v>
      </c>
      <c r="J827" t="s">
        <v>563</v>
      </c>
      <c r="K827">
        <v>0.14060741363141552</v>
      </c>
      <c r="L827" t="s">
        <v>162</v>
      </c>
      <c r="N827" t="s">
        <v>350</v>
      </c>
      <c r="O827" t="s">
        <v>563</v>
      </c>
      <c r="P827">
        <v>0.13477605859372679</v>
      </c>
      <c r="Q827" t="s">
        <v>162</v>
      </c>
      <c r="S827" t="s">
        <v>462</v>
      </c>
      <c r="T827" t="s">
        <v>563</v>
      </c>
      <c r="U827">
        <v>0.14236302856094013</v>
      </c>
      <c r="V827" t="s">
        <v>162</v>
      </c>
    </row>
    <row r="828" spans="9:22" x14ac:dyDescent="0.45">
      <c r="I828" t="s">
        <v>238</v>
      </c>
      <c r="J828" t="s">
        <v>564</v>
      </c>
      <c r="K828">
        <v>2.4577944128923584E-4</v>
      </c>
      <c r="L828" t="s">
        <v>162</v>
      </c>
      <c r="N828" t="s">
        <v>350</v>
      </c>
      <c r="O828" t="s">
        <v>564</v>
      </c>
      <c r="P828">
        <v>0.13727777961919055</v>
      </c>
      <c r="Q828" t="s">
        <v>162</v>
      </c>
      <c r="S828" t="s">
        <v>462</v>
      </c>
      <c r="T828" t="s">
        <v>564</v>
      </c>
      <c r="U828">
        <v>0.13830904326017193</v>
      </c>
      <c r="V828" t="s">
        <v>162</v>
      </c>
    </row>
    <row r="829" spans="9:22" x14ac:dyDescent="0.45">
      <c r="I829" t="s">
        <v>238</v>
      </c>
      <c r="J829" t="s">
        <v>565</v>
      </c>
      <c r="K829">
        <v>1.019209507770032E-2</v>
      </c>
      <c r="L829" t="s">
        <v>162</v>
      </c>
      <c r="N829" t="s">
        <v>350</v>
      </c>
      <c r="O829" t="s">
        <v>565</v>
      </c>
      <c r="P829">
        <v>2.3849182746932918E-2</v>
      </c>
      <c r="Q829" t="s">
        <v>162</v>
      </c>
      <c r="S829" t="s">
        <v>462</v>
      </c>
      <c r="T829" t="s">
        <v>565</v>
      </c>
      <c r="U829">
        <v>2.4947512836201464E-2</v>
      </c>
      <c r="V829" t="s">
        <v>162</v>
      </c>
    </row>
    <row r="830" spans="9:22" x14ac:dyDescent="0.45">
      <c r="I830" t="s">
        <v>238</v>
      </c>
      <c r="J830" t="s">
        <v>566</v>
      </c>
      <c r="K830">
        <v>0.32855401533552647</v>
      </c>
      <c r="L830" t="s">
        <v>162</v>
      </c>
      <c r="N830" t="s">
        <v>350</v>
      </c>
      <c r="O830" t="s">
        <v>566</v>
      </c>
      <c r="P830">
        <v>0.10809118326304773</v>
      </c>
      <c r="Q830" t="s">
        <v>162</v>
      </c>
      <c r="S830" t="s">
        <v>462</v>
      </c>
      <c r="T830" t="s">
        <v>566</v>
      </c>
      <c r="U830">
        <v>0.10070420004981318</v>
      </c>
      <c r="V830" t="s">
        <v>162</v>
      </c>
    </row>
    <row r="831" spans="9:22" x14ac:dyDescent="0.45">
      <c r="I831" t="s">
        <v>238</v>
      </c>
      <c r="J831" t="s">
        <v>567</v>
      </c>
      <c r="K831">
        <v>1.4957001345030753E-2</v>
      </c>
      <c r="L831" t="s">
        <v>162</v>
      </c>
      <c r="N831" t="s">
        <v>350</v>
      </c>
      <c r="O831" t="s">
        <v>567</v>
      </c>
      <c r="P831">
        <v>0.12856074830320419</v>
      </c>
      <c r="Q831" t="s">
        <v>162</v>
      </c>
      <c r="S831" t="s">
        <v>462</v>
      </c>
      <c r="T831" t="s">
        <v>567</v>
      </c>
      <c r="U831">
        <v>0.10547558674869273</v>
      </c>
      <c r="V831" t="s">
        <v>162</v>
      </c>
    </row>
    <row r="832" spans="9:22" x14ac:dyDescent="0.45">
      <c r="I832" t="s">
        <v>238</v>
      </c>
      <c r="J832" t="s">
        <v>568</v>
      </c>
      <c r="K832">
        <v>4.1259866213240029E-2</v>
      </c>
      <c r="L832" t="s">
        <v>162</v>
      </c>
      <c r="N832" t="s">
        <v>350</v>
      </c>
      <c r="O832" t="s">
        <v>568</v>
      </c>
      <c r="P832">
        <v>2.106354354266855E-2</v>
      </c>
      <c r="Q832" t="s">
        <v>162</v>
      </c>
      <c r="S832" t="s">
        <v>462</v>
      </c>
      <c r="T832" t="s">
        <v>568</v>
      </c>
      <c r="U832">
        <v>1.9702082765545168E-2</v>
      </c>
      <c r="V832" t="s">
        <v>162</v>
      </c>
    </row>
    <row r="833" spans="9:22" x14ac:dyDescent="0.45">
      <c r="I833" t="s">
        <v>238</v>
      </c>
      <c r="J833" t="s">
        <v>569</v>
      </c>
      <c r="K833">
        <v>0.28297708642346059</v>
      </c>
      <c r="L833" t="s">
        <v>162</v>
      </c>
      <c r="N833" t="s">
        <v>350</v>
      </c>
      <c r="O833" t="s">
        <v>569</v>
      </c>
      <c r="P833">
        <v>8.8782920918517444E-2</v>
      </c>
      <c r="Q833" t="s">
        <v>162</v>
      </c>
      <c r="S833" t="s">
        <v>462</v>
      </c>
      <c r="T833" t="s">
        <v>569</v>
      </c>
      <c r="U833">
        <v>9.9507737765777829E-2</v>
      </c>
      <c r="V833" t="s">
        <v>162</v>
      </c>
    </row>
    <row r="834" spans="9:22" x14ac:dyDescent="0.45">
      <c r="I834" t="s">
        <v>238</v>
      </c>
      <c r="J834" t="s">
        <v>570</v>
      </c>
      <c r="K834">
        <v>2.6630648423594059E-2</v>
      </c>
      <c r="L834" t="s">
        <v>162</v>
      </c>
      <c r="N834" t="s">
        <v>350</v>
      </c>
      <c r="O834" t="s">
        <v>570</v>
      </c>
      <c r="P834">
        <v>9.8836952798943861E-2</v>
      </c>
      <c r="Q834" t="s">
        <v>162</v>
      </c>
      <c r="S834" t="s">
        <v>462</v>
      </c>
      <c r="T834" t="s">
        <v>570</v>
      </c>
      <c r="U834">
        <v>0.10505286360501133</v>
      </c>
      <c r="V834" t="s">
        <v>162</v>
      </c>
    </row>
    <row r="835" spans="9:22" x14ac:dyDescent="0.45">
      <c r="I835" t="s">
        <v>238</v>
      </c>
      <c r="J835" t="s">
        <v>571</v>
      </c>
      <c r="K835">
        <v>3.7089480133125234E-2</v>
      </c>
      <c r="L835" t="s">
        <v>162</v>
      </c>
      <c r="N835" t="s">
        <v>350</v>
      </c>
      <c r="O835" t="s">
        <v>571</v>
      </c>
      <c r="P835">
        <v>1.6751320487155916E-2</v>
      </c>
      <c r="Q835" t="s">
        <v>162</v>
      </c>
      <c r="S835" t="s">
        <v>462</v>
      </c>
      <c r="T835" t="s">
        <v>571</v>
      </c>
      <c r="U835">
        <v>1.9165317057306966E-2</v>
      </c>
      <c r="V835" t="s">
        <v>162</v>
      </c>
    </row>
    <row r="836" spans="9:22" x14ac:dyDescent="0.45">
      <c r="I836" t="s">
        <v>238</v>
      </c>
      <c r="J836" t="s">
        <v>572</v>
      </c>
      <c r="K836">
        <v>0.11553073780735149</v>
      </c>
      <c r="L836" t="s">
        <v>162</v>
      </c>
      <c r="N836" t="s">
        <v>350</v>
      </c>
      <c r="O836" t="s">
        <v>572</v>
      </c>
      <c r="P836">
        <v>0.10883621095384897</v>
      </c>
      <c r="Q836" t="s">
        <v>162</v>
      </c>
      <c r="S836" t="s">
        <v>462</v>
      </c>
      <c r="T836" t="s">
        <v>572</v>
      </c>
      <c r="U836">
        <v>0.11088624666243395</v>
      </c>
      <c r="V836" t="s">
        <v>162</v>
      </c>
    </row>
    <row r="837" spans="9:22" x14ac:dyDescent="0.45">
      <c r="I837" t="s">
        <v>238</v>
      </c>
      <c r="J837" t="s">
        <v>573</v>
      </c>
      <c r="K837">
        <v>0</v>
      </c>
      <c r="L837" t="s">
        <v>162</v>
      </c>
      <c r="N837" t="s">
        <v>350</v>
      </c>
      <c r="O837" t="s">
        <v>573</v>
      </c>
      <c r="P837">
        <v>0.11251194966197964</v>
      </c>
      <c r="Q837" t="s">
        <v>162</v>
      </c>
      <c r="S837" t="s">
        <v>462</v>
      </c>
      <c r="T837" t="s">
        <v>573</v>
      </c>
      <c r="U837">
        <v>0.11270935962653829</v>
      </c>
      <c r="V837" t="s">
        <v>162</v>
      </c>
    </row>
    <row r="838" spans="9:22" x14ac:dyDescent="0.45">
      <c r="I838" t="s">
        <v>238</v>
      </c>
      <c r="J838" t="s">
        <v>574</v>
      </c>
      <c r="K838">
        <v>1.9558761682645603E-3</v>
      </c>
      <c r="L838" t="s">
        <v>162</v>
      </c>
      <c r="N838" t="s">
        <v>350</v>
      </c>
      <c r="O838" t="s">
        <v>574</v>
      </c>
      <c r="P838">
        <v>2.0662149110786159E-2</v>
      </c>
      <c r="Q838" t="s">
        <v>162</v>
      </c>
      <c r="S838" t="s">
        <v>462</v>
      </c>
      <c r="T838" t="s">
        <v>574</v>
      </c>
      <c r="U838">
        <v>2.1177021061564608E-2</v>
      </c>
      <c r="V838" t="s">
        <v>162</v>
      </c>
    </row>
    <row r="839" spans="9:22" x14ac:dyDescent="0.45">
      <c r="I839" t="s">
        <v>239</v>
      </c>
      <c r="J839" t="s">
        <v>563</v>
      </c>
      <c r="K839">
        <v>0.14770440418441905</v>
      </c>
      <c r="L839" t="s">
        <v>162</v>
      </c>
      <c r="N839" t="s">
        <v>351</v>
      </c>
      <c r="O839" t="s">
        <v>563</v>
      </c>
      <c r="P839">
        <v>0.12907417102048896</v>
      </c>
      <c r="Q839" t="s">
        <v>162</v>
      </c>
      <c r="S839" t="s">
        <v>463</v>
      </c>
      <c r="T839" t="s">
        <v>563</v>
      </c>
      <c r="U839">
        <v>0.15351153904411227</v>
      </c>
      <c r="V839" t="s">
        <v>162</v>
      </c>
    </row>
    <row r="840" spans="9:22" x14ac:dyDescent="0.45">
      <c r="I840" t="s">
        <v>239</v>
      </c>
      <c r="J840" t="s">
        <v>564</v>
      </c>
      <c r="K840">
        <v>1.3543505484058837E-3</v>
      </c>
      <c r="L840" t="s">
        <v>162</v>
      </c>
      <c r="N840" t="s">
        <v>351</v>
      </c>
      <c r="O840" t="s">
        <v>564</v>
      </c>
      <c r="P840">
        <v>0.1367274235566831</v>
      </c>
      <c r="Q840" t="s">
        <v>162</v>
      </c>
      <c r="S840" t="s">
        <v>463</v>
      </c>
      <c r="T840" t="s">
        <v>564</v>
      </c>
      <c r="U840">
        <v>0.15277042785281733</v>
      </c>
      <c r="V840" t="s">
        <v>162</v>
      </c>
    </row>
    <row r="841" spans="9:22" x14ac:dyDescent="0.45">
      <c r="I841" t="s">
        <v>239</v>
      </c>
      <c r="J841" t="s">
        <v>565</v>
      </c>
      <c r="K841">
        <v>1.3973391829811168E-2</v>
      </c>
      <c r="L841" t="s">
        <v>162</v>
      </c>
      <c r="N841" t="s">
        <v>351</v>
      </c>
      <c r="O841" t="s">
        <v>565</v>
      </c>
      <c r="P841">
        <v>2.4075516850114956E-2</v>
      </c>
      <c r="Q841" t="s">
        <v>162</v>
      </c>
      <c r="S841" t="s">
        <v>463</v>
      </c>
      <c r="T841" t="s">
        <v>565</v>
      </c>
      <c r="U841">
        <v>2.8134685554228645E-2</v>
      </c>
      <c r="V841" t="s">
        <v>162</v>
      </c>
    </row>
    <row r="842" spans="9:22" x14ac:dyDescent="0.45">
      <c r="I842" t="s">
        <v>239</v>
      </c>
      <c r="J842" t="s">
        <v>566</v>
      </c>
      <c r="K842">
        <v>0.31889307574783532</v>
      </c>
      <c r="L842" t="s">
        <v>162</v>
      </c>
      <c r="N842" t="s">
        <v>351</v>
      </c>
      <c r="O842" t="s">
        <v>566</v>
      </c>
      <c r="P842">
        <v>0.11729603797784052</v>
      </c>
      <c r="Q842" t="s">
        <v>162</v>
      </c>
      <c r="S842" t="s">
        <v>463</v>
      </c>
      <c r="T842" t="s">
        <v>566</v>
      </c>
      <c r="U842">
        <v>0.10031626107369176</v>
      </c>
      <c r="V842" t="s">
        <v>162</v>
      </c>
    </row>
    <row r="843" spans="9:22" x14ac:dyDescent="0.45">
      <c r="I843" t="s">
        <v>239</v>
      </c>
      <c r="J843" t="s">
        <v>567</v>
      </c>
      <c r="K843">
        <v>2.0297802281338036E-2</v>
      </c>
      <c r="L843" t="s">
        <v>162</v>
      </c>
      <c r="N843" t="s">
        <v>351</v>
      </c>
      <c r="O843" t="s">
        <v>567</v>
      </c>
      <c r="P843">
        <v>0.12593269561177395</v>
      </c>
      <c r="Q843" t="s">
        <v>162</v>
      </c>
      <c r="S843" t="s">
        <v>463</v>
      </c>
      <c r="T843" t="s">
        <v>567</v>
      </c>
      <c r="U843">
        <v>0.10513964556540567</v>
      </c>
      <c r="V843" t="s">
        <v>162</v>
      </c>
    </row>
    <row r="844" spans="9:22" x14ac:dyDescent="0.45">
      <c r="I844" t="s">
        <v>239</v>
      </c>
      <c r="J844" t="s">
        <v>568</v>
      </c>
      <c r="K844">
        <v>4.6189413448241748E-2</v>
      </c>
      <c r="L844" t="s">
        <v>162</v>
      </c>
      <c r="N844" t="s">
        <v>351</v>
      </c>
      <c r="O844" t="s">
        <v>568</v>
      </c>
      <c r="P844">
        <v>2.3596525905546173E-2</v>
      </c>
      <c r="Q844" t="s">
        <v>162</v>
      </c>
      <c r="S844" t="s">
        <v>463</v>
      </c>
      <c r="T844" t="s">
        <v>568</v>
      </c>
      <c r="U844">
        <v>1.8448008408627117E-2</v>
      </c>
      <c r="V844" t="s">
        <v>162</v>
      </c>
    </row>
    <row r="845" spans="9:22" x14ac:dyDescent="0.45">
      <c r="I845" t="s">
        <v>239</v>
      </c>
      <c r="J845" t="s">
        <v>569</v>
      </c>
      <c r="K845">
        <v>0.28352638273251374</v>
      </c>
      <c r="L845" t="s">
        <v>162</v>
      </c>
      <c r="N845" t="s">
        <v>351</v>
      </c>
      <c r="O845" t="s">
        <v>569</v>
      </c>
      <c r="P845">
        <v>9.6569693877413501E-2</v>
      </c>
      <c r="Q845" t="s">
        <v>162</v>
      </c>
      <c r="S845" t="s">
        <v>463</v>
      </c>
      <c r="T845" t="s">
        <v>569</v>
      </c>
      <c r="U845">
        <v>9.624113469088158E-2</v>
      </c>
      <c r="V845" t="s">
        <v>162</v>
      </c>
    </row>
    <row r="846" spans="9:22" x14ac:dyDescent="0.45">
      <c r="I846" t="s">
        <v>239</v>
      </c>
      <c r="J846" t="s">
        <v>570</v>
      </c>
      <c r="K846">
        <v>2.9246255712056544E-2</v>
      </c>
      <c r="L846" t="s">
        <v>162</v>
      </c>
      <c r="N846" t="s">
        <v>351</v>
      </c>
      <c r="O846" t="s">
        <v>570</v>
      </c>
      <c r="P846">
        <v>0.10685274931883842</v>
      </c>
      <c r="Q846" t="s">
        <v>162</v>
      </c>
      <c r="S846" t="s">
        <v>463</v>
      </c>
      <c r="T846" t="s">
        <v>570</v>
      </c>
      <c r="U846">
        <v>0.10736961190074042</v>
      </c>
      <c r="V846" t="s">
        <v>162</v>
      </c>
    </row>
    <row r="847" spans="9:22" x14ac:dyDescent="0.45">
      <c r="I847" t="s">
        <v>239</v>
      </c>
      <c r="J847" t="s">
        <v>571</v>
      </c>
      <c r="K847">
        <v>3.821120752354927E-2</v>
      </c>
      <c r="L847" t="s">
        <v>162</v>
      </c>
      <c r="N847" t="s">
        <v>351</v>
      </c>
      <c r="O847" t="s">
        <v>571</v>
      </c>
      <c r="P847">
        <v>1.8214139326378741E-2</v>
      </c>
      <c r="Q847" t="s">
        <v>162</v>
      </c>
      <c r="S847" t="s">
        <v>463</v>
      </c>
      <c r="T847" t="s">
        <v>571</v>
      </c>
      <c r="U847">
        <v>1.8753775174478571E-2</v>
      </c>
      <c r="V847" t="s">
        <v>162</v>
      </c>
    </row>
    <row r="848" spans="9:22" x14ac:dyDescent="0.45">
      <c r="I848" t="s">
        <v>239</v>
      </c>
      <c r="J848" t="s">
        <v>572</v>
      </c>
      <c r="K848">
        <v>9.7804098877544057E-2</v>
      </c>
      <c r="L848" t="s">
        <v>162</v>
      </c>
      <c r="N848" t="s">
        <v>351</v>
      </c>
      <c r="O848" t="s">
        <v>572</v>
      </c>
      <c r="P848">
        <v>9.758689833879225E-2</v>
      </c>
      <c r="Q848" t="s">
        <v>162</v>
      </c>
      <c r="S848" t="s">
        <v>463</v>
      </c>
      <c r="T848" t="s">
        <v>572</v>
      </c>
      <c r="U848">
        <v>9.9360787613667303E-2</v>
      </c>
      <c r="V848" t="s">
        <v>162</v>
      </c>
    </row>
    <row r="849" spans="9:22" x14ac:dyDescent="0.45">
      <c r="I849" t="s">
        <v>239</v>
      </c>
      <c r="J849" t="s">
        <v>573</v>
      </c>
      <c r="K849">
        <v>0</v>
      </c>
      <c r="L849" t="s">
        <v>162</v>
      </c>
      <c r="N849" t="s">
        <v>351</v>
      </c>
      <c r="O849" t="s">
        <v>573</v>
      </c>
      <c r="P849">
        <v>0.10464267995217387</v>
      </c>
      <c r="Q849" t="s">
        <v>162</v>
      </c>
      <c r="S849" t="s">
        <v>463</v>
      </c>
      <c r="T849" t="s">
        <v>573</v>
      </c>
      <c r="U849">
        <v>0.10069324854488822</v>
      </c>
      <c r="V849" t="s">
        <v>162</v>
      </c>
    </row>
    <row r="850" spans="9:22" x14ac:dyDescent="0.45">
      <c r="I850" t="s">
        <v>239</v>
      </c>
      <c r="J850" t="s">
        <v>574</v>
      </c>
      <c r="K850">
        <v>2.7996171142857279E-3</v>
      </c>
      <c r="L850" t="s">
        <v>162</v>
      </c>
      <c r="N850" t="s">
        <v>351</v>
      </c>
      <c r="O850" t="s">
        <v>574</v>
      </c>
      <c r="P850">
        <v>1.9431468263951705E-2</v>
      </c>
      <c r="Q850" t="s">
        <v>162</v>
      </c>
      <c r="S850" t="s">
        <v>463</v>
      </c>
      <c r="T850" t="s">
        <v>574</v>
      </c>
      <c r="U850">
        <v>1.9260874576456904E-2</v>
      </c>
      <c r="V850" t="s">
        <v>162</v>
      </c>
    </row>
    <row r="851" spans="9:22" x14ac:dyDescent="0.45">
      <c r="I851" t="s">
        <v>240</v>
      </c>
      <c r="J851" t="s">
        <v>563</v>
      </c>
      <c r="K851">
        <v>0.12530138892918799</v>
      </c>
      <c r="L851" t="s">
        <v>162</v>
      </c>
      <c r="N851" t="s">
        <v>352</v>
      </c>
      <c r="O851" t="s">
        <v>563</v>
      </c>
      <c r="P851">
        <v>0.12150787363076883</v>
      </c>
      <c r="Q851" t="s">
        <v>162</v>
      </c>
      <c r="S851" t="s">
        <v>464</v>
      </c>
      <c r="T851" t="s">
        <v>563</v>
      </c>
      <c r="U851">
        <v>0.13217457662568449</v>
      </c>
      <c r="V851" t="s">
        <v>162</v>
      </c>
    </row>
    <row r="852" spans="9:22" x14ac:dyDescent="0.45">
      <c r="I852" t="s">
        <v>240</v>
      </c>
      <c r="J852" t="s">
        <v>564</v>
      </c>
      <c r="K852">
        <v>1.1313890903200772E-3</v>
      </c>
      <c r="L852" t="s">
        <v>162</v>
      </c>
      <c r="N852" t="s">
        <v>352</v>
      </c>
      <c r="O852" t="s">
        <v>564</v>
      </c>
      <c r="P852">
        <v>0.12709038688177773</v>
      </c>
      <c r="Q852" t="s">
        <v>162</v>
      </c>
      <c r="S852" t="s">
        <v>464</v>
      </c>
      <c r="T852" t="s">
        <v>564</v>
      </c>
      <c r="U852">
        <v>0.13354672238107934</v>
      </c>
      <c r="V852" t="s">
        <v>162</v>
      </c>
    </row>
    <row r="853" spans="9:22" x14ac:dyDescent="0.45">
      <c r="I853" t="s">
        <v>240</v>
      </c>
      <c r="J853" t="s">
        <v>565</v>
      </c>
      <c r="K853">
        <v>1.1079670866192867E-2</v>
      </c>
      <c r="L853" t="s">
        <v>162</v>
      </c>
      <c r="N853" t="s">
        <v>352</v>
      </c>
      <c r="O853" t="s">
        <v>565</v>
      </c>
      <c r="P853">
        <v>2.2068431097560869E-2</v>
      </c>
      <c r="Q853" t="s">
        <v>162</v>
      </c>
      <c r="S853" t="s">
        <v>464</v>
      </c>
      <c r="T853" t="s">
        <v>565</v>
      </c>
      <c r="U853">
        <v>2.4876061426580498E-2</v>
      </c>
      <c r="V853" t="s">
        <v>162</v>
      </c>
    </row>
    <row r="854" spans="9:22" x14ac:dyDescent="0.45">
      <c r="I854" t="s">
        <v>240</v>
      </c>
      <c r="J854" t="s">
        <v>566</v>
      </c>
      <c r="K854">
        <v>0.32093981061118471</v>
      </c>
      <c r="L854" t="s">
        <v>162</v>
      </c>
      <c r="N854" t="s">
        <v>352</v>
      </c>
      <c r="O854" t="s">
        <v>566</v>
      </c>
      <c r="P854">
        <v>0.10990879855087034</v>
      </c>
      <c r="Q854" t="s">
        <v>162</v>
      </c>
      <c r="S854" t="s">
        <v>464</v>
      </c>
      <c r="T854" t="s">
        <v>566</v>
      </c>
      <c r="U854">
        <v>0.10667050928622746</v>
      </c>
      <c r="V854" t="s">
        <v>162</v>
      </c>
    </row>
    <row r="855" spans="9:22" x14ac:dyDescent="0.45">
      <c r="I855" t="s">
        <v>240</v>
      </c>
      <c r="J855" t="s">
        <v>567</v>
      </c>
      <c r="K855">
        <v>2.1684041000381165E-2</v>
      </c>
      <c r="L855" t="s">
        <v>162</v>
      </c>
      <c r="N855" t="s">
        <v>352</v>
      </c>
      <c r="O855" t="s">
        <v>567</v>
      </c>
      <c r="P855">
        <v>0.11930178090361698</v>
      </c>
      <c r="Q855" t="s">
        <v>162</v>
      </c>
      <c r="S855" t="s">
        <v>464</v>
      </c>
      <c r="T855" t="s">
        <v>567</v>
      </c>
      <c r="U855">
        <v>0.11854670895448362</v>
      </c>
      <c r="V855" t="s">
        <v>162</v>
      </c>
    </row>
    <row r="856" spans="9:22" x14ac:dyDescent="0.45">
      <c r="I856" t="s">
        <v>240</v>
      </c>
      <c r="J856" t="s">
        <v>568</v>
      </c>
      <c r="K856">
        <v>4.8064289827582311E-2</v>
      </c>
      <c r="L856" t="s">
        <v>162</v>
      </c>
      <c r="N856" t="s">
        <v>352</v>
      </c>
      <c r="O856" t="s">
        <v>568</v>
      </c>
      <c r="P856">
        <v>2.1246013592890842E-2</v>
      </c>
      <c r="Q856" t="s">
        <v>162</v>
      </c>
      <c r="S856" t="s">
        <v>464</v>
      </c>
      <c r="T856" t="s">
        <v>568</v>
      </c>
      <c r="U856">
        <v>2.0867903071810398E-2</v>
      </c>
      <c r="V856" t="s">
        <v>162</v>
      </c>
    </row>
    <row r="857" spans="9:22" x14ac:dyDescent="0.45">
      <c r="I857" t="s">
        <v>240</v>
      </c>
      <c r="J857" t="s">
        <v>569</v>
      </c>
      <c r="K857">
        <v>0.30137711235181008</v>
      </c>
      <c r="L857" t="s">
        <v>162</v>
      </c>
      <c r="N857" t="s">
        <v>352</v>
      </c>
      <c r="O857" t="s">
        <v>569</v>
      </c>
      <c r="P857">
        <v>0.10225885456847429</v>
      </c>
      <c r="Q857" t="s">
        <v>162</v>
      </c>
      <c r="S857" t="s">
        <v>464</v>
      </c>
      <c r="T857" t="s">
        <v>569</v>
      </c>
      <c r="U857">
        <v>9.1481177352922924E-2</v>
      </c>
      <c r="V857" t="s">
        <v>162</v>
      </c>
    </row>
    <row r="858" spans="9:22" x14ac:dyDescent="0.45">
      <c r="I858" t="s">
        <v>240</v>
      </c>
      <c r="J858" t="s">
        <v>570</v>
      </c>
      <c r="K858">
        <v>3.663647710237803E-2</v>
      </c>
      <c r="L858" t="s">
        <v>162</v>
      </c>
      <c r="N858" t="s">
        <v>352</v>
      </c>
      <c r="O858" t="s">
        <v>570</v>
      </c>
      <c r="P858">
        <v>0.10785740188130082</v>
      </c>
      <c r="Q858" t="s">
        <v>162</v>
      </c>
      <c r="S858" t="s">
        <v>464</v>
      </c>
      <c r="T858" t="s">
        <v>570</v>
      </c>
      <c r="U858">
        <v>0.10549477981020607</v>
      </c>
      <c r="V858" t="s">
        <v>162</v>
      </c>
    </row>
    <row r="859" spans="9:22" x14ac:dyDescent="0.45">
      <c r="I859" t="s">
        <v>240</v>
      </c>
      <c r="J859" t="s">
        <v>571</v>
      </c>
      <c r="K859">
        <v>4.2346177681510104E-2</v>
      </c>
      <c r="L859" t="s">
        <v>162</v>
      </c>
      <c r="N859" t="s">
        <v>352</v>
      </c>
      <c r="O859" t="s">
        <v>571</v>
      </c>
      <c r="P859">
        <v>1.9084308497065414E-2</v>
      </c>
      <c r="Q859" t="s">
        <v>162</v>
      </c>
      <c r="S859" t="s">
        <v>464</v>
      </c>
      <c r="T859" t="s">
        <v>571</v>
      </c>
      <c r="U859">
        <v>1.9175854039278992E-2</v>
      </c>
      <c r="V859" t="s">
        <v>162</v>
      </c>
    </row>
    <row r="860" spans="9:22" x14ac:dyDescent="0.45">
      <c r="I860" t="s">
        <v>240</v>
      </c>
      <c r="J860" t="s">
        <v>572</v>
      </c>
      <c r="K860">
        <v>8.9572717896743856E-2</v>
      </c>
      <c r="L860" t="s">
        <v>162</v>
      </c>
      <c r="N860" t="s">
        <v>352</v>
      </c>
      <c r="O860" t="s">
        <v>572</v>
      </c>
      <c r="P860">
        <v>0.11271025700387813</v>
      </c>
      <c r="Q860" t="s">
        <v>162</v>
      </c>
      <c r="S860" t="s">
        <v>464</v>
      </c>
      <c r="T860" t="s">
        <v>572</v>
      </c>
      <c r="U860">
        <v>0.11492409049972259</v>
      </c>
      <c r="V860" t="s">
        <v>162</v>
      </c>
    </row>
    <row r="861" spans="9:22" x14ac:dyDescent="0.45">
      <c r="I861" t="s">
        <v>240</v>
      </c>
      <c r="J861" t="s">
        <v>573</v>
      </c>
      <c r="K861">
        <v>0</v>
      </c>
      <c r="L861" t="s">
        <v>162</v>
      </c>
      <c r="N861" t="s">
        <v>352</v>
      </c>
      <c r="O861" t="s">
        <v>573</v>
      </c>
      <c r="P861">
        <v>0.11568905562129501</v>
      </c>
      <c r="Q861" t="s">
        <v>162</v>
      </c>
      <c r="S861" t="s">
        <v>464</v>
      </c>
      <c r="T861" t="s">
        <v>573</v>
      </c>
      <c r="U861">
        <v>0.11202433862725635</v>
      </c>
      <c r="V861" t="s">
        <v>162</v>
      </c>
    </row>
    <row r="862" spans="9:22" x14ac:dyDescent="0.45">
      <c r="I862" t="s">
        <v>240</v>
      </c>
      <c r="J862" t="s">
        <v>574</v>
      </c>
      <c r="K862">
        <v>1.8669246427081413E-3</v>
      </c>
      <c r="L862" t="s">
        <v>162</v>
      </c>
      <c r="N862" t="s">
        <v>352</v>
      </c>
      <c r="O862" t="s">
        <v>574</v>
      </c>
      <c r="P862">
        <v>2.127683777050076E-2</v>
      </c>
      <c r="Q862" t="s">
        <v>162</v>
      </c>
      <c r="S862" t="s">
        <v>464</v>
      </c>
      <c r="T862" t="s">
        <v>574</v>
      </c>
      <c r="U862">
        <v>2.0217277924745623E-2</v>
      </c>
      <c r="V862" t="s">
        <v>162</v>
      </c>
    </row>
    <row r="863" spans="9:22" x14ac:dyDescent="0.45">
      <c r="I863" t="s">
        <v>241</v>
      </c>
      <c r="J863" t="s">
        <v>563</v>
      </c>
      <c r="K863">
        <v>0.132884148041052</v>
      </c>
      <c r="L863" t="s">
        <v>162</v>
      </c>
      <c r="N863" t="s">
        <v>353</v>
      </c>
      <c r="O863" t="s">
        <v>563</v>
      </c>
      <c r="P863">
        <v>0.1212640256574704</v>
      </c>
      <c r="Q863" t="s">
        <v>162</v>
      </c>
      <c r="S863" t="s">
        <v>465</v>
      </c>
      <c r="T863" t="s">
        <v>563</v>
      </c>
      <c r="U863">
        <v>0.12711153713687992</v>
      </c>
      <c r="V863" t="s">
        <v>162</v>
      </c>
    </row>
    <row r="864" spans="9:22" x14ac:dyDescent="0.45">
      <c r="I864" t="s">
        <v>241</v>
      </c>
      <c r="J864" t="s">
        <v>564</v>
      </c>
      <c r="K864">
        <v>5.0220539995889167E-4</v>
      </c>
      <c r="L864" t="s">
        <v>162</v>
      </c>
      <c r="N864" t="s">
        <v>353</v>
      </c>
      <c r="O864" t="s">
        <v>564</v>
      </c>
      <c r="P864">
        <v>0.12291053678602314</v>
      </c>
      <c r="Q864" t="s">
        <v>162</v>
      </c>
      <c r="S864" t="s">
        <v>465</v>
      </c>
      <c r="T864" t="s">
        <v>564</v>
      </c>
      <c r="U864">
        <v>0.13000342756140293</v>
      </c>
      <c r="V864" t="s">
        <v>162</v>
      </c>
    </row>
    <row r="865" spans="9:22" x14ac:dyDescent="0.45">
      <c r="I865" t="s">
        <v>241</v>
      </c>
      <c r="J865" t="s">
        <v>565</v>
      </c>
      <c r="K865">
        <v>1.0731970701509306E-2</v>
      </c>
      <c r="L865" t="s">
        <v>162</v>
      </c>
      <c r="N865" t="s">
        <v>353</v>
      </c>
      <c r="O865" t="s">
        <v>565</v>
      </c>
      <c r="P865">
        <v>2.1887361791029E-2</v>
      </c>
      <c r="Q865" t="s">
        <v>162</v>
      </c>
      <c r="S865" t="s">
        <v>465</v>
      </c>
      <c r="T865" t="s">
        <v>565</v>
      </c>
      <c r="U865">
        <v>2.4835209477541361E-2</v>
      </c>
      <c r="V865" t="s">
        <v>162</v>
      </c>
    </row>
    <row r="866" spans="9:22" x14ac:dyDescent="0.45">
      <c r="I866" t="s">
        <v>241</v>
      </c>
      <c r="J866" t="s">
        <v>566</v>
      </c>
      <c r="K866">
        <v>0.32338887117611143</v>
      </c>
      <c r="L866" t="s">
        <v>162</v>
      </c>
      <c r="N866" t="s">
        <v>353</v>
      </c>
      <c r="O866" t="s">
        <v>566</v>
      </c>
      <c r="P866">
        <v>0.10739187234983756</v>
      </c>
      <c r="Q866" t="s">
        <v>162</v>
      </c>
      <c r="S866" t="s">
        <v>465</v>
      </c>
      <c r="T866" t="s">
        <v>566</v>
      </c>
      <c r="U866">
        <v>0.10940480735904394</v>
      </c>
      <c r="V866" t="s">
        <v>162</v>
      </c>
    </row>
    <row r="867" spans="9:22" x14ac:dyDescent="0.45">
      <c r="I867" t="s">
        <v>241</v>
      </c>
      <c r="J867" t="s">
        <v>567</v>
      </c>
      <c r="K867">
        <v>1.7635385643143594E-2</v>
      </c>
      <c r="L867" t="s">
        <v>162</v>
      </c>
      <c r="N867" t="s">
        <v>353</v>
      </c>
      <c r="O867" t="s">
        <v>567</v>
      </c>
      <c r="P867">
        <v>0.11570336961068657</v>
      </c>
      <c r="Q867" t="s">
        <v>162</v>
      </c>
      <c r="S867" t="s">
        <v>465</v>
      </c>
      <c r="T867" t="s">
        <v>567</v>
      </c>
      <c r="U867">
        <v>0.12425134976759375</v>
      </c>
      <c r="V867" t="s">
        <v>162</v>
      </c>
    </row>
    <row r="868" spans="9:22" x14ac:dyDescent="0.45">
      <c r="I868" t="s">
        <v>241</v>
      </c>
      <c r="J868" t="s">
        <v>568</v>
      </c>
      <c r="K868">
        <v>4.2835844252986033E-2</v>
      </c>
      <c r="L868" t="s">
        <v>162</v>
      </c>
      <c r="N868" t="s">
        <v>353</v>
      </c>
      <c r="O868" t="s">
        <v>568</v>
      </c>
      <c r="P868">
        <v>1.9939510428270281E-2</v>
      </c>
      <c r="Q868" t="s">
        <v>162</v>
      </c>
      <c r="S868" t="s">
        <v>465</v>
      </c>
      <c r="T868" t="s">
        <v>568</v>
      </c>
      <c r="U868">
        <v>2.1564138007602807E-2</v>
      </c>
      <c r="V868" t="s">
        <v>162</v>
      </c>
    </row>
    <row r="869" spans="9:22" x14ac:dyDescent="0.45">
      <c r="I869" t="s">
        <v>241</v>
      </c>
      <c r="J869" t="s">
        <v>569</v>
      </c>
      <c r="K869">
        <v>0.29471490724698396</v>
      </c>
      <c r="L869" t="s">
        <v>162</v>
      </c>
      <c r="N869" t="s">
        <v>353</v>
      </c>
      <c r="O869" t="s">
        <v>569</v>
      </c>
      <c r="P869">
        <v>8.9377400132293908E-2</v>
      </c>
      <c r="Q869" t="s">
        <v>162</v>
      </c>
      <c r="S869" t="s">
        <v>465</v>
      </c>
      <c r="T869" t="s">
        <v>569</v>
      </c>
      <c r="U869">
        <v>8.4443854567181661E-2</v>
      </c>
      <c r="V869" t="s">
        <v>162</v>
      </c>
    </row>
    <row r="870" spans="9:22" x14ac:dyDescent="0.45">
      <c r="I870" t="s">
        <v>241</v>
      </c>
      <c r="J870" t="s">
        <v>570</v>
      </c>
      <c r="K870">
        <v>3.1834037665819943E-2</v>
      </c>
      <c r="L870" t="s">
        <v>162</v>
      </c>
      <c r="N870" t="s">
        <v>353</v>
      </c>
      <c r="O870" t="s">
        <v>570</v>
      </c>
      <c r="P870">
        <v>9.261041216632443E-2</v>
      </c>
      <c r="Q870" t="s">
        <v>162</v>
      </c>
      <c r="S870" t="s">
        <v>465</v>
      </c>
      <c r="T870" t="s">
        <v>570</v>
      </c>
      <c r="U870">
        <v>9.8849427053296218E-2</v>
      </c>
      <c r="V870" t="s">
        <v>162</v>
      </c>
    </row>
    <row r="871" spans="9:22" x14ac:dyDescent="0.45">
      <c r="I871" t="s">
        <v>241</v>
      </c>
      <c r="J871" t="s">
        <v>571</v>
      </c>
      <c r="K871">
        <v>4.0114678937564603E-2</v>
      </c>
      <c r="L871" t="s">
        <v>162</v>
      </c>
      <c r="N871" t="s">
        <v>353</v>
      </c>
      <c r="O871" t="s">
        <v>571</v>
      </c>
      <c r="P871">
        <v>1.5966055699281185E-2</v>
      </c>
      <c r="Q871" t="s">
        <v>162</v>
      </c>
      <c r="S871" t="s">
        <v>465</v>
      </c>
      <c r="T871" t="s">
        <v>571</v>
      </c>
      <c r="U871">
        <v>1.8656204067475327E-2</v>
      </c>
      <c r="V871" t="s">
        <v>162</v>
      </c>
    </row>
    <row r="872" spans="9:22" x14ac:dyDescent="0.45">
      <c r="I872" t="s">
        <v>241</v>
      </c>
      <c r="J872" t="s">
        <v>572</v>
      </c>
      <c r="K872">
        <v>0.10351713366139957</v>
      </c>
      <c r="L872" t="s">
        <v>162</v>
      </c>
      <c r="N872" t="s">
        <v>353</v>
      </c>
      <c r="O872" t="s">
        <v>572</v>
      </c>
      <c r="P872">
        <v>0.13534111239127444</v>
      </c>
      <c r="Q872" t="s">
        <v>162</v>
      </c>
      <c r="S872" t="s">
        <v>465</v>
      </c>
      <c r="T872" t="s">
        <v>572</v>
      </c>
      <c r="U872">
        <v>0.11868657616689754</v>
      </c>
      <c r="V872" t="s">
        <v>162</v>
      </c>
    </row>
    <row r="873" spans="9:22" x14ac:dyDescent="0.45">
      <c r="I873" t="s">
        <v>241</v>
      </c>
      <c r="J873" t="s">
        <v>573</v>
      </c>
      <c r="K873">
        <v>0</v>
      </c>
      <c r="L873" t="s">
        <v>162</v>
      </c>
      <c r="N873" t="s">
        <v>353</v>
      </c>
      <c r="O873" t="s">
        <v>573</v>
      </c>
      <c r="P873">
        <v>0.13360974907463802</v>
      </c>
      <c r="Q873" t="s">
        <v>162</v>
      </c>
      <c r="S873" t="s">
        <v>465</v>
      </c>
      <c r="T873" t="s">
        <v>573</v>
      </c>
      <c r="U873">
        <v>0.11942645470666469</v>
      </c>
      <c r="V873" t="s">
        <v>162</v>
      </c>
    </row>
    <row r="874" spans="9:22" x14ac:dyDescent="0.45">
      <c r="I874" t="s">
        <v>241</v>
      </c>
      <c r="J874" t="s">
        <v>574</v>
      </c>
      <c r="K874">
        <v>1.8408172734710405E-3</v>
      </c>
      <c r="L874" t="s">
        <v>162</v>
      </c>
      <c r="N874" t="s">
        <v>353</v>
      </c>
      <c r="O874" t="s">
        <v>574</v>
      </c>
      <c r="P874">
        <v>2.3998593912876502E-2</v>
      </c>
      <c r="Q874" t="s">
        <v>162</v>
      </c>
      <c r="S874" t="s">
        <v>465</v>
      </c>
      <c r="T874" t="s">
        <v>574</v>
      </c>
      <c r="U874">
        <v>2.2767014128417595E-2</v>
      </c>
      <c r="V874" t="s">
        <v>162</v>
      </c>
    </row>
    <row r="875" spans="9:22" x14ac:dyDescent="0.45">
      <c r="I875" t="s">
        <v>242</v>
      </c>
      <c r="J875" t="s">
        <v>563</v>
      </c>
      <c r="K875">
        <v>0.18010005242198357</v>
      </c>
      <c r="L875" t="s">
        <v>162</v>
      </c>
      <c r="N875" t="s">
        <v>354</v>
      </c>
      <c r="O875" t="s">
        <v>563</v>
      </c>
      <c r="P875">
        <v>0.12304620790693861</v>
      </c>
      <c r="Q875" t="s">
        <v>162</v>
      </c>
      <c r="S875" t="s">
        <v>466</v>
      </c>
      <c r="T875" t="s">
        <v>563</v>
      </c>
      <c r="U875">
        <v>0.10837548654109055</v>
      </c>
      <c r="V875" t="s">
        <v>162</v>
      </c>
    </row>
    <row r="876" spans="9:22" x14ac:dyDescent="0.45">
      <c r="I876" t="s">
        <v>242</v>
      </c>
      <c r="J876" t="s">
        <v>564</v>
      </c>
      <c r="K876">
        <v>1.3823001275351719E-4</v>
      </c>
      <c r="L876" t="s">
        <v>162</v>
      </c>
      <c r="N876" t="s">
        <v>354</v>
      </c>
      <c r="O876" t="s">
        <v>564</v>
      </c>
      <c r="P876">
        <v>0.12109070628681758</v>
      </c>
      <c r="Q876" t="s">
        <v>162</v>
      </c>
      <c r="S876" t="s">
        <v>466</v>
      </c>
      <c r="T876" t="s">
        <v>564</v>
      </c>
      <c r="U876">
        <v>0.11545052027807118</v>
      </c>
      <c r="V876" t="s">
        <v>162</v>
      </c>
    </row>
    <row r="877" spans="9:22" x14ac:dyDescent="0.45">
      <c r="I877" t="s">
        <v>242</v>
      </c>
      <c r="J877" t="s">
        <v>565</v>
      </c>
      <c r="K877">
        <v>1.2548912600821338E-2</v>
      </c>
      <c r="L877" t="s">
        <v>162</v>
      </c>
      <c r="N877" t="s">
        <v>354</v>
      </c>
      <c r="O877" t="s">
        <v>565</v>
      </c>
      <c r="P877">
        <v>2.2002503589165067E-2</v>
      </c>
      <c r="Q877" t="s">
        <v>162</v>
      </c>
      <c r="S877" t="s">
        <v>466</v>
      </c>
      <c r="T877" t="s">
        <v>565</v>
      </c>
      <c r="U877">
        <v>1.9401697892687444E-2</v>
      </c>
      <c r="V877" t="s">
        <v>162</v>
      </c>
    </row>
    <row r="878" spans="9:22" x14ac:dyDescent="0.45">
      <c r="I878" t="s">
        <v>242</v>
      </c>
      <c r="J878" t="s">
        <v>566</v>
      </c>
      <c r="K878">
        <v>0.28252015277869269</v>
      </c>
      <c r="L878" t="s">
        <v>162</v>
      </c>
      <c r="N878" t="s">
        <v>354</v>
      </c>
      <c r="O878" t="s">
        <v>566</v>
      </c>
      <c r="P878">
        <v>0.11027819927440496</v>
      </c>
      <c r="Q878" t="s">
        <v>162</v>
      </c>
      <c r="S878" t="s">
        <v>466</v>
      </c>
      <c r="T878" t="s">
        <v>566</v>
      </c>
      <c r="U878">
        <v>0.11564957465632246</v>
      </c>
      <c r="V878" t="s">
        <v>162</v>
      </c>
    </row>
    <row r="879" spans="9:22" x14ac:dyDescent="0.45">
      <c r="I879" t="s">
        <v>242</v>
      </c>
      <c r="J879" t="s">
        <v>567</v>
      </c>
      <c r="K879">
        <v>7.5513252530289305E-3</v>
      </c>
      <c r="L879" t="s">
        <v>162</v>
      </c>
      <c r="N879" t="s">
        <v>354</v>
      </c>
      <c r="O879" t="s">
        <v>567</v>
      </c>
      <c r="P879">
        <v>0.11899526035598398</v>
      </c>
      <c r="Q879" t="s">
        <v>162</v>
      </c>
      <c r="S879" t="s">
        <v>466</v>
      </c>
      <c r="T879" t="s">
        <v>567</v>
      </c>
      <c r="U879">
        <v>0.11411492824233982</v>
      </c>
      <c r="V879" t="s">
        <v>162</v>
      </c>
    </row>
    <row r="880" spans="9:22" x14ac:dyDescent="0.45">
      <c r="I880" t="s">
        <v>242</v>
      </c>
      <c r="J880" t="s">
        <v>568</v>
      </c>
      <c r="K880">
        <v>3.6334781027909165E-2</v>
      </c>
      <c r="L880" t="s">
        <v>162</v>
      </c>
      <c r="N880" t="s">
        <v>354</v>
      </c>
      <c r="O880" t="s">
        <v>568</v>
      </c>
      <c r="P880">
        <v>2.1293737322661373E-2</v>
      </c>
      <c r="Q880" t="s">
        <v>162</v>
      </c>
      <c r="S880" t="s">
        <v>466</v>
      </c>
      <c r="T880" t="s">
        <v>568</v>
      </c>
      <c r="U880">
        <v>2.0629842449782151E-2</v>
      </c>
      <c r="V880" t="s">
        <v>162</v>
      </c>
    </row>
    <row r="881" spans="9:22" x14ac:dyDescent="0.45">
      <c r="I881" t="s">
        <v>242</v>
      </c>
      <c r="J881" t="s">
        <v>569</v>
      </c>
      <c r="K881">
        <v>0.2816685388812219</v>
      </c>
      <c r="L881" t="s">
        <v>162</v>
      </c>
      <c r="N881" t="s">
        <v>354</v>
      </c>
      <c r="O881" t="s">
        <v>569</v>
      </c>
      <c r="P881">
        <v>9.8312358905324457E-2</v>
      </c>
      <c r="Q881" t="s">
        <v>162</v>
      </c>
      <c r="S881" t="s">
        <v>466</v>
      </c>
      <c r="T881" t="s">
        <v>569</v>
      </c>
      <c r="U881">
        <v>8.5469521510503632E-2</v>
      </c>
      <c r="V881" t="s">
        <v>162</v>
      </c>
    </row>
    <row r="882" spans="9:22" x14ac:dyDescent="0.45">
      <c r="I882" t="s">
        <v>242</v>
      </c>
      <c r="J882" t="s">
        <v>570</v>
      </c>
      <c r="K882">
        <v>2.1678884596688163E-2</v>
      </c>
      <c r="L882" t="s">
        <v>162</v>
      </c>
      <c r="N882" t="s">
        <v>354</v>
      </c>
      <c r="O882" t="s">
        <v>570</v>
      </c>
      <c r="P882">
        <v>0.10658044296123566</v>
      </c>
      <c r="Q882" t="s">
        <v>162</v>
      </c>
      <c r="S882" t="s">
        <v>466</v>
      </c>
      <c r="T882" t="s">
        <v>570</v>
      </c>
      <c r="U882">
        <v>9.629295668268921E-2</v>
      </c>
      <c r="V882" t="s">
        <v>162</v>
      </c>
    </row>
    <row r="883" spans="9:22" x14ac:dyDescent="0.45">
      <c r="I883" t="s">
        <v>242</v>
      </c>
      <c r="J883" t="s">
        <v>571</v>
      </c>
      <c r="K883">
        <v>4.0044212375410587E-2</v>
      </c>
      <c r="L883" t="s">
        <v>162</v>
      </c>
      <c r="N883" t="s">
        <v>354</v>
      </c>
      <c r="O883" t="s">
        <v>571</v>
      </c>
      <c r="P883">
        <v>1.9584272004044088E-2</v>
      </c>
      <c r="Q883" t="s">
        <v>162</v>
      </c>
      <c r="S883" t="s">
        <v>466</v>
      </c>
      <c r="T883" t="s">
        <v>571</v>
      </c>
      <c r="U883">
        <v>1.4464720003084701E-2</v>
      </c>
      <c r="V883" t="s">
        <v>162</v>
      </c>
    </row>
    <row r="884" spans="9:22" x14ac:dyDescent="0.45">
      <c r="I884" t="s">
        <v>242</v>
      </c>
      <c r="J884" t="s">
        <v>572</v>
      </c>
      <c r="K884">
        <v>0.13354140458194458</v>
      </c>
      <c r="L884" t="s">
        <v>162</v>
      </c>
      <c r="N884" t="s">
        <v>354</v>
      </c>
      <c r="O884" t="s">
        <v>572</v>
      </c>
      <c r="P884">
        <v>0.11826751909286295</v>
      </c>
      <c r="Q884" t="s">
        <v>162</v>
      </c>
      <c r="S884" t="s">
        <v>466</v>
      </c>
      <c r="T884" t="s">
        <v>572</v>
      </c>
      <c r="U884">
        <v>0.14372320832922533</v>
      </c>
      <c r="V884" t="s">
        <v>162</v>
      </c>
    </row>
    <row r="885" spans="9:22" x14ac:dyDescent="0.45">
      <c r="I885" t="s">
        <v>242</v>
      </c>
      <c r="J885" t="s">
        <v>573</v>
      </c>
      <c r="K885">
        <v>0</v>
      </c>
      <c r="L885" t="s">
        <v>162</v>
      </c>
      <c r="N885" t="s">
        <v>354</v>
      </c>
      <c r="O885" t="s">
        <v>573</v>
      </c>
      <c r="P885">
        <v>0.11932160064243792</v>
      </c>
      <c r="Q885" t="s">
        <v>162</v>
      </c>
      <c r="S885" t="s">
        <v>466</v>
      </c>
      <c r="T885" t="s">
        <v>573</v>
      </c>
      <c r="U885">
        <v>0.14025458708132699</v>
      </c>
      <c r="V885" t="s">
        <v>162</v>
      </c>
    </row>
    <row r="886" spans="9:22" x14ac:dyDescent="0.45">
      <c r="I886" t="s">
        <v>242</v>
      </c>
      <c r="J886" t="s">
        <v>574</v>
      </c>
      <c r="K886">
        <v>3.873505469546993E-3</v>
      </c>
      <c r="L886" t="s">
        <v>162</v>
      </c>
      <c r="N886" t="s">
        <v>354</v>
      </c>
      <c r="O886" t="s">
        <v>574</v>
      </c>
      <c r="P886">
        <v>2.1227191658123298E-2</v>
      </c>
      <c r="Q886" t="s">
        <v>162</v>
      </c>
      <c r="S886" t="s">
        <v>466</v>
      </c>
      <c r="T886" t="s">
        <v>574</v>
      </c>
      <c r="U886">
        <v>2.6172956332877188E-2</v>
      </c>
      <c r="V886" t="s">
        <v>162</v>
      </c>
    </row>
    <row r="887" spans="9:22" x14ac:dyDescent="0.45">
      <c r="I887" t="s">
        <v>243</v>
      </c>
      <c r="J887" t="s">
        <v>563</v>
      </c>
      <c r="K887">
        <v>0.18324344311580676</v>
      </c>
      <c r="L887" t="s">
        <v>162</v>
      </c>
      <c r="N887" t="s">
        <v>355</v>
      </c>
      <c r="O887" t="s">
        <v>563</v>
      </c>
      <c r="P887">
        <v>0.11531522544084802</v>
      </c>
      <c r="Q887" t="s">
        <v>162</v>
      </c>
      <c r="S887" t="s">
        <v>467</v>
      </c>
      <c r="T887" t="s">
        <v>563</v>
      </c>
      <c r="U887">
        <v>0.10988096048929304</v>
      </c>
      <c r="V887" t="s">
        <v>162</v>
      </c>
    </row>
    <row r="888" spans="9:22" x14ac:dyDescent="0.45">
      <c r="I888" t="s">
        <v>243</v>
      </c>
      <c r="J888" t="s">
        <v>564</v>
      </c>
      <c r="K888">
        <v>6.7022876225364013E-4</v>
      </c>
      <c r="L888" t="s">
        <v>162</v>
      </c>
      <c r="N888" t="s">
        <v>355</v>
      </c>
      <c r="O888" t="s">
        <v>564</v>
      </c>
      <c r="P888">
        <v>0.11442036295035285</v>
      </c>
      <c r="Q888" t="s">
        <v>162</v>
      </c>
      <c r="S888" t="s">
        <v>467</v>
      </c>
      <c r="T888" t="s">
        <v>564</v>
      </c>
      <c r="U888">
        <v>0.11393329674280323</v>
      </c>
      <c r="V888" t="s">
        <v>162</v>
      </c>
    </row>
    <row r="889" spans="9:22" x14ac:dyDescent="0.45">
      <c r="I889" t="s">
        <v>243</v>
      </c>
      <c r="J889" t="s">
        <v>565</v>
      </c>
      <c r="K889">
        <v>1.5673140962431803E-2</v>
      </c>
      <c r="L889" t="s">
        <v>162</v>
      </c>
      <c r="N889" t="s">
        <v>355</v>
      </c>
      <c r="O889" t="s">
        <v>565</v>
      </c>
      <c r="P889">
        <v>2.1479388188437518E-2</v>
      </c>
      <c r="Q889" t="s">
        <v>162</v>
      </c>
      <c r="S889" t="s">
        <v>467</v>
      </c>
      <c r="T889" t="s">
        <v>565</v>
      </c>
      <c r="U889">
        <v>2.0393367417835886E-2</v>
      </c>
      <c r="V889" t="s">
        <v>162</v>
      </c>
    </row>
    <row r="890" spans="9:22" x14ac:dyDescent="0.45">
      <c r="I890" t="s">
        <v>243</v>
      </c>
      <c r="J890" t="s">
        <v>566</v>
      </c>
      <c r="K890">
        <v>0.27654912154468791</v>
      </c>
      <c r="L890" t="s">
        <v>162</v>
      </c>
      <c r="N890" t="s">
        <v>355</v>
      </c>
      <c r="O890" t="s">
        <v>566</v>
      </c>
      <c r="P890">
        <v>0.1092523649450257</v>
      </c>
      <c r="Q890" t="s">
        <v>162</v>
      </c>
      <c r="S890" t="s">
        <v>467</v>
      </c>
      <c r="T890" t="s">
        <v>566</v>
      </c>
      <c r="U890">
        <v>0.12041807454328504</v>
      </c>
      <c r="V890" t="s">
        <v>162</v>
      </c>
    </row>
    <row r="891" spans="9:22" x14ac:dyDescent="0.45">
      <c r="I891" t="s">
        <v>243</v>
      </c>
      <c r="J891" t="s">
        <v>567</v>
      </c>
      <c r="K891">
        <v>8.8006710196268361E-3</v>
      </c>
      <c r="L891" t="s">
        <v>162</v>
      </c>
      <c r="N891" t="s">
        <v>355</v>
      </c>
      <c r="O891" t="s">
        <v>567</v>
      </c>
      <c r="P891">
        <v>0.11741063396828298</v>
      </c>
      <c r="Q891" t="s">
        <v>162</v>
      </c>
      <c r="S891" t="s">
        <v>467</v>
      </c>
      <c r="T891" t="s">
        <v>567</v>
      </c>
      <c r="U891">
        <v>0.11770146661505637</v>
      </c>
      <c r="V891" t="s">
        <v>162</v>
      </c>
    </row>
    <row r="892" spans="9:22" x14ac:dyDescent="0.45">
      <c r="I892" t="s">
        <v>243</v>
      </c>
      <c r="J892" t="s">
        <v>568</v>
      </c>
      <c r="K892">
        <v>3.7387723243194886E-2</v>
      </c>
      <c r="L892" t="s">
        <v>162</v>
      </c>
      <c r="N892" t="s">
        <v>355</v>
      </c>
      <c r="O892" t="s">
        <v>568</v>
      </c>
      <c r="P892">
        <v>2.0794885978232525E-2</v>
      </c>
      <c r="Q892" t="s">
        <v>162</v>
      </c>
      <c r="S892" t="s">
        <v>467</v>
      </c>
      <c r="T892" t="s">
        <v>568</v>
      </c>
      <c r="U892">
        <v>2.2172959765734031E-2</v>
      </c>
      <c r="V892" t="s">
        <v>162</v>
      </c>
    </row>
    <row r="893" spans="9:22" x14ac:dyDescent="0.45">
      <c r="I893" t="s">
        <v>243</v>
      </c>
      <c r="J893" t="s">
        <v>569</v>
      </c>
      <c r="K893">
        <v>0.27931784945572569</v>
      </c>
      <c r="L893" t="s">
        <v>162</v>
      </c>
      <c r="N893" t="s">
        <v>355</v>
      </c>
      <c r="O893" t="s">
        <v>569</v>
      </c>
      <c r="P893">
        <v>9.8916252089252185E-2</v>
      </c>
      <c r="Q893" t="s">
        <v>162</v>
      </c>
      <c r="S893" t="s">
        <v>467</v>
      </c>
      <c r="T893" t="s">
        <v>569</v>
      </c>
      <c r="U893">
        <v>8.728859752896391E-2</v>
      </c>
      <c r="V893" t="s">
        <v>162</v>
      </c>
    </row>
    <row r="894" spans="9:22" x14ac:dyDescent="0.45">
      <c r="I894" t="s">
        <v>243</v>
      </c>
      <c r="J894" t="s">
        <v>570</v>
      </c>
      <c r="K894">
        <v>2.2786053641847454E-2</v>
      </c>
      <c r="L894" t="s">
        <v>162</v>
      </c>
      <c r="N894" t="s">
        <v>355</v>
      </c>
      <c r="O894" t="s">
        <v>570</v>
      </c>
      <c r="P894">
        <v>9.5127360265400071E-2</v>
      </c>
      <c r="Q894" t="s">
        <v>162</v>
      </c>
      <c r="S894" t="s">
        <v>467</v>
      </c>
      <c r="T894" t="s">
        <v>570</v>
      </c>
      <c r="U894">
        <v>9.3939833226308417E-2</v>
      </c>
      <c r="V894" t="s">
        <v>162</v>
      </c>
    </row>
    <row r="895" spans="9:22" x14ac:dyDescent="0.45">
      <c r="I895" t="s">
        <v>243</v>
      </c>
      <c r="J895" t="s">
        <v>571</v>
      </c>
      <c r="K895">
        <v>4.1543014265016331E-2</v>
      </c>
      <c r="L895" t="s">
        <v>162</v>
      </c>
      <c r="N895" t="s">
        <v>355</v>
      </c>
      <c r="O895" t="s">
        <v>571</v>
      </c>
      <c r="P895">
        <v>1.7092026440917674E-2</v>
      </c>
      <c r="Q895" t="s">
        <v>162</v>
      </c>
      <c r="S895" t="s">
        <v>467</v>
      </c>
      <c r="T895" t="s">
        <v>571</v>
      </c>
      <c r="U895">
        <v>1.6763498304452725E-2</v>
      </c>
      <c r="V895" t="s">
        <v>162</v>
      </c>
    </row>
    <row r="896" spans="9:22" x14ac:dyDescent="0.45">
      <c r="I896" t="s">
        <v>243</v>
      </c>
      <c r="J896" t="s">
        <v>572</v>
      </c>
      <c r="K896">
        <v>0.12862425957230716</v>
      </c>
      <c r="L896" t="s">
        <v>162</v>
      </c>
      <c r="N896" t="s">
        <v>355</v>
      </c>
      <c r="O896" t="s">
        <v>572</v>
      </c>
      <c r="P896">
        <v>0.1284225389521744</v>
      </c>
      <c r="Q896" t="s">
        <v>162</v>
      </c>
      <c r="S896" t="s">
        <v>467</v>
      </c>
      <c r="T896" t="s">
        <v>572</v>
      </c>
      <c r="U896">
        <v>0.1366810496104838</v>
      </c>
      <c r="V896" t="s">
        <v>162</v>
      </c>
    </row>
    <row r="897" spans="9:22" x14ac:dyDescent="0.45">
      <c r="I897" t="s">
        <v>243</v>
      </c>
      <c r="J897" t="s">
        <v>573</v>
      </c>
      <c r="K897">
        <v>0</v>
      </c>
      <c r="L897" t="s">
        <v>162</v>
      </c>
      <c r="N897" t="s">
        <v>355</v>
      </c>
      <c r="O897" t="s">
        <v>573</v>
      </c>
      <c r="P897">
        <v>0.13658847321073442</v>
      </c>
      <c r="Q897" t="s">
        <v>162</v>
      </c>
      <c r="S897" t="s">
        <v>467</v>
      </c>
      <c r="T897" t="s">
        <v>573</v>
      </c>
      <c r="U897">
        <v>0.13646669406389314</v>
      </c>
      <c r="V897" t="s">
        <v>162</v>
      </c>
    </row>
    <row r="898" spans="9:22" x14ac:dyDescent="0.45">
      <c r="I898" t="s">
        <v>243</v>
      </c>
      <c r="J898" t="s">
        <v>574</v>
      </c>
      <c r="K898">
        <v>5.4044944170992676E-3</v>
      </c>
      <c r="L898" t="s">
        <v>162</v>
      </c>
      <c r="N898" t="s">
        <v>355</v>
      </c>
      <c r="O898" t="s">
        <v>574</v>
      </c>
      <c r="P898">
        <v>2.5180487570339801E-2</v>
      </c>
      <c r="Q898" t="s">
        <v>162</v>
      </c>
      <c r="S898" t="s">
        <v>467</v>
      </c>
      <c r="T898" t="s">
        <v>574</v>
      </c>
      <c r="U898">
        <v>2.436020169189191E-2</v>
      </c>
      <c r="V898" t="s">
        <v>162</v>
      </c>
    </row>
    <row r="899" spans="9:22" x14ac:dyDescent="0.45">
      <c r="I899" t="s">
        <v>244</v>
      </c>
      <c r="J899" t="s">
        <v>563</v>
      </c>
      <c r="K899">
        <v>0.17545549447276509</v>
      </c>
      <c r="L899" t="s">
        <v>162</v>
      </c>
      <c r="N899" t="s">
        <v>356</v>
      </c>
      <c r="O899" t="s">
        <v>563</v>
      </c>
      <c r="P899">
        <v>0.11346415872969044</v>
      </c>
      <c r="Q899" t="s">
        <v>162</v>
      </c>
      <c r="S899" t="s">
        <v>468</v>
      </c>
      <c r="T899" t="s">
        <v>563</v>
      </c>
      <c r="U899">
        <v>0.1131371336751343</v>
      </c>
      <c r="V899" t="s">
        <v>162</v>
      </c>
    </row>
    <row r="900" spans="9:22" x14ac:dyDescent="0.45">
      <c r="I900" t="s">
        <v>244</v>
      </c>
      <c r="J900" t="s">
        <v>564</v>
      </c>
      <c r="K900">
        <v>5.556437460858618E-4</v>
      </c>
      <c r="L900" t="s">
        <v>162</v>
      </c>
      <c r="N900" t="s">
        <v>356</v>
      </c>
      <c r="O900" t="s">
        <v>564</v>
      </c>
      <c r="P900">
        <v>0.11547730871350906</v>
      </c>
      <c r="Q900" t="s">
        <v>162</v>
      </c>
      <c r="S900" t="s">
        <v>468</v>
      </c>
      <c r="T900" t="s">
        <v>564</v>
      </c>
      <c r="U900">
        <v>0.10327641916598172</v>
      </c>
      <c r="V900" t="s">
        <v>162</v>
      </c>
    </row>
    <row r="901" spans="9:22" x14ac:dyDescent="0.45">
      <c r="I901" t="s">
        <v>244</v>
      </c>
      <c r="J901" t="s">
        <v>565</v>
      </c>
      <c r="K901">
        <v>1.4617911799336322E-2</v>
      </c>
      <c r="L901" t="s">
        <v>162</v>
      </c>
      <c r="N901" t="s">
        <v>356</v>
      </c>
      <c r="O901" t="s">
        <v>565</v>
      </c>
      <c r="P901">
        <v>2.082712948666433E-2</v>
      </c>
      <c r="Q901" t="s">
        <v>162</v>
      </c>
      <c r="S901" t="s">
        <v>468</v>
      </c>
      <c r="T901" t="s">
        <v>565</v>
      </c>
      <c r="U901">
        <v>1.8734657216051064E-2</v>
      </c>
      <c r="V901" t="s">
        <v>162</v>
      </c>
    </row>
    <row r="902" spans="9:22" x14ac:dyDescent="0.45">
      <c r="I902" t="s">
        <v>244</v>
      </c>
      <c r="J902" t="s">
        <v>566</v>
      </c>
      <c r="K902">
        <v>0.29505749371724582</v>
      </c>
      <c r="L902" t="s">
        <v>162</v>
      </c>
      <c r="N902" t="s">
        <v>356</v>
      </c>
      <c r="O902" t="s">
        <v>566</v>
      </c>
      <c r="P902">
        <v>0.11563789895211507</v>
      </c>
      <c r="Q902" t="s">
        <v>162</v>
      </c>
      <c r="S902" t="s">
        <v>468</v>
      </c>
      <c r="T902" t="s">
        <v>566</v>
      </c>
      <c r="U902">
        <v>9.9732968789392765E-2</v>
      </c>
      <c r="V902" t="s">
        <v>162</v>
      </c>
    </row>
    <row r="903" spans="9:22" x14ac:dyDescent="0.45">
      <c r="I903" t="s">
        <v>244</v>
      </c>
      <c r="J903" t="s">
        <v>567</v>
      </c>
      <c r="K903">
        <v>1.1063896450837192E-2</v>
      </c>
      <c r="L903" t="s">
        <v>162</v>
      </c>
      <c r="N903" t="s">
        <v>356</v>
      </c>
      <c r="O903" t="s">
        <v>567</v>
      </c>
      <c r="P903">
        <v>0.11738036224266213</v>
      </c>
      <c r="Q903" t="s">
        <v>162</v>
      </c>
      <c r="S903" t="s">
        <v>468</v>
      </c>
      <c r="T903" t="s">
        <v>567</v>
      </c>
      <c r="U903">
        <v>9.7711984572302568E-2</v>
      </c>
      <c r="V903" t="s">
        <v>162</v>
      </c>
    </row>
    <row r="904" spans="9:22" x14ac:dyDescent="0.45">
      <c r="I904" t="s">
        <v>244</v>
      </c>
      <c r="J904" t="s">
        <v>568</v>
      </c>
      <c r="K904">
        <v>3.8971764041807196E-2</v>
      </c>
      <c r="L904" t="s">
        <v>162</v>
      </c>
      <c r="N904" t="s">
        <v>356</v>
      </c>
      <c r="O904" t="s">
        <v>568</v>
      </c>
      <c r="P904">
        <v>2.093206391191774E-2</v>
      </c>
      <c r="Q904" t="s">
        <v>162</v>
      </c>
      <c r="S904" t="s">
        <v>468</v>
      </c>
      <c r="T904" t="s">
        <v>568</v>
      </c>
      <c r="U904">
        <v>1.8928027653288867E-2</v>
      </c>
      <c r="V904" t="s">
        <v>162</v>
      </c>
    </row>
    <row r="905" spans="9:22" x14ac:dyDescent="0.45">
      <c r="I905" t="s">
        <v>244</v>
      </c>
      <c r="J905" t="s">
        <v>569</v>
      </c>
      <c r="K905">
        <v>0.27938457711113862</v>
      </c>
      <c r="L905" t="s">
        <v>162</v>
      </c>
      <c r="N905" t="s">
        <v>356</v>
      </c>
      <c r="O905" t="s">
        <v>569</v>
      </c>
      <c r="P905">
        <v>9.8310724925512932E-2</v>
      </c>
      <c r="Q905" t="s">
        <v>162</v>
      </c>
      <c r="S905" t="s">
        <v>468</v>
      </c>
      <c r="T905" t="s">
        <v>569</v>
      </c>
      <c r="U905">
        <v>8.4086682671261737E-2</v>
      </c>
      <c r="V905" t="s">
        <v>162</v>
      </c>
    </row>
    <row r="906" spans="9:22" x14ac:dyDescent="0.45">
      <c r="I906" t="s">
        <v>244</v>
      </c>
      <c r="J906" t="s">
        <v>570</v>
      </c>
      <c r="K906">
        <v>2.4138425080666527E-2</v>
      </c>
      <c r="L906" t="s">
        <v>162</v>
      </c>
      <c r="N906" t="s">
        <v>356</v>
      </c>
      <c r="O906" t="s">
        <v>570</v>
      </c>
      <c r="P906">
        <v>9.5969087409482345E-2</v>
      </c>
      <c r="Q906" t="s">
        <v>162</v>
      </c>
      <c r="S906" t="s">
        <v>468</v>
      </c>
      <c r="T906" t="s">
        <v>570</v>
      </c>
      <c r="U906">
        <v>7.5414881495494732E-2</v>
      </c>
      <c r="V906" t="s">
        <v>162</v>
      </c>
    </row>
    <row r="907" spans="9:22" x14ac:dyDescent="0.45">
      <c r="I907" t="s">
        <v>244</v>
      </c>
      <c r="J907" t="s">
        <v>571</v>
      </c>
      <c r="K907">
        <v>4.080254335129193E-2</v>
      </c>
      <c r="L907" t="s">
        <v>162</v>
      </c>
      <c r="N907" t="s">
        <v>356</v>
      </c>
      <c r="O907" t="s">
        <v>571</v>
      </c>
      <c r="P907">
        <v>1.7163613127504401E-2</v>
      </c>
      <c r="Q907" t="s">
        <v>162</v>
      </c>
      <c r="S907" t="s">
        <v>468</v>
      </c>
      <c r="T907" t="s">
        <v>571</v>
      </c>
      <c r="U907">
        <v>1.5820154802477216E-2</v>
      </c>
      <c r="V907" t="s">
        <v>162</v>
      </c>
    </row>
    <row r="908" spans="9:22" x14ac:dyDescent="0.45">
      <c r="I908" t="s">
        <v>244</v>
      </c>
      <c r="J908" t="s">
        <v>572</v>
      </c>
      <c r="K908">
        <v>0.11604482726471946</v>
      </c>
      <c r="L908" t="s">
        <v>162</v>
      </c>
      <c r="N908" t="s">
        <v>356</v>
      </c>
      <c r="O908" t="s">
        <v>572</v>
      </c>
      <c r="P908">
        <v>0.12863206731002375</v>
      </c>
      <c r="Q908" t="s">
        <v>162</v>
      </c>
      <c r="S908" t="s">
        <v>468</v>
      </c>
      <c r="T908" t="s">
        <v>572</v>
      </c>
      <c r="U908">
        <v>0.16860912811235643</v>
      </c>
      <c r="V908" t="s">
        <v>162</v>
      </c>
    </row>
    <row r="909" spans="9:22" x14ac:dyDescent="0.45">
      <c r="I909" t="s">
        <v>244</v>
      </c>
      <c r="J909" t="s">
        <v>573</v>
      </c>
      <c r="K909">
        <v>0</v>
      </c>
      <c r="L909" t="s">
        <v>162</v>
      </c>
      <c r="N909" t="s">
        <v>356</v>
      </c>
      <c r="O909" t="s">
        <v>573</v>
      </c>
      <c r="P909">
        <v>0.13187500671507069</v>
      </c>
      <c r="Q909" t="s">
        <v>162</v>
      </c>
      <c r="S909" t="s">
        <v>468</v>
      </c>
      <c r="T909" t="s">
        <v>573</v>
      </c>
      <c r="U909">
        <v>0.17369287389544819</v>
      </c>
      <c r="V909" t="s">
        <v>162</v>
      </c>
    </row>
    <row r="910" spans="9:22" x14ac:dyDescent="0.45">
      <c r="I910" t="s">
        <v>244</v>
      </c>
      <c r="J910" t="s">
        <v>574</v>
      </c>
      <c r="K910">
        <v>3.9074229641058566E-3</v>
      </c>
      <c r="L910" t="s">
        <v>162</v>
      </c>
      <c r="N910" t="s">
        <v>356</v>
      </c>
      <c r="O910" t="s">
        <v>574</v>
      </c>
      <c r="P910">
        <v>2.4330578475849098E-2</v>
      </c>
      <c r="Q910" t="s">
        <v>162</v>
      </c>
      <c r="S910" t="s">
        <v>468</v>
      </c>
      <c r="T910" t="s">
        <v>574</v>
      </c>
      <c r="U910">
        <v>3.0855087950810437E-2</v>
      </c>
      <c r="V910" t="s">
        <v>162</v>
      </c>
    </row>
    <row r="911" spans="9:22" x14ac:dyDescent="0.45">
      <c r="I911" t="s">
        <v>245</v>
      </c>
      <c r="J911" t="s">
        <v>563</v>
      </c>
      <c r="K911">
        <v>0.16556588167321945</v>
      </c>
      <c r="L911" t="s">
        <v>162</v>
      </c>
      <c r="N911" t="s">
        <v>357</v>
      </c>
      <c r="O911" t="s">
        <v>563</v>
      </c>
      <c r="P911">
        <v>0.1135360997513903</v>
      </c>
      <c r="Q911" t="s">
        <v>162</v>
      </c>
      <c r="S911" t="s">
        <v>469</v>
      </c>
      <c r="T911" t="s">
        <v>563</v>
      </c>
      <c r="U911">
        <v>0.1068413588597078</v>
      </c>
      <c r="V911" t="s">
        <v>162</v>
      </c>
    </row>
    <row r="912" spans="9:22" x14ac:dyDescent="0.45">
      <c r="I912" t="s">
        <v>245</v>
      </c>
      <c r="J912" t="s">
        <v>564</v>
      </c>
      <c r="K912">
        <v>1.0880318012378726E-3</v>
      </c>
      <c r="L912" t="s">
        <v>162</v>
      </c>
      <c r="N912" t="s">
        <v>357</v>
      </c>
      <c r="O912" t="s">
        <v>564</v>
      </c>
      <c r="P912">
        <v>0.11481053596387686</v>
      </c>
      <c r="Q912" t="s">
        <v>162</v>
      </c>
      <c r="S912" t="s">
        <v>469</v>
      </c>
      <c r="T912" t="s">
        <v>564</v>
      </c>
      <c r="U912">
        <v>0.10729283660142123</v>
      </c>
      <c r="V912" t="s">
        <v>162</v>
      </c>
    </row>
    <row r="913" spans="9:22" x14ac:dyDescent="0.45">
      <c r="I913" t="s">
        <v>245</v>
      </c>
      <c r="J913" t="s">
        <v>565</v>
      </c>
      <c r="K913">
        <v>1.5534113938111639E-2</v>
      </c>
      <c r="L913" t="s">
        <v>162</v>
      </c>
      <c r="N913" t="s">
        <v>357</v>
      </c>
      <c r="O913" t="s">
        <v>565</v>
      </c>
      <c r="P913">
        <v>1.8717392899505442E-2</v>
      </c>
      <c r="Q913" t="s">
        <v>162</v>
      </c>
      <c r="S913" t="s">
        <v>469</v>
      </c>
      <c r="T913" t="s">
        <v>565</v>
      </c>
      <c r="U913">
        <v>1.8784568031422335E-2</v>
      </c>
      <c r="V913" t="s">
        <v>162</v>
      </c>
    </row>
    <row r="914" spans="9:22" x14ac:dyDescent="0.45">
      <c r="I914" t="s">
        <v>245</v>
      </c>
      <c r="J914" t="s">
        <v>566</v>
      </c>
      <c r="K914">
        <v>0.31580368636443573</v>
      </c>
      <c r="L914" t="s">
        <v>162</v>
      </c>
      <c r="N914" t="s">
        <v>357</v>
      </c>
      <c r="O914" t="s">
        <v>566</v>
      </c>
      <c r="P914">
        <v>0.11650688757981605</v>
      </c>
      <c r="Q914" t="s">
        <v>162</v>
      </c>
      <c r="S914" t="s">
        <v>469</v>
      </c>
      <c r="T914" t="s">
        <v>566</v>
      </c>
      <c r="U914">
        <v>0.11293016617832813</v>
      </c>
      <c r="V914" t="s">
        <v>162</v>
      </c>
    </row>
    <row r="915" spans="9:22" x14ac:dyDescent="0.45">
      <c r="I915" t="s">
        <v>245</v>
      </c>
      <c r="J915" t="s">
        <v>567</v>
      </c>
      <c r="K915">
        <v>1.6613912316790488E-2</v>
      </c>
      <c r="L915" t="s">
        <v>162</v>
      </c>
      <c r="N915" t="s">
        <v>357</v>
      </c>
      <c r="O915" t="s">
        <v>567</v>
      </c>
      <c r="P915">
        <v>0.12305637672927316</v>
      </c>
      <c r="Q915" t="s">
        <v>162</v>
      </c>
      <c r="S915" t="s">
        <v>469</v>
      </c>
      <c r="T915" t="s">
        <v>567</v>
      </c>
      <c r="U915">
        <v>0.11545072049843202</v>
      </c>
      <c r="V915" t="s">
        <v>162</v>
      </c>
    </row>
    <row r="916" spans="9:22" x14ac:dyDescent="0.45">
      <c r="I916" t="s">
        <v>245</v>
      </c>
      <c r="J916" t="s">
        <v>568</v>
      </c>
      <c r="K916">
        <v>4.4216408330897267E-2</v>
      </c>
      <c r="L916" t="s">
        <v>162</v>
      </c>
      <c r="N916" t="s">
        <v>357</v>
      </c>
      <c r="O916" t="s">
        <v>568</v>
      </c>
      <c r="P916">
        <v>2.1411293897167456E-2</v>
      </c>
      <c r="Q916" t="s">
        <v>162</v>
      </c>
      <c r="S916" t="s">
        <v>469</v>
      </c>
      <c r="T916" t="s">
        <v>568</v>
      </c>
      <c r="U916">
        <v>2.0274986672963475E-2</v>
      </c>
      <c r="V916" t="s">
        <v>162</v>
      </c>
    </row>
    <row r="917" spans="9:22" x14ac:dyDescent="0.45">
      <c r="I917" t="s">
        <v>245</v>
      </c>
      <c r="J917" t="s">
        <v>569</v>
      </c>
      <c r="K917">
        <v>0.27240038287660229</v>
      </c>
      <c r="L917" t="s">
        <v>162</v>
      </c>
      <c r="N917" t="s">
        <v>357</v>
      </c>
      <c r="O917" t="s">
        <v>569</v>
      </c>
      <c r="P917">
        <v>8.9125703841947568E-2</v>
      </c>
      <c r="Q917" t="s">
        <v>162</v>
      </c>
      <c r="S917" t="s">
        <v>469</v>
      </c>
      <c r="T917" t="s">
        <v>569</v>
      </c>
      <c r="U917">
        <v>7.7922243060946486E-2</v>
      </c>
      <c r="V917" t="s">
        <v>162</v>
      </c>
    </row>
    <row r="918" spans="9:22" x14ac:dyDescent="0.45">
      <c r="I918" t="s">
        <v>245</v>
      </c>
      <c r="J918" t="s">
        <v>570</v>
      </c>
      <c r="K918">
        <v>2.5567803255799743E-2</v>
      </c>
      <c r="L918" t="s">
        <v>162</v>
      </c>
      <c r="N918" t="s">
        <v>357</v>
      </c>
      <c r="O918" t="s">
        <v>570</v>
      </c>
      <c r="P918">
        <v>9.8051125262274511E-2</v>
      </c>
      <c r="Q918" t="s">
        <v>162</v>
      </c>
      <c r="S918" t="s">
        <v>469</v>
      </c>
      <c r="T918" t="s">
        <v>570</v>
      </c>
      <c r="U918">
        <v>7.7355984289938715E-2</v>
      </c>
      <c r="V918" t="s">
        <v>162</v>
      </c>
    </row>
    <row r="919" spans="9:22" x14ac:dyDescent="0.45">
      <c r="I919" t="s">
        <v>245</v>
      </c>
      <c r="J919" t="s">
        <v>571</v>
      </c>
      <c r="K919">
        <v>3.7951001376403476E-2</v>
      </c>
      <c r="L919" t="s">
        <v>162</v>
      </c>
      <c r="N919" t="s">
        <v>357</v>
      </c>
      <c r="O919" t="s">
        <v>571</v>
      </c>
      <c r="P919">
        <v>1.6525443549002986E-2</v>
      </c>
      <c r="Q919" t="s">
        <v>162</v>
      </c>
      <c r="S919" t="s">
        <v>469</v>
      </c>
      <c r="T919" t="s">
        <v>571</v>
      </c>
      <c r="U919">
        <v>1.3538682640540589E-2</v>
      </c>
      <c r="V919" t="s">
        <v>162</v>
      </c>
    </row>
    <row r="920" spans="9:22" x14ac:dyDescent="0.45">
      <c r="I920" t="s">
        <v>245</v>
      </c>
      <c r="J920" t="s">
        <v>572</v>
      </c>
      <c r="K920">
        <v>0.10175924625508856</v>
      </c>
      <c r="L920" t="s">
        <v>162</v>
      </c>
      <c r="N920" t="s">
        <v>357</v>
      </c>
      <c r="O920" t="s">
        <v>572</v>
      </c>
      <c r="P920">
        <v>0.12887610934569274</v>
      </c>
      <c r="Q920" t="s">
        <v>162</v>
      </c>
      <c r="S920" t="s">
        <v>469</v>
      </c>
      <c r="T920" t="s">
        <v>572</v>
      </c>
      <c r="U920">
        <v>0.15833599473257015</v>
      </c>
      <c r="V920" t="s">
        <v>162</v>
      </c>
    </row>
    <row r="921" spans="9:22" x14ac:dyDescent="0.45">
      <c r="I921" t="s">
        <v>245</v>
      </c>
      <c r="J921" t="s">
        <v>573</v>
      </c>
      <c r="K921">
        <v>0</v>
      </c>
      <c r="L921" t="s">
        <v>162</v>
      </c>
      <c r="N921" t="s">
        <v>357</v>
      </c>
      <c r="O921" t="s">
        <v>573</v>
      </c>
      <c r="P921">
        <v>0.13515213957278288</v>
      </c>
      <c r="Q921" t="s">
        <v>162</v>
      </c>
      <c r="S921" t="s">
        <v>469</v>
      </c>
      <c r="T921" t="s">
        <v>573</v>
      </c>
      <c r="U921">
        <v>0.16172215452184618</v>
      </c>
      <c r="V921" t="s">
        <v>162</v>
      </c>
    </row>
    <row r="922" spans="9:22" x14ac:dyDescent="0.45">
      <c r="I922" t="s">
        <v>245</v>
      </c>
      <c r="J922" t="s">
        <v>574</v>
      </c>
      <c r="K922">
        <v>3.4995318114135715E-3</v>
      </c>
      <c r="L922" t="s">
        <v>162</v>
      </c>
      <c r="N922" t="s">
        <v>357</v>
      </c>
      <c r="O922" t="s">
        <v>574</v>
      </c>
      <c r="P922">
        <v>2.4230891607269867E-2</v>
      </c>
      <c r="Q922" t="s">
        <v>162</v>
      </c>
      <c r="S922" t="s">
        <v>469</v>
      </c>
      <c r="T922" t="s">
        <v>574</v>
      </c>
      <c r="U922">
        <v>2.9550303911881789E-2</v>
      </c>
      <c r="V922" t="s">
        <v>162</v>
      </c>
    </row>
    <row r="923" spans="9:22" x14ac:dyDescent="0.45">
      <c r="I923" t="s">
        <v>246</v>
      </c>
      <c r="J923" t="s">
        <v>563</v>
      </c>
      <c r="K923">
        <v>0.16066419213471778</v>
      </c>
      <c r="L923" t="s">
        <v>162</v>
      </c>
      <c r="N923" t="s">
        <v>358</v>
      </c>
      <c r="O923" t="s">
        <v>563</v>
      </c>
      <c r="P923">
        <v>0.11126237489584091</v>
      </c>
      <c r="Q923" t="s">
        <v>162</v>
      </c>
      <c r="S923" t="s">
        <v>470</v>
      </c>
      <c r="T923" t="s">
        <v>563</v>
      </c>
      <c r="U923">
        <v>0.12867257617547415</v>
      </c>
      <c r="V923" t="s">
        <v>162</v>
      </c>
    </row>
    <row r="924" spans="9:22" x14ac:dyDescent="0.45">
      <c r="I924" t="s">
        <v>246</v>
      </c>
      <c r="J924" t="s">
        <v>564</v>
      </c>
      <c r="K924">
        <v>4.1305095177600044E-4</v>
      </c>
      <c r="L924" t="s">
        <v>162</v>
      </c>
      <c r="N924" t="s">
        <v>358</v>
      </c>
      <c r="O924" t="s">
        <v>564</v>
      </c>
      <c r="P924">
        <v>0.11669989956469821</v>
      </c>
      <c r="Q924" t="s">
        <v>162</v>
      </c>
      <c r="S924" t="s">
        <v>470</v>
      </c>
      <c r="T924" t="s">
        <v>564</v>
      </c>
      <c r="U924">
        <v>0.13274523296639698</v>
      </c>
      <c r="V924" t="s">
        <v>162</v>
      </c>
    </row>
    <row r="925" spans="9:22" x14ac:dyDescent="0.45">
      <c r="I925" t="s">
        <v>246</v>
      </c>
      <c r="J925" t="s">
        <v>565</v>
      </c>
      <c r="K925">
        <v>1.253127933053301E-2</v>
      </c>
      <c r="L925" t="s">
        <v>162</v>
      </c>
      <c r="N925" t="s">
        <v>358</v>
      </c>
      <c r="O925" t="s">
        <v>565</v>
      </c>
      <c r="P925">
        <v>2.0196945552193278E-2</v>
      </c>
      <c r="Q925" t="s">
        <v>162</v>
      </c>
      <c r="S925" t="s">
        <v>470</v>
      </c>
      <c r="T925" t="s">
        <v>565</v>
      </c>
      <c r="U925">
        <v>2.365227073857654E-2</v>
      </c>
      <c r="V925" t="s">
        <v>162</v>
      </c>
    </row>
    <row r="926" spans="9:22" x14ac:dyDescent="0.45">
      <c r="I926" t="s">
        <v>246</v>
      </c>
      <c r="J926" t="s">
        <v>566</v>
      </c>
      <c r="K926">
        <v>0.31410907230743929</v>
      </c>
      <c r="L926" t="s">
        <v>162</v>
      </c>
      <c r="N926" t="s">
        <v>358</v>
      </c>
      <c r="O926" t="s">
        <v>566</v>
      </c>
      <c r="P926">
        <v>0.11621058608653663</v>
      </c>
      <c r="Q926" t="s">
        <v>162</v>
      </c>
      <c r="S926" t="s">
        <v>470</v>
      </c>
      <c r="T926" t="s">
        <v>566</v>
      </c>
      <c r="U926">
        <v>9.6941643558118157E-2</v>
      </c>
      <c r="V926" t="s">
        <v>162</v>
      </c>
    </row>
    <row r="927" spans="9:22" x14ac:dyDescent="0.45">
      <c r="I927" t="s">
        <v>246</v>
      </c>
      <c r="J927" t="s">
        <v>567</v>
      </c>
      <c r="K927">
        <v>1.2711170632787873E-2</v>
      </c>
      <c r="L927" t="s">
        <v>162</v>
      </c>
      <c r="N927" t="s">
        <v>358</v>
      </c>
      <c r="O927" t="s">
        <v>567</v>
      </c>
      <c r="P927">
        <v>0.12362272654992712</v>
      </c>
      <c r="Q927" t="s">
        <v>162</v>
      </c>
      <c r="S927" t="s">
        <v>470</v>
      </c>
      <c r="T927" t="s">
        <v>567</v>
      </c>
      <c r="U927">
        <v>0.10128094443268811</v>
      </c>
      <c r="V927" t="s">
        <v>162</v>
      </c>
    </row>
    <row r="928" spans="9:22" x14ac:dyDescent="0.45">
      <c r="I928" t="s">
        <v>246</v>
      </c>
      <c r="J928" t="s">
        <v>568</v>
      </c>
      <c r="K928">
        <v>4.0635111985058633E-2</v>
      </c>
      <c r="L928" t="s">
        <v>162</v>
      </c>
      <c r="N928" t="s">
        <v>358</v>
      </c>
      <c r="O928" t="s">
        <v>568</v>
      </c>
      <c r="P928">
        <v>2.0630577200495107E-2</v>
      </c>
      <c r="Q928" t="s">
        <v>162</v>
      </c>
      <c r="S928" t="s">
        <v>470</v>
      </c>
      <c r="T928" t="s">
        <v>568</v>
      </c>
      <c r="U928">
        <v>1.7781611305667501E-2</v>
      </c>
      <c r="V928" t="s">
        <v>162</v>
      </c>
    </row>
    <row r="929" spans="9:22" x14ac:dyDescent="0.45">
      <c r="I929" t="s">
        <v>246</v>
      </c>
      <c r="J929" t="s">
        <v>569</v>
      </c>
      <c r="K929">
        <v>0.27679846914705247</v>
      </c>
      <c r="L929" t="s">
        <v>162</v>
      </c>
      <c r="N929" t="s">
        <v>358</v>
      </c>
      <c r="O929" t="s">
        <v>569</v>
      </c>
      <c r="P929">
        <v>9.2897092565508682E-2</v>
      </c>
      <c r="Q929" t="s">
        <v>162</v>
      </c>
      <c r="S929" t="s">
        <v>470</v>
      </c>
      <c r="T929" t="s">
        <v>569</v>
      </c>
      <c r="U929">
        <v>0.11216813720722446</v>
      </c>
      <c r="V929" t="s">
        <v>162</v>
      </c>
    </row>
    <row r="930" spans="9:22" x14ac:dyDescent="0.45">
      <c r="I930" t="s">
        <v>246</v>
      </c>
      <c r="J930" t="s">
        <v>570</v>
      </c>
      <c r="K930">
        <v>2.3805800472526062E-2</v>
      </c>
      <c r="L930" t="s">
        <v>162</v>
      </c>
      <c r="N930" t="s">
        <v>358</v>
      </c>
      <c r="O930" t="s">
        <v>570</v>
      </c>
      <c r="P930">
        <v>9.7061232262603714E-2</v>
      </c>
      <c r="Q930" t="s">
        <v>162</v>
      </c>
      <c r="S930" t="s">
        <v>470</v>
      </c>
      <c r="T930" t="s">
        <v>570</v>
      </c>
      <c r="U930">
        <v>0.11776612172578083</v>
      </c>
      <c r="V930" t="s">
        <v>162</v>
      </c>
    </row>
    <row r="931" spans="9:22" x14ac:dyDescent="0.45">
      <c r="I931" t="s">
        <v>246</v>
      </c>
      <c r="J931" t="s">
        <v>571</v>
      </c>
      <c r="K931">
        <v>3.8324987742761579E-2</v>
      </c>
      <c r="L931" t="s">
        <v>162</v>
      </c>
      <c r="N931" t="s">
        <v>358</v>
      </c>
      <c r="O931" t="s">
        <v>571</v>
      </c>
      <c r="P931">
        <v>1.6615923818775299E-2</v>
      </c>
      <c r="Q931" t="s">
        <v>162</v>
      </c>
      <c r="S931" t="s">
        <v>470</v>
      </c>
      <c r="T931" t="s">
        <v>571</v>
      </c>
      <c r="U931">
        <v>2.1425257619282576E-2</v>
      </c>
      <c r="V931" t="s">
        <v>162</v>
      </c>
    </row>
    <row r="932" spans="9:22" x14ac:dyDescent="0.45">
      <c r="I932" t="s">
        <v>246</v>
      </c>
      <c r="J932" t="s">
        <v>572</v>
      </c>
      <c r="K932">
        <v>0.11713956572465223</v>
      </c>
      <c r="L932" t="s">
        <v>162</v>
      </c>
      <c r="N932" t="s">
        <v>358</v>
      </c>
      <c r="O932" t="s">
        <v>572</v>
      </c>
      <c r="P932">
        <v>0.1288749694978347</v>
      </c>
      <c r="Q932" t="s">
        <v>162</v>
      </c>
      <c r="S932" t="s">
        <v>470</v>
      </c>
      <c r="T932" t="s">
        <v>572</v>
      </c>
      <c r="U932">
        <v>0.11390870824921104</v>
      </c>
      <c r="V932" t="s">
        <v>162</v>
      </c>
    </row>
    <row r="933" spans="9:22" x14ac:dyDescent="0.45">
      <c r="I933" t="s">
        <v>246</v>
      </c>
      <c r="J933" t="s">
        <v>573</v>
      </c>
      <c r="K933">
        <v>0</v>
      </c>
      <c r="L933" t="s">
        <v>162</v>
      </c>
      <c r="N933" t="s">
        <v>358</v>
      </c>
      <c r="O933" t="s">
        <v>573</v>
      </c>
      <c r="P933">
        <v>0.13176324582145807</v>
      </c>
      <c r="Q933" t="s">
        <v>162</v>
      </c>
      <c r="S933" t="s">
        <v>470</v>
      </c>
      <c r="T933" t="s">
        <v>573</v>
      </c>
      <c r="U933">
        <v>0.11316262943788966</v>
      </c>
      <c r="V933" t="s">
        <v>162</v>
      </c>
    </row>
    <row r="934" spans="9:22" x14ac:dyDescent="0.45">
      <c r="I934" t="s">
        <v>246</v>
      </c>
      <c r="J934" t="s">
        <v>574</v>
      </c>
      <c r="K934">
        <v>2.8672995706967319E-3</v>
      </c>
      <c r="L934" t="s">
        <v>162</v>
      </c>
      <c r="N934" t="s">
        <v>358</v>
      </c>
      <c r="O934" t="s">
        <v>574</v>
      </c>
      <c r="P934">
        <v>2.4164426184127195E-2</v>
      </c>
      <c r="Q934" t="s">
        <v>162</v>
      </c>
      <c r="S934" t="s">
        <v>470</v>
      </c>
      <c r="T934" t="s">
        <v>574</v>
      </c>
      <c r="U934">
        <v>2.0494866583690884E-2</v>
      </c>
      <c r="V934" t="s">
        <v>162</v>
      </c>
    </row>
    <row r="935" spans="9:22" x14ac:dyDescent="0.45">
      <c r="I935" t="s">
        <v>247</v>
      </c>
      <c r="J935" t="s">
        <v>563</v>
      </c>
      <c r="K935">
        <v>0.16284347344068623</v>
      </c>
      <c r="L935" t="s">
        <v>162</v>
      </c>
      <c r="N935" t="s">
        <v>359</v>
      </c>
      <c r="O935" t="s">
        <v>563</v>
      </c>
      <c r="P935">
        <v>0.1214181661669686</v>
      </c>
      <c r="Q935" t="s">
        <v>162</v>
      </c>
      <c r="S935" t="s">
        <v>471</v>
      </c>
      <c r="T935" t="s">
        <v>563</v>
      </c>
      <c r="U935">
        <v>0.12825935036234692</v>
      </c>
      <c r="V935" t="s">
        <v>162</v>
      </c>
    </row>
    <row r="936" spans="9:22" x14ac:dyDescent="0.45">
      <c r="I936" t="s">
        <v>247</v>
      </c>
      <c r="J936" t="s">
        <v>564</v>
      </c>
      <c r="K936">
        <v>0</v>
      </c>
      <c r="L936" t="s">
        <v>162</v>
      </c>
      <c r="N936" t="s">
        <v>359</v>
      </c>
      <c r="O936" t="s">
        <v>564</v>
      </c>
      <c r="P936">
        <v>0.13501045859430266</v>
      </c>
      <c r="Q936" t="s">
        <v>162</v>
      </c>
      <c r="S936" t="s">
        <v>471</v>
      </c>
      <c r="T936" t="s">
        <v>564</v>
      </c>
      <c r="U936">
        <v>0.12542978215409073</v>
      </c>
      <c r="V936" t="s">
        <v>162</v>
      </c>
    </row>
    <row r="937" spans="9:22" x14ac:dyDescent="0.45">
      <c r="I937" t="s">
        <v>247</v>
      </c>
      <c r="J937" t="s">
        <v>565</v>
      </c>
      <c r="K937">
        <v>6.4936235610507974E-3</v>
      </c>
      <c r="L937" t="s">
        <v>162</v>
      </c>
      <c r="N937" t="s">
        <v>359</v>
      </c>
      <c r="O937" t="s">
        <v>565</v>
      </c>
      <c r="P937">
        <v>2.2980651301945317E-2</v>
      </c>
      <c r="Q937" t="s">
        <v>162</v>
      </c>
      <c r="S937" t="s">
        <v>471</v>
      </c>
      <c r="T937" t="s">
        <v>565</v>
      </c>
      <c r="U937">
        <v>2.3908231791200548E-2</v>
      </c>
      <c r="V937" t="s">
        <v>162</v>
      </c>
    </row>
    <row r="938" spans="9:22" x14ac:dyDescent="0.45">
      <c r="I938" t="s">
        <v>247</v>
      </c>
      <c r="J938" t="s">
        <v>566</v>
      </c>
      <c r="K938">
        <v>0.28090890824136999</v>
      </c>
      <c r="L938" t="s">
        <v>162</v>
      </c>
      <c r="N938" t="s">
        <v>359</v>
      </c>
      <c r="O938" t="s">
        <v>566</v>
      </c>
      <c r="P938">
        <v>0.11349151345031776</v>
      </c>
      <c r="Q938" t="s">
        <v>162</v>
      </c>
      <c r="S938" t="s">
        <v>471</v>
      </c>
      <c r="T938" t="s">
        <v>566</v>
      </c>
      <c r="U938">
        <v>9.953846080280275E-2</v>
      </c>
      <c r="V938" t="s">
        <v>162</v>
      </c>
    </row>
    <row r="939" spans="9:22" x14ac:dyDescent="0.45">
      <c r="I939" t="s">
        <v>247</v>
      </c>
      <c r="J939" t="s">
        <v>567</v>
      </c>
      <c r="K939">
        <v>7.0613886938357649E-3</v>
      </c>
      <c r="L939" t="s">
        <v>162</v>
      </c>
      <c r="N939" t="s">
        <v>359</v>
      </c>
      <c r="O939" t="s">
        <v>567</v>
      </c>
      <c r="P939">
        <v>0.13012439033312018</v>
      </c>
      <c r="Q939" t="s">
        <v>162</v>
      </c>
      <c r="S939" t="s">
        <v>471</v>
      </c>
      <c r="T939" t="s">
        <v>567</v>
      </c>
      <c r="U939">
        <v>0.10265039139406476</v>
      </c>
      <c r="V939" t="s">
        <v>162</v>
      </c>
    </row>
    <row r="940" spans="9:22" x14ac:dyDescent="0.45">
      <c r="I940" t="s">
        <v>247</v>
      </c>
      <c r="J940" t="s">
        <v>568</v>
      </c>
      <c r="K940">
        <v>2.2785694228479991E-2</v>
      </c>
      <c r="L940" t="s">
        <v>162</v>
      </c>
      <c r="N940" t="s">
        <v>359</v>
      </c>
      <c r="O940" t="s">
        <v>568</v>
      </c>
      <c r="P940">
        <v>2.0411620667490249E-2</v>
      </c>
      <c r="Q940" t="s">
        <v>162</v>
      </c>
      <c r="S940" t="s">
        <v>471</v>
      </c>
      <c r="T940" t="s">
        <v>568</v>
      </c>
      <c r="U940">
        <v>1.9543352094009061E-2</v>
      </c>
      <c r="V940" t="s">
        <v>162</v>
      </c>
    </row>
    <row r="941" spans="9:22" x14ac:dyDescent="0.45">
      <c r="I941" t="s">
        <v>247</v>
      </c>
      <c r="J941" t="s">
        <v>569</v>
      </c>
      <c r="K941">
        <v>0.30761085543073591</v>
      </c>
      <c r="L941" t="s">
        <v>162</v>
      </c>
      <c r="N941" t="s">
        <v>359</v>
      </c>
      <c r="O941" t="s">
        <v>569</v>
      </c>
      <c r="P941">
        <v>7.1272681831465692E-2</v>
      </c>
      <c r="Q941" t="s">
        <v>162</v>
      </c>
      <c r="S941" t="s">
        <v>471</v>
      </c>
      <c r="T941" t="s">
        <v>569</v>
      </c>
      <c r="U941">
        <v>0.11315325295673728</v>
      </c>
      <c r="V941" t="s">
        <v>162</v>
      </c>
    </row>
    <row r="942" spans="9:22" x14ac:dyDescent="0.45">
      <c r="I942" t="s">
        <v>247</v>
      </c>
      <c r="J942" t="s">
        <v>570</v>
      </c>
      <c r="K942">
        <v>1.8764077773972852E-2</v>
      </c>
      <c r="L942" t="s">
        <v>162</v>
      </c>
      <c r="N942" t="s">
        <v>359</v>
      </c>
      <c r="O942" t="s">
        <v>570</v>
      </c>
      <c r="P942">
        <v>9.4179131502929614E-2</v>
      </c>
      <c r="Q942" t="s">
        <v>162</v>
      </c>
      <c r="S942" t="s">
        <v>471</v>
      </c>
      <c r="T942" t="s">
        <v>570</v>
      </c>
      <c r="U942">
        <v>0.11616212137473898</v>
      </c>
      <c r="V942" t="s">
        <v>162</v>
      </c>
    </row>
    <row r="943" spans="9:22" x14ac:dyDescent="0.45">
      <c r="I943" t="s">
        <v>247</v>
      </c>
      <c r="J943" t="s">
        <v>571</v>
      </c>
      <c r="K943">
        <v>3.3066621163498164E-2</v>
      </c>
      <c r="L943" t="s">
        <v>162</v>
      </c>
      <c r="N943" t="s">
        <v>359</v>
      </c>
      <c r="O943" t="s">
        <v>571</v>
      </c>
      <c r="P943">
        <v>1.3615716491730668E-2</v>
      </c>
      <c r="Q943" t="s">
        <v>162</v>
      </c>
      <c r="S943" t="s">
        <v>471</v>
      </c>
      <c r="T943" t="s">
        <v>571</v>
      </c>
      <c r="U943">
        <v>2.0690047394379556E-2</v>
      </c>
      <c r="V943" t="s">
        <v>162</v>
      </c>
    </row>
    <row r="944" spans="9:22" x14ac:dyDescent="0.45">
      <c r="I944" t="s">
        <v>247</v>
      </c>
      <c r="J944" t="s">
        <v>572</v>
      </c>
      <c r="K944">
        <v>0.15951981468849039</v>
      </c>
      <c r="L944" t="s">
        <v>162</v>
      </c>
      <c r="N944" t="s">
        <v>359</v>
      </c>
      <c r="O944" t="s">
        <v>572</v>
      </c>
      <c r="P944">
        <v>0.11966494823112282</v>
      </c>
      <c r="Q944" t="s">
        <v>162</v>
      </c>
      <c r="S944" t="s">
        <v>471</v>
      </c>
      <c r="T944" t="s">
        <v>572</v>
      </c>
      <c r="U944">
        <v>0.11597465256414013</v>
      </c>
      <c r="V944" t="s">
        <v>162</v>
      </c>
    </row>
    <row r="945" spans="9:22" x14ac:dyDescent="0.45">
      <c r="I945" t="s">
        <v>247</v>
      </c>
      <c r="J945" t="s">
        <v>573</v>
      </c>
      <c r="K945">
        <v>0</v>
      </c>
      <c r="L945" t="s">
        <v>162</v>
      </c>
      <c r="N945" t="s">
        <v>359</v>
      </c>
      <c r="O945" t="s">
        <v>573</v>
      </c>
      <c r="P945">
        <v>0.13469113770201929</v>
      </c>
      <c r="Q945" t="s">
        <v>162</v>
      </c>
      <c r="S945" t="s">
        <v>471</v>
      </c>
      <c r="T945" t="s">
        <v>573</v>
      </c>
      <c r="U945">
        <v>0.11379658056529857</v>
      </c>
      <c r="V945" t="s">
        <v>162</v>
      </c>
    </row>
    <row r="946" spans="9:22" x14ac:dyDescent="0.45">
      <c r="I946" t="s">
        <v>247</v>
      </c>
      <c r="J946" t="s">
        <v>574</v>
      </c>
      <c r="K946">
        <v>9.4554277787807755E-4</v>
      </c>
      <c r="L946" t="s">
        <v>162</v>
      </c>
      <c r="N946" t="s">
        <v>359</v>
      </c>
      <c r="O946" t="s">
        <v>574</v>
      </c>
      <c r="P946">
        <v>2.3139583726585061E-2</v>
      </c>
      <c r="Q946" t="s">
        <v>162</v>
      </c>
      <c r="S946" t="s">
        <v>471</v>
      </c>
      <c r="T946" t="s">
        <v>574</v>
      </c>
      <c r="U946">
        <v>2.0893776546198867E-2</v>
      </c>
      <c r="V946" t="s">
        <v>162</v>
      </c>
    </row>
    <row r="947" spans="9:22" x14ac:dyDescent="0.45">
      <c r="I947" t="s">
        <v>248</v>
      </c>
      <c r="J947" t="s">
        <v>563</v>
      </c>
      <c r="K947">
        <v>0.16432264994064774</v>
      </c>
      <c r="L947" t="s">
        <v>162</v>
      </c>
      <c r="N947" t="s">
        <v>360</v>
      </c>
      <c r="O947" t="s">
        <v>563</v>
      </c>
      <c r="P947">
        <v>0.12576727602791149</v>
      </c>
      <c r="Q947" t="s">
        <v>162</v>
      </c>
      <c r="S947" t="s">
        <v>472</v>
      </c>
      <c r="T947" t="s">
        <v>563</v>
      </c>
      <c r="U947">
        <v>0.12457391714258036</v>
      </c>
      <c r="V947" t="s">
        <v>162</v>
      </c>
    </row>
    <row r="948" spans="9:22" x14ac:dyDescent="0.45">
      <c r="I948" t="s">
        <v>248</v>
      </c>
      <c r="J948" t="s">
        <v>564</v>
      </c>
      <c r="K948">
        <v>0</v>
      </c>
      <c r="L948" t="s">
        <v>162</v>
      </c>
      <c r="N948" t="s">
        <v>360</v>
      </c>
      <c r="O948" t="s">
        <v>564</v>
      </c>
      <c r="P948">
        <v>0.13721038619058482</v>
      </c>
      <c r="Q948" t="s">
        <v>162</v>
      </c>
      <c r="S948" t="s">
        <v>472</v>
      </c>
      <c r="T948" t="s">
        <v>564</v>
      </c>
      <c r="U948">
        <v>0.12808496716445816</v>
      </c>
      <c r="V948" t="s">
        <v>162</v>
      </c>
    </row>
    <row r="949" spans="9:22" x14ac:dyDescent="0.45">
      <c r="I949" t="s">
        <v>248</v>
      </c>
      <c r="J949" t="s">
        <v>565</v>
      </c>
      <c r="K949">
        <v>8.201396364630768E-3</v>
      </c>
      <c r="L949" t="s">
        <v>162</v>
      </c>
      <c r="N949" t="s">
        <v>360</v>
      </c>
      <c r="O949" t="s">
        <v>565</v>
      </c>
      <c r="P949">
        <v>2.5631466426606627E-2</v>
      </c>
      <c r="Q949" t="s">
        <v>162</v>
      </c>
      <c r="S949" t="s">
        <v>472</v>
      </c>
      <c r="T949" t="s">
        <v>565</v>
      </c>
      <c r="U949">
        <v>2.155630102765323E-2</v>
      </c>
      <c r="V949" t="s">
        <v>162</v>
      </c>
    </row>
    <row r="950" spans="9:22" x14ac:dyDescent="0.45">
      <c r="I950" t="s">
        <v>248</v>
      </c>
      <c r="J950" t="s">
        <v>566</v>
      </c>
      <c r="K950">
        <v>0.27901459740397611</v>
      </c>
      <c r="L950" t="s">
        <v>162</v>
      </c>
      <c r="N950" t="s">
        <v>360</v>
      </c>
      <c r="O950" t="s">
        <v>566</v>
      </c>
      <c r="P950">
        <v>0.10960439235729022</v>
      </c>
      <c r="Q950" t="s">
        <v>162</v>
      </c>
      <c r="S950" t="s">
        <v>472</v>
      </c>
      <c r="T950" t="s">
        <v>566</v>
      </c>
      <c r="U950">
        <v>0.10960613014216641</v>
      </c>
      <c r="V950" t="s">
        <v>162</v>
      </c>
    </row>
    <row r="951" spans="9:22" x14ac:dyDescent="0.45">
      <c r="I951" t="s">
        <v>248</v>
      </c>
      <c r="J951" t="s">
        <v>567</v>
      </c>
      <c r="K951">
        <v>6.1927933254136728E-3</v>
      </c>
      <c r="L951" t="s">
        <v>162</v>
      </c>
      <c r="N951" t="s">
        <v>360</v>
      </c>
      <c r="O951" t="s">
        <v>567</v>
      </c>
      <c r="P951">
        <v>0.13974993105684913</v>
      </c>
      <c r="Q951" t="s">
        <v>162</v>
      </c>
      <c r="S951" t="s">
        <v>472</v>
      </c>
      <c r="T951" t="s">
        <v>567</v>
      </c>
      <c r="U951">
        <v>0.1118257521655157</v>
      </c>
      <c r="V951" t="s">
        <v>162</v>
      </c>
    </row>
    <row r="952" spans="9:22" x14ac:dyDescent="0.45">
      <c r="I952" t="s">
        <v>248</v>
      </c>
      <c r="J952" t="s">
        <v>568</v>
      </c>
      <c r="K952">
        <v>2.9601689733132312E-2</v>
      </c>
      <c r="L952" t="s">
        <v>162</v>
      </c>
      <c r="N952" t="s">
        <v>360</v>
      </c>
      <c r="O952" t="s">
        <v>568</v>
      </c>
      <c r="P952">
        <v>2.0902119661379025E-2</v>
      </c>
      <c r="Q952" t="s">
        <v>162</v>
      </c>
      <c r="S952" t="s">
        <v>472</v>
      </c>
      <c r="T952" t="s">
        <v>568</v>
      </c>
      <c r="U952">
        <v>1.9441053548465009E-2</v>
      </c>
      <c r="V952" t="s">
        <v>162</v>
      </c>
    </row>
    <row r="953" spans="9:22" x14ac:dyDescent="0.45">
      <c r="I953" t="s">
        <v>248</v>
      </c>
      <c r="J953" t="s">
        <v>569</v>
      </c>
      <c r="K953">
        <v>0.2918473662245224</v>
      </c>
      <c r="L953" t="s">
        <v>162</v>
      </c>
      <c r="N953" t="s">
        <v>360</v>
      </c>
      <c r="O953" t="s">
        <v>569</v>
      </c>
      <c r="P953">
        <v>7.5336988994539875E-2</v>
      </c>
      <c r="Q953" t="s">
        <v>162</v>
      </c>
      <c r="S953" t="s">
        <v>472</v>
      </c>
      <c r="T953" t="s">
        <v>569</v>
      </c>
      <c r="U953">
        <v>9.0337807749333393E-2</v>
      </c>
      <c r="V953" t="s">
        <v>162</v>
      </c>
    </row>
    <row r="954" spans="9:22" x14ac:dyDescent="0.45">
      <c r="I954" t="s">
        <v>248</v>
      </c>
      <c r="J954" t="s">
        <v>570</v>
      </c>
      <c r="K954">
        <v>1.8933370064336794E-2</v>
      </c>
      <c r="L954" t="s">
        <v>162</v>
      </c>
      <c r="N954" t="s">
        <v>360</v>
      </c>
      <c r="O954" t="s">
        <v>570</v>
      </c>
      <c r="P954">
        <v>9.824334081540094E-2</v>
      </c>
      <c r="Q954" t="s">
        <v>162</v>
      </c>
      <c r="S954" t="s">
        <v>472</v>
      </c>
      <c r="T954" t="s">
        <v>570</v>
      </c>
      <c r="U954">
        <v>9.3364283740936499E-2</v>
      </c>
      <c r="V954" t="s">
        <v>162</v>
      </c>
    </row>
    <row r="955" spans="9:22" x14ac:dyDescent="0.45">
      <c r="I955" t="s">
        <v>248</v>
      </c>
      <c r="J955" t="s">
        <v>571</v>
      </c>
      <c r="K955">
        <v>3.8260939056705641E-2</v>
      </c>
      <c r="L955" t="s">
        <v>162</v>
      </c>
      <c r="N955" t="s">
        <v>360</v>
      </c>
      <c r="O955" t="s">
        <v>571</v>
      </c>
      <c r="P955">
        <v>1.3508594071808889E-2</v>
      </c>
      <c r="Q955" t="s">
        <v>162</v>
      </c>
      <c r="S955" t="s">
        <v>472</v>
      </c>
      <c r="T955" t="s">
        <v>571</v>
      </c>
      <c r="U955">
        <v>1.3733351547785121E-2</v>
      </c>
      <c r="V955" t="s">
        <v>162</v>
      </c>
    </row>
    <row r="956" spans="9:22" x14ac:dyDescent="0.45">
      <c r="I956" t="s">
        <v>248</v>
      </c>
      <c r="J956" t="s">
        <v>572</v>
      </c>
      <c r="K956">
        <v>0.16045569141692592</v>
      </c>
      <c r="L956" t="s">
        <v>162</v>
      </c>
      <c r="N956" t="s">
        <v>360</v>
      </c>
      <c r="O956" t="s">
        <v>572</v>
      </c>
      <c r="P956">
        <v>0.10673852283499879</v>
      </c>
      <c r="Q956" t="s">
        <v>162</v>
      </c>
      <c r="S956" t="s">
        <v>472</v>
      </c>
      <c r="T956" t="s">
        <v>572</v>
      </c>
      <c r="U956">
        <v>0.13266212067434535</v>
      </c>
      <c r="V956" t="s">
        <v>162</v>
      </c>
    </row>
    <row r="957" spans="9:22" x14ac:dyDescent="0.45">
      <c r="I957" t="s">
        <v>248</v>
      </c>
      <c r="J957" t="s">
        <v>573</v>
      </c>
      <c r="K957">
        <v>0</v>
      </c>
      <c r="L957" t="s">
        <v>162</v>
      </c>
      <c r="N957" t="s">
        <v>360</v>
      </c>
      <c r="O957" t="s">
        <v>573</v>
      </c>
      <c r="P957">
        <v>0.12379292633927158</v>
      </c>
      <c r="Q957" t="s">
        <v>162</v>
      </c>
      <c r="S957" t="s">
        <v>472</v>
      </c>
      <c r="T957" t="s">
        <v>573</v>
      </c>
      <c r="U957">
        <v>0.13130305392158267</v>
      </c>
      <c r="V957" t="s">
        <v>162</v>
      </c>
    </row>
    <row r="958" spans="9:22" x14ac:dyDescent="0.45">
      <c r="I958" t="s">
        <v>248</v>
      </c>
      <c r="J958" t="s">
        <v>574</v>
      </c>
      <c r="K958">
        <v>3.1695064697061853E-3</v>
      </c>
      <c r="L958" t="s">
        <v>162</v>
      </c>
      <c r="N958" t="s">
        <v>360</v>
      </c>
      <c r="O958" t="s">
        <v>574</v>
      </c>
      <c r="P958">
        <v>2.3514055223355607E-2</v>
      </c>
      <c r="Q958" t="s">
        <v>162</v>
      </c>
      <c r="S958" t="s">
        <v>472</v>
      </c>
      <c r="T958" t="s">
        <v>574</v>
      </c>
      <c r="U958">
        <v>2.3511261175178169E-2</v>
      </c>
      <c r="V958" t="s">
        <v>162</v>
      </c>
    </row>
    <row r="959" spans="9:22" x14ac:dyDescent="0.45">
      <c r="I959" t="s">
        <v>249</v>
      </c>
      <c r="J959" t="s">
        <v>563</v>
      </c>
      <c r="K959">
        <v>0.16451255842447249</v>
      </c>
      <c r="L959" t="s">
        <v>162</v>
      </c>
      <c r="N959" t="s">
        <v>361</v>
      </c>
      <c r="O959" t="s">
        <v>563</v>
      </c>
      <c r="P959">
        <v>0.1210984220247916</v>
      </c>
      <c r="Q959" t="s">
        <v>162</v>
      </c>
      <c r="S959" t="s">
        <v>473</v>
      </c>
      <c r="T959" t="s">
        <v>563</v>
      </c>
      <c r="U959">
        <v>0.10780997847384596</v>
      </c>
      <c r="V959" t="s">
        <v>162</v>
      </c>
    </row>
    <row r="960" spans="9:22" x14ac:dyDescent="0.45">
      <c r="I960" t="s">
        <v>249</v>
      </c>
      <c r="J960" t="s">
        <v>564</v>
      </c>
      <c r="K960">
        <v>0</v>
      </c>
      <c r="L960" t="s">
        <v>162</v>
      </c>
      <c r="N960" t="s">
        <v>361</v>
      </c>
      <c r="O960" t="s">
        <v>564</v>
      </c>
      <c r="P960">
        <v>0.13675529041458664</v>
      </c>
      <c r="Q960" t="s">
        <v>162</v>
      </c>
      <c r="S960" t="s">
        <v>473</v>
      </c>
      <c r="T960" t="s">
        <v>564</v>
      </c>
      <c r="U960">
        <v>0.1082819422496643</v>
      </c>
      <c r="V960" t="s">
        <v>162</v>
      </c>
    </row>
    <row r="961" spans="9:22" x14ac:dyDescent="0.45">
      <c r="I961" t="s">
        <v>249</v>
      </c>
      <c r="J961" t="s">
        <v>565</v>
      </c>
      <c r="K961">
        <v>7.0561841713426164E-3</v>
      </c>
      <c r="L961" t="s">
        <v>162</v>
      </c>
      <c r="N961" t="s">
        <v>361</v>
      </c>
      <c r="O961" t="s">
        <v>565</v>
      </c>
      <c r="P961">
        <v>2.3530750987250642E-2</v>
      </c>
      <c r="Q961" t="s">
        <v>162</v>
      </c>
      <c r="S961" t="s">
        <v>473</v>
      </c>
      <c r="T961" t="s">
        <v>565</v>
      </c>
      <c r="U961">
        <v>1.9784659069545536E-2</v>
      </c>
      <c r="V961" t="s">
        <v>162</v>
      </c>
    </row>
    <row r="962" spans="9:22" x14ac:dyDescent="0.45">
      <c r="I962" t="s">
        <v>249</v>
      </c>
      <c r="J962" t="s">
        <v>566</v>
      </c>
      <c r="K962">
        <v>0.2762182468637045</v>
      </c>
      <c r="L962" t="s">
        <v>162</v>
      </c>
      <c r="N962" t="s">
        <v>361</v>
      </c>
      <c r="O962" t="s">
        <v>566</v>
      </c>
      <c r="P962">
        <v>0.10740632293833477</v>
      </c>
      <c r="Q962" t="s">
        <v>162</v>
      </c>
      <c r="S962" t="s">
        <v>473</v>
      </c>
      <c r="T962" t="s">
        <v>566</v>
      </c>
      <c r="U962">
        <v>0.11339653860680302</v>
      </c>
      <c r="V962" t="s">
        <v>162</v>
      </c>
    </row>
    <row r="963" spans="9:22" x14ac:dyDescent="0.45">
      <c r="I963" t="s">
        <v>249</v>
      </c>
      <c r="J963" t="s">
        <v>567</v>
      </c>
      <c r="K963">
        <v>6.8990185177341097E-3</v>
      </c>
      <c r="L963" t="s">
        <v>162</v>
      </c>
      <c r="N963" t="s">
        <v>361</v>
      </c>
      <c r="O963" t="s">
        <v>567</v>
      </c>
      <c r="P963">
        <v>0.13162619749279039</v>
      </c>
      <c r="Q963" t="s">
        <v>162</v>
      </c>
      <c r="S963" t="s">
        <v>473</v>
      </c>
      <c r="T963" t="s">
        <v>567</v>
      </c>
      <c r="U963">
        <v>0.11492549255948988</v>
      </c>
      <c r="V963" t="s">
        <v>162</v>
      </c>
    </row>
    <row r="964" spans="9:22" x14ac:dyDescent="0.45">
      <c r="I964" t="s">
        <v>249</v>
      </c>
      <c r="J964" t="s">
        <v>568</v>
      </c>
      <c r="K964">
        <v>2.659409211615749E-2</v>
      </c>
      <c r="L964" t="s">
        <v>162</v>
      </c>
      <c r="N964" t="s">
        <v>361</v>
      </c>
      <c r="O964" t="s">
        <v>568</v>
      </c>
      <c r="P964">
        <v>2.1379083922901561E-2</v>
      </c>
      <c r="Q964" t="s">
        <v>162</v>
      </c>
      <c r="S964" t="s">
        <v>473</v>
      </c>
      <c r="T964" t="s">
        <v>568</v>
      </c>
      <c r="U964">
        <v>2.1143413769360922E-2</v>
      </c>
      <c r="V964" t="s">
        <v>162</v>
      </c>
    </row>
    <row r="965" spans="9:22" x14ac:dyDescent="0.45">
      <c r="I965" t="s">
        <v>249</v>
      </c>
      <c r="J965" t="s">
        <v>569</v>
      </c>
      <c r="K965">
        <v>0.3016814578198434</v>
      </c>
      <c r="L965" t="s">
        <v>162</v>
      </c>
      <c r="N965" t="s">
        <v>361</v>
      </c>
      <c r="O965" t="s">
        <v>569</v>
      </c>
      <c r="P965">
        <v>8.2056222444762753E-2</v>
      </c>
      <c r="Q965" t="s">
        <v>162</v>
      </c>
      <c r="S965" t="s">
        <v>473</v>
      </c>
      <c r="T965" t="s">
        <v>569</v>
      </c>
      <c r="U965">
        <v>0.10332365014211389</v>
      </c>
      <c r="V965" t="s">
        <v>162</v>
      </c>
    </row>
    <row r="966" spans="9:22" x14ac:dyDescent="0.45">
      <c r="I966" t="s">
        <v>249</v>
      </c>
      <c r="J966" t="s">
        <v>570</v>
      </c>
      <c r="K966">
        <v>2.1253812661222265E-2</v>
      </c>
      <c r="L966" t="s">
        <v>162</v>
      </c>
      <c r="N966" t="s">
        <v>361</v>
      </c>
      <c r="O966" t="s">
        <v>570</v>
      </c>
      <c r="P966">
        <v>9.8725784808361902E-2</v>
      </c>
      <c r="Q966" t="s">
        <v>162</v>
      </c>
      <c r="S966" t="s">
        <v>473</v>
      </c>
      <c r="T966" t="s">
        <v>570</v>
      </c>
      <c r="U966">
        <v>0.10244926535276373</v>
      </c>
      <c r="V966" t="s">
        <v>162</v>
      </c>
    </row>
    <row r="967" spans="9:22" x14ac:dyDescent="0.45">
      <c r="I967" t="s">
        <v>249</v>
      </c>
      <c r="J967" t="s">
        <v>571</v>
      </c>
      <c r="K967">
        <v>3.5202232221153755E-2</v>
      </c>
      <c r="L967" t="s">
        <v>162</v>
      </c>
      <c r="N967" t="s">
        <v>361</v>
      </c>
      <c r="O967" t="s">
        <v>571</v>
      </c>
      <c r="P967">
        <v>1.4451464350940765E-2</v>
      </c>
      <c r="Q967" t="s">
        <v>162</v>
      </c>
      <c r="S967" t="s">
        <v>473</v>
      </c>
      <c r="T967" t="s">
        <v>571</v>
      </c>
      <c r="U967">
        <v>1.8759647566471874E-2</v>
      </c>
      <c r="V967" t="s">
        <v>162</v>
      </c>
    </row>
    <row r="968" spans="9:22" x14ac:dyDescent="0.45">
      <c r="I968" t="s">
        <v>249</v>
      </c>
      <c r="J968" t="s">
        <v>572</v>
      </c>
      <c r="K968">
        <v>0.15861920642718666</v>
      </c>
      <c r="L968" t="s">
        <v>162</v>
      </c>
      <c r="N968" t="s">
        <v>361</v>
      </c>
      <c r="O968" t="s">
        <v>572</v>
      </c>
      <c r="P968">
        <v>0.11004809056689506</v>
      </c>
      <c r="Q968" t="s">
        <v>162</v>
      </c>
      <c r="S968" t="s">
        <v>473</v>
      </c>
      <c r="T968" t="s">
        <v>572</v>
      </c>
      <c r="U968">
        <v>0.13325739009593662</v>
      </c>
      <c r="V968" t="s">
        <v>162</v>
      </c>
    </row>
    <row r="969" spans="9:22" x14ac:dyDescent="0.45">
      <c r="I969" t="s">
        <v>249</v>
      </c>
      <c r="J969" t="s">
        <v>573</v>
      </c>
      <c r="K969">
        <v>0</v>
      </c>
      <c r="L969" t="s">
        <v>162</v>
      </c>
      <c r="N969" t="s">
        <v>361</v>
      </c>
      <c r="O969" t="s">
        <v>573</v>
      </c>
      <c r="P969">
        <v>0.12998516956003464</v>
      </c>
      <c r="Q969" t="s">
        <v>162</v>
      </c>
      <c r="S969" t="s">
        <v>473</v>
      </c>
      <c r="T969" t="s">
        <v>573</v>
      </c>
      <c r="U969">
        <v>0.13229579484330548</v>
      </c>
      <c r="V969" t="s">
        <v>162</v>
      </c>
    </row>
    <row r="970" spans="9:22" x14ac:dyDescent="0.45">
      <c r="I970" t="s">
        <v>249</v>
      </c>
      <c r="J970" t="s">
        <v>574</v>
      </c>
      <c r="K970">
        <v>1.9631907771844163E-3</v>
      </c>
      <c r="L970" t="s">
        <v>162</v>
      </c>
      <c r="N970" t="s">
        <v>361</v>
      </c>
      <c r="O970" t="s">
        <v>574</v>
      </c>
      <c r="P970">
        <v>2.2937200488347905E-2</v>
      </c>
      <c r="Q970" t="s">
        <v>162</v>
      </c>
      <c r="S970" t="s">
        <v>473</v>
      </c>
      <c r="T970" t="s">
        <v>574</v>
      </c>
      <c r="U970">
        <v>2.4572227270691568E-2</v>
      </c>
      <c r="V970" t="s">
        <v>162</v>
      </c>
    </row>
    <row r="971" spans="9:22" x14ac:dyDescent="0.45">
      <c r="I971" t="s">
        <v>250</v>
      </c>
      <c r="J971" t="s">
        <v>563</v>
      </c>
      <c r="K971">
        <v>0.13701929811764352</v>
      </c>
      <c r="L971" t="s">
        <v>162</v>
      </c>
      <c r="N971" t="s">
        <v>362</v>
      </c>
      <c r="O971" t="s">
        <v>563</v>
      </c>
      <c r="P971">
        <v>0.11191421725090661</v>
      </c>
      <c r="Q971" t="s">
        <v>162</v>
      </c>
      <c r="S971" t="s">
        <v>474</v>
      </c>
      <c r="T971" t="s">
        <v>563</v>
      </c>
      <c r="U971">
        <v>0.12414427854888173</v>
      </c>
      <c r="V971" t="s">
        <v>162</v>
      </c>
    </row>
    <row r="972" spans="9:22" x14ac:dyDescent="0.45">
      <c r="I972" t="s">
        <v>250</v>
      </c>
      <c r="J972" t="s">
        <v>564</v>
      </c>
      <c r="K972">
        <v>0</v>
      </c>
      <c r="L972" t="s">
        <v>162</v>
      </c>
      <c r="N972" t="s">
        <v>362</v>
      </c>
      <c r="O972" t="s">
        <v>564</v>
      </c>
      <c r="P972">
        <v>0.1289387835967534</v>
      </c>
      <c r="Q972" t="s">
        <v>162</v>
      </c>
      <c r="S972" t="s">
        <v>474</v>
      </c>
      <c r="T972" t="s">
        <v>564</v>
      </c>
      <c r="U972">
        <v>0.12755524417853381</v>
      </c>
      <c r="V972" t="s">
        <v>162</v>
      </c>
    </row>
    <row r="973" spans="9:22" x14ac:dyDescent="0.45">
      <c r="I973" t="s">
        <v>250</v>
      </c>
      <c r="J973" t="s">
        <v>565</v>
      </c>
      <c r="K973">
        <v>3.7639017443597089E-3</v>
      </c>
      <c r="L973" t="s">
        <v>162</v>
      </c>
      <c r="N973" t="s">
        <v>362</v>
      </c>
      <c r="O973" t="s">
        <v>565</v>
      </c>
      <c r="P973">
        <v>2.1920869554736454E-2</v>
      </c>
      <c r="Q973" t="s">
        <v>162</v>
      </c>
      <c r="S973" t="s">
        <v>474</v>
      </c>
      <c r="T973" t="s">
        <v>565</v>
      </c>
      <c r="U973">
        <v>2.1898426723560814E-2</v>
      </c>
      <c r="V973" t="s">
        <v>162</v>
      </c>
    </row>
    <row r="974" spans="9:22" x14ac:dyDescent="0.45">
      <c r="I974" t="s">
        <v>250</v>
      </c>
      <c r="J974" t="s">
        <v>566</v>
      </c>
      <c r="K974">
        <v>0.3274588427241476</v>
      </c>
      <c r="L974" t="s">
        <v>162</v>
      </c>
      <c r="N974" t="s">
        <v>362</v>
      </c>
      <c r="O974" t="s">
        <v>566</v>
      </c>
      <c r="P974">
        <v>0.11563355043625599</v>
      </c>
      <c r="Q974" t="s">
        <v>162</v>
      </c>
      <c r="S974" t="s">
        <v>474</v>
      </c>
      <c r="T974" t="s">
        <v>566</v>
      </c>
      <c r="U974">
        <v>0.10843099233422239</v>
      </c>
      <c r="V974" t="s">
        <v>162</v>
      </c>
    </row>
    <row r="975" spans="9:22" x14ac:dyDescent="0.45">
      <c r="I975" t="s">
        <v>250</v>
      </c>
      <c r="J975" t="s">
        <v>567</v>
      </c>
      <c r="K975">
        <v>9.0887926550838969E-3</v>
      </c>
      <c r="L975" t="s">
        <v>162</v>
      </c>
      <c r="N975" t="s">
        <v>362</v>
      </c>
      <c r="O975" t="s">
        <v>567</v>
      </c>
      <c r="P975">
        <v>0.13513795915819579</v>
      </c>
      <c r="Q975" t="s">
        <v>162</v>
      </c>
      <c r="S975" t="s">
        <v>474</v>
      </c>
      <c r="T975" t="s">
        <v>567</v>
      </c>
      <c r="U975">
        <v>0.10690093059565892</v>
      </c>
      <c r="V975" t="s">
        <v>162</v>
      </c>
    </row>
    <row r="976" spans="9:22" x14ac:dyDescent="0.45">
      <c r="I976" t="s">
        <v>250</v>
      </c>
      <c r="J976" t="s">
        <v>568</v>
      </c>
      <c r="K976">
        <v>2.7466209969692904E-2</v>
      </c>
      <c r="L976" t="s">
        <v>162</v>
      </c>
      <c r="N976" t="s">
        <v>362</v>
      </c>
      <c r="O976" t="s">
        <v>568</v>
      </c>
      <c r="P976">
        <v>2.2687157755740657E-2</v>
      </c>
      <c r="Q976" t="s">
        <v>162</v>
      </c>
      <c r="S976" t="s">
        <v>474</v>
      </c>
      <c r="T976" t="s">
        <v>568</v>
      </c>
      <c r="U976">
        <v>1.9298439252722316E-2</v>
      </c>
      <c r="V976" t="s">
        <v>162</v>
      </c>
    </row>
    <row r="977" spans="9:22" x14ac:dyDescent="0.45">
      <c r="I977" t="s">
        <v>250</v>
      </c>
      <c r="J977" t="s">
        <v>569</v>
      </c>
      <c r="K977">
        <v>0.30625036933436406</v>
      </c>
      <c r="L977" t="s">
        <v>162</v>
      </c>
      <c r="N977" t="s">
        <v>362</v>
      </c>
      <c r="O977" t="s">
        <v>569</v>
      </c>
      <c r="P977">
        <v>7.4328103372035159E-2</v>
      </c>
      <c r="Q977" t="s">
        <v>162</v>
      </c>
      <c r="S977" t="s">
        <v>474</v>
      </c>
      <c r="T977" t="s">
        <v>569</v>
      </c>
      <c r="U977">
        <v>0.10636683597886387</v>
      </c>
      <c r="V977" t="s">
        <v>162</v>
      </c>
    </row>
    <row r="978" spans="9:22" x14ac:dyDescent="0.45">
      <c r="I978" t="s">
        <v>250</v>
      </c>
      <c r="J978" t="s">
        <v>570</v>
      </c>
      <c r="K978">
        <v>2.5852885797610203E-2</v>
      </c>
      <c r="L978" t="s">
        <v>162</v>
      </c>
      <c r="N978" t="s">
        <v>362</v>
      </c>
      <c r="O978" t="s">
        <v>570</v>
      </c>
      <c r="P978">
        <v>9.155121581381373E-2</v>
      </c>
      <c r="Q978" t="s">
        <v>162</v>
      </c>
      <c r="S978" t="s">
        <v>474</v>
      </c>
      <c r="T978" t="s">
        <v>570</v>
      </c>
      <c r="U978">
        <v>0.10707131959523715</v>
      </c>
      <c r="V978" t="s">
        <v>162</v>
      </c>
    </row>
    <row r="979" spans="9:22" x14ac:dyDescent="0.45">
      <c r="I979" t="s">
        <v>250</v>
      </c>
      <c r="J979" t="s">
        <v>571</v>
      </c>
      <c r="K979">
        <v>3.8592022724834869E-2</v>
      </c>
      <c r="L979" t="s">
        <v>162</v>
      </c>
      <c r="N979" t="s">
        <v>362</v>
      </c>
      <c r="O979" t="s">
        <v>571</v>
      </c>
      <c r="P979">
        <v>1.3446556679341668E-2</v>
      </c>
      <c r="Q979" t="s">
        <v>162</v>
      </c>
      <c r="S979" t="s">
        <v>474</v>
      </c>
      <c r="T979" t="s">
        <v>571</v>
      </c>
      <c r="U979">
        <v>1.7716202254612005E-2</v>
      </c>
      <c r="V979" t="s">
        <v>162</v>
      </c>
    </row>
    <row r="980" spans="9:22" x14ac:dyDescent="0.45">
      <c r="I980" t="s">
        <v>250</v>
      </c>
      <c r="J980" t="s">
        <v>572</v>
      </c>
      <c r="K980">
        <v>0.12369311951528313</v>
      </c>
      <c r="L980" t="s">
        <v>162</v>
      </c>
      <c r="N980" t="s">
        <v>362</v>
      </c>
      <c r="O980" t="s">
        <v>572</v>
      </c>
      <c r="P980">
        <v>0.11746290166084442</v>
      </c>
      <c r="Q980" t="s">
        <v>162</v>
      </c>
      <c r="S980" t="s">
        <v>474</v>
      </c>
      <c r="T980" t="s">
        <v>572</v>
      </c>
      <c r="U980">
        <v>0.12060319317720003</v>
      </c>
      <c r="V980" t="s">
        <v>162</v>
      </c>
    </row>
    <row r="981" spans="9:22" x14ac:dyDescent="0.45">
      <c r="I981" t="s">
        <v>250</v>
      </c>
      <c r="J981" t="s">
        <v>573</v>
      </c>
      <c r="K981">
        <v>0</v>
      </c>
      <c r="L981" t="s">
        <v>162</v>
      </c>
      <c r="N981" t="s">
        <v>362</v>
      </c>
      <c r="O981" t="s">
        <v>573</v>
      </c>
      <c r="P981">
        <v>0.14121536827546147</v>
      </c>
      <c r="Q981" t="s">
        <v>162</v>
      </c>
      <c r="S981" t="s">
        <v>474</v>
      </c>
      <c r="T981" t="s">
        <v>573</v>
      </c>
      <c r="U981">
        <v>0.11785673713608337</v>
      </c>
      <c r="V981" t="s">
        <v>162</v>
      </c>
    </row>
    <row r="982" spans="9:22" x14ac:dyDescent="0.45">
      <c r="I982" t="s">
        <v>250</v>
      </c>
      <c r="J982" t="s">
        <v>574</v>
      </c>
      <c r="K982">
        <v>8.1455741697892116E-4</v>
      </c>
      <c r="L982" t="s">
        <v>162</v>
      </c>
      <c r="N982" t="s">
        <v>362</v>
      </c>
      <c r="O982" t="s">
        <v>574</v>
      </c>
      <c r="P982">
        <v>2.5763316445916194E-2</v>
      </c>
      <c r="Q982" t="s">
        <v>162</v>
      </c>
      <c r="S982" t="s">
        <v>474</v>
      </c>
      <c r="T982" t="s">
        <v>574</v>
      </c>
      <c r="U982">
        <v>2.2157400224424556E-2</v>
      </c>
      <c r="V982" t="s">
        <v>162</v>
      </c>
    </row>
    <row r="983" spans="9:22" x14ac:dyDescent="0.45">
      <c r="I983" t="s">
        <v>251</v>
      </c>
      <c r="J983" t="s">
        <v>563</v>
      </c>
      <c r="K983">
        <v>0.15332776232467105</v>
      </c>
      <c r="L983" t="s">
        <v>162</v>
      </c>
      <c r="N983" t="s">
        <v>363</v>
      </c>
      <c r="O983" t="s">
        <v>563</v>
      </c>
      <c r="P983">
        <v>0.12221040069416801</v>
      </c>
      <c r="Q983" t="s">
        <v>162</v>
      </c>
      <c r="S983" t="s">
        <v>475</v>
      </c>
      <c r="T983" t="s">
        <v>563</v>
      </c>
      <c r="U983">
        <v>0.11556761611220505</v>
      </c>
      <c r="V983" t="s">
        <v>162</v>
      </c>
    </row>
    <row r="984" spans="9:22" x14ac:dyDescent="0.45">
      <c r="I984" t="s">
        <v>251</v>
      </c>
      <c r="J984" t="s">
        <v>564</v>
      </c>
      <c r="K984">
        <v>0</v>
      </c>
      <c r="L984" t="s">
        <v>162</v>
      </c>
      <c r="N984" t="s">
        <v>363</v>
      </c>
      <c r="O984" t="s">
        <v>564</v>
      </c>
      <c r="P984">
        <v>0.14415302201958149</v>
      </c>
      <c r="Q984" t="s">
        <v>162</v>
      </c>
      <c r="S984" t="s">
        <v>475</v>
      </c>
      <c r="T984" t="s">
        <v>564</v>
      </c>
      <c r="U984">
        <v>0.11595395389559335</v>
      </c>
      <c r="V984" t="s">
        <v>162</v>
      </c>
    </row>
    <row r="985" spans="9:22" x14ac:dyDescent="0.45">
      <c r="I985" t="s">
        <v>251</v>
      </c>
      <c r="J985" t="s">
        <v>565</v>
      </c>
      <c r="K985">
        <v>4.9149002622212558E-3</v>
      </c>
      <c r="L985" t="s">
        <v>162</v>
      </c>
      <c r="N985" t="s">
        <v>363</v>
      </c>
      <c r="O985" t="s">
        <v>565</v>
      </c>
      <c r="P985">
        <v>2.4093218367353023E-2</v>
      </c>
      <c r="Q985" t="s">
        <v>162</v>
      </c>
      <c r="S985" t="s">
        <v>475</v>
      </c>
      <c r="T985" t="s">
        <v>565</v>
      </c>
      <c r="U985">
        <v>2.0440784776462877E-2</v>
      </c>
      <c r="V985" t="s">
        <v>162</v>
      </c>
    </row>
    <row r="986" spans="9:22" x14ac:dyDescent="0.45">
      <c r="I986" t="s">
        <v>251</v>
      </c>
      <c r="J986" t="s">
        <v>566</v>
      </c>
      <c r="K986">
        <v>0.30582335760266405</v>
      </c>
      <c r="L986" t="s">
        <v>162</v>
      </c>
      <c r="N986" t="s">
        <v>363</v>
      </c>
      <c r="O986" t="s">
        <v>566</v>
      </c>
      <c r="P986">
        <v>9.8236849960804673E-2</v>
      </c>
      <c r="Q986" t="s">
        <v>162</v>
      </c>
      <c r="S986" t="s">
        <v>475</v>
      </c>
      <c r="T986" t="s">
        <v>566</v>
      </c>
      <c r="U986">
        <v>0.11020180638184433</v>
      </c>
      <c r="V986" t="s">
        <v>162</v>
      </c>
    </row>
    <row r="987" spans="9:22" x14ac:dyDescent="0.45">
      <c r="I987" t="s">
        <v>251</v>
      </c>
      <c r="J987" t="s">
        <v>567</v>
      </c>
      <c r="K987">
        <v>8.4188919137141768E-3</v>
      </c>
      <c r="L987" t="s">
        <v>162</v>
      </c>
      <c r="N987" t="s">
        <v>363</v>
      </c>
      <c r="O987" t="s">
        <v>567</v>
      </c>
      <c r="P987">
        <v>0.12918850391426751</v>
      </c>
      <c r="Q987" t="s">
        <v>162</v>
      </c>
      <c r="S987" t="s">
        <v>475</v>
      </c>
      <c r="T987" t="s">
        <v>567</v>
      </c>
      <c r="U987">
        <v>0.10936496217712223</v>
      </c>
      <c r="V987" t="s">
        <v>162</v>
      </c>
    </row>
    <row r="988" spans="9:22" x14ac:dyDescent="0.45">
      <c r="I988" t="s">
        <v>251</v>
      </c>
      <c r="J988" t="s">
        <v>568</v>
      </c>
      <c r="K988">
        <v>2.6374717066157925E-2</v>
      </c>
      <c r="L988" t="s">
        <v>162</v>
      </c>
      <c r="N988" t="s">
        <v>363</v>
      </c>
      <c r="O988" t="s">
        <v>568</v>
      </c>
      <c r="P988">
        <v>2.2347521860211429E-2</v>
      </c>
      <c r="Q988" t="s">
        <v>162</v>
      </c>
      <c r="S988" t="s">
        <v>475</v>
      </c>
      <c r="T988" t="s">
        <v>568</v>
      </c>
      <c r="U988">
        <v>2.0361574834256942E-2</v>
      </c>
      <c r="V988" t="s">
        <v>162</v>
      </c>
    </row>
    <row r="989" spans="9:22" x14ac:dyDescent="0.45">
      <c r="I989" t="s">
        <v>251</v>
      </c>
      <c r="J989" t="s">
        <v>569</v>
      </c>
      <c r="K989">
        <v>0.30031594047705196</v>
      </c>
      <c r="L989" t="s">
        <v>162</v>
      </c>
      <c r="N989" t="s">
        <v>363</v>
      </c>
      <c r="O989" t="s">
        <v>569</v>
      </c>
      <c r="P989">
        <v>8.6108372336505465E-2</v>
      </c>
      <c r="Q989" t="s">
        <v>162</v>
      </c>
      <c r="S989" t="s">
        <v>475</v>
      </c>
      <c r="T989" t="s">
        <v>569</v>
      </c>
      <c r="U989">
        <v>0.10728228342143893</v>
      </c>
      <c r="V989" t="s">
        <v>162</v>
      </c>
    </row>
    <row r="990" spans="9:22" x14ac:dyDescent="0.45">
      <c r="I990" t="s">
        <v>251</v>
      </c>
      <c r="J990" t="s">
        <v>570</v>
      </c>
      <c r="K990">
        <v>2.2470250672698915E-2</v>
      </c>
      <c r="L990" t="s">
        <v>162</v>
      </c>
      <c r="N990" t="s">
        <v>363</v>
      </c>
      <c r="O990" t="s">
        <v>570</v>
      </c>
      <c r="P990">
        <v>0.10343980339532202</v>
      </c>
      <c r="Q990" t="s">
        <v>162</v>
      </c>
      <c r="S990" t="s">
        <v>475</v>
      </c>
      <c r="T990" t="s">
        <v>570</v>
      </c>
      <c r="U990">
        <v>0.11029698465607113</v>
      </c>
      <c r="V990" t="s">
        <v>162</v>
      </c>
    </row>
    <row r="991" spans="9:22" x14ac:dyDescent="0.45">
      <c r="I991" t="s">
        <v>251</v>
      </c>
      <c r="J991" t="s">
        <v>571</v>
      </c>
      <c r="K991">
        <v>3.6069957064820309E-2</v>
      </c>
      <c r="L991" t="s">
        <v>162</v>
      </c>
      <c r="N991" t="s">
        <v>363</v>
      </c>
      <c r="O991" t="s">
        <v>571</v>
      </c>
      <c r="P991">
        <v>1.3578810841125109E-2</v>
      </c>
      <c r="Q991" t="s">
        <v>162</v>
      </c>
      <c r="S991" t="s">
        <v>475</v>
      </c>
      <c r="T991" t="s">
        <v>571</v>
      </c>
      <c r="U991">
        <v>1.9029664131732731E-2</v>
      </c>
      <c r="V991" t="s">
        <v>162</v>
      </c>
    </row>
    <row r="992" spans="9:22" x14ac:dyDescent="0.45">
      <c r="I992" t="s">
        <v>251</v>
      </c>
      <c r="J992" t="s">
        <v>572</v>
      </c>
      <c r="K992">
        <v>0.1412953274787887</v>
      </c>
      <c r="L992" t="s">
        <v>162</v>
      </c>
      <c r="N992" t="s">
        <v>363</v>
      </c>
      <c r="O992" t="s">
        <v>572</v>
      </c>
      <c r="P992">
        <v>0.10673772839050867</v>
      </c>
      <c r="Q992" t="s">
        <v>162</v>
      </c>
      <c r="S992" t="s">
        <v>475</v>
      </c>
      <c r="T992" t="s">
        <v>572</v>
      </c>
      <c r="U992">
        <v>0.12381105686983616</v>
      </c>
      <c r="V992" t="s">
        <v>162</v>
      </c>
    </row>
    <row r="993" spans="9:22" x14ac:dyDescent="0.45">
      <c r="I993" t="s">
        <v>251</v>
      </c>
      <c r="J993" t="s">
        <v>573</v>
      </c>
      <c r="K993">
        <v>0</v>
      </c>
      <c r="L993" t="s">
        <v>162</v>
      </c>
      <c r="N993" t="s">
        <v>363</v>
      </c>
      <c r="O993" t="s">
        <v>573</v>
      </c>
      <c r="P993">
        <v>0.12636242670263434</v>
      </c>
      <c r="Q993" t="s">
        <v>162</v>
      </c>
      <c r="S993" t="s">
        <v>475</v>
      </c>
      <c r="T993" t="s">
        <v>573</v>
      </c>
      <c r="U993">
        <v>0.12422841679141114</v>
      </c>
      <c r="V993" t="s">
        <v>162</v>
      </c>
    </row>
    <row r="994" spans="9:22" x14ac:dyDescent="0.45">
      <c r="I994" t="s">
        <v>251</v>
      </c>
      <c r="J994" t="s">
        <v>574</v>
      </c>
      <c r="K994">
        <v>9.8889513721165789E-4</v>
      </c>
      <c r="L994" t="s">
        <v>162</v>
      </c>
      <c r="N994" t="s">
        <v>363</v>
      </c>
      <c r="O994" t="s">
        <v>574</v>
      </c>
      <c r="P994">
        <v>2.3543341517518478E-2</v>
      </c>
      <c r="Q994" t="s">
        <v>162</v>
      </c>
      <c r="S994" t="s">
        <v>475</v>
      </c>
      <c r="T994" t="s">
        <v>574</v>
      </c>
      <c r="U994">
        <v>2.3460895952026065E-2</v>
      </c>
      <c r="V994" t="s">
        <v>162</v>
      </c>
    </row>
    <row r="995" spans="9:22" x14ac:dyDescent="0.45">
      <c r="I995" t="s">
        <v>252</v>
      </c>
      <c r="J995" t="s">
        <v>563</v>
      </c>
      <c r="K995">
        <v>0.12519216915387155</v>
      </c>
      <c r="L995" t="s">
        <v>162</v>
      </c>
      <c r="N995" t="s">
        <v>364</v>
      </c>
      <c r="O995" t="s">
        <v>563</v>
      </c>
      <c r="P995">
        <v>0.11694958968743557</v>
      </c>
      <c r="Q995" t="s">
        <v>162</v>
      </c>
      <c r="S995" t="s">
        <v>476</v>
      </c>
      <c r="T995" t="s">
        <v>563</v>
      </c>
      <c r="U995">
        <v>0.12560093575063982</v>
      </c>
      <c r="V995" t="s">
        <v>162</v>
      </c>
    </row>
    <row r="996" spans="9:22" x14ac:dyDescent="0.45">
      <c r="I996" t="s">
        <v>252</v>
      </c>
      <c r="J996" t="s">
        <v>564</v>
      </c>
      <c r="K996">
        <v>0</v>
      </c>
      <c r="L996" t="s">
        <v>162</v>
      </c>
      <c r="N996" t="s">
        <v>364</v>
      </c>
      <c r="O996" t="s">
        <v>564</v>
      </c>
      <c r="P996">
        <v>0.12933895644842261</v>
      </c>
      <c r="Q996" t="s">
        <v>162</v>
      </c>
      <c r="S996" t="s">
        <v>476</v>
      </c>
      <c r="T996" t="s">
        <v>564</v>
      </c>
      <c r="U996">
        <v>0.12565479035279389</v>
      </c>
      <c r="V996" t="s">
        <v>162</v>
      </c>
    </row>
    <row r="997" spans="9:22" x14ac:dyDescent="0.45">
      <c r="I997" t="s">
        <v>252</v>
      </c>
      <c r="J997" t="s">
        <v>565</v>
      </c>
      <c r="K997">
        <v>4.81324386750491E-3</v>
      </c>
      <c r="L997" t="s">
        <v>162</v>
      </c>
      <c r="N997" t="s">
        <v>364</v>
      </c>
      <c r="O997" t="s">
        <v>565</v>
      </c>
      <c r="P997">
        <v>2.2543404254847695E-2</v>
      </c>
      <c r="Q997" t="s">
        <v>162</v>
      </c>
      <c r="S997" t="s">
        <v>476</v>
      </c>
      <c r="T997" t="s">
        <v>565</v>
      </c>
      <c r="U997">
        <v>2.1856660390730701E-2</v>
      </c>
      <c r="V997" t="s">
        <v>162</v>
      </c>
    </row>
    <row r="998" spans="9:22" x14ac:dyDescent="0.45">
      <c r="I998" t="s">
        <v>252</v>
      </c>
      <c r="J998" t="s">
        <v>566</v>
      </c>
      <c r="K998">
        <v>0.32405039558372289</v>
      </c>
      <c r="L998" t="s">
        <v>162</v>
      </c>
      <c r="N998" t="s">
        <v>364</v>
      </c>
      <c r="O998" t="s">
        <v>566</v>
      </c>
      <c r="P998">
        <v>9.3802499763288666E-2</v>
      </c>
      <c r="Q998" t="s">
        <v>162</v>
      </c>
      <c r="S998" t="s">
        <v>476</v>
      </c>
      <c r="T998" t="s">
        <v>566</v>
      </c>
      <c r="U998">
        <v>0.1081835205499815</v>
      </c>
      <c r="V998" t="s">
        <v>162</v>
      </c>
    </row>
    <row r="999" spans="9:22" x14ac:dyDescent="0.45">
      <c r="I999" t="s">
        <v>252</v>
      </c>
      <c r="J999" t="s">
        <v>567</v>
      </c>
      <c r="K999">
        <v>8.6376088036789131E-3</v>
      </c>
      <c r="L999" t="s">
        <v>162</v>
      </c>
      <c r="N999" t="s">
        <v>364</v>
      </c>
      <c r="O999" t="s">
        <v>567</v>
      </c>
      <c r="P999">
        <v>0.12356438389083381</v>
      </c>
      <c r="Q999" t="s">
        <v>162</v>
      </c>
      <c r="S999" t="s">
        <v>476</v>
      </c>
      <c r="T999" t="s">
        <v>567</v>
      </c>
      <c r="U999">
        <v>0.10897453414479008</v>
      </c>
      <c r="V999" t="s">
        <v>162</v>
      </c>
    </row>
    <row r="1000" spans="9:22" x14ac:dyDescent="0.45">
      <c r="I1000" t="s">
        <v>252</v>
      </c>
      <c r="J1000" t="s">
        <v>568</v>
      </c>
      <c r="K1000">
        <v>2.9203378753925875E-2</v>
      </c>
      <c r="L1000" t="s">
        <v>162</v>
      </c>
      <c r="N1000" t="s">
        <v>364</v>
      </c>
      <c r="O1000" t="s">
        <v>568</v>
      </c>
      <c r="P1000">
        <v>1.9819373495650706E-2</v>
      </c>
      <c r="Q1000" t="s">
        <v>162</v>
      </c>
      <c r="S1000" t="s">
        <v>476</v>
      </c>
      <c r="T1000" t="s">
        <v>568</v>
      </c>
      <c r="U1000">
        <v>1.8926279938928956E-2</v>
      </c>
      <c r="V1000" t="s">
        <v>162</v>
      </c>
    </row>
    <row r="1001" spans="9:22" x14ac:dyDescent="0.45">
      <c r="I1001" t="s">
        <v>252</v>
      </c>
      <c r="J1001" t="s">
        <v>569</v>
      </c>
      <c r="K1001">
        <v>0.30019363584317577</v>
      </c>
      <c r="L1001" t="s">
        <v>162</v>
      </c>
      <c r="N1001" t="s">
        <v>364</v>
      </c>
      <c r="O1001" t="s">
        <v>569</v>
      </c>
      <c r="P1001">
        <v>8.9613439401030087E-2</v>
      </c>
      <c r="Q1001" t="s">
        <v>162</v>
      </c>
      <c r="S1001" t="s">
        <v>476</v>
      </c>
      <c r="T1001" t="s">
        <v>569</v>
      </c>
      <c r="U1001">
        <v>9.2866741055267932E-2</v>
      </c>
      <c r="V1001" t="s">
        <v>162</v>
      </c>
    </row>
    <row r="1002" spans="9:22" x14ac:dyDescent="0.45">
      <c r="I1002" t="s">
        <v>252</v>
      </c>
      <c r="J1002" t="s">
        <v>570</v>
      </c>
      <c r="K1002">
        <v>2.9025994392221921E-2</v>
      </c>
      <c r="L1002" t="s">
        <v>162</v>
      </c>
      <c r="N1002" t="s">
        <v>364</v>
      </c>
      <c r="O1002" t="s">
        <v>570</v>
      </c>
      <c r="P1002">
        <v>0.1028055988285039</v>
      </c>
      <c r="Q1002" t="s">
        <v>162</v>
      </c>
      <c r="S1002" t="s">
        <v>476</v>
      </c>
      <c r="T1002" t="s">
        <v>570</v>
      </c>
      <c r="U1002">
        <v>9.5132453268174058E-2</v>
      </c>
      <c r="V1002" t="s">
        <v>162</v>
      </c>
    </row>
    <row r="1003" spans="9:22" x14ac:dyDescent="0.45">
      <c r="I1003" t="s">
        <v>252</v>
      </c>
      <c r="J1003" t="s">
        <v>571</v>
      </c>
      <c r="K1003">
        <v>4.1030197093759893E-2</v>
      </c>
      <c r="L1003" t="s">
        <v>162</v>
      </c>
      <c r="N1003" t="s">
        <v>364</v>
      </c>
      <c r="O1003" t="s">
        <v>571</v>
      </c>
      <c r="P1003">
        <v>1.6985077888589453E-2</v>
      </c>
      <c r="Q1003" t="s">
        <v>162</v>
      </c>
      <c r="S1003" t="s">
        <v>476</v>
      </c>
      <c r="T1003" t="s">
        <v>571</v>
      </c>
      <c r="U1003">
        <v>1.6437989254814028E-2</v>
      </c>
      <c r="V1003" t="s">
        <v>162</v>
      </c>
    </row>
    <row r="1004" spans="9:22" x14ac:dyDescent="0.45">
      <c r="I1004" t="s">
        <v>252</v>
      </c>
      <c r="J1004" t="s">
        <v>572</v>
      </c>
      <c r="K1004">
        <v>0.13609491327880127</v>
      </c>
      <c r="L1004" t="s">
        <v>162</v>
      </c>
      <c r="N1004" t="s">
        <v>364</v>
      </c>
      <c r="O1004" t="s">
        <v>572</v>
      </c>
      <c r="P1004">
        <v>0.12469052255714057</v>
      </c>
      <c r="Q1004" t="s">
        <v>162</v>
      </c>
      <c r="S1004" t="s">
        <v>476</v>
      </c>
      <c r="T1004" t="s">
        <v>572</v>
      </c>
      <c r="U1004">
        <v>0.13214720177547043</v>
      </c>
      <c r="V1004" t="s">
        <v>162</v>
      </c>
    </row>
    <row r="1005" spans="9:22" x14ac:dyDescent="0.45">
      <c r="I1005" t="s">
        <v>252</v>
      </c>
      <c r="J1005" t="s">
        <v>573</v>
      </c>
      <c r="K1005">
        <v>0</v>
      </c>
      <c r="L1005" t="s">
        <v>162</v>
      </c>
      <c r="N1005" t="s">
        <v>364</v>
      </c>
      <c r="O1005" t="s">
        <v>573</v>
      </c>
      <c r="P1005">
        <v>0.13531653792283332</v>
      </c>
      <c r="Q1005" t="s">
        <v>162</v>
      </c>
      <c r="S1005" t="s">
        <v>476</v>
      </c>
      <c r="T1005" t="s">
        <v>573</v>
      </c>
      <c r="U1005">
        <v>0.13007355686802757</v>
      </c>
      <c r="V1005" t="s">
        <v>162</v>
      </c>
    </row>
    <row r="1006" spans="9:22" x14ac:dyDescent="0.45">
      <c r="I1006" t="s">
        <v>252</v>
      </c>
      <c r="J1006" t="s">
        <v>574</v>
      </c>
      <c r="K1006">
        <v>1.7584632293363052E-3</v>
      </c>
      <c r="L1006" t="s">
        <v>162</v>
      </c>
      <c r="N1006" t="s">
        <v>364</v>
      </c>
      <c r="O1006" t="s">
        <v>574</v>
      </c>
      <c r="P1006">
        <v>2.4570615861423534E-2</v>
      </c>
      <c r="Q1006" t="s">
        <v>162</v>
      </c>
      <c r="S1006" t="s">
        <v>476</v>
      </c>
      <c r="T1006" t="s">
        <v>574</v>
      </c>
      <c r="U1006">
        <v>2.4145336650384337E-2</v>
      </c>
      <c r="V1006" t="s">
        <v>162</v>
      </c>
    </row>
    <row r="1007" spans="9:22" x14ac:dyDescent="0.45">
      <c r="I1007" t="s">
        <v>253</v>
      </c>
      <c r="J1007" t="s">
        <v>563</v>
      </c>
      <c r="K1007">
        <v>0.14486770986049613</v>
      </c>
      <c r="L1007" t="s">
        <v>162</v>
      </c>
      <c r="N1007" t="s">
        <v>365</v>
      </c>
      <c r="O1007" t="s">
        <v>563</v>
      </c>
      <c r="P1007">
        <v>0.12853796746457169</v>
      </c>
      <c r="Q1007" t="s">
        <v>162</v>
      </c>
      <c r="S1007" t="s">
        <v>477</v>
      </c>
      <c r="T1007" t="s">
        <v>563</v>
      </c>
      <c r="U1007">
        <v>0.12243586233906335</v>
      </c>
      <c r="V1007" t="s">
        <v>162</v>
      </c>
    </row>
    <row r="1008" spans="9:22" x14ac:dyDescent="0.45">
      <c r="I1008" t="s">
        <v>253</v>
      </c>
      <c r="J1008" t="s">
        <v>564</v>
      </c>
      <c r="K1008">
        <v>0</v>
      </c>
      <c r="L1008" t="s">
        <v>162</v>
      </c>
      <c r="N1008" t="s">
        <v>365</v>
      </c>
      <c r="O1008" t="s">
        <v>564</v>
      </c>
      <c r="P1008">
        <v>0.14101202793208301</v>
      </c>
      <c r="Q1008" t="s">
        <v>162</v>
      </c>
      <c r="S1008" t="s">
        <v>477</v>
      </c>
      <c r="T1008" t="s">
        <v>564</v>
      </c>
      <c r="U1008">
        <v>0.12299993086380596</v>
      </c>
      <c r="V1008" t="s">
        <v>162</v>
      </c>
    </row>
    <row r="1009" spans="9:22" x14ac:dyDescent="0.45">
      <c r="I1009" t="s">
        <v>253</v>
      </c>
      <c r="J1009" t="s">
        <v>565</v>
      </c>
      <c r="K1009">
        <v>6.3873546003901122E-3</v>
      </c>
      <c r="L1009" t="s">
        <v>162</v>
      </c>
      <c r="N1009" t="s">
        <v>365</v>
      </c>
      <c r="O1009" t="s">
        <v>565</v>
      </c>
      <c r="P1009">
        <v>2.4365952869403934E-2</v>
      </c>
      <c r="Q1009" t="s">
        <v>162</v>
      </c>
      <c r="S1009" t="s">
        <v>477</v>
      </c>
      <c r="T1009" t="s">
        <v>565</v>
      </c>
      <c r="U1009">
        <v>2.2354492653630698E-2</v>
      </c>
      <c r="V1009" t="s">
        <v>162</v>
      </c>
    </row>
    <row r="1010" spans="9:22" x14ac:dyDescent="0.45">
      <c r="I1010" t="s">
        <v>253</v>
      </c>
      <c r="J1010" t="s">
        <v>566</v>
      </c>
      <c r="K1010">
        <v>0.29624663409747759</v>
      </c>
      <c r="L1010" t="s">
        <v>162</v>
      </c>
      <c r="N1010" t="s">
        <v>365</v>
      </c>
      <c r="O1010" t="s">
        <v>566</v>
      </c>
      <c r="P1010">
        <v>8.8494352896166403E-2</v>
      </c>
      <c r="Q1010" t="s">
        <v>162</v>
      </c>
      <c r="S1010" t="s">
        <v>477</v>
      </c>
      <c r="T1010" t="s">
        <v>566</v>
      </c>
      <c r="U1010">
        <v>0.11351312124218688</v>
      </c>
      <c r="V1010" t="s">
        <v>162</v>
      </c>
    </row>
    <row r="1011" spans="9:22" x14ac:dyDescent="0.45">
      <c r="I1011" t="s">
        <v>253</v>
      </c>
      <c r="J1011" t="s">
        <v>567</v>
      </c>
      <c r="K1011">
        <v>8.0363565060927959E-3</v>
      </c>
      <c r="L1011" t="s">
        <v>162</v>
      </c>
      <c r="N1011" t="s">
        <v>365</v>
      </c>
      <c r="O1011" t="s">
        <v>567</v>
      </c>
      <c r="P1011">
        <v>0.12275624948221163</v>
      </c>
      <c r="Q1011" t="s">
        <v>162</v>
      </c>
      <c r="S1011" t="s">
        <v>477</v>
      </c>
      <c r="T1011" t="s">
        <v>567</v>
      </c>
      <c r="U1011">
        <v>0.11719516135981388</v>
      </c>
      <c r="V1011" t="s">
        <v>162</v>
      </c>
    </row>
    <row r="1012" spans="9:22" x14ac:dyDescent="0.45">
      <c r="I1012" t="s">
        <v>253</v>
      </c>
      <c r="J1012" t="s">
        <v>568</v>
      </c>
      <c r="K1012">
        <v>3.0970089203542547E-2</v>
      </c>
      <c r="L1012" t="s">
        <v>162</v>
      </c>
      <c r="N1012" t="s">
        <v>365</v>
      </c>
      <c r="O1012" t="s">
        <v>568</v>
      </c>
      <c r="P1012">
        <v>1.8639431462462767E-2</v>
      </c>
      <c r="Q1012" t="s">
        <v>162</v>
      </c>
      <c r="S1012" t="s">
        <v>477</v>
      </c>
      <c r="T1012" t="s">
        <v>568</v>
      </c>
      <c r="U1012">
        <v>2.0553210973954371E-2</v>
      </c>
      <c r="V1012" t="s">
        <v>162</v>
      </c>
    </row>
    <row r="1013" spans="9:22" x14ac:dyDescent="0.45">
      <c r="I1013" t="s">
        <v>253</v>
      </c>
      <c r="J1013" t="s">
        <v>569</v>
      </c>
      <c r="K1013">
        <v>0.29634801148987122</v>
      </c>
      <c r="L1013" t="s">
        <v>162</v>
      </c>
      <c r="N1013" t="s">
        <v>365</v>
      </c>
      <c r="O1013" t="s">
        <v>569</v>
      </c>
      <c r="P1013">
        <v>9.3444118935095841E-2</v>
      </c>
      <c r="Q1013" t="s">
        <v>162</v>
      </c>
      <c r="S1013" t="s">
        <v>477</v>
      </c>
      <c r="T1013" t="s">
        <v>569</v>
      </c>
      <c r="U1013">
        <v>8.7853916247805502E-2</v>
      </c>
      <c r="V1013" t="s">
        <v>162</v>
      </c>
    </row>
    <row r="1014" spans="9:22" x14ac:dyDescent="0.45">
      <c r="I1014" t="s">
        <v>253</v>
      </c>
      <c r="J1014" t="s">
        <v>570</v>
      </c>
      <c r="K1014">
        <v>2.5056672357230567E-2</v>
      </c>
      <c r="L1014" t="s">
        <v>162</v>
      </c>
      <c r="N1014" t="s">
        <v>365</v>
      </c>
      <c r="O1014" t="s">
        <v>570</v>
      </c>
      <c r="P1014">
        <v>0.10972962458348684</v>
      </c>
      <c r="Q1014" t="s">
        <v>162</v>
      </c>
      <c r="S1014" t="s">
        <v>477</v>
      </c>
      <c r="T1014" t="s">
        <v>570</v>
      </c>
      <c r="U1014">
        <v>8.7455195742767264E-2</v>
      </c>
      <c r="V1014" t="s">
        <v>162</v>
      </c>
    </row>
    <row r="1015" spans="9:22" x14ac:dyDescent="0.45">
      <c r="I1015" t="s">
        <v>253</v>
      </c>
      <c r="J1015" t="s">
        <v>571</v>
      </c>
      <c r="K1015">
        <v>3.5648992476783138E-2</v>
      </c>
      <c r="L1015" t="s">
        <v>162</v>
      </c>
      <c r="N1015" t="s">
        <v>365</v>
      </c>
      <c r="O1015" t="s">
        <v>571</v>
      </c>
      <c r="P1015">
        <v>1.6039134738745665E-2</v>
      </c>
      <c r="Q1015" t="s">
        <v>162</v>
      </c>
      <c r="S1015" t="s">
        <v>477</v>
      </c>
      <c r="T1015" t="s">
        <v>571</v>
      </c>
      <c r="U1015">
        <v>1.5785411939498319E-2</v>
      </c>
      <c r="V1015" t="s">
        <v>162</v>
      </c>
    </row>
    <row r="1016" spans="9:22" x14ac:dyDescent="0.45">
      <c r="I1016" t="s">
        <v>253</v>
      </c>
      <c r="J1016" t="s">
        <v>572</v>
      </c>
      <c r="K1016">
        <v>0.15367151905429691</v>
      </c>
      <c r="L1016" t="s">
        <v>162</v>
      </c>
      <c r="N1016" t="s">
        <v>365</v>
      </c>
      <c r="O1016" t="s">
        <v>572</v>
      </c>
      <c r="P1016">
        <v>0.10638913145388536</v>
      </c>
      <c r="Q1016" t="s">
        <v>162</v>
      </c>
      <c r="S1016" t="s">
        <v>477</v>
      </c>
      <c r="T1016" t="s">
        <v>572</v>
      </c>
      <c r="U1016">
        <v>0.1347237420096829</v>
      </c>
      <c r="V1016" t="s">
        <v>162</v>
      </c>
    </row>
    <row r="1017" spans="9:22" x14ac:dyDescent="0.45">
      <c r="I1017" t="s">
        <v>253</v>
      </c>
      <c r="J1017" t="s">
        <v>573</v>
      </c>
      <c r="K1017">
        <v>0</v>
      </c>
      <c r="L1017" t="s">
        <v>162</v>
      </c>
      <c r="N1017" t="s">
        <v>365</v>
      </c>
      <c r="O1017" t="s">
        <v>573</v>
      </c>
      <c r="P1017">
        <v>0.12692118016749201</v>
      </c>
      <c r="Q1017" t="s">
        <v>162</v>
      </c>
      <c r="S1017" t="s">
        <v>477</v>
      </c>
      <c r="T1017" t="s">
        <v>573</v>
      </c>
      <c r="U1017">
        <v>0.13116419793337511</v>
      </c>
      <c r="V1017" t="s">
        <v>162</v>
      </c>
    </row>
    <row r="1018" spans="9:22" x14ac:dyDescent="0.45">
      <c r="I1018" t="s">
        <v>253</v>
      </c>
      <c r="J1018" t="s">
        <v>574</v>
      </c>
      <c r="K1018">
        <v>2.766660353818264E-3</v>
      </c>
      <c r="L1018" t="s">
        <v>162</v>
      </c>
      <c r="N1018" t="s">
        <v>365</v>
      </c>
      <c r="O1018" t="s">
        <v>574</v>
      </c>
      <c r="P1018">
        <v>2.3670828014394196E-2</v>
      </c>
      <c r="Q1018" t="s">
        <v>162</v>
      </c>
      <c r="S1018" t="s">
        <v>477</v>
      </c>
      <c r="T1018" t="s">
        <v>574</v>
      </c>
      <c r="U1018">
        <v>2.3965756694416456E-2</v>
      </c>
      <c r="V1018" t="s">
        <v>162</v>
      </c>
    </row>
    <row r="1019" spans="9:22" x14ac:dyDescent="0.45">
      <c r="I1019" t="s">
        <v>254</v>
      </c>
      <c r="J1019" t="s">
        <v>563</v>
      </c>
      <c r="K1019">
        <v>0.11083121890180993</v>
      </c>
      <c r="L1019" t="s">
        <v>162</v>
      </c>
      <c r="N1019" t="s">
        <v>366</v>
      </c>
      <c r="O1019" t="s">
        <v>563</v>
      </c>
      <c r="P1019">
        <v>0.1167205893867896</v>
      </c>
      <c r="Q1019" t="s">
        <v>162</v>
      </c>
      <c r="S1019" t="s">
        <v>478</v>
      </c>
      <c r="T1019" t="s">
        <v>563</v>
      </c>
      <c r="U1019">
        <v>0.13420404870770386</v>
      </c>
      <c r="V1019" t="s">
        <v>162</v>
      </c>
    </row>
    <row r="1020" spans="9:22" x14ac:dyDescent="0.45">
      <c r="I1020" t="s">
        <v>254</v>
      </c>
      <c r="J1020" t="s">
        <v>564</v>
      </c>
      <c r="K1020">
        <v>6.5531990545417097E-4</v>
      </c>
      <c r="L1020" t="s">
        <v>162</v>
      </c>
      <c r="N1020" t="s">
        <v>366</v>
      </c>
      <c r="O1020" t="s">
        <v>564</v>
      </c>
      <c r="P1020">
        <v>0.130432267415378</v>
      </c>
      <c r="Q1020" t="s">
        <v>162</v>
      </c>
      <c r="S1020" t="s">
        <v>478</v>
      </c>
      <c r="T1020" t="s">
        <v>564</v>
      </c>
      <c r="U1020">
        <v>0.13740381275223382</v>
      </c>
      <c r="V1020" t="s">
        <v>162</v>
      </c>
    </row>
    <row r="1021" spans="9:22" x14ac:dyDescent="0.45">
      <c r="I1021" t="s">
        <v>254</v>
      </c>
      <c r="J1021" t="s">
        <v>565</v>
      </c>
      <c r="K1021">
        <v>7.6763205890408781E-3</v>
      </c>
      <c r="L1021" t="s">
        <v>162</v>
      </c>
      <c r="N1021" t="s">
        <v>366</v>
      </c>
      <c r="O1021" t="s">
        <v>565</v>
      </c>
      <c r="P1021">
        <v>2.1429254102645866E-2</v>
      </c>
      <c r="Q1021" t="s">
        <v>162</v>
      </c>
      <c r="S1021" t="s">
        <v>478</v>
      </c>
      <c r="T1021" t="s">
        <v>565</v>
      </c>
      <c r="U1021">
        <v>2.3796409408112885E-2</v>
      </c>
      <c r="V1021" t="s">
        <v>162</v>
      </c>
    </row>
    <row r="1022" spans="9:22" x14ac:dyDescent="0.45">
      <c r="I1022" t="s">
        <v>254</v>
      </c>
      <c r="J1022" t="s">
        <v>566</v>
      </c>
      <c r="K1022">
        <v>0.30717172286411365</v>
      </c>
      <c r="L1022" t="s">
        <v>162</v>
      </c>
      <c r="N1022" t="s">
        <v>366</v>
      </c>
      <c r="O1022" t="s">
        <v>566</v>
      </c>
      <c r="P1022">
        <v>9.8436596323583411E-2</v>
      </c>
      <c r="Q1022" t="s">
        <v>162</v>
      </c>
      <c r="S1022" t="s">
        <v>478</v>
      </c>
      <c r="T1022" t="s">
        <v>566</v>
      </c>
      <c r="U1022">
        <v>0.10018190623652096</v>
      </c>
      <c r="V1022" t="s">
        <v>162</v>
      </c>
    </row>
    <row r="1023" spans="9:22" x14ac:dyDescent="0.45">
      <c r="I1023" t="s">
        <v>254</v>
      </c>
      <c r="J1023" t="s">
        <v>567</v>
      </c>
      <c r="K1023">
        <v>1.3328220384738838E-2</v>
      </c>
      <c r="L1023" t="s">
        <v>162</v>
      </c>
      <c r="N1023" t="s">
        <v>366</v>
      </c>
      <c r="O1023" t="s">
        <v>567</v>
      </c>
      <c r="P1023">
        <v>0.11642787151499683</v>
      </c>
      <c r="Q1023" t="s">
        <v>162</v>
      </c>
      <c r="S1023" t="s">
        <v>478</v>
      </c>
      <c r="T1023" t="s">
        <v>567</v>
      </c>
      <c r="U1023">
        <v>0.10356968132737775</v>
      </c>
      <c r="V1023" t="s">
        <v>162</v>
      </c>
    </row>
    <row r="1024" spans="9:22" x14ac:dyDescent="0.45">
      <c r="I1024" t="s">
        <v>254</v>
      </c>
      <c r="J1024" t="s">
        <v>568</v>
      </c>
      <c r="K1024">
        <v>4.2117735915097404E-2</v>
      </c>
      <c r="L1024" t="s">
        <v>162</v>
      </c>
      <c r="N1024" t="s">
        <v>366</v>
      </c>
      <c r="O1024" t="s">
        <v>568</v>
      </c>
      <c r="P1024">
        <v>1.8270819651021761E-2</v>
      </c>
      <c r="Q1024" t="s">
        <v>162</v>
      </c>
      <c r="S1024" t="s">
        <v>478</v>
      </c>
      <c r="T1024" t="s">
        <v>568</v>
      </c>
      <c r="U1024">
        <v>1.9339419290551736E-2</v>
      </c>
      <c r="V1024" t="s">
        <v>162</v>
      </c>
    </row>
    <row r="1025" spans="9:22" x14ac:dyDescent="0.45">
      <c r="I1025" t="s">
        <v>254</v>
      </c>
      <c r="J1025" t="s">
        <v>569</v>
      </c>
      <c r="K1025">
        <v>0.30863005393059029</v>
      </c>
      <c r="L1025" t="s">
        <v>162</v>
      </c>
      <c r="N1025" t="s">
        <v>366</v>
      </c>
      <c r="O1025" t="s">
        <v>569</v>
      </c>
      <c r="P1025">
        <v>8.208130940702979E-2</v>
      </c>
      <c r="Q1025" t="s">
        <v>162</v>
      </c>
      <c r="S1025" t="s">
        <v>478</v>
      </c>
      <c r="T1025" t="s">
        <v>569</v>
      </c>
      <c r="U1025">
        <v>0.11395205627824027</v>
      </c>
      <c r="V1025" t="s">
        <v>162</v>
      </c>
    </row>
    <row r="1026" spans="9:22" x14ac:dyDescent="0.45">
      <c r="I1026" t="s">
        <v>254</v>
      </c>
      <c r="J1026" t="s">
        <v>570</v>
      </c>
      <c r="K1026">
        <v>3.7339960442118118E-2</v>
      </c>
      <c r="L1026" t="s">
        <v>162</v>
      </c>
      <c r="N1026" t="s">
        <v>366</v>
      </c>
      <c r="O1026" t="s">
        <v>570</v>
      </c>
      <c r="P1026">
        <v>9.4533981373788323E-2</v>
      </c>
      <c r="Q1026" t="s">
        <v>162</v>
      </c>
      <c r="S1026" t="s">
        <v>478</v>
      </c>
      <c r="T1026" t="s">
        <v>570</v>
      </c>
      <c r="U1026">
        <v>0.12452148353555442</v>
      </c>
      <c r="V1026" t="s">
        <v>162</v>
      </c>
    </row>
    <row r="1027" spans="9:22" x14ac:dyDescent="0.45">
      <c r="I1027" t="s">
        <v>254</v>
      </c>
      <c r="J1027" t="s">
        <v>571</v>
      </c>
      <c r="K1027">
        <v>4.7511178325119939E-2</v>
      </c>
      <c r="L1027" t="s">
        <v>162</v>
      </c>
      <c r="N1027" t="s">
        <v>366</v>
      </c>
      <c r="O1027" t="s">
        <v>571</v>
      </c>
      <c r="P1027">
        <v>1.4389556525169453E-2</v>
      </c>
      <c r="Q1027" t="s">
        <v>162</v>
      </c>
      <c r="S1027" t="s">
        <v>478</v>
      </c>
      <c r="T1027" t="s">
        <v>571</v>
      </c>
      <c r="U1027">
        <v>2.1679715153987998E-2</v>
      </c>
      <c r="V1027" t="s">
        <v>162</v>
      </c>
    </row>
    <row r="1028" spans="9:22" x14ac:dyDescent="0.45">
      <c r="I1028" t="s">
        <v>254</v>
      </c>
      <c r="J1028" t="s">
        <v>572</v>
      </c>
      <c r="K1028">
        <v>0.12069111348377104</v>
      </c>
      <c r="L1028" t="s">
        <v>162</v>
      </c>
      <c r="N1028" t="s">
        <v>366</v>
      </c>
      <c r="O1028" t="s">
        <v>572</v>
      </c>
      <c r="P1028">
        <v>0.13672783619121825</v>
      </c>
      <c r="Q1028" t="s">
        <v>162</v>
      </c>
      <c r="S1028" t="s">
        <v>478</v>
      </c>
      <c r="T1028" t="s">
        <v>572</v>
      </c>
      <c r="U1028">
        <v>9.9724482784889532E-2</v>
      </c>
      <c r="V1028" t="s">
        <v>162</v>
      </c>
    </row>
    <row r="1029" spans="9:22" x14ac:dyDescent="0.45">
      <c r="I1029" t="s">
        <v>254</v>
      </c>
      <c r="J1029" t="s">
        <v>573</v>
      </c>
      <c r="K1029">
        <v>0</v>
      </c>
      <c r="L1029" t="s">
        <v>162</v>
      </c>
      <c r="N1029" t="s">
        <v>366</v>
      </c>
      <c r="O1029" t="s">
        <v>573</v>
      </c>
      <c r="P1029">
        <v>0.14454241492352674</v>
      </c>
      <c r="Q1029" t="s">
        <v>162</v>
      </c>
      <c r="S1029" t="s">
        <v>478</v>
      </c>
      <c r="T1029" t="s">
        <v>573</v>
      </c>
      <c r="U1029">
        <v>0.10354651707255948</v>
      </c>
      <c r="V1029" t="s">
        <v>162</v>
      </c>
    </row>
    <row r="1030" spans="9:22" x14ac:dyDescent="0.45">
      <c r="I1030" t="s">
        <v>254</v>
      </c>
      <c r="J1030" t="s">
        <v>574</v>
      </c>
      <c r="K1030">
        <v>4.047155258149168E-3</v>
      </c>
      <c r="L1030" t="s">
        <v>162</v>
      </c>
      <c r="N1030" t="s">
        <v>366</v>
      </c>
      <c r="O1030" t="s">
        <v>574</v>
      </c>
      <c r="P1030">
        <v>2.6007503184851032E-2</v>
      </c>
      <c r="Q1030" t="s">
        <v>162</v>
      </c>
      <c r="S1030" t="s">
        <v>478</v>
      </c>
      <c r="T1030" t="s">
        <v>574</v>
      </c>
      <c r="U1030">
        <v>1.8080467452269936E-2</v>
      </c>
      <c r="V1030" t="s">
        <v>162</v>
      </c>
    </row>
    <row r="1031" spans="9:22" x14ac:dyDescent="0.45">
      <c r="I1031" t="s">
        <v>255</v>
      </c>
      <c r="J1031" t="s">
        <v>563</v>
      </c>
      <c r="K1031">
        <v>0.11672324586011412</v>
      </c>
      <c r="L1031" t="s">
        <v>162</v>
      </c>
      <c r="N1031" t="s">
        <v>367</v>
      </c>
      <c r="O1031" t="s">
        <v>563</v>
      </c>
      <c r="P1031">
        <v>0.1345842171348009</v>
      </c>
      <c r="Q1031" t="s">
        <v>162</v>
      </c>
      <c r="S1031" t="s">
        <v>479</v>
      </c>
      <c r="T1031" t="s">
        <v>563</v>
      </c>
      <c r="U1031">
        <v>0.12224874807467012</v>
      </c>
      <c r="V1031" t="s">
        <v>162</v>
      </c>
    </row>
    <row r="1032" spans="9:22" x14ac:dyDescent="0.45">
      <c r="I1032" t="s">
        <v>255</v>
      </c>
      <c r="J1032" t="s">
        <v>564</v>
      </c>
      <c r="K1032">
        <v>1.0630597862209377E-4</v>
      </c>
      <c r="L1032" t="s">
        <v>162</v>
      </c>
      <c r="N1032" t="s">
        <v>367</v>
      </c>
      <c r="O1032" t="s">
        <v>564</v>
      </c>
      <c r="P1032">
        <v>0.13765701034339745</v>
      </c>
      <c r="Q1032" t="s">
        <v>162</v>
      </c>
      <c r="S1032" t="s">
        <v>479</v>
      </c>
      <c r="T1032" t="s">
        <v>564</v>
      </c>
      <c r="U1032">
        <v>0.12585861764214917</v>
      </c>
      <c r="V1032" t="s">
        <v>162</v>
      </c>
    </row>
    <row r="1033" spans="9:22" x14ac:dyDescent="0.45">
      <c r="I1033" t="s">
        <v>255</v>
      </c>
      <c r="J1033" t="s">
        <v>565</v>
      </c>
      <c r="K1033">
        <v>6.1768727445792419E-3</v>
      </c>
      <c r="L1033" t="s">
        <v>162</v>
      </c>
      <c r="N1033" t="s">
        <v>367</v>
      </c>
      <c r="O1033" t="s">
        <v>565</v>
      </c>
      <c r="P1033">
        <v>2.2662781689107375E-2</v>
      </c>
      <c r="Q1033" t="s">
        <v>162</v>
      </c>
      <c r="S1033" t="s">
        <v>479</v>
      </c>
      <c r="T1033" t="s">
        <v>565</v>
      </c>
      <c r="U1033">
        <v>2.1691858172844344E-2</v>
      </c>
      <c r="V1033" t="s">
        <v>162</v>
      </c>
    </row>
    <row r="1034" spans="9:22" x14ac:dyDescent="0.45">
      <c r="I1034" t="s">
        <v>255</v>
      </c>
      <c r="J1034" t="s">
        <v>566</v>
      </c>
      <c r="K1034">
        <v>0.31725214441700161</v>
      </c>
      <c r="L1034" t="s">
        <v>162</v>
      </c>
      <c r="N1034" t="s">
        <v>367</v>
      </c>
      <c r="O1034" t="s">
        <v>566</v>
      </c>
      <c r="P1034">
        <v>9.9316168494344492E-2</v>
      </c>
      <c r="Q1034" t="s">
        <v>162</v>
      </c>
      <c r="S1034" t="s">
        <v>479</v>
      </c>
      <c r="T1034" t="s">
        <v>566</v>
      </c>
      <c r="U1034">
        <v>0.10300548155720064</v>
      </c>
      <c r="V1034" t="s">
        <v>162</v>
      </c>
    </row>
    <row r="1035" spans="9:22" x14ac:dyDescent="0.45">
      <c r="I1035" t="s">
        <v>255</v>
      </c>
      <c r="J1035" t="s">
        <v>567</v>
      </c>
      <c r="K1035">
        <v>9.5876382168237958E-3</v>
      </c>
      <c r="L1035" t="s">
        <v>162</v>
      </c>
      <c r="N1035" t="s">
        <v>367</v>
      </c>
      <c r="O1035" t="s">
        <v>567</v>
      </c>
      <c r="P1035">
        <v>0.10787643260799928</v>
      </c>
      <c r="Q1035" t="s">
        <v>162</v>
      </c>
      <c r="S1035" t="s">
        <v>479</v>
      </c>
      <c r="T1035" t="s">
        <v>567</v>
      </c>
      <c r="U1035">
        <v>0.11065138075181453</v>
      </c>
      <c r="V1035" t="s">
        <v>162</v>
      </c>
    </row>
    <row r="1036" spans="9:22" x14ac:dyDescent="0.45">
      <c r="I1036" t="s">
        <v>255</v>
      </c>
      <c r="J1036" t="s">
        <v>568</v>
      </c>
      <c r="K1036">
        <v>3.4157047124635874E-2</v>
      </c>
      <c r="L1036" t="s">
        <v>162</v>
      </c>
      <c r="N1036" t="s">
        <v>367</v>
      </c>
      <c r="O1036" t="s">
        <v>568</v>
      </c>
      <c r="P1036">
        <v>1.7641659955781503E-2</v>
      </c>
      <c r="Q1036" t="s">
        <v>162</v>
      </c>
      <c r="S1036" t="s">
        <v>479</v>
      </c>
      <c r="T1036" t="s">
        <v>568</v>
      </c>
      <c r="U1036">
        <v>1.9018723985873134E-2</v>
      </c>
      <c r="V1036" t="s">
        <v>162</v>
      </c>
    </row>
    <row r="1037" spans="9:22" x14ac:dyDescent="0.45">
      <c r="I1037" t="s">
        <v>255</v>
      </c>
      <c r="J1037" t="s">
        <v>569</v>
      </c>
      <c r="K1037">
        <v>0.30693268496831927</v>
      </c>
      <c r="L1037" t="s">
        <v>162</v>
      </c>
      <c r="N1037" t="s">
        <v>367</v>
      </c>
      <c r="O1037" t="s">
        <v>569</v>
      </c>
      <c r="P1037">
        <v>8.6538366543655321E-2</v>
      </c>
      <c r="Q1037" t="s">
        <v>162</v>
      </c>
      <c r="S1037" t="s">
        <v>479</v>
      </c>
      <c r="T1037" t="s">
        <v>569</v>
      </c>
      <c r="U1037">
        <v>0.10154032575311638</v>
      </c>
      <c r="V1037" t="s">
        <v>162</v>
      </c>
    </row>
    <row r="1038" spans="9:22" x14ac:dyDescent="0.45">
      <c r="I1038" t="s">
        <v>255</v>
      </c>
      <c r="J1038" t="s">
        <v>570</v>
      </c>
      <c r="K1038">
        <v>3.205997515870046E-2</v>
      </c>
      <c r="L1038" t="s">
        <v>162</v>
      </c>
      <c r="N1038" t="s">
        <v>367</v>
      </c>
      <c r="O1038" t="s">
        <v>570</v>
      </c>
      <c r="P1038">
        <v>9.2968120664905257E-2</v>
      </c>
      <c r="Q1038" t="s">
        <v>162</v>
      </c>
      <c r="S1038" t="s">
        <v>479</v>
      </c>
      <c r="T1038" t="s">
        <v>570</v>
      </c>
      <c r="U1038">
        <v>9.9328634871901827E-2</v>
      </c>
      <c r="V1038" t="s">
        <v>162</v>
      </c>
    </row>
    <row r="1039" spans="9:22" x14ac:dyDescent="0.45">
      <c r="I1039" t="s">
        <v>255</v>
      </c>
      <c r="J1039" t="s">
        <v>571</v>
      </c>
      <c r="K1039">
        <v>4.516103091552677E-2</v>
      </c>
      <c r="L1039" t="s">
        <v>162</v>
      </c>
      <c r="N1039" t="s">
        <v>367</v>
      </c>
      <c r="O1039" t="s">
        <v>571</v>
      </c>
      <c r="P1039">
        <v>1.5330513417388919E-2</v>
      </c>
      <c r="Q1039" t="s">
        <v>162</v>
      </c>
      <c r="S1039" t="s">
        <v>479</v>
      </c>
      <c r="T1039" t="s">
        <v>571</v>
      </c>
      <c r="U1039">
        <v>1.7358901556039461E-2</v>
      </c>
      <c r="V1039" t="s">
        <v>162</v>
      </c>
    </row>
    <row r="1040" spans="9:22" x14ac:dyDescent="0.45">
      <c r="I1040" t="s">
        <v>255</v>
      </c>
      <c r="J1040" t="s">
        <v>572</v>
      </c>
      <c r="K1040">
        <v>0.12938231469545811</v>
      </c>
      <c r="L1040" t="s">
        <v>162</v>
      </c>
      <c r="N1040" t="s">
        <v>367</v>
      </c>
      <c r="O1040" t="s">
        <v>572</v>
      </c>
      <c r="P1040">
        <v>0.12785957779046014</v>
      </c>
      <c r="Q1040" t="s">
        <v>162</v>
      </c>
      <c r="S1040" t="s">
        <v>479</v>
      </c>
      <c r="T1040" t="s">
        <v>572</v>
      </c>
      <c r="U1040">
        <v>0.12868670704368143</v>
      </c>
      <c r="V1040" t="s">
        <v>162</v>
      </c>
    </row>
    <row r="1041" spans="9:22" x14ac:dyDescent="0.45">
      <c r="I1041" t="s">
        <v>255</v>
      </c>
      <c r="J1041" t="s">
        <v>573</v>
      </c>
      <c r="K1041">
        <v>0</v>
      </c>
      <c r="L1041" t="s">
        <v>162</v>
      </c>
      <c r="N1041" t="s">
        <v>367</v>
      </c>
      <c r="O1041" t="s">
        <v>573</v>
      </c>
      <c r="P1041">
        <v>0.13349833452993295</v>
      </c>
      <c r="Q1041" t="s">
        <v>162</v>
      </c>
      <c r="S1041" t="s">
        <v>479</v>
      </c>
      <c r="T1041" t="s">
        <v>573</v>
      </c>
      <c r="U1041">
        <v>0.12701884163497335</v>
      </c>
      <c r="V1041" t="s">
        <v>162</v>
      </c>
    </row>
    <row r="1042" spans="9:22" x14ac:dyDescent="0.45">
      <c r="I1042" t="s">
        <v>255</v>
      </c>
      <c r="J1042" t="s">
        <v>574</v>
      </c>
      <c r="K1042">
        <v>2.4607399202163536E-3</v>
      </c>
      <c r="L1042" t="s">
        <v>162</v>
      </c>
      <c r="N1042" t="s">
        <v>367</v>
      </c>
      <c r="O1042" t="s">
        <v>574</v>
      </c>
      <c r="P1042">
        <v>2.4066816828228973E-2</v>
      </c>
      <c r="Q1042" t="s">
        <v>162</v>
      </c>
      <c r="S1042" t="s">
        <v>479</v>
      </c>
      <c r="T1042" t="s">
        <v>574</v>
      </c>
      <c r="U1042">
        <v>2.3591778955733937E-2</v>
      </c>
      <c r="V1042" t="s">
        <v>162</v>
      </c>
    </row>
    <row r="1043" spans="9:22" x14ac:dyDescent="0.45">
      <c r="I1043" t="s">
        <v>256</v>
      </c>
      <c r="J1043" t="s">
        <v>563</v>
      </c>
      <c r="K1043">
        <v>0.11637773629055745</v>
      </c>
      <c r="L1043" t="s">
        <v>162</v>
      </c>
      <c r="N1043" t="s">
        <v>368</v>
      </c>
      <c r="O1043" t="s">
        <v>563</v>
      </c>
      <c r="P1043">
        <v>0.13634918007638103</v>
      </c>
      <c r="Q1043" t="s">
        <v>162</v>
      </c>
      <c r="S1043" t="s">
        <v>480</v>
      </c>
      <c r="T1043" t="s">
        <v>563</v>
      </c>
      <c r="U1043">
        <v>0.13316351581530275</v>
      </c>
      <c r="V1043" t="s">
        <v>162</v>
      </c>
    </row>
    <row r="1044" spans="9:22" x14ac:dyDescent="0.45">
      <c r="I1044" t="s">
        <v>256</v>
      </c>
      <c r="J1044" t="s">
        <v>564</v>
      </c>
      <c r="K1044">
        <v>5.0429216356832961E-4</v>
      </c>
      <c r="L1044" t="s">
        <v>162</v>
      </c>
      <c r="N1044" t="s">
        <v>368</v>
      </c>
      <c r="O1044" t="s">
        <v>564</v>
      </c>
      <c r="P1044">
        <v>0.14178601894834944</v>
      </c>
      <c r="Q1044" t="s">
        <v>162</v>
      </c>
      <c r="S1044" t="s">
        <v>480</v>
      </c>
      <c r="T1044" t="s">
        <v>564</v>
      </c>
      <c r="U1044">
        <v>0.13437793640261195</v>
      </c>
      <c r="V1044" t="s">
        <v>162</v>
      </c>
    </row>
    <row r="1045" spans="9:22" x14ac:dyDescent="0.45">
      <c r="I1045" t="s">
        <v>256</v>
      </c>
      <c r="J1045" t="s">
        <v>565</v>
      </c>
      <c r="K1045">
        <v>7.4727027488838754E-3</v>
      </c>
      <c r="L1045" t="s">
        <v>162</v>
      </c>
      <c r="N1045" t="s">
        <v>368</v>
      </c>
      <c r="O1045" t="s">
        <v>565</v>
      </c>
      <c r="P1045">
        <v>2.5778308460311251E-2</v>
      </c>
      <c r="Q1045" t="s">
        <v>162</v>
      </c>
      <c r="S1045" t="s">
        <v>480</v>
      </c>
      <c r="T1045" t="s">
        <v>565</v>
      </c>
      <c r="U1045">
        <v>2.5645667256424441E-2</v>
      </c>
      <c r="V1045" t="s">
        <v>162</v>
      </c>
    </row>
    <row r="1046" spans="9:22" x14ac:dyDescent="0.45">
      <c r="I1046" t="s">
        <v>256</v>
      </c>
      <c r="J1046" t="s">
        <v>566</v>
      </c>
      <c r="K1046">
        <v>0.31076685577104002</v>
      </c>
      <c r="L1046" t="s">
        <v>162</v>
      </c>
      <c r="N1046" t="s">
        <v>368</v>
      </c>
      <c r="O1046" t="s">
        <v>566</v>
      </c>
      <c r="P1046">
        <v>9.8066557845376295E-2</v>
      </c>
      <c r="Q1046" t="s">
        <v>162</v>
      </c>
      <c r="S1046" t="s">
        <v>480</v>
      </c>
      <c r="T1046" t="s">
        <v>566</v>
      </c>
      <c r="U1046">
        <v>0.11060471665739663</v>
      </c>
      <c r="V1046" t="s">
        <v>162</v>
      </c>
    </row>
    <row r="1047" spans="9:22" x14ac:dyDescent="0.45">
      <c r="I1047" t="s">
        <v>256</v>
      </c>
      <c r="J1047" t="s">
        <v>567</v>
      </c>
      <c r="K1047">
        <v>1.1804729070957752E-2</v>
      </c>
      <c r="L1047" t="s">
        <v>162</v>
      </c>
      <c r="N1047" t="s">
        <v>368</v>
      </c>
      <c r="O1047" t="s">
        <v>567</v>
      </c>
      <c r="P1047">
        <v>0.12553833502489692</v>
      </c>
      <c r="Q1047" t="s">
        <v>162</v>
      </c>
      <c r="S1047" t="s">
        <v>480</v>
      </c>
      <c r="T1047" t="s">
        <v>567</v>
      </c>
      <c r="U1047">
        <v>0.11827038939936715</v>
      </c>
      <c r="V1047" t="s">
        <v>162</v>
      </c>
    </row>
    <row r="1048" spans="9:22" x14ac:dyDescent="0.45">
      <c r="I1048" t="s">
        <v>256</v>
      </c>
      <c r="J1048" t="s">
        <v>568</v>
      </c>
      <c r="K1048">
        <v>3.9177297550506023E-2</v>
      </c>
      <c r="L1048" t="s">
        <v>162</v>
      </c>
      <c r="N1048" t="s">
        <v>368</v>
      </c>
      <c r="O1048" t="s">
        <v>568</v>
      </c>
      <c r="P1048">
        <v>1.8090137139363152E-2</v>
      </c>
      <c r="Q1048" t="s">
        <v>162</v>
      </c>
      <c r="S1048" t="s">
        <v>480</v>
      </c>
      <c r="T1048" t="s">
        <v>568</v>
      </c>
      <c r="U1048">
        <v>2.0006499203542822E-2</v>
      </c>
      <c r="V1048" t="s">
        <v>162</v>
      </c>
    </row>
    <row r="1049" spans="9:22" x14ac:dyDescent="0.45">
      <c r="I1049" t="s">
        <v>256</v>
      </c>
      <c r="J1049" t="s">
        <v>569</v>
      </c>
      <c r="K1049">
        <v>0.30592812669388686</v>
      </c>
      <c r="L1049" t="s">
        <v>162</v>
      </c>
      <c r="N1049" t="s">
        <v>368</v>
      </c>
      <c r="O1049" t="s">
        <v>569</v>
      </c>
      <c r="P1049">
        <v>8.8390874559844998E-2</v>
      </c>
      <c r="Q1049" t="s">
        <v>162</v>
      </c>
      <c r="S1049" t="s">
        <v>480</v>
      </c>
      <c r="T1049" t="s">
        <v>569</v>
      </c>
      <c r="U1049">
        <v>9.8640409782684249E-2</v>
      </c>
      <c r="V1049" t="s">
        <v>162</v>
      </c>
    </row>
    <row r="1050" spans="9:22" x14ac:dyDescent="0.45">
      <c r="I1050" t="s">
        <v>256</v>
      </c>
      <c r="J1050" t="s">
        <v>570</v>
      </c>
      <c r="K1050">
        <v>3.3635894203336118E-2</v>
      </c>
      <c r="L1050" t="s">
        <v>162</v>
      </c>
      <c r="N1050" t="s">
        <v>368</v>
      </c>
      <c r="O1050" t="s">
        <v>570</v>
      </c>
      <c r="P1050">
        <v>0.1056574265351954</v>
      </c>
      <c r="Q1050" t="s">
        <v>162</v>
      </c>
      <c r="S1050" t="s">
        <v>480</v>
      </c>
      <c r="T1050" t="s">
        <v>570</v>
      </c>
      <c r="U1050">
        <v>9.3702222396064586E-2</v>
      </c>
      <c r="V1050" t="s">
        <v>162</v>
      </c>
    </row>
    <row r="1051" spans="9:22" x14ac:dyDescent="0.45">
      <c r="I1051" t="s">
        <v>256</v>
      </c>
      <c r="J1051" t="s">
        <v>571</v>
      </c>
      <c r="K1051">
        <v>4.509718288701707E-2</v>
      </c>
      <c r="L1051" t="s">
        <v>162</v>
      </c>
      <c r="N1051" t="s">
        <v>368</v>
      </c>
      <c r="O1051" t="s">
        <v>571</v>
      </c>
      <c r="P1051">
        <v>1.5691412108307438E-2</v>
      </c>
      <c r="Q1051" t="s">
        <v>162</v>
      </c>
      <c r="S1051" t="s">
        <v>480</v>
      </c>
      <c r="T1051" t="s">
        <v>571</v>
      </c>
      <c r="U1051">
        <v>1.7277088704560628E-2</v>
      </c>
      <c r="V1051" t="s">
        <v>162</v>
      </c>
    </row>
    <row r="1052" spans="9:22" x14ac:dyDescent="0.45">
      <c r="I1052" t="s">
        <v>256</v>
      </c>
      <c r="J1052" t="s">
        <v>572</v>
      </c>
      <c r="K1052">
        <v>0.12580050922449201</v>
      </c>
      <c r="L1052" t="s">
        <v>162</v>
      </c>
      <c r="N1052" t="s">
        <v>368</v>
      </c>
      <c r="O1052" t="s">
        <v>572</v>
      </c>
      <c r="P1052">
        <v>0.10315327500402119</v>
      </c>
      <c r="Q1052" t="s">
        <v>162</v>
      </c>
      <c r="S1052" t="s">
        <v>480</v>
      </c>
      <c r="T1052" t="s">
        <v>572</v>
      </c>
      <c r="U1052">
        <v>0.1158244467194</v>
      </c>
      <c r="V1052" t="s">
        <v>162</v>
      </c>
    </row>
    <row r="1053" spans="9:22" x14ac:dyDescent="0.45">
      <c r="I1053" t="s">
        <v>256</v>
      </c>
      <c r="J1053" t="s">
        <v>573</v>
      </c>
      <c r="K1053">
        <v>0</v>
      </c>
      <c r="L1053" t="s">
        <v>162</v>
      </c>
      <c r="N1053" t="s">
        <v>368</v>
      </c>
      <c r="O1053" t="s">
        <v>573</v>
      </c>
      <c r="P1053">
        <v>0.12003206349780428</v>
      </c>
      <c r="Q1053" t="s">
        <v>162</v>
      </c>
      <c r="S1053" t="s">
        <v>480</v>
      </c>
      <c r="T1053" t="s">
        <v>573</v>
      </c>
      <c r="U1053">
        <v>0.11155179389728279</v>
      </c>
      <c r="V1053" t="s">
        <v>162</v>
      </c>
    </row>
    <row r="1054" spans="9:22" x14ac:dyDescent="0.45">
      <c r="I1054" t="s">
        <v>256</v>
      </c>
      <c r="J1054" t="s">
        <v>574</v>
      </c>
      <c r="K1054">
        <v>3.4346733957548873E-3</v>
      </c>
      <c r="L1054" t="s">
        <v>162</v>
      </c>
      <c r="N1054" t="s">
        <v>368</v>
      </c>
      <c r="O1054" t="s">
        <v>574</v>
      </c>
      <c r="P1054">
        <v>2.1466410800146874E-2</v>
      </c>
      <c r="Q1054" t="s">
        <v>162</v>
      </c>
      <c r="S1054" t="s">
        <v>480</v>
      </c>
      <c r="T1054" t="s">
        <v>574</v>
      </c>
      <c r="U1054">
        <v>2.0935313765356695E-2</v>
      </c>
      <c r="V1054" t="s">
        <v>162</v>
      </c>
    </row>
    <row r="1055" spans="9:22" x14ac:dyDescent="0.45">
      <c r="I1055" t="s">
        <v>257</v>
      </c>
      <c r="J1055" t="s">
        <v>563</v>
      </c>
      <c r="K1055">
        <v>0.11981892274991666</v>
      </c>
      <c r="L1055" t="s">
        <v>162</v>
      </c>
      <c r="N1055" t="s">
        <v>369</v>
      </c>
      <c r="O1055" t="s">
        <v>563</v>
      </c>
      <c r="P1055">
        <v>0.1418085462695631</v>
      </c>
      <c r="Q1055" t="s">
        <v>162</v>
      </c>
      <c r="S1055" t="s">
        <v>481</v>
      </c>
      <c r="T1055" t="s">
        <v>563</v>
      </c>
      <c r="U1055">
        <v>0.12479402255816671</v>
      </c>
      <c r="V1055" t="s">
        <v>162</v>
      </c>
    </row>
    <row r="1056" spans="9:22" x14ac:dyDescent="0.45">
      <c r="I1056" t="s">
        <v>257</v>
      </c>
      <c r="J1056" t="s">
        <v>564</v>
      </c>
      <c r="K1056">
        <v>8.8351341749163235E-4</v>
      </c>
      <c r="L1056" t="s">
        <v>162</v>
      </c>
      <c r="N1056" t="s">
        <v>369</v>
      </c>
      <c r="O1056" t="s">
        <v>564</v>
      </c>
      <c r="P1056">
        <v>0.1446887925525856</v>
      </c>
      <c r="Q1056" t="s">
        <v>162</v>
      </c>
      <c r="S1056" t="s">
        <v>481</v>
      </c>
      <c r="T1056" t="s">
        <v>564</v>
      </c>
      <c r="U1056">
        <v>0.13262470558774367</v>
      </c>
      <c r="V1056" t="s">
        <v>162</v>
      </c>
    </row>
    <row r="1057" spans="9:22" x14ac:dyDescent="0.45">
      <c r="I1057" t="s">
        <v>257</v>
      </c>
      <c r="J1057" t="s">
        <v>565</v>
      </c>
      <c r="K1057">
        <v>1.0730535423522267E-2</v>
      </c>
      <c r="L1057" t="s">
        <v>162</v>
      </c>
      <c r="N1057" t="s">
        <v>369</v>
      </c>
      <c r="O1057" t="s">
        <v>565</v>
      </c>
      <c r="P1057">
        <v>2.6206400935717734E-2</v>
      </c>
      <c r="Q1057" t="s">
        <v>162</v>
      </c>
      <c r="S1057" t="s">
        <v>481</v>
      </c>
      <c r="T1057" t="s">
        <v>565</v>
      </c>
      <c r="U1057">
        <v>2.3929036615815403E-2</v>
      </c>
      <c r="V1057" t="s">
        <v>162</v>
      </c>
    </row>
    <row r="1058" spans="9:22" x14ac:dyDescent="0.45">
      <c r="I1058" t="s">
        <v>257</v>
      </c>
      <c r="J1058" t="s">
        <v>566</v>
      </c>
      <c r="K1058">
        <v>0.30918954382288794</v>
      </c>
      <c r="L1058" t="s">
        <v>162</v>
      </c>
      <c r="N1058" t="s">
        <v>369</v>
      </c>
      <c r="O1058" t="s">
        <v>566</v>
      </c>
      <c r="P1058">
        <v>8.9249763402264468E-2</v>
      </c>
      <c r="Q1058" t="s">
        <v>162</v>
      </c>
      <c r="S1058" t="s">
        <v>481</v>
      </c>
      <c r="T1058" t="s">
        <v>566</v>
      </c>
      <c r="U1058">
        <v>0.10062679756378912</v>
      </c>
      <c r="V1058" t="s">
        <v>162</v>
      </c>
    </row>
    <row r="1059" spans="9:22" x14ac:dyDescent="0.45">
      <c r="I1059" t="s">
        <v>257</v>
      </c>
      <c r="J1059" t="s">
        <v>567</v>
      </c>
      <c r="K1059">
        <v>1.4482279670217122E-2</v>
      </c>
      <c r="L1059" t="s">
        <v>162</v>
      </c>
      <c r="N1059" t="s">
        <v>369</v>
      </c>
      <c r="O1059" t="s">
        <v>567</v>
      </c>
      <c r="P1059">
        <v>0.12492152752285633</v>
      </c>
      <c r="Q1059" t="s">
        <v>162</v>
      </c>
      <c r="S1059" t="s">
        <v>481</v>
      </c>
      <c r="T1059" t="s">
        <v>567</v>
      </c>
      <c r="U1059">
        <v>0.10965137476686289</v>
      </c>
      <c r="V1059" t="s">
        <v>162</v>
      </c>
    </row>
    <row r="1060" spans="9:22" x14ac:dyDescent="0.45">
      <c r="I1060" t="s">
        <v>257</v>
      </c>
      <c r="J1060" t="s">
        <v>568</v>
      </c>
      <c r="K1060">
        <v>4.549618843139084E-2</v>
      </c>
      <c r="L1060" t="s">
        <v>162</v>
      </c>
      <c r="N1060" t="s">
        <v>369</v>
      </c>
      <c r="O1060" t="s">
        <v>568</v>
      </c>
      <c r="P1060">
        <v>1.7801460985707097E-2</v>
      </c>
      <c r="Q1060" t="s">
        <v>162</v>
      </c>
      <c r="S1060" t="s">
        <v>481</v>
      </c>
      <c r="T1060" t="s">
        <v>568</v>
      </c>
      <c r="U1060">
        <v>1.8278891930372382E-2</v>
      </c>
      <c r="V1060" t="s">
        <v>162</v>
      </c>
    </row>
    <row r="1061" spans="9:22" x14ac:dyDescent="0.45">
      <c r="I1061" t="s">
        <v>257</v>
      </c>
      <c r="J1061" t="s">
        <v>569</v>
      </c>
      <c r="K1061">
        <v>0.28927394203407109</v>
      </c>
      <c r="L1061" t="s">
        <v>162</v>
      </c>
      <c r="N1061" t="s">
        <v>369</v>
      </c>
      <c r="O1061" t="s">
        <v>569</v>
      </c>
      <c r="P1061">
        <v>8.8812809501739517E-2</v>
      </c>
      <c r="Q1061" t="s">
        <v>162</v>
      </c>
      <c r="S1061" t="s">
        <v>481</v>
      </c>
      <c r="T1061" t="s">
        <v>569</v>
      </c>
      <c r="U1061">
        <v>0.11103000537643239</v>
      </c>
      <c r="V1061" t="s">
        <v>162</v>
      </c>
    </row>
    <row r="1062" spans="9:22" x14ac:dyDescent="0.45">
      <c r="I1062" t="s">
        <v>257</v>
      </c>
      <c r="J1062" t="s">
        <v>570</v>
      </c>
      <c r="K1062">
        <v>2.9974414635878247E-2</v>
      </c>
      <c r="L1062" t="s">
        <v>162</v>
      </c>
      <c r="N1062" t="s">
        <v>369</v>
      </c>
      <c r="O1062" t="s">
        <v>570</v>
      </c>
      <c r="P1062">
        <v>0.10449423141161981</v>
      </c>
      <c r="Q1062" t="s">
        <v>162</v>
      </c>
      <c r="S1062" t="s">
        <v>481</v>
      </c>
      <c r="T1062" t="s">
        <v>570</v>
      </c>
      <c r="U1062">
        <v>0.10674188046191332</v>
      </c>
      <c r="V1062" t="s">
        <v>162</v>
      </c>
    </row>
    <row r="1063" spans="9:22" x14ac:dyDescent="0.45">
      <c r="I1063" t="s">
        <v>257</v>
      </c>
      <c r="J1063" t="s">
        <v>571</v>
      </c>
      <c r="K1063">
        <v>4.2060175084605932E-2</v>
      </c>
      <c r="L1063" t="s">
        <v>162</v>
      </c>
      <c r="N1063" t="s">
        <v>369</v>
      </c>
      <c r="O1063" t="s">
        <v>571</v>
      </c>
      <c r="P1063">
        <v>1.6110701302646802E-2</v>
      </c>
      <c r="Q1063" t="s">
        <v>162</v>
      </c>
      <c r="S1063" t="s">
        <v>481</v>
      </c>
      <c r="T1063" t="s">
        <v>571</v>
      </c>
      <c r="U1063">
        <v>1.963181131027919E-2</v>
      </c>
      <c r="V1063" t="s">
        <v>162</v>
      </c>
    </row>
    <row r="1064" spans="9:22" x14ac:dyDescent="0.45">
      <c r="I1064" t="s">
        <v>257</v>
      </c>
      <c r="J1064" t="s">
        <v>572</v>
      </c>
      <c r="K1064">
        <v>0.13267583868927954</v>
      </c>
      <c r="L1064" t="s">
        <v>162</v>
      </c>
      <c r="N1064" t="s">
        <v>369</v>
      </c>
      <c r="O1064" t="s">
        <v>572</v>
      </c>
      <c r="P1064">
        <v>9.9518896535989013E-2</v>
      </c>
      <c r="Q1064" t="s">
        <v>162</v>
      </c>
      <c r="S1064" t="s">
        <v>481</v>
      </c>
      <c r="T1064" t="s">
        <v>572</v>
      </c>
      <c r="U1064">
        <v>0.11505219684351374</v>
      </c>
      <c r="V1064" t="s">
        <v>162</v>
      </c>
    </row>
    <row r="1065" spans="9:22" x14ac:dyDescent="0.45">
      <c r="I1065" t="s">
        <v>257</v>
      </c>
      <c r="J1065" t="s">
        <v>573</v>
      </c>
      <c r="K1065">
        <v>0</v>
      </c>
      <c r="L1065" t="s">
        <v>162</v>
      </c>
      <c r="N1065" t="s">
        <v>369</v>
      </c>
      <c r="O1065" t="s">
        <v>573</v>
      </c>
      <c r="P1065">
        <v>0.12444705774410199</v>
      </c>
      <c r="Q1065" t="s">
        <v>162</v>
      </c>
      <c r="S1065" t="s">
        <v>481</v>
      </c>
      <c r="T1065" t="s">
        <v>573</v>
      </c>
      <c r="U1065">
        <v>0.11556690047334607</v>
      </c>
      <c r="V1065" t="s">
        <v>162</v>
      </c>
    </row>
    <row r="1066" spans="9:22" x14ac:dyDescent="0.45">
      <c r="I1066" t="s">
        <v>257</v>
      </c>
      <c r="J1066" t="s">
        <v>574</v>
      </c>
      <c r="K1066">
        <v>5.4146460407368882E-3</v>
      </c>
      <c r="L1066" t="s">
        <v>162</v>
      </c>
      <c r="N1066" t="s">
        <v>369</v>
      </c>
      <c r="O1066" t="s">
        <v>574</v>
      </c>
      <c r="P1066">
        <v>2.1939811835210564E-2</v>
      </c>
      <c r="Q1066" t="s">
        <v>162</v>
      </c>
      <c r="S1066" t="s">
        <v>481</v>
      </c>
      <c r="T1066" t="s">
        <v>574</v>
      </c>
      <c r="U1066">
        <v>2.2072376511767963E-2</v>
      </c>
      <c r="V1066" t="s">
        <v>162</v>
      </c>
    </row>
    <row r="1067" spans="9:22" x14ac:dyDescent="0.45">
      <c r="I1067" t="s">
        <v>258</v>
      </c>
      <c r="J1067" t="s">
        <v>563</v>
      </c>
      <c r="K1067">
        <v>0.12207413413897185</v>
      </c>
      <c r="L1067" t="s">
        <v>162</v>
      </c>
      <c r="N1067" t="s">
        <v>370</v>
      </c>
      <c r="O1067" t="s">
        <v>563</v>
      </c>
      <c r="P1067">
        <v>0.13045436223497145</v>
      </c>
      <c r="Q1067" t="s">
        <v>162</v>
      </c>
      <c r="S1067" t="s">
        <v>482</v>
      </c>
      <c r="T1067" t="s">
        <v>563</v>
      </c>
      <c r="U1067">
        <v>0.11512411083291121</v>
      </c>
      <c r="V1067" t="s">
        <v>162</v>
      </c>
    </row>
    <row r="1068" spans="9:22" x14ac:dyDescent="0.45">
      <c r="I1068" t="s">
        <v>258</v>
      </c>
      <c r="J1068" t="s">
        <v>564</v>
      </c>
      <c r="K1068">
        <v>6.6381159829287817E-8</v>
      </c>
      <c r="L1068" t="s">
        <v>162</v>
      </c>
      <c r="N1068" t="s">
        <v>370</v>
      </c>
      <c r="O1068" t="s">
        <v>564</v>
      </c>
      <c r="P1068">
        <v>0.14473187854644323</v>
      </c>
      <c r="Q1068" t="s">
        <v>162</v>
      </c>
      <c r="S1068" t="s">
        <v>482</v>
      </c>
      <c r="T1068" t="s">
        <v>564</v>
      </c>
      <c r="U1068">
        <v>0.11682059694781606</v>
      </c>
      <c r="V1068" t="s">
        <v>162</v>
      </c>
    </row>
    <row r="1069" spans="9:22" x14ac:dyDescent="0.45">
      <c r="I1069" t="s">
        <v>258</v>
      </c>
      <c r="J1069" t="s">
        <v>565</v>
      </c>
      <c r="K1069">
        <v>7.0775758939816214E-3</v>
      </c>
      <c r="L1069" t="s">
        <v>162</v>
      </c>
      <c r="N1069" t="s">
        <v>370</v>
      </c>
      <c r="O1069" t="s">
        <v>565</v>
      </c>
      <c r="P1069">
        <v>2.4946861727735886E-2</v>
      </c>
      <c r="Q1069" t="s">
        <v>162</v>
      </c>
      <c r="S1069" t="s">
        <v>482</v>
      </c>
      <c r="T1069" t="s">
        <v>565</v>
      </c>
      <c r="U1069">
        <v>2.0883423058153761E-2</v>
      </c>
      <c r="V1069" t="s">
        <v>162</v>
      </c>
    </row>
    <row r="1070" spans="9:22" x14ac:dyDescent="0.45">
      <c r="I1070" t="s">
        <v>258</v>
      </c>
      <c r="J1070" t="s">
        <v>566</v>
      </c>
      <c r="K1070">
        <v>0.3125157732635126</v>
      </c>
      <c r="L1070" t="s">
        <v>162</v>
      </c>
      <c r="N1070" t="s">
        <v>370</v>
      </c>
      <c r="O1070" t="s">
        <v>566</v>
      </c>
      <c r="P1070">
        <v>8.7757828960335182E-2</v>
      </c>
      <c r="Q1070" t="s">
        <v>162</v>
      </c>
      <c r="S1070" t="s">
        <v>482</v>
      </c>
      <c r="T1070" t="s">
        <v>566</v>
      </c>
      <c r="U1070">
        <v>0.11434198435072185</v>
      </c>
      <c r="V1070" t="s">
        <v>162</v>
      </c>
    </row>
    <row r="1071" spans="9:22" x14ac:dyDescent="0.45">
      <c r="I1071" t="s">
        <v>258</v>
      </c>
      <c r="J1071" t="s">
        <v>567</v>
      </c>
      <c r="K1071">
        <v>9.3642142859662394E-3</v>
      </c>
      <c r="L1071" t="s">
        <v>162</v>
      </c>
      <c r="N1071" t="s">
        <v>370</v>
      </c>
      <c r="O1071" t="s">
        <v>567</v>
      </c>
      <c r="P1071">
        <v>0.13269807219900182</v>
      </c>
      <c r="Q1071" t="s">
        <v>162</v>
      </c>
      <c r="S1071" t="s">
        <v>482</v>
      </c>
      <c r="T1071" t="s">
        <v>567</v>
      </c>
      <c r="U1071">
        <v>0.11984811062701314</v>
      </c>
      <c r="V1071" t="s">
        <v>162</v>
      </c>
    </row>
    <row r="1072" spans="9:22" x14ac:dyDescent="0.45">
      <c r="I1072" t="s">
        <v>258</v>
      </c>
      <c r="J1072" t="s">
        <v>568</v>
      </c>
      <c r="K1072">
        <v>3.4848279562767911E-2</v>
      </c>
      <c r="L1072" t="s">
        <v>162</v>
      </c>
      <c r="N1072" t="s">
        <v>370</v>
      </c>
      <c r="O1072" t="s">
        <v>568</v>
      </c>
      <c r="P1072">
        <v>2.0581608004942503E-2</v>
      </c>
      <c r="Q1072" t="s">
        <v>162</v>
      </c>
      <c r="S1072" t="s">
        <v>482</v>
      </c>
      <c r="T1072" t="s">
        <v>568</v>
      </c>
      <c r="U1072">
        <v>2.1333311802577082E-2</v>
      </c>
      <c r="V1072" t="s">
        <v>162</v>
      </c>
    </row>
    <row r="1073" spans="9:22" x14ac:dyDescent="0.45">
      <c r="I1073" t="s">
        <v>258</v>
      </c>
      <c r="J1073" t="s">
        <v>569</v>
      </c>
      <c r="K1073">
        <v>0.29350521092337889</v>
      </c>
      <c r="L1073" t="s">
        <v>162</v>
      </c>
      <c r="N1073" t="s">
        <v>370</v>
      </c>
      <c r="O1073" t="s">
        <v>569</v>
      </c>
      <c r="P1073">
        <v>9.5775444591896283E-2</v>
      </c>
      <c r="Q1073" t="s">
        <v>162</v>
      </c>
      <c r="S1073" t="s">
        <v>482</v>
      </c>
      <c r="T1073" t="s">
        <v>569</v>
      </c>
      <c r="U1073">
        <v>9.7816630587895345E-2</v>
      </c>
      <c r="V1073" t="s">
        <v>162</v>
      </c>
    </row>
    <row r="1074" spans="9:22" x14ac:dyDescent="0.45">
      <c r="I1074" t="s">
        <v>258</v>
      </c>
      <c r="J1074" t="s">
        <v>570</v>
      </c>
      <c r="K1074">
        <v>2.798664441048172E-2</v>
      </c>
      <c r="L1074" t="s">
        <v>162</v>
      </c>
      <c r="N1074" t="s">
        <v>370</v>
      </c>
      <c r="O1074" t="s">
        <v>570</v>
      </c>
      <c r="P1074">
        <v>0.11375099814443546</v>
      </c>
      <c r="Q1074" t="s">
        <v>162</v>
      </c>
      <c r="S1074" t="s">
        <v>482</v>
      </c>
      <c r="T1074" t="s">
        <v>570</v>
      </c>
      <c r="U1074">
        <v>9.283632885244783E-2</v>
      </c>
      <c r="V1074" t="s">
        <v>162</v>
      </c>
    </row>
    <row r="1075" spans="9:22" x14ac:dyDescent="0.45">
      <c r="I1075" t="s">
        <v>258</v>
      </c>
      <c r="J1075" t="s">
        <v>571</v>
      </c>
      <c r="K1075">
        <v>3.9833114884884599E-2</v>
      </c>
      <c r="L1075" t="s">
        <v>162</v>
      </c>
      <c r="N1075" t="s">
        <v>370</v>
      </c>
      <c r="O1075" t="s">
        <v>571</v>
      </c>
      <c r="P1075">
        <v>1.6370725755887296E-2</v>
      </c>
      <c r="Q1075" t="s">
        <v>162</v>
      </c>
      <c r="S1075" t="s">
        <v>482</v>
      </c>
      <c r="T1075" t="s">
        <v>571</v>
      </c>
      <c r="U1075">
        <v>1.7212067657535322E-2</v>
      </c>
      <c r="V1075" t="s">
        <v>162</v>
      </c>
    </row>
    <row r="1076" spans="9:22" x14ac:dyDescent="0.45">
      <c r="I1076" t="s">
        <v>258</v>
      </c>
      <c r="J1076" t="s">
        <v>572</v>
      </c>
      <c r="K1076">
        <v>0.14981740396884183</v>
      </c>
      <c r="L1076" t="s">
        <v>162</v>
      </c>
      <c r="N1076" t="s">
        <v>370</v>
      </c>
      <c r="O1076" t="s">
        <v>572</v>
      </c>
      <c r="P1076">
        <v>9.0109443495197325E-2</v>
      </c>
      <c r="Q1076" t="s">
        <v>162</v>
      </c>
      <c r="S1076" t="s">
        <v>482</v>
      </c>
      <c r="T1076" t="s">
        <v>572</v>
      </c>
      <c r="U1076">
        <v>0.12877350644537769</v>
      </c>
      <c r="V1076" t="s">
        <v>162</v>
      </c>
    </row>
    <row r="1077" spans="9:22" x14ac:dyDescent="0.45">
      <c r="I1077" t="s">
        <v>258</v>
      </c>
      <c r="J1077" t="s">
        <v>573</v>
      </c>
      <c r="K1077">
        <v>0</v>
      </c>
      <c r="L1077" t="s">
        <v>162</v>
      </c>
      <c r="N1077" t="s">
        <v>370</v>
      </c>
      <c r="O1077" t="s">
        <v>573</v>
      </c>
      <c r="P1077">
        <v>0.11976026455816099</v>
      </c>
      <c r="Q1077" t="s">
        <v>162</v>
      </c>
      <c r="S1077" t="s">
        <v>482</v>
      </c>
      <c r="T1077" t="s">
        <v>573</v>
      </c>
      <c r="U1077">
        <v>0.13162155794980082</v>
      </c>
      <c r="V1077" t="s">
        <v>162</v>
      </c>
    </row>
    <row r="1078" spans="9:22" x14ac:dyDescent="0.45">
      <c r="I1078" t="s">
        <v>258</v>
      </c>
      <c r="J1078" t="s">
        <v>574</v>
      </c>
      <c r="K1078">
        <v>2.9775822860519155E-3</v>
      </c>
      <c r="L1078" t="s">
        <v>162</v>
      </c>
      <c r="N1078" t="s">
        <v>370</v>
      </c>
      <c r="O1078" t="s">
        <v>574</v>
      </c>
      <c r="P1078">
        <v>2.3062511780995609E-2</v>
      </c>
      <c r="Q1078" t="s">
        <v>162</v>
      </c>
      <c r="S1078" t="s">
        <v>482</v>
      </c>
      <c r="T1078" t="s">
        <v>574</v>
      </c>
      <c r="U1078">
        <v>2.3388370887752113E-2</v>
      </c>
      <c r="V1078" t="s">
        <v>162</v>
      </c>
    </row>
    <row r="1079" spans="9:22" x14ac:dyDescent="0.45">
      <c r="I1079" t="s">
        <v>259</v>
      </c>
      <c r="J1079" t="s">
        <v>563</v>
      </c>
      <c r="K1079">
        <v>0.11912583320547145</v>
      </c>
      <c r="L1079" t="s">
        <v>162</v>
      </c>
      <c r="N1079" t="s">
        <v>371</v>
      </c>
      <c r="O1079" t="s">
        <v>563</v>
      </c>
      <c r="P1079">
        <v>0.12502377213121305</v>
      </c>
      <c r="Q1079" t="s">
        <v>162</v>
      </c>
      <c r="S1079" t="s">
        <v>483</v>
      </c>
      <c r="T1079" t="s">
        <v>563</v>
      </c>
      <c r="U1079">
        <v>9.8665346760987122E-2</v>
      </c>
      <c r="V1079" t="s">
        <v>162</v>
      </c>
    </row>
    <row r="1080" spans="9:22" x14ac:dyDescent="0.45">
      <c r="I1080" t="s">
        <v>259</v>
      </c>
      <c r="J1080" t="s">
        <v>564</v>
      </c>
      <c r="K1080">
        <v>3.1476137740834865E-4</v>
      </c>
      <c r="L1080" t="s">
        <v>162</v>
      </c>
      <c r="N1080" t="s">
        <v>371</v>
      </c>
      <c r="O1080" t="s">
        <v>564</v>
      </c>
      <c r="P1080">
        <v>0.1365548976587313</v>
      </c>
      <c r="Q1080" t="s">
        <v>162</v>
      </c>
      <c r="S1080" t="s">
        <v>483</v>
      </c>
      <c r="T1080" t="s">
        <v>564</v>
      </c>
      <c r="U1080">
        <v>0.10579327554386551</v>
      </c>
      <c r="V1080" t="s">
        <v>162</v>
      </c>
    </row>
    <row r="1081" spans="9:22" x14ac:dyDescent="0.45">
      <c r="I1081" t="s">
        <v>259</v>
      </c>
      <c r="J1081" t="s">
        <v>565</v>
      </c>
      <c r="K1081">
        <v>9.0854466903027859E-3</v>
      </c>
      <c r="L1081" t="s">
        <v>162</v>
      </c>
      <c r="N1081" t="s">
        <v>371</v>
      </c>
      <c r="O1081" t="s">
        <v>565</v>
      </c>
      <c r="P1081">
        <v>2.4228262085550675E-2</v>
      </c>
      <c r="Q1081" t="s">
        <v>162</v>
      </c>
      <c r="S1081" t="s">
        <v>483</v>
      </c>
      <c r="T1081" t="s">
        <v>565</v>
      </c>
      <c r="U1081">
        <v>1.9878531425295078E-2</v>
      </c>
      <c r="V1081" t="s">
        <v>162</v>
      </c>
    </row>
    <row r="1082" spans="9:22" x14ac:dyDescent="0.45">
      <c r="I1082" t="s">
        <v>259</v>
      </c>
      <c r="J1082" t="s">
        <v>566</v>
      </c>
      <c r="K1082">
        <v>0.31293470199876366</v>
      </c>
      <c r="L1082" t="s">
        <v>162</v>
      </c>
      <c r="N1082" t="s">
        <v>371</v>
      </c>
      <c r="O1082" t="s">
        <v>566</v>
      </c>
      <c r="P1082">
        <v>9.47315402066531E-2</v>
      </c>
      <c r="Q1082" t="s">
        <v>162</v>
      </c>
      <c r="S1082" t="s">
        <v>483</v>
      </c>
      <c r="T1082" t="s">
        <v>566</v>
      </c>
      <c r="U1082">
        <v>0.11835585041454316</v>
      </c>
      <c r="V1082" t="s">
        <v>162</v>
      </c>
    </row>
    <row r="1083" spans="9:22" x14ac:dyDescent="0.45">
      <c r="I1083" t="s">
        <v>259</v>
      </c>
      <c r="J1083" t="s">
        <v>567</v>
      </c>
      <c r="K1083">
        <v>1.1929457499127731E-2</v>
      </c>
      <c r="L1083" t="s">
        <v>162</v>
      </c>
      <c r="N1083" t="s">
        <v>371</v>
      </c>
      <c r="O1083" t="s">
        <v>567</v>
      </c>
      <c r="P1083">
        <v>0.14540483005134791</v>
      </c>
      <c r="Q1083" t="s">
        <v>162</v>
      </c>
      <c r="S1083" t="s">
        <v>483</v>
      </c>
      <c r="T1083" t="s">
        <v>567</v>
      </c>
      <c r="U1083">
        <v>0.1120032374764158</v>
      </c>
      <c r="V1083" t="s">
        <v>162</v>
      </c>
    </row>
    <row r="1084" spans="9:22" x14ac:dyDescent="0.45">
      <c r="I1084" t="s">
        <v>259</v>
      </c>
      <c r="J1084" t="s">
        <v>568</v>
      </c>
      <c r="K1084">
        <v>4.1557586170106409E-2</v>
      </c>
      <c r="L1084" t="s">
        <v>162</v>
      </c>
      <c r="N1084" t="s">
        <v>371</v>
      </c>
      <c r="O1084" t="s">
        <v>568</v>
      </c>
      <c r="P1084">
        <v>2.1524278191805697E-2</v>
      </c>
      <c r="Q1084" t="s">
        <v>162</v>
      </c>
      <c r="S1084" t="s">
        <v>483</v>
      </c>
      <c r="T1084" t="s">
        <v>568</v>
      </c>
      <c r="U1084">
        <v>2.2750995279494774E-2</v>
      </c>
      <c r="V1084" t="s">
        <v>162</v>
      </c>
    </row>
    <row r="1085" spans="9:22" x14ac:dyDescent="0.45">
      <c r="I1085" t="s">
        <v>259</v>
      </c>
      <c r="J1085" t="s">
        <v>569</v>
      </c>
      <c r="K1085">
        <v>0.29078116909429047</v>
      </c>
      <c r="L1085" t="s">
        <v>162</v>
      </c>
      <c r="N1085" t="s">
        <v>371</v>
      </c>
      <c r="O1085" t="s">
        <v>569</v>
      </c>
      <c r="P1085">
        <v>9.2056748685350381E-2</v>
      </c>
      <c r="Q1085" t="s">
        <v>162</v>
      </c>
      <c r="S1085" t="s">
        <v>483</v>
      </c>
      <c r="T1085" t="s">
        <v>569</v>
      </c>
      <c r="U1085">
        <v>0.10899716561385069</v>
      </c>
      <c r="V1085" t="s">
        <v>162</v>
      </c>
    </row>
    <row r="1086" spans="9:22" x14ac:dyDescent="0.45">
      <c r="I1086" t="s">
        <v>259</v>
      </c>
      <c r="J1086" t="s">
        <v>570</v>
      </c>
      <c r="K1086">
        <v>2.7305456925831507E-2</v>
      </c>
      <c r="L1086" t="s">
        <v>162</v>
      </c>
      <c r="N1086" t="s">
        <v>371</v>
      </c>
      <c r="O1086" t="s">
        <v>570</v>
      </c>
      <c r="P1086">
        <v>0.10426558438013755</v>
      </c>
      <c r="Q1086" t="s">
        <v>162</v>
      </c>
      <c r="S1086" t="s">
        <v>483</v>
      </c>
      <c r="T1086" t="s">
        <v>570</v>
      </c>
      <c r="U1086">
        <v>0.11328543894688749</v>
      </c>
      <c r="V1086" t="s">
        <v>162</v>
      </c>
    </row>
    <row r="1087" spans="9:22" x14ac:dyDescent="0.45">
      <c r="I1087" t="s">
        <v>259</v>
      </c>
      <c r="J1087" t="s">
        <v>571</v>
      </c>
      <c r="K1087">
        <v>4.0414561254224622E-2</v>
      </c>
      <c r="L1087" t="s">
        <v>162</v>
      </c>
      <c r="N1087" t="s">
        <v>371</v>
      </c>
      <c r="O1087" t="s">
        <v>571</v>
      </c>
      <c r="P1087">
        <v>1.5553782545058964E-2</v>
      </c>
      <c r="Q1087" t="s">
        <v>162</v>
      </c>
      <c r="S1087" t="s">
        <v>483</v>
      </c>
      <c r="T1087" t="s">
        <v>571</v>
      </c>
      <c r="U1087">
        <v>2.3554557110457203E-2</v>
      </c>
      <c r="V1087" t="s">
        <v>162</v>
      </c>
    </row>
    <row r="1088" spans="9:22" x14ac:dyDescent="0.45">
      <c r="I1088" t="s">
        <v>259</v>
      </c>
      <c r="J1088" t="s">
        <v>572</v>
      </c>
      <c r="K1088">
        <v>0.14202098510458031</v>
      </c>
      <c r="L1088" t="s">
        <v>162</v>
      </c>
      <c r="N1088" t="s">
        <v>371</v>
      </c>
      <c r="O1088" t="s">
        <v>572</v>
      </c>
      <c r="P1088">
        <v>9.3751221532502024E-2</v>
      </c>
      <c r="Q1088" t="s">
        <v>162</v>
      </c>
      <c r="S1088" t="s">
        <v>483</v>
      </c>
      <c r="T1088" t="s">
        <v>572</v>
      </c>
      <c r="U1088">
        <v>0.13069055468651725</v>
      </c>
      <c r="V1088" t="s">
        <v>162</v>
      </c>
    </row>
    <row r="1089" spans="9:22" x14ac:dyDescent="0.45">
      <c r="I1089" t="s">
        <v>259</v>
      </c>
      <c r="J1089" t="s">
        <v>573</v>
      </c>
      <c r="K1089">
        <v>0</v>
      </c>
      <c r="L1089" t="s">
        <v>162</v>
      </c>
      <c r="N1089" t="s">
        <v>371</v>
      </c>
      <c r="O1089" t="s">
        <v>573</v>
      </c>
      <c r="P1089">
        <v>0.12377767834740831</v>
      </c>
      <c r="Q1089" t="s">
        <v>162</v>
      </c>
      <c r="S1089" t="s">
        <v>483</v>
      </c>
      <c r="T1089" t="s">
        <v>573</v>
      </c>
      <c r="U1089">
        <v>0.12245998775682999</v>
      </c>
      <c r="V1089" t="s">
        <v>162</v>
      </c>
    </row>
    <row r="1090" spans="9:22" x14ac:dyDescent="0.45">
      <c r="I1090" t="s">
        <v>259</v>
      </c>
      <c r="J1090" t="s">
        <v>574</v>
      </c>
      <c r="K1090">
        <v>4.5300406798895647E-3</v>
      </c>
      <c r="L1090" t="s">
        <v>162</v>
      </c>
      <c r="N1090" t="s">
        <v>371</v>
      </c>
      <c r="O1090" t="s">
        <v>574</v>
      </c>
      <c r="P1090">
        <v>2.3127404184239208E-2</v>
      </c>
      <c r="Q1090" t="s">
        <v>162</v>
      </c>
      <c r="S1090" t="s">
        <v>483</v>
      </c>
      <c r="T1090" t="s">
        <v>574</v>
      </c>
      <c r="U1090">
        <v>2.3565058984852214E-2</v>
      </c>
      <c r="V1090" t="s">
        <v>162</v>
      </c>
    </row>
    <row r="1091" spans="9:22" x14ac:dyDescent="0.45">
      <c r="I1091" t="s">
        <v>260</v>
      </c>
      <c r="J1091" t="s">
        <v>563</v>
      </c>
      <c r="K1091">
        <v>0.14521840901419528</v>
      </c>
      <c r="L1091" t="s">
        <v>162</v>
      </c>
      <c r="N1091" t="s">
        <v>372</v>
      </c>
      <c r="O1091" t="s">
        <v>563</v>
      </c>
      <c r="P1091">
        <v>0.12595736998354776</v>
      </c>
      <c r="Q1091" t="s">
        <v>162</v>
      </c>
      <c r="S1091" t="s">
        <v>484</v>
      </c>
      <c r="T1091" t="s">
        <v>563</v>
      </c>
      <c r="U1091">
        <v>0.11427263153293268</v>
      </c>
      <c r="V1091" t="s">
        <v>162</v>
      </c>
    </row>
    <row r="1092" spans="9:22" x14ac:dyDescent="0.45">
      <c r="I1092" t="s">
        <v>260</v>
      </c>
      <c r="J1092" t="s">
        <v>564</v>
      </c>
      <c r="K1092">
        <v>9.7187925456979974E-4</v>
      </c>
      <c r="L1092" t="s">
        <v>162</v>
      </c>
      <c r="N1092" t="s">
        <v>372</v>
      </c>
      <c r="O1092" t="s">
        <v>564</v>
      </c>
      <c r="P1092">
        <v>0.14035331018891789</v>
      </c>
      <c r="Q1092" t="s">
        <v>162</v>
      </c>
      <c r="S1092" t="s">
        <v>484</v>
      </c>
      <c r="T1092" t="s">
        <v>564</v>
      </c>
      <c r="U1092">
        <v>0.11365421108395324</v>
      </c>
      <c r="V1092" t="s">
        <v>162</v>
      </c>
    </row>
    <row r="1093" spans="9:22" x14ac:dyDescent="0.45">
      <c r="I1093" t="s">
        <v>260</v>
      </c>
      <c r="J1093" t="s">
        <v>565</v>
      </c>
      <c r="K1093">
        <v>1.3496244792281727E-2</v>
      </c>
      <c r="L1093" t="s">
        <v>162</v>
      </c>
      <c r="N1093" t="s">
        <v>372</v>
      </c>
      <c r="O1093" t="s">
        <v>565</v>
      </c>
      <c r="P1093">
        <v>2.3939261131009491E-2</v>
      </c>
      <c r="Q1093" t="s">
        <v>162</v>
      </c>
      <c r="S1093" t="s">
        <v>484</v>
      </c>
      <c r="T1093" t="s">
        <v>565</v>
      </c>
      <c r="U1093">
        <v>2.084112865139252E-2</v>
      </c>
      <c r="V1093" t="s">
        <v>162</v>
      </c>
    </row>
    <row r="1094" spans="9:22" x14ac:dyDescent="0.45">
      <c r="I1094" t="s">
        <v>260</v>
      </c>
      <c r="J1094" t="s">
        <v>566</v>
      </c>
      <c r="K1094">
        <v>0.29440195256924273</v>
      </c>
      <c r="L1094" t="s">
        <v>162</v>
      </c>
      <c r="N1094" t="s">
        <v>372</v>
      </c>
      <c r="O1094" t="s">
        <v>566</v>
      </c>
      <c r="P1094">
        <v>8.9242282102597964E-2</v>
      </c>
      <c r="Q1094" t="s">
        <v>162</v>
      </c>
      <c r="S1094" t="s">
        <v>484</v>
      </c>
      <c r="T1094" t="s">
        <v>566</v>
      </c>
      <c r="U1094">
        <v>0.10617342495227608</v>
      </c>
      <c r="V1094" t="s">
        <v>162</v>
      </c>
    </row>
    <row r="1095" spans="9:22" x14ac:dyDescent="0.45">
      <c r="I1095" t="s">
        <v>260</v>
      </c>
      <c r="J1095" t="s">
        <v>567</v>
      </c>
      <c r="K1095">
        <v>1.2208263512434312E-2</v>
      </c>
      <c r="L1095" t="s">
        <v>162</v>
      </c>
      <c r="N1095" t="s">
        <v>372</v>
      </c>
      <c r="O1095" t="s">
        <v>567</v>
      </c>
      <c r="P1095">
        <v>0.14168828065981098</v>
      </c>
      <c r="Q1095" t="s">
        <v>162</v>
      </c>
      <c r="S1095" t="s">
        <v>484</v>
      </c>
      <c r="T1095" t="s">
        <v>567</v>
      </c>
      <c r="U1095">
        <v>0.10749467045423951</v>
      </c>
      <c r="V1095" t="s">
        <v>162</v>
      </c>
    </row>
    <row r="1096" spans="9:22" x14ac:dyDescent="0.45">
      <c r="I1096" t="s">
        <v>260</v>
      </c>
      <c r="J1096" t="s">
        <v>568</v>
      </c>
      <c r="K1096">
        <v>3.9606533915944403E-2</v>
      </c>
      <c r="L1096" t="s">
        <v>162</v>
      </c>
      <c r="N1096" t="s">
        <v>372</v>
      </c>
      <c r="O1096" t="s">
        <v>568</v>
      </c>
      <c r="P1096">
        <v>2.133081779385522E-2</v>
      </c>
      <c r="Q1096" t="s">
        <v>162</v>
      </c>
      <c r="S1096" t="s">
        <v>484</v>
      </c>
      <c r="T1096" t="s">
        <v>568</v>
      </c>
      <c r="U1096">
        <v>2.0065690008945352E-2</v>
      </c>
      <c r="V1096" t="s">
        <v>162</v>
      </c>
    </row>
    <row r="1097" spans="9:22" x14ac:dyDescent="0.45">
      <c r="I1097" t="s">
        <v>260</v>
      </c>
      <c r="J1097" t="s">
        <v>569</v>
      </c>
      <c r="K1097">
        <v>0.27643298937318322</v>
      </c>
      <c r="L1097" t="s">
        <v>162</v>
      </c>
      <c r="N1097" t="s">
        <v>372</v>
      </c>
      <c r="O1097" t="s">
        <v>569</v>
      </c>
      <c r="P1097">
        <v>9.4288297843791211E-2</v>
      </c>
      <c r="Q1097" t="s">
        <v>162</v>
      </c>
      <c r="S1097" t="s">
        <v>484</v>
      </c>
      <c r="T1097" t="s">
        <v>569</v>
      </c>
      <c r="U1097">
        <v>7.5200248889601654E-2</v>
      </c>
      <c r="V1097" t="s">
        <v>162</v>
      </c>
    </row>
    <row r="1098" spans="9:22" x14ac:dyDescent="0.45">
      <c r="I1098" t="s">
        <v>260</v>
      </c>
      <c r="J1098" t="s">
        <v>570</v>
      </c>
      <c r="K1098">
        <v>2.5683951290490531E-2</v>
      </c>
      <c r="L1098" t="s">
        <v>162</v>
      </c>
      <c r="N1098" t="s">
        <v>372</v>
      </c>
      <c r="O1098" t="s">
        <v>570</v>
      </c>
      <c r="P1098">
        <v>0.11006276435042028</v>
      </c>
      <c r="Q1098" t="s">
        <v>162</v>
      </c>
      <c r="S1098" t="s">
        <v>484</v>
      </c>
      <c r="T1098" t="s">
        <v>570</v>
      </c>
      <c r="U1098">
        <v>7.4086077246041687E-2</v>
      </c>
      <c r="V1098" t="s">
        <v>162</v>
      </c>
    </row>
    <row r="1099" spans="9:22" x14ac:dyDescent="0.45">
      <c r="I1099" t="s">
        <v>260</v>
      </c>
      <c r="J1099" t="s">
        <v>571</v>
      </c>
      <c r="K1099">
        <v>3.9740028894812658E-2</v>
      </c>
      <c r="L1099" t="s">
        <v>162</v>
      </c>
      <c r="N1099" t="s">
        <v>372</v>
      </c>
      <c r="O1099" t="s">
        <v>571</v>
      </c>
      <c r="P1099">
        <v>1.5920209854744731E-2</v>
      </c>
      <c r="Q1099" t="s">
        <v>162</v>
      </c>
      <c r="S1099" t="s">
        <v>484</v>
      </c>
      <c r="T1099" t="s">
        <v>571</v>
      </c>
      <c r="U1099">
        <v>1.4830445563550768E-2</v>
      </c>
      <c r="V1099" t="s">
        <v>162</v>
      </c>
    </row>
    <row r="1100" spans="9:22" x14ac:dyDescent="0.45">
      <c r="I1100" t="s">
        <v>260</v>
      </c>
      <c r="J1100" t="s">
        <v>572</v>
      </c>
      <c r="K1100">
        <v>0.14499963959631385</v>
      </c>
      <c r="L1100" t="s">
        <v>162</v>
      </c>
      <c r="N1100" t="s">
        <v>372</v>
      </c>
      <c r="O1100" t="s">
        <v>572</v>
      </c>
      <c r="P1100">
        <v>9.1668987332369223E-2</v>
      </c>
      <c r="Q1100" t="s">
        <v>162</v>
      </c>
      <c r="S1100" t="s">
        <v>484</v>
      </c>
      <c r="T1100" t="s">
        <v>572</v>
      </c>
      <c r="U1100">
        <v>0.16606670108479518</v>
      </c>
      <c r="V1100" t="s">
        <v>162</v>
      </c>
    </row>
    <row r="1101" spans="9:22" x14ac:dyDescent="0.45">
      <c r="I1101" t="s">
        <v>260</v>
      </c>
      <c r="J1101" t="s">
        <v>573</v>
      </c>
      <c r="K1101">
        <v>0</v>
      </c>
      <c r="L1101" t="s">
        <v>162</v>
      </c>
      <c r="N1101" t="s">
        <v>372</v>
      </c>
      <c r="O1101" t="s">
        <v>573</v>
      </c>
      <c r="P1101">
        <v>0.12230780933038686</v>
      </c>
      <c r="Q1101" t="s">
        <v>162</v>
      </c>
      <c r="S1101" t="s">
        <v>484</v>
      </c>
      <c r="T1101" t="s">
        <v>573</v>
      </c>
      <c r="U1101">
        <v>0.15780751305421417</v>
      </c>
      <c r="V1101" t="s">
        <v>162</v>
      </c>
    </row>
    <row r="1102" spans="9:22" x14ac:dyDescent="0.45">
      <c r="I1102" t="s">
        <v>260</v>
      </c>
      <c r="J1102" t="s">
        <v>574</v>
      </c>
      <c r="K1102">
        <v>7.2401077865289071E-3</v>
      </c>
      <c r="L1102" t="s">
        <v>162</v>
      </c>
      <c r="N1102" t="s">
        <v>372</v>
      </c>
      <c r="O1102" t="s">
        <v>574</v>
      </c>
      <c r="P1102">
        <v>2.3240609428548584E-2</v>
      </c>
      <c r="Q1102" t="s">
        <v>162</v>
      </c>
      <c r="S1102" t="s">
        <v>484</v>
      </c>
      <c r="T1102" t="s">
        <v>574</v>
      </c>
      <c r="U1102">
        <v>2.9507257478055472E-2</v>
      </c>
      <c r="V1102" t="s">
        <v>162</v>
      </c>
    </row>
    <row r="1103" spans="9:22" x14ac:dyDescent="0.45">
      <c r="I1103" t="s">
        <v>261</v>
      </c>
      <c r="J1103" t="s">
        <v>563</v>
      </c>
      <c r="K1103">
        <v>0.13681793887864346</v>
      </c>
      <c r="L1103" t="s">
        <v>162</v>
      </c>
      <c r="N1103" t="s">
        <v>373</v>
      </c>
      <c r="O1103" t="s">
        <v>563</v>
      </c>
      <c r="P1103">
        <v>0.12362281364477511</v>
      </c>
      <c r="Q1103" t="s">
        <v>162</v>
      </c>
      <c r="S1103" t="s">
        <v>485</v>
      </c>
      <c r="T1103" t="s">
        <v>563</v>
      </c>
      <c r="U1103">
        <v>0.1077439626474858</v>
      </c>
      <c r="V1103" t="s">
        <v>162</v>
      </c>
    </row>
    <row r="1104" spans="9:22" x14ac:dyDescent="0.45">
      <c r="I1104" t="s">
        <v>261</v>
      </c>
      <c r="J1104" t="s">
        <v>564</v>
      </c>
      <c r="K1104">
        <v>1.1309540934958492E-4</v>
      </c>
      <c r="L1104" t="s">
        <v>162</v>
      </c>
      <c r="N1104" t="s">
        <v>373</v>
      </c>
      <c r="O1104" t="s">
        <v>564</v>
      </c>
      <c r="P1104">
        <v>0.13043075929874373</v>
      </c>
      <c r="Q1104" t="s">
        <v>162</v>
      </c>
      <c r="S1104" t="s">
        <v>485</v>
      </c>
      <c r="T1104" t="s">
        <v>564</v>
      </c>
      <c r="U1104">
        <v>0.11296117338578739</v>
      </c>
      <c r="V1104" t="s">
        <v>162</v>
      </c>
    </row>
    <row r="1105" spans="9:22" x14ac:dyDescent="0.45">
      <c r="I1105" t="s">
        <v>261</v>
      </c>
      <c r="J1105" t="s">
        <v>565</v>
      </c>
      <c r="K1105">
        <v>9.979421602675705E-3</v>
      </c>
      <c r="L1105" t="s">
        <v>162</v>
      </c>
      <c r="N1105" t="s">
        <v>373</v>
      </c>
      <c r="O1105" t="s">
        <v>565</v>
      </c>
      <c r="P1105">
        <v>2.3546929532984515E-2</v>
      </c>
      <c r="Q1105" t="s">
        <v>162</v>
      </c>
      <c r="S1105" t="s">
        <v>485</v>
      </c>
      <c r="T1105" t="s">
        <v>565</v>
      </c>
      <c r="U1105">
        <v>2.0859771069430221E-2</v>
      </c>
      <c r="V1105" t="s">
        <v>162</v>
      </c>
    </row>
    <row r="1106" spans="9:22" x14ac:dyDescent="0.45">
      <c r="I1106" t="s">
        <v>261</v>
      </c>
      <c r="J1106" t="s">
        <v>566</v>
      </c>
      <c r="K1106">
        <v>0.30085418022349686</v>
      </c>
      <c r="L1106" t="s">
        <v>162</v>
      </c>
      <c r="N1106" t="s">
        <v>373</v>
      </c>
      <c r="O1106" t="s">
        <v>566</v>
      </c>
      <c r="P1106">
        <v>0.11257982755345564</v>
      </c>
      <c r="Q1106" t="s">
        <v>162</v>
      </c>
      <c r="S1106" t="s">
        <v>485</v>
      </c>
      <c r="T1106" t="s">
        <v>566</v>
      </c>
      <c r="U1106">
        <v>0.11730019103757999</v>
      </c>
      <c r="V1106" t="s">
        <v>162</v>
      </c>
    </row>
    <row r="1107" spans="9:22" x14ac:dyDescent="0.45">
      <c r="I1107" t="s">
        <v>261</v>
      </c>
      <c r="J1107" t="s">
        <v>567</v>
      </c>
      <c r="K1107">
        <v>1.0302294428848049E-2</v>
      </c>
      <c r="L1107" t="s">
        <v>162</v>
      </c>
      <c r="N1107" t="s">
        <v>373</v>
      </c>
      <c r="O1107" t="s">
        <v>567</v>
      </c>
      <c r="P1107">
        <v>0.12435482514272576</v>
      </c>
      <c r="Q1107" t="s">
        <v>162</v>
      </c>
      <c r="S1107" t="s">
        <v>485</v>
      </c>
      <c r="T1107" t="s">
        <v>567</v>
      </c>
      <c r="U1107">
        <v>0.11547820237982269</v>
      </c>
      <c r="V1107" t="s">
        <v>162</v>
      </c>
    </row>
    <row r="1108" spans="9:22" x14ac:dyDescent="0.45">
      <c r="I1108" t="s">
        <v>261</v>
      </c>
      <c r="J1108" t="s">
        <v>568</v>
      </c>
      <c r="K1108">
        <v>3.7567450858040308E-2</v>
      </c>
      <c r="L1108" t="s">
        <v>162</v>
      </c>
      <c r="N1108" t="s">
        <v>373</v>
      </c>
      <c r="O1108" t="s">
        <v>568</v>
      </c>
      <c r="P1108">
        <v>1.9590992954662254E-2</v>
      </c>
      <c r="Q1108" t="s">
        <v>162</v>
      </c>
      <c r="S1108" t="s">
        <v>485</v>
      </c>
      <c r="T1108" t="s">
        <v>568</v>
      </c>
      <c r="U1108">
        <v>2.2568023651797192E-2</v>
      </c>
      <c r="V1108" t="s">
        <v>162</v>
      </c>
    </row>
    <row r="1109" spans="9:22" x14ac:dyDescent="0.45">
      <c r="I1109" t="s">
        <v>261</v>
      </c>
      <c r="J1109" t="s">
        <v>569</v>
      </c>
      <c r="K1109">
        <v>0.28450527919155322</v>
      </c>
      <c r="L1109" t="s">
        <v>162</v>
      </c>
      <c r="N1109" t="s">
        <v>373</v>
      </c>
      <c r="O1109" t="s">
        <v>569</v>
      </c>
      <c r="P1109">
        <v>9.3702043527303852E-2</v>
      </c>
      <c r="Q1109" t="s">
        <v>162</v>
      </c>
      <c r="S1109" t="s">
        <v>485</v>
      </c>
      <c r="T1109" t="s">
        <v>569</v>
      </c>
      <c r="U1109">
        <v>7.7680124770547559E-2</v>
      </c>
      <c r="V1109" t="s">
        <v>162</v>
      </c>
    </row>
    <row r="1110" spans="9:22" x14ac:dyDescent="0.45">
      <c r="I1110" t="s">
        <v>261</v>
      </c>
      <c r="J1110" t="s">
        <v>570</v>
      </c>
      <c r="K1110">
        <v>2.3984867940481203E-2</v>
      </c>
      <c r="L1110" t="s">
        <v>162</v>
      </c>
      <c r="N1110" t="s">
        <v>373</v>
      </c>
      <c r="O1110" t="s">
        <v>570</v>
      </c>
      <c r="P1110">
        <v>9.6066203603388634E-2</v>
      </c>
      <c r="Q1110" t="s">
        <v>162</v>
      </c>
      <c r="S1110" t="s">
        <v>485</v>
      </c>
      <c r="T1110" t="s">
        <v>570</v>
      </c>
      <c r="U1110">
        <v>7.6379180515685041E-2</v>
      </c>
      <c r="V1110" t="s">
        <v>162</v>
      </c>
    </row>
    <row r="1111" spans="9:22" x14ac:dyDescent="0.45">
      <c r="I1111" t="s">
        <v>261</v>
      </c>
      <c r="J1111" t="s">
        <v>571</v>
      </c>
      <c r="K1111">
        <v>3.7731787440075673E-2</v>
      </c>
      <c r="L1111" t="s">
        <v>162</v>
      </c>
      <c r="N1111" t="s">
        <v>373</v>
      </c>
      <c r="O1111" t="s">
        <v>571</v>
      </c>
      <c r="P1111">
        <v>1.5355083775741742E-2</v>
      </c>
      <c r="Q1111" t="s">
        <v>162</v>
      </c>
      <c r="S1111" t="s">
        <v>485</v>
      </c>
      <c r="T1111" t="s">
        <v>571</v>
      </c>
      <c r="U1111">
        <v>1.625096431566524E-2</v>
      </c>
      <c r="V1111" t="s">
        <v>162</v>
      </c>
    </row>
    <row r="1112" spans="9:22" x14ac:dyDescent="0.45">
      <c r="I1112" t="s">
        <v>261</v>
      </c>
      <c r="J1112" t="s">
        <v>572</v>
      </c>
      <c r="K1112">
        <v>0.15301619946092676</v>
      </c>
      <c r="L1112" t="s">
        <v>162</v>
      </c>
      <c r="N1112" t="s">
        <v>373</v>
      </c>
      <c r="O1112" t="s">
        <v>572</v>
      </c>
      <c r="P1112">
        <v>0.11718538911888536</v>
      </c>
      <c r="Q1112" t="s">
        <v>162</v>
      </c>
      <c r="S1112" t="s">
        <v>485</v>
      </c>
      <c r="T1112" t="s">
        <v>572</v>
      </c>
      <c r="U1112">
        <v>0.15393072166333099</v>
      </c>
      <c r="V1112" t="s">
        <v>162</v>
      </c>
    </row>
    <row r="1113" spans="9:22" x14ac:dyDescent="0.45">
      <c r="I1113" t="s">
        <v>261</v>
      </c>
      <c r="J1113" t="s">
        <v>573</v>
      </c>
      <c r="K1113">
        <v>0</v>
      </c>
      <c r="L1113" t="s">
        <v>162</v>
      </c>
      <c r="N1113" t="s">
        <v>373</v>
      </c>
      <c r="O1113" t="s">
        <v>573</v>
      </c>
      <c r="P1113">
        <v>0.12089314635313757</v>
      </c>
      <c r="Q1113" t="s">
        <v>162</v>
      </c>
      <c r="S1113" t="s">
        <v>485</v>
      </c>
      <c r="T1113" t="s">
        <v>573</v>
      </c>
      <c r="U1113">
        <v>0.14951925214787609</v>
      </c>
      <c r="V1113" t="s">
        <v>162</v>
      </c>
    </row>
    <row r="1114" spans="9:22" x14ac:dyDescent="0.45">
      <c r="I1114" t="s">
        <v>261</v>
      </c>
      <c r="J1114" t="s">
        <v>574</v>
      </c>
      <c r="K1114">
        <v>5.1274845659073937E-3</v>
      </c>
      <c r="L1114" t="s">
        <v>162</v>
      </c>
      <c r="N1114" t="s">
        <v>373</v>
      </c>
      <c r="O1114" t="s">
        <v>574</v>
      </c>
      <c r="P1114">
        <v>2.2671985494196387E-2</v>
      </c>
      <c r="Q1114" t="s">
        <v>162</v>
      </c>
      <c r="S1114" t="s">
        <v>485</v>
      </c>
      <c r="T1114" t="s">
        <v>574</v>
      </c>
      <c r="U1114">
        <v>2.9328432414994176E-2</v>
      </c>
      <c r="V1114" t="s">
        <v>162</v>
      </c>
    </row>
    <row r="1115" spans="9:22" x14ac:dyDescent="0.45">
      <c r="I1115" t="s">
        <v>262</v>
      </c>
      <c r="J1115" t="s">
        <v>563</v>
      </c>
      <c r="K1115">
        <v>0.1585950519549672</v>
      </c>
      <c r="L1115" t="s">
        <v>162</v>
      </c>
      <c r="N1115" t="s">
        <v>374</v>
      </c>
      <c r="O1115" t="s">
        <v>563</v>
      </c>
      <c r="P1115">
        <v>0.14541106048729174</v>
      </c>
      <c r="Q1115" t="s">
        <v>162</v>
      </c>
      <c r="S1115" t="s">
        <v>486</v>
      </c>
      <c r="T1115" t="s">
        <v>563</v>
      </c>
      <c r="U1115">
        <v>0.11090957162076236</v>
      </c>
      <c r="V1115" t="s">
        <v>162</v>
      </c>
    </row>
    <row r="1116" spans="9:22" x14ac:dyDescent="0.45">
      <c r="I1116" t="s">
        <v>262</v>
      </c>
      <c r="J1116" t="s">
        <v>564</v>
      </c>
      <c r="K1116">
        <v>4.76419625529209E-4</v>
      </c>
      <c r="L1116" t="s">
        <v>162</v>
      </c>
      <c r="N1116" t="s">
        <v>374</v>
      </c>
      <c r="O1116" t="s">
        <v>564</v>
      </c>
      <c r="P1116">
        <v>0.14460564497349981</v>
      </c>
      <c r="Q1116" t="s">
        <v>162</v>
      </c>
      <c r="S1116" t="s">
        <v>486</v>
      </c>
      <c r="T1116" t="s">
        <v>564</v>
      </c>
      <c r="U1116">
        <v>0.11121026476370574</v>
      </c>
      <c r="V1116" t="s">
        <v>162</v>
      </c>
    </row>
    <row r="1117" spans="9:22" x14ac:dyDescent="0.45">
      <c r="I1117" t="s">
        <v>262</v>
      </c>
      <c r="J1117" t="s">
        <v>565</v>
      </c>
      <c r="K1117">
        <v>1.403721151010478E-2</v>
      </c>
      <c r="L1117" t="s">
        <v>162</v>
      </c>
      <c r="N1117" t="s">
        <v>374</v>
      </c>
      <c r="O1117" t="s">
        <v>565</v>
      </c>
      <c r="P1117">
        <v>2.7475626861647669E-2</v>
      </c>
      <c r="Q1117" t="s">
        <v>162</v>
      </c>
      <c r="S1117" t="s">
        <v>486</v>
      </c>
      <c r="T1117" t="s">
        <v>565</v>
      </c>
      <c r="U1117">
        <v>2.0417208521599513E-2</v>
      </c>
      <c r="V1117" t="s">
        <v>162</v>
      </c>
    </row>
    <row r="1118" spans="9:22" x14ac:dyDescent="0.45">
      <c r="I1118" t="s">
        <v>262</v>
      </c>
      <c r="J1118" t="s">
        <v>566</v>
      </c>
      <c r="K1118">
        <v>0.2806950763581148</v>
      </c>
      <c r="L1118" t="s">
        <v>162</v>
      </c>
      <c r="N1118" t="s">
        <v>374</v>
      </c>
      <c r="O1118" t="s">
        <v>566</v>
      </c>
      <c r="P1118">
        <v>0.1043711947182262</v>
      </c>
      <c r="Q1118" t="s">
        <v>162</v>
      </c>
      <c r="S1118" t="s">
        <v>486</v>
      </c>
      <c r="T1118" t="s">
        <v>566</v>
      </c>
      <c r="U1118">
        <v>0.11051784769357821</v>
      </c>
      <c r="V1118" t="s">
        <v>162</v>
      </c>
    </row>
    <row r="1119" spans="9:22" x14ac:dyDescent="0.45">
      <c r="I1119" t="s">
        <v>262</v>
      </c>
      <c r="J1119" t="s">
        <v>567</v>
      </c>
      <c r="K1119">
        <v>8.7139673831803932E-3</v>
      </c>
      <c r="L1119" t="s">
        <v>162</v>
      </c>
      <c r="N1119" t="s">
        <v>374</v>
      </c>
      <c r="O1119" t="s">
        <v>567</v>
      </c>
      <c r="P1119">
        <v>0.12242117159281624</v>
      </c>
      <c r="Q1119" t="s">
        <v>162</v>
      </c>
      <c r="S1119" t="s">
        <v>486</v>
      </c>
      <c r="T1119" t="s">
        <v>567</v>
      </c>
      <c r="U1119">
        <v>0.11529741820944077</v>
      </c>
      <c r="V1119" t="s">
        <v>162</v>
      </c>
    </row>
    <row r="1120" spans="9:22" x14ac:dyDescent="0.45">
      <c r="I1120" t="s">
        <v>262</v>
      </c>
      <c r="J1120" t="s">
        <v>568</v>
      </c>
      <c r="K1120">
        <v>3.4237271649888407E-2</v>
      </c>
      <c r="L1120" t="s">
        <v>162</v>
      </c>
      <c r="N1120" t="s">
        <v>374</v>
      </c>
      <c r="O1120" t="s">
        <v>568</v>
      </c>
      <c r="P1120">
        <v>1.9000414866749596E-2</v>
      </c>
      <c r="Q1120" t="s">
        <v>162</v>
      </c>
      <c r="S1120" t="s">
        <v>486</v>
      </c>
      <c r="T1120" t="s">
        <v>568</v>
      </c>
      <c r="U1120">
        <v>2.070952351104912E-2</v>
      </c>
      <c r="V1120" t="s">
        <v>162</v>
      </c>
    </row>
    <row r="1121" spans="9:22" x14ac:dyDescent="0.45">
      <c r="I1121" t="s">
        <v>262</v>
      </c>
      <c r="J1121" t="s">
        <v>569</v>
      </c>
      <c r="K1121">
        <v>0.27790443893125788</v>
      </c>
      <c r="L1121" t="s">
        <v>162</v>
      </c>
      <c r="N1121" t="s">
        <v>374</v>
      </c>
      <c r="O1121" t="s">
        <v>569</v>
      </c>
      <c r="P1121">
        <v>8.8779568404668704E-2</v>
      </c>
      <c r="Q1121" t="s">
        <v>162</v>
      </c>
      <c r="S1121" t="s">
        <v>486</v>
      </c>
      <c r="T1121" t="s">
        <v>569</v>
      </c>
      <c r="U1121">
        <v>7.5485738705866029E-2</v>
      </c>
      <c r="V1121" t="s">
        <v>162</v>
      </c>
    </row>
    <row r="1122" spans="9:22" x14ac:dyDescent="0.45">
      <c r="I1122" t="s">
        <v>262</v>
      </c>
      <c r="J1122" t="s">
        <v>570</v>
      </c>
      <c r="K1122">
        <v>2.1936231629983996E-2</v>
      </c>
      <c r="L1122" t="s">
        <v>162</v>
      </c>
      <c r="N1122" t="s">
        <v>374</v>
      </c>
      <c r="O1122" t="s">
        <v>570</v>
      </c>
      <c r="P1122">
        <v>9.3505161271735138E-2</v>
      </c>
      <c r="Q1122" t="s">
        <v>162</v>
      </c>
      <c r="S1122" t="s">
        <v>486</v>
      </c>
      <c r="T1122" t="s">
        <v>570</v>
      </c>
      <c r="U1122">
        <v>7.6938046912054858E-2</v>
      </c>
      <c r="V1122" t="s">
        <v>162</v>
      </c>
    </row>
    <row r="1123" spans="9:22" x14ac:dyDescent="0.45">
      <c r="I1123" t="s">
        <v>262</v>
      </c>
      <c r="J1123" t="s">
        <v>571</v>
      </c>
      <c r="K1123">
        <v>3.843253870419585E-2</v>
      </c>
      <c r="L1123" t="s">
        <v>162</v>
      </c>
      <c r="N1123" t="s">
        <v>374</v>
      </c>
      <c r="O1123" t="s">
        <v>571</v>
      </c>
      <c r="P1123">
        <v>1.4623639797510107E-2</v>
      </c>
      <c r="Q1123" t="s">
        <v>162</v>
      </c>
      <c r="S1123" t="s">
        <v>486</v>
      </c>
      <c r="T1123" t="s">
        <v>571</v>
      </c>
      <c r="U1123">
        <v>1.4418808051544708E-2</v>
      </c>
      <c r="V1123" t="s">
        <v>162</v>
      </c>
    </row>
    <row r="1124" spans="9:22" x14ac:dyDescent="0.45">
      <c r="I1124" t="s">
        <v>262</v>
      </c>
      <c r="J1124" t="s">
        <v>572</v>
      </c>
      <c r="K1124">
        <v>0.15764025286171665</v>
      </c>
      <c r="L1124" t="s">
        <v>162</v>
      </c>
      <c r="N1124" t="s">
        <v>374</v>
      </c>
      <c r="O1124" t="s">
        <v>572</v>
      </c>
      <c r="P1124">
        <v>0.10587917593366586</v>
      </c>
      <c r="Q1124" t="s">
        <v>162</v>
      </c>
      <c r="S1124" t="s">
        <v>486</v>
      </c>
      <c r="T1124" t="s">
        <v>572</v>
      </c>
      <c r="U1124">
        <v>0.16006398234264549</v>
      </c>
      <c r="V1124" t="s">
        <v>162</v>
      </c>
    </row>
    <row r="1125" spans="9:22" x14ac:dyDescent="0.45">
      <c r="I1125" t="s">
        <v>262</v>
      </c>
      <c r="J1125" t="s">
        <v>573</v>
      </c>
      <c r="K1125">
        <v>0</v>
      </c>
      <c r="L1125" t="s">
        <v>162</v>
      </c>
      <c r="N1125" t="s">
        <v>374</v>
      </c>
      <c r="O1125" t="s">
        <v>573</v>
      </c>
      <c r="P1125">
        <v>0.11329552166540019</v>
      </c>
      <c r="Q1125" t="s">
        <v>162</v>
      </c>
      <c r="S1125" t="s">
        <v>486</v>
      </c>
      <c r="T1125" t="s">
        <v>573</v>
      </c>
      <c r="U1125">
        <v>0.15460201973599882</v>
      </c>
      <c r="V1125" t="s">
        <v>162</v>
      </c>
    </row>
    <row r="1126" spans="9:22" x14ac:dyDescent="0.45">
      <c r="I1126" t="s">
        <v>262</v>
      </c>
      <c r="J1126" t="s">
        <v>574</v>
      </c>
      <c r="K1126">
        <v>7.3315393910602334E-3</v>
      </c>
      <c r="L1126" t="s">
        <v>162</v>
      </c>
      <c r="N1126" t="s">
        <v>374</v>
      </c>
      <c r="O1126" t="s">
        <v>574</v>
      </c>
      <c r="P1126">
        <v>2.0631819426791813E-2</v>
      </c>
      <c r="Q1126" t="s">
        <v>162</v>
      </c>
      <c r="S1126" t="s">
        <v>486</v>
      </c>
      <c r="T1126" t="s">
        <v>574</v>
      </c>
      <c r="U1126">
        <v>2.9429569931752084E-2</v>
      </c>
      <c r="V1126" t="s">
        <v>162</v>
      </c>
    </row>
    <row r="1127" spans="9:22" x14ac:dyDescent="0.45">
      <c r="I1127" t="s">
        <v>263</v>
      </c>
      <c r="J1127" t="s">
        <v>563</v>
      </c>
      <c r="K1127">
        <v>0.15313055713971516</v>
      </c>
      <c r="L1127" t="s">
        <v>162</v>
      </c>
      <c r="N1127" t="s">
        <v>375</v>
      </c>
      <c r="O1127" t="s">
        <v>563</v>
      </c>
      <c r="P1127">
        <v>0.14272989201973216</v>
      </c>
      <c r="Q1127" t="s">
        <v>162</v>
      </c>
      <c r="S1127" t="s">
        <v>487</v>
      </c>
      <c r="T1127" t="s">
        <v>563</v>
      </c>
      <c r="U1127">
        <v>0.11061424720906242</v>
      </c>
      <c r="V1127" t="s">
        <v>162</v>
      </c>
    </row>
    <row r="1128" spans="9:22" x14ac:dyDescent="0.45">
      <c r="I1128" t="s">
        <v>263</v>
      </c>
      <c r="J1128" t="s">
        <v>564</v>
      </c>
      <c r="K1128">
        <v>0</v>
      </c>
      <c r="L1128" t="s">
        <v>162</v>
      </c>
      <c r="N1128" t="s">
        <v>375</v>
      </c>
      <c r="O1128" t="s">
        <v>564</v>
      </c>
      <c r="P1128">
        <v>0.146626812001589</v>
      </c>
      <c r="Q1128" t="s">
        <v>162</v>
      </c>
      <c r="S1128" t="s">
        <v>487</v>
      </c>
      <c r="T1128" t="s">
        <v>564</v>
      </c>
      <c r="U1128">
        <v>0.11680754727079511</v>
      </c>
      <c r="V1128" t="s">
        <v>162</v>
      </c>
    </row>
    <row r="1129" spans="9:22" x14ac:dyDescent="0.45">
      <c r="I1129" t="s">
        <v>263</v>
      </c>
      <c r="J1129" t="s">
        <v>565</v>
      </c>
      <c r="K1129">
        <v>1.0690737785516618E-2</v>
      </c>
      <c r="L1129" t="s">
        <v>162</v>
      </c>
      <c r="N1129" t="s">
        <v>375</v>
      </c>
      <c r="O1129" t="s">
        <v>565</v>
      </c>
      <c r="P1129">
        <v>2.7049124969157137E-2</v>
      </c>
      <c r="Q1129" t="s">
        <v>162</v>
      </c>
      <c r="S1129" t="s">
        <v>487</v>
      </c>
      <c r="T1129" t="s">
        <v>565</v>
      </c>
      <c r="U1129">
        <v>1.9747944618022796E-2</v>
      </c>
      <c r="V1129" t="s">
        <v>162</v>
      </c>
    </row>
    <row r="1130" spans="9:22" x14ac:dyDescent="0.45">
      <c r="I1130" t="s">
        <v>263</v>
      </c>
      <c r="J1130" t="s">
        <v>566</v>
      </c>
      <c r="K1130">
        <v>0.28820362997487464</v>
      </c>
      <c r="L1130" t="s">
        <v>162</v>
      </c>
      <c r="N1130" t="s">
        <v>375</v>
      </c>
      <c r="O1130" t="s">
        <v>566</v>
      </c>
      <c r="P1130">
        <v>0.10821890250672674</v>
      </c>
      <c r="Q1130" t="s">
        <v>162</v>
      </c>
      <c r="S1130" t="s">
        <v>487</v>
      </c>
      <c r="T1130" t="s">
        <v>566</v>
      </c>
      <c r="U1130">
        <v>0.12097773045785386</v>
      </c>
      <c r="V1130" t="s">
        <v>162</v>
      </c>
    </row>
    <row r="1131" spans="9:22" x14ac:dyDescent="0.45">
      <c r="I1131" t="s">
        <v>263</v>
      </c>
      <c r="J1131" t="s">
        <v>567</v>
      </c>
      <c r="K1131">
        <v>7.413906914061001E-3</v>
      </c>
      <c r="L1131" t="s">
        <v>162</v>
      </c>
      <c r="N1131" t="s">
        <v>375</v>
      </c>
      <c r="O1131" t="s">
        <v>567</v>
      </c>
      <c r="P1131">
        <v>0.12298839664120241</v>
      </c>
      <c r="Q1131" t="s">
        <v>162</v>
      </c>
      <c r="S1131" t="s">
        <v>487</v>
      </c>
      <c r="T1131" t="s">
        <v>567</v>
      </c>
      <c r="U1131">
        <v>0.11802891233857508</v>
      </c>
      <c r="V1131" t="s">
        <v>162</v>
      </c>
    </row>
    <row r="1132" spans="9:22" x14ac:dyDescent="0.45">
      <c r="I1132" t="s">
        <v>263</v>
      </c>
      <c r="J1132" t="s">
        <v>568</v>
      </c>
      <c r="K1132">
        <v>3.4184162010836794E-2</v>
      </c>
      <c r="L1132" t="s">
        <v>162</v>
      </c>
      <c r="N1132" t="s">
        <v>375</v>
      </c>
      <c r="O1132" t="s">
        <v>568</v>
      </c>
      <c r="P1132">
        <v>1.9060373388142177E-2</v>
      </c>
      <c r="Q1132" t="s">
        <v>162</v>
      </c>
      <c r="S1132" t="s">
        <v>487</v>
      </c>
      <c r="T1132" t="s">
        <v>568</v>
      </c>
      <c r="U1132">
        <v>2.1477194718791507E-2</v>
      </c>
      <c r="V1132" t="s">
        <v>162</v>
      </c>
    </row>
    <row r="1133" spans="9:22" x14ac:dyDescent="0.45">
      <c r="I1133" t="s">
        <v>263</v>
      </c>
      <c r="J1133" t="s">
        <v>569</v>
      </c>
      <c r="K1133">
        <v>0.28586987796700314</v>
      </c>
      <c r="L1133" t="s">
        <v>162</v>
      </c>
      <c r="N1133" t="s">
        <v>375</v>
      </c>
      <c r="O1133" t="s">
        <v>569</v>
      </c>
      <c r="P1133">
        <v>7.7673803164477445E-2</v>
      </c>
      <c r="Q1133" t="s">
        <v>162</v>
      </c>
      <c r="S1133" t="s">
        <v>487</v>
      </c>
      <c r="T1133" t="s">
        <v>569</v>
      </c>
      <c r="U1133">
        <v>9.2599483607113939E-2</v>
      </c>
      <c r="V1133" t="s">
        <v>162</v>
      </c>
    </row>
    <row r="1134" spans="9:22" x14ac:dyDescent="0.45">
      <c r="I1134" t="s">
        <v>263</v>
      </c>
      <c r="J1134" t="s">
        <v>570</v>
      </c>
      <c r="K1134">
        <v>2.043897242729318E-2</v>
      </c>
      <c r="L1134" t="s">
        <v>162</v>
      </c>
      <c r="N1134" t="s">
        <v>375</v>
      </c>
      <c r="O1134" t="s">
        <v>570</v>
      </c>
      <c r="P1134">
        <v>9.2683462308869619E-2</v>
      </c>
      <c r="Q1134" t="s">
        <v>162</v>
      </c>
      <c r="S1134" t="s">
        <v>487</v>
      </c>
      <c r="T1134" t="s">
        <v>570</v>
      </c>
      <c r="U1134">
        <v>9.6845238836438016E-2</v>
      </c>
      <c r="V1134" t="s">
        <v>162</v>
      </c>
    </row>
    <row r="1135" spans="9:22" x14ac:dyDescent="0.45">
      <c r="I1135" t="s">
        <v>263</v>
      </c>
      <c r="J1135" t="s">
        <v>571</v>
      </c>
      <c r="K1135">
        <v>3.7952261628685785E-2</v>
      </c>
      <c r="L1135" t="s">
        <v>162</v>
      </c>
      <c r="N1135" t="s">
        <v>375</v>
      </c>
      <c r="O1135" t="s">
        <v>571</v>
      </c>
      <c r="P1135">
        <v>1.359099624457547E-2</v>
      </c>
      <c r="Q1135" t="s">
        <v>162</v>
      </c>
      <c r="S1135" t="s">
        <v>487</v>
      </c>
      <c r="T1135" t="s">
        <v>571</v>
      </c>
      <c r="U1135">
        <v>1.5865569695352345E-2</v>
      </c>
      <c r="V1135" t="s">
        <v>162</v>
      </c>
    </row>
    <row r="1136" spans="9:22" x14ac:dyDescent="0.45">
      <c r="I1136" t="s">
        <v>263</v>
      </c>
      <c r="J1136" t="s">
        <v>572</v>
      </c>
      <c r="K1136">
        <v>0.1571717883394054</v>
      </c>
      <c r="L1136" t="s">
        <v>162</v>
      </c>
      <c r="N1136" t="s">
        <v>375</v>
      </c>
      <c r="O1136" t="s">
        <v>572</v>
      </c>
      <c r="P1136">
        <v>0.10950594020047826</v>
      </c>
      <c r="Q1136" t="s">
        <v>162</v>
      </c>
      <c r="S1136" t="s">
        <v>487</v>
      </c>
      <c r="T1136" t="s">
        <v>572</v>
      </c>
      <c r="U1136">
        <v>0.13235106998948856</v>
      </c>
      <c r="V1136" t="s">
        <v>162</v>
      </c>
    </row>
    <row r="1137" spans="9:22" x14ac:dyDescent="0.45">
      <c r="I1137" t="s">
        <v>263</v>
      </c>
      <c r="J1137" t="s">
        <v>573</v>
      </c>
      <c r="K1137">
        <v>0</v>
      </c>
      <c r="L1137" t="s">
        <v>162</v>
      </c>
      <c r="N1137" t="s">
        <v>375</v>
      </c>
      <c r="O1137" t="s">
        <v>573</v>
      </c>
      <c r="P1137">
        <v>0.11851087508675828</v>
      </c>
      <c r="Q1137" t="s">
        <v>162</v>
      </c>
      <c r="S1137" t="s">
        <v>487</v>
      </c>
      <c r="T1137" t="s">
        <v>573</v>
      </c>
      <c r="U1137">
        <v>0.13045853673881314</v>
      </c>
      <c r="V1137" t="s">
        <v>162</v>
      </c>
    </row>
    <row r="1138" spans="9:22" x14ac:dyDescent="0.45">
      <c r="I1138" t="s">
        <v>263</v>
      </c>
      <c r="J1138" t="s">
        <v>574</v>
      </c>
      <c r="K1138">
        <v>4.9441058126070987E-3</v>
      </c>
      <c r="L1138" t="s">
        <v>162</v>
      </c>
      <c r="N1138" t="s">
        <v>375</v>
      </c>
      <c r="O1138" t="s">
        <v>574</v>
      </c>
      <c r="P1138">
        <v>2.1361421468291446E-2</v>
      </c>
      <c r="Q1138" t="s">
        <v>162</v>
      </c>
      <c r="S1138" t="s">
        <v>487</v>
      </c>
      <c r="T1138" t="s">
        <v>574</v>
      </c>
      <c r="U1138">
        <v>2.4226524519691442E-2</v>
      </c>
      <c r="V1138" t="s">
        <v>162</v>
      </c>
    </row>
    <row r="1139" spans="9:22" x14ac:dyDescent="0.45">
      <c r="I1139" t="s">
        <v>264</v>
      </c>
      <c r="J1139" t="s">
        <v>563</v>
      </c>
      <c r="K1139">
        <v>0.19571721073627713</v>
      </c>
      <c r="L1139" t="s">
        <v>162</v>
      </c>
      <c r="N1139" t="s">
        <v>376</v>
      </c>
      <c r="O1139" t="s">
        <v>563</v>
      </c>
      <c r="P1139">
        <v>0.14419081747407519</v>
      </c>
      <c r="Q1139" t="s">
        <v>162</v>
      </c>
      <c r="S1139" t="s">
        <v>488</v>
      </c>
      <c r="T1139" t="s">
        <v>563</v>
      </c>
      <c r="U1139">
        <v>0.11418623873088074</v>
      </c>
      <c r="V1139" t="s">
        <v>162</v>
      </c>
    </row>
    <row r="1140" spans="9:22" x14ac:dyDescent="0.45">
      <c r="I1140" t="s">
        <v>264</v>
      </c>
      <c r="J1140" t="s">
        <v>564</v>
      </c>
      <c r="K1140">
        <v>0</v>
      </c>
      <c r="L1140" t="s">
        <v>162</v>
      </c>
      <c r="N1140" t="s">
        <v>376</v>
      </c>
      <c r="O1140" t="s">
        <v>564</v>
      </c>
      <c r="P1140">
        <v>0.14676748571176176</v>
      </c>
      <c r="Q1140" t="s">
        <v>162</v>
      </c>
      <c r="S1140" t="s">
        <v>488</v>
      </c>
      <c r="T1140" t="s">
        <v>564</v>
      </c>
      <c r="U1140">
        <v>0.11645274837590811</v>
      </c>
      <c r="V1140" t="s">
        <v>162</v>
      </c>
    </row>
    <row r="1141" spans="9:22" x14ac:dyDescent="0.45">
      <c r="I1141" t="s">
        <v>264</v>
      </c>
      <c r="J1141" t="s">
        <v>565</v>
      </c>
      <c r="K1141">
        <v>7.7338537751837962E-3</v>
      </c>
      <c r="L1141" t="s">
        <v>162</v>
      </c>
      <c r="N1141" t="s">
        <v>376</v>
      </c>
      <c r="O1141" t="s">
        <v>565</v>
      </c>
      <c r="P1141">
        <v>2.7831425277054306E-2</v>
      </c>
      <c r="Q1141" t="s">
        <v>162</v>
      </c>
      <c r="S1141" t="s">
        <v>488</v>
      </c>
      <c r="T1141" t="s">
        <v>565</v>
      </c>
      <c r="U1141">
        <v>2.0576064408348218E-2</v>
      </c>
      <c r="V1141" t="s">
        <v>162</v>
      </c>
    </row>
    <row r="1142" spans="9:22" x14ac:dyDescent="0.45">
      <c r="I1142" t="s">
        <v>264</v>
      </c>
      <c r="J1142" t="s">
        <v>566</v>
      </c>
      <c r="K1142">
        <v>0.29489343851752592</v>
      </c>
      <c r="L1142" t="s">
        <v>162</v>
      </c>
      <c r="N1142" t="s">
        <v>376</v>
      </c>
      <c r="O1142" t="s">
        <v>566</v>
      </c>
      <c r="P1142">
        <v>0.10979043376223704</v>
      </c>
      <c r="Q1142" t="s">
        <v>162</v>
      </c>
      <c r="S1142" t="s">
        <v>488</v>
      </c>
      <c r="T1142" t="s">
        <v>566</v>
      </c>
      <c r="U1142">
        <v>0.11746485505820635</v>
      </c>
      <c r="V1142" t="s">
        <v>162</v>
      </c>
    </row>
    <row r="1143" spans="9:22" x14ac:dyDescent="0.45">
      <c r="I1143" t="s">
        <v>264</v>
      </c>
      <c r="J1143" t="s">
        <v>567</v>
      </c>
      <c r="K1143">
        <v>4.8277628510114768E-3</v>
      </c>
      <c r="L1143" t="s">
        <v>162</v>
      </c>
      <c r="N1143" t="s">
        <v>376</v>
      </c>
      <c r="O1143" t="s">
        <v>567</v>
      </c>
      <c r="P1143">
        <v>0.13027796928221375</v>
      </c>
      <c r="Q1143" t="s">
        <v>162</v>
      </c>
      <c r="S1143" t="s">
        <v>488</v>
      </c>
      <c r="T1143" t="s">
        <v>567</v>
      </c>
      <c r="U1143">
        <v>0.11770957662906247</v>
      </c>
      <c r="V1143" t="s">
        <v>162</v>
      </c>
    </row>
    <row r="1144" spans="9:22" x14ac:dyDescent="0.45">
      <c r="I1144" t="s">
        <v>264</v>
      </c>
      <c r="J1144" t="s">
        <v>568</v>
      </c>
      <c r="K1144">
        <v>2.6686693737188013E-2</v>
      </c>
      <c r="L1144" t="s">
        <v>162</v>
      </c>
      <c r="N1144" t="s">
        <v>376</v>
      </c>
      <c r="O1144" t="s">
        <v>568</v>
      </c>
      <c r="P1144">
        <v>1.9519061723229064E-2</v>
      </c>
      <c r="Q1144" t="s">
        <v>162</v>
      </c>
      <c r="S1144" t="s">
        <v>488</v>
      </c>
      <c r="T1144" t="s">
        <v>568</v>
      </c>
      <c r="U1144">
        <v>2.1437411388850105E-2</v>
      </c>
      <c r="V1144" t="s">
        <v>162</v>
      </c>
    </row>
    <row r="1145" spans="9:22" x14ac:dyDescent="0.45">
      <c r="I1145" t="s">
        <v>264</v>
      </c>
      <c r="J1145" t="s">
        <v>569</v>
      </c>
      <c r="K1145">
        <v>0.29189015007384789</v>
      </c>
      <c r="L1145" t="s">
        <v>162</v>
      </c>
      <c r="N1145" t="s">
        <v>376</v>
      </c>
      <c r="O1145" t="s">
        <v>569</v>
      </c>
      <c r="P1145">
        <v>7.8104995768942129E-2</v>
      </c>
      <c r="Q1145" t="s">
        <v>162</v>
      </c>
      <c r="S1145" t="s">
        <v>488</v>
      </c>
      <c r="T1145" t="s">
        <v>569</v>
      </c>
      <c r="U1145">
        <v>9.3052851787101709E-2</v>
      </c>
      <c r="V1145" t="s">
        <v>162</v>
      </c>
    </row>
    <row r="1146" spans="9:22" x14ac:dyDescent="0.45">
      <c r="I1146" t="s">
        <v>264</v>
      </c>
      <c r="J1146" t="s">
        <v>570</v>
      </c>
      <c r="K1146">
        <v>1.0506148026258964E-2</v>
      </c>
      <c r="L1146" t="s">
        <v>162</v>
      </c>
      <c r="N1146" t="s">
        <v>376</v>
      </c>
      <c r="O1146" t="s">
        <v>570</v>
      </c>
      <c r="P1146">
        <v>9.3938425033977438E-2</v>
      </c>
      <c r="Q1146" t="s">
        <v>162</v>
      </c>
      <c r="S1146" t="s">
        <v>488</v>
      </c>
      <c r="T1146" t="s">
        <v>570</v>
      </c>
      <c r="U1146">
        <v>9.6967995765633003E-2</v>
      </c>
      <c r="V1146" t="s">
        <v>162</v>
      </c>
    </row>
    <row r="1147" spans="9:22" x14ac:dyDescent="0.45">
      <c r="I1147" t="s">
        <v>264</v>
      </c>
      <c r="J1147" t="s">
        <v>571</v>
      </c>
      <c r="K1147">
        <v>3.304309037416913E-2</v>
      </c>
      <c r="L1147" t="s">
        <v>162</v>
      </c>
      <c r="N1147" t="s">
        <v>376</v>
      </c>
      <c r="O1147" t="s">
        <v>571</v>
      </c>
      <c r="P1147">
        <v>1.3911119153977502E-2</v>
      </c>
      <c r="Q1147" t="s">
        <v>162</v>
      </c>
      <c r="S1147" t="s">
        <v>488</v>
      </c>
      <c r="T1147" t="s">
        <v>571</v>
      </c>
      <c r="U1147">
        <v>1.5981116743159534E-2</v>
      </c>
      <c r="V1147" t="s">
        <v>162</v>
      </c>
    </row>
    <row r="1148" spans="9:22" x14ac:dyDescent="0.45">
      <c r="I1148" t="s">
        <v>264</v>
      </c>
      <c r="J1148" t="s">
        <v>572</v>
      </c>
      <c r="K1148">
        <v>0.13267976223007988</v>
      </c>
      <c r="L1148" t="s">
        <v>162</v>
      </c>
      <c r="N1148" t="s">
        <v>376</v>
      </c>
      <c r="O1148" t="s">
        <v>572</v>
      </c>
      <c r="P1148">
        <v>0.10125604404726793</v>
      </c>
      <c r="Q1148" t="s">
        <v>162</v>
      </c>
      <c r="S1148" t="s">
        <v>488</v>
      </c>
      <c r="T1148" t="s">
        <v>572</v>
      </c>
      <c r="U1148">
        <v>0.12831451022981072</v>
      </c>
      <c r="V1148" t="s">
        <v>162</v>
      </c>
    </row>
    <row r="1149" spans="9:22" x14ac:dyDescent="0.45">
      <c r="I1149" t="s">
        <v>264</v>
      </c>
      <c r="J1149" t="s">
        <v>573</v>
      </c>
      <c r="K1149">
        <v>0</v>
      </c>
      <c r="L1149" t="s">
        <v>162</v>
      </c>
      <c r="N1149" t="s">
        <v>376</v>
      </c>
      <c r="O1149" t="s">
        <v>573</v>
      </c>
      <c r="P1149">
        <v>0.11549307591370993</v>
      </c>
      <c r="Q1149" t="s">
        <v>162</v>
      </c>
      <c r="S1149" t="s">
        <v>488</v>
      </c>
      <c r="T1149" t="s">
        <v>573</v>
      </c>
      <c r="U1149">
        <v>0.13433756683796588</v>
      </c>
      <c r="V1149" t="s">
        <v>162</v>
      </c>
    </row>
    <row r="1150" spans="9:22" x14ac:dyDescent="0.45">
      <c r="I1150" t="s">
        <v>264</v>
      </c>
      <c r="J1150" t="s">
        <v>574</v>
      </c>
      <c r="K1150">
        <v>2.0218896784586719E-3</v>
      </c>
      <c r="L1150" t="s">
        <v>162</v>
      </c>
      <c r="N1150" t="s">
        <v>376</v>
      </c>
      <c r="O1150" t="s">
        <v>574</v>
      </c>
      <c r="P1150">
        <v>1.8919146851555223E-2</v>
      </c>
      <c r="Q1150" t="s">
        <v>162</v>
      </c>
      <c r="S1150" t="s">
        <v>488</v>
      </c>
      <c r="T1150" t="s">
        <v>574</v>
      </c>
      <c r="U1150">
        <v>2.3519064045072022E-2</v>
      </c>
      <c r="V1150" t="s">
        <v>162</v>
      </c>
    </row>
    <row r="1151" spans="9:22" x14ac:dyDescent="0.45">
      <c r="I1151" t="s">
        <v>265</v>
      </c>
      <c r="J1151" t="s">
        <v>563</v>
      </c>
      <c r="K1151">
        <v>0.18197237963481477</v>
      </c>
      <c r="L1151" t="s">
        <v>162</v>
      </c>
      <c r="N1151" t="s">
        <v>377</v>
      </c>
      <c r="O1151" t="s">
        <v>563</v>
      </c>
      <c r="P1151">
        <v>0.14726079901280034</v>
      </c>
      <c r="Q1151" t="s">
        <v>162</v>
      </c>
      <c r="S1151" t="s">
        <v>489</v>
      </c>
      <c r="T1151" t="s">
        <v>563</v>
      </c>
      <c r="U1151">
        <v>0.10649615911559637</v>
      </c>
      <c r="V1151" t="s">
        <v>162</v>
      </c>
    </row>
    <row r="1152" spans="9:22" x14ac:dyDescent="0.45">
      <c r="I1152" t="s">
        <v>265</v>
      </c>
      <c r="J1152" t="s">
        <v>564</v>
      </c>
      <c r="K1152">
        <v>0</v>
      </c>
      <c r="L1152" t="s">
        <v>162</v>
      </c>
      <c r="N1152" t="s">
        <v>377</v>
      </c>
      <c r="O1152" t="s">
        <v>564</v>
      </c>
      <c r="P1152">
        <v>0.14183758774942085</v>
      </c>
      <c r="Q1152" t="s">
        <v>162</v>
      </c>
      <c r="S1152" t="s">
        <v>489</v>
      </c>
      <c r="T1152" t="s">
        <v>564</v>
      </c>
      <c r="U1152">
        <v>0.11075571096329158</v>
      </c>
      <c r="V1152" t="s">
        <v>162</v>
      </c>
    </row>
    <row r="1153" spans="9:22" x14ac:dyDescent="0.45">
      <c r="I1153" t="s">
        <v>265</v>
      </c>
      <c r="J1153" t="s">
        <v>565</v>
      </c>
      <c r="K1153">
        <v>7.6767226129329401E-3</v>
      </c>
      <c r="L1153" t="s">
        <v>162</v>
      </c>
      <c r="N1153" t="s">
        <v>377</v>
      </c>
      <c r="O1153" t="s">
        <v>565</v>
      </c>
      <c r="P1153">
        <v>2.5890185492690381E-2</v>
      </c>
      <c r="Q1153" t="s">
        <v>162</v>
      </c>
      <c r="S1153" t="s">
        <v>489</v>
      </c>
      <c r="T1153" t="s">
        <v>565</v>
      </c>
      <c r="U1153">
        <v>2.0254116104424368E-2</v>
      </c>
      <c r="V1153" t="s">
        <v>162</v>
      </c>
    </row>
    <row r="1154" spans="9:22" x14ac:dyDescent="0.45">
      <c r="I1154" t="s">
        <v>265</v>
      </c>
      <c r="J1154" t="s">
        <v>566</v>
      </c>
      <c r="K1154">
        <v>0.28575631824899228</v>
      </c>
      <c r="L1154" t="s">
        <v>162</v>
      </c>
      <c r="N1154" t="s">
        <v>377</v>
      </c>
      <c r="O1154" t="s">
        <v>566</v>
      </c>
      <c r="P1154">
        <v>0.11100858965614818</v>
      </c>
      <c r="Q1154" t="s">
        <v>162</v>
      </c>
      <c r="S1154" t="s">
        <v>489</v>
      </c>
      <c r="T1154" t="s">
        <v>566</v>
      </c>
      <c r="U1154">
        <v>0.11202787624792693</v>
      </c>
      <c r="V1154" t="s">
        <v>162</v>
      </c>
    </row>
    <row r="1155" spans="9:22" x14ac:dyDescent="0.45">
      <c r="I1155" t="s">
        <v>265</v>
      </c>
      <c r="J1155" t="s">
        <v>567</v>
      </c>
      <c r="K1155">
        <v>5.7490599025689197E-3</v>
      </c>
      <c r="L1155" t="s">
        <v>162</v>
      </c>
      <c r="N1155" t="s">
        <v>377</v>
      </c>
      <c r="O1155" t="s">
        <v>567</v>
      </c>
      <c r="P1155">
        <v>0.13193323374032331</v>
      </c>
      <c r="Q1155" t="s">
        <v>162</v>
      </c>
      <c r="S1155" t="s">
        <v>489</v>
      </c>
      <c r="T1155" t="s">
        <v>567</v>
      </c>
      <c r="U1155">
        <v>0.11347667108241806</v>
      </c>
      <c r="V1155" t="s">
        <v>162</v>
      </c>
    </row>
    <row r="1156" spans="9:22" x14ac:dyDescent="0.45">
      <c r="I1156" t="s">
        <v>265</v>
      </c>
      <c r="J1156" t="s">
        <v>568</v>
      </c>
      <c r="K1156">
        <v>2.6476324439625672E-2</v>
      </c>
      <c r="L1156" t="s">
        <v>162</v>
      </c>
      <c r="N1156" t="s">
        <v>377</v>
      </c>
      <c r="O1156" t="s">
        <v>568</v>
      </c>
      <c r="P1156">
        <v>2.0594639164145119E-2</v>
      </c>
      <c r="Q1156" t="s">
        <v>162</v>
      </c>
      <c r="S1156" t="s">
        <v>489</v>
      </c>
      <c r="T1156" t="s">
        <v>568</v>
      </c>
      <c r="U1156">
        <v>2.0234796102242634E-2</v>
      </c>
      <c r="V1156" t="s">
        <v>162</v>
      </c>
    </row>
    <row r="1157" spans="9:22" x14ac:dyDescent="0.45">
      <c r="I1157" t="s">
        <v>265</v>
      </c>
      <c r="J1157" t="s">
        <v>569</v>
      </c>
      <c r="K1157">
        <v>0.29892713424609824</v>
      </c>
      <c r="L1157" t="s">
        <v>162</v>
      </c>
      <c r="N1157" t="s">
        <v>377</v>
      </c>
      <c r="O1157" t="s">
        <v>569</v>
      </c>
      <c r="P1157">
        <v>7.8433730019522543E-2</v>
      </c>
      <c r="Q1157" t="s">
        <v>162</v>
      </c>
      <c r="S1157" t="s">
        <v>489</v>
      </c>
      <c r="T1157" t="s">
        <v>569</v>
      </c>
      <c r="U1157">
        <v>9.8824690907385521E-2</v>
      </c>
      <c r="V1157" t="s">
        <v>162</v>
      </c>
    </row>
    <row r="1158" spans="9:22" x14ac:dyDescent="0.45">
      <c r="I1158" t="s">
        <v>265</v>
      </c>
      <c r="J1158" t="s">
        <v>570</v>
      </c>
      <c r="K1158">
        <v>1.3813050705270178E-2</v>
      </c>
      <c r="L1158" t="s">
        <v>162</v>
      </c>
      <c r="N1158" t="s">
        <v>377</v>
      </c>
      <c r="O1158" t="s">
        <v>570</v>
      </c>
      <c r="P1158">
        <v>9.7010226271681571E-2</v>
      </c>
      <c r="Q1158" t="s">
        <v>162</v>
      </c>
      <c r="S1158" t="s">
        <v>489</v>
      </c>
      <c r="T1158" t="s">
        <v>570</v>
      </c>
      <c r="U1158">
        <v>0.10523732609644375</v>
      </c>
      <c r="V1158" t="s">
        <v>162</v>
      </c>
    </row>
    <row r="1159" spans="9:22" x14ac:dyDescent="0.45">
      <c r="I1159" t="s">
        <v>265</v>
      </c>
      <c r="J1159" t="s">
        <v>571</v>
      </c>
      <c r="K1159">
        <v>3.6918705722306148E-2</v>
      </c>
      <c r="L1159" t="s">
        <v>162</v>
      </c>
      <c r="N1159" t="s">
        <v>377</v>
      </c>
      <c r="O1159" t="s">
        <v>571</v>
      </c>
      <c r="P1159">
        <v>1.4356867589319153E-2</v>
      </c>
      <c r="Q1159" t="s">
        <v>162</v>
      </c>
      <c r="S1159" t="s">
        <v>489</v>
      </c>
      <c r="T1159" t="s">
        <v>571</v>
      </c>
      <c r="U1159">
        <v>1.928538846312329E-2</v>
      </c>
      <c r="V1159" t="s">
        <v>162</v>
      </c>
    </row>
    <row r="1160" spans="9:22" x14ac:dyDescent="0.45">
      <c r="I1160" t="s">
        <v>265</v>
      </c>
      <c r="J1160" t="s">
        <v>572</v>
      </c>
      <c r="K1160">
        <v>0.14036882485137497</v>
      </c>
      <c r="L1160" t="s">
        <v>162</v>
      </c>
      <c r="N1160" t="s">
        <v>377</v>
      </c>
      <c r="O1160" t="s">
        <v>572</v>
      </c>
      <c r="P1160">
        <v>9.873148066300487E-2</v>
      </c>
      <c r="Q1160" t="s">
        <v>162</v>
      </c>
      <c r="S1160" t="s">
        <v>489</v>
      </c>
      <c r="T1160" t="s">
        <v>572</v>
      </c>
      <c r="U1160">
        <v>0.13040749942352894</v>
      </c>
      <c r="V1160" t="s">
        <v>162</v>
      </c>
    </row>
    <row r="1161" spans="9:22" x14ac:dyDescent="0.45">
      <c r="I1161" t="s">
        <v>265</v>
      </c>
      <c r="J1161" t="s">
        <v>573</v>
      </c>
      <c r="K1161">
        <v>0</v>
      </c>
      <c r="L1161" t="s">
        <v>162</v>
      </c>
      <c r="N1161" t="s">
        <v>377</v>
      </c>
      <c r="O1161" t="s">
        <v>573</v>
      </c>
      <c r="P1161">
        <v>0.1145210480307832</v>
      </c>
      <c r="Q1161" t="s">
        <v>162</v>
      </c>
      <c r="S1161" t="s">
        <v>489</v>
      </c>
      <c r="T1161" t="s">
        <v>573</v>
      </c>
      <c r="U1161">
        <v>0.13783453140502244</v>
      </c>
      <c r="V1161" t="s">
        <v>162</v>
      </c>
    </row>
    <row r="1162" spans="9:22" x14ac:dyDescent="0.45">
      <c r="I1162" t="s">
        <v>265</v>
      </c>
      <c r="J1162" t="s">
        <v>574</v>
      </c>
      <c r="K1162">
        <v>2.3414796360113942E-3</v>
      </c>
      <c r="L1162" t="s">
        <v>162</v>
      </c>
      <c r="N1162" t="s">
        <v>377</v>
      </c>
      <c r="O1162" t="s">
        <v>574</v>
      </c>
      <c r="P1162">
        <v>1.8421612610162442E-2</v>
      </c>
      <c r="Q1162" t="s">
        <v>162</v>
      </c>
      <c r="S1162" t="s">
        <v>489</v>
      </c>
      <c r="T1162" t="s">
        <v>574</v>
      </c>
      <c r="U1162">
        <v>2.5165234088594848E-2</v>
      </c>
      <c r="V1162" t="s">
        <v>162</v>
      </c>
    </row>
    <row r="1163" spans="9:22" x14ac:dyDescent="0.45">
      <c r="I1163" t="s">
        <v>266</v>
      </c>
      <c r="J1163" t="s">
        <v>563</v>
      </c>
      <c r="K1163">
        <v>0.16885589058431247</v>
      </c>
      <c r="L1163" t="s">
        <v>162</v>
      </c>
      <c r="N1163" t="s">
        <v>378</v>
      </c>
      <c r="O1163" t="s">
        <v>563</v>
      </c>
      <c r="P1163">
        <v>0.11864537179593038</v>
      </c>
      <c r="Q1163" t="s">
        <v>162</v>
      </c>
      <c r="S1163" t="s">
        <v>490</v>
      </c>
      <c r="T1163" t="s">
        <v>563</v>
      </c>
      <c r="U1163">
        <v>0.10964476415011375</v>
      </c>
      <c r="V1163" t="s">
        <v>162</v>
      </c>
    </row>
    <row r="1164" spans="9:22" x14ac:dyDescent="0.45">
      <c r="I1164" t="s">
        <v>266</v>
      </c>
      <c r="J1164" t="s">
        <v>564</v>
      </c>
      <c r="K1164">
        <v>0</v>
      </c>
      <c r="L1164" t="s">
        <v>162</v>
      </c>
      <c r="N1164" t="s">
        <v>378</v>
      </c>
      <c r="O1164" t="s">
        <v>564</v>
      </c>
      <c r="P1164">
        <v>0.12809547605840813</v>
      </c>
      <c r="Q1164" t="s">
        <v>162</v>
      </c>
      <c r="S1164" t="s">
        <v>490</v>
      </c>
      <c r="T1164" t="s">
        <v>564</v>
      </c>
      <c r="U1164">
        <v>0.11044424356975829</v>
      </c>
      <c r="V1164" t="s">
        <v>162</v>
      </c>
    </row>
    <row r="1165" spans="9:22" x14ac:dyDescent="0.45">
      <c r="I1165" t="s">
        <v>266</v>
      </c>
      <c r="J1165" t="s">
        <v>565</v>
      </c>
      <c r="K1165">
        <v>7.5359235537503858E-3</v>
      </c>
      <c r="L1165" t="s">
        <v>162</v>
      </c>
      <c r="N1165" t="s">
        <v>378</v>
      </c>
      <c r="O1165" t="s">
        <v>565</v>
      </c>
      <c r="P1165">
        <v>2.141006947323263E-2</v>
      </c>
      <c r="Q1165" t="s">
        <v>162</v>
      </c>
      <c r="S1165" t="s">
        <v>490</v>
      </c>
      <c r="T1165" t="s">
        <v>565</v>
      </c>
      <c r="U1165">
        <v>2.0825868711252485E-2</v>
      </c>
      <c r="V1165" t="s">
        <v>162</v>
      </c>
    </row>
    <row r="1166" spans="9:22" x14ac:dyDescent="0.45">
      <c r="I1166" t="s">
        <v>266</v>
      </c>
      <c r="J1166" t="s">
        <v>566</v>
      </c>
      <c r="K1166">
        <v>0.28417685036076312</v>
      </c>
      <c r="L1166" t="s">
        <v>162</v>
      </c>
      <c r="N1166" t="s">
        <v>378</v>
      </c>
      <c r="O1166" t="s">
        <v>566</v>
      </c>
      <c r="P1166">
        <v>0.12196067749588721</v>
      </c>
      <c r="Q1166" t="s">
        <v>162</v>
      </c>
      <c r="S1166" t="s">
        <v>490</v>
      </c>
      <c r="T1166" t="s">
        <v>566</v>
      </c>
      <c r="U1166">
        <v>0.11443646030476147</v>
      </c>
      <c r="V1166" t="s">
        <v>162</v>
      </c>
    </row>
    <row r="1167" spans="9:22" x14ac:dyDescent="0.45">
      <c r="I1167" t="s">
        <v>266</v>
      </c>
      <c r="J1167" t="s">
        <v>567</v>
      </c>
      <c r="K1167">
        <v>6.5454475120980838E-3</v>
      </c>
      <c r="L1167" t="s">
        <v>162</v>
      </c>
      <c r="N1167" t="s">
        <v>378</v>
      </c>
      <c r="O1167" t="s">
        <v>567</v>
      </c>
      <c r="P1167">
        <v>0.13743951774262964</v>
      </c>
      <c r="Q1167" t="s">
        <v>162</v>
      </c>
      <c r="S1167" t="s">
        <v>490</v>
      </c>
      <c r="T1167" t="s">
        <v>567</v>
      </c>
      <c r="U1167">
        <v>0.11545814760298588</v>
      </c>
      <c r="V1167" t="s">
        <v>162</v>
      </c>
    </row>
    <row r="1168" spans="9:22" x14ac:dyDescent="0.45">
      <c r="I1168" t="s">
        <v>266</v>
      </c>
      <c r="J1168" t="s">
        <v>568</v>
      </c>
      <c r="K1168">
        <v>2.4005936703518679E-2</v>
      </c>
      <c r="L1168" t="s">
        <v>162</v>
      </c>
      <c r="N1168" t="s">
        <v>378</v>
      </c>
      <c r="O1168" t="s">
        <v>568</v>
      </c>
      <c r="P1168">
        <v>2.1751809895303061E-2</v>
      </c>
      <c r="Q1168" t="s">
        <v>162</v>
      </c>
      <c r="S1168" t="s">
        <v>490</v>
      </c>
      <c r="T1168" t="s">
        <v>568</v>
      </c>
      <c r="U1168">
        <v>2.1388196917435005E-2</v>
      </c>
      <c r="V1168" t="s">
        <v>162</v>
      </c>
    </row>
    <row r="1169" spans="9:22" x14ac:dyDescent="0.45">
      <c r="I1169" t="s">
        <v>266</v>
      </c>
      <c r="J1169" t="s">
        <v>569</v>
      </c>
      <c r="K1169">
        <v>0.30233260249909816</v>
      </c>
      <c r="L1169" t="s">
        <v>162</v>
      </c>
      <c r="N1169" t="s">
        <v>378</v>
      </c>
      <c r="O1169" t="s">
        <v>569</v>
      </c>
      <c r="P1169">
        <v>6.276416012205914E-2</v>
      </c>
      <c r="Q1169" t="s">
        <v>162</v>
      </c>
      <c r="S1169" t="s">
        <v>490</v>
      </c>
      <c r="T1169" t="s">
        <v>569</v>
      </c>
      <c r="U1169">
        <v>9.0897449645801653E-2</v>
      </c>
      <c r="V1169" t="s">
        <v>162</v>
      </c>
    </row>
    <row r="1170" spans="9:22" x14ac:dyDescent="0.45">
      <c r="I1170" t="s">
        <v>266</v>
      </c>
      <c r="J1170" t="s">
        <v>570</v>
      </c>
      <c r="K1170">
        <v>1.6056118490774662E-2</v>
      </c>
      <c r="L1170" t="s">
        <v>162</v>
      </c>
      <c r="N1170" t="s">
        <v>378</v>
      </c>
      <c r="O1170" t="s">
        <v>570</v>
      </c>
      <c r="P1170">
        <v>7.1012934717809756E-2</v>
      </c>
      <c r="Q1170" t="s">
        <v>162</v>
      </c>
      <c r="S1170" t="s">
        <v>490</v>
      </c>
      <c r="T1170" t="s">
        <v>570</v>
      </c>
      <c r="U1170">
        <v>9.3379410887324835E-2</v>
      </c>
      <c r="V1170" t="s">
        <v>162</v>
      </c>
    </row>
    <row r="1171" spans="9:22" x14ac:dyDescent="0.45">
      <c r="I1171" t="s">
        <v>266</v>
      </c>
      <c r="J1171" t="s">
        <v>571</v>
      </c>
      <c r="K1171">
        <v>3.4921520874090867E-2</v>
      </c>
      <c r="L1171" t="s">
        <v>162</v>
      </c>
      <c r="N1171" t="s">
        <v>378</v>
      </c>
      <c r="O1171" t="s">
        <v>571</v>
      </c>
      <c r="P1171">
        <v>1.018772012377744E-2</v>
      </c>
      <c r="Q1171" t="s">
        <v>162</v>
      </c>
      <c r="S1171" t="s">
        <v>490</v>
      </c>
      <c r="T1171" t="s">
        <v>571</v>
      </c>
      <c r="U1171">
        <v>1.8311840664699975E-2</v>
      </c>
      <c r="V1171" t="s">
        <v>162</v>
      </c>
    </row>
    <row r="1172" spans="9:22" x14ac:dyDescent="0.45">
      <c r="I1172" t="s">
        <v>266</v>
      </c>
      <c r="J1172" t="s">
        <v>572</v>
      </c>
      <c r="K1172">
        <v>0.15379661710095238</v>
      </c>
      <c r="L1172" t="s">
        <v>162</v>
      </c>
      <c r="N1172" t="s">
        <v>378</v>
      </c>
      <c r="O1172" t="s">
        <v>572</v>
      </c>
      <c r="P1172">
        <v>0.13519218409820535</v>
      </c>
      <c r="Q1172" t="s">
        <v>162</v>
      </c>
      <c r="S1172" t="s">
        <v>490</v>
      </c>
      <c r="T1172" t="s">
        <v>572</v>
      </c>
      <c r="U1172">
        <v>0.13330805063781653</v>
      </c>
      <c r="V1172" t="s">
        <v>162</v>
      </c>
    </row>
    <row r="1173" spans="9:22" x14ac:dyDescent="0.45">
      <c r="I1173" t="s">
        <v>266</v>
      </c>
      <c r="J1173" t="s">
        <v>573</v>
      </c>
      <c r="K1173">
        <v>0</v>
      </c>
      <c r="L1173" t="s">
        <v>162</v>
      </c>
      <c r="N1173" t="s">
        <v>378</v>
      </c>
      <c r="O1173" t="s">
        <v>573</v>
      </c>
      <c r="P1173">
        <v>0.14653054926564632</v>
      </c>
      <c r="Q1173" t="s">
        <v>162</v>
      </c>
      <c r="S1173" t="s">
        <v>490</v>
      </c>
      <c r="T1173" t="s">
        <v>573</v>
      </c>
      <c r="U1173">
        <v>0.14575522770401667</v>
      </c>
      <c r="V1173" t="s">
        <v>162</v>
      </c>
    </row>
    <row r="1174" spans="9:22" x14ac:dyDescent="0.45">
      <c r="I1174" t="s">
        <v>266</v>
      </c>
      <c r="J1174" t="s">
        <v>574</v>
      </c>
      <c r="K1174">
        <v>1.7730923206424284E-3</v>
      </c>
      <c r="L1174" t="s">
        <v>162</v>
      </c>
      <c r="N1174" t="s">
        <v>378</v>
      </c>
      <c r="O1174" t="s">
        <v>574</v>
      </c>
      <c r="P1174">
        <v>2.5009529211110198E-2</v>
      </c>
      <c r="Q1174" t="s">
        <v>162</v>
      </c>
      <c r="S1174" t="s">
        <v>490</v>
      </c>
      <c r="T1174" t="s">
        <v>574</v>
      </c>
      <c r="U1174">
        <v>2.6150339204034624E-2</v>
      </c>
      <c r="V1174" t="s">
        <v>162</v>
      </c>
    </row>
    <row r="1175" spans="9:22" x14ac:dyDescent="0.45">
      <c r="I1175" t="s">
        <v>267</v>
      </c>
      <c r="J1175" t="s">
        <v>563</v>
      </c>
      <c r="K1175">
        <v>0.14543365202354985</v>
      </c>
      <c r="L1175" t="s">
        <v>162</v>
      </c>
      <c r="N1175" t="s">
        <v>379</v>
      </c>
      <c r="O1175" t="s">
        <v>563</v>
      </c>
      <c r="P1175">
        <v>0.12390539018059113</v>
      </c>
      <c r="Q1175" t="s">
        <v>162</v>
      </c>
      <c r="S1175" t="s">
        <v>491</v>
      </c>
      <c r="T1175" t="s">
        <v>563</v>
      </c>
      <c r="U1175">
        <v>0.11308165961721516</v>
      </c>
      <c r="V1175" t="s">
        <v>162</v>
      </c>
    </row>
    <row r="1176" spans="9:22" x14ac:dyDescent="0.45">
      <c r="I1176" t="s">
        <v>267</v>
      </c>
      <c r="J1176" t="s">
        <v>564</v>
      </c>
      <c r="K1176">
        <v>2.5476998394024293E-7</v>
      </c>
      <c r="L1176" t="s">
        <v>162</v>
      </c>
      <c r="N1176" t="s">
        <v>379</v>
      </c>
      <c r="O1176" t="s">
        <v>564</v>
      </c>
      <c r="P1176">
        <v>0.13036310915148755</v>
      </c>
      <c r="Q1176" t="s">
        <v>162</v>
      </c>
      <c r="S1176" t="s">
        <v>491</v>
      </c>
      <c r="T1176" t="s">
        <v>564</v>
      </c>
      <c r="U1176">
        <v>0.11391667316153838</v>
      </c>
      <c r="V1176" t="s">
        <v>162</v>
      </c>
    </row>
    <row r="1177" spans="9:22" x14ac:dyDescent="0.45">
      <c r="I1177" t="s">
        <v>267</v>
      </c>
      <c r="J1177" t="s">
        <v>565</v>
      </c>
      <c r="K1177">
        <v>9.3083056278063462E-3</v>
      </c>
      <c r="L1177" t="s">
        <v>162</v>
      </c>
      <c r="N1177" t="s">
        <v>379</v>
      </c>
      <c r="O1177" t="s">
        <v>565</v>
      </c>
      <c r="P1177">
        <v>2.2810484924155904E-2</v>
      </c>
      <c r="Q1177" t="s">
        <v>162</v>
      </c>
      <c r="S1177" t="s">
        <v>491</v>
      </c>
      <c r="T1177" t="s">
        <v>565</v>
      </c>
      <c r="U1177">
        <v>2.1793974755636103E-2</v>
      </c>
      <c r="V1177" t="s">
        <v>162</v>
      </c>
    </row>
    <row r="1178" spans="9:22" x14ac:dyDescent="0.45">
      <c r="I1178" t="s">
        <v>267</v>
      </c>
      <c r="J1178" t="s">
        <v>566</v>
      </c>
      <c r="K1178">
        <v>0.28488462162111267</v>
      </c>
      <c r="L1178" t="s">
        <v>162</v>
      </c>
      <c r="N1178" t="s">
        <v>379</v>
      </c>
      <c r="O1178" t="s">
        <v>566</v>
      </c>
      <c r="P1178">
        <v>0.12325947431490197</v>
      </c>
      <c r="Q1178" t="s">
        <v>162</v>
      </c>
      <c r="S1178" t="s">
        <v>491</v>
      </c>
      <c r="T1178" t="s">
        <v>566</v>
      </c>
      <c r="U1178">
        <v>0.11155869218494621</v>
      </c>
      <c r="V1178" t="s">
        <v>162</v>
      </c>
    </row>
    <row r="1179" spans="9:22" x14ac:dyDescent="0.45">
      <c r="I1179" t="s">
        <v>267</v>
      </c>
      <c r="J1179" t="s">
        <v>567</v>
      </c>
      <c r="K1179">
        <v>8.019889704478254E-3</v>
      </c>
      <c r="L1179" t="s">
        <v>162</v>
      </c>
      <c r="N1179" t="s">
        <v>379</v>
      </c>
      <c r="O1179" t="s">
        <v>567</v>
      </c>
      <c r="P1179">
        <v>0.13990687858128772</v>
      </c>
      <c r="Q1179" t="s">
        <v>162</v>
      </c>
      <c r="S1179" t="s">
        <v>491</v>
      </c>
      <c r="T1179" t="s">
        <v>567</v>
      </c>
      <c r="U1179">
        <v>0.11151115337453681</v>
      </c>
      <c r="V1179" t="s">
        <v>162</v>
      </c>
    </row>
    <row r="1180" spans="9:22" x14ac:dyDescent="0.45">
      <c r="I1180" t="s">
        <v>267</v>
      </c>
      <c r="J1180" t="s">
        <v>568</v>
      </c>
      <c r="K1180">
        <v>3.2803438088489484E-2</v>
      </c>
      <c r="L1180" t="s">
        <v>162</v>
      </c>
      <c r="N1180" t="s">
        <v>379</v>
      </c>
      <c r="O1180" t="s">
        <v>568</v>
      </c>
      <c r="P1180">
        <v>2.2327956817181045E-2</v>
      </c>
      <c r="Q1180" t="s">
        <v>162</v>
      </c>
      <c r="S1180" t="s">
        <v>491</v>
      </c>
      <c r="T1180" t="s">
        <v>568</v>
      </c>
      <c r="U1180">
        <v>2.0943075941245028E-2</v>
      </c>
      <c r="V1180" t="s">
        <v>162</v>
      </c>
    </row>
    <row r="1181" spans="9:22" x14ac:dyDescent="0.45">
      <c r="I1181" t="s">
        <v>267</v>
      </c>
      <c r="J1181" t="s">
        <v>569</v>
      </c>
      <c r="K1181">
        <v>0.29847641902333022</v>
      </c>
      <c r="L1181" t="s">
        <v>162</v>
      </c>
      <c r="N1181" t="s">
        <v>379</v>
      </c>
      <c r="O1181" t="s">
        <v>569</v>
      </c>
      <c r="P1181">
        <v>6.9910768033459553E-2</v>
      </c>
      <c r="Q1181" t="s">
        <v>162</v>
      </c>
      <c r="S1181" t="s">
        <v>491</v>
      </c>
      <c r="T1181" t="s">
        <v>569</v>
      </c>
      <c r="U1181">
        <v>9.3230033395038631E-2</v>
      </c>
      <c r="V1181" t="s">
        <v>162</v>
      </c>
    </row>
    <row r="1182" spans="9:22" x14ac:dyDescent="0.45">
      <c r="I1182" t="s">
        <v>267</v>
      </c>
      <c r="J1182" t="s">
        <v>570</v>
      </c>
      <c r="K1182">
        <v>2.179071606334845E-2</v>
      </c>
      <c r="L1182" t="s">
        <v>162</v>
      </c>
      <c r="N1182" t="s">
        <v>379</v>
      </c>
      <c r="O1182" t="s">
        <v>570</v>
      </c>
      <c r="P1182">
        <v>7.6211866424378258E-2</v>
      </c>
      <c r="Q1182" t="s">
        <v>162</v>
      </c>
      <c r="S1182" t="s">
        <v>491</v>
      </c>
      <c r="T1182" t="s">
        <v>570</v>
      </c>
      <c r="U1182">
        <v>9.4294228565586502E-2</v>
      </c>
      <c r="V1182" t="s">
        <v>162</v>
      </c>
    </row>
    <row r="1183" spans="9:22" x14ac:dyDescent="0.45">
      <c r="I1183" t="s">
        <v>267</v>
      </c>
      <c r="J1183" t="s">
        <v>571</v>
      </c>
      <c r="K1183">
        <v>3.889755832146681E-2</v>
      </c>
      <c r="L1183" t="s">
        <v>162</v>
      </c>
      <c r="N1183" t="s">
        <v>379</v>
      </c>
      <c r="O1183" t="s">
        <v>571</v>
      </c>
      <c r="P1183">
        <v>1.2569086705355408E-2</v>
      </c>
      <c r="Q1183" t="s">
        <v>162</v>
      </c>
      <c r="S1183" t="s">
        <v>491</v>
      </c>
      <c r="T1183" t="s">
        <v>571</v>
      </c>
      <c r="U1183">
        <v>1.7363563891062816E-2</v>
      </c>
      <c r="V1183" t="s">
        <v>162</v>
      </c>
    </row>
    <row r="1184" spans="9:22" x14ac:dyDescent="0.45">
      <c r="I1184" t="s">
        <v>267</v>
      </c>
      <c r="J1184" t="s">
        <v>572</v>
      </c>
      <c r="K1184">
        <v>0.15519901471306671</v>
      </c>
      <c r="L1184" t="s">
        <v>162</v>
      </c>
      <c r="N1184" t="s">
        <v>379</v>
      </c>
      <c r="O1184" t="s">
        <v>572</v>
      </c>
      <c r="P1184">
        <v>0.11769278012237282</v>
      </c>
      <c r="Q1184" t="s">
        <v>162</v>
      </c>
      <c r="S1184" t="s">
        <v>491</v>
      </c>
      <c r="T1184" t="s">
        <v>572</v>
      </c>
      <c r="U1184">
        <v>0.13784402125080869</v>
      </c>
      <c r="V1184" t="s">
        <v>162</v>
      </c>
    </row>
    <row r="1185" spans="9:22" x14ac:dyDescent="0.45">
      <c r="I1185" t="s">
        <v>267</v>
      </c>
      <c r="J1185" t="s">
        <v>573</v>
      </c>
      <c r="K1185">
        <v>0</v>
      </c>
      <c r="L1185" t="s">
        <v>162</v>
      </c>
      <c r="N1185" t="s">
        <v>379</v>
      </c>
      <c r="O1185" t="s">
        <v>573</v>
      </c>
      <c r="P1185">
        <v>0.13756440931527011</v>
      </c>
      <c r="Q1185" t="s">
        <v>162</v>
      </c>
      <c r="S1185" t="s">
        <v>491</v>
      </c>
      <c r="T1185" t="s">
        <v>573</v>
      </c>
      <c r="U1185">
        <v>0.13919800382803924</v>
      </c>
      <c r="V1185" t="s">
        <v>162</v>
      </c>
    </row>
    <row r="1186" spans="9:22" x14ac:dyDescent="0.45">
      <c r="I1186" t="s">
        <v>267</v>
      </c>
      <c r="J1186" t="s">
        <v>574</v>
      </c>
      <c r="K1186">
        <v>5.1861300433668558E-3</v>
      </c>
      <c r="L1186" t="s">
        <v>162</v>
      </c>
      <c r="N1186" t="s">
        <v>379</v>
      </c>
      <c r="O1186" t="s">
        <v>574</v>
      </c>
      <c r="P1186">
        <v>2.3477795429556223E-2</v>
      </c>
      <c r="Q1186" t="s">
        <v>162</v>
      </c>
      <c r="S1186" t="s">
        <v>491</v>
      </c>
      <c r="T1186" t="s">
        <v>574</v>
      </c>
      <c r="U1186">
        <v>2.5264920034342362E-2</v>
      </c>
      <c r="V1186" t="s">
        <v>162</v>
      </c>
    </row>
    <row r="1187" spans="9:22" x14ac:dyDescent="0.45">
      <c r="I1187" t="s">
        <v>268</v>
      </c>
      <c r="J1187" t="s">
        <v>563</v>
      </c>
      <c r="K1187">
        <v>0.14822124689609423</v>
      </c>
      <c r="L1187" t="s">
        <v>162</v>
      </c>
      <c r="N1187" t="s">
        <v>380</v>
      </c>
      <c r="O1187" t="s">
        <v>563</v>
      </c>
      <c r="P1187">
        <v>0.12321033829329503</v>
      </c>
      <c r="Q1187" t="s">
        <v>162</v>
      </c>
      <c r="S1187" t="s">
        <v>492</v>
      </c>
      <c r="T1187" t="s">
        <v>563</v>
      </c>
      <c r="U1187">
        <v>0.11625574367769535</v>
      </c>
      <c r="V1187" t="s">
        <v>162</v>
      </c>
    </row>
    <row r="1188" spans="9:22" x14ac:dyDescent="0.45">
      <c r="I1188" t="s">
        <v>268</v>
      </c>
      <c r="J1188" t="s">
        <v>564</v>
      </c>
      <c r="K1188">
        <v>5.5133872307295076E-4</v>
      </c>
      <c r="L1188" t="s">
        <v>162</v>
      </c>
      <c r="N1188" t="s">
        <v>380</v>
      </c>
      <c r="O1188" t="s">
        <v>564</v>
      </c>
      <c r="P1188">
        <v>0.13502505431579881</v>
      </c>
      <c r="Q1188" t="s">
        <v>162</v>
      </c>
      <c r="S1188" t="s">
        <v>492</v>
      </c>
      <c r="T1188" t="s">
        <v>564</v>
      </c>
      <c r="U1188">
        <v>0.11631737406479893</v>
      </c>
      <c r="V1188" t="s">
        <v>162</v>
      </c>
    </row>
    <row r="1189" spans="9:22" x14ac:dyDescent="0.45">
      <c r="I1189" t="s">
        <v>268</v>
      </c>
      <c r="J1189" t="s">
        <v>565</v>
      </c>
      <c r="K1189">
        <v>1.3215844261353644E-2</v>
      </c>
      <c r="L1189" t="s">
        <v>162</v>
      </c>
      <c r="N1189" t="s">
        <v>380</v>
      </c>
      <c r="O1189" t="s">
        <v>565</v>
      </c>
      <c r="P1189">
        <v>2.1520575691388273E-2</v>
      </c>
      <c r="Q1189" t="s">
        <v>162</v>
      </c>
      <c r="S1189" t="s">
        <v>492</v>
      </c>
      <c r="T1189" t="s">
        <v>565</v>
      </c>
      <c r="U1189">
        <v>2.0468340372371652E-2</v>
      </c>
      <c r="V1189" t="s">
        <v>162</v>
      </c>
    </row>
    <row r="1190" spans="9:22" x14ac:dyDescent="0.45">
      <c r="I1190" t="s">
        <v>268</v>
      </c>
      <c r="J1190" t="s">
        <v>566</v>
      </c>
      <c r="K1190">
        <v>0.27646717429585199</v>
      </c>
      <c r="L1190" t="s">
        <v>162</v>
      </c>
      <c r="N1190" t="s">
        <v>380</v>
      </c>
      <c r="O1190" t="s">
        <v>566</v>
      </c>
      <c r="P1190">
        <v>0.11605236322561518</v>
      </c>
      <c r="Q1190" t="s">
        <v>162</v>
      </c>
      <c r="S1190" t="s">
        <v>492</v>
      </c>
      <c r="T1190" t="s">
        <v>566</v>
      </c>
      <c r="U1190">
        <v>0.11955428915571847</v>
      </c>
      <c r="V1190" t="s">
        <v>162</v>
      </c>
    </row>
    <row r="1191" spans="9:22" x14ac:dyDescent="0.45">
      <c r="I1191" t="s">
        <v>268</v>
      </c>
      <c r="J1191" t="s">
        <v>567</v>
      </c>
      <c r="K1191">
        <v>9.4426503410502838E-3</v>
      </c>
      <c r="L1191" t="s">
        <v>162</v>
      </c>
      <c r="N1191" t="s">
        <v>380</v>
      </c>
      <c r="O1191" t="s">
        <v>567</v>
      </c>
      <c r="P1191">
        <v>0.13925590485514178</v>
      </c>
      <c r="Q1191" t="s">
        <v>162</v>
      </c>
      <c r="S1191" t="s">
        <v>492</v>
      </c>
      <c r="T1191" t="s">
        <v>567</v>
      </c>
      <c r="U1191">
        <v>0.11699641586364651</v>
      </c>
      <c r="V1191" t="s">
        <v>162</v>
      </c>
    </row>
    <row r="1192" spans="9:22" x14ac:dyDescent="0.45">
      <c r="I1192" t="s">
        <v>268</v>
      </c>
      <c r="J1192" t="s">
        <v>568</v>
      </c>
      <c r="K1192">
        <v>3.5000974116214563E-2</v>
      </c>
      <c r="L1192" t="s">
        <v>162</v>
      </c>
      <c r="N1192" t="s">
        <v>380</v>
      </c>
      <c r="O1192" t="s">
        <v>568</v>
      </c>
      <c r="P1192">
        <v>1.9161624631213361E-2</v>
      </c>
      <c r="Q1192" t="s">
        <v>162</v>
      </c>
      <c r="S1192" t="s">
        <v>492</v>
      </c>
      <c r="T1192" t="s">
        <v>568</v>
      </c>
      <c r="U1192">
        <v>2.1078226364269297E-2</v>
      </c>
      <c r="V1192" t="s">
        <v>162</v>
      </c>
    </row>
    <row r="1193" spans="9:22" x14ac:dyDescent="0.45">
      <c r="I1193" t="s">
        <v>268</v>
      </c>
      <c r="J1193" t="s">
        <v>569</v>
      </c>
      <c r="K1193">
        <v>0.29584462312839188</v>
      </c>
      <c r="L1193" t="s">
        <v>162</v>
      </c>
      <c r="N1193" t="s">
        <v>380</v>
      </c>
      <c r="O1193" t="s">
        <v>569</v>
      </c>
      <c r="P1193">
        <v>6.8794114760553027E-2</v>
      </c>
      <c r="Q1193" t="s">
        <v>162</v>
      </c>
      <c r="S1193" t="s">
        <v>492</v>
      </c>
      <c r="T1193" t="s">
        <v>569</v>
      </c>
      <c r="U1193">
        <v>8.2157913473107316E-2</v>
      </c>
      <c r="V1193" t="s">
        <v>162</v>
      </c>
    </row>
    <row r="1194" spans="9:22" x14ac:dyDescent="0.45">
      <c r="I1194" t="s">
        <v>268</v>
      </c>
      <c r="J1194" t="s">
        <v>570</v>
      </c>
      <c r="K1194">
        <v>2.3455950314631796E-2</v>
      </c>
      <c r="L1194" t="s">
        <v>162</v>
      </c>
      <c r="N1194" t="s">
        <v>380</v>
      </c>
      <c r="O1194" t="s">
        <v>570</v>
      </c>
      <c r="P1194">
        <v>8.8885382056193743E-2</v>
      </c>
      <c r="Q1194" t="s">
        <v>162</v>
      </c>
      <c r="S1194" t="s">
        <v>492</v>
      </c>
      <c r="T1194" t="s">
        <v>570</v>
      </c>
      <c r="U1194">
        <v>8.9637851318271025E-2</v>
      </c>
      <c r="V1194" t="s">
        <v>162</v>
      </c>
    </row>
    <row r="1195" spans="9:22" x14ac:dyDescent="0.45">
      <c r="I1195" t="s">
        <v>268</v>
      </c>
      <c r="J1195" t="s">
        <v>571</v>
      </c>
      <c r="K1195">
        <v>4.0699768754501771E-2</v>
      </c>
      <c r="L1195" t="s">
        <v>162</v>
      </c>
      <c r="N1195" t="s">
        <v>380</v>
      </c>
      <c r="O1195" t="s">
        <v>571</v>
      </c>
      <c r="P1195">
        <v>1.1630134226981104E-2</v>
      </c>
      <c r="Q1195" t="s">
        <v>162</v>
      </c>
      <c r="S1195" t="s">
        <v>492</v>
      </c>
      <c r="T1195" t="s">
        <v>571</v>
      </c>
      <c r="U1195">
        <v>1.4368873638481511E-2</v>
      </c>
      <c r="V1195" t="s">
        <v>162</v>
      </c>
    </row>
    <row r="1196" spans="9:22" x14ac:dyDescent="0.45">
      <c r="I1196" t="s">
        <v>268</v>
      </c>
      <c r="J1196" t="s">
        <v>572</v>
      </c>
      <c r="K1196">
        <v>0.15034267018374833</v>
      </c>
      <c r="L1196" t="s">
        <v>162</v>
      </c>
      <c r="N1196" t="s">
        <v>380</v>
      </c>
      <c r="O1196" t="s">
        <v>572</v>
      </c>
      <c r="P1196">
        <v>0.12391184390741723</v>
      </c>
      <c r="Q1196" t="s">
        <v>162</v>
      </c>
      <c r="S1196" t="s">
        <v>492</v>
      </c>
      <c r="T1196" t="s">
        <v>572</v>
      </c>
      <c r="U1196">
        <v>0.13496281060037668</v>
      </c>
      <c r="V1196" t="s">
        <v>162</v>
      </c>
    </row>
    <row r="1197" spans="9:22" x14ac:dyDescent="0.45">
      <c r="I1197" t="s">
        <v>268</v>
      </c>
      <c r="J1197" t="s">
        <v>573</v>
      </c>
      <c r="K1197">
        <v>0</v>
      </c>
      <c r="L1197" t="s">
        <v>162</v>
      </c>
      <c r="N1197" t="s">
        <v>380</v>
      </c>
      <c r="O1197" t="s">
        <v>573</v>
      </c>
      <c r="P1197">
        <v>0.13039729948716189</v>
      </c>
      <c r="Q1197" t="s">
        <v>162</v>
      </c>
      <c r="S1197" t="s">
        <v>492</v>
      </c>
      <c r="T1197" t="s">
        <v>573</v>
      </c>
      <c r="U1197">
        <v>0.14292087014171181</v>
      </c>
      <c r="V1197" t="s">
        <v>162</v>
      </c>
    </row>
    <row r="1198" spans="9:22" x14ac:dyDescent="0.45">
      <c r="I1198" t="s">
        <v>268</v>
      </c>
      <c r="J1198" t="s">
        <v>574</v>
      </c>
      <c r="K1198">
        <v>6.7577589850878941E-3</v>
      </c>
      <c r="L1198" t="s">
        <v>162</v>
      </c>
      <c r="N1198" t="s">
        <v>380</v>
      </c>
      <c r="O1198" t="s">
        <v>574</v>
      </c>
      <c r="P1198">
        <v>2.2155364549242416E-2</v>
      </c>
      <c r="Q1198" t="s">
        <v>162</v>
      </c>
      <c r="S1198" t="s">
        <v>492</v>
      </c>
      <c r="T1198" t="s">
        <v>574</v>
      </c>
      <c r="U1198">
        <v>2.5281291329551831E-2</v>
      </c>
      <c r="V1198" t="s">
        <v>162</v>
      </c>
    </row>
    <row r="1199" spans="9:22" x14ac:dyDescent="0.45">
      <c r="I1199" t="s">
        <v>269</v>
      </c>
      <c r="J1199" t="s">
        <v>563</v>
      </c>
      <c r="K1199">
        <v>0.1640924802856166</v>
      </c>
      <c r="L1199" t="s">
        <v>162</v>
      </c>
      <c r="N1199" t="s">
        <v>381</v>
      </c>
      <c r="O1199" t="s">
        <v>563</v>
      </c>
      <c r="P1199">
        <v>0.12091122788485681</v>
      </c>
      <c r="Q1199" t="s">
        <v>162</v>
      </c>
      <c r="S1199" t="s">
        <v>493</v>
      </c>
      <c r="T1199" t="s">
        <v>563</v>
      </c>
      <c r="U1199">
        <v>0.10781526637860196</v>
      </c>
      <c r="V1199" t="s">
        <v>162</v>
      </c>
    </row>
    <row r="1200" spans="9:22" x14ac:dyDescent="0.45">
      <c r="I1200" t="s">
        <v>269</v>
      </c>
      <c r="J1200" t="s">
        <v>564</v>
      </c>
      <c r="K1200">
        <v>0</v>
      </c>
      <c r="L1200" t="s">
        <v>162</v>
      </c>
      <c r="N1200" t="s">
        <v>381</v>
      </c>
      <c r="O1200" t="s">
        <v>564</v>
      </c>
      <c r="P1200">
        <v>0.13474569604357747</v>
      </c>
      <c r="Q1200" t="s">
        <v>162</v>
      </c>
      <c r="S1200" t="s">
        <v>493</v>
      </c>
      <c r="T1200" t="s">
        <v>564</v>
      </c>
      <c r="U1200">
        <v>0.1098137389038905</v>
      </c>
      <c r="V1200" t="s">
        <v>162</v>
      </c>
    </row>
    <row r="1201" spans="9:22" x14ac:dyDescent="0.45">
      <c r="I1201" t="s">
        <v>269</v>
      </c>
      <c r="J1201" t="s">
        <v>565</v>
      </c>
      <c r="K1201">
        <v>1.0657016262507304E-2</v>
      </c>
      <c r="L1201" t="s">
        <v>162</v>
      </c>
      <c r="N1201" t="s">
        <v>381</v>
      </c>
      <c r="O1201" t="s">
        <v>565</v>
      </c>
      <c r="P1201">
        <v>2.2063699016842787E-2</v>
      </c>
      <c r="Q1201" t="s">
        <v>162</v>
      </c>
      <c r="S1201" t="s">
        <v>493</v>
      </c>
      <c r="T1201" t="s">
        <v>565</v>
      </c>
      <c r="U1201">
        <v>2.1089137842081745E-2</v>
      </c>
      <c r="V1201" t="s">
        <v>162</v>
      </c>
    </row>
    <row r="1202" spans="9:22" x14ac:dyDescent="0.45">
      <c r="I1202" t="s">
        <v>269</v>
      </c>
      <c r="J1202" t="s">
        <v>566</v>
      </c>
      <c r="K1202">
        <v>0.27763097086851551</v>
      </c>
      <c r="L1202" t="s">
        <v>162</v>
      </c>
      <c r="N1202" t="s">
        <v>381</v>
      </c>
      <c r="O1202" t="s">
        <v>566</v>
      </c>
      <c r="P1202">
        <v>0.12307749644201495</v>
      </c>
      <c r="Q1202" t="s">
        <v>162</v>
      </c>
      <c r="S1202" t="s">
        <v>493</v>
      </c>
      <c r="T1202" t="s">
        <v>566</v>
      </c>
      <c r="U1202">
        <v>0.11655916001779193</v>
      </c>
      <c r="V1202" t="s">
        <v>162</v>
      </c>
    </row>
    <row r="1203" spans="9:22" x14ac:dyDescent="0.45">
      <c r="I1203" t="s">
        <v>269</v>
      </c>
      <c r="J1203" t="s">
        <v>567</v>
      </c>
      <c r="K1203">
        <v>7.2703660819039596E-3</v>
      </c>
      <c r="L1203" t="s">
        <v>162</v>
      </c>
      <c r="N1203" t="s">
        <v>381</v>
      </c>
      <c r="O1203" t="s">
        <v>567</v>
      </c>
      <c r="P1203">
        <v>0.1456016441881495</v>
      </c>
      <c r="Q1203" t="s">
        <v>162</v>
      </c>
      <c r="S1203" t="s">
        <v>493</v>
      </c>
      <c r="T1203" t="s">
        <v>567</v>
      </c>
      <c r="U1203">
        <v>0.121659529966661</v>
      </c>
      <c r="V1203" t="s">
        <v>162</v>
      </c>
    </row>
    <row r="1204" spans="9:22" x14ac:dyDescent="0.45">
      <c r="I1204" t="s">
        <v>269</v>
      </c>
      <c r="J1204" t="s">
        <v>568</v>
      </c>
      <c r="K1204">
        <v>3.2923934621091153E-2</v>
      </c>
      <c r="L1204" t="s">
        <v>162</v>
      </c>
      <c r="N1204" t="s">
        <v>381</v>
      </c>
      <c r="O1204" t="s">
        <v>568</v>
      </c>
      <c r="P1204">
        <v>2.1178546489190375E-2</v>
      </c>
      <c r="Q1204" t="s">
        <v>162</v>
      </c>
      <c r="S1204" t="s">
        <v>493</v>
      </c>
      <c r="T1204" t="s">
        <v>568</v>
      </c>
      <c r="U1204">
        <v>2.2513696792130385E-2</v>
      </c>
      <c r="V1204" t="s">
        <v>162</v>
      </c>
    </row>
    <row r="1205" spans="9:22" x14ac:dyDescent="0.45">
      <c r="I1205" t="s">
        <v>269</v>
      </c>
      <c r="J1205" t="s">
        <v>569</v>
      </c>
      <c r="K1205">
        <v>0.28995111995160044</v>
      </c>
      <c r="L1205" t="s">
        <v>162</v>
      </c>
      <c r="N1205" t="s">
        <v>381</v>
      </c>
      <c r="O1205" t="s">
        <v>569</v>
      </c>
      <c r="P1205">
        <v>6.1690597000672601E-2</v>
      </c>
      <c r="Q1205" t="s">
        <v>162</v>
      </c>
      <c r="S1205" t="s">
        <v>493</v>
      </c>
      <c r="T1205" t="s">
        <v>569</v>
      </c>
      <c r="U1205">
        <v>9.3496679713931982E-2</v>
      </c>
      <c r="V1205" t="s">
        <v>162</v>
      </c>
    </row>
    <row r="1206" spans="9:22" x14ac:dyDescent="0.45">
      <c r="I1206" t="s">
        <v>269</v>
      </c>
      <c r="J1206" t="s">
        <v>570</v>
      </c>
      <c r="K1206">
        <v>1.8644771063608234E-2</v>
      </c>
      <c r="L1206" t="s">
        <v>162</v>
      </c>
      <c r="N1206" t="s">
        <v>381</v>
      </c>
      <c r="O1206" t="s">
        <v>570</v>
      </c>
      <c r="P1206">
        <v>8.4564591757724558E-2</v>
      </c>
      <c r="Q1206" t="s">
        <v>162</v>
      </c>
      <c r="S1206" t="s">
        <v>493</v>
      </c>
      <c r="T1206" t="s">
        <v>570</v>
      </c>
      <c r="U1206">
        <v>0.10473234482805967</v>
      </c>
      <c r="V1206" t="s">
        <v>162</v>
      </c>
    </row>
    <row r="1207" spans="9:22" x14ac:dyDescent="0.45">
      <c r="I1207" t="s">
        <v>269</v>
      </c>
      <c r="J1207" t="s">
        <v>571</v>
      </c>
      <c r="K1207">
        <v>3.8407891128584698E-2</v>
      </c>
      <c r="L1207" t="s">
        <v>162</v>
      </c>
      <c r="N1207" t="s">
        <v>381</v>
      </c>
      <c r="O1207" t="s">
        <v>571</v>
      </c>
      <c r="P1207">
        <v>1.1423501438997036E-2</v>
      </c>
      <c r="Q1207" t="s">
        <v>162</v>
      </c>
      <c r="S1207" t="s">
        <v>493</v>
      </c>
      <c r="T1207" t="s">
        <v>571</v>
      </c>
      <c r="U1207">
        <v>1.9577679465492732E-2</v>
      </c>
      <c r="V1207" t="s">
        <v>162</v>
      </c>
    </row>
    <row r="1208" spans="9:22" x14ac:dyDescent="0.45">
      <c r="I1208" t="s">
        <v>269</v>
      </c>
      <c r="J1208" t="s">
        <v>572</v>
      </c>
      <c r="K1208">
        <v>0.15572182349377697</v>
      </c>
      <c r="L1208" t="s">
        <v>162</v>
      </c>
      <c r="N1208" t="s">
        <v>381</v>
      </c>
      <c r="O1208" t="s">
        <v>572</v>
      </c>
      <c r="P1208">
        <v>0.11865149459754286</v>
      </c>
      <c r="Q1208" t="s">
        <v>162</v>
      </c>
      <c r="S1208" t="s">
        <v>493</v>
      </c>
      <c r="T1208" t="s">
        <v>572</v>
      </c>
      <c r="U1208">
        <v>0.12898880673727361</v>
      </c>
      <c r="V1208" t="s">
        <v>162</v>
      </c>
    </row>
    <row r="1209" spans="9:22" x14ac:dyDescent="0.45">
      <c r="I1209" t="s">
        <v>269</v>
      </c>
      <c r="J1209" t="s">
        <v>573</v>
      </c>
      <c r="K1209">
        <v>0</v>
      </c>
      <c r="L1209" t="s">
        <v>162</v>
      </c>
      <c r="N1209" t="s">
        <v>381</v>
      </c>
      <c r="O1209" t="s">
        <v>573</v>
      </c>
      <c r="P1209">
        <v>0.13525131542207419</v>
      </c>
      <c r="Q1209" t="s">
        <v>162</v>
      </c>
      <c r="S1209" t="s">
        <v>493</v>
      </c>
      <c r="T1209" t="s">
        <v>573</v>
      </c>
      <c r="U1209">
        <v>0.12904241412587147</v>
      </c>
      <c r="V1209" t="s">
        <v>162</v>
      </c>
    </row>
    <row r="1210" spans="9:22" x14ac:dyDescent="0.45">
      <c r="I1210" t="s">
        <v>269</v>
      </c>
      <c r="J1210" t="s">
        <v>574</v>
      </c>
      <c r="K1210">
        <v>4.6996262427951808E-3</v>
      </c>
      <c r="L1210" t="s">
        <v>162</v>
      </c>
      <c r="N1210" t="s">
        <v>381</v>
      </c>
      <c r="O1210" t="s">
        <v>574</v>
      </c>
      <c r="P1210">
        <v>2.0840189718359839E-2</v>
      </c>
      <c r="Q1210" t="s">
        <v>162</v>
      </c>
      <c r="S1210" t="s">
        <v>493</v>
      </c>
      <c r="T1210" t="s">
        <v>574</v>
      </c>
      <c r="U1210">
        <v>2.4711545228212981E-2</v>
      </c>
      <c r="V1210" t="s">
        <v>162</v>
      </c>
    </row>
    <row r="1211" spans="9:22" x14ac:dyDescent="0.45">
      <c r="I1211" t="s">
        <v>270</v>
      </c>
      <c r="J1211" t="s">
        <v>563</v>
      </c>
      <c r="K1211">
        <v>0.1570053143971345</v>
      </c>
      <c r="L1211" t="s">
        <v>162</v>
      </c>
      <c r="N1211" t="s">
        <v>382</v>
      </c>
      <c r="O1211" t="s">
        <v>563</v>
      </c>
      <c r="P1211">
        <v>0.12279790509612248</v>
      </c>
      <c r="Q1211" t="s">
        <v>162</v>
      </c>
      <c r="S1211" t="s">
        <v>494</v>
      </c>
      <c r="T1211" t="s">
        <v>563</v>
      </c>
      <c r="U1211">
        <v>0.10816843358727816</v>
      </c>
      <c r="V1211" t="s">
        <v>162</v>
      </c>
    </row>
    <row r="1212" spans="9:22" x14ac:dyDescent="0.45">
      <c r="I1212" t="s">
        <v>270</v>
      </c>
      <c r="J1212" t="s">
        <v>564</v>
      </c>
      <c r="K1212">
        <v>2.7628480492196189E-4</v>
      </c>
      <c r="L1212" t="s">
        <v>162</v>
      </c>
      <c r="N1212" t="s">
        <v>382</v>
      </c>
      <c r="O1212" t="s">
        <v>564</v>
      </c>
      <c r="P1212">
        <v>0.13408555736980762</v>
      </c>
      <c r="Q1212" t="s">
        <v>162</v>
      </c>
      <c r="S1212" t="s">
        <v>494</v>
      </c>
      <c r="T1212" t="s">
        <v>564</v>
      </c>
      <c r="U1212">
        <v>0.11090839307741976</v>
      </c>
      <c r="V1212" t="s">
        <v>162</v>
      </c>
    </row>
    <row r="1213" spans="9:22" x14ac:dyDescent="0.45">
      <c r="I1213" t="s">
        <v>270</v>
      </c>
      <c r="J1213" t="s">
        <v>565</v>
      </c>
      <c r="K1213">
        <v>1.414593174681757E-2</v>
      </c>
      <c r="L1213" t="s">
        <v>162</v>
      </c>
      <c r="N1213" t="s">
        <v>382</v>
      </c>
      <c r="O1213" t="s">
        <v>565</v>
      </c>
      <c r="P1213">
        <v>2.2774479358365921E-2</v>
      </c>
      <c r="Q1213" t="s">
        <v>162</v>
      </c>
      <c r="S1213" t="s">
        <v>494</v>
      </c>
      <c r="T1213" t="s">
        <v>565</v>
      </c>
      <c r="U1213">
        <v>2.0722105415211394E-2</v>
      </c>
      <c r="V1213" t="s">
        <v>162</v>
      </c>
    </row>
    <row r="1214" spans="9:22" x14ac:dyDescent="0.45">
      <c r="I1214" t="s">
        <v>270</v>
      </c>
      <c r="J1214" t="s">
        <v>566</v>
      </c>
      <c r="K1214">
        <v>0.27822009029882233</v>
      </c>
      <c r="L1214" t="s">
        <v>162</v>
      </c>
      <c r="N1214" t="s">
        <v>382</v>
      </c>
      <c r="O1214" t="s">
        <v>566</v>
      </c>
      <c r="P1214">
        <v>0.11844615585199986</v>
      </c>
      <c r="Q1214" t="s">
        <v>162</v>
      </c>
      <c r="S1214" t="s">
        <v>494</v>
      </c>
      <c r="T1214" t="s">
        <v>566</v>
      </c>
      <c r="U1214">
        <v>0.11872172167297243</v>
      </c>
      <c r="V1214" t="s">
        <v>162</v>
      </c>
    </row>
    <row r="1215" spans="9:22" x14ac:dyDescent="0.45">
      <c r="I1215" t="s">
        <v>270</v>
      </c>
      <c r="J1215" t="s">
        <v>567</v>
      </c>
      <c r="K1215">
        <v>8.0070712454974498E-3</v>
      </c>
      <c r="L1215" t="s">
        <v>162</v>
      </c>
      <c r="N1215" t="s">
        <v>382</v>
      </c>
      <c r="O1215" t="s">
        <v>567</v>
      </c>
      <c r="P1215">
        <v>0.13576774429507787</v>
      </c>
      <c r="Q1215" t="s">
        <v>162</v>
      </c>
      <c r="S1215" t="s">
        <v>494</v>
      </c>
      <c r="T1215" t="s">
        <v>567</v>
      </c>
      <c r="U1215">
        <v>0.11625896569377546</v>
      </c>
      <c r="V1215" t="s">
        <v>162</v>
      </c>
    </row>
    <row r="1216" spans="9:22" x14ac:dyDescent="0.45">
      <c r="I1216" t="s">
        <v>270</v>
      </c>
      <c r="J1216" t="s">
        <v>568</v>
      </c>
      <c r="K1216">
        <v>3.4103641004701112E-2</v>
      </c>
      <c r="L1216" t="s">
        <v>162</v>
      </c>
      <c r="N1216" t="s">
        <v>382</v>
      </c>
      <c r="O1216" t="s">
        <v>568</v>
      </c>
      <c r="P1216">
        <v>2.3291761828093595E-2</v>
      </c>
      <c r="Q1216" t="s">
        <v>162</v>
      </c>
      <c r="S1216" t="s">
        <v>494</v>
      </c>
      <c r="T1216" t="s">
        <v>568</v>
      </c>
      <c r="U1216">
        <v>2.1542938314567318E-2</v>
      </c>
      <c r="V1216" t="s">
        <v>162</v>
      </c>
    </row>
    <row r="1217" spans="9:22" x14ac:dyDescent="0.45">
      <c r="I1217" t="s">
        <v>270</v>
      </c>
      <c r="J1217" t="s">
        <v>569</v>
      </c>
      <c r="K1217">
        <v>0.29485443891394864</v>
      </c>
      <c r="L1217" t="s">
        <v>162</v>
      </c>
      <c r="N1217" t="s">
        <v>382</v>
      </c>
      <c r="O1217" t="s">
        <v>569</v>
      </c>
      <c r="P1217">
        <v>7.739638932540957E-2</v>
      </c>
      <c r="Q1217" t="s">
        <v>162</v>
      </c>
      <c r="S1217" t="s">
        <v>494</v>
      </c>
      <c r="T1217" t="s">
        <v>569</v>
      </c>
      <c r="U1217">
        <v>9.6580063072483735E-2</v>
      </c>
      <c r="V1217" t="s">
        <v>162</v>
      </c>
    </row>
    <row r="1218" spans="9:22" x14ac:dyDescent="0.45">
      <c r="I1218" t="s">
        <v>270</v>
      </c>
      <c r="J1218" t="s">
        <v>570</v>
      </c>
      <c r="K1218">
        <v>2.0905646651324345E-2</v>
      </c>
      <c r="L1218" t="s">
        <v>162</v>
      </c>
      <c r="N1218" t="s">
        <v>382</v>
      </c>
      <c r="O1218" t="s">
        <v>570</v>
      </c>
      <c r="P1218">
        <v>8.2588447374192783E-2</v>
      </c>
      <c r="Q1218" t="s">
        <v>162</v>
      </c>
      <c r="S1218" t="s">
        <v>494</v>
      </c>
      <c r="T1218" t="s">
        <v>570</v>
      </c>
      <c r="U1218">
        <v>9.7829189165162894E-2</v>
      </c>
      <c r="V1218" t="s">
        <v>162</v>
      </c>
    </row>
    <row r="1219" spans="9:22" x14ac:dyDescent="0.45">
      <c r="I1219" t="s">
        <v>270</v>
      </c>
      <c r="J1219" t="s">
        <v>571</v>
      </c>
      <c r="K1219">
        <v>3.9865454884659583E-2</v>
      </c>
      <c r="L1219" t="s">
        <v>162</v>
      </c>
      <c r="N1219" t="s">
        <v>382</v>
      </c>
      <c r="O1219" t="s">
        <v>571</v>
      </c>
      <c r="P1219">
        <v>1.5235729172179111E-2</v>
      </c>
      <c r="Q1219" t="s">
        <v>162</v>
      </c>
      <c r="S1219" t="s">
        <v>494</v>
      </c>
      <c r="T1219" t="s">
        <v>571</v>
      </c>
      <c r="U1219">
        <v>1.8216679960489514E-2</v>
      </c>
      <c r="V1219" t="s">
        <v>162</v>
      </c>
    </row>
    <row r="1220" spans="9:22" x14ac:dyDescent="0.45">
      <c r="I1220" t="s">
        <v>270</v>
      </c>
      <c r="J1220" t="s">
        <v>572</v>
      </c>
      <c r="K1220">
        <v>0.14579244494447002</v>
      </c>
      <c r="L1220" t="s">
        <v>162</v>
      </c>
      <c r="N1220" t="s">
        <v>382</v>
      </c>
      <c r="O1220" t="s">
        <v>572</v>
      </c>
      <c r="P1220">
        <v>0.1108893049373887</v>
      </c>
      <c r="Q1220" t="s">
        <v>162</v>
      </c>
      <c r="S1220" t="s">
        <v>494</v>
      </c>
      <c r="T1220" t="s">
        <v>572</v>
      </c>
      <c r="U1220">
        <v>0.13079333479540234</v>
      </c>
      <c r="V1220" t="s">
        <v>162</v>
      </c>
    </row>
    <row r="1221" spans="9:22" x14ac:dyDescent="0.45">
      <c r="I1221" t="s">
        <v>270</v>
      </c>
      <c r="J1221" t="s">
        <v>573</v>
      </c>
      <c r="K1221">
        <v>0</v>
      </c>
      <c r="L1221" t="s">
        <v>162</v>
      </c>
      <c r="N1221" t="s">
        <v>382</v>
      </c>
      <c r="O1221" t="s">
        <v>573</v>
      </c>
      <c r="P1221">
        <v>0.1331444848984156</v>
      </c>
      <c r="Q1221" t="s">
        <v>162</v>
      </c>
      <c r="S1221" t="s">
        <v>494</v>
      </c>
      <c r="T1221" t="s">
        <v>573</v>
      </c>
      <c r="U1221">
        <v>0.13581350978276505</v>
      </c>
      <c r="V1221" t="s">
        <v>162</v>
      </c>
    </row>
    <row r="1222" spans="9:22" x14ac:dyDescent="0.45">
      <c r="I1222" t="s">
        <v>270</v>
      </c>
      <c r="J1222" t="s">
        <v>574</v>
      </c>
      <c r="K1222">
        <v>6.8236811077046688E-3</v>
      </c>
      <c r="L1222" t="s">
        <v>162</v>
      </c>
      <c r="N1222" t="s">
        <v>382</v>
      </c>
      <c r="O1222" t="s">
        <v>574</v>
      </c>
      <c r="P1222">
        <v>2.3582040492948826E-2</v>
      </c>
      <c r="Q1222" t="s">
        <v>162</v>
      </c>
      <c r="S1222" t="s">
        <v>494</v>
      </c>
      <c r="T1222" t="s">
        <v>574</v>
      </c>
      <c r="U1222">
        <v>2.4444665462471191E-2</v>
      </c>
      <c r="V1222" t="s">
        <v>162</v>
      </c>
    </row>
    <row r="1223" spans="9:22" x14ac:dyDescent="0.45">
      <c r="I1223" t="s">
        <v>271</v>
      </c>
      <c r="J1223" t="s">
        <v>563</v>
      </c>
      <c r="K1223">
        <v>0.19142603671518033</v>
      </c>
      <c r="L1223" t="s">
        <v>162</v>
      </c>
      <c r="N1223" t="s">
        <v>383</v>
      </c>
      <c r="O1223" t="s">
        <v>563</v>
      </c>
      <c r="P1223">
        <v>0.14047534257309782</v>
      </c>
      <c r="Q1223" t="s">
        <v>162</v>
      </c>
      <c r="S1223" t="s">
        <v>495</v>
      </c>
      <c r="T1223" t="s">
        <v>563</v>
      </c>
      <c r="U1223">
        <v>0.10898958794806847</v>
      </c>
      <c r="V1223" t="s">
        <v>162</v>
      </c>
    </row>
    <row r="1224" spans="9:22" x14ac:dyDescent="0.45">
      <c r="I1224" t="s">
        <v>271</v>
      </c>
      <c r="J1224" t="s">
        <v>564</v>
      </c>
      <c r="K1224">
        <v>0</v>
      </c>
      <c r="L1224" t="s">
        <v>162</v>
      </c>
      <c r="N1224" t="s">
        <v>383</v>
      </c>
      <c r="O1224" t="s">
        <v>564</v>
      </c>
      <c r="P1224">
        <v>0.14301080151599282</v>
      </c>
      <c r="Q1224" t="s">
        <v>162</v>
      </c>
      <c r="S1224" t="s">
        <v>495</v>
      </c>
      <c r="T1224" t="s">
        <v>564</v>
      </c>
      <c r="U1224">
        <v>0.1086970086928582</v>
      </c>
      <c r="V1224" t="s">
        <v>162</v>
      </c>
    </row>
    <row r="1225" spans="9:22" x14ac:dyDescent="0.45">
      <c r="I1225" t="s">
        <v>271</v>
      </c>
      <c r="J1225" t="s">
        <v>565</v>
      </c>
      <c r="K1225">
        <v>1.1259527883899527E-2</v>
      </c>
      <c r="L1225" t="s">
        <v>162</v>
      </c>
      <c r="N1225" t="s">
        <v>383</v>
      </c>
      <c r="O1225" t="s">
        <v>565</v>
      </c>
      <c r="P1225">
        <v>2.4710919442746067E-2</v>
      </c>
      <c r="Q1225" t="s">
        <v>162</v>
      </c>
      <c r="S1225" t="s">
        <v>495</v>
      </c>
      <c r="T1225" t="s">
        <v>565</v>
      </c>
      <c r="U1225">
        <v>1.9286114697503604E-2</v>
      </c>
      <c r="V1225" t="s">
        <v>162</v>
      </c>
    </row>
    <row r="1226" spans="9:22" x14ac:dyDescent="0.45">
      <c r="I1226" t="s">
        <v>271</v>
      </c>
      <c r="J1226" t="s">
        <v>566</v>
      </c>
      <c r="K1226">
        <v>0.27886318004981075</v>
      </c>
      <c r="L1226" t="s">
        <v>162</v>
      </c>
      <c r="N1226" t="s">
        <v>383</v>
      </c>
      <c r="O1226" t="s">
        <v>566</v>
      </c>
      <c r="P1226">
        <v>0.10793449216647356</v>
      </c>
      <c r="Q1226" t="s">
        <v>162</v>
      </c>
      <c r="S1226" t="s">
        <v>495</v>
      </c>
      <c r="T1226" t="s">
        <v>566</v>
      </c>
      <c r="U1226">
        <v>0.11806748274193998</v>
      </c>
      <c r="V1226" t="s">
        <v>162</v>
      </c>
    </row>
    <row r="1227" spans="9:22" x14ac:dyDescent="0.45">
      <c r="I1227" t="s">
        <v>271</v>
      </c>
      <c r="J1227" t="s">
        <v>567</v>
      </c>
      <c r="K1227">
        <v>6.1545641806371749E-3</v>
      </c>
      <c r="L1227" t="s">
        <v>162</v>
      </c>
      <c r="N1227" t="s">
        <v>383</v>
      </c>
      <c r="O1227" t="s">
        <v>567</v>
      </c>
      <c r="P1227">
        <v>0.13195405635369012</v>
      </c>
      <c r="Q1227" t="s">
        <v>162</v>
      </c>
      <c r="S1227" t="s">
        <v>495</v>
      </c>
      <c r="T1227" t="s">
        <v>567</v>
      </c>
      <c r="U1227">
        <v>0.11776662330077896</v>
      </c>
      <c r="V1227" t="s">
        <v>162</v>
      </c>
    </row>
    <row r="1228" spans="9:22" x14ac:dyDescent="0.45">
      <c r="I1228" t="s">
        <v>271</v>
      </c>
      <c r="J1228" t="s">
        <v>568</v>
      </c>
      <c r="K1228">
        <v>3.2908971555265898E-2</v>
      </c>
      <c r="L1228" t="s">
        <v>162</v>
      </c>
      <c r="N1228" t="s">
        <v>383</v>
      </c>
      <c r="O1228" t="s">
        <v>568</v>
      </c>
      <c r="P1228">
        <v>2.1247724954617752E-2</v>
      </c>
      <c r="Q1228" t="s">
        <v>162</v>
      </c>
      <c r="S1228" t="s">
        <v>495</v>
      </c>
      <c r="T1228" t="s">
        <v>568</v>
      </c>
      <c r="U1228">
        <v>2.106214362840797E-2</v>
      </c>
      <c r="V1228" t="s">
        <v>162</v>
      </c>
    </row>
    <row r="1229" spans="9:22" x14ac:dyDescent="0.45">
      <c r="I1229" t="s">
        <v>271</v>
      </c>
      <c r="J1229" t="s">
        <v>569</v>
      </c>
      <c r="K1229">
        <v>0.27771439706670814</v>
      </c>
      <c r="L1229" t="s">
        <v>162</v>
      </c>
      <c r="N1229" t="s">
        <v>383</v>
      </c>
      <c r="O1229" t="s">
        <v>569</v>
      </c>
      <c r="P1229">
        <v>8.0870853419713076E-2</v>
      </c>
      <c r="Q1229" t="s">
        <v>162</v>
      </c>
      <c r="S1229" t="s">
        <v>495</v>
      </c>
      <c r="T1229" t="s">
        <v>569</v>
      </c>
      <c r="U1229">
        <v>9.3781931879889688E-2</v>
      </c>
      <c r="V1229" t="s">
        <v>162</v>
      </c>
    </row>
    <row r="1230" spans="9:22" x14ac:dyDescent="0.45">
      <c r="I1230" t="s">
        <v>271</v>
      </c>
      <c r="J1230" t="s">
        <v>570</v>
      </c>
      <c r="K1230">
        <v>1.3249134566686735E-2</v>
      </c>
      <c r="L1230" t="s">
        <v>162</v>
      </c>
      <c r="N1230" t="s">
        <v>383</v>
      </c>
      <c r="O1230" t="s">
        <v>570</v>
      </c>
      <c r="P1230">
        <v>9.9134397858217635E-2</v>
      </c>
      <c r="Q1230" t="s">
        <v>162</v>
      </c>
      <c r="S1230" t="s">
        <v>495</v>
      </c>
      <c r="T1230" t="s">
        <v>570</v>
      </c>
      <c r="U1230">
        <v>0.10264425400012871</v>
      </c>
      <c r="V1230" t="s">
        <v>162</v>
      </c>
    </row>
    <row r="1231" spans="9:22" x14ac:dyDescent="0.45">
      <c r="I1231" t="s">
        <v>271</v>
      </c>
      <c r="J1231" t="s">
        <v>571</v>
      </c>
      <c r="K1231">
        <v>3.5544961708330408E-2</v>
      </c>
      <c r="L1231" t="s">
        <v>162</v>
      </c>
      <c r="N1231" t="s">
        <v>383</v>
      </c>
      <c r="O1231" t="s">
        <v>571</v>
      </c>
      <c r="P1231">
        <v>1.5143811483383729E-2</v>
      </c>
      <c r="Q1231" t="s">
        <v>162</v>
      </c>
      <c r="S1231" t="s">
        <v>495</v>
      </c>
      <c r="T1231" t="s">
        <v>571</v>
      </c>
      <c r="U1231">
        <v>1.7579496954792086E-2</v>
      </c>
      <c r="V1231" t="s">
        <v>162</v>
      </c>
    </row>
    <row r="1232" spans="9:22" x14ac:dyDescent="0.45">
      <c r="I1232" t="s">
        <v>271</v>
      </c>
      <c r="J1232" t="s">
        <v>572</v>
      </c>
      <c r="K1232">
        <v>0.14820875388203289</v>
      </c>
      <c r="L1232" t="s">
        <v>162</v>
      </c>
      <c r="N1232" t="s">
        <v>383</v>
      </c>
      <c r="O1232" t="s">
        <v>572</v>
      </c>
      <c r="P1232">
        <v>9.385358284495357E-2</v>
      </c>
      <c r="Q1232" t="s">
        <v>162</v>
      </c>
      <c r="S1232" t="s">
        <v>495</v>
      </c>
      <c r="T1232" t="s">
        <v>572</v>
      </c>
      <c r="U1232">
        <v>0.136253864738999</v>
      </c>
      <c r="V1232" t="s">
        <v>162</v>
      </c>
    </row>
    <row r="1233" spans="9:22" x14ac:dyDescent="0.45">
      <c r="I1233" t="s">
        <v>271</v>
      </c>
      <c r="J1233" t="s">
        <v>573</v>
      </c>
      <c r="K1233">
        <v>0</v>
      </c>
      <c r="L1233" t="s">
        <v>162</v>
      </c>
      <c r="N1233" t="s">
        <v>383</v>
      </c>
      <c r="O1233" t="s">
        <v>573</v>
      </c>
      <c r="P1233">
        <v>0.12026425055306894</v>
      </c>
      <c r="Q1233" t="s">
        <v>162</v>
      </c>
      <c r="S1233" t="s">
        <v>495</v>
      </c>
      <c r="T1233" t="s">
        <v>573</v>
      </c>
      <c r="U1233">
        <v>0.13171446751581081</v>
      </c>
      <c r="V1233" t="s">
        <v>162</v>
      </c>
    </row>
    <row r="1234" spans="9:22" x14ac:dyDescent="0.45">
      <c r="I1234" t="s">
        <v>271</v>
      </c>
      <c r="J1234" t="s">
        <v>574</v>
      </c>
      <c r="K1234">
        <v>4.6704723914493375E-3</v>
      </c>
      <c r="L1234" t="s">
        <v>162</v>
      </c>
      <c r="N1234" t="s">
        <v>383</v>
      </c>
      <c r="O1234" t="s">
        <v>574</v>
      </c>
      <c r="P1234">
        <v>2.1399766834047287E-2</v>
      </c>
      <c r="Q1234" t="s">
        <v>162</v>
      </c>
      <c r="S1234" t="s">
        <v>495</v>
      </c>
      <c r="T1234" t="s">
        <v>574</v>
      </c>
      <c r="U1234">
        <v>2.4157023900826507E-2</v>
      </c>
      <c r="V1234" t="s">
        <v>162</v>
      </c>
    </row>
    <row r="1235" spans="9:22" x14ac:dyDescent="0.45">
      <c r="I1235" t="s">
        <v>272</v>
      </c>
      <c r="J1235" t="s">
        <v>563</v>
      </c>
      <c r="K1235">
        <v>0.1847114755262238</v>
      </c>
      <c r="L1235" t="s">
        <v>162</v>
      </c>
      <c r="N1235" t="s">
        <v>384</v>
      </c>
      <c r="O1235" t="s">
        <v>563</v>
      </c>
      <c r="P1235">
        <v>0.13262096775650692</v>
      </c>
      <c r="Q1235" t="s">
        <v>162</v>
      </c>
      <c r="S1235" t="s">
        <v>496</v>
      </c>
      <c r="T1235" t="s">
        <v>563</v>
      </c>
      <c r="U1235">
        <v>0.11136415210232171</v>
      </c>
      <c r="V1235" t="s">
        <v>162</v>
      </c>
    </row>
    <row r="1236" spans="9:22" x14ac:dyDescent="0.45">
      <c r="I1236" t="s">
        <v>272</v>
      </c>
      <c r="J1236" t="s">
        <v>564</v>
      </c>
      <c r="K1236">
        <v>2.3137005849295207E-4</v>
      </c>
      <c r="L1236" t="s">
        <v>162</v>
      </c>
      <c r="N1236" t="s">
        <v>384</v>
      </c>
      <c r="O1236" t="s">
        <v>564</v>
      </c>
      <c r="P1236">
        <v>0.14616782862439198</v>
      </c>
      <c r="Q1236" t="s">
        <v>162</v>
      </c>
      <c r="S1236" t="s">
        <v>496</v>
      </c>
      <c r="T1236" t="s">
        <v>564</v>
      </c>
      <c r="U1236">
        <v>0.11380414641236737</v>
      </c>
      <c r="V1236" t="s">
        <v>162</v>
      </c>
    </row>
    <row r="1237" spans="9:22" x14ac:dyDescent="0.45">
      <c r="I1237" t="s">
        <v>272</v>
      </c>
      <c r="J1237" t="s">
        <v>565</v>
      </c>
      <c r="K1237">
        <v>1.5750604877452837E-2</v>
      </c>
      <c r="L1237" t="s">
        <v>162</v>
      </c>
      <c r="N1237" t="s">
        <v>384</v>
      </c>
      <c r="O1237" t="s">
        <v>565</v>
      </c>
      <c r="P1237">
        <v>2.4425903091516821E-2</v>
      </c>
      <c r="Q1237" t="s">
        <v>162</v>
      </c>
      <c r="S1237" t="s">
        <v>496</v>
      </c>
      <c r="T1237" t="s">
        <v>565</v>
      </c>
      <c r="U1237">
        <v>2.1437271023650877E-2</v>
      </c>
      <c r="V1237" t="s">
        <v>162</v>
      </c>
    </row>
    <row r="1238" spans="9:22" x14ac:dyDescent="0.45">
      <c r="I1238" t="s">
        <v>272</v>
      </c>
      <c r="J1238" t="s">
        <v>566</v>
      </c>
      <c r="K1238">
        <v>0.27352440212436774</v>
      </c>
      <c r="L1238" t="s">
        <v>162</v>
      </c>
      <c r="N1238" t="s">
        <v>384</v>
      </c>
      <c r="O1238" t="s">
        <v>566</v>
      </c>
      <c r="P1238">
        <v>0.10467140469019021</v>
      </c>
      <c r="Q1238" t="s">
        <v>162</v>
      </c>
      <c r="S1238" t="s">
        <v>496</v>
      </c>
      <c r="T1238" t="s">
        <v>566</v>
      </c>
      <c r="U1238">
        <v>0.11877717369314407</v>
      </c>
      <c r="V1238" t="s">
        <v>162</v>
      </c>
    </row>
    <row r="1239" spans="9:22" x14ac:dyDescent="0.45">
      <c r="I1239" t="s">
        <v>272</v>
      </c>
      <c r="J1239" t="s">
        <v>567</v>
      </c>
      <c r="K1239">
        <v>7.3489777221389151E-3</v>
      </c>
      <c r="L1239" t="s">
        <v>162</v>
      </c>
      <c r="N1239" t="s">
        <v>384</v>
      </c>
      <c r="O1239" t="s">
        <v>567</v>
      </c>
      <c r="P1239">
        <v>0.13391717051458588</v>
      </c>
      <c r="Q1239" t="s">
        <v>162</v>
      </c>
      <c r="S1239" t="s">
        <v>496</v>
      </c>
      <c r="T1239" t="s">
        <v>567</v>
      </c>
      <c r="U1239">
        <v>0.12115676490640771</v>
      </c>
      <c r="V1239" t="s">
        <v>162</v>
      </c>
    </row>
    <row r="1240" spans="9:22" x14ac:dyDescent="0.45">
      <c r="I1240" t="s">
        <v>272</v>
      </c>
      <c r="J1240" t="s">
        <v>568</v>
      </c>
      <c r="K1240">
        <v>3.71758543907501E-2</v>
      </c>
      <c r="L1240" t="s">
        <v>162</v>
      </c>
      <c r="N1240" t="s">
        <v>384</v>
      </c>
      <c r="O1240" t="s">
        <v>568</v>
      </c>
      <c r="P1240">
        <v>2.1556587762994007E-2</v>
      </c>
      <c r="Q1240" t="s">
        <v>162</v>
      </c>
      <c r="S1240" t="s">
        <v>496</v>
      </c>
      <c r="T1240" t="s">
        <v>568</v>
      </c>
      <c r="U1240">
        <v>2.1627704158843353E-2</v>
      </c>
      <c r="V1240" t="s">
        <v>162</v>
      </c>
    </row>
    <row r="1241" spans="9:22" x14ac:dyDescent="0.45">
      <c r="I1241" t="s">
        <v>272</v>
      </c>
      <c r="J1241" t="s">
        <v>569</v>
      </c>
      <c r="K1241">
        <v>0.27787693368226679</v>
      </c>
      <c r="L1241" t="s">
        <v>162</v>
      </c>
      <c r="N1241" t="s">
        <v>384</v>
      </c>
      <c r="O1241" t="s">
        <v>569</v>
      </c>
      <c r="P1241">
        <v>8.4163504869393641E-2</v>
      </c>
      <c r="Q1241" t="s">
        <v>162</v>
      </c>
      <c r="S1241" t="s">
        <v>496</v>
      </c>
      <c r="T1241" t="s">
        <v>569</v>
      </c>
      <c r="U1241">
        <v>7.6711343590952247E-2</v>
      </c>
      <c r="V1241" t="s">
        <v>162</v>
      </c>
    </row>
    <row r="1242" spans="9:22" x14ac:dyDescent="0.45">
      <c r="I1242" t="s">
        <v>272</v>
      </c>
      <c r="J1242" t="s">
        <v>570</v>
      </c>
      <c r="K1242">
        <v>1.6606320597374474E-2</v>
      </c>
      <c r="L1242" t="s">
        <v>162</v>
      </c>
      <c r="N1242" t="s">
        <v>384</v>
      </c>
      <c r="O1242" t="s">
        <v>570</v>
      </c>
      <c r="P1242">
        <v>9.9651066780534134E-2</v>
      </c>
      <c r="Q1242" t="s">
        <v>162</v>
      </c>
      <c r="S1242" t="s">
        <v>496</v>
      </c>
      <c r="T1242" t="s">
        <v>570</v>
      </c>
      <c r="U1242">
        <v>9.2422155114811083E-2</v>
      </c>
      <c r="V1242" t="s">
        <v>162</v>
      </c>
    </row>
    <row r="1243" spans="9:22" x14ac:dyDescent="0.45">
      <c r="I1243" t="s">
        <v>272</v>
      </c>
      <c r="J1243" t="s">
        <v>571</v>
      </c>
      <c r="K1243">
        <v>4.0500234211909951E-2</v>
      </c>
      <c r="L1243" t="s">
        <v>162</v>
      </c>
      <c r="N1243" t="s">
        <v>384</v>
      </c>
      <c r="O1243" t="s">
        <v>571</v>
      </c>
      <c r="P1243">
        <v>1.5155703892056076E-2</v>
      </c>
      <c r="Q1243" t="s">
        <v>162</v>
      </c>
      <c r="S1243" t="s">
        <v>496</v>
      </c>
      <c r="T1243" t="s">
        <v>571</v>
      </c>
      <c r="U1243">
        <v>1.6841353765122687E-2</v>
      </c>
      <c r="V1243" t="s">
        <v>162</v>
      </c>
    </row>
    <row r="1244" spans="9:22" x14ac:dyDescent="0.45">
      <c r="I1244" t="s">
        <v>272</v>
      </c>
      <c r="J1244" t="s">
        <v>572</v>
      </c>
      <c r="K1244">
        <v>0.13896885896965902</v>
      </c>
      <c r="L1244" t="s">
        <v>162</v>
      </c>
      <c r="N1244" t="s">
        <v>384</v>
      </c>
      <c r="O1244" t="s">
        <v>572</v>
      </c>
      <c r="P1244">
        <v>9.3613712466644614E-2</v>
      </c>
      <c r="Q1244" t="s">
        <v>162</v>
      </c>
      <c r="S1244" t="s">
        <v>496</v>
      </c>
      <c r="T1244" t="s">
        <v>572</v>
      </c>
      <c r="U1244">
        <v>0.14000604903204164</v>
      </c>
      <c r="V1244" t="s">
        <v>162</v>
      </c>
    </row>
    <row r="1245" spans="9:22" x14ac:dyDescent="0.45">
      <c r="I1245" t="s">
        <v>272</v>
      </c>
      <c r="J1245" t="s">
        <v>573</v>
      </c>
      <c r="K1245">
        <v>0</v>
      </c>
      <c r="L1245" t="s">
        <v>162</v>
      </c>
      <c r="N1245" t="s">
        <v>384</v>
      </c>
      <c r="O1245" t="s">
        <v>573</v>
      </c>
      <c r="P1245">
        <v>0.12144565312208083</v>
      </c>
      <c r="Q1245" t="s">
        <v>162</v>
      </c>
      <c r="S1245" t="s">
        <v>496</v>
      </c>
      <c r="T1245" t="s">
        <v>573</v>
      </c>
      <c r="U1245">
        <v>0.13973392275130292</v>
      </c>
      <c r="V1245" t="s">
        <v>162</v>
      </c>
    </row>
    <row r="1246" spans="9:22" x14ac:dyDescent="0.45">
      <c r="I1246" t="s">
        <v>272</v>
      </c>
      <c r="J1246" t="s">
        <v>574</v>
      </c>
      <c r="K1246">
        <v>7.304967839363582E-3</v>
      </c>
      <c r="L1246" t="s">
        <v>162</v>
      </c>
      <c r="N1246" t="s">
        <v>384</v>
      </c>
      <c r="O1246" t="s">
        <v>574</v>
      </c>
      <c r="P1246">
        <v>2.2610496429103462E-2</v>
      </c>
      <c r="Q1246" t="s">
        <v>162</v>
      </c>
      <c r="S1246" t="s">
        <v>496</v>
      </c>
      <c r="T1246" t="s">
        <v>574</v>
      </c>
      <c r="U1246">
        <v>2.6117963449035882E-2</v>
      </c>
      <c r="V1246" t="s">
        <v>162</v>
      </c>
    </row>
    <row r="1247" spans="9:22" x14ac:dyDescent="0.45">
      <c r="I1247" t="s">
        <v>273</v>
      </c>
      <c r="J1247" t="s">
        <v>563</v>
      </c>
      <c r="K1247">
        <v>0.18171502954590207</v>
      </c>
      <c r="L1247" t="s">
        <v>162</v>
      </c>
      <c r="N1247" t="s">
        <v>385</v>
      </c>
      <c r="O1247" t="s">
        <v>563</v>
      </c>
      <c r="P1247">
        <v>0.14151044794977152</v>
      </c>
      <c r="Q1247" t="s">
        <v>162</v>
      </c>
      <c r="S1247" t="s">
        <v>497</v>
      </c>
      <c r="T1247" t="s">
        <v>563</v>
      </c>
      <c r="U1247">
        <v>0.12986588521773829</v>
      </c>
      <c r="V1247" t="s">
        <v>162</v>
      </c>
    </row>
    <row r="1248" spans="9:22" x14ac:dyDescent="0.45">
      <c r="I1248" t="s">
        <v>273</v>
      </c>
      <c r="J1248" t="s">
        <v>564</v>
      </c>
      <c r="K1248">
        <v>0</v>
      </c>
      <c r="L1248" t="s">
        <v>162</v>
      </c>
      <c r="N1248" t="s">
        <v>385</v>
      </c>
      <c r="O1248" t="s">
        <v>564</v>
      </c>
      <c r="P1248">
        <v>0.16039105552081703</v>
      </c>
      <c r="Q1248" t="s">
        <v>162</v>
      </c>
      <c r="S1248" t="s">
        <v>497</v>
      </c>
      <c r="T1248" t="s">
        <v>564</v>
      </c>
      <c r="U1248">
        <v>0.12760976801695847</v>
      </c>
      <c r="V1248" t="s">
        <v>162</v>
      </c>
    </row>
    <row r="1249" spans="9:22" x14ac:dyDescent="0.45">
      <c r="I1249" t="s">
        <v>273</v>
      </c>
      <c r="J1249" t="s">
        <v>565</v>
      </c>
      <c r="K1249">
        <v>8.6399385083426056E-3</v>
      </c>
      <c r="L1249" t="s">
        <v>162</v>
      </c>
      <c r="N1249" t="s">
        <v>385</v>
      </c>
      <c r="O1249" t="s">
        <v>565</v>
      </c>
      <c r="P1249">
        <v>2.9005378181878646E-2</v>
      </c>
      <c r="Q1249" t="s">
        <v>162</v>
      </c>
      <c r="S1249" t="s">
        <v>497</v>
      </c>
      <c r="T1249" t="s">
        <v>565</v>
      </c>
      <c r="U1249">
        <v>2.372962321925997E-2</v>
      </c>
      <c r="V1249" t="s">
        <v>162</v>
      </c>
    </row>
    <row r="1250" spans="9:22" x14ac:dyDescent="0.45">
      <c r="I1250" t="s">
        <v>273</v>
      </c>
      <c r="J1250" t="s">
        <v>566</v>
      </c>
      <c r="K1250">
        <v>0.27543212395119315</v>
      </c>
      <c r="L1250" t="s">
        <v>162</v>
      </c>
      <c r="N1250" t="s">
        <v>385</v>
      </c>
      <c r="O1250" t="s">
        <v>566</v>
      </c>
      <c r="P1250">
        <v>0.10025679390139731</v>
      </c>
      <c r="Q1250" t="s">
        <v>162</v>
      </c>
      <c r="S1250" t="s">
        <v>497</v>
      </c>
      <c r="T1250" t="s">
        <v>566</v>
      </c>
      <c r="U1250">
        <v>0.10622238310316312</v>
      </c>
      <c r="V1250" t="s">
        <v>162</v>
      </c>
    </row>
    <row r="1251" spans="9:22" x14ac:dyDescent="0.45">
      <c r="I1251" t="s">
        <v>273</v>
      </c>
      <c r="J1251" t="s">
        <v>567</v>
      </c>
      <c r="K1251">
        <v>4.7993097711824676E-3</v>
      </c>
      <c r="L1251" t="s">
        <v>162</v>
      </c>
      <c r="N1251" t="s">
        <v>385</v>
      </c>
      <c r="O1251" t="s">
        <v>567</v>
      </c>
      <c r="P1251">
        <v>0.11917858101425342</v>
      </c>
      <c r="Q1251" t="s">
        <v>162</v>
      </c>
      <c r="S1251" t="s">
        <v>497</v>
      </c>
      <c r="T1251" t="s">
        <v>567</v>
      </c>
      <c r="U1251">
        <v>0.10831704365829282</v>
      </c>
      <c r="V1251" t="s">
        <v>162</v>
      </c>
    </row>
    <row r="1252" spans="9:22" x14ac:dyDescent="0.45">
      <c r="I1252" t="s">
        <v>273</v>
      </c>
      <c r="J1252" t="s">
        <v>568</v>
      </c>
      <c r="K1252">
        <v>3.1326446474383651E-2</v>
      </c>
      <c r="L1252" t="s">
        <v>162</v>
      </c>
      <c r="N1252" t="s">
        <v>385</v>
      </c>
      <c r="O1252" t="s">
        <v>568</v>
      </c>
      <c r="P1252">
        <v>2.1169003109535955E-2</v>
      </c>
      <c r="Q1252" t="s">
        <v>162</v>
      </c>
      <c r="S1252" t="s">
        <v>497</v>
      </c>
      <c r="T1252" t="s">
        <v>568</v>
      </c>
      <c r="U1252">
        <v>1.8359733133804831E-2</v>
      </c>
      <c r="V1252" t="s">
        <v>162</v>
      </c>
    </row>
    <row r="1253" spans="9:22" x14ac:dyDescent="0.45">
      <c r="I1253" t="s">
        <v>273</v>
      </c>
      <c r="J1253" t="s">
        <v>569</v>
      </c>
      <c r="K1253">
        <v>0.30880821889455301</v>
      </c>
      <c r="L1253" t="s">
        <v>162</v>
      </c>
      <c r="N1253" t="s">
        <v>385</v>
      </c>
      <c r="O1253" t="s">
        <v>569</v>
      </c>
      <c r="P1253">
        <v>7.7299674048851449E-2</v>
      </c>
      <c r="Q1253" t="s">
        <v>162</v>
      </c>
      <c r="S1253" t="s">
        <v>497</v>
      </c>
      <c r="T1253" t="s">
        <v>569</v>
      </c>
      <c r="U1253">
        <v>8.4194440014527527E-2</v>
      </c>
      <c r="V1253" t="s">
        <v>162</v>
      </c>
    </row>
    <row r="1254" spans="9:22" x14ac:dyDescent="0.45">
      <c r="I1254" t="s">
        <v>273</v>
      </c>
      <c r="J1254" t="s">
        <v>570</v>
      </c>
      <c r="K1254">
        <v>1.4368662442485509E-2</v>
      </c>
      <c r="L1254" t="s">
        <v>162</v>
      </c>
      <c r="N1254" t="s">
        <v>385</v>
      </c>
      <c r="O1254" t="s">
        <v>570</v>
      </c>
      <c r="P1254">
        <v>9.7979586494414031E-2</v>
      </c>
      <c r="Q1254" t="s">
        <v>162</v>
      </c>
      <c r="S1254" t="s">
        <v>497</v>
      </c>
      <c r="T1254" t="s">
        <v>570</v>
      </c>
      <c r="U1254">
        <v>8.3468692858261279E-2</v>
      </c>
      <c r="V1254" t="s">
        <v>162</v>
      </c>
    </row>
    <row r="1255" spans="9:22" x14ac:dyDescent="0.45">
      <c r="I1255" t="s">
        <v>273</v>
      </c>
      <c r="J1255" t="s">
        <v>571</v>
      </c>
      <c r="K1255">
        <v>4.0748894291819437E-2</v>
      </c>
      <c r="L1255" t="s">
        <v>162</v>
      </c>
      <c r="N1255" t="s">
        <v>385</v>
      </c>
      <c r="O1255" t="s">
        <v>571</v>
      </c>
      <c r="P1255">
        <v>1.4592385712426442E-2</v>
      </c>
      <c r="Q1255" t="s">
        <v>162</v>
      </c>
      <c r="S1255" t="s">
        <v>497</v>
      </c>
      <c r="T1255" t="s">
        <v>571</v>
      </c>
      <c r="U1255">
        <v>1.6224761473221737E-2</v>
      </c>
      <c r="V1255" t="s">
        <v>162</v>
      </c>
    </row>
    <row r="1256" spans="9:22" x14ac:dyDescent="0.45">
      <c r="I1256" t="s">
        <v>273</v>
      </c>
      <c r="J1256" t="s">
        <v>572</v>
      </c>
      <c r="K1256">
        <v>0.13173616401589994</v>
      </c>
      <c r="L1256" t="s">
        <v>162</v>
      </c>
      <c r="N1256" t="s">
        <v>385</v>
      </c>
      <c r="O1256" t="s">
        <v>572</v>
      </c>
      <c r="P1256">
        <v>9.6434185071151923E-2</v>
      </c>
      <c r="Q1256" t="s">
        <v>162</v>
      </c>
      <c r="S1256" t="s">
        <v>497</v>
      </c>
      <c r="T1256" t="s">
        <v>572</v>
      </c>
      <c r="U1256">
        <v>0.13535458043912441</v>
      </c>
      <c r="V1256" t="s">
        <v>162</v>
      </c>
    </row>
    <row r="1257" spans="9:22" x14ac:dyDescent="0.45">
      <c r="I1257" t="s">
        <v>273</v>
      </c>
      <c r="J1257" t="s">
        <v>573</v>
      </c>
      <c r="K1257">
        <v>0</v>
      </c>
      <c r="L1257" t="s">
        <v>162</v>
      </c>
      <c r="N1257" t="s">
        <v>385</v>
      </c>
      <c r="O1257" t="s">
        <v>573</v>
      </c>
      <c r="P1257">
        <v>0.12019360695554074</v>
      </c>
      <c r="Q1257" t="s">
        <v>162</v>
      </c>
      <c r="S1257" t="s">
        <v>497</v>
      </c>
      <c r="T1257" t="s">
        <v>573</v>
      </c>
      <c r="U1257">
        <v>0.13935587092979942</v>
      </c>
      <c r="V1257" t="s">
        <v>162</v>
      </c>
    </row>
    <row r="1258" spans="9:22" x14ac:dyDescent="0.45">
      <c r="I1258" t="s">
        <v>273</v>
      </c>
      <c r="J1258" t="s">
        <v>574</v>
      </c>
      <c r="K1258">
        <v>2.4252121042392964E-3</v>
      </c>
      <c r="L1258" t="s">
        <v>162</v>
      </c>
      <c r="N1258" t="s">
        <v>385</v>
      </c>
      <c r="O1258" t="s">
        <v>574</v>
      </c>
      <c r="P1258">
        <v>2.1989302039961977E-2</v>
      </c>
      <c r="Q1258" t="s">
        <v>162</v>
      </c>
      <c r="S1258" t="s">
        <v>497</v>
      </c>
      <c r="T1258" t="s">
        <v>574</v>
      </c>
      <c r="U1258">
        <v>2.7297217935845504E-2</v>
      </c>
      <c r="V1258" t="s">
        <v>162</v>
      </c>
    </row>
    <row r="1259" spans="9:22" x14ac:dyDescent="0.45">
      <c r="I1259" t="s">
        <v>274</v>
      </c>
      <c r="J1259" t="s">
        <v>563</v>
      </c>
      <c r="K1259">
        <v>0.17708139261215569</v>
      </c>
      <c r="L1259" t="s">
        <v>162</v>
      </c>
      <c r="N1259" t="s">
        <v>386</v>
      </c>
      <c r="O1259" t="s">
        <v>563</v>
      </c>
      <c r="P1259">
        <v>0.13977664560939421</v>
      </c>
      <c r="Q1259" t="s">
        <v>162</v>
      </c>
      <c r="S1259" t="s">
        <v>498</v>
      </c>
      <c r="T1259" t="s">
        <v>563</v>
      </c>
      <c r="U1259">
        <v>0.11455567723751295</v>
      </c>
      <c r="V1259" t="s">
        <v>162</v>
      </c>
    </row>
    <row r="1260" spans="9:22" x14ac:dyDescent="0.45">
      <c r="I1260" t="s">
        <v>274</v>
      </c>
      <c r="J1260" t="s">
        <v>564</v>
      </c>
      <c r="K1260">
        <v>0</v>
      </c>
      <c r="L1260" t="s">
        <v>162</v>
      </c>
      <c r="N1260" t="s">
        <v>386</v>
      </c>
      <c r="O1260" t="s">
        <v>564</v>
      </c>
      <c r="P1260">
        <v>0.15880266237953367</v>
      </c>
      <c r="Q1260" t="s">
        <v>162</v>
      </c>
      <c r="S1260" t="s">
        <v>498</v>
      </c>
      <c r="T1260" t="s">
        <v>564</v>
      </c>
      <c r="U1260">
        <v>0.11390660993246583</v>
      </c>
      <c r="V1260" t="s">
        <v>162</v>
      </c>
    </row>
    <row r="1261" spans="9:22" x14ac:dyDescent="0.45">
      <c r="I1261" t="s">
        <v>274</v>
      </c>
      <c r="J1261" t="s">
        <v>565</v>
      </c>
      <c r="K1261">
        <v>9.7615890720176828E-3</v>
      </c>
      <c r="L1261" t="s">
        <v>162</v>
      </c>
      <c r="N1261" t="s">
        <v>386</v>
      </c>
      <c r="O1261" t="s">
        <v>565</v>
      </c>
      <c r="P1261">
        <v>2.8572162281528844E-2</v>
      </c>
      <c r="Q1261" t="s">
        <v>162</v>
      </c>
      <c r="S1261" t="s">
        <v>498</v>
      </c>
      <c r="T1261" t="s">
        <v>565</v>
      </c>
      <c r="U1261">
        <v>2.161713675095786E-2</v>
      </c>
      <c r="V1261" t="s">
        <v>162</v>
      </c>
    </row>
    <row r="1262" spans="9:22" x14ac:dyDescent="0.45">
      <c r="I1262" t="s">
        <v>274</v>
      </c>
      <c r="J1262" t="s">
        <v>566</v>
      </c>
      <c r="K1262">
        <v>0.27642235845370372</v>
      </c>
      <c r="L1262" t="s">
        <v>162</v>
      </c>
      <c r="N1262" t="s">
        <v>386</v>
      </c>
      <c r="O1262" t="s">
        <v>566</v>
      </c>
      <c r="P1262">
        <v>0.10110066590630687</v>
      </c>
      <c r="Q1262" t="s">
        <v>162</v>
      </c>
      <c r="S1262" t="s">
        <v>498</v>
      </c>
      <c r="T1262" t="s">
        <v>566</v>
      </c>
      <c r="U1262">
        <v>0.11843836270761081</v>
      </c>
      <c r="V1262" t="s">
        <v>162</v>
      </c>
    </row>
    <row r="1263" spans="9:22" x14ac:dyDescent="0.45">
      <c r="I1263" t="s">
        <v>274</v>
      </c>
      <c r="J1263" t="s">
        <v>567</v>
      </c>
      <c r="K1263">
        <v>4.6552552076702409E-3</v>
      </c>
      <c r="L1263" t="s">
        <v>162</v>
      </c>
      <c r="N1263" t="s">
        <v>386</v>
      </c>
      <c r="O1263" t="s">
        <v>567</v>
      </c>
      <c r="P1263">
        <v>0.12481046855592784</v>
      </c>
      <c r="Q1263" t="s">
        <v>162</v>
      </c>
      <c r="S1263" t="s">
        <v>498</v>
      </c>
      <c r="T1263" t="s">
        <v>567</v>
      </c>
      <c r="U1263">
        <v>0.11989516759095073</v>
      </c>
      <c r="V1263" t="s">
        <v>162</v>
      </c>
    </row>
    <row r="1264" spans="9:22" x14ac:dyDescent="0.45">
      <c r="I1264" t="s">
        <v>274</v>
      </c>
      <c r="J1264" t="s">
        <v>568</v>
      </c>
      <c r="K1264">
        <v>3.2602530252369769E-2</v>
      </c>
      <c r="L1264" t="s">
        <v>162</v>
      </c>
      <c r="N1264" t="s">
        <v>386</v>
      </c>
      <c r="O1264" t="s">
        <v>568</v>
      </c>
      <c r="P1264">
        <v>2.0641042696777225E-2</v>
      </c>
      <c r="Q1264" t="s">
        <v>162</v>
      </c>
      <c r="S1264" t="s">
        <v>498</v>
      </c>
      <c r="T1264" t="s">
        <v>568</v>
      </c>
      <c r="U1264">
        <v>2.1766236888175208E-2</v>
      </c>
      <c r="V1264" t="s">
        <v>162</v>
      </c>
    </row>
    <row r="1265" spans="9:22" x14ac:dyDescent="0.45">
      <c r="I1265" t="s">
        <v>274</v>
      </c>
      <c r="J1265" t="s">
        <v>569</v>
      </c>
      <c r="K1265">
        <v>0.29704624718773087</v>
      </c>
      <c r="L1265" t="s">
        <v>162</v>
      </c>
      <c r="N1265" t="s">
        <v>386</v>
      </c>
      <c r="O1265" t="s">
        <v>569</v>
      </c>
      <c r="P1265">
        <v>8.3457813089485328E-2</v>
      </c>
      <c r="Q1265" t="s">
        <v>162</v>
      </c>
      <c r="S1265" t="s">
        <v>498</v>
      </c>
      <c r="T1265" t="s">
        <v>569</v>
      </c>
      <c r="U1265">
        <v>8.2965812515918419E-2</v>
      </c>
      <c r="V1265" t="s">
        <v>162</v>
      </c>
    </row>
    <row r="1266" spans="9:22" x14ac:dyDescent="0.45">
      <c r="I1266" t="s">
        <v>274</v>
      </c>
      <c r="J1266" t="s">
        <v>570</v>
      </c>
      <c r="K1266">
        <v>1.6589864399204381E-2</v>
      </c>
      <c r="L1266" t="s">
        <v>162</v>
      </c>
      <c r="N1266" t="s">
        <v>386</v>
      </c>
      <c r="O1266" t="s">
        <v>570</v>
      </c>
      <c r="P1266">
        <v>0.11113627902701596</v>
      </c>
      <c r="Q1266" t="s">
        <v>162</v>
      </c>
      <c r="S1266" t="s">
        <v>498</v>
      </c>
      <c r="T1266" t="s">
        <v>570</v>
      </c>
      <c r="U1266">
        <v>8.7464833529192515E-2</v>
      </c>
      <c r="V1266" t="s">
        <v>162</v>
      </c>
    </row>
    <row r="1267" spans="9:22" x14ac:dyDescent="0.45">
      <c r="I1267" t="s">
        <v>274</v>
      </c>
      <c r="J1267" t="s">
        <v>571</v>
      </c>
      <c r="K1267">
        <v>4.0845857155700757E-2</v>
      </c>
      <c r="L1267" t="s">
        <v>162</v>
      </c>
      <c r="N1267" t="s">
        <v>386</v>
      </c>
      <c r="O1267" t="s">
        <v>571</v>
      </c>
      <c r="P1267">
        <v>1.4974239667871318E-2</v>
      </c>
      <c r="Q1267" t="s">
        <v>162</v>
      </c>
      <c r="S1267" t="s">
        <v>498</v>
      </c>
      <c r="T1267" t="s">
        <v>571</v>
      </c>
      <c r="U1267">
        <v>1.6294425190915854E-2</v>
      </c>
      <c r="V1267" t="s">
        <v>162</v>
      </c>
    </row>
    <row r="1268" spans="9:22" x14ac:dyDescent="0.45">
      <c r="I1268" t="s">
        <v>274</v>
      </c>
      <c r="J1268" t="s">
        <v>572</v>
      </c>
      <c r="K1268">
        <v>0.14128669717850206</v>
      </c>
      <c r="L1268" t="s">
        <v>162</v>
      </c>
      <c r="N1268" t="s">
        <v>386</v>
      </c>
      <c r="O1268" t="s">
        <v>572</v>
      </c>
      <c r="P1268">
        <v>8.2298100724946671E-2</v>
      </c>
      <c r="Q1268" t="s">
        <v>162</v>
      </c>
      <c r="S1268" t="s">
        <v>498</v>
      </c>
      <c r="T1268" t="s">
        <v>572</v>
      </c>
      <c r="U1268">
        <v>0.13366805789575725</v>
      </c>
      <c r="V1268" t="s">
        <v>162</v>
      </c>
    </row>
    <row r="1269" spans="9:22" x14ac:dyDescent="0.45">
      <c r="I1269" t="s">
        <v>274</v>
      </c>
      <c r="J1269" t="s">
        <v>573</v>
      </c>
      <c r="K1269">
        <v>0</v>
      </c>
      <c r="L1269" t="s">
        <v>162</v>
      </c>
      <c r="N1269" t="s">
        <v>386</v>
      </c>
      <c r="O1269" t="s">
        <v>573</v>
      </c>
      <c r="P1269">
        <v>0.11339875558545086</v>
      </c>
      <c r="Q1269" t="s">
        <v>162</v>
      </c>
      <c r="S1269" t="s">
        <v>498</v>
      </c>
      <c r="T1269" t="s">
        <v>573</v>
      </c>
      <c r="U1269">
        <v>0.14396548961133926</v>
      </c>
      <c r="V1269" t="s">
        <v>162</v>
      </c>
    </row>
    <row r="1270" spans="9:22" x14ac:dyDescent="0.45">
      <c r="I1270" t="s">
        <v>274</v>
      </c>
      <c r="J1270" t="s">
        <v>574</v>
      </c>
      <c r="K1270">
        <v>3.7082084809436137E-3</v>
      </c>
      <c r="L1270" t="s">
        <v>162</v>
      </c>
      <c r="N1270" t="s">
        <v>386</v>
      </c>
      <c r="O1270" t="s">
        <v>574</v>
      </c>
      <c r="P1270">
        <v>2.1031164475763049E-2</v>
      </c>
      <c r="Q1270" t="s">
        <v>162</v>
      </c>
      <c r="S1270" t="s">
        <v>498</v>
      </c>
      <c r="T1270" t="s">
        <v>574</v>
      </c>
      <c r="U1270">
        <v>2.5462190149204526E-2</v>
      </c>
      <c r="V1270" t="s">
        <v>162</v>
      </c>
    </row>
    <row r="1271" spans="9:22" x14ac:dyDescent="0.45">
      <c r="I1271" t="s">
        <v>275</v>
      </c>
      <c r="J1271" t="s">
        <v>563</v>
      </c>
      <c r="K1271">
        <v>0.16098009417218875</v>
      </c>
      <c r="L1271" t="s">
        <v>162</v>
      </c>
      <c r="N1271" t="s">
        <v>387</v>
      </c>
      <c r="O1271" t="s">
        <v>563</v>
      </c>
      <c r="P1271">
        <v>0.12982760647393546</v>
      </c>
      <c r="Q1271" t="s">
        <v>162</v>
      </c>
      <c r="S1271" t="s">
        <v>499</v>
      </c>
      <c r="T1271" t="s">
        <v>563</v>
      </c>
      <c r="U1271">
        <v>0.11766053815227988</v>
      </c>
      <c r="V1271" t="s">
        <v>162</v>
      </c>
    </row>
    <row r="1272" spans="9:22" x14ac:dyDescent="0.45">
      <c r="I1272" t="s">
        <v>275</v>
      </c>
      <c r="J1272" t="s">
        <v>564</v>
      </c>
      <c r="K1272">
        <v>0</v>
      </c>
      <c r="L1272" t="s">
        <v>162</v>
      </c>
      <c r="N1272" t="s">
        <v>387</v>
      </c>
      <c r="O1272" t="s">
        <v>564</v>
      </c>
      <c r="P1272">
        <v>0.14579130741280757</v>
      </c>
      <c r="Q1272" t="s">
        <v>162</v>
      </c>
      <c r="S1272" t="s">
        <v>499</v>
      </c>
      <c r="T1272" t="s">
        <v>564</v>
      </c>
      <c r="U1272">
        <v>0.11642580129785739</v>
      </c>
      <c r="V1272" t="s">
        <v>162</v>
      </c>
    </row>
    <row r="1273" spans="9:22" x14ac:dyDescent="0.45">
      <c r="I1273" t="s">
        <v>275</v>
      </c>
      <c r="J1273" t="s">
        <v>565</v>
      </c>
      <c r="K1273">
        <v>8.6459481097129736E-3</v>
      </c>
      <c r="L1273" t="s">
        <v>162</v>
      </c>
      <c r="N1273" t="s">
        <v>387</v>
      </c>
      <c r="O1273" t="s">
        <v>565</v>
      </c>
      <c r="P1273">
        <v>2.4646208570337461E-2</v>
      </c>
      <c r="Q1273" t="s">
        <v>162</v>
      </c>
      <c r="S1273" t="s">
        <v>499</v>
      </c>
      <c r="T1273" t="s">
        <v>565</v>
      </c>
      <c r="U1273">
        <v>2.2473604884871896E-2</v>
      </c>
      <c r="V1273" t="s">
        <v>162</v>
      </c>
    </row>
    <row r="1274" spans="9:22" x14ac:dyDescent="0.45">
      <c r="I1274" t="s">
        <v>275</v>
      </c>
      <c r="J1274" t="s">
        <v>566</v>
      </c>
      <c r="K1274">
        <v>0.27539317470052205</v>
      </c>
      <c r="L1274" t="s">
        <v>162</v>
      </c>
      <c r="N1274" t="s">
        <v>387</v>
      </c>
      <c r="O1274" t="s">
        <v>566</v>
      </c>
      <c r="P1274">
        <v>0.10328110102900451</v>
      </c>
      <c r="Q1274" t="s">
        <v>162</v>
      </c>
      <c r="S1274" t="s">
        <v>499</v>
      </c>
      <c r="T1274" t="s">
        <v>566</v>
      </c>
      <c r="U1274">
        <v>0.10362077987631932</v>
      </c>
      <c r="V1274" t="s">
        <v>162</v>
      </c>
    </row>
    <row r="1275" spans="9:22" x14ac:dyDescent="0.45">
      <c r="I1275" t="s">
        <v>275</v>
      </c>
      <c r="J1275" t="s">
        <v>567</v>
      </c>
      <c r="K1275">
        <v>6.0933426621450045E-3</v>
      </c>
      <c r="L1275" t="s">
        <v>162</v>
      </c>
      <c r="N1275" t="s">
        <v>387</v>
      </c>
      <c r="O1275" t="s">
        <v>567</v>
      </c>
      <c r="P1275">
        <v>0.13166056041980681</v>
      </c>
      <c r="Q1275" t="s">
        <v>162</v>
      </c>
      <c r="S1275" t="s">
        <v>499</v>
      </c>
      <c r="T1275" t="s">
        <v>567</v>
      </c>
      <c r="U1275">
        <v>0.1157623513056686</v>
      </c>
      <c r="V1275" t="s">
        <v>162</v>
      </c>
    </row>
    <row r="1276" spans="9:22" x14ac:dyDescent="0.45">
      <c r="I1276" t="s">
        <v>275</v>
      </c>
      <c r="J1276" t="s">
        <v>568</v>
      </c>
      <c r="K1276">
        <v>3.2706727893072274E-2</v>
      </c>
      <c r="L1276" t="s">
        <v>162</v>
      </c>
      <c r="N1276" t="s">
        <v>387</v>
      </c>
      <c r="O1276" t="s">
        <v>568</v>
      </c>
      <c r="P1276">
        <v>2.1854622296323241E-2</v>
      </c>
      <c r="Q1276" t="s">
        <v>162</v>
      </c>
      <c r="S1276" t="s">
        <v>499</v>
      </c>
      <c r="T1276" t="s">
        <v>568</v>
      </c>
      <c r="U1276">
        <v>1.9978992944823366E-2</v>
      </c>
      <c r="V1276" t="s">
        <v>162</v>
      </c>
    </row>
    <row r="1277" spans="9:22" x14ac:dyDescent="0.45">
      <c r="I1277" t="s">
        <v>275</v>
      </c>
      <c r="J1277" t="s">
        <v>569</v>
      </c>
      <c r="K1277">
        <v>0.32234685557741394</v>
      </c>
      <c r="L1277" t="s">
        <v>162</v>
      </c>
      <c r="N1277" t="s">
        <v>387</v>
      </c>
      <c r="O1277" t="s">
        <v>569</v>
      </c>
      <c r="P1277">
        <v>8.7324891946814864E-2</v>
      </c>
      <c r="Q1277" t="s">
        <v>162</v>
      </c>
      <c r="S1277" t="s">
        <v>499</v>
      </c>
      <c r="T1277" t="s">
        <v>569</v>
      </c>
      <c r="U1277">
        <v>9.4310281765333015E-2</v>
      </c>
      <c r="V1277" t="s">
        <v>162</v>
      </c>
    </row>
    <row r="1278" spans="9:22" x14ac:dyDescent="0.45">
      <c r="I1278" t="s">
        <v>275</v>
      </c>
      <c r="J1278" t="s">
        <v>570</v>
      </c>
      <c r="K1278">
        <v>2.1925520339707405E-2</v>
      </c>
      <c r="L1278" t="s">
        <v>162</v>
      </c>
      <c r="N1278" t="s">
        <v>387</v>
      </c>
      <c r="O1278" t="s">
        <v>570</v>
      </c>
      <c r="P1278">
        <v>0.11137475555095333</v>
      </c>
      <c r="Q1278" t="s">
        <v>162</v>
      </c>
      <c r="S1278" t="s">
        <v>499</v>
      </c>
      <c r="T1278" t="s">
        <v>570</v>
      </c>
      <c r="U1278">
        <v>9.4253305465060389E-2</v>
      </c>
      <c r="V1278" t="s">
        <v>162</v>
      </c>
    </row>
    <row r="1279" spans="9:22" x14ac:dyDescent="0.45">
      <c r="I1279" t="s">
        <v>275</v>
      </c>
      <c r="J1279" t="s">
        <v>571</v>
      </c>
      <c r="K1279">
        <v>4.5844572434109346E-2</v>
      </c>
      <c r="L1279" t="s">
        <v>162</v>
      </c>
      <c r="N1279" t="s">
        <v>387</v>
      </c>
      <c r="O1279" t="s">
        <v>571</v>
      </c>
      <c r="P1279">
        <v>1.5931416489799653E-2</v>
      </c>
      <c r="Q1279" t="s">
        <v>162</v>
      </c>
      <c r="S1279" t="s">
        <v>499</v>
      </c>
      <c r="T1279" t="s">
        <v>571</v>
      </c>
      <c r="U1279">
        <v>1.9299845012106437E-2</v>
      </c>
      <c r="V1279" t="s">
        <v>162</v>
      </c>
    </row>
    <row r="1280" spans="9:22" x14ac:dyDescent="0.45">
      <c r="I1280" t="s">
        <v>275</v>
      </c>
      <c r="J1280" t="s">
        <v>572</v>
      </c>
      <c r="K1280">
        <v>0.12233584798570626</v>
      </c>
      <c r="L1280" t="s">
        <v>162</v>
      </c>
      <c r="N1280" t="s">
        <v>387</v>
      </c>
      <c r="O1280" t="s">
        <v>572</v>
      </c>
      <c r="P1280">
        <v>8.9427304224904747E-2</v>
      </c>
      <c r="Q1280" t="s">
        <v>162</v>
      </c>
      <c r="S1280" t="s">
        <v>499</v>
      </c>
      <c r="T1280" t="s">
        <v>572</v>
      </c>
      <c r="U1280">
        <v>0.13003000185870334</v>
      </c>
      <c r="V1280" t="s">
        <v>162</v>
      </c>
    </row>
    <row r="1281" spans="9:22" x14ac:dyDescent="0.45">
      <c r="I1281" t="s">
        <v>275</v>
      </c>
      <c r="J1281" t="s">
        <v>573</v>
      </c>
      <c r="K1281">
        <v>0</v>
      </c>
      <c r="L1281" t="s">
        <v>162</v>
      </c>
      <c r="N1281" t="s">
        <v>387</v>
      </c>
      <c r="O1281" t="s">
        <v>573</v>
      </c>
      <c r="P1281">
        <v>0.11702439970986783</v>
      </c>
      <c r="Q1281" t="s">
        <v>162</v>
      </c>
      <c r="S1281" t="s">
        <v>499</v>
      </c>
      <c r="T1281" t="s">
        <v>573</v>
      </c>
      <c r="U1281">
        <v>0.14050043689622405</v>
      </c>
      <c r="V1281" t="s">
        <v>162</v>
      </c>
    </row>
    <row r="1282" spans="9:22" x14ac:dyDescent="0.45">
      <c r="I1282" t="s">
        <v>275</v>
      </c>
      <c r="J1282" t="s">
        <v>574</v>
      </c>
      <c r="K1282">
        <v>3.7279161254240782E-3</v>
      </c>
      <c r="L1282" t="s">
        <v>162</v>
      </c>
      <c r="N1282" t="s">
        <v>387</v>
      </c>
      <c r="O1282" t="s">
        <v>574</v>
      </c>
      <c r="P1282">
        <v>2.1855825875440004E-2</v>
      </c>
      <c r="Q1282" t="s">
        <v>162</v>
      </c>
      <c r="S1282" t="s">
        <v>499</v>
      </c>
      <c r="T1282" t="s">
        <v>574</v>
      </c>
      <c r="U1282">
        <v>2.5684060540754415E-2</v>
      </c>
      <c r="V1282" t="s">
        <v>162</v>
      </c>
    </row>
    <row r="1283" spans="9:22" x14ac:dyDescent="0.45">
      <c r="I1283" t="s">
        <v>276</v>
      </c>
      <c r="J1283" t="s">
        <v>563</v>
      </c>
      <c r="K1283">
        <v>0.20495037917785897</v>
      </c>
      <c r="L1283" t="s">
        <v>162</v>
      </c>
      <c r="N1283" t="s">
        <v>388</v>
      </c>
      <c r="O1283" t="s">
        <v>563</v>
      </c>
      <c r="P1283">
        <v>0.14186016114489722</v>
      </c>
      <c r="Q1283" t="s">
        <v>162</v>
      </c>
      <c r="S1283" t="s">
        <v>500</v>
      </c>
      <c r="T1283" t="s">
        <v>563</v>
      </c>
      <c r="U1283">
        <v>0.11366304831442399</v>
      </c>
      <c r="V1283" t="s">
        <v>162</v>
      </c>
    </row>
    <row r="1284" spans="9:22" x14ac:dyDescent="0.45">
      <c r="I1284" t="s">
        <v>276</v>
      </c>
      <c r="J1284" t="s">
        <v>564</v>
      </c>
      <c r="K1284">
        <v>0</v>
      </c>
      <c r="L1284" t="s">
        <v>162</v>
      </c>
      <c r="N1284" t="s">
        <v>388</v>
      </c>
      <c r="O1284" t="s">
        <v>564</v>
      </c>
      <c r="P1284">
        <v>0.15524977980900714</v>
      </c>
      <c r="Q1284" t="s">
        <v>162</v>
      </c>
      <c r="S1284" t="s">
        <v>500</v>
      </c>
      <c r="T1284" t="s">
        <v>564</v>
      </c>
      <c r="U1284">
        <v>0.11283024569679584</v>
      </c>
      <c r="V1284" t="s">
        <v>162</v>
      </c>
    </row>
    <row r="1285" spans="9:22" x14ac:dyDescent="0.45">
      <c r="I1285" t="s">
        <v>276</v>
      </c>
      <c r="J1285" t="s">
        <v>565</v>
      </c>
      <c r="K1285">
        <v>7.2643653805740463E-3</v>
      </c>
      <c r="L1285" t="s">
        <v>162</v>
      </c>
      <c r="N1285" t="s">
        <v>388</v>
      </c>
      <c r="O1285" t="s">
        <v>565</v>
      </c>
      <c r="P1285">
        <v>2.5821681365637186E-2</v>
      </c>
      <c r="Q1285" t="s">
        <v>162</v>
      </c>
      <c r="S1285" t="s">
        <v>500</v>
      </c>
      <c r="T1285" t="s">
        <v>565</v>
      </c>
      <c r="U1285">
        <v>2.0592816364843006E-2</v>
      </c>
      <c r="V1285" t="s">
        <v>162</v>
      </c>
    </row>
    <row r="1286" spans="9:22" x14ac:dyDescent="0.45">
      <c r="I1286" t="s">
        <v>276</v>
      </c>
      <c r="J1286" t="s">
        <v>566</v>
      </c>
      <c r="K1286">
        <v>0.27672650529335602</v>
      </c>
      <c r="L1286" t="s">
        <v>162</v>
      </c>
      <c r="N1286" t="s">
        <v>388</v>
      </c>
      <c r="O1286" t="s">
        <v>566</v>
      </c>
      <c r="P1286">
        <v>0.1058455855446668</v>
      </c>
      <c r="Q1286" t="s">
        <v>162</v>
      </c>
      <c r="S1286" t="s">
        <v>500</v>
      </c>
      <c r="T1286" t="s">
        <v>566</v>
      </c>
      <c r="U1286">
        <v>0.11952059389397827</v>
      </c>
      <c r="V1286" t="s">
        <v>162</v>
      </c>
    </row>
    <row r="1287" spans="9:22" x14ac:dyDescent="0.45">
      <c r="I1287" t="s">
        <v>276</v>
      </c>
      <c r="J1287" t="s">
        <v>567</v>
      </c>
      <c r="K1287">
        <v>4.0603601437861772E-3</v>
      </c>
      <c r="L1287" t="s">
        <v>162</v>
      </c>
      <c r="N1287" t="s">
        <v>388</v>
      </c>
      <c r="O1287" t="s">
        <v>567</v>
      </c>
      <c r="P1287">
        <v>0.12783580656561641</v>
      </c>
      <c r="Q1287" t="s">
        <v>162</v>
      </c>
      <c r="S1287" t="s">
        <v>500</v>
      </c>
      <c r="T1287" t="s">
        <v>567</v>
      </c>
      <c r="U1287">
        <v>0.12120345136936622</v>
      </c>
      <c r="V1287" t="s">
        <v>162</v>
      </c>
    </row>
    <row r="1288" spans="9:22" x14ac:dyDescent="0.45">
      <c r="I1288" t="s">
        <v>276</v>
      </c>
      <c r="J1288" t="s">
        <v>568</v>
      </c>
      <c r="K1288">
        <v>2.5819931395650506E-2</v>
      </c>
      <c r="L1288" t="s">
        <v>162</v>
      </c>
      <c r="N1288" t="s">
        <v>388</v>
      </c>
      <c r="O1288" t="s">
        <v>568</v>
      </c>
      <c r="P1288">
        <v>2.1955026678641208E-2</v>
      </c>
      <c r="Q1288" t="s">
        <v>162</v>
      </c>
      <c r="S1288" t="s">
        <v>500</v>
      </c>
      <c r="T1288" t="s">
        <v>568</v>
      </c>
      <c r="U1288">
        <v>2.0951511932248645E-2</v>
      </c>
      <c r="V1288" t="s">
        <v>162</v>
      </c>
    </row>
    <row r="1289" spans="9:22" x14ac:dyDescent="0.45">
      <c r="I1289" t="s">
        <v>276</v>
      </c>
      <c r="J1289" t="s">
        <v>569</v>
      </c>
      <c r="K1289">
        <v>0.29065965363342589</v>
      </c>
      <c r="L1289" t="s">
        <v>162</v>
      </c>
      <c r="N1289" t="s">
        <v>388</v>
      </c>
      <c r="O1289" t="s">
        <v>569</v>
      </c>
      <c r="P1289">
        <v>8.2629556469627566E-2</v>
      </c>
      <c r="Q1289" t="s">
        <v>162</v>
      </c>
      <c r="S1289" t="s">
        <v>500</v>
      </c>
      <c r="T1289" t="s">
        <v>569</v>
      </c>
      <c r="U1289">
        <v>8.9391610326451959E-2</v>
      </c>
      <c r="V1289" t="s">
        <v>162</v>
      </c>
    </row>
    <row r="1290" spans="9:22" x14ac:dyDescent="0.45">
      <c r="I1290" t="s">
        <v>276</v>
      </c>
      <c r="J1290" t="s">
        <v>570</v>
      </c>
      <c r="K1290">
        <v>1.0613931664245839E-2</v>
      </c>
      <c r="L1290" t="s">
        <v>162</v>
      </c>
      <c r="N1290" t="s">
        <v>388</v>
      </c>
      <c r="O1290" t="s">
        <v>570</v>
      </c>
      <c r="P1290">
        <v>0.10393828649828712</v>
      </c>
      <c r="Q1290" t="s">
        <v>162</v>
      </c>
      <c r="S1290" t="s">
        <v>500</v>
      </c>
      <c r="T1290" t="s">
        <v>570</v>
      </c>
      <c r="U1290">
        <v>9.5704407033511907E-2</v>
      </c>
      <c r="V1290" t="s">
        <v>162</v>
      </c>
    </row>
    <row r="1291" spans="9:22" x14ac:dyDescent="0.45">
      <c r="I1291" t="s">
        <v>276</v>
      </c>
      <c r="J1291" t="s">
        <v>571</v>
      </c>
      <c r="K1291">
        <v>3.1615394217723657E-2</v>
      </c>
      <c r="L1291" t="s">
        <v>162</v>
      </c>
      <c r="N1291" t="s">
        <v>388</v>
      </c>
      <c r="O1291" t="s">
        <v>571</v>
      </c>
      <c r="P1291">
        <v>1.5111752787728236E-2</v>
      </c>
      <c r="Q1291" t="s">
        <v>162</v>
      </c>
      <c r="S1291" t="s">
        <v>500</v>
      </c>
      <c r="T1291" t="s">
        <v>571</v>
      </c>
      <c r="U1291">
        <v>1.6848967507997154E-2</v>
      </c>
      <c r="V1291" t="s">
        <v>162</v>
      </c>
    </row>
    <row r="1292" spans="9:22" x14ac:dyDescent="0.45">
      <c r="I1292" t="s">
        <v>276</v>
      </c>
      <c r="J1292" t="s">
        <v>572</v>
      </c>
      <c r="K1292">
        <v>0.14618299484304775</v>
      </c>
      <c r="L1292" t="s">
        <v>162</v>
      </c>
      <c r="N1292" t="s">
        <v>388</v>
      </c>
      <c r="O1292" t="s">
        <v>572</v>
      </c>
      <c r="P1292">
        <v>8.8637089548523812E-2</v>
      </c>
      <c r="Q1292" t="s">
        <v>162</v>
      </c>
      <c r="S1292" t="s">
        <v>500</v>
      </c>
      <c r="T1292" t="s">
        <v>572</v>
      </c>
      <c r="U1292">
        <v>0.12873350356336419</v>
      </c>
      <c r="V1292" t="s">
        <v>162</v>
      </c>
    </row>
    <row r="1293" spans="9:22" x14ac:dyDescent="0.45">
      <c r="I1293" t="s">
        <v>276</v>
      </c>
      <c r="J1293" t="s">
        <v>573</v>
      </c>
      <c r="K1293">
        <v>0</v>
      </c>
      <c r="L1293" t="s">
        <v>162</v>
      </c>
      <c r="N1293" t="s">
        <v>388</v>
      </c>
      <c r="O1293" t="s">
        <v>573</v>
      </c>
      <c r="P1293">
        <v>0.11129759982008224</v>
      </c>
      <c r="Q1293" t="s">
        <v>162</v>
      </c>
      <c r="S1293" t="s">
        <v>500</v>
      </c>
      <c r="T1293" t="s">
        <v>573</v>
      </c>
      <c r="U1293">
        <v>0.13662232445071829</v>
      </c>
      <c r="V1293" t="s">
        <v>162</v>
      </c>
    </row>
    <row r="1294" spans="9:22" x14ac:dyDescent="0.45">
      <c r="I1294" t="s">
        <v>276</v>
      </c>
      <c r="J1294" t="s">
        <v>574</v>
      </c>
      <c r="K1294">
        <v>2.1064842503317788E-3</v>
      </c>
      <c r="L1294" t="s">
        <v>162</v>
      </c>
      <c r="N1294" t="s">
        <v>388</v>
      </c>
      <c r="O1294" t="s">
        <v>574</v>
      </c>
      <c r="P1294">
        <v>1.9817673767287412E-2</v>
      </c>
      <c r="Q1294" t="s">
        <v>162</v>
      </c>
      <c r="S1294" t="s">
        <v>500</v>
      </c>
      <c r="T1294" t="s">
        <v>574</v>
      </c>
      <c r="U1294">
        <v>2.3937519546299951E-2</v>
      </c>
      <c r="V1294" t="s">
        <v>162</v>
      </c>
    </row>
    <row r="1295" spans="9:22" x14ac:dyDescent="0.45">
      <c r="I1295" t="s">
        <v>277</v>
      </c>
      <c r="J1295" t="s">
        <v>563</v>
      </c>
      <c r="K1295">
        <v>0.18446294470603225</v>
      </c>
      <c r="L1295" t="s">
        <v>162</v>
      </c>
      <c r="N1295" t="s">
        <v>389</v>
      </c>
      <c r="O1295" t="s">
        <v>563</v>
      </c>
      <c r="P1295">
        <v>0.12329045485658603</v>
      </c>
      <c r="Q1295" t="s">
        <v>162</v>
      </c>
    </row>
    <row r="1296" spans="9:22" x14ac:dyDescent="0.45">
      <c r="I1296" t="s">
        <v>277</v>
      </c>
      <c r="J1296" t="s">
        <v>564</v>
      </c>
      <c r="K1296">
        <v>1.7751326500539525E-4</v>
      </c>
      <c r="L1296" t="s">
        <v>162</v>
      </c>
      <c r="N1296" t="s">
        <v>389</v>
      </c>
      <c r="O1296" t="s">
        <v>564</v>
      </c>
      <c r="P1296">
        <v>0.13911590316545991</v>
      </c>
      <c r="Q1296" t="s">
        <v>162</v>
      </c>
    </row>
    <row r="1297" spans="9:17" x14ac:dyDescent="0.45">
      <c r="I1297" t="s">
        <v>277</v>
      </c>
      <c r="J1297" t="s">
        <v>565</v>
      </c>
      <c r="K1297">
        <v>1.5003765568625559E-2</v>
      </c>
      <c r="L1297" t="s">
        <v>162</v>
      </c>
      <c r="N1297" t="s">
        <v>389</v>
      </c>
      <c r="O1297" t="s">
        <v>565</v>
      </c>
      <c r="P1297">
        <v>2.4910658432641695E-2</v>
      </c>
      <c r="Q1297" t="s">
        <v>162</v>
      </c>
    </row>
    <row r="1298" spans="9:17" x14ac:dyDescent="0.45">
      <c r="I1298" t="s">
        <v>277</v>
      </c>
      <c r="J1298" t="s">
        <v>566</v>
      </c>
      <c r="K1298">
        <v>0.26642203305186635</v>
      </c>
      <c r="L1298" t="s">
        <v>162</v>
      </c>
      <c r="N1298" t="s">
        <v>389</v>
      </c>
      <c r="O1298" t="s">
        <v>566</v>
      </c>
      <c r="P1298">
        <v>0.11627159405426274</v>
      </c>
      <c r="Q1298" t="s">
        <v>162</v>
      </c>
    </row>
    <row r="1299" spans="9:17" x14ac:dyDescent="0.45">
      <c r="I1299" t="s">
        <v>277</v>
      </c>
      <c r="J1299" t="s">
        <v>567</v>
      </c>
      <c r="K1299">
        <v>6.9536619760351762E-3</v>
      </c>
      <c r="L1299" t="s">
        <v>162</v>
      </c>
      <c r="N1299" t="s">
        <v>389</v>
      </c>
      <c r="O1299" t="s">
        <v>567</v>
      </c>
      <c r="P1299">
        <v>0.13460684957182603</v>
      </c>
      <c r="Q1299" t="s">
        <v>162</v>
      </c>
    </row>
    <row r="1300" spans="9:17" x14ac:dyDescent="0.45">
      <c r="I1300" t="s">
        <v>277</v>
      </c>
      <c r="J1300" t="s">
        <v>568</v>
      </c>
      <c r="K1300">
        <v>3.7234126700589787E-2</v>
      </c>
      <c r="L1300" t="s">
        <v>162</v>
      </c>
      <c r="N1300" t="s">
        <v>389</v>
      </c>
      <c r="O1300" t="s">
        <v>568</v>
      </c>
      <c r="P1300">
        <v>1.9792771335098647E-2</v>
      </c>
      <c r="Q1300" t="s">
        <v>162</v>
      </c>
    </row>
    <row r="1301" spans="9:17" x14ac:dyDescent="0.45">
      <c r="I1301" t="s">
        <v>277</v>
      </c>
      <c r="J1301" t="s">
        <v>569</v>
      </c>
      <c r="K1301">
        <v>0.29027469035001457</v>
      </c>
      <c r="L1301" t="s">
        <v>162</v>
      </c>
      <c r="N1301" t="s">
        <v>389</v>
      </c>
      <c r="O1301" t="s">
        <v>569</v>
      </c>
      <c r="P1301">
        <v>8.1346341788147147E-2</v>
      </c>
      <c r="Q1301" t="s">
        <v>162</v>
      </c>
    </row>
    <row r="1302" spans="9:17" x14ac:dyDescent="0.45">
      <c r="I1302" t="s">
        <v>277</v>
      </c>
      <c r="J1302" t="s">
        <v>570</v>
      </c>
      <c r="K1302">
        <v>1.6108342505130418E-2</v>
      </c>
      <c r="L1302" t="s">
        <v>162</v>
      </c>
      <c r="N1302" t="s">
        <v>389</v>
      </c>
      <c r="O1302" t="s">
        <v>570</v>
      </c>
      <c r="P1302">
        <v>9.7024908462304604E-2</v>
      </c>
      <c r="Q1302" t="s">
        <v>162</v>
      </c>
    </row>
    <row r="1303" spans="9:17" x14ac:dyDescent="0.45">
      <c r="I1303" t="s">
        <v>277</v>
      </c>
      <c r="J1303" t="s">
        <v>571</v>
      </c>
      <c r="K1303">
        <v>4.1266257815947942E-2</v>
      </c>
      <c r="L1303" t="s">
        <v>162</v>
      </c>
      <c r="N1303" t="s">
        <v>389</v>
      </c>
      <c r="O1303" t="s">
        <v>571</v>
      </c>
      <c r="P1303">
        <v>1.2568672877113411E-2</v>
      </c>
      <c r="Q1303" t="s">
        <v>162</v>
      </c>
    </row>
    <row r="1304" spans="9:17" x14ac:dyDescent="0.45">
      <c r="I1304" t="s">
        <v>277</v>
      </c>
      <c r="J1304" t="s">
        <v>572</v>
      </c>
      <c r="K1304">
        <v>0.13344848339758886</v>
      </c>
      <c r="L1304" t="s">
        <v>162</v>
      </c>
      <c r="N1304" t="s">
        <v>389</v>
      </c>
      <c r="O1304" t="s">
        <v>572</v>
      </c>
      <c r="P1304">
        <v>0.11005343633909902</v>
      </c>
      <c r="Q1304" t="s">
        <v>162</v>
      </c>
    </row>
    <row r="1305" spans="9:17" x14ac:dyDescent="0.45">
      <c r="I1305" t="s">
        <v>277</v>
      </c>
      <c r="J1305" t="s">
        <v>573</v>
      </c>
      <c r="K1305">
        <v>0</v>
      </c>
      <c r="L1305" t="s">
        <v>162</v>
      </c>
      <c r="N1305" t="s">
        <v>389</v>
      </c>
      <c r="O1305" t="s">
        <v>573</v>
      </c>
      <c r="P1305">
        <v>0.11842245592546954</v>
      </c>
      <c r="Q1305" t="s">
        <v>162</v>
      </c>
    </row>
    <row r="1306" spans="9:17" x14ac:dyDescent="0.45">
      <c r="I1306" t="s">
        <v>277</v>
      </c>
      <c r="J1306" t="s">
        <v>574</v>
      </c>
      <c r="K1306">
        <v>8.6481806631608336E-3</v>
      </c>
      <c r="L1306" t="s">
        <v>162</v>
      </c>
      <c r="N1306" t="s">
        <v>389</v>
      </c>
      <c r="O1306" t="s">
        <v>574</v>
      </c>
      <c r="P1306">
        <v>2.2595953191988771E-2</v>
      </c>
      <c r="Q1306" t="s">
        <v>162</v>
      </c>
    </row>
    <row r="1307" spans="9:17" x14ac:dyDescent="0.45">
      <c r="I1307" t="s">
        <v>278</v>
      </c>
      <c r="J1307" t="s">
        <v>563</v>
      </c>
      <c r="K1307">
        <v>0.14800011722123285</v>
      </c>
      <c r="L1307" t="s">
        <v>162</v>
      </c>
      <c r="N1307" t="s">
        <v>390</v>
      </c>
      <c r="O1307" t="s">
        <v>563</v>
      </c>
      <c r="P1307">
        <v>0.13528981355933406</v>
      </c>
      <c r="Q1307" t="s">
        <v>162</v>
      </c>
    </row>
    <row r="1308" spans="9:17" x14ac:dyDescent="0.45">
      <c r="I1308" t="s">
        <v>278</v>
      </c>
      <c r="J1308" t="s">
        <v>564</v>
      </c>
      <c r="K1308">
        <v>0</v>
      </c>
      <c r="L1308" t="s">
        <v>162</v>
      </c>
      <c r="N1308" t="s">
        <v>390</v>
      </c>
      <c r="O1308" t="s">
        <v>564</v>
      </c>
      <c r="P1308">
        <v>0.14303136625653476</v>
      </c>
      <c r="Q1308" t="s">
        <v>162</v>
      </c>
    </row>
    <row r="1309" spans="9:17" x14ac:dyDescent="0.45">
      <c r="I1309" t="s">
        <v>278</v>
      </c>
      <c r="J1309" t="s">
        <v>565</v>
      </c>
      <c r="K1309">
        <v>7.0313460380668517E-3</v>
      </c>
      <c r="L1309" t="s">
        <v>162</v>
      </c>
      <c r="N1309" t="s">
        <v>390</v>
      </c>
      <c r="O1309" t="s">
        <v>565</v>
      </c>
      <c r="P1309">
        <v>2.6846314365020163E-2</v>
      </c>
      <c r="Q1309" t="s">
        <v>162</v>
      </c>
    </row>
    <row r="1310" spans="9:17" x14ac:dyDescent="0.45">
      <c r="I1310" t="s">
        <v>278</v>
      </c>
      <c r="J1310" t="s">
        <v>566</v>
      </c>
      <c r="K1310">
        <v>0.29277918225402955</v>
      </c>
      <c r="L1310" t="s">
        <v>162</v>
      </c>
      <c r="N1310" t="s">
        <v>390</v>
      </c>
      <c r="O1310" t="s">
        <v>566</v>
      </c>
      <c r="P1310">
        <v>0.1066303141121811</v>
      </c>
      <c r="Q1310" t="s">
        <v>162</v>
      </c>
    </row>
    <row r="1311" spans="9:17" x14ac:dyDescent="0.45">
      <c r="I1311" t="s">
        <v>278</v>
      </c>
      <c r="J1311" t="s">
        <v>567</v>
      </c>
      <c r="K1311">
        <v>6.9633661071575878E-3</v>
      </c>
      <c r="L1311" t="s">
        <v>162</v>
      </c>
      <c r="N1311" t="s">
        <v>390</v>
      </c>
      <c r="O1311" t="s">
        <v>567</v>
      </c>
      <c r="P1311">
        <v>0.12296186891381239</v>
      </c>
      <c r="Q1311" t="s">
        <v>162</v>
      </c>
    </row>
    <row r="1312" spans="9:17" x14ac:dyDescent="0.45">
      <c r="I1312" t="s">
        <v>278</v>
      </c>
      <c r="J1312" t="s">
        <v>568</v>
      </c>
      <c r="K1312">
        <v>3.2062712021038324E-2</v>
      </c>
      <c r="L1312" t="s">
        <v>162</v>
      </c>
      <c r="N1312" t="s">
        <v>390</v>
      </c>
      <c r="O1312" t="s">
        <v>568</v>
      </c>
      <c r="P1312">
        <v>1.9886290031852865E-2</v>
      </c>
      <c r="Q1312" t="s">
        <v>162</v>
      </c>
    </row>
    <row r="1313" spans="9:17" x14ac:dyDescent="0.45">
      <c r="I1313" t="s">
        <v>278</v>
      </c>
      <c r="J1313" t="s">
        <v>569</v>
      </c>
      <c r="K1313">
        <v>0.29368911938666303</v>
      </c>
      <c r="L1313" t="s">
        <v>162</v>
      </c>
      <c r="N1313" t="s">
        <v>390</v>
      </c>
      <c r="O1313" t="s">
        <v>569</v>
      </c>
      <c r="P1313">
        <v>8.7269493497970529E-2</v>
      </c>
      <c r="Q1313" t="s">
        <v>162</v>
      </c>
    </row>
    <row r="1314" spans="9:17" x14ac:dyDescent="0.45">
      <c r="I1314" t="s">
        <v>278</v>
      </c>
      <c r="J1314" t="s">
        <v>570</v>
      </c>
      <c r="K1314">
        <v>1.9167295916009186E-2</v>
      </c>
      <c r="L1314" t="s">
        <v>162</v>
      </c>
      <c r="N1314" t="s">
        <v>390</v>
      </c>
      <c r="O1314" t="s">
        <v>570</v>
      </c>
      <c r="P1314">
        <v>0.10912336669317824</v>
      </c>
      <c r="Q1314" t="s">
        <v>162</v>
      </c>
    </row>
    <row r="1315" spans="9:17" x14ac:dyDescent="0.45">
      <c r="I1315" t="s">
        <v>278</v>
      </c>
      <c r="J1315" t="s">
        <v>571</v>
      </c>
      <c r="K1315">
        <v>3.6678044332434476E-2</v>
      </c>
      <c r="L1315" t="s">
        <v>162</v>
      </c>
      <c r="N1315" t="s">
        <v>390</v>
      </c>
      <c r="O1315" t="s">
        <v>571</v>
      </c>
      <c r="P1315">
        <v>1.4594812168163723E-2</v>
      </c>
      <c r="Q1315" t="s">
        <v>162</v>
      </c>
    </row>
    <row r="1316" spans="9:17" x14ac:dyDescent="0.45">
      <c r="I1316" t="s">
        <v>278</v>
      </c>
      <c r="J1316" t="s">
        <v>572</v>
      </c>
      <c r="K1316">
        <v>0.16065415574268968</v>
      </c>
      <c r="L1316" t="s">
        <v>162</v>
      </c>
      <c r="N1316" t="s">
        <v>390</v>
      </c>
      <c r="O1316" t="s">
        <v>572</v>
      </c>
      <c r="P1316">
        <v>9.7426111978623733E-2</v>
      </c>
      <c r="Q1316" t="s">
        <v>162</v>
      </c>
    </row>
    <row r="1317" spans="9:17" x14ac:dyDescent="0.45">
      <c r="I1317" t="s">
        <v>278</v>
      </c>
      <c r="J1317" t="s">
        <v>573</v>
      </c>
      <c r="K1317">
        <v>0</v>
      </c>
      <c r="L1317" t="s">
        <v>162</v>
      </c>
      <c r="N1317" t="s">
        <v>390</v>
      </c>
      <c r="O1317" t="s">
        <v>573</v>
      </c>
      <c r="P1317">
        <v>0.11403896186542448</v>
      </c>
      <c r="Q1317" t="s">
        <v>162</v>
      </c>
    </row>
    <row r="1318" spans="9:17" x14ac:dyDescent="0.45">
      <c r="I1318" t="s">
        <v>278</v>
      </c>
      <c r="J1318" t="s">
        <v>574</v>
      </c>
      <c r="K1318">
        <v>2.9746609806795628E-3</v>
      </c>
      <c r="L1318" t="s">
        <v>162</v>
      </c>
      <c r="N1318" t="s">
        <v>390</v>
      </c>
      <c r="O1318" t="s">
        <v>574</v>
      </c>
      <c r="P1318">
        <v>2.2901286557904604E-2</v>
      </c>
      <c r="Q1318" t="s">
        <v>162</v>
      </c>
    </row>
    <row r="1319" spans="9:17" x14ac:dyDescent="0.45">
      <c r="I1319" t="s">
        <v>279</v>
      </c>
      <c r="J1319" t="s">
        <v>563</v>
      </c>
      <c r="K1319">
        <v>0.13575403141307119</v>
      </c>
      <c r="L1319" t="s">
        <v>162</v>
      </c>
      <c r="N1319" t="s">
        <v>391</v>
      </c>
      <c r="O1319" t="s">
        <v>563</v>
      </c>
      <c r="P1319">
        <v>0.12745089946192684</v>
      </c>
      <c r="Q1319" t="s">
        <v>162</v>
      </c>
    </row>
    <row r="1320" spans="9:17" x14ac:dyDescent="0.45">
      <c r="I1320" t="s">
        <v>279</v>
      </c>
      <c r="J1320" t="s">
        <v>564</v>
      </c>
      <c r="K1320">
        <v>0</v>
      </c>
      <c r="L1320" t="s">
        <v>162</v>
      </c>
      <c r="N1320" t="s">
        <v>391</v>
      </c>
      <c r="O1320" t="s">
        <v>564</v>
      </c>
      <c r="P1320">
        <v>0.14232012495131899</v>
      </c>
      <c r="Q1320" t="s">
        <v>162</v>
      </c>
    </row>
    <row r="1321" spans="9:17" x14ac:dyDescent="0.45">
      <c r="I1321" t="s">
        <v>279</v>
      </c>
      <c r="J1321" t="s">
        <v>565</v>
      </c>
      <c r="K1321">
        <v>7.3799144731150606E-3</v>
      </c>
      <c r="L1321" t="s">
        <v>162</v>
      </c>
      <c r="N1321" t="s">
        <v>391</v>
      </c>
      <c r="O1321" t="s">
        <v>565</v>
      </c>
      <c r="P1321">
        <v>2.5863234893627438E-2</v>
      </c>
      <c r="Q1321" t="s">
        <v>162</v>
      </c>
    </row>
    <row r="1322" spans="9:17" x14ac:dyDescent="0.45">
      <c r="I1322" t="s">
        <v>279</v>
      </c>
      <c r="J1322" t="s">
        <v>566</v>
      </c>
      <c r="K1322">
        <v>0.29302472856492329</v>
      </c>
      <c r="L1322" t="s">
        <v>162</v>
      </c>
      <c r="N1322" t="s">
        <v>391</v>
      </c>
      <c r="O1322" t="s">
        <v>566</v>
      </c>
      <c r="P1322">
        <v>0.11074858177365197</v>
      </c>
      <c r="Q1322" t="s">
        <v>162</v>
      </c>
    </row>
    <row r="1323" spans="9:17" x14ac:dyDescent="0.45">
      <c r="I1323" t="s">
        <v>279</v>
      </c>
      <c r="J1323" t="s">
        <v>567</v>
      </c>
      <c r="K1323">
        <v>7.7049514512525794E-3</v>
      </c>
      <c r="L1323" t="s">
        <v>162</v>
      </c>
      <c r="N1323" t="s">
        <v>391</v>
      </c>
      <c r="O1323" t="s">
        <v>567</v>
      </c>
      <c r="P1323">
        <v>0.12434756429459187</v>
      </c>
      <c r="Q1323" t="s">
        <v>162</v>
      </c>
    </row>
    <row r="1324" spans="9:17" x14ac:dyDescent="0.45">
      <c r="I1324" t="s">
        <v>279</v>
      </c>
      <c r="J1324" t="s">
        <v>568</v>
      </c>
      <c r="K1324">
        <v>3.2666753603522107E-2</v>
      </c>
      <c r="L1324" t="s">
        <v>162</v>
      </c>
      <c r="N1324" t="s">
        <v>391</v>
      </c>
      <c r="O1324" t="s">
        <v>568</v>
      </c>
      <c r="P1324">
        <v>2.1062172216138868E-2</v>
      </c>
      <c r="Q1324" t="s">
        <v>162</v>
      </c>
    </row>
    <row r="1325" spans="9:17" x14ac:dyDescent="0.45">
      <c r="I1325" t="s">
        <v>279</v>
      </c>
      <c r="J1325" t="s">
        <v>569</v>
      </c>
      <c r="K1325">
        <v>0.29639335254705662</v>
      </c>
      <c r="L1325" t="s">
        <v>162</v>
      </c>
      <c r="N1325" t="s">
        <v>391</v>
      </c>
      <c r="O1325" t="s">
        <v>569</v>
      </c>
      <c r="P1325">
        <v>8.0784863357365608E-2</v>
      </c>
      <c r="Q1325" t="s">
        <v>162</v>
      </c>
    </row>
    <row r="1326" spans="9:17" x14ac:dyDescent="0.45">
      <c r="I1326" t="s">
        <v>279</v>
      </c>
      <c r="J1326" t="s">
        <v>570</v>
      </c>
      <c r="K1326">
        <v>2.1388345663303644E-2</v>
      </c>
      <c r="L1326" t="s">
        <v>162</v>
      </c>
      <c r="N1326" t="s">
        <v>391</v>
      </c>
      <c r="O1326" t="s">
        <v>570</v>
      </c>
      <c r="P1326">
        <v>9.7919155651152986E-2</v>
      </c>
      <c r="Q1326" t="s">
        <v>162</v>
      </c>
    </row>
    <row r="1327" spans="9:17" x14ac:dyDescent="0.45">
      <c r="I1327" t="s">
        <v>279</v>
      </c>
      <c r="J1327" t="s">
        <v>571</v>
      </c>
      <c r="K1327">
        <v>3.9498315494925898E-2</v>
      </c>
      <c r="L1327" t="s">
        <v>162</v>
      </c>
      <c r="N1327" t="s">
        <v>391</v>
      </c>
      <c r="O1327" t="s">
        <v>571</v>
      </c>
      <c r="P1327">
        <v>1.4247256429034816E-2</v>
      </c>
      <c r="Q1327" t="s">
        <v>162</v>
      </c>
    </row>
    <row r="1328" spans="9:17" x14ac:dyDescent="0.45">
      <c r="I1328" t="s">
        <v>279</v>
      </c>
      <c r="J1328" t="s">
        <v>572</v>
      </c>
      <c r="K1328">
        <v>0.16186462669000842</v>
      </c>
      <c r="L1328" t="s">
        <v>162</v>
      </c>
      <c r="N1328" t="s">
        <v>391</v>
      </c>
      <c r="O1328" t="s">
        <v>572</v>
      </c>
      <c r="P1328">
        <v>0.10769226873521683</v>
      </c>
      <c r="Q1328" t="s">
        <v>162</v>
      </c>
    </row>
    <row r="1329" spans="9:17" x14ac:dyDescent="0.45">
      <c r="I1329" t="s">
        <v>279</v>
      </c>
      <c r="J1329" t="s">
        <v>573</v>
      </c>
      <c r="K1329">
        <v>0</v>
      </c>
      <c r="L1329" t="s">
        <v>162</v>
      </c>
      <c r="N1329" t="s">
        <v>391</v>
      </c>
      <c r="O1329" t="s">
        <v>573</v>
      </c>
      <c r="P1329">
        <v>0.12342141898311239</v>
      </c>
      <c r="Q1329" t="s">
        <v>162</v>
      </c>
    </row>
    <row r="1330" spans="9:17" x14ac:dyDescent="0.45">
      <c r="I1330" t="s">
        <v>279</v>
      </c>
      <c r="J1330" t="s">
        <v>574</v>
      </c>
      <c r="K1330">
        <v>4.3249800988199279E-3</v>
      </c>
      <c r="L1330" t="s">
        <v>162</v>
      </c>
      <c r="N1330" t="s">
        <v>391</v>
      </c>
      <c r="O1330" t="s">
        <v>574</v>
      </c>
      <c r="P1330">
        <v>2.4142459252862378E-2</v>
      </c>
      <c r="Q1330" t="s">
        <v>162</v>
      </c>
    </row>
    <row r="1331" spans="9:17" x14ac:dyDescent="0.45">
      <c r="I1331" t="s">
        <v>280</v>
      </c>
      <c r="J1331" t="s">
        <v>563</v>
      </c>
      <c r="K1331">
        <v>0.17477025114741521</v>
      </c>
      <c r="L1331" t="s">
        <v>162</v>
      </c>
      <c r="N1331" t="s">
        <v>392</v>
      </c>
      <c r="O1331" t="s">
        <v>563</v>
      </c>
      <c r="P1331">
        <v>0.14772868346383142</v>
      </c>
      <c r="Q1331" t="s">
        <v>162</v>
      </c>
    </row>
    <row r="1332" spans="9:17" x14ac:dyDescent="0.45">
      <c r="I1332" t="s">
        <v>280</v>
      </c>
      <c r="J1332" t="s">
        <v>564</v>
      </c>
      <c r="K1332">
        <v>0</v>
      </c>
      <c r="L1332" t="s">
        <v>162</v>
      </c>
      <c r="N1332" t="s">
        <v>392</v>
      </c>
      <c r="O1332" t="s">
        <v>564</v>
      </c>
      <c r="P1332">
        <v>0.15484148038314907</v>
      </c>
      <c r="Q1332" t="s">
        <v>162</v>
      </c>
    </row>
    <row r="1333" spans="9:17" x14ac:dyDescent="0.45">
      <c r="I1333" t="s">
        <v>280</v>
      </c>
      <c r="J1333" t="s">
        <v>565</v>
      </c>
      <c r="K1333">
        <v>8.7441187184532521E-3</v>
      </c>
      <c r="L1333" t="s">
        <v>162</v>
      </c>
      <c r="N1333" t="s">
        <v>392</v>
      </c>
      <c r="O1333" t="s">
        <v>565</v>
      </c>
      <c r="P1333">
        <v>2.9341621862209077E-2</v>
      </c>
      <c r="Q1333" t="s">
        <v>162</v>
      </c>
    </row>
    <row r="1334" spans="9:17" x14ac:dyDescent="0.45">
      <c r="I1334" t="s">
        <v>280</v>
      </c>
      <c r="J1334" t="s">
        <v>566</v>
      </c>
      <c r="K1334">
        <v>0.27481572961466832</v>
      </c>
      <c r="L1334" t="s">
        <v>162</v>
      </c>
      <c r="N1334" t="s">
        <v>392</v>
      </c>
      <c r="O1334" t="s">
        <v>566</v>
      </c>
      <c r="P1334">
        <v>9.0802389592710323E-2</v>
      </c>
      <c r="Q1334" t="s">
        <v>162</v>
      </c>
    </row>
    <row r="1335" spans="9:17" x14ac:dyDescent="0.45">
      <c r="I1335" t="s">
        <v>280</v>
      </c>
      <c r="J1335" t="s">
        <v>567</v>
      </c>
      <c r="K1335">
        <v>6.8911526219187138E-3</v>
      </c>
      <c r="L1335" t="s">
        <v>162</v>
      </c>
      <c r="N1335" t="s">
        <v>392</v>
      </c>
      <c r="O1335" t="s">
        <v>567</v>
      </c>
      <c r="P1335">
        <v>0.11261970589170098</v>
      </c>
      <c r="Q1335" t="s">
        <v>162</v>
      </c>
    </row>
    <row r="1336" spans="9:17" x14ac:dyDescent="0.45">
      <c r="I1336" t="s">
        <v>280</v>
      </c>
      <c r="J1336" t="s">
        <v>568</v>
      </c>
      <c r="K1336">
        <v>3.1713765110092676E-2</v>
      </c>
      <c r="L1336" t="s">
        <v>162</v>
      </c>
      <c r="N1336" t="s">
        <v>392</v>
      </c>
      <c r="O1336" t="s">
        <v>568</v>
      </c>
      <c r="P1336">
        <v>1.8493714060041976E-2</v>
      </c>
      <c r="Q1336" t="s">
        <v>162</v>
      </c>
    </row>
    <row r="1337" spans="9:17" x14ac:dyDescent="0.45">
      <c r="I1337" t="s">
        <v>280</v>
      </c>
      <c r="J1337" t="s">
        <v>569</v>
      </c>
      <c r="K1337">
        <v>0.29289124608035066</v>
      </c>
      <c r="L1337" t="s">
        <v>162</v>
      </c>
      <c r="N1337" t="s">
        <v>392</v>
      </c>
      <c r="O1337" t="s">
        <v>569</v>
      </c>
      <c r="P1337">
        <v>8.4044738195612215E-2</v>
      </c>
      <c r="Q1337" t="s">
        <v>162</v>
      </c>
    </row>
    <row r="1338" spans="9:17" x14ac:dyDescent="0.45">
      <c r="I1338" t="s">
        <v>280</v>
      </c>
      <c r="J1338" t="s">
        <v>570</v>
      </c>
      <c r="K1338">
        <v>1.6299061390125002E-2</v>
      </c>
      <c r="L1338" t="s">
        <v>162</v>
      </c>
      <c r="N1338" t="s">
        <v>392</v>
      </c>
      <c r="O1338" t="s">
        <v>570</v>
      </c>
      <c r="P1338">
        <v>0.10297247234930194</v>
      </c>
      <c r="Q1338" t="s">
        <v>162</v>
      </c>
    </row>
    <row r="1339" spans="9:17" x14ac:dyDescent="0.45">
      <c r="I1339" t="s">
        <v>280</v>
      </c>
      <c r="J1339" t="s">
        <v>571</v>
      </c>
      <c r="K1339">
        <v>3.8167259450688364E-2</v>
      </c>
      <c r="L1339" t="s">
        <v>162</v>
      </c>
      <c r="N1339" t="s">
        <v>392</v>
      </c>
      <c r="O1339" t="s">
        <v>571</v>
      </c>
      <c r="P1339">
        <v>1.5500504280613473E-2</v>
      </c>
      <c r="Q1339" t="s">
        <v>162</v>
      </c>
    </row>
    <row r="1340" spans="9:17" x14ac:dyDescent="0.45">
      <c r="I1340" t="s">
        <v>280</v>
      </c>
      <c r="J1340" t="s">
        <v>572</v>
      </c>
      <c r="K1340">
        <v>0.15194695816822371</v>
      </c>
      <c r="L1340" t="s">
        <v>162</v>
      </c>
      <c r="N1340" t="s">
        <v>392</v>
      </c>
      <c r="O1340" t="s">
        <v>572</v>
      </c>
      <c r="P1340">
        <v>0.10272668100283923</v>
      </c>
      <c r="Q1340" t="s">
        <v>162</v>
      </c>
    </row>
    <row r="1341" spans="9:17" x14ac:dyDescent="0.45">
      <c r="I1341" t="s">
        <v>280</v>
      </c>
      <c r="J1341" t="s">
        <v>573</v>
      </c>
      <c r="K1341">
        <v>0</v>
      </c>
      <c r="L1341" t="s">
        <v>162</v>
      </c>
      <c r="N1341" t="s">
        <v>392</v>
      </c>
      <c r="O1341" t="s">
        <v>573</v>
      </c>
      <c r="P1341">
        <v>0.11832222972809116</v>
      </c>
      <c r="Q1341" t="s">
        <v>162</v>
      </c>
    </row>
    <row r="1342" spans="9:17" x14ac:dyDescent="0.45">
      <c r="I1342" t="s">
        <v>280</v>
      </c>
      <c r="J1342" t="s">
        <v>574</v>
      </c>
      <c r="K1342">
        <v>3.7604576980681237E-3</v>
      </c>
      <c r="L1342" t="s">
        <v>162</v>
      </c>
      <c r="N1342" t="s">
        <v>392</v>
      </c>
      <c r="O1342" t="s">
        <v>574</v>
      </c>
      <c r="P1342">
        <v>2.2605779189899918E-2</v>
      </c>
      <c r="Q1342" t="s">
        <v>162</v>
      </c>
    </row>
    <row r="1343" spans="9:17" x14ac:dyDescent="0.45">
      <c r="I1343" t="s">
        <v>281</v>
      </c>
      <c r="J1343" t="s">
        <v>563</v>
      </c>
      <c r="K1343">
        <v>0.19020450216667942</v>
      </c>
      <c r="L1343" t="s">
        <v>162</v>
      </c>
      <c r="N1343" t="s">
        <v>393</v>
      </c>
      <c r="O1343" t="s">
        <v>563</v>
      </c>
      <c r="P1343">
        <v>0.13245938833216173</v>
      </c>
      <c r="Q1343" t="s">
        <v>162</v>
      </c>
    </row>
    <row r="1344" spans="9:17" x14ac:dyDescent="0.45">
      <c r="I1344" t="s">
        <v>281</v>
      </c>
      <c r="J1344" t="s">
        <v>564</v>
      </c>
      <c r="K1344">
        <v>0</v>
      </c>
      <c r="L1344" t="s">
        <v>162</v>
      </c>
      <c r="N1344" t="s">
        <v>393</v>
      </c>
      <c r="O1344" t="s">
        <v>564</v>
      </c>
      <c r="P1344">
        <v>0.13537212284242195</v>
      </c>
      <c r="Q1344" t="s">
        <v>162</v>
      </c>
    </row>
    <row r="1345" spans="9:17" x14ac:dyDescent="0.45">
      <c r="I1345" t="s">
        <v>281</v>
      </c>
      <c r="J1345" t="s">
        <v>565</v>
      </c>
      <c r="K1345">
        <v>6.9481622195290173E-3</v>
      </c>
      <c r="L1345" t="s">
        <v>162</v>
      </c>
      <c r="N1345" t="s">
        <v>393</v>
      </c>
      <c r="O1345" t="s">
        <v>565</v>
      </c>
      <c r="P1345">
        <v>2.3917666122138713E-2</v>
      </c>
      <c r="Q1345" t="s">
        <v>162</v>
      </c>
    </row>
    <row r="1346" spans="9:17" x14ac:dyDescent="0.45">
      <c r="I1346" t="s">
        <v>281</v>
      </c>
      <c r="J1346" t="s">
        <v>566</v>
      </c>
      <c r="K1346">
        <v>0.27539940144567138</v>
      </c>
      <c r="L1346" t="s">
        <v>162</v>
      </c>
      <c r="N1346" t="s">
        <v>393</v>
      </c>
      <c r="O1346" t="s">
        <v>566</v>
      </c>
      <c r="P1346">
        <v>0.10114045736421604</v>
      </c>
      <c r="Q1346" t="s">
        <v>162</v>
      </c>
    </row>
    <row r="1347" spans="9:17" x14ac:dyDescent="0.45">
      <c r="I1347" t="s">
        <v>281</v>
      </c>
      <c r="J1347" t="s">
        <v>567</v>
      </c>
      <c r="K1347">
        <v>5.5982367209036947E-3</v>
      </c>
      <c r="L1347" t="s">
        <v>162</v>
      </c>
      <c r="N1347" t="s">
        <v>393</v>
      </c>
      <c r="O1347" t="s">
        <v>567</v>
      </c>
      <c r="P1347">
        <v>0.11055558144074674</v>
      </c>
      <c r="Q1347" t="s">
        <v>162</v>
      </c>
    </row>
    <row r="1348" spans="9:17" x14ac:dyDescent="0.45">
      <c r="I1348" t="s">
        <v>281</v>
      </c>
      <c r="J1348" t="s">
        <v>568</v>
      </c>
      <c r="K1348">
        <v>2.8576527380075649E-2</v>
      </c>
      <c r="L1348" t="s">
        <v>162</v>
      </c>
      <c r="N1348" t="s">
        <v>393</v>
      </c>
      <c r="O1348" t="s">
        <v>568</v>
      </c>
      <c r="P1348">
        <v>1.9990381077495168E-2</v>
      </c>
      <c r="Q1348" t="s">
        <v>162</v>
      </c>
    </row>
    <row r="1349" spans="9:17" x14ac:dyDescent="0.45">
      <c r="I1349" t="s">
        <v>281</v>
      </c>
      <c r="J1349" t="s">
        <v>569</v>
      </c>
      <c r="K1349">
        <v>0.29282950647465811</v>
      </c>
      <c r="L1349" t="s">
        <v>162</v>
      </c>
      <c r="N1349" t="s">
        <v>393</v>
      </c>
      <c r="O1349" t="s">
        <v>569</v>
      </c>
      <c r="P1349">
        <v>8.387200142080932E-2</v>
      </c>
      <c r="Q1349" t="s">
        <v>162</v>
      </c>
    </row>
    <row r="1350" spans="9:17" x14ac:dyDescent="0.45">
      <c r="I1350" t="s">
        <v>281</v>
      </c>
      <c r="J1350" t="s">
        <v>570</v>
      </c>
      <c r="K1350">
        <v>1.4597750889466238E-2</v>
      </c>
      <c r="L1350" t="s">
        <v>162</v>
      </c>
      <c r="N1350" t="s">
        <v>393</v>
      </c>
      <c r="O1350" t="s">
        <v>570</v>
      </c>
      <c r="P1350">
        <v>9.1923253711856834E-2</v>
      </c>
      <c r="Q1350" t="s">
        <v>162</v>
      </c>
    </row>
    <row r="1351" spans="9:17" x14ac:dyDescent="0.45">
      <c r="I1351" t="s">
        <v>281</v>
      </c>
      <c r="J1351" t="s">
        <v>571</v>
      </c>
      <c r="K1351">
        <v>3.260322628773156E-2</v>
      </c>
      <c r="L1351" t="s">
        <v>162</v>
      </c>
      <c r="N1351" t="s">
        <v>393</v>
      </c>
      <c r="O1351" t="s">
        <v>571</v>
      </c>
      <c r="P1351">
        <v>1.5858410323459964E-2</v>
      </c>
      <c r="Q1351" t="s">
        <v>162</v>
      </c>
    </row>
    <row r="1352" spans="9:17" x14ac:dyDescent="0.45">
      <c r="I1352" t="s">
        <v>281</v>
      </c>
      <c r="J1352" t="s">
        <v>572</v>
      </c>
      <c r="K1352">
        <v>0.15086524025426828</v>
      </c>
      <c r="L1352" t="s">
        <v>162</v>
      </c>
      <c r="N1352" t="s">
        <v>393</v>
      </c>
      <c r="O1352" t="s">
        <v>572</v>
      </c>
      <c r="P1352">
        <v>0.12717769479319249</v>
      </c>
      <c r="Q1352" t="s">
        <v>162</v>
      </c>
    </row>
    <row r="1353" spans="9:17" x14ac:dyDescent="0.45">
      <c r="I1353" t="s">
        <v>281</v>
      </c>
      <c r="J1353" t="s">
        <v>573</v>
      </c>
      <c r="K1353">
        <v>0</v>
      </c>
      <c r="L1353" t="s">
        <v>162</v>
      </c>
      <c r="N1353" t="s">
        <v>393</v>
      </c>
      <c r="O1353" t="s">
        <v>573</v>
      </c>
      <c r="P1353">
        <v>0.13318857074973073</v>
      </c>
      <c r="Q1353" t="s">
        <v>162</v>
      </c>
    </row>
    <row r="1354" spans="9:17" x14ac:dyDescent="0.45">
      <c r="I1354" t="s">
        <v>281</v>
      </c>
      <c r="J1354" t="s">
        <v>574</v>
      </c>
      <c r="K1354">
        <v>2.3774461610131447E-3</v>
      </c>
      <c r="L1354" t="s">
        <v>162</v>
      </c>
      <c r="N1354" t="s">
        <v>393</v>
      </c>
      <c r="O1354" t="s">
        <v>574</v>
      </c>
      <c r="P1354">
        <v>2.4544471821768894E-2</v>
      </c>
      <c r="Q1354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Veda</vt:lpstr>
      <vt:lpstr>fuel_prices</vt:lpstr>
      <vt:lpstr>iea_data</vt:lpstr>
      <vt:lpstr>ar6_r10</vt:lpstr>
      <vt:lpstr>ev_charging_uc</vt:lpstr>
      <vt:lpstr>ts_012</vt:lpstr>
      <vt:lpstr>ts_048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2025-09-18T19:26:36Z</dcterms:modified>
</cp:coreProperties>
</file>