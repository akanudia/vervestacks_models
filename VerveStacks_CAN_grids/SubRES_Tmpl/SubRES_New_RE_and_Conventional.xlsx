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AN_grids\SubRES_Tmpl\"/>
    </mc:Choice>
  </mc:AlternateContent>
  <xr:revisionPtr revIDLastSave="0" documentId="8_{F72CE615-1B5D-43FF-A16B-809AD8A8ACBC}" xr6:coauthVersionLast="47" xr6:coauthVersionMax="47" xr10:uidLastSave="{00000000-0000-0000-0000-000000000000}"/>
  <bookViews>
    <workbookView xWindow="2205" yWindow="2205" windowWidth="21600" windowHeight="12683" firstSheet="8" activeTab="8" xr2:uid="{00000000-000D-0000-FFFF-FFFF00000000}"/>
  </bookViews>
  <sheets>
    <sheet name="misc" sheetId="7" r:id="rId1"/>
    <sheet name="hydro" sheetId="6" r:id="rId2"/>
    <sheet name="ELC_Storage" sheetId="9" r:id="rId3"/>
    <sheet name="EV Battery" sheetId="10" r:id="rId4"/>
    <sheet name="H2 prod" sheetId="11" r:id="rId5"/>
    <sheet name="solar" sheetId="12" r:id="rId6"/>
    <sheet name="wind" sheetId="13" r:id="rId7"/>
    <sheet name="conventional" sheetId="14" r:id="rId8"/>
    <sheet name="grid_transformers" sheetId="15" r:id="rId9"/>
  </sheets>
  <externalReferences>
    <externalReference r:id="rId10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7" l="1"/>
  <c r="J17" i="7"/>
  <c r="J16" i="7"/>
  <c r="J14" i="7"/>
  <c r="J11" i="7"/>
  <c r="O17" i="7"/>
  <c r="J7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19" i="7" l="1"/>
  <c r="J18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16" i="7"/>
  <c r="O15" i="7"/>
  <c r="O10" i="7"/>
  <c r="O14" i="7"/>
  <c r="O12" i="7"/>
  <c r="O11" i="7"/>
  <c r="O9" i="7"/>
  <c r="O8" i="7"/>
  <c r="O13" i="7"/>
  <c r="J8" i="7"/>
  <c r="J6" i="7"/>
  <c r="J5" i="7"/>
  <c r="J4" i="7"/>
</calcChain>
</file>

<file path=xl/sharedStrings.xml><?xml version="1.0" encoding="utf-8"?>
<sst xmlns="http://schemas.openxmlformats.org/spreadsheetml/2006/main" count="6643" uniqueCount="1999">
  <si>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</si>
  <si>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</si>
  <si>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</si>
  <si>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</si>
  <si>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</si>
  <si>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</si>
  <si>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</si>
  <si>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</si>
  <si>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</si>
  <si>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</si>
  <si>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</si>
  <si>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</si>
  <si>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</si>
  <si>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</si>
  <si>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</si>
  <si>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</si>
  <si>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</si>
  <si>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</si>
  <si>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</si>
  <si>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</si>
  <si>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</si>
  <si>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</si>
  <si>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</si>
  <si>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</si>
  <si>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</si>
  <si>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</si>
  <si>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</si>
  <si>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</si>
  <si>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</si>
  <si>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</si>
  <si>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</si>
  <si>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</si>
  <si>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</si>
  <si>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</si>
  <si>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</si>
  <si>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</si>
  <si>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</si>
  <si>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</si>
  <si>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</si>
  <si>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</si>
  <si>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</si>
  <si>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</si>
  <si>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</si>
  <si>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</si>
  <si>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</si>
  <si>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</si>
  <si>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</si>
  <si>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</si>
  <si>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</si>
  <si>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</si>
  <si>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</si>
  <si>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</si>
  <si>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</si>
  <si>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</si>
  <si>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</si>
  <si>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</si>
  <si>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</si>
  <si>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</si>
  <si>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</si>
  <si>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</si>
  <si>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</si>
  <si>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</si>
  <si>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</si>
  <si>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</si>
  <si>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</si>
  <si>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</si>
  <si>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</si>
  <si>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</si>
  <si>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</si>
  <si>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</si>
  <si>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</si>
  <si>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</si>
  <si>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</si>
  <si>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</si>
  <si>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</si>
  <si>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</si>
  <si>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</si>
  <si>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</si>
  <si>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</si>
  <si>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</si>
  <si>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</si>
  <si>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</si>
  <si>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</si>
  <si>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</si>
  <si>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</si>
  <si>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</si>
  <si>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</si>
  <si>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</si>
  <si>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</si>
  <si>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</si>
  <si>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</si>
  <si>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</si>
  <si>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</si>
  <si>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</si>
  <si>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</si>
  <si>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</si>
  <si>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</si>
  <si>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</si>
  <si>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</si>
  <si>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</si>
  <si>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</si>
  <si>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</si>
  <si>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</si>
  <si>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</si>
  <si>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</si>
  <si>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</si>
  <si>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</si>
  <si>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</si>
  <si>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</si>
  <si>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</si>
  <si>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</si>
  <si>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</si>
  <si>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</si>
  <si>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</si>
  <si>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</si>
  <si>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</si>
  <si>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</si>
  <si>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</si>
  <si>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</si>
  <si>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</si>
  <si>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</si>
  <si>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</si>
  <si>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</si>
  <si>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</si>
  <si>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</si>
  <si>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</si>
  <si>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</si>
  <si>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</si>
  <si>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</si>
  <si>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</si>
  <si>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</si>
  <si>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</si>
  <si>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</si>
  <si>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</si>
  <si>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</si>
  <si>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</si>
  <si>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</si>
  <si>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</si>
  <si>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</si>
  <si>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</si>
  <si>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</si>
  <si>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</si>
  <si>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</si>
  <si>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</si>
  <si>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</si>
  <si>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</si>
  <si>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</si>
  <si>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</si>
  <si>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</si>
  <si>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</si>
  <si>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</si>
  <si>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</si>
  <si>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</si>
  <si>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</si>
  <si>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</si>
  <si>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</si>
  <si>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</si>
  <si>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</si>
  <si>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</si>
  <si>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</si>
  <si>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</si>
  <si>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</si>
  <si>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</si>
  <si>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</si>
  <si>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process</t>
  </si>
  <si>
    <t>description</t>
  </si>
  <si>
    <t>timeslicelevel</t>
  </si>
  <si>
    <t>EN_Hydro_CAN-1</t>
  </si>
  <si>
    <t>New Hydro Potential - Canada - Step 1</t>
  </si>
  <si>
    <t>PJ</t>
  </si>
  <si>
    <t>EN_Hydro_CAN-2</t>
  </si>
  <si>
    <t>New Hydro Potential - Canada - Step 2</t>
  </si>
  <si>
    <t>EN_Hydro_CAN-3</t>
  </si>
  <si>
    <t>New Hydro Potential - Canada - Step 3</t>
  </si>
  <si>
    <t>~fi_t</t>
  </si>
  <si>
    <t>CAP_BND</t>
  </si>
  <si>
    <t>INVCOST~USD21_alt</t>
  </si>
  <si>
    <t>AF~FX</t>
  </si>
  <si>
    <t>set</t>
  </si>
  <si>
    <t>capacity_unit</t>
  </si>
  <si>
    <t>activity_unit</t>
  </si>
  <si>
    <t>vintage</t>
  </si>
  <si>
    <t>ele</t>
  </si>
  <si>
    <t>e_spv_001</t>
  </si>
  <si>
    <t>solar resource in cluster 1</t>
  </si>
  <si>
    <t>annual</t>
  </si>
  <si>
    <t>no</t>
  </si>
  <si>
    <t>e_spv_002</t>
  </si>
  <si>
    <t>solar resource in cluster 2</t>
  </si>
  <si>
    <t>e_spv_003</t>
  </si>
  <si>
    <t>solar resource in cluster 3</t>
  </si>
  <si>
    <t>e_spv_004</t>
  </si>
  <si>
    <t>solar resource in cluster 4</t>
  </si>
  <si>
    <t>e_spv_005</t>
  </si>
  <si>
    <t>solar resource in cluster 5</t>
  </si>
  <si>
    <t>e_spv_006</t>
  </si>
  <si>
    <t>solar resource in cluster 6</t>
  </si>
  <si>
    <t>e_spv_007</t>
  </si>
  <si>
    <t>solar resource in cluster 7</t>
  </si>
  <si>
    <t>e_spv_008</t>
  </si>
  <si>
    <t>solar resource in cluster 8</t>
  </si>
  <si>
    <t>e_spv_009</t>
  </si>
  <si>
    <t>solar resource in cluster 9</t>
  </si>
  <si>
    <t>e_spv_010</t>
  </si>
  <si>
    <t>solar resource in cluster 10</t>
  </si>
  <si>
    <t>e_spv_011</t>
  </si>
  <si>
    <t>solar resource in cluster 11</t>
  </si>
  <si>
    <t>e_spv_012</t>
  </si>
  <si>
    <t>solar resource in cluster 12</t>
  </si>
  <si>
    <t>e_spv_013</t>
  </si>
  <si>
    <t>solar resource in cluster 13</t>
  </si>
  <si>
    <t>e_spv_014</t>
  </si>
  <si>
    <t>solar resource in cluster 14</t>
  </si>
  <si>
    <t>e_spv_015</t>
  </si>
  <si>
    <t>solar resource in cluster 15</t>
  </si>
  <si>
    <t>e_spv_016</t>
  </si>
  <si>
    <t>solar resource in cluster 16</t>
  </si>
  <si>
    <t>e_spv_017</t>
  </si>
  <si>
    <t>solar resource in cluster 17</t>
  </si>
  <si>
    <t>e_spv_018</t>
  </si>
  <si>
    <t>solar resource in cluster 18</t>
  </si>
  <si>
    <t>e_spv_019</t>
  </si>
  <si>
    <t>solar resource in cluster 19</t>
  </si>
  <si>
    <t>e_spv_020</t>
  </si>
  <si>
    <t>solar resource in cluster 20</t>
  </si>
  <si>
    <t>e_spv_021</t>
  </si>
  <si>
    <t>solar resource in cluster 21</t>
  </si>
  <si>
    <t>e_spv_022</t>
  </si>
  <si>
    <t>solar resource in cluster 22</t>
  </si>
  <si>
    <t>e_spv_023</t>
  </si>
  <si>
    <t>solar resource in cluster 23</t>
  </si>
  <si>
    <t>e_spv_024</t>
  </si>
  <si>
    <t>solar resource in cluster 24</t>
  </si>
  <si>
    <t>e_spv_025</t>
  </si>
  <si>
    <t>solar resource in cluster 25</t>
  </si>
  <si>
    <t>e_spv_026</t>
  </si>
  <si>
    <t>solar resource in cluster 26</t>
  </si>
  <si>
    <t>e_spv_027</t>
  </si>
  <si>
    <t>solar resource in cluster 27</t>
  </si>
  <si>
    <t>e_spv_028</t>
  </si>
  <si>
    <t>solar resource in cluster 28</t>
  </si>
  <si>
    <t>e_spv_029</t>
  </si>
  <si>
    <t>solar resource in cluster 29</t>
  </si>
  <si>
    <t>e_spv_030</t>
  </si>
  <si>
    <t>solar resource in cluster 30</t>
  </si>
  <si>
    <t>e_spv_031</t>
  </si>
  <si>
    <t>solar resource in cluster 31</t>
  </si>
  <si>
    <t>e_spv_032</t>
  </si>
  <si>
    <t>solar resource in cluster 32</t>
  </si>
  <si>
    <t>e_spv_033</t>
  </si>
  <si>
    <t>solar resource in cluster 33</t>
  </si>
  <si>
    <t>e_spv_034</t>
  </si>
  <si>
    <t>solar resource in cluster 34</t>
  </si>
  <si>
    <t>e_spv_035</t>
  </si>
  <si>
    <t>solar resource in cluster 35</t>
  </si>
  <si>
    <t>e_spv_036</t>
  </si>
  <si>
    <t>solar resource in cluster 36</t>
  </si>
  <si>
    <t>e_spv_037</t>
  </si>
  <si>
    <t>solar resource in cluster 37</t>
  </si>
  <si>
    <t>e_spv_038</t>
  </si>
  <si>
    <t>solar resource in cluster 38</t>
  </si>
  <si>
    <t>e_spv_039</t>
  </si>
  <si>
    <t>solar resource in cluster 39</t>
  </si>
  <si>
    <t>e_spv_040</t>
  </si>
  <si>
    <t>solar resource in cluster 40</t>
  </si>
  <si>
    <t>e_spv_041</t>
  </si>
  <si>
    <t>solar resource in cluster 41</t>
  </si>
  <si>
    <t>e_spv_042</t>
  </si>
  <si>
    <t>solar resource in cluster 42</t>
  </si>
  <si>
    <t>e_spv_043</t>
  </si>
  <si>
    <t>solar resource in cluster 43</t>
  </si>
  <si>
    <t>e_spv_044</t>
  </si>
  <si>
    <t>solar resource in cluster 44</t>
  </si>
  <si>
    <t>e_spv_045</t>
  </si>
  <si>
    <t>solar resource in cluster 45</t>
  </si>
  <si>
    <t>e_spv_046</t>
  </si>
  <si>
    <t>solar resource in cluster 46</t>
  </si>
  <si>
    <t>e_spv_047</t>
  </si>
  <si>
    <t>solar resource in cluster 47</t>
  </si>
  <si>
    <t>e_spv_048</t>
  </si>
  <si>
    <t>solar resource in cluster 48</t>
  </si>
  <si>
    <t>e_spv_049</t>
  </si>
  <si>
    <t>solar resource in cluster 49</t>
  </si>
  <si>
    <t>e_spv_050</t>
  </si>
  <si>
    <t>solar resource in cluster 50</t>
  </si>
  <si>
    <t>e_spv_051</t>
  </si>
  <si>
    <t>solar resource in cluster 51</t>
  </si>
  <si>
    <t>e_spv_052</t>
  </si>
  <si>
    <t>solar resource in cluster 52</t>
  </si>
  <si>
    <t>e_spv_053</t>
  </si>
  <si>
    <t>solar resource in cluster 53</t>
  </si>
  <si>
    <t>e_spv_054</t>
  </si>
  <si>
    <t>solar resource in cluster 54</t>
  </si>
  <si>
    <t>e_spv_055</t>
  </si>
  <si>
    <t>solar resource in cluster 55</t>
  </si>
  <si>
    <t>e_spv_056</t>
  </si>
  <si>
    <t>solar resource in cluster 56</t>
  </si>
  <si>
    <t>e_spv_057</t>
  </si>
  <si>
    <t>solar resource in cluster 57</t>
  </si>
  <si>
    <t>e_spv_058</t>
  </si>
  <si>
    <t>solar resource in cluster 58</t>
  </si>
  <si>
    <t>e_spv_059</t>
  </si>
  <si>
    <t>solar resource in cluster 59</t>
  </si>
  <si>
    <t>e_spv_060</t>
  </si>
  <si>
    <t>solar resource in cluster 60</t>
  </si>
  <si>
    <t>e_spv_061</t>
  </si>
  <si>
    <t>solar resource in cluster 61</t>
  </si>
  <si>
    <t>e_spv_062</t>
  </si>
  <si>
    <t>solar resource in cluster 62</t>
  </si>
  <si>
    <t>e_spv_063</t>
  </si>
  <si>
    <t>solar resource in cluster 63</t>
  </si>
  <si>
    <t>e_spv_064</t>
  </si>
  <si>
    <t>solar resource in cluster 64</t>
  </si>
  <si>
    <t>e_spv_065</t>
  </si>
  <si>
    <t>solar resource in cluster 65</t>
  </si>
  <si>
    <t>e_spv_066</t>
  </si>
  <si>
    <t>solar resource in cluster 66</t>
  </si>
  <si>
    <t>e_spv_067</t>
  </si>
  <si>
    <t>solar resource in cluster 67</t>
  </si>
  <si>
    <t>e_spv_068</t>
  </si>
  <si>
    <t>solar resource in cluster 68</t>
  </si>
  <si>
    <t>e_spv_069</t>
  </si>
  <si>
    <t>solar resource in cluster 69</t>
  </si>
  <si>
    <t>e_spv_070</t>
  </si>
  <si>
    <t>solar resource in cluster 70</t>
  </si>
  <si>
    <t>e_spv_071</t>
  </si>
  <si>
    <t>solar resource in cluster 71</t>
  </si>
  <si>
    <t>e_spv_072</t>
  </si>
  <si>
    <t>solar resource in cluster 72</t>
  </si>
  <si>
    <t>e_spv_073</t>
  </si>
  <si>
    <t>solar resource in cluster 73</t>
  </si>
  <si>
    <t>e_spv_074</t>
  </si>
  <si>
    <t>solar resource in cluster 74</t>
  </si>
  <si>
    <t>e_spv_075</t>
  </si>
  <si>
    <t>solar resource in cluster 75</t>
  </si>
  <si>
    <t>e_spv_076</t>
  </si>
  <si>
    <t>solar resource in cluster 76</t>
  </si>
  <si>
    <t>e_spv_077</t>
  </si>
  <si>
    <t>solar resource in cluster 77</t>
  </si>
  <si>
    <t>e_spv_078</t>
  </si>
  <si>
    <t>solar resource in cluster 78</t>
  </si>
  <si>
    <t>e_spv_079</t>
  </si>
  <si>
    <t>solar resource in cluster 79</t>
  </si>
  <si>
    <t>e_spv_080</t>
  </si>
  <si>
    <t>solar resource in cluster 80</t>
  </si>
  <si>
    <t>e_spv_081</t>
  </si>
  <si>
    <t>solar resource in cluster 81</t>
  </si>
  <si>
    <t>e_spv_082</t>
  </si>
  <si>
    <t>solar resource in cluster 82</t>
  </si>
  <si>
    <t>e_spv_083</t>
  </si>
  <si>
    <t>solar resource in cluster 83</t>
  </si>
  <si>
    <t>e_spv_084</t>
  </si>
  <si>
    <t>solar resource in cluster 84</t>
  </si>
  <si>
    <t>e_spv_085</t>
  </si>
  <si>
    <t>solar resource in cluster 85</t>
  </si>
  <si>
    <t>e_spv_086</t>
  </si>
  <si>
    <t>solar resource in cluster 86</t>
  </si>
  <si>
    <t>e_spv_087</t>
  </si>
  <si>
    <t>solar resource in cluster 87</t>
  </si>
  <si>
    <t>e_spv_088</t>
  </si>
  <si>
    <t>solar resource in cluster 88</t>
  </si>
  <si>
    <t>e_spv_089</t>
  </si>
  <si>
    <t>solar resource in cluster 89</t>
  </si>
  <si>
    <t>e_spv_090</t>
  </si>
  <si>
    <t>solar resource in cluster 90</t>
  </si>
  <si>
    <t>e_spv_091</t>
  </si>
  <si>
    <t>solar resource in cluster 91</t>
  </si>
  <si>
    <t>e_spv_092</t>
  </si>
  <si>
    <t>solar resource in cluster 92</t>
  </si>
  <si>
    <t>e_spv_093</t>
  </si>
  <si>
    <t>solar resource in cluster 93</t>
  </si>
  <si>
    <t>e_spv_094</t>
  </si>
  <si>
    <t>solar resource in cluster 94</t>
  </si>
  <si>
    <t>e_spv_095</t>
  </si>
  <si>
    <t>solar resource in cluster 95</t>
  </si>
  <si>
    <t>e_spv_096</t>
  </si>
  <si>
    <t>solar resource in cluster 96</t>
  </si>
  <si>
    <t>e_spv_097</t>
  </si>
  <si>
    <t>solar resource in cluster 97</t>
  </si>
  <si>
    <t>e_spv_098</t>
  </si>
  <si>
    <t>solar resource in cluster 98</t>
  </si>
  <si>
    <t>e_spv_099</t>
  </si>
  <si>
    <t>solar resource in cluster 99</t>
  </si>
  <si>
    <t>e_spv_100</t>
  </si>
  <si>
    <t>solar resource in cluster 100</t>
  </si>
  <si>
    <t>e_spv_101</t>
  </si>
  <si>
    <t>solar resource in cluster 101</t>
  </si>
  <si>
    <t>e_spv_102</t>
  </si>
  <si>
    <t>solar resource in cluster 102</t>
  </si>
  <si>
    <t>e_spv_103</t>
  </si>
  <si>
    <t>solar resource in cluster 103</t>
  </si>
  <si>
    <t>e_spv_104</t>
  </si>
  <si>
    <t>solar resource in cluster 104</t>
  </si>
  <si>
    <t>e_spv_105</t>
  </si>
  <si>
    <t>solar resource in cluster 105</t>
  </si>
  <si>
    <t>e_spv_106</t>
  </si>
  <si>
    <t>solar resource in cluster 106</t>
  </si>
  <si>
    <t>e_spv_107</t>
  </si>
  <si>
    <t>solar resource in cluster 107</t>
  </si>
  <si>
    <t>e_spv_108</t>
  </si>
  <si>
    <t>solar resource in cluster 108</t>
  </si>
  <si>
    <t>e_spv_109</t>
  </si>
  <si>
    <t>solar resource in cluster 109</t>
  </si>
  <si>
    <t>e_spv_110</t>
  </si>
  <si>
    <t>solar resource in cluster 110</t>
  </si>
  <si>
    <t>e_spv_111</t>
  </si>
  <si>
    <t>solar resource in cluster 111</t>
  </si>
  <si>
    <t>e_spv_112</t>
  </si>
  <si>
    <t>solar resource in cluster 112</t>
  </si>
  <si>
    <t>comm-out</t>
  </si>
  <si>
    <t>cap_bnd</t>
  </si>
  <si>
    <t>af~fx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</si>
  <si>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</si>
  <si>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</si>
  <si>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</si>
  <si>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</si>
  <si>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</si>
  <si>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</si>
  <si>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</si>
  <si>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</si>
  <si>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</si>
  <si>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</si>
  <si>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</si>
  <si>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</si>
  <si>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</si>
  <si>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</si>
  <si>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</si>
  <si>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</si>
  <si>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</si>
  <si>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</si>
  <si>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</si>
  <si>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</si>
  <si>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</si>
  <si>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</si>
  <si>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</si>
  <si>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</si>
  <si>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elc_spv_025</t>
  </si>
  <si>
    <t>elc_spv_026</t>
  </si>
  <si>
    <t>elc_spv_027</t>
  </si>
  <si>
    <t>elc_spv_028</t>
  </si>
  <si>
    <t>elc_spv_029</t>
  </si>
  <si>
    <t>elc_spv_030</t>
  </si>
  <si>
    <t>elc_spv_031</t>
  </si>
  <si>
    <t>elc_spv_032</t>
  </si>
  <si>
    <t>elc_spv_033</t>
  </si>
  <si>
    <t>elc_spv_034</t>
  </si>
  <si>
    <t>elc_spv_035</t>
  </si>
  <si>
    <t>elc_spv_036</t>
  </si>
  <si>
    <t>elc_spv_037</t>
  </si>
  <si>
    <t>elc_spv_038</t>
  </si>
  <si>
    <t>elc_spv_039</t>
  </si>
  <si>
    <t>elc_spv_040</t>
  </si>
  <si>
    <t>elc_spv_041</t>
  </si>
  <si>
    <t>elc_spv_042</t>
  </si>
  <si>
    <t>elc_spv_043</t>
  </si>
  <si>
    <t>elc_spv_044</t>
  </si>
  <si>
    <t>elc_spv_045</t>
  </si>
  <si>
    <t>elc_spv_046</t>
  </si>
  <si>
    <t>elc_spv_047</t>
  </si>
  <si>
    <t>elc_spv_048</t>
  </si>
  <si>
    <t>elc_spv_049</t>
  </si>
  <si>
    <t>elc_spv_050</t>
  </si>
  <si>
    <t>elc_spv_051</t>
  </si>
  <si>
    <t>elc_spv_052</t>
  </si>
  <si>
    <t>elc_spv_053</t>
  </si>
  <si>
    <t>elc_spv_054</t>
  </si>
  <si>
    <t>elc_spv_055</t>
  </si>
  <si>
    <t>elc_spv_056</t>
  </si>
  <si>
    <t>elc_spv_057</t>
  </si>
  <si>
    <t>elc_spv_058</t>
  </si>
  <si>
    <t>elc_spv_059</t>
  </si>
  <si>
    <t>elc_spv_060</t>
  </si>
  <si>
    <t>elc_spv_061</t>
  </si>
  <si>
    <t>elc_spv_062</t>
  </si>
  <si>
    <t>elc_spv_063</t>
  </si>
  <si>
    <t>elc_spv_064</t>
  </si>
  <si>
    <t>elc_spv_065</t>
  </si>
  <si>
    <t>elc_spv_066</t>
  </si>
  <si>
    <t>elc_spv_067</t>
  </si>
  <si>
    <t>elc_spv_068</t>
  </si>
  <si>
    <t>elc_spv_069</t>
  </si>
  <si>
    <t>elc_spv_070</t>
  </si>
  <si>
    <t>elc_spv_071</t>
  </si>
  <si>
    <t>elc_spv_072</t>
  </si>
  <si>
    <t>elc_spv_073</t>
  </si>
  <si>
    <t>elc_spv_074</t>
  </si>
  <si>
    <t>elc_spv_075</t>
  </si>
  <si>
    <t>elc_spv_076</t>
  </si>
  <si>
    <t>elc_spv_077</t>
  </si>
  <si>
    <t>elc_spv_078</t>
  </si>
  <si>
    <t>elc_spv_079</t>
  </si>
  <si>
    <t>elc_spv_080</t>
  </si>
  <si>
    <t>elc_spv_081</t>
  </si>
  <si>
    <t>elc_spv_082</t>
  </si>
  <si>
    <t>elc_spv_083</t>
  </si>
  <si>
    <t>elc_spv_084</t>
  </si>
  <si>
    <t>elc_spv_085</t>
  </si>
  <si>
    <t>elc_spv_086</t>
  </si>
  <si>
    <t>elc_spv_087</t>
  </si>
  <si>
    <t>elc_spv_088</t>
  </si>
  <si>
    <t>elc_spv_089</t>
  </si>
  <si>
    <t>elc_spv_090</t>
  </si>
  <si>
    <t>elc_spv_091</t>
  </si>
  <si>
    <t>elc_spv_092</t>
  </si>
  <si>
    <t>elc_spv_093</t>
  </si>
  <si>
    <t>elc_spv_094</t>
  </si>
  <si>
    <t>elc_spv_095</t>
  </si>
  <si>
    <t>elc_spv_096</t>
  </si>
  <si>
    <t>elc_spv_097</t>
  </si>
  <si>
    <t>elc_spv_098</t>
  </si>
  <si>
    <t>elc_spv_099</t>
  </si>
  <si>
    <t>elc_spv_100</t>
  </si>
  <si>
    <t>elc_spv_101</t>
  </si>
  <si>
    <t>elc_spv_102</t>
  </si>
  <si>
    <t>elc_spv_103</t>
  </si>
  <si>
    <t>elc_spv_104</t>
  </si>
  <si>
    <t>elc_spv_105</t>
  </si>
  <si>
    <t>elc_spv_106</t>
  </si>
  <si>
    <t>elc_spv_107</t>
  </si>
  <si>
    <t>elc_spv_108</t>
  </si>
  <si>
    <t>elc_spv_109</t>
  </si>
  <si>
    <t>elc_spv_110</t>
  </si>
  <si>
    <t>elc_spv_111</t>
  </si>
  <si>
    <t>elc_spv_112</t>
  </si>
  <si>
    <t>primarycg</t>
  </si>
  <si>
    <t>pre</t>
  </si>
  <si>
    <t>distr_solelc_spv_042</t>
  </si>
  <si>
    <t>connecting solar to buses in cluster 42</t>
  </si>
  <si>
    <t>NRGI</t>
  </si>
  <si>
    <t>daynite</t>
  </si>
  <si>
    <t>distr_solelc_spv_022</t>
  </si>
  <si>
    <t>connecting solar to buses in cluster 22</t>
  </si>
  <si>
    <t>distr_solelc_spv_018</t>
  </si>
  <si>
    <t>connecting solar to buses in cluster 18</t>
  </si>
  <si>
    <t>distr_solelc_spv_007</t>
  </si>
  <si>
    <t>connecting solar to buses in cluster 7</t>
  </si>
  <si>
    <t>distr_solelc_spv_002</t>
  </si>
  <si>
    <t>connecting solar to buses in cluster 2</t>
  </si>
  <si>
    <t>distr_solelc_spv_087</t>
  </si>
  <si>
    <t>connecting solar to buses in cluster 87</t>
  </si>
  <si>
    <t>distr_solelc_spv_089</t>
  </si>
  <si>
    <t>connecting solar to buses in cluster 89</t>
  </si>
  <si>
    <t>distr_solelc_spv_110</t>
  </si>
  <si>
    <t>connecting solar to buses in cluster 110</t>
  </si>
  <si>
    <t>distr_solelc_spv_106</t>
  </si>
  <si>
    <t>connecting solar to buses in cluster 106</t>
  </si>
  <si>
    <t>distr_solelc_spv_035</t>
  </si>
  <si>
    <t>connecting solar to buses in cluster 35</t>
  </si>
  <si>
    <t>distr_solelc_spv_033</t>
  </si>
  <si>
    <t>connecting solar to buses in cluster 33</t>
  </si>
  <si>
    <t>distr_solelc_spv_009</t>
  </si>
  <si>
    <t>connecting solar to buses in cluster 9</t>
  </si>
  <si>
    <t>distr_solelc_spv_102</t>
  </si>
  <si>
    <t>connecting solar to buses in cluster 102</t>
  </si>
  <si>
    <t>distr_solelc_spv_060</t>
  </si>
  <si>
    <t>connecting solar to buses in cluster 60</t>
  </si>
  <si>
    <t>distr_solelc_spv_050</t>
  </si>
  <si>
    <t>connecting solar to buses in cluster 50</t>
  </si>
  <si>
    <t>distr_solelc_spv_052</t>
  </si>
  <si>
    <t>connecting solar to buses in cluster 52</t>
  </si>
  <si>
    <t>distr_solelc_spv_003</t>
  </si>
  <si>
    <t>connecting solar to buses in cluster 3</t>
  </si>
  <si>
    <t>distr_solelc_spv_086</t>
  </si>
  <si>
    <t>connecting solar to buses in cluster 86</t>
  </si>
  <si>
    <t>distr_solelc_spv_096</t>
  </si>
  <si>
    <t>connecting solar to buses in cluster 96</t>
  </si>
  <si>
    <t>distr_solelc_spv_051</t>
  </si>
  <si>
    <t>connecting solar to buses in cluster 51</t>
  </si>
  <si>
    <t>distr_solelc_spv_047</t>
  </si>
  <si>
    <t>connecting solar to buses in cluster 47</t>
  </si>
  <si>
    <t>distr_solelc_spv_031</t>
  </si>
  <si>
    <t>connecting solar to buses in cluster 31</t>
  </si>
  <si>
    <t>distr_solelc_spv_027</t>
  </si>
  <si>
    <t>connecting solar to buses in cluster 27</t>
  </si>
  <si>
    <t>distr_solelc_spv_004</t>
  </si>
  <si>
    <t>connecting solar to buses in cluster 4</t>
  </si>
  <si>
    <t>distr_solelc_spv_074</t>
  </si>
  <si>
    <t>connecting solar to buses in cluster 74</t>
  </si>
  <si>
    <t>distr_solelc_spv_081</t>
  </si>
  <si>
    <t>connecting solar to buses in cluster 81</t>
  </si>
  <si>
    <t>distr_solelc_spv_091</t>
  </si>
  <si>
    <t>connecting solar to buses in cluster 91</t>
  </si>
  <si>
    <t>distr_solelc_spv_069</t>
  </si>
  <si>
    <t>connecting solar to buses in cluster 69</t>
  </si>
  <si>
    <t>distr_solelc_spv_111</t>
  </si>
  <si>
    <t>connecting solar to buses in cluster 111</t>
  </si>
  <si>
    <t>distr_solelc_spv_059</t>
  </si>
  <si>
    <t>connecting solar to buses in cluster 59</t>
  </si>
  <si>
    <t>distr_solelc_spv_061</t>
  </si>
  <si>
    <t>connecting solar to buses in cluster 61</t>
  </si>
  <si>
    <t>distr_solelc_spv_053</t>
  </si>
  <si>
    <t>connecting solar to buses in cluster 53</t>
  </si>
  <si>
    <t>distr_solelc_spv_011</t>
  </si>
  <si>
    <t>connecting solar to buses in cluster 11</t>
  </si>
  <si>
    <t>distr_solelc_spv_079</t>
  </si>
  <si>
    <t>connecting solar to buses in cluster 79</t>
  </si>
  <si>
    <t>distr_solelc_spv_056</t>
  </si>
  <si>
    <t>connecting solar to buses in cluster 56</t>
  </si>
  <si>
    <t>distr_solelc_spv_038</t>
  </si>
  <si>
    <t>connecting solar to buses in cluster 38</t>
  </si>
  <si>
    <t>distr_solelc_spv_037</t>
  </si>
  <si>
    <t>connecting solar to buses in cluster 37</t>
  </si>
  <si>
    <t>distr_solelc_spv_045</t>
  </si>
  <si>
    <t>connecting solar to buses in cluster 45</t>
  </si>
  <si>
    <t>distr_solelc_spv_020</t>
  </si>
  <si>
    <t>connecting solar to buses in cluster 20</t>
  </si>
  <si>
    <t>distr_solelc_spv_019</t>
  </si>
  <si>
    <t>connecting solar to buses in cluster 19</t>
  </si>
  <si>
    <t>distr_solelc_spv_005</t>
  </si>
  <si>
    <t>connecting solar to buses in cluster 5</t>
  </si>
  <si>
    <t>distr_solelc_spv_075</t>
  </si>
  <si>
    <t>connecting solar to buses in cluster 75</t>
  </si>
  <si>
    <t>distr_solelc_spv_109</t>
  </si>
  <si>
    <t>connecting solar to buses in cluster 109</t>
  </si>
  <si>
    <t>distr_solelc_spv_049</t>
  </si>
  <si>
    <t>connecting solar to buses in cluster 49</t>
  </si>
  <si>
    <t>distr_solelc_spv_041</t>
  </si>
  <si>
    <t>connecting solar to buses in cluster 41</t>
  </si>
  <si>
    <t>distr_solelc_spv_026</t>
  </si>
  <si>
    <t>connecting solar to buses in cluster 26</t>
  </si>
  <si>
    <t>distr_solelc_spv_073</t>
  </si>
  <si>
    <t>connecting solar to buses in cluster 73</t>
  </si>
  <si>
    <t>distr_solelc_spv_072</t>
  </si>
  <si>
    <t>connecting solar to buses in cluster 72</t>
  </si>
  <si>
    <t>distr_solelc_spv_058</t>
  </si>
  <si>
    <t>connecting solar to buses in cluster 58</t>
  </si>
  <si>
    <t>distr_solelc_spv_040</t>
  </si>
  <si>
    <t>connecting solar to buses in cluster 40</t>
  </si>
  <si>
    <t>distr_solelc_spv_028</t>
  </si>
  <si>
    <t>connecting solar to buses in cluster 28</t>
  </si>
  <si>
    <t>distr_solelc_spv_010</t>
  </si>
  <si>
    <t>connecting solar to buses in cluster 10</t>
  </si>
  <si>
    <t>distr_solelc_spv_065</t>
  </si>
  <si>
    <t>connecting solar to buses in cluster 65</t>
  </si>
  <si>
    <t>distr_solelc_spv_044</t>
  </si>
  <si>
    <t>connecting solar to buses in cluster 44</t>
  </si>
  <si>
    <t>distr_solelc_spv_021</t>
  </si>
  <si>
    <t>connecting solar to buses in cluster 21</t>
  </si>
  <si>
    <t>distr_solelc_spv_025</t>
  </si>
  <si>
    <t>connecting solar to buses in cluster 25</t>
  </si>
  <si>
    <t>distr_solelc_spv_090</t>
  </si>
  <si>
    <t>connecting solar to buses in cluster 90</t>
  </si>
  <si>
    <t>distr_solelc_spv_098</t>
  </si>
  <si>
    <t>connecting solar to buses in cluster 98</t>
  </si>
  <si>
    <t>distr_solelc_spv_066</t>
  </si>
  <si>
    <t>connecting solar to buses in cluster 66</t>
  </si>
  <si>
    <t>distr_solelc_spv_071</t>
  </si>
  <si>
    <t>connecting solar to buses in cluster 71</t>
  </si>
  <si>
    <t>distr_solelc_spv_013</t>
  </si>
  <si>
    <t>connecting solar to buses in cluster 13</t>
  </si>
  <si>
    <t>distr_solelc_spv_078</t>
  </si>
  <si>
    <t>connecting solar to buses in cluster 78</t>
  </si>
  <si>
    <t>distr_solelc_spv_097</t>
  </si>
  <si>
    <t>connecting solar to buses in cluster 97</t>
  </si>
  <si>
    <t>distr_solelc_spv_093</t>
  </si>
  <si>
    <t>connecting solar to buses in cluster 93</t>
  </si>
  <si>
    <t>distr_solelc_spv_062</t>
  </si>
  <si>
    <t>connecting solar to buses in cluster 62</t>
  </si>
  <si>
    <t>distr_solelc_spv_057</t>
  </si>
  <si>
    <t>connecting solar to buses in cluster 57</t>
  </si>
  <si>
    <t>distr_solelc_spv_036</t>
  </si>
  <si>
    <t>connecting solar to buses in cluster 36</t>
  </si>
  <si>
    <t>distr_solelc_spv_030</t>
  </si>
  <si>
    <t>connecting solar to buses in cluster 30</t>
  </si>
  <si>
    <t>distr_solelc_spv_088</t>
  </si>
  <si>
    <t>connecting solar to buses in cluster 88</t>
  </si>
  <si>
    <t>distr_solelc_spv_092</t>
  </si>
  <si>
    <t>connecting solar to buses in cluster 92</t>
  </si>
  <si>
    <t>distr_solelc_spv_068</t>
  </si>
  <si>
    <t>connecting solar to buses in cluster 68</t>
  </si>
  <si>
    <t>distr_solelc_spv_112</t>
  </si>
  <si>
    <t>connecting solar to buses in cluster 112</t>
  </si>
  <si>
    <t>distr_solelc_spv_105</t>
  </si>
  <si>
    <t>connecting solar to buses in cluster 105</t>
  </si>
  <si>
    <t>distr_solelc_spv_104</t>
  </si>
  <si>
    <t>connecting solar to buses in cluster 104</t>
  </si>
  <si>
    <t>distr_solelc_spv_034</t>
  </si>
  <si>
    <t>connecting solar to buses in cluster 34</t>
  </si>
  <si>
    <t>distr_solelc_spv_015</t>
  </si>
  <si>
    <t>connecting solar to buses in cluster 15</t>
  </si>
  <si>
    <t>distr_solelc_spv_083</t>
  </si>
  <si>
    <t>connecting solar to buses in cluster 83</t>
  </si>
  <si>
    <t>distr_solelc_spv_064</t>
  </si>
  <si>
    <t>connecting solar to buses in cluster 64</t>
  </si>
  <si>
    <t>distr_solelc_spv_070</t>
  </si>
  <si>
    <t>connecting solar to buses in cluster 70</t>
  </si>
  <si>
    <t>distr_solelc_spv_063</t>
  </si>
  <si>
    <t>connecting solar to buses in cluster 63</t>
  </si>
  <si>
    <t>distr_solelc_spv_054</t>
  </si>
  <si>
    <t>connecting solar to buses in cluster 54</t>
  </si>
  <si>
    <t>distr_solelc_spv_029</t>
  </si>
  <si>
    <t>connecting solar to buses in cluster 29</t>
  </si>
  <si>
    <t>distr_solelc_spv_014</t>
  </si>
  <si>
    <t>connecting solar to buses in cluster 14</t>
  </si>
  <si>
    <t>distr_solelc_spv_082</t>
  </si>
  <si>
    <t>connecting solar to buses in cluster 82</t>
  </si>
  <si>
    <t>distr_solelc_spv_100</t>
  </si>
  <si>
    <t>connecting solar to buses in cluster 100</t>
  </si>
  <si>
    <t>distr_solelc_spv_024</t>
  </si>
  <si>
    <t>connecting solar to buses in cluster 24</t>
  </si>
  <si>
    <t>distr_solelc_spv_032</t>
  </si>
  <si>
    <t>connecting solar to buses in cluster 32</t>
  </si>
  <si>
    <t>distr_solelc_spv_017</t>
  </si>
  <si>
    <t>connecting solar to buses in cluster 17</t>
  </si>
  <si>
    <t>distr_solelc_spv_016</t>
  </si>
  <si>
    <t>connecting solar to buses in cluster 16</t>
  </si>
  <si>
    <t>distr_solelc_spv_001</t>
  </si>
  <si>
    <t>connecting solar to buses in cluster 1</t>
  </si>
  <si>
    <t>distr_solelc_spv_008</t>
  </si>
  <si>
    <t>connecting solar to buses in cluster 8</t>
  </si>
  <si>
    <t>distr_solelc_spv_006</t>
  </si>
  <si>
    <t>connecting solar to buses in cluster 6</t>
  </si>
  <si>
    <t>distr_solelc_spv_085</t>
  </si>
  <si>
    <t>connecting solar to buses in cluster 85</t>
  </si>
  <si>
    <t>distr_solelc_spv_084</t>
  </si>
  <si>
    <t>connecting solar to buses in cluster 84</t>
  </si>
  <si>
    <t>distr_solelc_spv_101</t>
  </si>
  <si>
    <t>connecting solar to buses in cluster 101</t>
  </si>
  <si>
    <t>distr_solelc_spv_046</t>
  </si>
  <si>
    <t>connecting solar to buses in cluster 46</t>
  </si>
  <si>
    <t>distr_solelc_spv_043</t>
  </si>
  <si>
    <t>connecting solar to buses in cluster 43</t>
  </si>
  <si>
    <t>distr_solelc_spv_023</t>
  </si>
  <si>
    <t>connecting solar to buses in cluster 23</t>
  </si>
  <si>
    <t>distr_solelc_spv_080</t>
  </si>
  <si>
    <t>connecting solar to buses in cluster 80</t>
  </si>
  <si>
    <t>distr_solelc_spv_099</t>
  </si>
  <si>
    <t>connecting solar to buses in cluster 99</t>
  </si>
  <si>
    <t>distr_solelc_spv_095</t>
  </si>
  <si>
    <t>connecting solar to buses in cluster 95</t>
  </si>
  <si>
    <t>distr_solelc_spv_103</t>
  </si>
  <si>
    <t>connecting solar to buses in cluster 103</t>
  </si>
  <si>
    <t>distr_solelc_spv_048</t>
  </si>
  <si>
    <t>connecting solar to buses in cluster 48</t>
  </si>
  <si>
    <t>distr_solelc_spv_055</t>
  </si>
  <si>
    <t>connecting solar to buses in cluster 55</t>
  </si>
  <si>
    <t>distr_solelc_spv_039</t>
  </si>
  <si>
    <t>connecting solar to buses in cluster 39</t>
  </si>
  <si>
    <t>distr_solelc_spv_012</t>
  </si>
  <si>
    <t>connecting solar to buses in cluster 12</t>
  </si>
  <si>
    <t>distr_solelc_spv_077</t>
  </si>
  <si>
    <t>connecting solar to buses in cluster 77</t>
  </si>
  <si>
    <t>distr_solelc_spv_076</t>
  </si>
  <si>
    <t>connecting solar to buses in cluster 76</t>
  </si>
  <si>
    <t>distr_solelc_spv_094</t>
  </si>
  <si>
    <t>connecting solar to buses in cluster 94</t>
  </si>
  <si>
    <t>distr_solelc_spv_067</t>
  </si>
  <si>
    <t>connecting solar to buses in cluster 67</t>
  </si>
  <si>
    <t>distr_solelc_spv_108</t>
  </si>
  <si>
    <t>connecting solar to buses in cluster 108</t>
  </si>
  <si>
    <t>distr_solelc_spv_107</t>
  </si>
  <si>
    <t>connecting solar to buses in cluster 107</t>
  </si>
  <si>
    <t>comm-in</t>
  </si>
  <si>
    <t>ncap_cost~USD21_alt</t>
  </si>
  <si>
    <t>e_w273447830-240,e_w401774037-240,e_w401679870-240</t>
  </si>
  <si>
    <t>e_w401679870-240,e_w504803033-240,e_w675398070-240</t>
  </si>
  <si>
    <t>e_CA193-500,e_w609824151-240</t>
  </si>
  <si>
    <t>e_w163080106-500,e_w273639295-500,e_w246652207-500,e_w77418180-500</t>
  </si>
  <si>
    <t>e_w163080106-500,e_w255866641-500,e_w543432160-315</t>
  </si>
  <si>
    <t>e_w255866641-500,e_w321501597-315,e_w543432160-315</t>
  </si>
  <si>
    <t>e_CA343-765,e_CA295-315,e_w92544660-315,e_CA307-315,e_w92692708-315,e_w33144100-315,e_CA312-315,e_CA289-315,e_CA283-735,e_w322402551-735,e_r11990161-735,e_CA274-315,e_r13076509-735,e_w909010599-735,e_CA265-315,e_w302580598-315,e_w201247095-735,e_w104087942-315,e_w96456442-315,e_w191437318-315,e_w510844836-315</t>
  </si>
  <si>
    <t>e_w816708307-315,e_w550172871-315</t>
  </si>
  <si>
    <t>e_w323166651-315,e_w323166651-735,e_CA50-315</t>
  </si>
  <si>
    <t>e_w29999719-500,e_w243819450-500,e_CA193-500,e_CA200-500</t>
  </si>
  <si>
    <t>e_w675398070-240,e_w29999719-500,e_w609824151-240,e_w243819450-500</t>
  </si>
  <si>
    <t>e_CA193-500</t>
  </si>
  <si>
    <t>e_w269811579-345,e_w1293508819-315</t>
  </si>
  <si>
    <t>e_w172651669-287,e_w911613022-287,e_w610199880-287,e_CA30-287,e_w92198390-500,e_r12377895-287,e_w92198390-287</t>
  </si>
  <si>
    <t>e_w911609411-500,e_w398726503-240</t>
  </si>
  <si>
    <t>e_w911609411-500,e_w398726503-240,e_w399079326-240,e_CA19-240,e_w398726492-240</t>
  </si>
  <si>
    <t>e_w255866641-500,e_w163080106-500</t>
  </si>
  <si>
    <t>e_w255866641-500,e_w321501597-315</t>
  </si>
  <si>
    <t>e_CA87-315,e_w323866585-315,e_CA82-315,e_CA55-315,e_w183866276-735</t>
  </si>
  <si>
    <t>e_w401286612-240,e_w399079326-240,e_w401273523-240,e_w398726503-240,e_w503590360-240,e_w359240596-240,e_CA25-240,e_CA19-240,e_w398726492-240</t>
  </si>
  <si>
    <t>e_w378557564-240,e_w398417830-240,e_w832487832-240,e_CA1-240,e_w504215807-240,e_w398417796-240</t>
  </si>
  <si>
    <t>e_w675398070-240</t>
  </si>
  <si>
    <t>e_w609824151-240</t>
  </si>
  <si>
    <t>e_w255866641-500</t>
  </si>
  <si>
    <t>e_w321501597-315,e_w323896233-735,e_w321566365-735</t>
  </si>
  <si>
    <t>e_w323896233-735,e_w321566365-735,e_CA35-735,e_w321566368-735,e_CA31-735</t>
  </si>
  <si>
    <t>e_w184564045-735,e_CA283-735,e_w171599032-735,e_w100242013-315</t>
  </si>
  <si>
    <t>e_w322119608-315,e_w323866584-315</t>
  </si>
  <si>
    <t>e_w1293508819-315</t>
  </si>
  <si>
    <t>e_w610199852-287</t>
  </si>
  <si>
    <t>e_w911604497-287,e_w911604499-287</t>
  </si>
  <si>
    <t>e_w399079326-240,e_w398726503-240,e_w402099433-240,e_w401286615-240,e_w401286612-240,e_CA39-240,e_w198190812-240</t>
  </si>
  <si>
    <t>e_CA193-500,e_w255866641-500</t>
  </si>
  <si>
    <t>e_w321566365-735,e_CA31-735,e_w1054532447-315,e_w321566366-315</t>
  </si>
  <si>
    <t>e_w128099193-360,e_w104433489-500,e_w79660529-500,e_w169165650-500,e_w104561026-500,e_CA18-500,e_w1001057176-500</t>
  </si>
  <si>
    <t>e_w402099433-240,e_w268511255-240,e_CA56-240,e_CA60-240,e_CA46-240,e_w144368562-240,e_w1098141974-240,e_w715844327-240,e_w398222902-240,e_w339858163-240,e_CA37-240,e_w359159877-240,e_CA57-240</t>
  </si>
  <si>
    <t>e_CA144-240,e_w486389134-240,e_w832501315-240,e_w1112178544-240,e_CA112-240,e_w1010206154-240,e_w551512429-240,e_w273453363-240,e_w1137612733-240,e_w431696991-240,e_w1372702567-240,e_CA83-240,e_w1159197102-240,e_w401875185-240,e_w1119149477-240,e_w431696974-240,e_w431214456-240,e_w401774045-240,e_w273447831-240,e_w273447830-240</t>
  </si>
  <si>
    <t>e_CA26-240,e_w334653955-240,e_CA13-240,e_CA11-240,e_w378545576-240,e_w401679870-240,e_w504803033-240,e_w504803027-240,e_w398623099-240,e_w398417796-240,e_w398623087-240</t>
  </si>
  <si>
    <t>e_w398623087-240,e_w398417796-240,e_w675398070-240</t>
  </si>
  <si>
    <t>e_w321566366-315,e_w322119608-315</t>
  </si>
  <si>
    <t>e_w99457083-500,e_w911609411-500</t>
  </si>
  <si>
    <t>e_w273447830-240</t>
  </si>
  <si>
    <t>e_w321501597-315</t>
  </si>
  <si>
    <t>e_w322119608-315,e_w323866584-315,e_w323166651-735</t>
  </si>
  <si>
    <t>e_CA191-500,e_w25500667-500,e_r10383760-500,e_w25495523-500,e_w169165650-500,e_w113343685-500,e_w168624269-500,e_w82304430-500,e_w1001057176-500,e_w145535463-500,e_w614612290-500,e_CA185-500</t>
  </si>
  <si>
    <t>e_w273447830-240,e_w29999719-500</t>
  </si>
  <si>
    <t>e_w675398070-240,e_w609824151-240</t>
  </si>
  <si>
    <t>e_w321566367-315,e_w321566366-315,e_w322119608-315</t>
  </si>
  <si>
    <t>e_CA19-240,e_w398726492-240,e_r10383301-500,e_w378557564-240,e_CA24-240,e_w398623096-240,e_r10383301-240,e_w504042030-240,e_w398623088-240,e_w504042032-240,e_w504042029-240,e_w398417830-240,e_w504803025-240,e_w334653925-240</t>
  </si>
  <si>
    <t>e_w401679870-240,e_w504803033-240,e_w398623087-240</t>
  </si>
  <si>
    <t>e_w543432160-315,e_w656833215-315,e_w1103687894-315,e_w184564045-735</t>
  </si>
  <si>
    <t>e_CA211-315,e_w171560375-315,e_w97782477-735,e_w511381372-315,e_CA239-315,e_w104900371-315,e_CA218-315,e_w198186160-315,e_w98752071-315,e_w323564265-315,e_CA224-315,e_CA216-315,e_w252897103-315,e_w94212756-315,e_CA164-315,e_w511523810-315</t>
  </si>
  <si>
    <t>e_w323866584-315,e_w323166651-735</t>
  </si>
  <si>
    <t>e_CA200-500,e_w255866641-500</t>
  </si>
  <si>
    <t>e_w321566366-315</t>
  </si>
  <si>
    <t>e_w322366625-315,e_w321566367-315,e_w322119608-315,e_CA87-315</t>
  </si>
  <si>
    <t>e_CA138-315,e_CA110-315,e_CA98-315,e_CA87-315,e_CA147-315,e_CA121-315,e_CA82-315,e_w72838752-315,e_w72838752-735</t>
  </si>
  <si>
    <t>e_w610199852-287,e_w911613022-287,e_w610199880-287</t>
  </si>
  <si>
    <t>e_r12377895-287,e_w156738153-500,e_w89024998-500,e_w156738152-500,e_w166899876-500</t>
  </si>
  <si>
    <t>e_CA57-240,e_w268192671-240,e_w401425957-240,e_CA59-240,e_w504803032-240,e_w401774037-240,e_w401679870-240,e_w401774045-240,e_w273447830-240</t>
  </si>
  <si>
    <t>e_CA390-500,e_CA387-500,e_CA370-500,e_CA374-500,e_CA331-500,e_w5065566-500,e_w87373194-315,e_CA304-315,e_w184564045-735,e_CA343-765,e_w76734082-500,e_w168607246-315,e_w176786165-735</t>
  </si>
  <si>
    <t>e_w1103687894-315,e_w191655861-315,e_w191655861-735,e_w191476327-735,e_w171599032-735,e_w322366625-315,e_w171560375-315</t>
  </si>
  <si>
    <t>e_w1034015958-315,e_w323166651-315,e_w553650272-315,e_CA52-315,e_w550172871-315,e_w1293508819-315</t>
  </si>
  <si>
    <t>e_w323166651-735,e_CA50-315</t>
  </si>
  <si>
    <t>e_w269811579-345</t>
  </si>
  <si>
    <t>e_w29999719-500,e_w675398070-240</t>
  </si>
  <si>
    <t>e_w543432160-315,e_w322153178-315,e_w321501597-315,e_w656833215-315,e_w321722776-735,e_w1103687894-315,e_w321722776-315,e_w191655861-735,e_w218655612-735</t>
  </si>
  <si>
    <t>e_w323866585-315,e_w322119608-315,e_w323866584-315,e_CA55-315</t>
  </si>
  <si>
    <t>e_w323166651-735</t>
  </si>
  <si>
    <t>e_w610199852-287,e_w911604497-287,e_w610199880-287,e_w911604499-287,e_w480884323-500</t>
  </si>
  <si>
    <t>e_w99457083-500,e_w158578970-500,e_CA18-500,e_w911609411-500,e_w399079326-240</t>
  </si>
  <si>
    <t>e_w398417796-240,e_w675398070-240</t>
  </si>
  <si>
    <t>e_w321566365-735,e_w321566368-735,e_CA35-735,e_CA31-735,e_w177922632-315,e_w1054532447-315,e_w321566367-315</t>
  </si>
  <si>
    <t>e_w117228972-345,e_CA337-345,e_w74321375-345,e_w136145755-345,e_CA296-345,e_CA294-345,e_w656367746-345,e_w272219026-345,e_w551522907-345,e_w240310383-345</t>
  </si>
  <si>
    <t>e_w29999719-500,e_w243819450-500,e_CA193-500</t>
  </si>
  <si>
    <t>e_w609824151-240,e_CA193-500,e_w255866641-500</t>
  </si>
  <si>
    <t>e_w255866641-500,e_w609824151-240</t>
  </si>
  <si>
    <t>e_w163080106-500,e_w246652207-500,e_w543432160-315</t>
  </si>
  <si>
    <t>e_CA444-345,e_w117955755-345,e_w180763902-500,e_w476702648-500,e_w1424915214-500,e_CA376-500,e_w67214412-500,e_w273895557-500,e_w33297515-500,e_w77418180-500,e_w33299685-500,e_w1335860683-500,e_w32963410-500,e_w481393007-500</t>
  </si>
  <si>
    <t>e_w321501597-315,e_w322153178-315,e_w51423683-315,e_w51423683-735,e_w323896233-735,e_w323896233-315,e_w321566365-735,e_CA35-735,e_w321566368-735</t>
  </si>
  <si>
    <t>e_w322119595-315,e_w218655612-735,e_w321566368-735,e_w191476327-735,e_w177922632-315,e_w177922632-735,e_w322366625-315,e_w321566367-315</t>
  </si>
  <si>
    <t>e_w272219026-345,e_w240310383-345,e_w269999294-345,e_w269811579-345</t>
  </si>
  <si>
    <t>e_w398726503-240,e_w398726492-240,e_r10383301-500,e_w378557564-240</t>
  </si>
  <si>
    <t>e_w401679870-240,e_w401774037-240,e_w273447830-240,e_w675398070-240</t>
  </si>
  <si>
    <t>e_CA31-735,e_w1054532447-315,e_w321566366-315,e_w322119608-315</t>
  </si>
  <si>
    <t>e_w551510936-345,e_w74321375-345,e_w581345032-345,e_w486371739-345,e_w581354518-345,e_w1116379982-345,e_CA229-345,e_w656367746-345,e_w816708307-315</t>
  </si>
  <si>
    <t>e_CA82-315,e_w183866276-735,e_w72838752-315,e_w183866276-315,e_CA74-315,e_w1034015958-315,e_w816708307-315</t>
  </si>
  <si>
    <t>e_w911604499-287,e_w99457083-500</t>
  </si>
  <si>
    <t>e_r12377895-287,e_w480884323-500,e_w89024998-500,e_w79660529-500,e_w128099193-360,e_w104433489-500</t>
  </si>
  <si>
    <t>e_w159783135-500,e_CA56-240,e_CA75-240,e_CA72-240,e_w268537508-240,e_w124918231-240,e_w503590357-240,e_CA60-240,e_w268537507-240,e_w486389136-240,e_w268218826-240,e_w270259769-240,e_w985289158-240,e_r11490625-240,e_CA63-240,e_w273199686-240,e_w502683508-240,e_w502683515-240</t>
  </si>
  <si>
    <t>e_CA200-500,e_CA193-500</t>
  </si>
  <si>
    <t>e_w321566365-735,e_CA31-735,e_w1054532447-315</t>
  </si>
  <si>
    <t>e_w1054532447-315,e_w321566366-315</t>
  </si>
  <si>
    <t>e_w171560375-315,e_w322366625-315,e_w198186160-315,e_CA98-315,e_CA96-315</t>
  </si>
  <si>
    <t>e_w323866584-315,e_w183866276-735,e_w323166651-735,e_w183866276-315,e_w1034015958-315,e_w323166651-315</t>
  </si>
  <si>
    <t>e_w323166651-315,e_CA52-315,e_CA50-315,e_w1293508819-315</t>
  </si>
  <si>
    <t>distr_wonelc_won_106</t>
  </si>
  <si>
    <t>connecting wind onshore to buses in cluster 106</t>
  </si>
  <si>
    <t>distr_wonelc_won_112</t>
  </si>
  <si>
    <t>connecting wind onshore to buses in cluster 112</t>
  </si>
  <si>
    <t>distr_wonelc_won_108</t>
  </si>
  <si>
    <t>connecting wind onshore to buses in cluster 108</t>
  </si>
  <si>
    <t>distr_wonelc_won_074</t>
  </si>
  <si>
    <t>connecting wind onshore to buses in cluster 74</t>
  </si>
  <si>
    <t>distr_wonelc_won_046</t>
  </si>
  <si>
    <t>connecting wind onshore to buses in cluster 46</t>
  </si>
  <si>
    <t>distr_wonelc_won_045</t>
  </si>
  <si>
    <t>connecting wind onshore to buses in cluster 45</t>
  </si>
  <si>
    <t>distr_wonelc_won_011</t>
  </si>
  <si>
    <t>connecting wind onshore to buses in cluster 11</t>
  </si>
  <si>
    <t>distr_wonelc_won_005</t>
  </si>
  <si>
    <t>connecting wind onshore to buses in cluster 5</t>
  </si>
  <si>
    <t>distr_wonelc_won_019</t>
  </si>
  <si>
    <t>connecting wind onshore to buses in cluster 19</t>
  </si>
  <si>
    <t>distr_wonelc_won_008</t>
  </si>
  <si>
    <t>connecting wind onshore to buses in cluster 8</t>
  </si>
  <si>
    <t>distr_wonelc_won_103</t>
  </si>
  <si>
    <t>connecting wind onshore to buses in cluster 103</t>
  </si>
  <si>
    <t>distr_wonelc_won_081</t>
  </si>
  <si>
    <t>connecting wind onshore to buses in cluster 81</t>
  </si>
  <si>
    <t>distr_wonelc_won_077</t>
  </si>
  <si>
    <t>connecting wind onshore to buses in cluster 77</t>
  </si>
  <si>
    <t>distr_wonelc_won_030</t>
  </si>
  <si>
    <t>connecting wind onshore to buses in cluster 30</t>
  </si>
  <si>
    <t>distr_wonelc_won_047</t>
  </si>
  <si>
    <t>connecting wind onshore to buses in cluster 47</t>
  </si>
  <si>
    <t>distr_wonelc_won_004</t>
  </si>
  <si>
    <t>connecting wind onshore to buses in cluster 4</t>
  </si>
  <si>
    <t>distr_wonelc_won_025</t>
  </si>
  <si>
    <t>connecting wind onshore to buses in cluster 25</t>
  </si>
  <si>
    <t>distr_wonelc_won_088</t>
  </si>
  <si>
    <t>connecting wind onshore to buses in cluster 88</t>
  </si>
  <si>
    <t>distr_wonelc_won_052</t>
  </si>
  <si>
    <t>connecting wind onshore to buses in cluster 52</t>
  </si>
  <si>
    <t>distr_wonelc_won_053</t>
  </si>
  <si>
    <t>connecting wind onshore to buses in cluster 53</t>
  </si>
  <si>
    <t>distr_wonelc_won_057</t>
  </si>
  <si>
    <t>connecting wind onshore to buses in cluster 57</t>
  </si>
  <si>
    <t>distr_wonelc_won_068</t>
  </si>
  <si>
    <t>connecting wind onshore to buses in cluster 68</t>
  </si>
  <si>
    <t>distr_wonelc_won_031</t>
  </si>
  <si>
    <t>connecting wind onshore to buses in cluster 31</t>
  </si>
  <si>
    <t>distr_wonelc_won_037</t>
  </si>
  <si>
    <t>connecting wind onshore to buses in cluster 37</t>
  </si>
  <si>
    <t>distr_wonelc_won_028</t>
  </si>
  <si>
    <t>connecting wind onshore to buses in cluster 28</t>
  </si>
  <si>
    <t>distr_wonelc_won_010</t>
  </si>
  <si>
    <t>connecting wind onshore to buses in cluster 10</t>
  </si>
  <si>
    <t>distr_wonelc_won_007</t>
  </si>
  <si>
    <t>connecting wind onshore to buses in cluster 7</t>
  </si>
  <si>
    <t>distr_wonelc_won_107</t>
  </si>
  <si>
    <t>connecting wind onshore to buses in cluster 107</t>
  </si>
  <si>
    <t>distr_wonelc_won_080</t>
  </si>
  <si>
    <t>connecting wind onshore to buses in cluster 80</t>
  </si>
  <si>
    <t>distr_wonelc_won_050</t>
  </si>
  <si>
    <t>connecting wind onshore to buses in cluster 50</t>
  </si>
  <si>
    <t>distr_wonelc_won_066</t>
  </si>
  <si>
    <t>connecting wind onshore to buses in cluster 66</t>
  </si>
  <si>
    <t>distr_wonelc_won_038</t>
  </si>
  <si>
    <t>connecting wind onshore to buses in cluster 38</t>
  </si>
  <si>
    <t>distr_wonelc_won_001</t>
  </si>
  <si>
    <t>connecting wind onshore to buses in cluster 1</t>
  </si>
  <si>
    <t>distr_wonelc_won_100</t>
  </si>
  <si>
    <t>connecting wind onshore to buses in cluster 100</t>
  </si>
  <si>
    <t>distr_wonelc_won_056</t>
  </si>
  <si>
    <t>connecting wind onshore to buses in cluster 56</t>
  </si>
  <si>
    <t>distr_wonelc_won_022</t>
  </si>
  <si>
    <t>connecting wind onshore to buses in cluster 22</t>
  </si>
  <si>
    <t>distr_wonelc_won_098</t>
  </si>
  <si>
    <t>connecting wind onshore to buses in cluster 98</t>
  </si>
  <si>
    <t>distr_wonelc_won_049</t>
  </si>
  <si>
    <t>connecting wind onshore to buses in cluster 49</t>
  </si>
  <si>
    <t>distr_wonelc_won_064</t>
  </si>
  <si>
    <t>connecting wind onshore to buses in cluster 64</t>
  </si>
  <si>
    <t>distr_wonelc_won_015</t>
  </si>
  <si>
    <t>connecting wind onshore to buses in cluster 15</t>
  </si>
  <si>
    <t>distr_wonelc_won_040</t>
  </si>
  <si>
    <t>connecting wind onshore to buses in cluster 40</t>
  </si>
  <si>
    <t>distr_wonelc_won_023</t>
  </si>
  <si>
    <t>connecting wind onshore to buses in cluster 23</t>
  </si>
  <si>
    <t>distr_wonelc_won_105</t>
  </si>
  <si>
    <t>connecting wind onshore to buses in cluster 105</t>
  </si>
  <si>
    <t>distr_wonelc_won_079</t>
  </si>
  <si>
    <t>connecting wind onshore to buses in cluster 79</t>
  </si>
  <si>
    <t>distr_wonelc_won_076</t>
  </si>
  <si>
    <t>connecting wind onshore to buses in cluster 76</t>
  </si>
  <si>
    <t>distr_wonelc_won_063</t>
  </si>
  <si>
    <t>connecting wind onshore to buses in cluster 63</t>
  </si>
  <si>
    <t>distr_wonelc_won_072</t>
  </si>
  <si>
    <t>connecting wind onshore to buses in cluster 72</t>
  </si>
  <si>
    <t>distr_wonelc_won_006</t>
  </si>
  <si>
    <t>connecting wind onshore to buses in cluster 6</t>
  </si>
  <si>
    <t>distr_wonelc_won_084</t>
  </si>
  <si>
    <t>connecting wind onshore to buses in cluster 84</t>
  </si>
  <si>
    <t>distr_wonelc_won_061</t>
  </si>
  <si>
    <t>connecting wind onshore to buses in cluster 61</t>
  </si>
  <si>
    <t>distr_wonelc_won_003</t>
  </si>
  <si>
    <t>connecting wind onshore to buses in cluster 3</t>
  </si>
  <si>
    <t>distr_wonelc_won_018</t>
  </si>
  <si>
    <t>connecting wind onshore to buses in cluster 18</t>
  </si>
  <si>
    <t>distr_wonelc_won_002</t>
  </si>
  <si>
    <t>connecting wind onshore to buses in cluster 2</t>
  </si>
  <si>
    <t>distr_wonelc_won_090</t>
  </si>
  <si>
    <t>connecting wind onshore to buses in cluster 90</t>
  </si>
  <si>
    <t>distr_wonelc_won_083</t>
  </si>
  <si>
    <t>connecting wind onshore to buses in cluster 83</t>
  </si>
  <si>
    <t>distr_wonelc_won_065</t>
  </si>
  <si>
    <t>connecting wind onshore to buses in cluster 65</t>
  </si>
  <si>
    <t>distr_wonelc_won_036</t>
  </si>
  <si>
    <t>connecting wind onshore to buses in cluster 36</t>
  </si>
  <si>
    <t>distr_wonelc_won_060</t>
  </si>
  <si>
    <t>connecting wind onshore to buses in cluster 60</t>
  </si>
  <si>
    <t>distr_wonelc_won_067</t>
  </si>
  <si>
    <t>connecting wind onshore to buses in cluster 67</t>
  </si>
  <si>
    <t>distr_wonelc_won_029</t>
  </si>
  <si>
    <t>connecting wind onshore to buses in cluster 29</t>
  </si>
  <si>
    <t>distr_wonelc_won_026</t>
  </si>
  <si>
    <t>connecting wind onshore to buses in cluster 26</t>
  </si>
  <si>
    <t>distr_wonelc_won_042</t>
  </si>
  <si>
    <t>connecting wind onshore to buses in cluster 42</t>
  </si>
  <si>
    <t>distr_wonelc_won_043</t>
  </si>
  <si>
    <t>connecting wind onshore to buses in cluster 43</t>
  </si>
  <si>
    <t>distr_wonelc_won_021</t>
  </si>
  <si>
    <t>connecting wind onshore to buses in cluster 21</t>
  </si>
  <si>
    <t>distr_wonelc_won_086</t>
  </si>
  <si>
    <t>connecting wind onshore to buses in cluster 86</t>
  </si>
  <si>
    <t>distr_wonelc_won_075</t>
  </si>
  <si>
    <t>connecting wind onshore to buses in cluster 75</t>
  </si>
  <si>
    <t>distr_wonelc_won_034</t>
  </si>
  <si>
    <t>connecting wind onshore to buses in cluster 34</t>
  </si>
  <si>
    <t>distr_wonelc_won_044</t>
  </si>
  <si>
    <t>connecting wind onshore to buses in cluster 44</t>
  </si>
  <si>
    <t>distr_wonelc_won_087</t>
  </si>
  <si>
    <t>connecting wind onshore to buses in cluster 87</t>
  </si>
  <si>
    <t>distr_wonelc_won_085</t>
  </si>
  <si>
    <t>connecting wind onshore to buses in cluster 85</t>
  </si>
  <si>
    <t>distr_wonelc_won_097</t>
  </si>
  <si>
    <t>connecting wind onshore to buses in cluster 97</t>
  </si>
  <si>
    <t>distr_wonelc_won_096</t>
  </si>
  <si>
    <t>connecting wind onshore to buses in cluster 96</t>
  </si>
  <si>
    <t>distr_wonelc_won_054</t>
  </si>
  <si>
    <t>connecting wind onshore to buses in cluster 54</t>
  </si>
  <si>
    <t>distr_wonelc_won_073</t>
  </si>
  <si>
    <t>connecting wind onshore to buses in cluster 73</t>
  </si>
  <si>
    <t>distr_wonelc_won_032</t>
  </si>
  <si>
    <t>connecting wind onshore to buses in cluster 32</t>
  </si>
  <si>
    <t>distr_wonelc_won_012</t>
  </si>
  <si>
    <t>connecting wind onshore to buses in cluster 12</t>
  </si>
  <si>
    <t>distr_wonelc_won_041</t>
  </si>
  <si>
    <t>connecting wind onshore to buses in cluster 41</t>
  </si>
  <si>
    <t>distr_wonelc_won_024</t>
  </si>
  <si>
    <t>connecting wind onshore to buses in cluster 24</t>
  </si>
  <si>
    <t>distr_wonelc_won_099</t>
  </si>
  <si>
    <t>connecting wind onshore to buses in cluster 99</t>
  </si>
  <si>
    <t>distr_wonelc_won_055</t>
  </si>
  <si>
    <t>connecting wind onshore to buses in cluster 55</t>
  </si>
  <si>
    <t>distr_wonelc_won_048</t>
  </si>
  <si>
    <t>connecting wind onshore to buses in cluster 48</t>
  </si>
  <si>
    <t>distr_wonelc_won_069</t>
  </si>
  <si>
    <t>connecting wind onshore to buses in cluster 69</t>
  </si>
  <si>
    <t>distr_wonelc_won_020</t>
  </si>
  <si>
    <t>connecting wind onshore to buses in cluster 20</t>
  </si>
  <si>
    <t>distr_wonelc_won_102</t>
  </si>
  <si>
    <t>connecting wind onshore to buses in cluster 102</t>
  </si>
  <si>
    <t>distr_wonelc_won_110</t>
  </si>
  <si>
    <t>connecting wind onshore to buses in cluster 110</t>
  </si>
  <si>
    <t>distr_wonelc_won_095</t>
  </si>
  <si>
    <t>connecting wind onshore to buses in cluster 95</t>
  </si>
  <si>
    <t>distr_wonelc_won_062</t>
  </si>
  <si>
    <t>connecting wind onshore to buses in cluster 62</t>
  </si>
  <si>
    <t>distr_wonelc_won_033</t>
  </si>
  <si>
    <t>connecting wind onshore to buses in cluster 33</t>
  </si>
  <si>
    <t>distr_wonelc_won_009</t>
  </si>
  <si>
    <t>connecting wind onshore to buses in cluster 9</t>
  </si>
  <si>
    <t>distr_wonelc_won_104</t>
  </si>
  <si>
    <t>connecting wind onshore to buses in cluster 104</t>
  </si>
  <si>
    <t>distr_wonelc_won_111</t>
  </si>
  <si>
    <t>connecting wind onshore to buses in cluster 111</t>
  </si>
  <si>
    <t>distr_wonelc_won_092</t>
  </si>
  <si>
    <t>connecting wind onshore to buses in cluster 92</t>
  </si>
  <si>
    <t>distr_wonelc_won_109</t>
  </si>
  <si>
    <t>connecting wind onshore to buses in cluster 109</t>
  </si>
  <si>
    <t>distr_wonelc_won_058</t>
  </si>
  <si>
    <t>connecting wind onshore to buses in cluster 58</t>
  </si>
  <si>
    <t>distr_wonelc_won_071</t>
  </si>
  <si>
    <t>connecting wind onshore to buses in cluster 71</t>
  </si>
  <si>
    <t>distr_wonelc_won_035</t>
  </si>
  <si>
    <t>connecting wind onshore to buses in cluster 35</t>
  </si>
  <si>
    <t>distr_wonelc_won_027</t>
  </si>
  <si>
    <t>connecting wind onshore to buses in cluster 27</t>
  </si>
  <si>
    <t>distr_wonelc_won_039</t>
  </si>
  <si>
    <t>connecting wind onshore to buses in cluster 39</t>
  </si>
  <si>
    <t>distr_wonelc_won_091</t>
  </si>
  <si>
    <t>connecting wind onshore to buses in cluster 91</t>
  </si>
  <si>
    <t>distr_wonelc_won_089</t>
  </si>
  <si>
    <t>connecting wind onshore to buses in cluster 89</t>
  </si>
  <si>
    <t>distr_wonelc_won_093</t>
  </si>
  <si>
    <t>connecting wind onshore to buses in cluster 93</t>
  </si>
  <si>
    <t>distr_wonelc_won_078</t>
  </si>
  <si>
    <t>connecting wind onshore to buses in cluster 78</t>
  </si>
  <si>
    <t>distr_wonelc_won_094</t>
  </si>
  <si>
    <t>connecting wind onshore to buses in cluster 94</t>
  </si>
  <si>
    <t>distr_wonelc_won_101</t>
  </si>
  <si>
    <t>connecting wind onshore to buses in cluster 101</t>
  </si>
  <si>
    <t>distr_wonelc_won_082</t>
  </si>
  <si>
    <t>connecting wind onshore to buses in cluster 82</t>
  </si>
  <si>
    <t>distr_wonelc_won_051</t>
  </si>
  <si>
    <t>connecting wind onshore to buses in cluster 51</t>
  </si>
  <si>
    <t>distr_wonelc_won_059</t>
  </si>
  <si>
    <t>connecting wind onshore to buses in cluster 59</t>
  </si>
  <si>
    <t>distr_wonelc_won_070</t>
  </si>
  <si>
    <t>connecting wind onshore to buses in cluster 70</t>
  </si>
  <si>
    <t>distr_wonelc_won_013</t>
  </si>
  <si>
    <t>connecting wind onshore to buses in cluster 13</t>
  </si>
  <si>
    <t>distr_wonelc_won_014</t>
  </si>
  <si>
    <t>connecting wind onshore to buses in cluster 14</t>
  </si>
  <si>
    <t>distr_wonelc_won_016</t>
  </si>
  <si>
    <t>connecting wind onshore to buses in cluster 16</t>
  </si>
  <si>
    <t>distr_wonelc_won_017</t>
  </si>
  <si>
    <t>connecting wind onshore to buses in cluster 17</t>
  </si>
  <si>
    <t>elc_won_106</t>
  </si>
  <si>
    <t>e_w99457083-500,e_CA18-500,e_w911609411-500,e_w399079326-240,e_w398726503-240</t>
  </si>
  <si>
    <t>elc_won_112</t>
  </si>
  <si>
    <t>e_CA18-500,e_w911609411-500,e_w1001057176-500,e_w399079326-240,e_w402099433-240</t>
  </si>
  <si>
    <t>elc_won_108</t>
  </si>
  <si>
    <t>e_w911609411-500,e_w398726503-240,e_CA19-240</t>
  </si>
  <si>
    <t>elc_won_074</t>
  </si>
  <si>
    <t>elc_won_046</t>
  </si>
  <si>
    <t>e_w656833215-315,e_w184564045-735,e_w1103687894-315,e_w191655861-315,e_w191655861-735,e_w191476327-735</t>
  </si>
  <si>
    <t>elc_won_045</t>
  </si>
  <si>
    <t>e_w191476327-735,e_w184564045-735,e_CA283-735,e_w171599032-735,e_w100242013-315,e_CA211-315,e_w171560375-315,e_w322366625-315,e_w97782477-735,e_w511381372-315</t>
  </si>
  <si>
    <t>elc_won_011</t>
  </si>
  <si>
    <t>e_w1054532447-315,e_w321566366-315,e_w322119608-315</t>
  </si>
  <si>
    <t>elc_won_005</t>
  </si>
  <si>
    <t>e_w201247095-735,e_w104087942-315,e_w96456442-315,e_w191437318-315,e_w510844836-315,e_w511381372-315,e_CA239-315,e_CA218-315,e_w98752071-315,e_w323564265-315,e_CA241-345,e_CA224-315,e_CA216-315,e_w551510936-345,e_w303543538-345,e_w94212756-315,e_w581345032-345,e_CA221-315</t>
  </si>
  <si>
    <t>elc_won_019</t>
  </si>
  <si>
    <t>e_w323866584-315,e_w323166651-735,e_w323166651-315,e_CA52-315</t>
  </si>
  <si>
    <t>elc_won_008</t>
  </si>
  <si>
    <t>e_CA229-345,e_w816708307-315,e_w272219026-345,e_w269999294-345,e_w269811579-345,e_w550172871-315</t>
  </si>
  <si>
    <t>elc_won_103</t>
  </si>
  <si>
    <t>elc_won_081</t>
  </si>
  <si>
    <t>e_w268511255-240,e_CA60-240,e_CA46-240,e_w198190812-240,e_w985289158-240,e_w144368562-240,e_w1098141974-240,e_w715844327-240,e_CA63-240,e_w398222902-240,e_w339858163-240,e_CA37-240,e_w502683508-240,e_w359159877-240,e_w1137612733-240,e_CA57-240,e_w268192671-240</t>
  </si>
  <si>
    <t>elc_won_077</t>
  </si>
  <si>
    <t>elc_won_030</t>
  </si>
  <si>
    <t>elc_won_047</t>
  </si>
  <si>
    <t>e_w543432160-315,e_w656833215-315,e_w1103687894-315,e_w321722776-735,e_w321722776-315,e_w191655861-735</t>
  </si>
  <si>
    <t>elc_won_004</t>
  </si>
  <si>
    <t>e_w252897103-315,e_CA138-315,e_CA164-315,e_CA147-315,e_w511523810-315,e_CA121-315,e_w142578254-315,e_w774866881-315,e_w72838752-315,e_w72838752-735,e_CA82-315,e_w74321375-345,e_w486371739-345,e_w581354518-345,e_w1116379982-345,e_CA229-345</t>
  </si>
  <si>
    <t>elc_won_025</t>
  </si>
  <si>
    <t>e_w323166651-735,e_w323166651-315,e_CA50-315</t>
  </si>
  <si>
    <t>elc_won_088</t>
  </si>
  <si>
    <t>e_w156738152-500,e_CA191-500,e_w25500667-500</t>
  </si>
  <si>
    <t>elc_won_052</t>
  </si>
  <si>
    <t>e_w401774037-240,e_w401679870-240,e_w504803033-240,e_w398623087-240,e_w273447830-240</t>
  </si>
  <si>
    <t>elc_won_053</t>
  </si>
  <si>
    <t>e_w398623087-240,e_w675398070-240</t>
  </si>
  <si>
    <t>elc_won_057</t>
  </si>
  <si>
    <t>elc_won_068</t>
  </si>
  <si>
    <t>elc_won_031</t>
  </si>
  <si>
    <t>e_CA200-500,e_CA193-500,e_w255866641-500</t>
  </si>
  <si>
    <t>elc_won_037</t>
  </si>
  <si>
    <t>elc_won_028</t>
  </si>
  <si>
    <t>e_w255866641-500,e_w543432160-315,e_w321501597-315</t>
  </si>
  <si>
    <t>elc_won_010</t>
  </si>
  <si>
    <t>e_w816708307-315,e_w553650272-315,e_w1034015958-315,e_w323166651-315,e_w550172871-315,e_CA52-315,e_w1293508819-315</t>
  </si>
  <si>
    <t>elc_won_007</t>
  </si>
  <si>
    <t>elc_won_107</t>
  </si>
  <si>
    <t>e_w99457083-500,e_CA18-500,e_w911609411-500</t>
  </si>
  <si>
    <t>elc_won_080</t>
  </si>
  <si>
    <t>e_w503590357-240,e_w486389136-240,e_w268218826-240,e_w270259769-240,e_r11490625-240,e_w273199686-240,e_w502683508-240,e_w551512429-240,e_w273453363-240,e_CA83-240</t>
  </si>
  <si>
    <t>elc_won_050</t>
  </si>
  <si>
    <t>e_w504803033-240,e_w398623087-240,e_w398417796-240</t>
  </si>
  <si>
    <t>elc_won_066</t>
  </si>
  <si>
    <t>elc_won_038</t>
  </si>
  <si>
    <t>e_CA444-345,e_w117955755-345,e_w180763902-500,e_w1424915214-500,e_w476702648-500,e_CA376-500,e_w67214412-500,e_w273895557-500,e_w33297515-500,e_w33299685-500,e_w1335860683-500,e_w32963410-500</t>
  </si>
  <si>
    <t>elc_won_001</t>
  </si>
  <si>
    <t>e_w117228972-345,e_w136145755-345,e_CA296-345,e_w272219026-345,e_w551522907-345,e_w240310383-345,e_w269999294-345</t>
  </si>
  <si>
    <t>elc_won_100</t>
  </si>
  <si>
    <t>e_w401273523-240,e_w503590360-240,e_w359240596-240,e_CA25-240,e_CA19-240,e_w398726492-240</t>
  </si>
  <si>
    <t>elc_won_056</t>
  </si>
  <si>
    <t>e_w675398070-240,e_w29999719-500</t>
  </si>
  <si>
    <t>elc_won_022</t>
  </si>
  <si>
    <t>e_CA50-315,e_w1293508819-315</t>
  </si>
  <si>
    <t>elc_won_098</t>
  </si>
  <si>
    <t>e_CA24-240,e_w398623096-240,e_w398623088-240,e_w401425957-240,e_CA26-240,e_w334653955-240,e_w401679870-240,e_w504803033-240</t>
  </si>
  <si>
    <t>elc_won_049</t>
  </si>
  <si>
    <t>e_w398417796-240,e_w398623087-240,e_w675398070-240</t>
  </si>
  <si>
    <t>elc_won_064</t>
  </si>
  <si>
    <t>elc_won_015</t>
  </si>
  <si>
    <t>e_w323896233-735,e_w321566365-735,e_CA35-735,e_CA31-735,e_w1054532447-315,e_w321566366-315</t>
  </si>
  <si>
    <t>elc_won_040</t>
  </si>
  <si>
    <t>e_CA295-315,e_w92544660-315,e_CA307-315,e_w92692708-315,e_w33144100-315,e_CA312-315,e_CA289-315,e_CA283-735,e_w322402551-735,e_r11990161-735,e_CA274-315,e_r13076509-735,e_w909010599-735,e_CA265-315,e_w302580598-315,e_w201247095-735</t>
  </si>
  <si>
    <t>elc_won_023</t>
  </si>
  <si>
    <t>e_CA52-315,e_CA50-315,e_w1293508819-315</t>
  </si>
  <si>
    <t>elc_won_105</t>
  </si>
  <si>
    <t>elc_won_079</t>
  </si>
  <si>
    <t>e_w113343685-500,e_w268537508-240,e_w268537507-240,e_CA144-240,e_w486389134-240,e_w832501315-240,e_w1112178544-240,e_CA112-240,e_w1010206154-240,e_w551512429-240,e_w431696991-240,e_w1372702567-240,e_w1119149477-240</t>
  </si>
  <si>
    <t>elc_won_076</t>
  </si>
  <si>
    <t>e_w273447830-240,e_w401774037-240</t>
  </si>
  <si>
    <t>elc_won_063</t>
  </si>
  <si>
    <t>elc_won_072</t>
  </si>
  <si>
    <t>e_w609824151-240,e_w255866641-500,e_w321501597-315</t>
  </si>
  <si>
    <t>elc_won_006</t>
  </si>
  <si>
    <t>elc_won_084</t>
  </si>
  <si>
    <t>e_w89024998-500,e_w79660529-500,e_w104561026-500</t>
  </si>
  <si>
    <t>elc_won_061</t>
  </si>
  <si>
    <t>elc_won_003</t>
  </si>
  <si>
    <t>e_w322366625-315,e_w198186160-315,e_CA87-315,e_CA98-315,e_CA96-315,e_CA110-315,e_CA121-315,e_CA82-315,e_w323866585-315,e_CA55-315</t>
  </si>
  <si>
    <t>elc_won_018</t>
  </si>
  <si>
    <t>e_w321566366-315,e_w322119608-315,e_w323866584-315,e_w323166651-735</t>
  </si>
  <si>
    <t>elc_won_002</t>
  </si>
  <si>
    <t>e_w74321375-345,e_w581345032-345,e_w117228972-345,e_w142578254-315,e_CA337-345,e_CA296-345,e_CA294-345,e_w656367746-345,e_w581354518-345</t>
  </si>
  <si>
    <t>elc_won_090</t>
  </si>
  <si>
    <t>e_w128099193-360,e_w104433489-500,e_w104561026-500</t>
  </si>
  <si>
    <t>elc_won_083</t>
  </si>
  <si>
    <t>e_w502683515-240,e_w1159197102-240,e_w401875185-240,e_w431696991-240,e_w1119149477-240,e_w431696974-240,e_w431214456-240,e_w401774045-240,e_w273447831-240,e_w273447830-240</t>
  </si>
  <si>
    <t>elc_won_065</t>
  </si>
  <si>
    <t>elc_won_036</t>
  </si>
  <si>
    <t>elc_won_060</t>
  </si>
  <si>
    <t>e_w29999719-500</t>
  </si>
  <si>
    <t>elc_won_067</t>
  </si>
  <si>
    <t>elc_won_029</t>
  </si>
  <si>
    <t>elc_won_026</t>
  </si>
  <si>
    <t>e_w163080106-500,e_w246652207-500,e_w255866641-500,e_w543432160-315</t>
  </si>
  <si>
    <t>elc_won_042</t>
  </si>
  <si>
    <t>e_w543432160-315,e_w322153178-315,e_w321501597-315,e_w656833215-315,e_w321722776-735,e_w51423683-315,e_w323896233-315,e_w321566365-735,e_CA35-735,e_w321566368-735</t>
  </si>
  <si>
    <t>elc_won_043</t>
  </si>
  <si>
    <t>e_w177922632-315,e_w177922632-735,e_w321566367-315,e_w1054532447-315,e_w322366625-315,e_w321566366-315,e_w322119608-315</t>
  </si>
  <si>
    <t>elc_won_021</t>
  </si>
  <si>
    <t>e_w322119608-315,e_CA87-315,e_w323866585-315,e_w323866584-315</t>
  </si>
  <si>
    <t>elc_won_086</t>
  </si>
  <si>
    <t>e_r12377895-287,e_w156738152-500,e_w166899876-500</t>
  </si>
  <si>
    <t>elc_won_075</t>
  </si>
  <si>
    <t>elc_won_034</t>
  </si>
  <si>
    <t>elc_won_044</t>
  </si>
  <si>
    <t>e_w321722776-315,e_w321722776-735,e_w322119595-315,e_w218655612-735,e_w321566368-735,e_w191476327-735,e_w177922632-315,e_w322366625-315</t>
  </si>
  <si>
    <t>elc_won_087</t>
  </si>
  <si>
    <t>e_w172651669-287,e_CA30-287,e_r12377895-287</t>
  </si>
  <si>
    <t>elc_won_085</t>
  </si>
  <si>
    <t>e_w480884323-500,e_w89024998-500,e_w104433489-500</t>
  </si>
  <si>
    <t>elc_won_097</t>
  </si>
  <si>
    <t>e_w398417830-240,e_w378545576-240,e_CA1-240,e_w504215807-240,e_w398417796-240</t>
  </si>
  <si>
    <t>elc_won_096</t>
  </si>
  <si>
    <t>e_w832487832-240,e_w504215807-240</t>
  </si>
  <si>
    <t>elc_won_054</t>
  </si>
  <si>
    <t>elc_won_073</t>
  </si>
  <si>
    <t>elc_won_032</t>
  </si>
  <si>
    <t>elc_won_012</t>
  </si>
  <si>
    <t>e_w321501597-315,e_w323896233-735,e_w321566365-735,e_CA31-735,e_w1054532447-315</t>
  </si>
  <si>
    <t>elc_won_041</t>
  </si>
  <si>
    <t>e_w32963410-500,e_CA390-500,e_CA387-500,e_CA370-500,e_CA374-500,e_CA331-500,e_w5065566-500,e_w87373194-315,e_CA304-315,e_w184564045-735,e_CA343-765,e_w76734082-500,e_w168607246-315,e_w176786165-735</t>
  </si>
  <si>
    <t>elc_won_024</t>
  </si>
  <si>
    <t>elc_won_099</t>
  </si>
  <si>
    <t>e_w504803025-240,e_w334653925-240,e_CA13-240,e_w504803033-240,e_w504803027-240,e_w398623099-240,e_w398623087-240,e_w398417796-240</t>
  </si>
  <si>
    <t>elc_won_055</t>
  </si>
  <si>
    <t>e_w273447830-240,e_w675398070-240</t>
  </si>
  <si>
    <t>elc_won_048</t>
  </si>
  <si>
    <t>elc_won_069</t>
  </si>
  <si>
    <t>elc_won_020</t>
  </si>
  <si>
    <t>e_w323866585-315,e_CA55-315,e_w323866584-315,e_w183866276-735,e_w323166651-735,e_w323166651-315</t>
  </si>
  <si>
    <t>elc_won_102</t>
  </si>
  <si>
    <t>elc_won_110</t>
  </si>
  <si>
    <t>e_w399079326-240,e_w402099433-240,e_w401286612-240,e_w268511255-240,e_w401286615-240,e_w401273523-240,e_CA56-240,e_CA39-240</t>
  </si>
  <si>
    <t>elc_won_095</t>
  </si>
  <si>
    <t>e_w504215807-240,e_w398417796-240</t>
  </si>
  <si>
    <t>elc_won_062</t>
  </si>
  <si>
    <t>elc_won_033</t>
  </si>
  <si>
    <t>elc_won_009</t>
  </si>
  <si>
    <t>e_w72838752-735,e_CA82-315,e_w183866276-735,e_w72838752-315,e_w183866276-315,e_CA74-315,e_w1034015958-315,e_w816708307-315</t>
  </si>
  <si>
    <t>elc_won_104</t>
  </si>
  <si>
    <t>e_w911604499-287</t>
  </si>
  <si>
    <t>elc_won_111</t>
  </si>
  <si>
    <t>e_w99457083-500,e_w158578970-500,e_CA18-500</t>
  </si>
  <si>
    <t>elc_won_092</t>
  </si>
  <si>
    <t>elc_won_109</t>
  </si>
  <si>
    <t>e_w399079326-240,e_w402099433-240,e_w401273523-240</t>
  </si>
  <si>
    <t>elc_won_058</t>
  </si>
  <si>
    <t>e_w675398070-240,e_w29999719-500,e_w609824151-240,e_w243819450-500,e_CA193-500</t>
  </si>
  <si>
    <t>elc_won_071</t>
  </si>
  <si>
    <t>e_w609824151-240,e_CA193-500</t>
  </si>
  <si>
    <t>elc_won_035</t>
  </si>
  <si>
    <t>elc_won_027</t>
  </si>
  <si>
    <t>e_w163080106-500,e_w273639295-500,e_w246652207-500</t>
  </si>
  <si>
    <t>elc_won_039</t>
  </si>
  <si>
    <t>e_w113855788-500,e_CA376-500,e_w246652207-500,e_w77418180-500,e_w481393007-500,e_w543432160-315</t>
  </si>
  <si>
    <t>elc_won_091</t>
  </si>
  <si>
    <t>e_w99457083-500,e_w911609411-500,e_w398726503-240</t>
  </si>
  <si>
    <t>elc_won_089</t>
  </si>
  <si>
    <t>e_w169165650-500,e_w104561026-500</t>
  </si>
  <si>
    <t>elc_won_093</t>
  </si>
  <si>
    <t>e_w398726503-240,e_CA19-240,e_w398726492-240</t>
  </si>
  <si>
    <t>elc_won_078</t>
  </si>
  <si>
    <t>e_w268511255-240,e_CA56-240,e_CA75-240,e_CA72-240,e_w124918231-240</t>
  </si>
  <si>
    <t>elc_won_094</t>
  </si>
  <si>
    <t>e_w398726503-240,e_r10383301-500,e_w378557564-240,e_w398417830-240</t>
  </si>
  <si>
    <t>elc_won_101</t>
  </si>
  <si>
    <t>e_CA19-240,e_w398726492-240,e_r10383301-500,e_w378557564-240,e_w398623096-240,e_r10383301-240,e_w504042030-240,e_w504042032-240,e_w504042029-240,e_w398417830-240,e_CA11-240</t>
  </si>
  <si>
    <t>elc_won_082</t>
  </si>
  <si>
    <t>e_w401425957-240,e_CA59-240,e_w504803032-240,e_w401774037-240,e_w401679870-240</t>
  </si>
  <si>
    <t>elc_won_051</t>
  </si>
  <si>
    <t>e_w401679870-240,e_w401774037-240</t>
  </si>
  <si>
    <t>elc_won_059</t>
  </si>
  <si>
    <t>elc_won_070</t>
  </si>
  <si>
    <t>elc_won_013</t>
  </si>
  <si>
    <t>elc_won_014</t>
  </si>
  <si>
    <t>e_w321501597-315,e_w51423683-315,e_w51423683-735,e_w323896233-735,e_w323896233-315,e_w321566365-735</t>
  </si>
  <si>
    <t>elc_won_016</t>
  </si>
  <si>
    <t>e_w321566365-735,e_w321566368-735,e_CA35-735,e_CA31-735,e_w1054532447-315,e_w321566367-315,e_w321566366-315,e_w322119608-315</t>
  </si>
  <si>
    <t>elc_won_017</t>
  </si>
  <si>
    <t>e_won_001</t>
  </si>
  <si>
    <t>wind resource in cluster 1</t>
  </si>
  <si>
    <t>e_won_002</t>
  </si>
  <si>
    <t>wind resource in cluster 2</t>
  </si>
  <si>
    <t>e_won_003</t>
  </si>
  <si>
    <t>wind resource in cluster 3</t>
  </si>
  <si>
    <t>e_won_004</t>
  </si>
  <si>
    <t>wind resource in cluster 4</t>
  </si>
  <si>
    <t>e_won_005</t>
  </si>
  <si>
    <t>wind resource in cluster 5</t>
  </si>
  <si>
    <t>e_won_006</t>
  </si>
  <si>
    <t>wind resource in cluster 6</t>
  </si>
  <si>
    <t>e_won_007</t>
  </si>
  <si>
    <t>wind resource in cluster 7</t>
  </si>
  <si>
    <t>e_won_008</t>
  </si>
  <si>
    <t>wind resource in cluster 8</t>
  </si>
  <si>
    <t>e_won_009</t>
  </si>
  <si>
    <t>wind resource in cluster 9</t>
  </si>
  <si>
    <t>e_won_010</t>
  </si>
  <si>
    <t>wind resource in cluster 10</t>
  </si>
  <si>
    <t>e_won_011</t>
  </si>
  <si>
    <t>wind resource in cluster 11</t>
  </si>
  <si>
    <t>e_won_012</t>
  </si>
  <si>
    <t>wind resource in cluster 12</t>
  </si>
  <si>
    <t>e_won_013</t>
  </si>
  <si>
    <t>wind resource in cluster 13</t>
  </si>
  <si>
    <t>e_won_014</t>
  </si>
  <si>
    <t>wind resource in cluster 14</t>
  </si>
  <si>
    <t>e_won_015</t>
  </si>
  <si>
    <t>wind resource in cluster 15</t>
  </si>
  <si>
    <t>e_won_016</t>
  </si>
  <si>
    <t>wind resource in cluster 16</t>
  </si>
  <si>
    <t>e_won_017</t>
  </si>
  <si>
    <t>wind resource in cluster 17</t>
  </si>
  <si>
    <t>e_won_018</t>
  </si>
  <si>
    <t>wind resource in cluster 18</t>
  </si>
  <si>
    <t>e_won_019</t>
  </si>
  <si>
    <t>wind resource in cluster 19</t>
  </si>
  <si>
    <t>e_won_020</t>
  </si>
  <si>
    <t>wind resource in cluster 20</t>
  </si>
  <si>
    <t>e_won_021</t>
  </si>
  <si>
    <t>wind resource in cluster 21</t>
  </si>
  <si>
    <t>e_won_022</t>
  </si>
  <si>
    <t>wind resource in cluster 22</t>
  </si>
  <si>
    <t>e_won_023</t>
  </si>
  <si>
    <t>wind resource in cluster 23</t>
  </si>
  <si>
    <t>e_won_024</t>
  </si>
  <si>
    <t>wind resource in cluster 24</t>
  </si>
  <si>
    <t>e_won_025</t>
  </si>
  <si>
    <t>wind resource in cluster 25</t>
  </si>
  <si>
    <t>e_won_026</t>
  </si>
  <si>
    <t>wind resource in cluster 26</t>
  </si>
  <si>
    <t>e_won_027</t>
  </si>
  <si>
    <t>wind resource in cluster 27</t>
  </si>
  <si>
    <t>e_won_028</t>
  </si>
  <si>
    <t>wind resource in cluster 28</t>
  </si>
  <si>
    <t>e_won_029</t>
  </si>
  <si>
    <t>wind resource in cluster 29</t>
  </si>
  <si>
    <t>e_won_030</t>
  </si>
  <si>
    <t>wind resource in cluster 30</t>
  </si>
  <si>
    <t>e_won_031</t>
  </si>
  <si>
    <t>wind resource in cluster 31</t>
  </si>
  <si>
    <t>e_won_032</t>
  </si>
  <si>
    <t>wind resource in cluster 32</t>
  </si>
  <si>
    <t>e_won_033</t>
  </si>
  <si>
    <t>wind resource in cluster 33</t>
  </si>
  <si>
    <t>e_won_034</t>
  </si>
  <si>
    <t>wind resource in cluster 34</t>
  </si>
  <si>
    <t>e_won_035</t>
  </si>
  <si>
    <t>wind resource in cluster 35</t>
  </si>
  <si>
    <t>e_won_036</t>
  </si>
  <si>
    <t>wind resource in cluster 36</t>
  </si>
  <si>
    <t>e_won_037</t>
  </si>
  <si>
    <t>wind resource in cluster 37</t>
  </si>
  <si>
    <t>e_won_038</t>
  </si>
  <si>
    <t>wind resource in cluster 38</t>
  </si>
  <si>
    <t>e_won_039</t>
  </si>
  <si>
    <t>wind resource in cluster 39</t>
  </si>
  <si>
    <t>e_won_040</t>
  </si>
  <si>
    <t>wind resource in cluster 40</t>
  </si>
  <si>
    <t>e_won_041</t>
  </si>
  <si>
    <t>wind resource in cluster 41</t>
  </si>
  <si>
    <t>e_won_042</t>
  </si>
  <si>
    <t>wind resource in cluster 42</t>
  </si>
  <si>
    <t>e_won_043</t>
  </si>
  <si>
    <t>wind resource in cluster 43</t>
  </si>
  <si>
    <t>e_won_044</t>
  </si>
  <si>
    <t>wind resource in cluster 44</t>
  </si>
  <si>
    <t>e_won_045</t>
  </si>
  <si>
    <t>wind resource in cluster 45</t>
  </si>
  <si>
    <t>e_won_046</t>
  </si>
  <si>
    <t>wind resource in cluster 46</t>
  </si>
  <si>
    <t>e_won_047</t>
  </si>
  <si>
    <t>wind resource in cluster 47</t>
  </si>
  <si>
    <t>e_won_048</t>
  </si>
  <si>
    <t>wind resource in cluster 48</t>
  </si>
  <si>
    <t>e_won_049</t>
  </si>
  <si>
    <t>wind resource in cluster 49</t>
  </si>
  <si>
    <t>e_won_050</t>
  </si>
  <si>
    <t>wind resource in cluster 50</t>
  </si>
  <si>
    <t>e_won_051</t>
  </si>
  <si>
    <t>wind resource in cluster 51</t>
  </si>
  <si>
    <t>e_won_052</t>
  </si>
  <si>
    <t>wind resource in cluster 52</t>
  </si>
  <si>
    <t>e_won_053</t>
  </si>
  <si>
    <t>wind resource in cluster 53</t>
  </si>
  <si>
    <t>e_won_054</t>
  </si>
  <si>
    <t>wind resource in cluster 54</t>
  </si>
  <si>
    <t>e_won_055</t>
  </si>
  <si>
    <t>wind resource in cluster 55</t>
  </si>
  <si>
    <t>e_won_056</t>
  </si>
  <si>
    <t>wind resource in cluster 56</t>
  </si>
  <si>
    <t>e_won_057</t>
  </si>
  <si>
    <t>wind resource in cluster 57</t>
  </si>
  <si>
    <t>e_won_058</t>
  </si>
  <si>
    <t>wind resource in cluster 58</t>
  </si>
  <si>
    <t>e_won_059</t>
  </si>
  <si>
    <t>wind resource in cluster 59</t>
  </si>
  <si>
    <t>e_won_060</t>
  </si>
  <si>
    <t>wind resource in cluster 60</t>
  </si>
  <si>
    <t>e_won_061</t>
  </si>
  <si>
    <t>wind resource in cluster 61</t>
  </si>
  <si>
    <t>e_won_062</t>
  </si>
  <si>
    <t>wind resource in cluster 62</t>
  </si>
  <si>
    <t>e_won_063</t>
  </si>
  <si>
    <t>wind resource in cluster 63</t>
  </si>
  <si>
    <t>e_won_064</t>
  </si>
  <si>
    <t>wind resource in cluster 64</t>
  </si>
  <si>
    <t>e_won_065</t>
  </si>
  <si>
    <t>wind resource in cluster 65</t>
  </si>
  <si>
    <t>e_won_066</t>
  </si>
  <si>
    <t>wind resource in cluster 66</t>
  </si>
  <si>
    <t>e_won_067</t>
  </si>
  <si>
    <t>wind resource in cluster 67</t>
  </si>
  <si>
    <t>e_won_068</t>
  </si>
  <si>
    <t>wind resource in cluster 68</t>
  </si>
  <si>
    <t>e_won_069</t>
  </si>
  <si>
    <t>wind resource in cluster 69</t>
  </si>
  <si>
    <t>e_won_070</t>
  </si>
  <si>
    <t>wind resource in cluster 70</t>
  </si>
  <si>
    <t>e_won_071</t>
  </si>
  <si>
    <t>wind resource in cluster 71</t>
  </si>
  <si>
    <t>e_won_072</t>
  </si>
  <si>
    <t>wind resource in cluster 72</t>
  </si>
  <si>
    <t>e_won_073</t>
  </si>
  <si>
    <t>wind resource in cluster 73</t>
  </si>
  <si>
    <t>e_won_074</t>
  </si>
  <si>
    <t>wind resource in cluster 74</t>
  </si>
  <si>
    <t>e_won_075</t>
  </si>
  <si>
    <t>wind resource in cluster 75</t>
  </si>
  <si>
    <t>e_won_076</t>
  </si>
  <si>
    <t>wind resource in cluster 76</t>
  </si>
  <si>
    <t>e_won_077</t>
  </si>
  <si>
    <t>wind resource in cluster 77</t>
  </si>
  <si>
    <t>e_won_078</t>
  </si>
  <si>
    <t>wind resource in cluster 78</t>
  </si>
  <si>
    <t>e_won_079</t>
  </si>
  <si>
    <t>wind resource in cluster 79</t>
  </si>
  <si>
    <t>e_won_080</t>
  </si>
  <si>
    <t>wind resource in cluster 80</t>
  </si>
  <si>
    <t>e_won_081</t>
  </si>
  <si>
    <t>wind resource in cluster 81</t>
  </si>
  <si>
    <t>e_won_082</t>
  </si>
  <si>
    <t>wind resource in cluster 82</t>
  </si>
  <si>
    <t>e_won_083</t>
  </si>
  <si>
    <t>wind resource in cluster 83</t>
  </si>
  <si>
    <t>e_won_084</t>
  </si>
  <si>
    <t>wind resource in cluster 84</t>
  </si>
  <si>
    <t>e_won_085</t>
  </si>
  <si>
    <t>wind resource in cluster 85</t>
  </si>
  <si>
    <t>e_won_086</t>
  </si>
  <si>
    <t>wind resource in cluster 86</t>
  </si>
  <si>
    <t>e_won_087</t>
  </si>
  <si>
    <t>wind resource in cluster 87</t>
  </si>
  <si>
    <t>e_won_088</t>
  </si>
  <si>
    <t>wind resource in cluster 88</t>
  </si>
  <si>
    <t>e_won_089</t>
  </si>
  <si>
    <t>wind resource in cluster 89</t>
  </si>
  <si>
    <t>e_won_090</t>
  </si>
  <si>
    <t>wind resource in cluster 90</t>
  </si>
  <si>
    <t>e_won_091</t>
  </si>
  <si>
    <t>wind resource in cluster 91</t>
  </si>
  <si>
    <t>e_won_092</t>
  </si>
  <si>
    <t>wind resource in cluster 92</t>
  </si>
  <si>
    <t>e_won_093</t>
  </si>
  <si>
    <t>wind resource in cluster 93</t>
  </si>
  <si>
    <t>e_won_094</t>
  </si>
  <si>
    <t>wind resource in cluster 94</t>
  </si>
  <si>
    <t>e_won_095</t>
  </si>
  <si>
    <t>wind resource in cluster 95</t>
  </si>
  <si>
    <t>e_won_096</t>
  </si>
  <si>
    <t>wind resource in cluster 96</t>
  </si>
  <si>
    <t>e_won_097</t>
  </si>
  <si>
    <t>wind resource in cluster 97</t>
  </si>
  <si>
    <t>e_won_098</t>
  </si>
  <si>
    <t>wind resource in cluster 98</t>
  </si>
  <si>
    <t>e_won_099</t>
  </si>
  <si>
    <t>wind resource in cluster 99</t>
  </si>
  <si>
    <t>e_won_100</t>
  </si>
  <si>
    <t>wind resource in cluster 100</t>
  </si>
  <si>
    <t>e_won_101</t>
  </si>
  <si>
    <t>wind resource in cluster 101</t>
  </si>
  <si>
    <t>e_won_102</t>
  </si>
  <si>
    <t>wind resource in cluster 102</t>
  </si>
  <si>
    <t>e_won_103</t>
  </si>
  <si>
    <t>wind resource in cluster 103</t>
  </si>
  <si>
    <t>e_won_104</t>
  </si>
  <si>
    <t>wind resource in cluster 104</t>
  </si>
  <si>
    <t>e_won_105</t>
  </si>
  <si>
    <t>wind resource in cluster 105</t>
  </si>
  <si>
    <t>e_won_106</t>
  </si>
  <si>
    <t>wind resource in cluster 106</t>
  </si>
  <si>
    <t>e_won_107</t>
  </si>
  <si>
    <t>wind resource in cluster 107</t>
  </si>
  <si>
    <t>e_won_108</t>
  </si>
  <si>
    <t>wind resource in cluster 108</t>
  </si>
  <si>
    <t>e_won_109</t>
  </si>
  <si>
    <t>wind resource in cluster 109</t>
  </si>
  <si>
    <t>e_won_110</t>
  </si>
  <si>
    <t>wind resource in cluster 110</t>
  </si>
  <si>
    <t>e_won_111</t>
  </si>
  <si>
    <t>wind resource in cluster 111</t>
  </si>
  <si>
    <t>e_won_112</t>
  </si>
  <si>
    <t>wind resource in cluster 112</t>
  </si>
  <si>
    <t>e_wof_001</t>
  </si>
  <si>
    <t>offshore wind resource in cluster 1</t>
  </si>
  <si>
    <t>e_wof_002</t>
  </si>
  <si>
    <t>offshore wind resource in cluster 2</t>
  </si>
  <si>
    <t>e_wof_003</t>
  </si>
  <si>
    <t>offshore wind resource in cluster 3</t>
  </si>
  <si>
    <t>e_wof_004</t>
  </si>
  <si>
    <t>offshore wind resource in cluster 4</t>
  </si>
  <si>
    <t>e_wof_005</t>
  </si>
  <si>
    <t>offshore wind resource in cluster 5</t>
  </si>
  <si>
    <t>e_wof_006</t>
  </si>
  <si>
    <t>offshore wind resource in cluster 6</t>
  </si>
  <si>
    <t>e_wof_007</t>
  </si>
  <si>
    <t>offshore wind resource in cluster 7</t>
  </si>
  <si>
    <t>e_wof_008</t>
  </si>
  <si>
    <t>offshore wind resource in cluster 8</t>
  </si>
  <si>
    <t>e_wof_009</t>
  </si>
  <si>
    <t>offshore wind resource in cluster 9</t>
  </si>
  <si>
    <t>e_wof_010</t>
  </si>
  <si>
    <t>offshore wind resource in cluster 10</t>
  </si>
  <si>
    <t>e_wof_011</t>
  </si>
  <si>
    <t>offshore wind resource in cluster 11</t>
  </si>
  <si>
    <t>e_wof_012</t>
  </si>
  <si>
    <t>offshore wind resource in cluster 12</t>
  </si>
  <si>
    <t>e_wof_013</t>
  </si>
  <si>
    <t>offshore wind resource in cluster 13</t>
  </si>
  <si>
    <t>e_wof_014</t>
  </si>
  <si>
    <t>offshore wind resource in cluster 14</t>
  </si>
  <si>
    <t>e_wof_015</t>
  </si>
  <si>
    <t>offshore wind resource in cluster 15</t>
  </si>
  <si>
    <t>e_wof_016</t>
  </si>
  <si>
    <t>offshore wind resource in cluster 16</t>
  </si>
  <si>
    <t>e_wof_017</t>
  </si>
  <si>
    <t>offshore wind resource in cluster 17</t>
  </si>
  <si>
    <t>e_wof_018</t>
  </si>
  <si>
    <t>offshore wind resource in cluster 18</t>
  </si>
  <si>
    <t>e_wof_019</t>
  </si>
  <si>
    <t>offshore wind resource in cluster 19</t>
  </si>
  <si>
    <t>e_wof_020</t>
  </si>
  <si>
    <t>offshore wind resource in cluster 20</t>
  </si>
  <si>
    <t>e_wof_021</t>
  </si>
  <si>
    <t>offshore wind resource in cluster 21</t>
  </si>
  <si>
    <t>e_wof_022</t>
  </si>
  <si>
    <t>offshore wind resource in cluster 22</t>
  </si>
  <si>
    <t>e_wof_023</t>
  </si>
  <si>
    <t>offshore wind resource in cluster 23</t>
  </si>
  <si>
    <t>e_wof_024</t>
  </si>
  <si>
    <t>offshore wind resource in cluster 24</t>
  </si>
  <si>
    <t>e_wof_025</t>
  </si>
  <si>
    <t>offshore wind resource in cluster 25</t>
  </si>
  <si>
    <t>e_wof_026</t>
  </si>
  <si>
    <t>offshore wind resource in cluster 26</t>
  </si>
  <si>
    <t>e_wof_027</t>
  </si>
  <si>
    <t>offshore wind resource in cluster 27</t>
  </si>
  <si>
    <t>e_wof_028</t>
  </si>
  <si>
    <t>offshore wind resource in cluster 28</t>
  </si>
  <si>
    <t>e_wof_029</t>
  </si>
  <si>
    <t>offshore wind resource in cluster 29</t>
  </si>
  <si>
    <t>e_wof_030</t>
  </si>
  <si>
    <t>offshore wind resource in cluster 30</t>
  </si>
  <si>
    <t>e_wof_031</t>
  </si>
  <si>
    <t>offshore wind resource in cluster 31</t>
  </si>
  <si>
    <t>e_wof_032</t>
  </si>
  <si>
    <t>offshore wind resource in cluster 32</t>
  </si>
  <si>
    <t>e_wof_033</t>
  </si>
  <si>
    <t>offshore wind resource in cluster 33</t>
  </si>
  <si>
    <t>e_wof_034</t>
  </si>
  <si>
    <t>offshore wind resource in cluster 34</t>
  </si>
  <si>
    <t>e_wof_035</t>
  </si>
  <si>
    <t>offshore wind resource in cluster 35</t>
  </si>
  <si>
    <t>e_wof_036</t>
  </si>
  <si>
    <t>offshore wind resource in cluster 36</t>
  </si>
  <si>
    <t>e_wof_037</t>
  </si>
  <si>
    <t>offshore wind resource in cluster 37</t>
  </si>
  <si>
    <t>e_wof_038</t>
  </si>
  <si>
    <t>offshore wind resource in cluster 38</t>
  </si>
  <si>
    <t>e_wof_039</t>
  </si>
  <si>
    <t>offshore wind resource in cluster 39</t>
  </si>
  <si>
    <t>e_wof_040</t>
  </si>
  <si>
    <t>offshore wind resource in cluster 40</t>
  </si>
  <si>
    <t>e_wof_041</t>
  </si>
  <si>
    <t>offshore wind resource in cluster 41</t>
  </si>
  <si>
    <t>e_wof_042</t>
  </si>
  <si>
    <t>offshore wind resource in cluster 42</t>
  </si>
  <si>
    <t>e_wof_043</t>
  </si>
  <si>
    <t>offshore wind resource in cluster 43</t>
  </si>
  <si>
    <t>e_wof_044</t>
  </si>
  <si>
    <t>offshore wind resource in cluster 44</t>
  </si>
  <si>
    <t>e_wof_045</t>
  </si>
  <si>
    <t>offshore wind resource in cluster 45</t>
  </si>
  <si>
    <t>e_wof_046</t>
  </si>
  <si>
    <t>offshore wind resource in cluster 46</t>
  </si>
  <si>
    <t>e_wof_047</t>
  </si>
  <si>
    <t>offshore wind resource in cluster 47</t>
  </si>
  <si>
    <t>e_wof_048</t>
  </si>
  <si>
    <t>offshore wind resource in cluster 48</t>
  </si>
  <si>
    <t>e_wof_049</t>
  </si>
  <si>
    <t>offshore wind resource in cluster 49</t>
  </si>
  <si>
    <t>e_wof_050</t>
  </si>
  <si>
    <t>offshore wind resource in cluster 50</t>
  </si>
  <si>
    <t>e_wof_051</t>
  </si>
  <si>
    <t>offshore wind resource in cluster 51</t>
  </si>
  <si>
    <t>e_wof_052</t>
  </si>
  <si>
    <t>offshore wind resource in cluster 52</t>
  </si>
  <si>
    <t>e_wof_053</t>
  </si>
  <si>
    <t>offshore wind resource in cluster 53</t>
  </si>
  <si>
    <t>e_wof_054</t>
  </si>
  <si>
    <t>offshore wind resource in cluster 54</t>
  </si>
  <si>
    <t>e_wof_055</t>
  </si>
  <si>
    <t>offshore wind resource in cluster 55</t>
  </si>
  <si>
    <t>e_wof_056</t>
  </si>
  <si>
    <t>offshore wind resource in cluster 56</t>
  </si>
  <si>
    <t>e_wof_057</t>
  </si>
  <si>
    <t>offshore wind resource in cluster 57</t>
  </si>
  <si>
    <t>e_wof_058</t>
  </si>
  <si>
    <t>offshore wind resource in cluster 58</t>
  </si>
  <si>
    <t>e_wof_059</t>
  </si>
  <si>
    <t>offshore wind resource in cluster 59</t>
  </si>
  <si>
    <t>e_wof_060</t>
  </si>
  <si>
    <t>offshore wind resource in cluster 60</t>
  </si>
  <si>
    <t>e_wof_061</t>
  </si>
  <si>
    <t>offshore wind resource in cluster 61</t>
  </si>
  <si>
    <t>e_wof_062</t>
  </si>
  <si>
    <t>offshore wind resource in cluster 62</t>
  </si>
  <si>
    <t>e_wof_063</t>
  </si>
  <si>
    <t>offshore wind resource in cluster 63</t>
  </si>
  <si>
    <t>e_wof_064</t>
  </si>
  <si>
    <t>offshore wind resource in cluster 64</t>
  </si>
  <si>
    <t>e_wof_065</t>
  </si>
  <si>
    <t>offshore wind resource in cluster 65</t>
  </si>
  <si>
    <t>e_wof_066</t>
  </si>
  <si>
    <t>offshore wind resource in cluster 66</t>
  </si>
  <si>
    <t>e_wof_067</t>
  </si>
  <si>
    <t>offshore wind resource in cluster 67</t>
  </si>
  <si>
    <t>e_wof_068</t>
  </si>
  <si>
    <t>offshore wind resource in cluster 68</t>
  </si>
  <si>
    <t>e_wof_069</t>
  </si>
  <si>
    <t>offshore wind resource in cluster 69</t>
  </si>
  <si>
    <t>e_wof_070</t>
  </si>
  <si>
    <t>offshore wind resource in cluster 70</t>
  </si>
  <si>
    <t>e_wof_071</t>
  </si>
  <si>
    <t>offshore wind resource in cluster 71</t>
  </si>
  <si>
    <t>e_wof_072</t>
  </si>
  <si>
    <t>offshore wind resource in cluster 72</t>
  </si>
  <si>
    <t>e_wof_073</t>
  </si>
  <si>
    <t>offshore wind resource in cluster 73</t>
  </si>
  <si>
    <t>e_wof_074</t>
  </si>
  <si>
    <t>offshore wind resource in cluster 74</t>
  </si>
  <si>
    <t>e_wof_075</t>
  </si>
  <si>
    <t>offshore wind resource in cluster 75</t>
  </si>
  <si>
    <t>e_wof_076</t>
  </si>
  <si>
    <t>offshore wind resource in cluster 76</t>
  </si>
  <si>
    <t>e_wof_077</t>
  </si>
  <si>
    <t>offshore wind resource in cluster 77</t>
  </si>
  <si>
    <t>e_wof_078</t>
  </si>
  <si>
    <t>offshore wind resource in cluster 78</t>
  </si>
  <si>
    <t>e_wof_079</t>
  </si>
  <si>
    <t>offshore wind resource in cluster 79</t>
  </si>
  <si>
    <t>e_wof_080</t>
  </si>
  <si>
    <t>offshore wind resource in cluster 80</t>
  </si>
  <si>
    <t>e_wof_081</t>
  </si>
  <si>
    <t>offshore wind resource in cluster 81</t>
  </si>
  <si>
    <t>e_wof_082</t>
  </si>
  <si>
    <t>offshore wind resource in cluster 82</t>
  </si>
  <si>
    <t>e_wof_083</t>
  </si>
  <si>
    <t>offshore wind resource in cluster 83</t>
  </si>
  <si>
    <t>e_wof_084</t>
  </si>
  <si>
    <t>offshore wind resource in cluster 84</t>
  </si>
  <si>
    <t>e_wof_085</t>
  </si>
  <si>
    <t>offshore wind resource in cluster 85</t>
  </si>
  <si>
    <t>e_wof_086</t>
  </si>
  <si>
    <t>offshore wind resource in cluster 86</t>
  </si>
  <si>
    <t>e_wof_087</t>
  </si>
  <si>
    <t>offshore wind resource in cluster 87</t>
  </si>
  <si>
    <t>e_wof_088</t>
  </si>
  <si>
    <t>offshore wind resource in cluster 88</t>
  </si>
  <si>
    <t>e_wof_089</t>
  </si>
  <si>
    <t>offshore wind resource in cluster 89</t>
  </si>
  <si>
    <t>e_wof_090</t>
  </si>
  <si>
    <t>offshore wind resource in cluster 90</t>
  </si>
  <si>
    <t>e_wof_091</t>
  </si>
  <si>
    <t>offshore wind resource in cluster 91</t>
  </si>
  <si>
    <t>e_wof_092</t>
  </si>
  <si>
    <t>offshore wind resource in cluster 92</t>
  </si>
  <si>
    <t>e_wof_093</t>
  </si>
  <si>
    <t>offshore wind resource in cluster 93</t>
  </si>
  <si>
    <t>e_wof_094</t>
  </si>
  <si>
    <t>offshore wind resource in cluster 94</t>
  </si>
  <si>
    <t>e_wof_095</t>
  </si>
  <si>
    <t>offshore wind resource in cluster 95</t>
  </si>
  <si>
    <t>e_wof_096</t>
  </si>
  <si>
    <t>offshore wind resource in cluster 96</t>
  </si>
  <si>
    <t>e_wof_097</t>
  </si>
  <si>
    <t>offshore wind resource in cluster 97</t>
  </si>
  <si>
    <t>e_wof_098</t>
  </si>
  <si>
    <t>offshore wind resource in cluster 98</t>
  </si>
  <si>
    <t>e_wof_099</t>
  </si>
  <si>
    <t>offshore wind resource in cluster 99</t>
  </si>
  <si>
    <t>e_wof_100</t>
  </si>
  <si>
    <t>offshore wind resource in cluster 100</t>
  </si>
  <si>
    <t>e_wof_101</t>
  </si>
  <si>
    <t>offshore wind resource in cluster 101</t>
  </si>
  <si>
    <t>e_wof_102</t>
  </si>
  <si>
    <t>offshore wind resource in cluster 102</t>
  </si>
  <si>
    <t>e_wof_103</t>
  </si>
  <si>
    <t>offshore wind resource in cluster 103</t>
  </si>
  <si>
    <t>e_wof_104</t>
  </si>
  <si>
    <t>offshore wind resource in cluster 104</t>
  </si>
  <si>
    <t>e_wof_105</t>
  </si>
  <si>
    <t>offshore wind resource in cluster 105</t>
  </si>
  <si>
    <t>e_wof_106</t>
  </si>
  <si>
    <t>offshore wind resource in cluster 106</t>
  </si>
  <si>
    <t>e_wof_107</t>
  </si>
  <si>
    <t>offshore wind resource in cluster 107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</si>
  <si>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</si>
  <si>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</si>
  <si>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</si>
  <si>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</si>
  <si>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</si>
  <si>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</si>
  <si>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</si>
  <si>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</si>
  <si>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</si>
  <si>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</si>
  <si>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elc_wof_011</t>
  </si>
  <si>
    <t>elc_wof_012</t>
  </si>
  <si>
    <t>elc_wof_013</t>
  </si>
  <si>
    <t>elc_wof_014</t>
  </si>
  <si>
    <t>elc_wof_015</t>
  </si>
  <si>
    <t>elc_wof_016</t>
  </si>
  <si>
    <t>elc_wof_017</t>
  </si>
  <si>
    <t>elc_wof_018</t>
  </si>
  <si>
    <t>elc_wof_019</t>
  </si>
  <si>
    <t>elc_wof_020</t>
  </si>
  <si>
    <t>elc_wof_021</t>
  </si>
  <si>
    <t>elc_wof_022</t>
  </si>
  <si>
    <t>elc_wof_023</t>
  </si>
  <si>
    <t>elc_wof_024</t>
  </si>
  <si>
    <t>elc_wof_025</t>
  </si>
  <si>
    <t>elc_wof_026</t>
  </si>
  <si>
    <t>elc_wof_027</t>
  </si>
  <si>
    <t>elc_wof_028</t>
  </si>
  <si>
    <t>elc_wof_029</t>
  </si>
  <si>
    <t>elc_wof_030</t>
  </si>
  <si>
    <t>elc_wof_031</t>
  </si>
  <si>
    <t>elc_wof_032</t>
  </si>
  <si>
    <t>elc_wof_033</t>
  </si>
  <si>
    <t>elc_wof_034</t>
  </si>
  <si>
    <t>elc_wof_035</t>
  </si>
  <si>
    <t>elc_wof_036</t>
  </si>
  <si>
    <t>elc_wof_037</t>
  </si>
  <si>
    <t>elc_wof_038</t>
  </si>
  <si>
    <t>elc_wof_039</t>
  </si>
  <si>
    <t>elc_wof_040</t>
  </si>
  <si>
    <t>elc_wof_041</t>
  </si>
  <si>
    <t>elc_wof_042</t>
  </si>
  <si>
    <t>elc_wof_043</t>
  </si>
  <si>
    <t>elc_wof_044</t>
  </si>
  <si>
    <t>elc_wof_045</t>
  </si>
  <si>
    <t>elc_wof_046</t>
  </si>
  <si>
    <t>elc_wof_047</t>
  </si>
  <si>
    <t>elc_wof_048</t>
  </si>
  <si>
    <t>elc_wof_049</t>
  </si>
  <si>
    <t>elc_wof_050</t>
  </si>
  <si>
    <t>elc_wof_051</t>
  </si>
  <si>
    <t>elc_wof_052</t>
  </si>
  <si>
    <t>elc_wof_053</t>
  </si>
  <si>
    <t>elc_wof_054</t>
  </si>
  <si>
    <t>elc_wof_055</t>
  </si>
  <si>
    <t>elc_wof_056</t>
  </si>
  <si>
    <t>elc_wof_057</t>
  </si>
  <si>
    <t>elc_wof_058</t>
  </si>
  <si>
    <t>elc_wof_059</t>
  </si>
  <si>
    <t>elc_wof_060</t>
  </si>
  <si>
    <t>elc_wof_061</t>
  </si>
  <si>
    <t>elc_wof_062</t>
  </si>
  <si>
    <t>elc_wof_063</t>
  </si>
  <si>
    <t>elc_wof_064</t>
  </si>
  <si>
    <t>elc_wof_065</t>
  </si>
  <si>
    <t>elc_wof_066</t>
  </si>
  <si>
    <t>elc_wof_067</t>
  </si>
  <si>
    <t>elc_wof_068</t>
  </si>
  <si>
    <t>elc_wof_069</t>
  </si>
  <si>
    <t>elc_wof_070</t>
  </si>
  <si>
    <t>elc_wof_071</t>
  </si>
  <si>
    <t>elc_wof_072</t>
  </si>
  <si>
    <t>elc_wof_073</t>
  </si>
  <si>
    <t>elc_wof_074</t>
  </si>
  <si>
    <t>elc_wof_075</t>
  </si>
  <si>
    <t>elc_wof_076</t>
  </si>
  <si>
    <t>elc_wof_077</t>
  </si>
  <si>
    <t>elc_wof_078</t>
  </si>
  <si>
    <t>elc_wof_079</t>
  </si>
  <si>
    <t>elc_wof_080</t>
  </si>
  <si>
    <t>elc_wof_081</t>
  </si>
  <si>
    <t>elc_wof_082</t>
  </si>
  <si>
    <t>elc_wof_083</t>
  </si>
  <si>
    <t>elc_wof_084</t>
  </si>
  <si>
    <t>elc_wof_085</t>
  </si>
  <si>
    <t>elc_wof_086</t>
  </si>
  <si>
    <t>elc_wof_087</t>
  </si>
  <si>
    <t>elc_wof_088</t>
  </si>
  <si>
    <t>elc_wof_089</t>
  </si>
  <si>
    <t>elc_wof_090</t>
  </si>
  <si>
    <t>elc_wof_091</t>
  </si>
  <si>
    <t>elc_wof_092</t>
  </si>
  <si>
    <t>elc_wof_093</t>
  </si>
  <si>
    <t>elc_wof_094</t>
  </si>
  <si>
    <t>elc_wof_095</t>
  </si>
  <si>
    <t>elc_wof_096</t>
  </si>
  <si>
    <t>elc_wof_097</t>
  </si>
  <si>
    <t>elc_wof_098</t>
  </si>
  <si>
    <t>elc_wof_099</t>
  </si>
  <si>
    <t>elc_wof_100</t>
  </si>
  <si>
    <t>elc_wof_101</t>
  </si>
  <si>
    <t>elc_wof_102</t>
  </si>
  <si>
    <t>elc_wof_103</t>
  </si>
  <si>
    <t>elc_wof_104</t>
  </si>
  <si>
    <t>elc_wof_105</t>
  </si>
  <si>
    <t>elc_wof_106</t>
  </si>
  <si>
    <t>elc_wof_107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</si>
  <si>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</si>
  <si>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</si>
  <si>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</si>
  <si>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</si>
  <si>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</si>
  <si>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</si>
  <si>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</si>
  <si>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</si>
  <si>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</si>
  <si>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</si>
  <si>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</si>
  <si>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</si>
  <si>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</si>
  <si>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</si>
  <si>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</si>
  <si>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</si>
  <si>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</si>
  <si>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</si>
  <si>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</si>
  <si>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</si>
  <si>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</si>
  <si>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</si>
  <si>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yes</t>
  </si>
  <si>
    <t>stepdown_r10383301_500to240</t>
  </si>
  <si>
    <t>e_r10383301-500</t>
  </si>
  <si>
    <t>e_r10383301-240</t>
  </si>
  <si>
    <t>stepup_r10383301_240to500</t>
  </si>
  <si>
    <t>stepdown_r11490625_500to240</t>
  </si>
  <si>
    <t>e_r11490625-500</t>
  </si>
  <si>
    <t>e_r11490625-240</t>
  </si>
  <si>
    <t>stepup_r11490625_240to500</t>
  </si>
  <si>
    <t>stepdown_w104431364_735to315</t>
  </si>
  <si>
    <t>e_w104431364-735</t>
  </si>
  <si>
    <t>e_w104431364-315</t>
  </si>
  <si>
    <t>stepup_w104431364_315to735</t>
  </si>
  <si>
    <t>stepdown_w110303217_735to315</t>
  </si>
  <si>
    <t>e_w110303217-735</t>
  </si>
  <si>
    <t>e_w110303217-315</t>
  </si>
  <si>
    <t>stepup_w110303217_315to735</t>
  </si>
  <si>
    <t>stepdown_w129284212_765to735</t>
  </si>
  <si>
    <t>e_w129284212-765</t>
  </si>
  <si>
    <t>e_w129284212-735</t>
  </si>
  <si>
    <t>stepup_w129284212_735to765</t>
  </si>
  <si>
    <t>stepdown_w129284212_735to315</t>
  </si>
  <si>
    <t>e_w129284212-315</t>
  </si>
  <si>
    <t>stepup_w129284212_315to735</t>
  </si>
  <si>
    <t>stepdown_w177922632_735to315</t>
  </si>
  <si>
    <t>e_w177922632-735</t>
  </si>
  <si>
    <t>e_w177922632-315</t>
  </si>
  <si>
    <t>stepup_w177922632_315to735</t>
  </si>
  <si>
    <t>stepdown_w183866276_735to315</t>
  </si>
  <si>
    <t>e_w183866276-735</t>
  </si>
  <si>
    <t>e_w183866276-315</t>
  </si>
  <si>
    <t>stepup_w183866276_315to735</t>
  </si>
  <si>
    <t>stepdown_w191655861_735to315</t>
  </si>
  <si>
    <t>e_w191655861-735</t>
  </si>
  <si>
    <t>e_w191655861-315</t>
  </si>
  <si>
    <t>stepup_w191655861_315to735</t>
  </si>
  <si>
    <t>stepdown_w268183893_500to240</t>
  </si>
  <si>
    <t>e_w268183893-500</t>
  </si>
  <si>
    <t>e_w268183893-240</t>
  </si>
  <si>
    <t>stepup_w268183893_240to500</t>
  </si>
  <si>
    <t>stepdown_w27736159_735to315</t>
  </si>
  <si>
    <t>e_w27736159-735</t>
  </si>
  <si>
    <t>e_w27736159-315</t>
  </si>
  <si>
    <t>stepup_w27736159_315to735</t>
  </si>
  <si>
    <t>stepdown_w303543538_345to315</t>
  </si>
  <si>
    <t>e_w303543538-345</t>
  </si>
  <si>
    <t>e_w303543538-315</t>
  </si>
  <si>
    <t>stepup_w303543538_315to345</t>
  </si>
  <si>
    <t>stepdown_w321722776_735to315</t>
  </si>
  <si>
    <t>e_w321722776-735</t>
  </si>
  <si>
    <t>e_w321722776-315</t>
  </si>
  <si>
    <t>stepup_w321722776_315to735</t>
  </si>
  <si>
    <t>stepdown_w323166651_735to315</t>
  </si>
  <si>
    <t>e_w323166651-315</t>
  </si>
  <si>
    <t>stepup_w323166651_315to735</t>
  </si>
  <si>
    <t>stepdown_w323896233_735to315</t>
  </si>
  <si>
    <t>e_w323896233-735</t>
  </si>
  <si>
    <t>e_w323896233-315</t>
  </si>
  <si>
    <t>stepup_w323896233_315to735</t>
  </si>
  <si>
    <t>stepdown_w33144100_735to315</t>
  </si>
  <si>
    <t>e_w33144100-735</t>
  </si>
  <si>
    <t>e_w33144100-315</t>
  </si>
  <si>
    <t>stepup_w33144100_315to735</t>
  </si>
  <si>
    <t>stepdown_w34252628_735to315</t>
  </si>
  <si>
    <t>e_w34252628-735</t>
  </si>
  <si>
    <t>e_w34252628-315</t>
  </si>
  <si>
    <t>stepup_w34252628_315to735</t>
  </si>
  <si>
    <t>stepdown_w359143120_500to240</t>
  </si>
  <si>
    <t>e_w359143120-500</t>
  </si>
  <si>
    <t>e_w359143120-240</t>
  </si>
  <si>
    <t>stepup_w359143120_240to500</t>
  </si>
  <si>
    <t>stepdown_w38047176_500to240</t>
  </si>
  <si>
    <t>e_w38047176-500</t>
  </si>
  <si>
    <t>e_w38047176-240</t>
  </si>
  <si>
    <t>stepup_w38047176_240to500</t>
  </si>
  <si>
    <t>stepdown_w51423683_735to315</t>
  </si>
  <si>
    <t>e_w51423683-735</t>
  </si>
  <si>
    <t>e_w51423683-315</t>
  </si>
  <si>
    <t>stepup_w51423683_315to735</t>
  </si>
  <si>
    <t>stepdown_w707259215_500to240</t>
  </si>
  <si>
    <t>e_w707259215-500</t>
  </si>
  <si>
    <t>e_w707259215-240</t>
  </si>
  <si>
    <t>stepup_w707259215_240to500</t>
  </si>
  <si>
    <t>stepdown_w72838752_735to315</t>
  </si>
  <si>
    <t>e_w72838752-735</t>
  </si>
  <si>
    <t>e_w72838752-315</t>
  </si>
  <si>
    <t>stepup_w72838752_315to735</t>
  </si>
  <si>
    <t>stepdown_w80794228_735to315</t>
  </si>
  <si>
    <t>e_w80794228-735</t>
  </si>
  <si>
    <t>e_w80794228-315</t>
  </si>
  <si>
    <t>stepup_w80794228_315to735</t>
  </si>
  <si>
    <t>stepdown_w80891128_735to315</t>
  </si>
  <si>
    <t>e_w80891128-735</t>
  </si>
  <si>
    <t>e_w80891128-315</t>
  </si>
  <si>
    <t>stepup_w80891128_315to735</t>
  </si>
  <si>
    <t>stepdown_w92198390_500to287</t>
  </si>
  <si>
    <t>e_w92198390-500</t>
  </si>
  <si>
    <t>e_w92198390-287</t>
  </si>
  <si>
    <t>stepup_w92198390_287to500</t>
  </si>
  <si>
    <t>stepdown_w92676944_735to315</t>
  </si>
  <si>
    <t>e_w92676944-735</t>
  </si>
  <si>
    <t>e_w92676944-315</t>
  </si>
  <si>
    <t>stepup_w92676944_315to735</t>
  </si>
  <si>
    <t>stepdown_w961152437_735to315</t>
  </si>
  <si>
    <t>e_w961152437-735</t>
  </si>
  <si>
    <t>e_w961152437-315</t>
  </si>
  <si>
    <t>stepup_w961152437_315to735</t>
  </si>
  <si>
    <t>stepdown_w96456442_735to315</t>
  </si>
  <si>
    <t>e_w96456442-735</t>
  </si>
  <si>
    <t>e_w96456442-315</t>
  </si>
  <si>
    <t>stepup_w96456442_315to735</t>
  </si>
  <si>
    <t>activityunit</t>
  </si>
  <si>
    <t>capacityunit</t>
  </si>
  <si>
    <t>Transformer: e_r10383301-500 → e_r10383301-240</t>
  </si>
  <si>
    <t>Transformer: e_r10383301-240 → e_r10383301-500</t>
  </si>
  <si>
    <t>Transformer: e_r11490625-500 → e_r11490625-240</t>
  </si>
  <si>
    <t>Transformer: e_r11490625-240 → e_r11490625-500</t>
  </si>
  <si>
    <t>Transformer: e_w104431364-735 → e_w104431364-315</t>
  </si>
  <si>
    <t>Transformer: e_w104431364-315 → e_w104431364-735</t>
  </si>
  <si>
    <t>Transformer: e_w110303217-735 → e_w110303217-315</t>
  </si>
  <si>
    <t>Transformer: e_w110303217-315 → e_w110303217-735</t>
  </si>
  <si>
    <t>Transformer: e_w129284212-765 → e_w129284212-735</t>
  </si>
  <si>
    <t>Transformer: e_w129284212-735 → e_w129284212-765</t>
  </si>
  <si>
    <t>Transformer: e_w129284212-735 → e_w129284212-315</t>
  </si>
  <si>
    <t>Transformer: e_w129284212-315 → e_w129284212-735</t>
  </si>
  <si>
    <t>Transformer: e_w177922632-735 → e_w177922632-315</t>
  </si>
  <si>
    <t>Transformer: e_w177922632-315 → e_w177922632-735</t>
  </si>
  <si>
    <t>Transformer: e_w183866276-735 → e_w183866276-315</t>
  </si>
  <si>
    <t>Transformer: e_w183866276-315 → e_w183866276-735</t>
  </si>
  <si>
    <t>Transformer: e_w191655861-735 → e_w191655861-315</t>
  </si>
  <si>
    <t>Transformer: e_w191655861-315 → e_w191655861-735</t>
  </si>
  <si>
    <t>Transformer: e_w268183893-500 → e_w268183893-240</t>
  </si>
  <si>
    <t>Transformer: e_w268183893-240 → e_w268183893-500</t>
  </si>
  <si>
    <t>Transformer: e_w27736159-735 → e_w27736159-315</t>
  </si>
  <si>
    <t>Transformer: e_w27736159-315 → e_w27736159-735</t>
  </si>
  <si>
    <t>Transformer: e_w303543538-345 → e_w303543538-315</t>
  </si>
  <si>
    <t>Transformer: e_w303543538-315 → e_w303543538-345</t>
  </si>
  <si>
    <t>Transformer: e_w321722776-735 → e_w321722776-315</t>
  </si>
  <si>
    <t>Transformer: e_w321722776-315 → e_w321722776-735</t>
  </si>
  <si>
    <t>Transformer: e_w323166651-735 → e_w323166651-315</t>
  </si>
  <si>
    <t>Transformer: e_w323166651-315 → e_w323166651-735</t>
  </si>
  <si>
    <t>Transformer: e_w323896233-735 → e_w323896233-315</t>
  </si>
  <si>
    <t>Transformer: e_w323896233-315 → e_w323896233-735</t>
  </si>
  <si>
    <t>Transformer: e_w33144100-735 → e_w33144100-315</t>
  </si>
  <si>
    <t>Transformer: e_w33144100-315 → e_w33144100-735</t>
  </si>
  <si>
    <t>Transformer: e_w34252628-735 → e_w34252628-315</t>
  </si>
  <si>
    <t>Transformer: e_w34252628-315 → e_w34252628-735</t>
  </si>
  <si>
    <t>Transformer: e_w359143120-500 → e_w359143120-240</t>
  </si>
  <si>
    <t>Transformer: e_w359143120-240 → e_w359143120-500</t>
  </si>
  <si>
    <t>Transformer: e_w38047176-500 → e_w38047176-240</t>
  </si>
  <si>
    <t>Transformer: e_w38047176-240 → e_w38047176-500</t>
  </si>
  <si>
    <t>Transformer: e_w51423683-735 → e_w51423683-315</t>
  </si>
  <si>
    <t>Transformer: e_w51423683-315 → e_w51423683-735</t>
  </si>
  <si>
    <t>Transformer: e_w707259215-500 → e_w707259215-240</t>
  </si>
  <si>
    <t>Transformer: e_w707259215-240 → e_w707259215-500</t>
  </si>
  <si>
    <t>Transformer: e_w72838752-735 → e_w72838752-315</t>
  </si>
  <si>
    <t>Transformer: e_w72838752-315 → e_w72838752-735</t>
  </si>
  <si>
    <t>Transformer: e_w80794228-735 → e_w80794228-315</t>
  </si>
  <si>
    <t>Transformer: e_w80794228-315 → e_w80794228-735</t>
  </si>
  <si>
    <t>Transformer: e_w80891128-735 → e_w80891128-315</t>
  </si>
  <si>
    <t>Transformer: e_w80891128-315 → e_w80891128-735</t>
  </si>
  <si>
    <t>Transformer: e_w92198390-500 → e_w92198390-287</t>
  </si>
  <si>
    <t>Transformer: e_w92198390-287 → e_w92198390-500</t>
  </si>
  <si>
    <t>Transformer: e_w92676944-735 → e_w92676944-315</t>
  </si>
  <si>
    <t>Transformer: e_w92676944-315 → e_w92676944-735</t>
  </si>
  <si>
    <t>Transformer: e_w961152437-735 → e_w961152437-315</t>
  </si>
  <si>
    <t>Transformer: e_w961152437-315 → e_w961152437-735</t>
  </si>
  <si>
    <t>Transformer: e_w96456442-735 → e_w96456442-315</t>
  </si>
  <si>
    <t>Transformer: e_w96456442-315 → e_w96456442-735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</si>
</sst>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9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</cellStyleXfs>
  <cellXfs count="153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19">
    <cellStyle name="20% - Accent3 3 2" xfId="4" xr:uid="{ABC4988B-8BA7-47D0-A9D6-448C999748B6}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2:V19"/>
  <sheetViews>
    <sheetView workbookViewId="0">
      <selection activeCell="G9" sqref="G9"/>
    </sheetView>
  </sheetViews>
  <sheetFormatPr defaultRowHeight="14.25"/>
  <cols>
    <col min="2" max="2" width="10.1328125" bestFit="1" customWidth="1"/>
    <col min="3" max="3" width="17.9296875" bestFit="1" customWidth="1"/>
    <col min="4" max="4" width="8.06640625" bestFit="1" customWidth="1"/>
    <col min="5" max="5" width="4.3984375" bestFit="1" customWidth="1"/>
    <col min="6" max="6" width="4.59765625" bestFit="1" customWidth="1"/>
    <col min="7" max="7" width="7.59765625" bestFit="1" customWidth="1"/>
    <col min="10" max="10" width="17.9296875" bestFit="1" customWidth="1"/>
    <col min="11" max="11" width="8.1328125" bestFit="1" customWidth="1"/>
    <col min="12" max="12" width="32.19921875" bestFit="1" customWidth="1"/>
    <col min="13" max="13" width="3.3984375" bestFit="1" customWidth="1"/>
    <col min="14" max="14" width="7.73046875" bestFit="1" customWidth="1"/>
    <col min="15" max="15" width="6.9296875" bestFit="1" customWidth="1"/>
    <col min="17" max="17" width="3.73046875" bestFit="1" customWidth="1"/>
    <col min="22" max="22" width="4.265625" bestFit="1" customWidth="1"/>
  </cols>
  <sheetData>
    <row r="2" spans="2:22" ht="14.65" thickBot="1">
      <c r="B2" s="2" t="s">
        <v>0</v>
      </c>
      <c r="L2" s="2" t="s">
        <v>102</v>
      </c>
      <c r="N2" s="1"/>
      <c r="O2" s="1"/>
      <c r="P2" s="1"/>
      <c r="Q2" s="1"/>
    </row>
    <row r="3" spans="2:22">
      <c r="B3" s="1" t="s">
        <v>6</v>
      </c>
      <c r="C3" s="1" t="s">
        <v>1</v>
      </c>
      <c r="D3" s="1" t="s">
        <v>7</v>
      </c>
      <c r="E3" s="1" t="s">
        <v>9</v>
      </c>
      <c r="F3" s="1" t="s">
        <v>8</v>
      </c>
      <c r="G3" s="1" t="s">
        <v>11</v>
      </c>
      <c r="J3" s="1" t="s">
        <v>12</v>
      </c>
      <c r="K3" s="1" t="s">
        <v>2</v>
      </c>
      <c r="L3" s="1" t="s">
        <v>3</v>
      </c>
      <c r="M3" t="s">
        <v>4</v>
      </c>
      <c r="N3" t="s">
        <v>5</v>
      </c>
      <c r="O3" s="1" t="s">
        <v>30</v>
      </c>
      <c r="P3" s="1">
        <v>2022</v>
      </c>
      <c r="Q3" s="1">
        <v>0</v>
      </c>
      <c r="R3" t="s">
        <v>101</v>
      </c>
      <c r="S3" t="s">
        <v>105</v>
      </c>
    </row>
    <row r="4" spans="2:22">
      <c r="B4" s="1" t="s">
        <v>17</v>
      </c>
      <c r="C4" s="1" t="s">
        <v>13</v>
      </c>
      <c r="E4" s="1" t="s">
        <v>21</v>
      </c>
      <c r="F4" t="s">
        <v>10</v>
      </c>
      <c r="G4" t="s">
        <v>14</v>
      </c>
      <c r="J4" s="1" t="str">
        <f>C4</f>
        <v>ElcAgg_Solar</v>
      </c>
      <c r="L4" s="1" t="s">
        <v>15</v>
      </c>
      <c r="M4" s="1">
        <v>1</v>
      </c>
      <c r="N4" s="1">
        <v>8.76</v>
      </c>
      <c r="O4" s="1"/>
      <c r="P4" s="1"/>
      <c r="Q4" s="1"/>
    </row>
    <row r="5" spans="2:22">
      <c r="B5" s="1" t="s">
        <v>17</v>
      </c>
      <c r="C5" s="1" t="s">
        <v>16</v>
      </c>
      <c r="E5" s="1" t="s">
        <v>21</v>
      </c>
      <c r="F5" t="s">
        <v>10</v>
      </c>
      <c r="G5" t="s">
        <v>14</v>
      </c>
      <c r="H5" s="1"/>
      <c r="I5" s="1"/>
      <c r="J5" s="1" t="str">
        <f>C5</f>
        <v>ElcAgg_Wind</v>
      </c>
      <c r="L5" s="1" t="s">
        <v>15</v>
      </c>
      <c r="M5" s="1">
        <v>1</v>
      </c>
      <c r="N5" s="1">
        <v>8.76</v>
      </c>
      <c r="O5" s="1"/>
      <c r="P5" s="1"/>
      <c r="Q5" s="1"/>
    </row>
    <row r="6" spans="2:22">
      <c r="B6" t="s">
        <v>20</v>
      </c>
      <c r="C6" t="s">
        <v>104</v>
      </c>
      <c r="D6" s="1" t="s">
        <v>106</v>
      </c>
      <c r="E6" s="1" t="s">
        <v>21</v>
      </c>
      <c r="F6" t="s">
        <v>10</v>
      </c>
      <c r="G6" s="1"/>
      <c r="H6" s="1"/>
      <c r="I6" s="1"/>
      <c r="J6" s="1" t="str">
        <f>C6</f>
        <v>e_demand</v>
      </c>
      <c r="K6" s="1" t="s">
        <v>19</v>
      </c>
      <c r="L6" t="s">
        <v>22</v>
      </c>
      <c r="M6" s="1">
        <v>1</v>
      </c>
      <c r="N6" s="1">
        <v>8.76</v>
      </c>
      <c r="O6" s="1"/>
      <c r="P6" s="1"/>
      <c r="Q6" s="1"/>
      <c r="V6" t="s">
        <v>100</v>
      </c>
    </row>
    <row r="7" spans="2:22">
      <c r="B7" t="s">
        <v>20</v>
      </c>
      <c r="C7" t="s">
        <v>147</v>
      </c>
      <c r="D7" s="1" t="s">
        <v>148</v>
      </c>
      <c r="E7" s="1" t="s">
        <v>21</v>
      </c>
      <c r="F7" t="s">
        <v>10</v>
      </c>
      <c r="G7" s="1"/>
      <c r="H7" s="1"/>
      <c r="I7" s="1"/>
      <c r="J7" s="1" t="str">
        <f>C7</f>
        <v>h_demand</v>
      </c>
      <c r="K7" s="1" t="s">
        <v>35</v>
      </c>
      <c r="L7" t="s">
        <v>149</v>
      </c>
      <c r="M7" s="1">
        <v>1</v>
      </c>
      <c r="N7" s="1">
        <v>8.76</v>
      </c>
      <c r="O7" s="1"/>
      <c r="P7" s="1"/>
      <c r="Q7" s="1"/>
    </row>
    <row r="8" spans="2:22">
      <c r="B8" t="s">
        <v>29</v>
      </c>
      <c r="C8" t="s">
        <v>98</v>
      </c>
      <c r="D8" s="1"/>
      <c r="E8" s="1" t="s">
        <v>21</v>
      </c>
      <c r="F8" t="s">
        <v>10</v>
      </c>
      <c r="G8" t="s">
        <v>14</v>
      </c>
      <c r="H8" s="1"/>
      <c r="I8" s="1"/>
      <c r="J8" s="1" t="str">
        <f>C10</f>
        <v>fossil_supply</v>
      </c>
      <c r="K8" s="1"/>
      <c r="L8" s="1" t="s">
        <v>32</v>
      </c>
      <c r="M8" s="1"/>
      <c r="N8" s="1"/>
      <c r="O8" s="1">
        <f t="shared" ref="O8:O12" si="0">V8*3.6</f>
        <v>7.2</v>
      </c>
      <c r="P8" s="1"/>
      <c r="V8" s="1">
        <v>2</v>
      </c>
    </row>
    <row r="9" spans="2:22">
      <c r="B9" t="s">
        <v>97</v>
      </c>
      <c r="C9" t="s">
        <v>99</v>
      </c>
      <c r="D9" s="1"/>
      <c r="E9" s="1" t="s">
        <v>21</v>
      </c>
      <c r="F9" t="s">
        <v>10</v>
      </c>
      <c r="G9" t="s">
        <v>14</v>
      </c>
      <c r="H9" s="1"/>
      <c r="I9" s="1"/>
      <c r="K9" s="1"/>
      <c r="L9" s="1" t="s">
        <v>33</v>
      </c>
      <c r="M9" s="1"/>
      <c r="N9" s="1"/>
      <c r="O9" s="1">
        <f t="shared" si="0"/>
        <v>18</v>
      </c>
      <c r="P9" s="1"/>
      <c r="V9" s="1">
        <v>5</v>
      </c>
    </row>
    <row r="10" spans="2:22">
      <c r="B10" s="1" t="s">
        <v>29</v>
      </c>
      <c r="C10" s="1" t="s">
        <v>152</v>
      </c>
      <c r="D10" s="1" t="s">
        <v>107</v>
      </c>
      <c r="E10" s="1" t="s">
        <v>21</v>
      </c>
      <c r="F10" t="s">
        <v>10</v>
      </c>
      <c r="G10" s="1"/>
      <c r="H10" s="1"/>
      <c r="I10" s="1"/>
      <c r="K10" s="1"/>
      <c r="L10" s="1" t="s">
        <v>37</v>
      </c>
      <c r="M10" s="1"/>
      <c r="N10" s="1"/>
      <c r="O10" s="1">
        <f>V10*3.6</f>
        <v>36</v>
      </c>
      <c r="P10" s="1"/>
      <c r="V10">
        <v>10</v>
      </c>
    </row>
    <row r="11" spans="2:22">
      <c r="B11" s="1" t="s">
        <v>29</v>
      </c>
      <c r="C11" s="1" t="s">
        <v>154</v>
      </c>
      <c r="D11" s="1" t="s">
        <v>153</v>
      </c>
      <c r="E11" s="1" t="s">
        <v>21</v>
      </c>
      <c r="F11" t="s">
        <v>10</v>
      </c>
      <c r="G11" s="1"/>
      <c r="H11" s="1"/>
      <c r="I11" s="1"/>
      <c r="J11" s="1" t="str">
        <f>C11</f>
        <v>renewable</v>
      </c>
      <c r="K11" s="1"/>
      <c r="L11" s="1" t="s">
        <v>34</v>
      </c>
      <c r="M11" s="1"/>
      <c r="N11" s="1"/>
      <c r="O11" s="1">
        <f t="shared" si="0"/>
        <v>0.36000000000000004</v>
      </c>
      <c r="P11" s="1"/>
      <c r="V11">
        <v>0.1</v>
      </c>
    </row>
    <row r="12" spans="2:22">
      <c r="B12" s="1" t="s">
        <v>29</v>
      </c>
      <c r="C12" s="1" t="s">
        <v>155</v>
      </c>
      <c r="D12" s="1" t="s">
        <v>156</v>
      </c>
      <c r="E12" s="1" t="s">
        <v>21</v>
      </c>
      <c r="F12" t="s">
        <v>10</v>
      </c>
      <c r="G12" s="1"/>
      <c r="H12" s="1"/>
      <c r="I12" s="1"/>
      <c r="K12" s="1"/>
      <c r="L12" s="1" t="s">
        <v>28</v>
      </c>
      <c r="M12" s="1"/>
      <c r="N12" s="1"/>
      <c r="O12" s="1">
        <f t="shared" si="0"/>
        <v>0.36000000000000004</v>
      </c>
      <c r="P12" s="1"/>
      <c r="V12">
        <v>0.1</v>
      </c>
    </row>
    <row r="13" spans="2:22">
      <c r="B13" s="1" t="s">
        <v>29</v>
      </c>
      <c r="C13" s="1" t="s">
        <v>157</v>
      </c>
      <c r="D13" s="1" t="s">
        <v>160</v>
      </c>
      <c r="E13" s="1" t="s">
        <v>21</v>
      </c>
      <c r="F13" t="s">
        <v>10</v>
      </c>
      <c r="G13" s="1"/>
      <c r="H13" s="1"/>
      <c r="I13" s="1"/>
      <c r="L13" s="1" t="s">
        <v>31</v>
      </c>
      <c r="M13" s="1"/>
      <c r="N13" s="1"/>
      <c r="O13" s="1">
        <f>V13*3.6</f>
        <v>25.2</v>
      </c>
      <c r="P13" s="1"/>
      <c r="V13" s="1">
        <v>7</v>
      </c>
    </row>
    <row r="14" spans="2:22">
      <c r="B14" s="1" t="s">
        <v>29</v>
      </c>
      <c r="C14" t="s">
        <v>158</v>
      </c>
      <c r="D14" t="s">
        <v>161</v>
      </c>
      <c r="E14" s="1" t="s">
        <v>21</v>
      </c>
      <c r="F14" t="s">
        <v>10</v>
      </c>
      <c r="G14" s="1"/>
      <c r="H14" s="1"/>
      <c r="I14" s="1"/>
      <c r="J14" s="1" t="str">
        <f>C12</f>
        <v>nuclear_fuel</v>
      </c>
      <c r="K14" s="1"/>
      <c r="L14" s="1" t="s">
        <v>36</v>
      </c>
      <c r="M14" s="1"/>
      <c r="N14" s="1"/>
      <c r="O14" s="1">
        <f>V14*3.6</f>
        <v>0.36000000000000004</v>
      </c>
      <c r="P14" s="1"/>
      <c r="V14">
        <v>0.1</v>
      </c>
    </row>
    <row r="15" spans="2:22">
      <c r="B15" s="1" t="s">
        <v>29</v>
      </c>
      <c r="C15" t="s">
        <v>159</v>
      </c>
      <c r="D15" t="s">
        <v>162</v>
      </c>
      <c r="E15" s="1" t="s">
        <v>21</v>
      </c>
      <c r="F15" t="s">
        <v>10</v>
      </c>
      <c r="G15" s="1"/>
      <c r="H15" s="1"/>
      <c r="I15" s="1"/>
      <c r="J15" s="1" t="str">
        <f>C13</f>
        <v>solar_potential</v>
      </c>
      <c r="K15" s="1"/>
      <c r="L15" s="1" t="s">
        <v>27</v>
      </c>
      <c r="M15" s="1"/>
      <c r="N15" s="1"/>
      <c r="O15" s="1">
        <f>V15*3.6</f>
        <v>0.36000000000000004</v>
      </c>
      <c r="P15" s="1"/>
      <c r="V15">
        <v>0.1</v>
      </c>
    </row>
    <row r="16" spans="2:22">
      <c r="B16" s="1"/>
      <c r="C16" s="1"/>
      <c r="D16" s="1"/>
      <c r="E16" s="1"/>
      <c r="F16" s="1"/>
      <c r="G16" s="1"/>
      <c r="H16" s="1"/>
      <c r="I16" s="1"/>
      <c r="J16" s="1" t="str">
        <f>C14</f>
        <v>winon_potential</v>
      </c>
      <c r="K16" s="1"/>
      <c r="L16" s="1" t="s">
        <v>150</v>
      </c>
      <c r="M16" s="1"/>
      <c r="N16" s="1"/>
      <c r="O16" s="1">
        <f>V16*3.6</f>
        <v>0.36000000000000004</v>
      </c>
      <c r="P16" s="1"/>
      <c r="V16">
        <v>0.1</v>
      </c>
    </row>
    <row r="17" spans="2:22">
      <c r="B17" s="1"/>
      <c r="C17" s="1"/>
      <c r="D17" s="1"/>
      <c r="E17" s="1"/>
      <c r="F17" s="1"/>
      <c r="G17" s="1"/>
      <c r="H17" s="1"/>
      <c r="I17" s="1"/>
      <c r="J17" s="1" t="str">
        <f>C15</f>
        <v>winoff_potential</v>
      </c>
      <c r="K17" s="1"/>
      <c r="L17" s="1" t="s">
        <v>151</v>
      </c>
      <c r="M17" s="1"/>
      <c r="N17" s="1"/>
      <c r="O17" s="1">
        <f t="shared" ref="O17" si="1">V17*3.6</f>
        <v>0.36000000000000004</v>
      </c>
      <c r="P17" s="1"/>
      <c r="V17">
        <v>0.1</v>
      </c>
    </row>
    <row r="18" spans="2:22">
      <c r="J18" t="str">
        <f>C8</f>
        <v>Trd_electricity import</v>
      </c>
      <c r="L18" t="s">
        <v>19</v>
      </c>
      <c r="P18">
        <v>0</v>
      </c>
      <c r="Q18">
        <v>3</v>
      </c>
      <c r="R18">
        <v>1000</v>
      </c>
      <c r="S18">
        <v>50</v>
      </c>
    </row>
    <row r="19" spans="2:22">
      <c r="J19" t="str">
        <f>C9</f>
        <v>Trd_electricity export</v>
      </c>
      <c r="K19" t="s">
        <v>19</v>
      </c>
      <c r="P19">
        <v>0</v>
      </c>
      <c r="Q19">
        <v>3</v>
      </c>
      <c r="R19">
        <v>1000</v>
      </c>
      <c r="S19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17F31-D792-47CD-82F2-E942FCB1F74A}">
  <dimension ref="B9:N13"/>
  <sheetViews>
    <sheetView workbookViewId="0">
      <selection activeCell="A2" sqref="A2"/>
    </sheetView>
  </sheetViews>
  <sheetFormatPr defaultRowHeight="14.25"/>
  <sheetData>
    <row r="9" spans="2:14">
      <c r="B9" t="s">
        <v>163</v>
      </c>
      <c r="I9" t="s">
        <v>174</v>
      </c>
    </row>
    <row r="10" spans="2:14">
      <c r="B10" t="s">
        <v>6</v>
      </c>
      <c r="C10" t="s">
        <v>164</v>
      </c>
      <c r="D10" t="s">
        <v>165</v>
      </c>
      <c r="E10" t="s">
        <v>9</v>
      </c>
      <c r="F10" t="s">
        <v>8</v>
      </c>
      <c r="G10" t="s">
        <v>166</v>
      </c>
      <c r="I10" t="s">
        <v>164</v>
      </c>
      <c r="J10" t="s">
        <v>2</v>
      </c>
      <c r="K10" t="s">
        <v>3</v>
      </c>
      <c r="L10" t="s">
        <v>175</v>
      </c>
      <c r="M10" t="s">
        <v>176</v>
      </c>
      <c r="N10" t="s">
        <v>177</v>
      </c>
    </row>
    <row r="11" spans="2:14">
      <c r="B11" t="s">
        <v>17</v>
      </c>
      <c r="C11" t="s">
        <v>167</v>
      </c>
      <c r="D11" t="s">
        <v>168</v>
      </c>
      <c r="E11" t="s">
        <v>169</v>
      </c>
      <c r="F11" t="s">
        <v>10</v>
      </c>
      <c r="G11" t="s">
        <v>14</v>
      </c>
      <c r="I11" t="s">
        <v>167</v>
      </c>
      <c r="J11" t="s">
        <v>28</v>
      </c>
      <c r="K11" t="s">
        <v>19</v>
      </c>
      <c r="L11">
        <v>7.6693672129810997</v>
      </c>
    </row>
    <row r="12" spans="2:14">
      <c r="B12" t="s">
        <v>17</v>
      </c>
      <c r="C12" t="s">
        <v>170</v>
      </c>
      <c r="D12" t="s">
        <v>171</v>
      </c>
      <c r="E12" t="s">
        <v>169</v>
      </c>
      <c r="F12" t="s">
        <v>10</v>
      </c>
      <c r="G12" t="s">
        <v>14</v>
      </c>
      <c r="I12" t="s">
        <v>170</v>
      </c>
      <c r="J12" t="s">
        <v>28</v>
      </c>
      <c r="K12" t="s">
        <v>19</v>
      </c>
      <c r="L12">
        <v>3.2494424739073704</v>
      </c>
    </row>
    <row r="13" spans="2:14">
      <c r="B13" t="s">
        <v>17</v>
      </c>
      <c r="C13" t="s">
        <v>172</v>
      </c>
      <c r="D13" t="s">
        <v>173</v>
      </c>
      <c r="E13" t="s">
        <v>169</v>
      </c>
      <c r="F13" t="s">
        <v>10</v>
      </c>
      <c r="G13" t="s">
        <v>14</v>
      </c>
      <c r="I13" t="s">
        <v>172</v>
      </c>
      <c r="J13" t="s">
        <v>28</v>
      </c>
      <c r="K13" t="s">
        <v>19</v>
      </c>
      <c r="L13">
        <v>2.3004519324853252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A2" sqref="A2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7" t="s">
        <v>109</v>
      </c>
      <c r="D1" s="147"/>
      <c r="E1" s="147"/>
      <c r="F1" s="148" t="s">
        <v>110</v>
      </c>
      <c r="G1" s="147"/>
      <c r="H1" s="149"/>
      <c r="I1" s="147" t="s">
        <v>111</v>
      </c>
      <c r="J1" s="147"/>
      <c r="K1" s="147"/>
      <c r="L1" s="147"/>
      <c r="M1" s="147"/>
      <c r="N1" s="147"/>
      <c r="O1" s="150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1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1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2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086D9-36F8-4B7C-83F2-FCBE286B4A59}">
  <dimension ref="B9:AP122"/>
  <sheetViews>
    <sheetView workbookViewId="0"/>
  </sheetViews>
  <sheetFormatPr defaultRowHeight="14.25"/>
  <sheetData>
    <row r="9" spans="2:42">
      <c r="B9" t="s">
        <v>163</v>
      </c>
      <c r="J9" t="s">
        <v>174</v>
      </c>
      <c r="O9" t="s">
        <v>163</v>
      </c>
      <c r="X9" t="s">
        <v>174</v>
      </c>
      <c r="AD9" t="s">
        <v>163</v>
      </c>
      <c r="AL9" t="s">
        <v>174</v>
      </c>
    </row>
    <row r="10" spans="2:42">
      <c r="B10" t="s">
        <v>178</v>
      </c>
      <c r="C10" t="s">
        <v>164</v>
      </c>
      <c r="D10" t="s">
        <v>165</v>
      </c>
      <c r="E10" t="s">
        <v>179</v>
      </c>
      <c r="F10" t="s">
        <v>180</v>
      </c>
      <c r="G10" t="s">
        <v>166</v>
      </c>
      <c r="H10" t="s">
        <v>181</v>
      </c>
      <c r="J10" t="s">
        <v>164</v>
      </c>
      <c r="K10" t="s">
        <v>409</v>
      </c>
      <c r="L10" t="s">
        <v>410</v>
      </c>
      <c r="M10" t="s">
        <v>411</v>
      </c>
      <c r="O10" t="s">
        <v>178</v>
      </c>
      <c r="P10" t="s">
        <v>164</v>
      </c>
      <c r="Q10" t="s">
        <v>165</v>
      </c>
      <c r="R10" t="s">
        <v>179</v>
      </c>
      <c r="S10" t="s">
        <v>180</v>
      </c>
      <c r="T10" t="s">
        <v>524</v>
      </c>
      <c r="U10" t="s">
        <v>166</v>
      </c>
      <c r="V10" t="s">
        <v>181</v>
      </c>
      <c r="X10" t="s">
        <v>164</v>
      </c>
      <c r="Y10" t="s">
        <v>752</v>
      </c>
      <c r="Z10" t="s">
        <v>409</v>
      </c>
      <c r="AA10" t="s">
        <v>146</v>
      </c>
      <c r="AB10" t="s">
        <v>753</v>
      </c>
      <c r="AD10" t="s">
        <v>178</v>
      </c>
      <c r="AE10" t="s">
        <v>164</v>
      </c>
      <c r="AF10" t="s">
        <v>165</v>
      </c>
      <c r="AG10" t="s">
        <v>179</v>
      </c>
      <c r="AH10" t="s">
        <v>180</v>
      </c>
      <c r="AI10" t="s">
        <v>166</v>
      </c>
      <c r="AJ10" t="s">
        <v>181</v>
      </c>
      <c r="AL10" t="s">
        <v>164</v>
      </c>
      <c r="AM10" t="s">
        <v>752</v>
      </c>
      <c r="AN10" t="s">
        <v>409</v>
      </c>
      <c r="AO10" t="s">
        <v>146</v>
      </c>
      <c r="AP10" t="s">
        <v>753</v>
      </c>
    </row>
    <row r="11" spans="2:42">
      <c r="B11" t="s">
        <v>182</v>
      </c>
      <c r="C11" t="s">
        <v>183</v>
      </c>
      <c r="D11" t="s">
        <v>184</v>
      </c>
      <c r="E11" t="s">
        <v>10</v>
      </c>
      <c r="F11" t="s">
        <v>21</v>
      </c>
      <c r="G11" t="s">
        <v>185</v>
      </c>
      <c r="H11" t="s">
        <v>186</v>
      </c>
      <c r="J11" t="s">
        <v>183</v>
      </c>
      <c r="K11" t="s">
        <v>412</v>
      </c>
      <c r="L11">
        <v>3.5893382058724144</v>
      </c>
      <c r="M11">
        <v>0.1741041155907487</v>
      </c>
      <c r="O11" t="s">
        <v>525</v>
      </c>
      <c r="P11" t="s">
        <v>526</v>
      </c>
      <c r="Q11" t="s">
        <v>527</v>
      </c>
      <c r="R11" t="s">
        <v>10</v>
      </c>
      <c r="S11" t="s">
        <v>21</v>
      </c>
      <c r="T11" t="s">
        <v>528</v>
      </c>
      <c r="U11" t="s">
        <v>529</v>
      </c>
      <c r="V11" t="s">
        <v>186</v>
      </c>
      <c r="X11" t="s">
        <v>526</v>
      </c>
      <c r="Y11" t="s">
        <v>453</v>
      </c>
      <c r="Z11" t="s">
        <v>754</v>
      </c>
      <c r="AA11">
        <v>0.97974934483009846</v>
      </c>
      <c r="AB11">
        <v>371.26201144819436</v>
      </c>
      <c r="AD11" t="s">
        <v>525</v>
      </c>
      <c r="AE11" t="s">
        <v>850</v>
      </c>
      <c r="AF11" t="s">
        <v>851</v>
      </c>
      <c r="AG11" t="s">
        <v>10</v>
      </c>
      <c r="AH11" t="s">
        <v>21</v>
      </c>
      <c r="AI11" t="s">
        <v>529</v>
      </c>
      <c r="AJ11" t="s">
        <v>186</v>
      </c>
      <c r="AL11" t="s">
        <v>850</v>
      </c>
      <c r="AM11" t="s">
        <v>1074</v>
      </c>
      <c r="AN11" t="s">
        <v>1075</v>
      </c>
      <c r="AO11">
        <v>0.99274502023282762</v>
      </c>
      <c r="AP11">
        <v>133.00796239815935</v>
      </c>
    </row>
    <row r="12" spans="2:42">
      <c r="B12" t="s">
        <v>182</v>
      </c>
      <c r="C12" t="s">
        <v>187</v>
      </c>
      <c r="D12" t="s">
        <v>188</v>
      </c>
      <c r="E12" t="s">
        <v>10</v>
      </c>
      <c r="F12" t="s">
        <v>21</v>
      </c>
      <c r="G12" t="s">
        <v>185</v>
      </c>
      <c r="H12" t="s">
        <v>186</v>
      </c>
      <c r="J12" t="s">
        <v>187</v>
      </c>
      <c r="K12" t="s">
        <v>413</v>
      </c>
      <c r="L12">
        <v>0.7431099391110515</v>
      </c>
      <c r="M12">
        <v>0.16566505598675671</v>
      </c>
      <c r="O12" t="s">
        <v>525</v>
      </c>
      <c r="P12" t="s">
        <v>530</v>
      </c>
      <c r="Q12" t="s">
        <v>531</v>
      </c>
      <c r="R12" t="s">
        <v>10</v>
      </c>
      <c r="S12" t="s">
        <v>21</v>
      </c>
      <c r="T12" t="s">
        <v>528</v>
      </c>
      <c r="U12" t="s">
        <v>529</v>
      </c>
      <c r="V12" t="s">
        <v>186</v>
      </c>
      <c r="X12" t="s">
        <v>530</v>
      </c>
      <c r="Y12" t="s">
        <v>433</v>
      </c>
      <c r="Z12" t="s">
        <v>755</v>
      </c>
      <c r="AA12">
        <v>0.96720294633363424</v>
      </c>
      <c r="AB12">
        <v>601.27931721670507</v>
      </c>
      <c r="AD12" t="s">
        <v>525</v>
      </c>
      <c r="AE12" t="s">
        <v>852</v>
      </c>
      <c r="AF12" t="s">
        <v>853</v>
      </c>
      <c r="AG12" t="s">
        <v>10</v>
      </c>
      <c r="AH12" t="s">
        <v>21</v>
      </c>
      <c r="AI12" t="s">
        <v>529</v>
      </c>
      <c r="AJ12" t="s">
        <v>186</v>
      </c>
      <c r="AL12" t="s">
        <v>852</v>
      </c>
      <c r="AM12" t="s">
        <v>1076</v>
      </c>
      <c r="AN12" t="s">
        <v>1077</v>
      </c>
      <c r="AO12">
        <v>0.99026400489052513</v>
      </c>
      <c r="AP12">
        <v>178.49324367370616</v>
      </c>
    </row>
    <row r="13" spans="2:42">
      <c r="B13" t="s">
        <v>182</v>
      </c>
      <c r="C13" t="s">
        <v>189</v>
      </c>
      <c r="D13" t="s">
        <v>190</v>
      </c>
      <c r="E13" t="s">
        <v>10</v>
      </c>
      <c r="F13" t="s">
        <v>21</v>
      </c>
      <c r="G13" t="s">
        <v>185</v>
      </c>
      <c r="H13" t="s">
        <v>186</v>
      </c>
      <c r="J13" t="s">
        <v>189</v>
      </c>
      <c r="K13" t="s">
        <v>414</v>
      </c>
      <c r="L13">
        <v>0.79132734281453332</v>
      </c>
      <c r="M13">
        <v>0.17308027551482541</v>
      </c>
      <c r="O13" t="s">
        <v>525</v>
      </c>
      <c r="P13" t="s">
        <v>532</v>
      </c>
      <c r="Q13" t="s">
        <v>533</v>
      </c>
      <c r="R13" t="s">
        <v>10</v>
      </c>
      <c r="S13" t="s">
        <v>21</v>
      </c>
      <c r="T13" t="s">
        <v>528</v>
      </c>
      <c r="U13" t="s">
        <v>529</v>
      </c>
      <c r="V13" t="s">
        <v>186</v>
      </c>
      <c r="X13" t="s">
        <v>532</v>
      </c>
      <c r="Y13" t="s">
        <v>429</v>
      </c>
      <c r="Z13" t="s">
        <v>756</v>
      </c>
      <c r="AA13">
        <v>0.96165989435096189</v>
      </c>
      <c r="AB13">
        <v>702.90193689903208</v>
      </c>
      <c r="AD13" t="s">
        <v>525</v>
      </c>
      <c r="AE13" t="s">
        <v>854</v>
      </c>
      <c r="AF13" t="s">
        <v>855</v>
      </c>
      <c r="AG13" t="s">
        <v>10</v>
      </c>
      <c r="AH13" t="s">
        <v>21</v>
      </c>
      <c r="AI13" t="s">
        <v>529</v>
      </c>
      <c r="AJ13" t="s">
        <v>186</v>
      </c>
      <c r="AL13" t="s">
        <v>854</v>
      </c>
      <c r="AM13" t="s">
        <v>1078</v>
      </c>
      <c r="AN13" t="s">
        <v>1079</v>
      </c>
      <c r="AO13">
        <v>0.98890523965881394</v>
      </c>
      <c r="AP13">
        <v>203.40393958841204</v>
      </c>
    </row>
    <row r="14" spans="2:42">
      <c r="B14" t="s">
        <v>182</v>
      </c>
      <c r="C14" t="s">
        <v>191</v>
      </c>
      <c r="D14" t="s">
        <v>192</v>
      </c>
      <c r="E14" t="s">
        <v>10</v>
      </c>
      <c r="F14" t="s">
        <v>21</v>
      </c>
      <c r="G14" t="s">
        <v>185</v>
      </c>
      <c r="H14" t="s">
        <v>186</v>
      </c>
      <c r="J14" t="s">
        <v>191</v>
      </c>
      <c r="K14" t="s">
        <v>415</v>
      </c>
      <c r="L14">
        <v>1.8837083965729831</v>
      </c>
      <c r="M14">
        <v>0.16946025076910839</v>
      </c>
      <c r="O14" t="s">
        <v>525</v>
      </c>
      <c r="P14" t="s">
        <v>534</v>
      </c>
      <c r="Q14" t="s">
        <v>535</v>
      </c>
      <c r="R14" t="s">
        <v>10</v>
      </c>
      <c r="S14" t="s">
        <v>21</v>
      </c>
      <c r="T14" t="s">
        <v>528</v>
      </c>
      <c r="U14" t="s">
        <v>529</v>
      </c>
      <c r="V14" t="s">
        <v>186</v>
      </c>
      <c r="X14" t="s">
        <v>534</v>
      </c>
      <c r="Y14" t="s">
        <v>418</v>
      </c>
      <c r="Z14" t="s">
        <v>757</v>
      </c>
      <c r="AA14">
        <v>0.99108161400779582</v>
      </c>
      <c r="AB14">
        <v>163.50374319041035</v>
      </c>
      <c r="AD14" t="s">
        <v>525</v>
      </c>
      <c r="AE14" t="s">
        <v>856</v>
      </c>
      <c r="AF14" t="s">
        <v>857</v>
      </c>
      <c r="AG14" t="s">
        <v>10</v>
      </c>
      <c r="AH14" t="s">
        <v>21</v>
      </c>
      <c r="AI14" t="s">
        <v>529</v>
      </c>
      <c r="AJ14" t="s">
        <v>186</v>
      </c>
      <c r="AL14" t="s">
        <v>856</v>
      </c>
      <c r="AM14" t="s">
        <v>1080</v>
      </c>
      <c r="AN14" t="s">
        <v>776</v>
      </c>
      <c r="AO14">
        <v>0.96118472616167505</v>
      </c>
      <c r="AP14">
        <v>711.61335370262304</v>
      </c>
    </row>
    <row r="15" spans="2:42">
      <c r="B15" t="s">
        <v>182</v>
      </c>
      <c r="C15" t="s">
        <v>193</v>
      </c>
      <c r="D15" t="s">
        <v>194</v>
      </c>
      <c r="E15" t="s">
        <v>10</v>
      </c>
      <c r="F15" t="s">
        <v>21</v>
      </c>
      <c r="G15" t="s">
        <v>185</v>
      </c>
      <c r="H15" t="s">
        <v>186</v>
      </c>
      <c r="J15" t="s">
        <v>193</v>
      </c>
      <c r="K15" t="s">
        <v>416</v>
      </c>
      <c r="L15">
        <v>1.5666059773092693</v>
      </c>
      <c r="M15">
        <v>0.1637612684645435</v>
      </c>
      <c r="O15" t="s">
        <v>525</v>
      </c>
      <c r="P15" t="s">
        <v>536</v>
      </c>
      <c r="Q15" t="s">
        <v>537</v>
      </c>
      <c r="R15" t="s">
        <v>10</v>
      </c>
      <c r="S15" t="s">
        <v>21</v>
      </c>
      <c r="T15" t="s">
        <v>528</v>
      </c>
      <c r="U15" t="s">
        <v>529</v>
      </c>
      <c r="V15" t="s">
        <v>186</v>
      </c>
      <c r="X15" t="s">
        <v>536</v>
      </c>
      <c r="Y15" t="s">
        <v>413</v>
      </c>
      <c r="Z15" t="s">
        <v>758</v>
      </c>
      <c r="AA15">
        <v>0.9912513127456003</v>
      </c>
      <c r="AB15">
        <v>160.39259966399538</v>
      </c>
      <c r="AD15" t="s">
        <v>525</v>
      </c>
      <c r="AE15" t="s">
        <v>858</v>
      </c>
      <c r="AF15" t="s">
        <v>859</v>
      </c>
      <c r="AG15" t="s">
        <v>10</v>
      </c>
      <c r="AH15" t="s">
        <v>21</v>
      </c>
      <c r="AI15" t="s">
        <v>529</v>
      </c>
      <c r="AJ15" t="s">
        <v>186</v>
      </c>
      <c r="AL15" t="s">
        <v>858</v>
      </c>
      <c r="AM15" t="s">
        <v>1081</v>
      </c>
      <c r="AN15" t="s">
        <v>1082</v>
      </c>
      <c r="AO15">
        <v>0.99568950071876727</v>
      </c>
      <c r="AP15">
        <v>79.025820155932934</v>
      </c>
    </row>
    <row r="16" spans="2:42">
      <c r="B16" t="s">
        <v>182</v>
      </c>
      <c r="C16" t="s">
        <v>195</v>
      </c>
      <c r="D16" t="s">
        <v>196</v>
      </c>
      <c r="E16" t="s">
        <v>10</v>
      </c>
      <c r="F16" t="s">
        <v>21</v>
      </c>
      <c r="G16" t="s">
        <v>185</v>
      </c>
      <c r="H16" t="s">
        <v>186</v>
      </c>
      <c r="J16" t="s">
        <v>195</v>
      </c>
      <c r="K16" t="s">
        <v>417</v>
      </c>
      <c r="L16">
        <v>1.2785714714075125</v>
      </c>
      <c r="M16">
        <v>0.1921079035521428</v>
      </c>
      <c r="O16" t="s">
        <v>525</v>
      </c>
      <c r="P16" t="s">
        <v>538</v>
      </c>
      <c r="Q16" t="s">
        <v>539</v>
      </c>
      <c r="R16" t="s">
        <v>10</v>
      </c>
      <c r="S16" t="s">
        <v>21</v>
      </c>
      <c r="T16" t="s">
        <v>528</v>
      </c>
      <c r="U16" t="s">
        <v>529</v>
      </c>
      <c r="V16" t="s">
        <v>186</v>
      </c>
      <c r="X16" t="s">
        <v>538</v>
      </c>
      <c r="Y16" t="s">
        <v>498</v>
      </c>
      <c r="Z16" t="s">
        <v>759</v>
      </c>
      <c r="AA16">
        <v>0.98587349425591508</v>
      </c>
      <c r="AB16">
        <v>258.98593864155731</v>
      </c>
      <c r="AD16" t="s">
        <v>525</v>
      </c>
      <c r="AE16" t="s">
        <v>860</v>
      </c>
      <c r="AF16" t="s">
        <v>861</v>
      </c>
      <c r="AG16" t="s">
        <v>10</v>
      </c>
      <c r="AH16" t="s">
        <v>21</v>
      </c>
      <c r="AI16" t="s">
        <v>529</v>
      </c>
      <c r="AJ16" t="s">
        <v>186</v>
      </c>
      <c r="AL16" t="s">
        <v>860</v>
      </c>
      <c r="AM16" t="s">
        <v>1083</v>
      </c>
      <c r="AN16" t="s">
        <v>1084</v>
      </c>
      <c r="AO16">
        <v>0.99455271633846409</v>
      </c>
      <c r="AP16">
        <v>99.866867128157651</v>
      </c>
    </row>
    <row r="17" spans="2:42">
      <c r="B17" t="s">
        <v>182</v>
      </c>
      <c r="C17" t="s">
        <v>197</v>
      </c>
      <c r="D17" t="s">
        <v>198</v>
      </c>
      <c r="E17" t="s">
        <v>10</v>
      </c>
      <c r="F17" t="s">
        <v>21</v>
      </c>
      <c r="G17" t="s">
        <v>185</v>
      </c>
      <c r="H17" t="s">
        <v>186</v>
      </c>
      <c r="J17" t="s">
        <v>197</v>
      </c>
      <c r="K17" t="s">
        <v>418</v>
      </c>
      <c r="L17">
        <v>0.52495791898675237</v>
      </c>
      <c r="M17">
        <v>0.18913534822183981</v>
      </c>
      <c r="O17" t="s">
        <v>525</v>
      </c>
      <c r="P17" t="s">
        <v>540</v>
      </c>
      <c r="Q17" t="s">
        <v>541</v>
      </c>
      <c r="R17" t="s">
        <v>10</v>
      </c>
      <c r="S17" t="s">
        <v>21</v>
      </c>
      <c r="T17" t="s">
        <v>528</v>
      </c>
      <c r="U17" t="s">
        <v>529</v>
      </c>
      <c r="V17" t="s">
        <v>186</v>
      </c>
      <c r="X17" t="s">
        <v>540</v>
      </c>
      <c r="Y17" t="s">
        <v>500</v>
      </c>
      <c r="Z17" t="s">
        <v>760</v>
      </c>
      <c r="AA17">
        <v>0.99873187547655473</v>
      </c>
      <c r="AB17">
        <v>23.248949596496828</v>
      </c>
      <c r="AD17" t="s">
        <v>525</v>
      </c>
      <c r="AE17" t="s">
        <v>862</v>
      </c>
      <c r="AF17" t="s">
        <v>863</v>
      </c>
      <c r="AG17" t="s">
        <v>10</v>
      </c>
      <c r="AH17" t="s">
        <v>21</v>
      </c>
      <c r="AI17" t="s">
        <v>529</v>
      </c>
      <c r="AJ17" t="s">
        <v>186</v>
      </c>
      <c r="AL17" t="s">
        <v>862</v>
      </c>
      <c r="AM17" t="s">
        <v>1085</v>
      </c>
      <c r="AN17" t="s">
        <v>1086</v>
      </c>
      <c r="AO17">
        <v>0.97040144444581233</v>
      </c>
      <c r="AP17">
        <v>542.64018516010685</v>
      </c>
    </row>
    <row r="18" spans="2:42">
      <c r="B18" t="s">
        <v>182</v>
      </c>
      <c r="C18" t="s">
        <v>199</v>
      </c>
      <c r="D18" t="s">
        <v>200</v>
      </c>
      <c r="E18" t="s">
        <v>10</v>
      </c>
      <c r="F18" t="s">
        <v>21</v>
      </c>
      <c r="G18" t="s">
        <v>185</v>
      </c>
      <c r="H18" t="s">
        <v>186</v>
      </c>
      <c r="J18" t="s">
        <v>199</v>
      </c>
      <c r="K18" t="s">
        <v>419</v>
      </c>
      <c r="L18">
        <v>0.39052518846856626</v>
      </c>
      <c r="M18">
        <v>0.1711209207949228</v>
      </c>
      <c r="O18" t="s">
        <v>525</v>
      </c>
      <c r="P18" t="s">
        <v>542</v>
      </c>
      <c r="Q18" t="s">
        <v>543</v>
      </c>
      <c r="R18" t="s">
        <v>10</v>
      </c>
      <c r="S18" t="s">
        <v>21</v>
      </c>
      <c r="T18" t="s">
        <v>528</v>
      </c>
      <c r="U18" t="s">
        <v>529</v>
      </c>
      <c r="V18" t="s">
        <v>186</v>
      </c>
      <c r="X18" t="s">
        <v>542</v>
      </c>
      <c r="Y18" t="s">
        <v>521</v>
      </c>
      <c r="Z18" t="s">
        <v>761</v>
      </c>
      <c r="AA18">
        <v>0.99080181961378977</v>
      </c>
      <c r="AB18">
        <v>168.63330708051996</v>
      </c>
      <c r="AD18" t="s">
        <v>525</v>
      </c>
      <c r="AE18" t="s">
        <v>864</v>
      </c>
      <c r="AF18" t="s">
        <v>865</v>
      </c>
      <c r="AG18" t="s">
        <v>10</v>
      </c>
      <c r="AH18" t="s">
        <v>21</v>
      </c>
      <c r="AI18" t="s">
        <v>529</v>
      </c>
      <c r="AJ18" t="s">
        <v>186</v>
      </c>
      <c r="AL18" t="s">
        <v>864</v>
      </c>
      <c r="AM18" t="s">
        <v>1087</v>
      </c>
      <c r="AN18" t="s">
        <v>1088</v>
      </c>
      <c r="AO18">
        <v>0.99793297469678544</v>
      </c>
      <c r="AP18">
        <v>37.895463892266193</v>
      </c>
    </row>
    <row r="19" spans="2:42">
      <c r="B19" t="s">
        <v>182</v>
      </c>
      <c r="C19" t="s">
        <v>201</v>
      </c>
      <c r="D19" t="s">
        <v>202</v>
      </c>
      <c r="E19" t="s">
        <v>10</v>
      </c>
      <c r="F19" t="s">
        <v>21</v>
      </c>
      <c r="G19" t="s">
        <v>185</v>
      </c>
      <c r="H19" t="s">
        <v>186</v>
      </c>
      <c r="J19" t="s">
        <v>201</v>
      </c>
      <c r="K19" t="s">
        <v>420</v>
      </c>
      <c r="L19">
        <v>0.52694308882617891</v>
      </c>
      <c r="M19">
        <v>0.18616743390412679</v>
      </c>
      <c r="O19" t="s">
        <v>525</v>
      </c>
      <c r="P19" t="s">
        <v>544</v>
      </c>
      <c r="Q19" t="s">
        <v>545</v>
      </c>
      <c r="R19" t="s">
        <v>10</v>
      </c>
      <c r="S19" t="s">
        <v>21</v>
      </c>
      <c r="T19" t="s">
        <v>528</v>
      </c>
      <c r="U19" t="s">
        <v>529</v>
      </c>
      <c r="V19" t="s">
        <v>186</v>
      </c>
      <c r="X19" t="s">
        <v>544</v>
      </c>
      <c r="Y19" t="s">
        <v>517</v>
      </c>
      <c r="Z19" t="s">
        <v>762</v>
      </c>
      <c r="AA19">
        <v>0.98341252625667674</v>
      </c>
      <c r="AB19">
        <v>304.10368529425892</v>
      </c>
      <c r="AD19" t="s">
        <v>525</v>
      </c>
      <c r="AE19" t="s">
        <v>866</v>
      </c>
      <c r="AF19" t="s">
        <v>867</v>
      </c>
      <c r="AG19" t="s">
        <v>10</v>
      </c>
      <c r="AH19" t="s">
        <v>21</v>
      </c>
      <c r="AI19" t="s">
        <v>529</v>
      </c>
      <c r="AJ19" t="s">
        <v>186</v>
      </c>
      <c r="AL19" t="s">
        <v>866</v>
      </c>
      <c r="AM19" t="s">
        <v>1089</v>
      </c>
      <c r="AN19" t="s">
        <v>1090</v>
      </c>
      <c r="AO19">
        <v>0.9838522148490888</v>
      </c>
      <c r="AP19">
        <v>296.04272776670587</v>
      </c>
    </row>
    <row r="20" spans="2:42">
      <c r="B20" t="s">
        <v>182</v>
      </c>
      <c r="C20" t="s">
        <v>203</v>
      </c>
      <c r="D20" t="s">
        <v>204</v>
      </c>
      <c r="E20" t="s">
        <v>10</v>
      </c>
      <c r="F20" t="s">
        <v>21</v>
      </c>
      <c r="G20" t="s">
        <v>185</v>
      </c>
      <c r="H20" t="s">
        <v>186</v>
      </c>
      <c r="J20" t="s">
        <v>203</v>
      </c>
      <c r="K20" t="s">
        <v>421</v>
      </c>
      <c r="L20">
        <v>0.30839839873463448</v>
      </c>
      <c r="M20">
        <v>0.1807801228253535</v>
      </c>
      <c r="O20" t="s">
        <v>525</v>
      </c>
      <c r="P20" t="s">
        <v>546</v>
      </c>
      <c r="Q20" t="s">
        <v>547</v>
      </c>
      <c r="R20" t="s">
        <v>10</v>
      </c>
      <c r="S20" t="s">
        <v>21</v>
      </c>
      <c r="T20" t="s">
        <v>528</v>
      </c>
      <c r="U20" t="s">
        <v>529</v>
      </c>
      <c r="V20" t="s">
        <v>186</v>
      </c>
      <c r="X20" t="s">
        <v>546</v>
      </c>
      <c r="Y20" t="s">
        <v>446</v>
      </c>
      <c r="Z20" t="s">
        <v>763</v>
      </c>
      <c r="AA20">
        <v>0.99291205779101488</v>
      </c>
      <c r="AB20">
        <v>129.94560716472702</v>
      </c>
      <c r="AD20" t="s">
        <v>525</v>
      </c>
      <c r="AE20" t="s">
        <v>868</v>
      </c>
      <c r="AF20" t="s">
        <v>869</v>
      </c>
      <c r="AG20" t="s">
        <v>10</v>
      </c>
      <c r="AH20" t="s">
        <v>21</v>
      </c>
      <c r="AI20" t="s">
        <v>529</v>
      </c>
      <c r="AJ20" t="s">
        <v>186</v>
      </c>
      <c r="AL20" t="s">
        <v>868</v>
      </c>
      <c r="AM20" t="s">
        <v>1091</v>
      </c>
      <c r="AN20" t="s">
        <v>1092</v>
      </c>
      <c r="AO20">
        <v>0.98149217786040899</v>
      </c>
      <c r="AP20">
        <v>339.31007255916785</v>
      </c>
    </row>
    <row r="21" spans="2:42">
      <c r="B21" t="s">
        <v>182</v>
      </c>
      <c r="C21" t="s">
        <v>205</v>
      </c>
      <c r="D21" t="s">
        <v>206</v>
      </c>
      <c r="E21" t="s">
        <v>10</v>
      </c>
      <c r="F21" t="s">
        <v>21</v>
      </c>
      <c r="G21" t="s">
        <v>185</v>
      </c>
      <c r="H21" t="s">
        <v>186</v>
      </c>
      <c r="J21" t="s">
        <v>205</v>
      </c>
      <c r="K21" t="s">
        <v>422</v>
      </c>
      <c r="L21">
        <v>1.737345662616973</v>
      </c>
      <c r="M21">
        <v>0.177862807902707</v>
      </c>
      <c r="O21" t="s">
        <v>525</v>
      </c>
      <c r="P21" t="s">
        <v>548</v>
      </c>
      <c r="Q21" t="s">
        <v>549</v>
      </c>
      <c r="R21" t="s">
        <v>10</v>
      </c>
      <c r="S21" t="s">
        <v>21</v>
      </c>
      <c r="T21" t="s">
        <v>528</v>
      </c>
      <c r="U21" t="s">
        <v>529</v>
      </c>
      <c r="V21" t="s">
        <v>186</v>
      </c>
      <c r="X21" t="s">
        <v>548</v>
      </c>
      <c r="Y21" t="s">
        <v>444</v>
      </c>
      <c r="Z21" t="s">
        <v>764</v>
      </c>
      <c r="AA21">
        <v>0.98151150584921021</v>
      </c>
      <c r="AB21">
        <v>338.95572609781362</v>
      </c>
      <c r="AD21" t="s">
        <v>525</v>
      </c>
      <c r="AE21" t="s">
        <v>870</v>
      </c>
      <c r="AF21" t="s">
        <v>871</v>
      </c>
      <c r="AG21" t="s">
        <v>10</v>
      </c>
      <c r="AH21" t="s">
        <v>21</v>
      </c>
      <c r="AI21" t="s">
        <v>529</v>
      </c>
      <c r="AJ21" t="s">
        <v>186</v>
      </c>
      <c r="AL21" t="s">
        <v>870</v>
      </c>
      <c r="AM21" t="s">
        <v>1093</v>
      </c>
      <c r="AN21" t="s">
        <v>784</v>
      </c>
      <c r="AO21">
        <v>0.98811890694986881</v>
      </c>
      <c r="AP21">
        <v>217.82003925240565</v>
      </c>
    </row>
    <row r="22" spans="2:42">
      <c r="B22" t="s">
        <v>182</v>
      </c>
      <c r="C22" t="s">
        <v>207</v>
      </c>
      <c r="D22" t="s">
        <v>208</v>
      </c>
      <c r="E22" t="s">
        <v>10</v>
      </c>
      <c r="F22" t="s">
        <v>21</v>
      </c>
      <c r="G22" t="s">
        <v>185</v>
      </c>
      <c r="H22" t="s">
        <v>186</v>
      </c>
      <c r="J22" t="s">
        <v>207</v>
      </c>
      <c r="K22" t="s">
        <v>423</v>
      </c>
      <c r="L22">
        <v>0.45059818850023714</v>
      </c>
      <c r="M22">
        <v>0.1809276860996146</v>
      </c>
      <c r="O22" t="s">
        <v>525</v>
      </c>
      <c r="P22" t="s">
        <v>550</v>
      </c>
      <c r="Q22" t="s">
        <v>551</v>
      </c>
      <c r="R22" t="s">
        <v>10</v>
      </c>
      <c r="S22" t="s">
        <v>21</v>
      </c>
      <c r="T22" t="s">
        <v>528</v>
      </c>
      <c r="U22" t="s">
        <v>529</v>
      </c>
      <c r="V22" t="s">
        <v>186</v>
      </c>
      <c r="X22" t="s">
        <v>550</v>
      </c>
      <c r="Y22" t="s">
        <v>420</v>
      </c>
      <c r="Z22" t="s">
        <v>765</v>
      </c>
      <c r="AA22">
        <v>0.97226236249077014</v>
      </c>
      <c r="AB22">
        <v>508.52335433588098</v>
      </c>
      <c r="AD22" t="s">
        <v>525</v>
      </c>
      <c r="AE22" t="s">
        <v>872</v>
      </c>
      <c r="AF22" t="s">
        <v>873</v>
      </c>
      <c r="AG22" t="s">
        <v>10</v>
      </c>
      <c r="AH22" t="s">
        <v>21</v>
      </c>
      <c r="AI22" t="s">
        <v>529</v>
      </c>
      <c r="AJ22" t="s">
        <v>186</v>
      </c>
      <c r="AL22" t="s">
        <v>872</v>
      </c>
      <c r="AM22" t="s">
        <v>1094</v>
      </c>
      <c r="AN22" t="s">
        <v>1095</v>
      </c>
      <c r="AO22">
        <v>0.99738220639999442</v>
      </c>
      <c r="AP22">
        <v>47.992882666768359</v>
      </c>
    </row>
    <row r="23" spans="2:42">
      <c r="B23" t="s">
        <v>182</v>
      </c>
      <c r="C23" t="s">
        <v>209</v>
      </c>
      <c r="D23" t="s">
        <v>210</v>
      </c>
      <c r="E23" t="s">
        <v>10</v>
      </c>
      <c r="F23" t="s">
        <v>21</v>
      </c>
      <c r="G23" t="s">
        <v>185</v>
      </c>
      <c r="H23" t="s">
        <v>186</v>
      </c>
      <c r="J23" t="s">
        <v>209</v>
      </c>
      <c r="K23" t="s">
        <v>424</v>
      </c>
      <c r="L23">
        <v>1.5463047158945373</v>
      </c>
      <c r="M23">
        <v>0.17976667332138269</v>
      </c>
      <c r="O23" t="s">
        <v>525</v>
      </c>
      <c r="P23" t="s">
        <v>552</v>
      </c>
      <c r="Q23" t="s">
        <v>553</v>
      </c>
      <c r="R23" t="s">
        <v>10</v>
      </c>
      <c r="S23" t="s">
        <v>21</v>
      </c>
      <c r="T23" t="s">
        <v>528</v>
      </c>
      <c r="U23" t="s">
        <v>529</v>
      </c>
      <c r="V23" t="s">
        <v>186</v>
      </c>
      <c r="X23" t="s">
        <v>552</v>
      </c>
      <c r="Y23" t="s">
        <v>513</v>
      </c>
      <c r="Z23" t="s">
        <v>766</v>
      </c>
      <c r="AA23">
        <v>0.97475931868069821</v>
      </c>
      <c r="AB23">
        <v>462.74582418719888</v>
      </c>
      <c r="AD23" t="s">
        <v>525</v>
      </c>
      <c r="AE23" t="s">
        <v>874</v>
      </c>
      <c r="AF23" t="s">
        <v>875</v>
      </c>
      <c r="AG23" t="s">
        <v>10</v>
      </c>
      <c r="AH23" t="s">
        <v>21</v>
      </c>
      <c r="AI23" t="s">
        <v>529</v>
      </c>
      <c r="AJ23" t="s">
        <v>186</v>
      </c>
      <c r="AL23" t="s">
        <v>874</v>
      </c>
      <c r="AM23" t="s">
        <v>1096</v>
      </c>
      <c r="AN23" t="s">
        <v>795</v>
      </c>
      <c r="AO23">
        <v>0.97801603426841899</v>
      </c>
      <c r="AP23">
        <v>403.03937174565277</v>
      </c>
    </row>
    <row r="24" spans="2:42">
      <c r="B24" t="s">
        <v>182</v>
      </c>
      <c r="C24" t="s">
        <v>211</v>
      </c>
      <c r="D24" t="s">
        <v>212</v>
      </c>
      <c r="E24" t="s">
        <v>10</v>
      </c>
      <c r="F24" t="s">
        <v>21</v>
      </c>
      <c r="G24" t="s">
        <v>185</v>
      </c>
      <c r="H24" t="s">
        <v>186</v>
      </c>
      <c r="J24" t="s">
        <v>211</v>
      </c>
      <c r="K24" t="s">
        <v>425</v>
      </c>
      <c r="L24">
        <v>3.7046594730213149</v>
      </c>
      <c r="M24">
        <v>0.1776405203593065</v>
      </c>
      <c r="O24" t="s">
        <v>525</v>
      </c>
      <c r="P24" t="s">
        <v>554</v>
      </c>
      <c r="Q24" t="s">
        <v>555</v>
      </c>
      <c r="R24" t="s">
        <v>10</v>
      </c>
      <c r="S24" t="s">
        <v>21</v>
      </c>
      <c r="T24" t="s">
        <v>528</v>
      </c>
      <c r="U24" t="s">
        <v>529</v>
      </c>
      <c r="V24" t="s">
        <v>186</v>
      </c>
      <c r="X24" t="s">
        <v>554</v>
      </c>
      <c r="Y24" t="s">
        <v>471</v>
      </c>
      <c r="Z24" t="s">
        <v>767</v>
      </c>
      <c r="AA24">
        <v>0.99093318029918631</v>
      </c>
      <c r="AB24">
        <v>166.22502784825031</v>
      </c>
      <c r="AD24" t="s">
        <v>525</v>
      </c>
      <c r="AE24" t="s">
        <v>876</v>
      </c>
      <c r="AF24" t="s">
        <v>877</v>
      </c>
      <c r="AG24" t="s">
        <v>10</v>
      </c>
      <c r="AH24" t="s">
        <v>21</v>
      </c>
      <c r="AI24" t="s">
        <v>529</v>
      </c>
      <c r="AJ24" t="s">
        <v>186</v>
      </c>
      <c r="AL24" t="s">
        <v>876</v>
      </c>
      <c r="AM24" t="s">
        <v>1097</v>
      </c>
      <c r="AN24" t="s">
        <v>770</v>
      </c>
      <c r="AO24">
        <v>0.99093409255772424</v>
      </c>
      <c r="AP24">
        <v>166.20830310838849</v>
      </c>
    </row>
    <row r="25" spans="2:42">
      <c r="B25" t="s">
        <v>182</v>
      </c>
      <c r="C25" t="s">
        <v>213</v>
      </c>
      <c r="D25" t="s">
        <v>214</v>
      </c>
      <c r="E25" t="s">
        <v>10</v>
      </c>
      <c r="F25" t="s">
        <v>21</v>
      </c>
      <c r="G25" t="s">
        <v>185</v>
      </c>
      <c r="H25" t="s">
        <v>186</v>
      </c>
      <c r="J25" t="s">
        <v>213</v>
      </c>
      <c r="K25" t="s">
        <v>426</v>
      </c>
      <c r="L25">
        <v>2.194768602317644</v>
      </c>
      <c r="M25">
        <v>0.17443235826538189</v>
      </c>
      <c r="O25" t="s">
        <v>525</v>
      </c>
      <c r="P25" t="s">
        <v>556</v>
      </c>
      <c r="Q25" t="s">
        <v>557</v>
      </c>
      <c r="R25" t="s">
        <v>10</v>
      </c>
      <c r="S25" t="s">
        <v>21</v>
      </c>
      <c r="T25" t="s">
        <v>528</v>
      </c>
      <c r="U25" t="s">
        <v>529</v>
      </c>
      <c r="V25" t="s">
        <v>186</v>
      </c>
      <c r="X25" t="s">
        <v>556</v>
      </c>
      <c r="Y25" t="s">
        <v>461</v>
      </c>
      <c r="Z25" t="s">
        <v>768</v>
      </c>
      <c r="AA25">
        <v>0.98170812994557199</v>
      </c>
      <c r="AB25">
        <v>335.35095099784655</v>
      </c>
      <c r="AD25" t="s">
        <v>525</v>
      </c>
      <c r="AE25" t="s">
        <v>878</v>
      </c>
      <c r="AF25" t="s">
        <v>879</v>
      </c>
      <c r="AG25" t="s">
        <v>10</v>
      </c>
      <c r="AH25" t="s">
        <v>21</v>
      </c>
      <c r="AI25" t="s">
        <v>529</v>
      </c>
      <c r="AJ25" t="s">
        <v>186</v>
      </c>
      <c r="AL25" t="s">
        <v>878</v>
      </c>
      <c r="AM25" t="s">
        <v>1098</v>
      </c>
      <c r="AN25" t="s">
        <v>1099</v>
      </c>
      <c r="AO25">
        <v>0.99402679210762945</v>
      </c>
      <c r="AP25">
        <v>109.50881136012701</v>
      </c>
    </row>
    <row r="26" spans="2:42">
      <c r="B26" t="s">
        <v>182</v>
      </c>
      <c r="C26" t="s">
        <v>215</v>
      </c>
      <c r="D26" t="s">
        <v>216</v>
      </c>
      <c r="E26" t="s">
        <v>10</v>
      </c>
      <c r="F26" t="s">
        <v>21</v>
      </c>
      <c r="G26" t="s">
        <v>185</v>
      </c>
      <c r="H26" t="s">
        <v>186</v>
      </c>
      <c r="J26" t="s">
        <v>215</v>
      </c>
      <c r="K26" t="s">
        <v>427</v>
      </c>
      <c r="L26">
        <v>2.8313542432375263</v>
      </c>
      <c r="M26">
        <v>0.1773471580901157</v>
      </c>
      <c r="O26" t="s">
        <v>525</v>
      </c>
      <c r="P26" t="s">
        <v>558</v>
      </c>
      <c r="Q26" t="s">
        <v>559</v>
      </c>
      <c r="R26" t="s">
        <v>10</v>
      </c>
      <c r="S26" t="s">
        <v>21</v>
      </c>
      <c r="T26" t="s">
        <v>528</v>
      </c>
      <c r="U26" t="s">
        <v>529</v>
      </c>
      <c r="V26" t="s">
        <v>186</v>
      </c>
      <c r="X26" t="s">
        <v>558</v>
      </c>
      <c r="Y26" t="s">
        <v>463</v>
      </c>
      <c r="Z26" t="s">
        <v>769</v>
      </c>
      <c r="AA26">
        <v>0.98884123312951999</v>
      </c>
      <c r="AB26">
        <v>204.57739262546627</v>
      </c>
      <c r="AD26" t="s">
        <v>525</v>
      </c>
      <c r="AE26" t="s">
        <v>880</v>
      </c>
      <c r="AF26" t="s">
        <v>881</v>
      </c>
      <c r="AG26" t="s">
        <v>10</v>
      </c>
      <c r="AH26" t="s">
        <v>21</v>
      </c>
      <c r="AI26" t="s">
        <v>529</v>
      </c>
      <c r="AJ26" t="s">
        <v>186</v>
      </c>
      <c r="AL26" t="s">
        <v>880</v>
      </c>
      <c r="AM26" t="s">
        <v>1100</v>
      </c>
      <c r="AN26" t="s">
        <v>1101</v>
      </c>
      <c r="AO26">
        <v>0.9973873720752291</v>
      </c>
      <c r="AP26">
        <v>47.898178620800067</v>
      </c>
    </row>
    <row r="27" spans="2:42">
      <c r="B27" t="s">
        <v>182</v>
      </c>
      <c r="C27" t="s">
        <v>217</v>
      </c>
      <c r="D27" t="s">
        <v>218</v>
      </c>
      <c r="E27" t="s">
        <v>10</v>
      </c>
      <c r="F27" t="s">
        <v>21</v>
      </c>
      <c r="G27" t="s">
        <v>185</v>
      </c>
      <c r="H27" t="s">
        <v>186</v>
      </c>
      <c r="J27" t="s">
        <v>217</v>
      </c>
      <c r="K27" t="s">
        <v>428</v>
      </c>
      <c r="L27">
        <v>1.0331042301914239</v>
      </c>
      <c r="M27">
        <v>0.176322767158964</v>
      </c>
      <c r="O27" t="s">
        <v>525</v>
      </c>
      <c r="P27" t="s">
        <v>560</v>
      </c>
      <c r="Q27" t="s">
        <v>561</v>
      </c>
      <c r="R27" t="s">
        <v>10</v>
      </c>
      <c r="S27" t="s">
        <v>21</v>
      </c>
      <c r="T27" t="s">
        <v>528</v>
      </c>
      <c r="U27" t="s">
        <v>529</v>
      </c>
      <c r="V27" t="s">
        <v>186</v>
      </c>
      <c r="X27" t="s">
        <v>560</v>
      </c>
      <c r="Y27" t="s">
        <v>414</v>
      </c>
      <c r="Z27" t="s">
        <v>770</v>
      </c>
      <c r="AA27">
        <v>0.98115077516029681</v>
      </c>
      <c r="AB27">
        <v>345.56912206122433</v>
      </c>
      <c r="AD27" t="s">
        <v>525</v>
      </c>
      <c r="AE27" t="s">
        <v>882</v>
      </c>
      <c r="AF27" t="s">
        <v>883</v>
      </c>
      <c r="AG27" t="s">
        <v>10</v>
      </c>
      <c r="AH27" t="s">
        <v>21</v>
      </c>
      <c r="AI27" t="s">
        <v>529</v>
      </c>
      <c r="AJ27" t="s">
        <v>186</v>
      </c>
      <c r="AL27" t="s">
        <v>882</v>
      </c>
      <c r="AM27" t="s">
        <v>1102</v>
      </c>
      <c r="AN27" t="s">
        <v>1103</v>
      </c>
      <c r="AO27">
        <v>0.97218636347856457</v>
      </c>
      <c r="AP27">
        <v>509.91666955964962</v>
      </c>
    </row>
    <row r="28" spans="2:42">
      <c r="B28" t="s">
        <v>182</v>
      </c>
      <c r="C28" t="s">
        <v>219</v>
      </c>
      <c r="D28" t="s">
        <v>220</v>
      </c>
      <c r="E28" t="s">
        <v>10</v>
      </c>
      <c r="F28" t="s">
        <v>21</v>
      </c>
      <c r="G28" t="s">
        <v>185</v>
      </c>
      <c r="H28" t="s">
        <v>186</v>
      </c>
      <c r="J28" t="s">
        <v>219</v>
      </c>
      <c r="K28" t="s">
        <v>429</v>
      </c>
      <c r="L28">
        <v>2.3594191924395957</v>
      </c>
      <c r="M28">
        <v>0.17967365761457599</v>
      </c>
      <c r="O28" t="s">
        <v>525</v>
      </c>
      <c r="P28" t="s">
        <v>562</v>
      </c>
      <c r="Q28" t="s">
        <v>563</v>
      </c>
      <c r="R28" t="s">
        <v>10</v>
      </c>
      <c r="S28" t="s">
        <v>21</v>
      </c>
      <c r="T28" t="s">
        <v>528</v>
      </c>
      <c r="U28" t="s">
        <v>529</v>
      </c>
      <c r="V28" t="s">
        <v>186</v>
      </c>
      <c r="X28" t="s">
        <v>562</v>
      </c>
      <c r="Y28" t="s">
        <v>497</v>
      </c>
      <c r="Z28" t="s">
        <v>771</v>
      </c>
      <c r="AA28">
        <v>0.9873555911965286</v>
      </c>
      <c r="AB28">
        <v>231.81416139697563</v>
      </c>
      <c r="AD28" t="s">
        <v>525</v>
      </c>
      <c r="AE28" t="s">
        <v>884</v>
      </c>
      <c r="AF28" t="s">
        <v>885</v>
      </c>
      <c r="AG28" t="s">
        <v>10</v>
      </c>
      <c r="AH28" t="s">
        <v>21</v>
      </c>
      <c r="AI28" t="s">
        <v>529</v>
      </c>
      <c r="AJ28" t="s">
        <v>186</v>
      </c>
      <c r="AL28" t="s">
        <v>884</v>
      </c>
      <c r="AM28" t="s">
        <v>1104</v>
      </c>
      <c r="AN28" t="s">
        <v>1105</v>
      </c>
      <c r="AO28">
        <v>0.99698823950142412</v>
      </c>
      <c r="AP28">
        <v>55.215609140557937</v>
      </c>
    </row>
    <row r="29" spans="2:42">
      <c r="B29" t="s">
        <v>182</v>
      </c>
      <c r="C29" t="s">
        <v>221</v>
      </c>
      <c r="D29" t="s">
        <v>222</v>
      </c>
      <c r="E29" t="s">
        <v>10</v>
      </c>
      <c r="F29" t="s">
        <v>21</v>
      </c>
      <c r="G29" t="s">
        <v>185</v>
      </c>
      <c r="H29" t="s">
        <v>186</v>
      </c>
      <c r="J29" t="s">
        <v>221</v>
      </c>
      <c r="K29" t="s">
        <v>430</v>
      </c>
      <c r="L29">
        <v>7.1709028845848799</v>
      </c>
      <c r="M29">
        <v>0.17297721578442241</v>
      </c>
      <c r="O29" t="s">
        <v>525</v>
      </c>
      <c r="P29" t="s">
        <v>564</v>
      </c>
      <c r="Q29" t="s">
        <v>565</v>
      </c>
      <c r="R29" t="s">
        <v>10</v>
      </c>
      <c r="S29" t="s">
        <v>21</v>
      </c>
      <c r="T29" t="s">
        <v>528</v>
      </c>
      <c r="U29" t="s">
        <v>529</v>
      </c>
      <c r="V29" t="s">
        <v>186</v>
      </c>
      <c r="X29" t="s">
        <v>564</v>
      </c>
      <c r="Y29" t="s">
        <v>507</v>
      </c>
      <c r="Z29" t="s">
        <v>772</v>
      </c>
      <c r="AA29">
        <v>0.99386167632552602</v>
      </c>
      <c r="AB29">
        <v>112.53593403202289</v>
      </c>
      <c r="AD29" t="s">
        <v>525</v>
      </c>
      <c r="AE29" t="s">
        <v>886</v>
      </c>
      <c r="AF29" t="s">
        <v>887</v>
      </c>
      <c r="AG29" t="s">
        <v>10</v>
      </c>
      <c r="AH29" t="s">
        <v>21</v>
      </c>
      <c r="AI29" t="s">
        <v>529</v>
      </c>
      <c r="AJ29" t="s">
        <v>186</v>
      </c>
      <c r="AL29" t="s">
        <v>886</v>
      </c>
      <c r="AM29" t="s">
        <v>1106</v>
      </c>
      <c r="AN29" t="s">
        <v>1107</v>
      </c>
      <c r="AO29">
        <v>0.96607237663706069</v>
      </c>
      <c r="AP29">
        <v>622.00642832055325</v>
      </c>
    </row>
    <row r="30" spans="2:42">
      <c r="B30" t="s">
        <v>182</v>
      </c>
      <c r="C30" t="s">
        <v>223</v>
      </c>
      <c r="D30" t="s">
        <v>224</v>
      </c>
      <c r="E30" t="s">
        <v>10</v>
      </c>
      <c r="F30" t="s">
        <v>21</v>
      </c>
      <c r="G30" t="s">
        <v>185</v>
      </c>
      <c r="H30" t="s">
        <v>186</v>
      </c>
      <c r="J30" t="s">
        <v>223</v>
      </c>
      <c r="K30" t="s">
        <v>431</v>
      </c>
      <c r="L30">
        <v>0.92127937890893397</v>
      </c>
      <c r="M30">
        <v>0.17302663573042559</v>
      </c>
      <c r="O30" t="s">
        <v>525</v>
      </c>
      <c r="P30" t="s">
        <v>566</v>
      </c>
      <c r="Q30" t="s">
        <v>567</v>
      </c>
      <c r="R30" t="s">
        <v>10</v>
      </c>
      <c r="S30" t="s">
        <v>21</v>
      </c>
      <c r="T30" t="s">
        <v>528</v>
      </c>
      <c r="U30" t="s">
        <v>529</v>
      </c>
      <c r="V30" t="s">
        <v>186</v>
      </c>
      <c r="X30" t="s">
        <v>566</v>
      </c>
      <c r="Y30" t="s">
        <v>462</v>
      </c>
      <c r="Z30" t="s">
        <v>773</v>
      </c>
      <c r="AA30">
        <v>0.99619336441777906</v>
      </c>
      <c r="AB30">
        <v>69.788319007384629</v>
      </c>
      <c r="AD30" t="s">
        <v>525</v>
      </c>
      <c r="AE30" t="s">
        <v>888</v>
      </c>
      <c r="AF30" t="s">
        <v>889</v>
      </c>
      <c r="AG30" t="s">
        <v>10</v>
      </c>
      <c r="AH30" t="s">
        <v>21</v>
      </c>
      <c r="AI30" t="s">
        <v>529</v>
      </c>
      <c r="AJ30" t="s">
        <v>186</v>
      </c>
      <c r="AL30" t="s">
        <v>888</v>
      </c>
      <c r="AM30" t="s">
        <v>1108</v>
      </c>
      <c r="AN30" t="s">
        <v>1109</v>
      </c>
      <c r="AO30">
        <v>0.96559837321038777</v>
      </c>
      <c r="AP30">
        <v>630.69649114289018</v>
      </c>
    </row>
    <row r="31" spans="2:42">
      <c r="B31" t="s">
        <v>182</v>
      </c>
      <c r="C31" t="s">
        <v>225</v>
      </c>
      <c r="D31" t="s">
        <v>226</v>
      </c>
      <c r="E31" t="s">
        <v>10</v>
      </c>
      <c r="F31" t="s">
        <v>21</v>
      </c>
      <c r="G31" t="s">
        <v>185</v>
      </c>
      <c r="H31" t="s">
        <v>186</v>
      </c>
      <c r="J31" t="s">
        <v>225</v>
      </c>
      <c r="K31" t="s">
        <v>432</v>
      </c>
      <c r="L31">
        <v>0.4719828768670804</v>
      </c>
      <c r="M31">
        <v>0.18105754227429449</v>
      </c>
      <c r="O31" t="s">
        <v>525</v>
      </c>
      <c r="P31" t="s">
        <v>568</v>
      </c>
      <c r="Q31" t="s">
        <v>569</v>
      </c>
      <c r="R31" t="s">
        <v>10</v>
      </c>
      <c r="S31" t="s">
        <v>21</v>
      </c>
      <c r="T31" t="s">
        <v>528</v>
      </c>
      <c r="U31" t="s">
        <v>529</v>
      </c>
      <c r="V31" t="s">
        <v>186</v>
      </c>
      <c r="X31" t="s">
        <v>568</v>
      </c>
      <c r="Y31" t="s">
        <v>458</v>
      </c>
      <c r="Z31" t="s">
        <v>774</v>
      </c>
      <c r="AA31">
        <v>0.98886150346549329</v>
      </c>
      <c r="AB31">
        <v>204.20576979928958</v>
      </c>
      <c r="AD31" t="s">
        <v>525</v>
      </c>
      <c r="AE31" t="s">
        <v>890</v>
      </c>
      <c r="AF31" t="s">
        <v>891</v>
      </c>
      <c r="AG31" t="s">
        <v>10</v>
      </c>
      <c r="AH31" t="s">
        <v>21</v>
      </c>
      <c r="AI31" t="s">
        <v>529</v>
      </c>
      <c r="AJ31" t="s">
        <v>186</v>
      </c>
      <c r="AL31" t="s">
        <v>890</v>
      </c>
      <c r="AM31" t="s">
        <v>1110</v>
      </c>
      <c r="AN31" t="s">
        <v>775</v>
      </c>
      <c r="AO31">
        <v>0.97413224119195063</v>
      </c>
      <c r="AP31">
        <v>474.24224481423749</v>
      </c>
    </row>
    <row r="32" spans="2:42">
      <c r="B32" t="s">
        <v>182</v>
      </c>
      <c r="C32" t="s">
        <v>227</v>
      </c>
      <c r="D32" t="s">
        <v>228</v>
      </c>
      <c r="E32" t="s">
        <v>10</v>
      </c>
      <c r="F32" t="s">
        <v>21</v>
      </c>
      <c r="G32" t="s">
        <v>185</v>
      </c>
      <c r="H32" t="s">
        <v>186</v>
      </c>
      <c r="J32" t="s">
        <v>227</v>
      </c>
      <c r="K32" t="s">
        <v>433</v>
      </c>
      <c r="L32">
        <v>1.1889111500643033</v>
      </c>
      <c r="M32">
        <v>0.18247446432354969</v>
      </c>
      <c r="O32" t="s">
        <v>525</v>
      </c>
      <c r="P32" t="s">
        <v>570</v>
      </c>
      <c r="Q32" t="s">
        <v>571</v>
      </c>
      <c r="R32" t="s">
        <v>10</v>
      </c>
      <c r="S32" t="s">
        <v>21</v>
      </c>
      <c r="T32" t="s">
        <v>528</v>
      </c>
      <c r="U32" t="s">
        <v>529</v>
      </c>
      <c r="V32" t="s">
        <v>186</v>
      </c>
      <c r="X32" t="s">
        <v>570</v>
      </c>
      <c r="Y32" t="s">
        <v>442</v>
      </c>
      <c r="Z32" t="s">
        <v>775</v>
      </c>
      <c r="AA32">
        <v>0.96929025712651362</v>
      </c>
      <c r="AB32">
        <v>563.01195268058405</v>
      </c>
      <c r="AD32" t="s">
        <v>525</v>
      </c>
      <c r="AE32" t="s">
        <v>892</v>
      </c>
      <c r="AF32" t="s">
        <v>893</v>
      </c>
      <c r="AG32" t="s">
        <v>10</v>
      </c>
      <c r="AH32" t="s">
        <v>21</v>
      </c>
      <c r="AI32" t="s">
        <v>529</v>
      </c>
      <c r="AJ32" t="s">
        <v>186</v>
      </c>
      <c r="AL32" t="s">
        <v>892</v>
      </c>
      <c r="AM32" t="s">
        <v>1111</v>
      </c>
      <c r="AN32" t="s">
        <v>765</v>
      </c>
      <c r="AO32">
        <v>0.96348956897402238</v>
      </c>
      <c r="AP32">
        <v>669.35790214292365</v>
      </c>
    </row>
    <row r="33" spans="2:42">
      <c r="B33" t="s">
        <v>182</v>
      </c>
      <c r="C33" t="s">
        <v>229</v>
      </c>
      <c r="D33" t="s">
        <v>230</v>
      </c>
      <c r="E33" t="s">
        <v>10</v>
      </c>
      <c r="F33" t="s">
        <v>21</v>
      </c>
      <c r="G33" t="s">
        <v>185</v>
      </c>
      <c r="H33" t="s">
        <v>186</v>
      </c>
      <c r="J33" t="s">
        <v>229</v>
      </c>
      <c r="K33" t="s">
        <v>434</v>
      </c>
      <c r="L33">
        <v>1.9115860265743467</v>
      </c>
      <c r="M33">
        <v>0.17885579088361589</v>
      </c>
      <c r="O33" t="s">
        <v>525</v>
      </c>
      <c r="P33" t="s">
        <v>572</v>
      </c>
      <c r="Q33" t="s">
        <v>573</v>
      </c>
      <c r="R33" t="s">
        <v>10</v>
      </c>
      <c r="S33" t="s">
        <v>21</v>
      </c>
      <c r="T33" t="s">
        <v>528</v>
      </c>
      <c r="U33" t="s">
        <v>529</v>
      </c>
      <c r="V33" t="s">
        <v>186</v>
      </c>
      <c r="X33" t="s">
        <v>572</v>
      </c>
      <c r="Y33" t="s">
        <v>438</v>
      </c>
      <c r="Z33" t="s">
        <v>776</v>
      </c>
      <c r="AA33">
        <v>0.97998751053761135</v>
      </c>
      <c r="AB33">
        <v>366.89564014379283</v>
      </c>
      <c r="AD33" t="s">
        <v>525</v>
      </c>
      <c r="AE33" t="s">
        <v>894</v>
      </c>
      <c r="AF33" t="s">
        <v>895</v>
      </c>
      <c r="AG33" t="s">
        <v>10</v>
      </c>
      <c r="AH33" t="s">
        <v>21</v>
      </c>
      <c r="AI33" t="s">
        <v>529</v>
      </c>
      <c r="AJ33" t="s">
        <v>186</v>
      </c>
      <c r="AL33" t="s">
        <v>894</v>
      </c>
      <c r="AM33" t="s">
        <v>1112</v>
      </c>
      <c r="AN33" t="s">
        <v>1113</v>
      </c>
      <c r="AO33">
        <v>0.96206041648307872</v>
      </c>
      <c r="AP33">
        <v>695.55903114355692</v>
      </c>
    </row>
    <row r="34" spans="2:42">
      <c r="B34" t="s">
        <v>182</v>
      </c>
      <c r="C34" t="s">
        <v>231</v>
      </c>
      <c r="D34" t="s">
        <v>232</v>
      </c>
      <c r="E34" t="s">
        <v>10</v>
      </c>
      <c r="F34" t="s">
        <v>21</v>
      </c>
      <c r="G34" t="s">
        <v>185</v>
      </c>
      <c r="H34" t="s">
        <v>186</v>
      </c>
      <c r="J34" t="s">
        <v>231</v>
      </c>
      <c r="K34" t="s">
        <v>435</v>
      </c>
      <c r="L34">
        <v>1.024001236311695</v>
      </c>
      <c r="M34">
        <v>0.1800443879772993</v>
      </c>
      <c r="O34" t="s">
        <v>525</v>
      </c>
      <c r="P34" t="s">
        <v>574</v>
      </c>
      <c r="Q34" t="s">
        <v>575</v>
      </c>
      <c r="R34" t="s">
        <v>10</v>
      </c>
      <c r="S34" t="s">
        <v>21</v>
      </c>
      <c r="T34" t="s">
        <v>528</v>
      </c>
      <c r="U34" t="s">
        <v>529</v>
      </c>
      <c r="V34" t="s">
        <v>186</v>
      </c>
      <c r="X34" t="s">
        <v>574</v>
      </c>
      <c r="Y34" t="s">
        <v>415</v>
      </c>
      <c r="Z34" t="s">
        <v>777</v>
      </c>
      <c r="AA34">
        <v>0.98138560853472434</v>
      </c>
      <c r="AB34">
        <v>341.26384353005466</v>
      </c>
      <c r="AD34" t="s">
        <v>525</v>
      </c>
      <c r="AE34" t="s">
        <v>896</v>
      </c>
      <c r="AF34" t="s">
        <v>897</v>
      </c>
      <c r="AG34" t="s">
        <v>10</v>
      </c>
      <c r="AH34" t="s">
        <v>21</v>
      </c>
      <c r="AI34" t="s">
        <v>529</v>
      </c>
      <c r="AJ34" t="s">
        <v>186</v>
      </c>
      <c r="AL34" t="s">
        <v>896</v>
      </c>
      <c r="AM34" t="s">
        <v>1114</v>
      </c>
      <c r="AN34" t="s">
        <v>786</v>
      </c>
      <c r="AO34">
        <v>0.95456664500461752</v>
      </c>
      <c r="AP34">
        <v>832.94484158201146</v>
      </c>
    </row>
    <row r="35" spans="2:42">
      <c r="B35" t="s">
        <v>182</v>
      </c>
      <c r="C35" t="s">
        <v>233</v>
      </c>
      <c r="D35" t="s">
        <v>234</v>
      </c>
      <c r="E35" t="s">
        <v>10</v>
      </c>
      <c r="F35" t="s">
        <v>21</v>
      </c>
      <c r="G35" t="s">
        <v>185</v>
      </c>
      <c r="H35" t="s">
        <v>186</v>
      </c>
      <c r="J35" t="s">
        <v>233</v>
      </c>
      <c r="K35" t="s">
        <v>436</v>
      </c>
      <c r="L35">
        <v>0.92353156092576005</v>
      </c>
      <c r="M35">
        <v>0.17851861402114891</v>
      </c>
      <c r="O35" t="s">
        <v>525</v>
      </c>
      <c r="P35" t="s">
        <v>576</v>
      </c>
      <c r="Q35" t="s">
        <v>577</v>
      </c>
      <c r="R35" t="s">
        <v>10</v>
      </c>
      <c r="S35" t="s">
        <v>21</v>
      </c>
      <c r="T35" t="s">
        <v>528</v>
      </c>
      <c r="U35" t="s">
        <v>529</v>
      </c>
      <c r="V35" t="s">
        <v>186</v>
      </c>
      <c r="X35" t="s">
        <v>576</v>
      </c>
      <c r="Y35" t="s">
        <v>485</v>
      </c>
      <c r="Z35" t="s">
        <v>778</v>
      </c>
      <c r="AA35">
        <v>0.96533991691623922</v>
      </c>
      <c r="AB35">
        <v>635.43485653561379</v>
      </c>
      <c r="AD35" t="s">
        <v>525</v>
      </c>
      <c r="AE35" t="s">
        <v>898</v>
      </c>
      <c r="AF35" t="s">
        <v>899</v>
      </c>
      <c r="AG35" t="s">
        <v>10</v>
      </c>
      <c r="AH35" t="s">
        <v>21</v>
      </c>
      <c r="AI35" t="s">
        <v>529</v>
      </c>
      <c r="AJ35" t="s">
        <v>186</v>
      </c>
      <c r="AL35" t="s">
        <v>898</v>
      </c>
      <c r="AM35" t="s">
        <v>1115</v>
      </c>
      <c r="AN35" t="s">
        <v>1116</v>
      </c>
      <c r="AO35">
        <v>0.98904309337393903</v>
      </c>
      <c r="AP35">
        <v>200.87662147778425</v>
      </c>
    </row>
    <row r="36" spans="2:42">
      <c r="B36" t="s">
        <v>182</v>
      </c>
      <c r="C36" t="s">
        <v>235</v>
      </c>
      <c r="D36" t="s">
        <v>236</v>
      </c>
      <c r="E36" t="s">
        <v>10</v>
      </c>
      <c r="F36" t="s">
        <v>21</v>
      </c>
      <c r="G36" t="s">
        <v>185</v>
      </c>
      <c r="H36" t="s">
        <v>186</v>
      </c>
      <c r="J36" t="s">
        <v>235</v>
      </c>
      <c r="K36" t="s">
        <v>437</v>
      </c>
      <c r="L36">
        <v>1.3035177858439819</v>
      </c>
      <c r="M36">
        <v>0.18894441189599731</v>
      </c>
      <c r="O36" t="s">
        <v>525</v>
      </c>
      <c r="P36" t="s">
        <v>578</v>
      </c>
      <c r="Q36" t="s">
        <v>579</v>
      </c>
      <c r="R36" t="s">
        <v>10</v>
      </c>
      <c r="S36" t="s">
        <v>21</v>
      </c>
      <c r="T36" t="s">
        <v>528</v>
      </c>
      <c r="U36" t="s">
        <v>529</v>
      </c>
      <c r="V36" t="s">
        <v>186</v>
      </c>
      <c r="X36" t="s">
        <v>578</v>
      </c>
      <c r="Y36" t="s">
        <v>492</v>
      </c>
      <c r="Z36" t="s">
        <v>779</v>
      </c>
      <c r="AA36">
        <v>0.98875845192488854</v>
      </c>
      <c r="AB36">
        <v>206.09504804370923</v>
      </c>
      <c r="AD36" t="s">
        <v>525</v>
      </c>
      <c r="AE36" t="s">
        <v>900</v>
      </c>
      <c r="AF36" t="s">
        <v>901</v>
      </c>
      <c r="AG36" t="s">
        <v>10</v>
      </c>
      <c r="AH36" t="s">
        <v>21</v>
      </c>
      <c r="AI36" t="s">
        <v>529</v>
      </c>
      <c r="AJ36" t="s">
        <v>186</v>
      </c>
      <c r="AL36" t="s">
        <v>900</v>
      </c>
      <c r="AM36" t="s">
        <v>1117</v>
      </c>
      <c r="AN36" t="s">
        <v>1118</v>
      </c>
      <c r="AO36">
        <v>0.98953117407987157</v>
      </c>
      <c r="AP36">
        <v>191.92847520235523</v>
      </c>
    </row>
    <row r="37" spans="2:42">
      <c r="B37" t="s">
        <v>182</v>
      </c>
      <c r="C37" t="s">
        <v>237</v>
      </c>
      <c r="D37" t="s">
        <v>238</v>
      </c>
      <c r="E37" t="s">
        <v>10</v>
      </c>
      <c r="F37" t="s">
        <v>21</v>
      </c>
      <c r="G37" t="s">
        <v>185</v>
      </c>
      <c r="H37" t="s">
        <v>186</v>
      </c>
      <c r="J37" t="s">
        <v>237</v>
      </c>
      <c r="K37" t="s">
        <v>438</v>
      </c>
      <c r="L37">
        <v>3.1213901842929572</v>
      </c>
      <c r="M37">
        <v>0.1719966786476376</v>
      </c>
      <c r="O37" t="s">
        <v>525</v>
      </c>
      <c r="P37" t="s">
        <v>580</v>
      </c>
      <c r="Q37" t="s">
        <v>581</v>
      </c>
      <c r="R37" t="s">
        <v>10</v>
      </c>
      <c r="S37" t="s">
        <v>21</v>
      </c>
      <c r="T37" t="s">
        <v>528</v>
      </c>
      <c r="U37" t="s">
        <v>529</v>
      </c>
      <c r="V37" t="s">
        <v>186</v>
      </c>
      <c r="X37" t="s">
        <v>580</v>
      </c>
      <c r="Y37" t="s">
        <v>502</v>
      </c>
      <c r="Z37" t="s">
        <v>780</v>
      </c>
      <c r="AA37">
        <v>0.99529744341107029</v>
      </c>
      <c r="AB37">
        <v>86.213537463710921</v>
      </c>
      <c r="AD37" t="s">
        <v>525</v>
      </c>
      <c r="AE37" t="s">
        <v>902</v>
      </c>
      <c r="AF37" t="s">
        <v>903</v>
      </c>
      <c r="AG37" t="s">
        <v>10</v>
      </c>
      <c r="AH37" t="s">
        <v>21</v>
      </c>
      <c r="AI37" t="s">
        <v>529</v>
      </c>
      <c r="AJ37" t="s">
        <v>186</v>
      </c>
      <c r="AL37" t="s">
        <v>902</v>
      </c>
      <c r="AM37" t="s">
        <v>1119</v>
      </c>
      <c r="AN37" t="s">
        <v>782</v>
      </c>
      <c r="AO37">
        <v>0.9711251898559069</v>
      </c>
      <c r="AP37">
        <v>529.37151930837297</v>
      </c>
    </row>
    <row r="38" spans="2:42">
      <c r="B38" t="s">
        <v>182</v>
      </c>
      <c r="C38" t="s">
        <v>239</v>
      </c>
      <c r="D38" t="s">
        <v>240</v>
      </c>
      <c r="E38" t="s">
        <v>10</v>
      </c>
      <c r="F38" t="s">
        <v>21</v>
      </c>
      <c r="G38" t="s">
        <v>185</v>
      </c>
      <c r="H38" t="s">
        <v>186</v>
      </c>
      <c r="J38" t="s">
        <v>239</v>
      </c>
      <c r="K38" t="s">
        <v>439</v>
      </c>
      <c r="L38">
        <v>4.3221777900269647</v>
      </c>
      <c r="M38">
        <v>0.16918612081214079</v>
      </c>
      <c r="O38" t="s">
        <v>525</v>
      </c>
      <c r="P38" t="s">
        <v>582</v>
      </c>
      <c r="Q38" t="s">
        <v>583</v>
      </c>
      <c r="R38" t="s">
        <v>10</v>
      </c>
      <c r="S38" t="s">
        <v>21</v>
      </c>
      <c r="T38" t="s">
        <v>528</v>
      </c>
      <c r="U38" t="s">
        <v>529</v>
      </c>
      <c r="V38" t="s">
        <v>186</v>
      </c>
      <c r="X38" t="s">
        <v>582</v>
      </c>
      <c r="Y38" t="s">
        <v>480</v>
      </c>
      <c r="Z38" t="s">
        <v>781</v>
      </c>
      <c r="AA38">
        <v>0.98365354759499957</v>
      </c>
      <c r="AB38">
        <v>299.68496075834082</v>
      </c>
      <c r="AD38" t="s">
        <v>525</v>
      </c>
      <c r="AE38" t="s">
        <v>904</v>
      </c>
      <c r="AF38" t="s">
        <v>905</v>
      </c>
      <c r="AG38" t="s">
        <v>10</v>
      </c>
      <c r="AH38" t="s">
        <v>21</v>
      </c>
      <c r="AI38" t="s">
        <v>529</v>
      </c>
      <c r="AJ38" t="s">
        <v>186</v>
      </c>
      <c r="AL38" t="s">
        <v>904</v>
      </c>
      <c r="AM38" t="s">
        <v>1120</v>
      </c>
      <c r="AN38" t="s">
        <v>1121</v>
      </c>
      <c r="AO38">
        <v>0.98919476013392649</v>
      </c>
      <c r="AP38">
        <v>198.0960642113472</v>
      </c>
    </row>
    <row r="39" spans="2:42">
      <c r="B39" t="s">
        <v>182</v>
      </c>
      <c r="C39" t="s">
        <v>241</v>
      </c>
      <c r="D39" t="s">
        <v>242</v>
      </c>
      <c r="E39" t="s">
        <v>10</v>
      </c>
      <c r="F39" t="s">
        <v>21</v>
      </c>
      <c r="G39" t="s">
        <v>185</v>
      </c>
      <c r="H39" t="s">
        <v>186</v>
      </c>
      <c r="J39" t="s">
        <v>241</v>
      </c>
      <c r="K39" t="s">
        <v>440</v>
      </c>
      <c r="L39">
        <v>1.116391953153431</v>
      </c>
      <c r="M39">
        <v>0.1748015919454961</v>
      </c>
      <c r="O39" t="s">
        <v>525</v>
      </c>
      <c r="P39" t="s">
        <v>584</v>
      </c>
      <c r="Q39" t="s">
        <v>585</v>
      </c>
      <c r="R39" t="s">
        <v>10</v>
      </c>
      <c r="S39" t="s">
        <v>21</v>
      </c>
      <c r="T39" t="s">
        <v>528</v>
      </c>
      <c r="U39" t="s">
        <v>529</v>
      </c>
      <c r="V39" t="s">
        <v>186</v>
      </c>
      <c r="X39" t="s">
        <v>584</v>
      </c>
      <c r="Y39" t="s">
        <v>522</v>
      </c>
      <c r="Z39" t="s">
        <v>782</v>
      </c>
      <c r="AA39">
        <v>0.98538498936383945</v>
      </c>
      <c r="AB39">
        <v>267.94186166294406</v>
      </c>
      <c r="AD39" t="s">
        <v>525</v>
      </c>
      <c r="AE39" t="s">
        <v>906</v>
      </c>
      <c r="AF39" t="s">
        <v>907</v>
      </c>
      <c r="AG39" t="s">
        <v>10</v>
      </c>
      <c r="AH39" t="s">
        <v>21</v>
      </c>
      <c r="AI39" t="s">
        <v>529</v>
      </c>
      <c r="AJ39" t="s">
        <v>186</v>
      </c>
      <c r="AL39" t="s">
        <v>906</v>
      </c>
      <c r="AM39" t="s">
        <v>1122</v>
      </c>
      <c r="AN39" t="s">
        <v>1123</v>
      </c>
      <c r="AO39">
        <v>0.9984509385163659</v>
      </c>
      <c r="AP39">
        <v>28.399460533292565</v>
      </c>
    </row>
    <row r="40" spans="2:42">
      <c r="B40" t="s">
        <v>182</v>
      </c>
      <c r="C40" t="s">
        <v>243</v>
      </c>
      <c r="D40" t="s">
        <v>244</v>
      </c>
      <c r="E40" t="s">
        <v>10</v>
      </c>
      <c r="F40" t="s">
        <v>21</v>
      </c>
      <c r="G40" t="s">
        <v>185</v>
      </c>
      <c r="H40" t="s">
        <v>186</v>
      </c>
      <c r="J40" t="s">
        <v>243</v>
      </c>
      <c r="K40" t="s">
        <v>441</v>
      </c>
      <c r="L40">
        <v>0.97800370256280567</v>
      </c>
      <c r="M40">
        <v>0.17661341405287839</v>
      </c>
      <c r="O40" t="s">
        <v>525</v>
      </c>
      <c r="P40" t="s">
        <v>586</v>
      </c>
      <c r="Q40" t="s">
        <v>587</v>
      </c>
      <c r="R40" t="s">
        <v>10</v>
      </c>
      <c r="S40" t="s">
        <v>21</v>
      </c>
      <c r="T40" t="s">
        <v>528</v>
      </c>
      <c r="U40" t="s">
        <v>529</v>
      </c>
      <c r="V40" t="s">
        <v>186</v>
      </c>
      <c r="X40" t="s">
        <v>586</v>
      </c>
      <c r="Y40" t="s">
        <v>470</v>
      </c>
      <c r="Z40" t="s">
        <v>783</v>
      </c>
      <c r="AA40">
        <v>0.95897792255743886</v>
      </c>
      <c r="AB40">
        <v>752.07141978028699</v>
      </c>
      <c r="AD40" t="s">
        <v>525</v>
      </c>
      <c r="AE40" t="s">
        <v>908</v>
      </c>
      <c r="AF40" t="s">
        <v>909</v>
      </c>
      <c r="AG40" t="s">
        <v>10</v>
      </c>
      <c r="AH40" t="s">
        <v>21</v>
      </c>
      <c r="AI40" t="s">
        <v>529</v>
      </c>
      <c r="AJ40" t="s">
        <v>186</v>
      </c>
      <c r="AL40" t="s">
        <v>908</v>
      </c>
      <c r="AM40" t="s">
        <v>1124</v>
      </c>
      <c r="AN40" t="s">
        <v>1125</v>
      </c>
      <c r="AO40">
        <v>0.98006070890733299</v>
      </c>
      <c r="AP40">
        <v>365.55367003222818</v>
      </c>
    </row>
    <row r="41" spans="2:42">
      <c r="B41" t="s">
        <v>182</v>
      </c>
      <c r="C41" t="s">
        <v>245</v>
      </c>
      <c r="D41" t="s">
        <v>246</v>
      </c>
      <c r="E41" t="s">
        <v>10</v>
      </c>
      <c r="F41" t="s">
        <v>21</v>
      </c>
      <c r="G41" t="s">
        <v>185</v>
      </c>
      <c r="H41" t="s">
        <v>186</v>
      </c>
      <c r="J41" t="s">
        <v>245</v>
      </c>
      <c r="K41" t="s">
        <v>442</v>
      </c>
      <c r="L41">
        <v>0.65043727812212881</v>
      </c>
      <c r="M41">
        <v>0.16589894680596981</v>
      </c>
      <c r="O41" t="s">
        <v>525</v>
      </c>
      <c r="P41" t="s">
        <v>588</v>
      </c>
      <c r="Q41" t="s">
        <v>589</v>
      </c>
      <c r="R41" t="s">
        <v>10</v>
      </c>
      <c r="S41" t="s">
        <v>21</v>
      </c>
      <c r="T41" t="s">
        <v>528</v>
      </c>
      <c r="U41" t="s">
        <v>529</v>
      </c>
      <c r="V41" t="s">
        <v>186</v>
      </c>
      <c r="X41" t="s">
        <v>588</v>
      </c>
      <c r="Y41" t="s">
        <v>472</v>
      </c>
      <c r="Z41" t="s">
        <v>784</v>
      </c>
      <c r="AA41">
        <v>0.98855291680110735</v>
      </c>
      <c r="AB41">
        <v>209.86319197969846</v>
      </c>
      <c r="AD41" t="s">
        <v>525</v>
      </c>
      <c r="AE41" t="s">
        <v>910</v>
      </c>
      <c r="AF41" t="s">
        <v>911</v>
      </c>
      <c r="AG41" t="s">
        <v>10</v>
      </c>
      <c r="AH41" t="s">
        <v>21</v>
      </c>
      <c r="AI41" t="s">
        <v>529</v>
      </c>
      <c r="AJ41" t="s">
        <v>186</v>
      </c>
      <c r="AL41" t="s">
        <v>910</v>
      </c>
      <c r="AM41" t="s">
        <v>1126</v>
      </c>
      <c r="AN41" t="s">
        <v>775</v>
      </c>
      <c r="AO41">
        <v>0.98466012410167592</v>
      </c>
      <c r="AP41">
        <v>281.23105813594128</v>
      </c>
    </row>
    <row r="42" spans="2:42">
      <c r="B42" t="s">
        <v>182</v>
      </c>
      <c r="C42" t="s">
        <v>247</v>
      </c>
      <c r="D42" t="s">
        <v>248</v>
      </c>
      <c r="E42" t="s">
        <v>10</v>
      </c>
      <c r="F42" t="s">
        <v>21</v>
      </c>
      <c r="G42" t="s">
        <v>185</v>
      </c>
      <c r="H42" t="s">
        <v>186</v>
      </c>
      <c r="J42" t="s">
        <v>247</v>
      </c>
      <c r="K42" t="s">
        <v>443</v>
      </c>
      <c r="L42">
        <v>0.66796668055042685</v>
      </c>
      <c r="M42">
        <v>0.19599190658024079</v>
      </c>
      <c r="O42" t="s">
        <v>525</v>
      </c>
      <c r="P42" t="s">
        <v>590</v>
      </c>
      <c r="Q42" t="s">
        <v>591</v>
      </c>
      <c r="R42" t="s">
        <v>10</v>
      </c>
      <c r="S42" t="s">
        <v>21</v>
      </c>
      <c r="T42" t="s">
        <v>528</v>
      </c>
      <c r="U42" t="s">
        <v>529</v>
      </c>
      <c r="V42" t="s">
        <v>186</v>
      </c>
      <c r="X42" t="s">
        <v>590</v>
      </c>
      <c r="Y42" t="s">
        <v>464</v>
      </c>
      <c r="Z42" t="s">
        <v>785</v>
      </c>
      <c r="AA42">
        <v>0.99454117749696203</v>
      </c>
      <c r="AB42">
        <v>100.07841255569603</v>
      </c>
      <c r="AD42" t="s">
        <v>525</v>
      </c>
      <c r="AE42" t="s">
        <v>912</v>
      </c>
      <c r="AF42" t="s">
        <v>913</v>
      </c>
      <c r="AG42" t="s">
        <v>10</v>
      </c>
      <c r="AH42" t="s">
        <v>21</v>
      </c>
      <c r="AI42" t="s">
        <v>529</v>
      </c>
      <c r="AJ42" t="s">
        <v>186</v>
      </c>
      <c r="AL42" t="s">
        <v>912</v>
      </c>
      <c r="AM42" t="s">
        <v>1127</v>
      </c>
      <c r="AN42" t="s">
        <v>1128</v>
      </c>
      <c r="AO42">
        <v>0.99652541521502624</v>
      </c>
      <c r="AP42">
        <v>63.700721057851709</v>
      </c>
    </row>
    <row r="43" spans="2:42">
      <c r="B43" t="s">
        <v>182</v>
      </c>
      <c r="C43" t="s">
        <v>249</v>
      </c>
      <c r="D43" t="s">
        <v>250</v>
      </c>
      <c r="E43" t="s">
        <v>10</v>
      </c>
      <c r="F43" t="s">
        <v>21</v>
      </c>
      <c r="G43" t="s">
        <v>185</v>
      </c>
      <c r="H43" t="s">
        <v>186</v>
      </c>
      <c r="J43" t="s">
        <v>249</v>
      </c>
      <c r="K43" t="s">
        <v>444</v>
      </c>
      <c r="L43">
        <v>1.4300966625006171</v>
      </c>
      <c r="M43">
        <v>0.19231945309316181</v>
      </c>
      <c r="O43" t="s">
        <v>525</v>
      </c>
      <c r="P43" t="s">
        <v>592</v>
      </c>
      <c r="Q43" t="s">
        <v>593</v>
      </c>
      <c r="R43" t="s">
        <v>10</v>
      </c>
      <c r="S43" t="s">
        <v>21</v>
      </c>
      <c r="T43" t="s">
        <v>528</v>
      </c>
      <c r="U43" t="s">
        <v>529</v>
      </c>
      <c r="V43" t="s">
        <v>186</v>
      </c>
      <c r="X43" t="s">
        <v>592</v>
      </c>
      <c r="Y43" t="s">
        <v>422</v>
      </c>
      <c r="Z43" t="s">
        <v>786</v>
      </c>
      <c r="AA43">
        <v>0.95506493804511994</v>
      </c>
      <c r="AB43">
        <v>823.80946917280062</v>
      </c>
      <c r="AD43" t="s">
        <v>525</v>
      </c>
      <c r="AE43" t="s">
        <v>914</v>
      </c>
      <c r="AF43" t="s">
        <v>915</v>
      </c>
      <c r="AG43" t="s">
        <v>10</v>
      </c>
      <c r="AH43" t="s">
        <v>21</v>
      </c>
      <c r="AI43" t="s">
        <v>529</v>
      </c>
      <c r="AJ43" t="s">
        <v>186</v>
      </c>
      <c r="AL43" t="s">
        <v>914</v>
      </c>
      <c r="AM43" t="s">
        <v>1129</v>
      </c>
      <c r="AN43" t="s">
        <v>1130</v>
      </c>
      <c r="AO43">
        <v>0.99722331565104683</v>
      </c>
      <c r="AP43">
        <v>50.905879730808579</v>
      </c>
    </row>
    <row r="44" spans="2:42">
      <c r="B44" t="s">
        <v>182</v>
      </c>
      <c r="C44" t="s">
        <v>251</v>
      </c>
      <c r="D44" t="s">
        <v>252</v>
      </c>
      <c r="E44" t="s">
        <v>10</v>
      </c>
      <c r="F44" t="s">
        <v>21</v>
      </c>
      <c r="G44" t="s">
        <v>185</v>
      </c>
      <c r="H44" t="s">
        <v>186</v>
      </c>
      <c r="J44" t="s">
        <v>251</v>
      </c>
      <c r="K44" t="s">
        <v>445</v>
      </c>
      <c r="L44">
        <v>3.1353356901312424</v>
      </c>
      <c r="M44">
        <v>0.19895617490752929</v>
      </c>
      <c r="O44" t="s">
        <v>525</v>
      </c>
      <c r="P44" t="s">
        <v>594</v>
      </c>
      <c r="Q44" t="s">
        <v>595</v>
      </c>
      <c r="R44" t="s">
        <v>10</v>
      </c>
      <c r="S44" t="s">
        <v>21</v>
      </c>
      <c r="T44" t="s">
        <v>528</v>
      </c>
      <c r="U44" t="s">
        <v>529</v>
      </c>
      <c r="V44" t="s">
        <v>186</v>
      </c>
      <c r="X44" t="s">
        <v>594</v>
      </c>
      <c r="Y44" t="s">
        <v>490</v>
      </c>
      <c r="Z44" t="s">
        <v>787</v>
      </c>
      <c r="AA44">
        <v>0.96393225468498434</v>
      </c>
      <c r="AB44">
        <v>661.24199744195369</v>
      </c>
      <c r="AD44" t="s">
        <v>525</v>
      </c>
      <c r="AE44" t="s">
        <v>916</v>
      </c>
      <c r="AF44" t="s">
        <v>917</v>
      </c>
      <c r="AG44" t="s">
        <v>10</v>
      </c>
      <c r="AH44" t="s">
        <v>21</v>
      </c>
      <c r="AI44" t="s">
        <v>529</v>
      </c>
      <c r="AJ44" t="s">
        <v>186</v>
      </c>
      <c r="AL44" t="s">
        <v>916</v>
      </c>
      <c r="AM44" t="s">
        <v>1131</v>
      </c>
      <c r="AN44" t="s">
        <v>1132</v>
      </c>
      <c r="AO44">
        <v>0.99639348140140815</v>
      </c>
      <c r="AP44">
        <v>66.119507640850813</v>
      </c>
    </row>
    <row r="45" spans="2:42">
      <c r="B45" t="s">
        <v>182</v>
      </c>
      <c r="C45" t="s">
        <v>253</v>
      </c>
      <c r="D45" t="s">
        <v>254</v>
      </c>
      <c r="E45" t="s">
        <v>10</v>
      </c>
      <c r="F45" t="s">
        <v>21</v>
      </c>
      <c r="G45" t="s">
        <v>185</v>
      </c>
      <c r="H45" t="s">
        <v>186</v>
      </c>
      <c r="J45" t="s">
        <v>253</v>
      </c>
      <c r="K45" t="s">
        <v>446</v>
      </c>
      <c r="L45">
        <v>2.4707505561134138</v>
      </c>
      <c r="M45">
        <v>0.1987750557902366</v>
      </c>
      <c r="O45" t="s">
        <v>525</v>
      </c>
      <c r="P45" t="s">
        <v>596</v>
      </c>
      <c r="Q45" t="s">
        <v>597</v>
      </c>
      <c r="R45" t="s">
        <v>10</v>
      </c>
      <c r="S45" t="s">
        <v>21</v>
      </c>
      <c r="T45" t="s">
        <v>528</v>
      </c>
      <c r="U45" t="s">
        <v>529</v>
      </c>
      <c r="V45" t="s">
        <v>186</v>
      </c>
      <c r="X45" t="s">
        <v>596</v>
      </c>
      <c r="Y45" t="s">
        <v>467</v>
      </c>
      <c r="Z45" t="s">
        <v>788</v>
      </c>
      <c r="AA45">
        <v>0.99365476075416714</v>
      </c>
      <c r="AB45">
        <v>116.32938617360176</v>
      </c>
      <c r="AD45" t="s">
        <v>525</v>
      </c>
      <c r="AE45" t="s">
        <v>918</v>
      </c>
      <c r="AF45" t="s">
        <v>919</v>
      </c>
      <c r="AG45" t="s">
        <v>10</v>
      </c>
      <c r="AH45" t="s">
        <v>21</v>
      </c>
      <c r="AI45" t="s">
        <v>529</v>
      </c>
      <c r="AJ45" t="s">
        <v>186</v>
      </c>
      <c r="AL45" t="s">
        <v>918</v>
      </c>
      <c r="AM45" t="s">
        <v>1133</v>
      </c>
      <c r="AN45" t="s">
        <v>1134</v>
      </c>
      <c r="AO45">
        <v>0.98094451043102215</v>
      </c>
      <c r="AP45">
        <v>349.35064209792745</v>
      </c>
    </row>
    <row r="46" spans="2:42">
      <c r="B46" t="s">
        <v>182</v>
      </c>
      <c r="C46" t="s">
        <v>255</v>
      </c>
      <c r="D46" t="s">
        <v>256</v>
      </c>
      <c r="E46" t="s">
        <v>10</v>
      </c>
      <c r="F46" t="s">
        <v>21</v>
      </c>
      <c r="G46" t="s">
        <v>185</v>
      </c>
      <c r="H46" t="s">
        <v>186</v>
      </c>
      <c r="J46" t="s">
        <v>255</v>
      </c>
      <c r="K46" t="s">
        <v>447</v>
      </c>
      <c r="L46">
        <v>8.5792544574722314</v>
      </c>
      <c r="M46">
        <v>0.2044818716678278</v>
      </c>
      <c r="O46" t="s">
        <v>525</v>
      </c>
      <c r="P46" t="s">
        <v>598</v>
      </c>
      <c r="Q46" t="s">
        <v>599</v>
      </c>
      <c r="R46" t="s">
        <v>10</v>
      </c>
      <c r="S46" t="s">
        <v>21</v>
      </c>
      <c r="T46" t="s">
        <v>528</v>
      </c>
      <c r="U46" t="s">
        <v>529</v>
      </c>
      <c r="V46" t="s">
        <v>186</v>
      </c>
      <c r="X46" t="s">
        <v>598</v>
      </c>
      <c r="Y46" t="s">
        <v>449</v>
      </c>
      <c r="Z46" t="s">
        <v>789</v>
      </c>
      <c r="AA46">
        <v>0.99826591019542033</v>
      </c>
      <c r="AB46">
        <v>31.791646417293325</v>
      </c>
      <c r="AD46" t="s">
        <v>525</v>
      </c>
      <c r="AE46" t="s">
        <v>920</v>
      </c>
      <c r="AF46" t="s">
        <v>921</v>
      </c>
      <c r="AG46" t="s">
        <v>10</v>
      </c>
      <c r="AH46" t="s">
        <v>21</v>
      </c>
      <c r="AI46" t="s">
        <v>529</v>
      </c>
      <c r="AJ46" t="s">
        <v>186</v>
      </c>
      <c r="AL46" t="s">
        <v>920</v>
      </c>
      <c r="AM46" t="s">
        <v>1135</v>
      </c>
      <c r="AN46" t="s">
        <v>1136</v>
      </c>
      <c r="AO46">
        <v>0.98469284280700164</v>
      </c>
      <c r="AP46">
        <v>280.6312152049702</v>
      </c>
    </row>
    <row r="47" spans="2:42">
      <c r="B47" t="s">
        <v>182</v>
      </c>
      <c r="C47" t="s">
        <v>257</v>
      </c>
      <c r="D47" t="s">
        <v>258</v>
      </c>
      <c r="E47" t="s">
        <v>10</v>
      </c>
      <c r="F47" t="s">
        <v>21</v>
      </c>
      <c r="G47" t="s">
        <v>185</v>
      </c>
      <c r="H47" t="s">
        <v>186</v>
      </c>
      <c r="J47" t="s">
        <v>257</v>
      </c>
      <c r="K47" t="s">
        <v>448</v>
      </c>
      <c r="L47">
        <v>44.895492196635551</v>
      </c>
      <c r="M47">
        <v>0.21933418191021101</v>
      </c>
      <c r="O47" t="s">
        <v>525</v>
      </c>
      <c r="P47" t="s">
        <v>600</v>
      </c>
      <c r="Q47" t="s">
        <v>601</v>
      </c>
      <c r="R47" t="s">
        <v>10</v>
      </c>
      <c r="S47" t="s">
        <v>21</v>
      </c>
      <c r="T47" t="s">
        <v>528</v>
      </c>
      <c r="U47" t="s">
        <v>529</v>
      </c>
      <c r="V47" t="s">
        <v>186</v>
      </c>
      <c r="X47" t="s">
        <v>600</v>
      </c>
      <c r="Y47" t="s">
        <v>448</v>
      </c>
      <c r="Z47" t="s">
        <v>790</v>
      </c>
      <c r="AA47">
        <v>0.99628566070868041</v>
      </c>
      <c r="AB47">
        <v>68.096220340858594</v>
      </c>
      <c r="AD47" t="s">
        <v>525</v>
      </c>
      <c r="AE47" t="s">
        <v>922</v>
      </c>
      <c r="AF47" t="s">
        <v>923</v>
      </c>
      <c r="AG47" t="s">
        <v>10</v>
      </c>
      <c r="AH47" t="s">
        <v>21</v>
      </c>
      <c r="AI47" t="s">
        <v>529</v>
      </c>
      <c r="AJ47" t="s">
        <v>186</v>
      </c>
      <c r="AL47" t="s">
        <v>922</v>
      </c>
      <c r="AM47" t="s">
        <v>1137</v>
      </c>
      <c r="AN47" t="s">
        <v>1138</v>
      </c>
      <c r="AO47">
        <v>0.99776599925859222</v>
      </c>
      <c r="AP47">
        <v>40.956680259142352</v>
      </c>
    </row>
    <row r="48" spans="2:42">
      <c r="B48" t="s">
        <v>182</v>
      </c>
      <c r="C48" t="s">
        <v>259</v>
      </c>
      <c r="D48" t="s">
        <v>260</v>
      </c>
      <c r="E48" t="s">
        <v>10</v>
      </c>
      <c r="F48" t="s">
        <v>21</v>
      </c>
      <c r="G48" t="s">
        <v>185</v>
      </c>
      <c r="H48" t="s">
        <v>186</v>
      </c>
      <c r="J48" t="s">
        <v>259</v>
      </c>
      <c r="K48" t="s">
        <v>449</v>
      </c>
      <c r="L48">
        <v>1.4245899341941706</v>
      </c>
      <c r="M48">
        <v>0.2067806685793456</v>
      </c>
      <c r="O48" t="s">
        <v>525</v>
      </c>
      <c r="P48" t="s">
        <v>602</v>
      </c>
      <c r="Q48" t="s">
        <v>603</v>
      </c>
      <c r="R48" t="s">
        <v>10</v>
      </c>
      <c r="S48" t="s">
        <v>21</v>
      </c>
      <c r="T48" t="s">
        <v>528</v>
      </c>
      <c r="U48" t="s">
        <v>529</v>
      </c>
      <c r="V48" t="s">
        <v>186</v>
      </c>
      <c r="X48" t="s">
        <v>602</v>
      </c>
      <c r="Y48" t="s">
        <v>456</v>
      </c>
      <c r="Z48" t="s">
        <v>791</v>
      </c>
      <c r="AA48">
        <v>0.99262684580191807</v>
      </c>
      <c r="AB48">
        <v>135.17449363150283</v>
      </c>
      <c r="AD48" t="s">
        <v>525</v>
      </c>
      <c r="AE48" t="s">
        <v>924</v>
      </c>
      <c r="AF48" t="s">
        <v>925</v>
      </c>
      <c r="AG48" t="s">
        <v>10</v>
      </c>
      <c r="AH48" t="s">
        <v>21</v>
      </c>
      <c r="AI48" t="s">
        <v>529</v>
      </c>
      <c r="AJ48" t="s">
        <v>186</v>
      </c>
      <c r="AL48" t="s">
        <v>924</v>
      </c>
      <c r="AM48" t="s">
        <v>1139</v>
      </c>
      <c r="AN48" t="s">
        <v>1140</v>
      </c>
      <c r="AO48">
        <v>0.96560193320259768</v>
      </c>
      <c r="AP48">
        <v>630.6312246190422</v>
      </c>
    </row>
    <row r="49" spans="2:42">
      <c r="B49" t="s">
        <v>182</v>
      </c>
      <c r="C49" t="s">
        <v>261</v>
      </c>
      <c r="D49" t="s">
        <v>262</v>
      </c>
      <c r="E49" t="s">
        <v>10</v>
      </c>
      <c r="F49" t="s">
        <v>21</v>
      </c>
      <c r="G49" t="s">
        <v>185</v>
      </c>
      <c r="H49" t="s">
        <v>186</v>
      </c>
      <c r="J49" t="s">
        <v>261</v>
      </c>
      <c r="K49" t="s">
        <v>450</v>
      </c>
      <c r="L49">
        <v>4.7163451162260053</v>
      </c>
      <c r="M49">
        <v>0.21537408503787181</v>
      </c>
      <c r="O49" t="s">
        <v>525</v>
      </c>
      <c r="P49" t="s">
        <v>604</v>
      </c>
      <c r="Q49" t="s">
        <v>605</v>
      </c>
      <c r="R49" t="s">
        <v>10</v>
      </c>
      <c r="S49" t="s">
        <v>21</v>
      </c>
      <c r="T49" t="s">
        <v>528</v>
      </c>
      <c r="U49" t="s">
        <v>529</v>
      </c>
      <c r="V49" t="s">
        <v>186</v>
      </c>
      <c r="X49" t="s">
        <v>604</v>
      </c>
      <c r="Y49" t="s">
        <v>431</v>
      </c>
      <c r="Z49" t="s">
        <v>792</v>
      </c>
      <c r="AA49">
        <v>0.97477024718885008</v>
      </c>
      <c r="AB49">
        <v>462.54546820441504</v>
      </c>
      <c r="AD49" t="s">
        <v>525</v>
      </c>
      <c r="AE49" t="s">
        <v>926</v>
      </c>
      <c r="AF49" t="s">
        <v>927</v>
      </c>
      <c r="AG49" t="s">
        <v>10</v>
      </c>
      <c r="AH49" t="s">
        <v>21</v>
      </c>
      <c r="AI49" t="s">
        <v>529</v>
      </c>
      <c r="AJ49" t="s">
        <v>186</v>
      </c>
      <c r="AL49" t="s">
        <v>926</v>
      </c>
      <c r="AM49" t="s">
        <v>1141</v>
      </c>
      <c r="AN49" t="s">
        <v>800</v>
      </c>
      <c r="AO49">
        <v>0.99387137663855496</v>
      </c>
      <c r="AP49">
        <v>112.35809495982646</v>
      </c>
    </row>
    <row r="50" spans="2:42">
      <c r="B50" t="s">
        <v>182</v>
      </c>
      <c r="C50" t="s">
        <v>263</v>
      </c>
      <c r="D50" t="s">
        <v>264</v>
      </c>
      <c r="E50" t="s">
        <v>10</v>
      </c>
      <c r="F50" t="s">
        <v>21</v>
      </c>
      <c r="G50" t="s">
        <v>185</v>
      </c>
      <c r="H50" t="s">
        <v>186</v>
      </c>
      <c r="J50" t="s">
        <v>263</v>
      </c>
      <c r="K50" t="s">
        <v>451</v>
      </c>
      <c r="L50">
        <v>3.920179555054133</v>
      </c>
      <c r="M50">
        <v>0.2136963462531335</v>
      </c>
      <c r="O50" t="s">
        <v>525</v>
      </c>
      <c r="P50" t="s">
        <v>606</v>
      </c>
      <c r="Q50" t="s">
        <v>607</v>
      </c>
      <c r="R50" t="s">
        <v>10</v>
      </c>
      <c r="S50" t="s">
        <v>21</v>
      </c>
      <c r="T50" t="s">
        <v>528</v>
      </c>
      <c r="U50" t="s">
        <v>529</v>
      </c>
      <c r="V50" t="s">
        <v>186</v>
      </c>
      <c r="X50" t="s">
        <v>606</v>
      </c>
      <c r="Y50" t="s">
        <v>430</v>
      </c>
      <c r="Z50" t="s">
        <v>776</v>
      </c>
      <c r="AA50">
        <v>0.95921375905350736</v>
      </c>
      <c r="AB50">
        <v>747.74775068569807</v>
      </c>
      <c r="AD50" t="s">
        <v>525</v>
      </c>
      <c r="AE50" t="s">
        <v>928</v>
      </c>
      <c r="AF50" t="s">
        <v>929</v>
      </c>
      <c r="AG50" t="s">
        <v>10</v>
      </c>
      <c r="AH50" t="s">
        <v>21</v>
      </c>
      <c r="AI50" t="s">
        <v>529</v>
      </c>
      <c r="AJ50" t="s">
        <v>186</v>
      </c>
      <c r="AL50" t="s">
        <v>928</v>
      </c>
      <c r="AM50" t="s">
        <v>1142</v>
      </c>
      <c r="AN50" t="s">
        <v>1143</v>
      </c>
      <c r="AO50">
        <v>0.97854976903117219</v>
      </c>
      <c r="AP50">
        <v>393.25423442850951</v>
      </c>
    </row>
    <row r="51" spans="2:42">
      <c r="B51" t="s">
        <v>182</v>
      </c>
      <c r="C51" t="s">
        <v>265</v>
      </c>
      <c r="D51" t="s">
        <v>266</v>
      </c>
      <c r="E51" t="s">
        <v>10</v>
      </c>
      <c r="F51" t="s">
        <v>21</v>
      </c>
      <c r="G51" t="s">
        <v>185</v>
      </c>
      <c r="H51" t="s">
        <v>186</v>
      </c>
      <c r="J51" t="s">
        <v>265</v>
      </c>
      <c r="K51" t="s">
        <v>452</v>
      </c>
      <c r="L51">
        <v>10.880491685968098</v>
      </c>
      <c r="M51">
        <v>0.21840839695682779</v>
      </c>
      <c r="O51" t="s">
        <v>525</v>
      </c>
      <c r="P51" t="s">
        <v>608</v>
      </c>
      <c r="Q51" t="s">
        <v>609</v>
      </c>
      <c r="R51" t="s">
        <v>10</v>
      </c>
      <c r="S51" t="s">
        <v>21</v>
      </c>
      <c r="T51" t="s">
        <v>528</v>
      </c>
      <c r="U51" t="s">
        <v>529</v>
      </c>
      <c r="V51" t="s">
        <v>186</v>
      </c>
      <c r="X51" t="s">
        <v>608</v>
      </c>
      <c r="Y51" t="s">
        <v>416</v>
      </c>
      <c r="Z51" t="s">
        <v>777</v>
      </c>
      <c r="AA51">
        <v>0.99261769566200453</v>
      </c>
      <c r="AB51">
        <v>135.34224619658389</v>
      </c>
      <c r="AD51" t="s">
        <v>525</v>
      </c>
      <c r="AE51" t="s">
        <v>930</v>
      </c>
      <c r="AF51" t="s">
        <v>931</v>
      </c>
      <c r="AG51" t="s">
        <v>10</v>
      </c>
      <c r="AH51" t="s">
        <v>21</v>
      </c>
      <c r="AI51" t="s">
        <v>529</v>
      </c>
      <c r="AJ51" t="s">
        <v>186</v>
      </c>
      <c r="AL51" t="s">
        <v>930</v>
      </c>
      <c r="AM51" t="s">
        <v>1144</v>
      </c>
      <c r="AN51" t="s">
        <v>1145</v>
      </c>
      <c r="AO51">
        <v>0.998715390271396</v>
      </c>
      <c r="AP51">
        <v>23.551178357739548</v>
      </c>
    </row>
    <row r="52" spans="2:42">
      <c r="B52" t="s">
        <v>182</v>
      </c>
      <c r="C52" t="s">
        <v>267</v>
      </c>
      <c r="D52" t="s">
        <v>268</v>
      </c>
      <c r="E52" t="s">
        <v>10</v>
      </c>
      <c r="F52" t="s">
        <v>21</v>
      </c>
      <c r="G52" t="s">
        <v>185</v>
      </c>
      <c r="H52" t="s">
        <v>186</v>
      </c>
      <c r="J52" t="s">
        <v>267</v>
      </c>
      <c r="K52" t="s">
        <v>453</v>
      </c>
      <c r="L52">
        <v>3.1107985183707929</v>
      </c>
      <c r="M52">
        <v>0.20559328549830599</v>
      </c>
      <c r="O52" t="s">
        <v>525</v>
      </c>
      <c r="P52" t="s">
        <v>610</v>
      </c>
      <c r="Q52" t="s">
        <v>611</v>
      </c>
      <c r="R52" t="s">
        <v>10</v>
      </c>
      <c r="S52" t="s">
        <v>21</v>
      </c>
      <c r="T52" t="s">
        <v>528</v>
      </c>
      <c r="U52" t="s">
        <v>529</v>
      </c>
      <c r="V52" t="s">
        <v>186</v>
      </c>
      <c r="X52" t="s">
        <v>610</v>
      </c>
      <c r="Y52" t="s">
        <v>486</v>
      </c>
      <c r="Z52" t="s">
        <v>793</v>
      </c>
      <c r="AA52">
        <v>0.97244084583000912</v>
      </c>
      <c r="AB52">
        <v>505.25115978316552</v>
      </c>
      <c r="AD52" t="s">
        <v>525</v>
      </c>
      <c r="AE52" t="s">
        <v>932</v>
      </c>
      <c r="AF52" t="s">
        <v>933</v>
      </c>
      <c r="AG52" t="s">
        <v>10</v>
      </c>
      <c r="AH52" t="s">
        <v>21</v>
      </c>
      <c r="AI52" t="s">
        <v>529</v>
      </c>
      <c r="AJ52" t="s">
        <v>186</v>
      </c>
      <c r="AL52" t="s">
        <v>932</v>
      </c>
      <c r="AM52" t="s">
        <v>1146</v>
      </c>
      <c r="AN52" t="s">
        <v>1147</v>
      </c>
      <c r="AO52">
        <v>0.98425911866118954</v>
      </c>
      <c r="AP52">
        <v>288.58282454485771</v>
      </c>
    </row>
    <row r="53" spans="2:42">
      <c r="B53" t="s">
        <v>182</v>
      </c>
      <c r="C53" t="s">
        <v>269</v>
      </c>
      <c r="D53" t="s">
        <v>270</v>
      </c>
      <c r="E53" t="s">
        <v>10</v>
      </c>
      <c r="F53" t="s">
        <v>21</v>
      </c>
      <c r="G53" t="s">
        <v>185</v>
      </c>
      <c r="H53" t="s">
        <v>186</v>
      </c>
      <c r="J53" t="s">
        <v>269</v>
      </c>
      <c r="K53" t="s">
        <v>454</v>
      </c>
      <c r="L53">
        <v>1.769742831871786</v>
      </c>
      <c r="M53">
        <v>0.19630087998728901</v>
      </c>
      <c r="O53" t="s">
        <v>525</v>
      </c>
      <c r="P53" t="s">
        <v>612</v>
      </c>
      <c r="Q53" t="s">
        <v>613</v>
      </c>
      <c r="R53" t="s">
        <v>10</v>
      </c>
      <c r="S53" t="s">
        <v>21</v>
      </c>
      <c r="T53" t="s">
        <v>528</v>
      </c>
      <c r="U53" t="s">
        <v>529</v>
      </c>
      <c r="V53" t="s">
        <v>186</v>
      </c>
      <c r="X53" t="s">
        <v>612</v>
      </c>
      <c r="Y53" t="s">
        <v>520</v>
      </c>
      <c r="Z53" t="s">
        <v>782</v>
      </c>
      <c r="AA53">
        <v>0.97275952528415222</v>
      </c>
      <c r="AB53">
        <v>499.40870312387631</v>
      </c>
      <c r="AD53" t="s">
        <v>525</v>
      </c>
      <c r="AE53" t="s">
        <v>934</v>
      </c>
      <c r="AF53" t="s">
        <v>935</v>
      </c>
      <c r="AG53" t="s">
        <v>10</v>
      </c>
      <c r="AH53" t="s">
        <v>21</v>
      </c>
      <c r="AI53" t="s">
        <v>529</v>
      </c>
      <c r="AJ53" t="s">
        <v>186</v>
      </c>
      <c r="AL53" t="s">
        <v>934</v>
      </c>
      <c r="AM53" t="s">
        <v>1148</v>
      </c>
      <c r="AN53" t="s">
        <v>841</v>
      </c>
      <c r="AO53">
        <v>0.96962677408281828</v>
      </c>
      <c r="AP53">
        <v>556.84247514833135</v>
      </c>
    </row>
    <row r="54" spans="2:42">
      <c r="B54" t="s">
        <v>182</v>
      </c>
      <c r="C54" t="s">
        <v>271</v>
      </c>
      <c r="D54" t="s">
        <v>272</v>
      </c>
      <c r="E54" t="s">
        <v>10</v>
      </c>
      <c r="F54" t="s">
        <v>21</v>
      </c>
      <c r="G54" t="s">
        <v>185</v>
      </c>
      <c r="H54" t="s">
        <v>186</v>
      </c>
      <c r="J54" t="s">
        <v>271</v>
      </c>
      <c r="K54" t="s">
        <v>455</v>
      </c>
      <c r="L54">
        <v>3.2061459875367535</v>
      </c>
      <c r="M54">
        <v>0.1808164048320523</v>
      </c>
      <c r="O54" t="s">
        <v>525</v>
      </c>
      <c r="P54" t="s">
        <v>614</v>
      </c>
      <c r="Q54" t="s">
        <v>615</v>
      </c>
      <c r="R54" t="s">
        <v>10</v>
      </c>
      <c r="S54" t="s">
        <v>21</v>
      </c>
      <c r="T54" t="s">
        <v>528</v>
      </c>
      <c r="U54" t="s">
        <v>529</v>
      </c>
      <c r="V54" t="s">
        <v>186</v>
      </c>
      <c r="X54" t="s">
        <v>614</v>
      </c>
      <c r="Y54" t="s">
        <v>460</v>
      </c>
      <c r="Z54" t="s">
        <v>794</v>
      </c>
      <c r="AA54">
        <v>0.98308268121670339</v>
      </c>
      <c r="AB54">
        <v>310.15084436043838</v>
      </c>
      <c r="AD54" t="s">
        <v>525</v>
      </c>
      <c r="AE54" t="s">
        <v>936</v>
      </c>
      <c r="AF54" t="s">
        <v>937</v>
      </c>
      <c r="AG54" t="s">
        <v>10</v>
      </c>
      <c r="AH54" t="s">
        <v>21</v>
      </c>
      <c r="AI54" t="s">
        <v>529</v>
      </c>
      <c r="AJ54" t="s">
        <v>186</v>
      </c>
      <c r="AL54" t="s">
        <v>936</v>
      </c>
      <c r="AM54" t="s">
        <v>1149</v>
      </c>
      <c r="AN54" t="s">
        <v>1150</v>
      </c>
      <c r="AO54">
        <v>0.99732254295963751</v>
      </c>
      <c r="AP54">
        <v>49.086712406645987</v>
      </c>
    </row>
    <row r="55" spans="2:42">
      <c r="B55" t="s">
        <v>182</v>
      </c>
      <c r="C55" t="s">
        <v>273</v>
      </c>
      <c r="D55" t="s">
        <v>274</v>
      </c>
      <c r="E55" t="s">
        <v>10</v>
      </c>
      <c r="F55" t="s">
        <v>21</v>
      </c>
      <c r="G55" t="s">
        <v>185</v>
      </c>
      <c r="H55" t="s">
        <v>186</v>
      </c>
      <c r="J55" t="s">
        <v>273</v>
      </c>
      <c r="K55" t="s">
        <v>456</v>
      </c>
      <c r="L55">
        <v>3.0281470323682238</v>
      </c>
      <c r="M55">
        <v>0.18042393637733861</v>
      </c>
      <c r="O55" t="s">
        <v>525</v>
      </c>
      <c r="P55" t="s">
        <v>616</v>
      </c>
      <c r="Q55" t="s">
        <v>617</v>
      </c>
      <c r="R55" t="s">
        <v>10</v>
      </c>
      <c r="S55" t="s">
        <v>21</v>
      </c>
      <c r="T55" t="s">
        <v>528</v>
      </c>
      <c r="U55" t="s">
        <v>529</v>
      </c>
      <c r="V55" t="s">
        <v>186</v>
      </c>
      <c r="X55" t="s">
        <v>616</v>
      </c>
      <c r="Y55" t="s">
        <v>452</v>
      </c>
      <c r="Z55" t="s">
        <v>795</v>
      </c>
      <c r="AA55">
        <v>0.98033726912694175</v>
      </c>
      <c r="AB55">
        <v>360.48339933940122</v>
      </c>
      <c r="AD55" t="s">
        <v>525</v>
      </c>
      <c r="AE55" t="s">
        <v>938</v>
      </c>
      <c r="AF55" t="s">
        <v>939</v>
      </c>
      <c r="AG55" t="s">
        <v>10</v>
      </c>
      <c r="AH55" t="s">
        <v>21</v>
      </c>
      <c r="AI55" t="s">
        <v>529</v>
      </c>
      <c r="AJ55" t="s">
        <v>186</v>
      </c>
      <c r="AL55" t="s">
        <v>938</v>
      </c>
      <c r="AM55" t="s">
        <v>1151</v>
      </c>
      <c r="AN55" t="s">
        <v>1152</v>
      </c>
      <c r="AO55">
        <v>0.980435102913218</v>
      </c>
      <c r="AP55">
        <v>358.68977992433753</v>
      </c>
    </row>
    <row r="56" spans="2:42">
      <c r="B56" t="s">
        <v>182</v>
      </c>
      <c r="C56" t="s">
        <v>275</v>
      </c>
      <c r="D56" t="s">
        <v>276</v>
      </c>
      <c r="E56" t="s">
        <v>10</v>
      </c>
      <c r="F56" t="s">
        <v>21</v>
      </c>
      <c r="G56" t="s">
        <v>185</v>
      </c>
      <c r="H56" t="s">
        <v>186</v>
      </c>
      <c r="J56" t="s">
        <v>275</v>
      </c>
      <c r="K56" t="s">
        <v>457</v>
      </c>
      <c r="L56">
        <v>4.7265103670682889</v>
      </c>
      <c r="M56">
        <v>0.1801550983492029</v>
      </c>
      <c r="O56" t="s">
        <v>525</v>
      </c>
      <c r="P56" t="s">
        <v>618</v>
      </c>
      <c r="Q56" t="s">
        <v>619</v>
      </c>
      <c r="R56" t="s">
        <v>10</v>
      </c>
      <c r="S56" t="s">
        <v>21</v>
      </c>
      <c r="T56" t="s">
        <v>528</v>
      </c>
      <c r="U56" t="s">
        <v>529</v>
      </c>
      <c r="V56" t="s">
        <v>186</v>
      </c>
      <c r="X56" t="s">
        <v>618</v>
      </c>
      <c r="Y56" t="s">
        <v>437</v>
      </c>
      <c r="Z56" t="s">
        <v>775</v>
      </c>
      <c r="AA56">
        <v>0.98438964438214593</v>
      </c>
      <c r="AB56">
        <v>286.18985299399026</v>
      </c>
      <c r="AD56" t="s">
        <v>525</v>
      </c>
      <c r="AE56" t="s">
        <v>940</v>
      </c>
      <c r="AF56" t="s">
        <v>941</v>
      </c>
      <c r="AG56" t="s">
        <v>10</v>
      </c>
      <c r="AH56" t="s">
        <v>21</v>
      </c>
      <c r="AI56" t="s">
        <v>529</v>
      </c>
      <c r="AJ56" t="s">
        <v>186</v>
      </c>
      <c r="AL56" t="s">
        <v>940</v>
      </c>
      <c r="AM56" t="s">
        <v>1153</v>
      </c>
      <c r="AN56" t="s">
        <v>776</v>
      </c>
      <c r="AO56">
        <v>0.98215223853160949</v>
      </c>
      <c r="AP56">
        <v>327.20896025382672</v>
      </c>
    </row>
    <row r="57" spans="2:42">
      <c r="B57" t="s">
        <v>182</v>
      </c>
      <c r="C57" t="s">
        <v>277</v>
      </c>
      <c r="D57" t="s">
        <v>278</v>
      </c>
      <c r="E57" t="s">
        <v>10</v>
      </c>
      <c r="F57" t="s">
        <v>21</v>
      </c>
      <c r="G57" t="s">
        <v>185</v>
      </c>
      <c r="H57" t="s">
        <v>186</v>
      </c>
      <c r="J57" t="s">
        <v>277</v>
      </c>
      <c r="K57" t="s">
        <v>458</v>
      </c>
      <c r="L57">
        <v>4.3713529562472351</v>
      </c>
      <c r="M57">
        <v>0.1786321725286224</v>
      </c>
      <c r="O57" t="s">
        <v>525</v>
      </c>
      <c r="P57" t="s">
        <v>620</v>
      </c>
      <c r="Q57" t="s">
        <v>621</v>
      </c>
      <c r="R57" t="s">
        <v>10</v>
      </c>
      <c r="S57" t="s">
        <v>21</v>
      </c>
      <c r="T57" t="s">
        <v>528</v>
      </c>
      <c r="U57" t="s">
        <v>529</v>
      </c>
      <c r="V57" t="s">
        <v>186</v>
      </c>
      <c r="X57" t="s">
        <v>620</v>
      </c>
      <c r="Y57" t="s">
        <v>484</v>
      </c>
      <c r="Z57" t="s">
        <v>796</v>
      </c>
      <c r="AA57">
        <v>0.98137042793418472</v>
      </c>
      <c r="AB57">
        <v>341.54215453994675</v>
      </c>
      <c r="AD57" t="s">
        <v>525</v>
      </c>
      <c r="AE57" t="s">
        <v>942</v>
      </c>
      <c r="AF57" t="s">
        <v>943</v>
      </c>
      <c r="AG57" t="s">
        <v>10</v>
      </c>
      <c r="AH57" t="s">
        <v>21</v>
      </c>
      <c r="AI57" t="s">
        <v>529</v>
      </c>
      <c r="AJ57" t="s">
        <v>186</v>
      </c>
      <c r="AL57" t="s">
        <v>942</v>
      </c>
      <c r="AM57" t="s">
        <v>1154</v>
      </c>
      <c r="AN57" t="s">
        <v>1155</v>
      </c>
      <c r="AO57">
        <v>0.95393264631785135</v>
      </c>
      <c r="AP57">
        <v>844.56815083939114</v>
      </c>
    </row>
    <row r="58" spans="2:42">
      <c r="B58" t="s">
        <v>182</v>
      </c>
      <c r="C58" t="s">
        <v>279</v>
      </c>
      <c r="D58" t="s">
        <v>280</v>
      </c>
      <c r="E58" t="s">
        <v>10</v>
      </c>
      <c r="F58" t="s">
        <v>21</v>
      </c>
      <c r="G58" t="s">
        <v>185</v>
      </c>
      <c r="H58" t="s">
        <v>186</v>
      </c>
      <c r="J58" t="s">
        <v>279</v>
      </c>
      <c r="K58" t="s">
        <v>459</v>
      </c>
      <c r="L58">
        <v>0.1183621574264328</v>
      </c>
      <c r="M58">
        <v>0.1737272730657958</v>
      </c>
      <c r="O58" t="s">
        <v>525</v>
      </c>
      <c r="P58" t="s">
        <v>622</v>
      </c>
      <c r="Q58" t="s">
        <v>623</v>
      </c>
      <c r="R58" t="s">
        <v>10</v>
      </c>
      <c r="S58" t="s">
        <v>21</v>
      </c>
      <c r="T58" t="s">
        <v>528</v>
      </c>
      <c r="U58" t="s">
        <v>529</v>
      </c>
      <c r="V58" t="s">
        <v>186</v>
      </c>
      <c r="X58" t="s">
        <v>622</v>
      </c>
      <c r="Y58" t="s">
        <v>483</v>
      </c>
      <c r="Z58" t="s">
        <v>797</v>
      </c>
      <c r="AA58">
        <v>0.9705099691442256</v>
      </c>
      <c r="AB58">
        <v>540.65056568919749</v>
      </c>
      <c r="AD58" t="s">
        <v>525</v>
      </c>
      <c r="AE58" t="s">
        <v>944</v>
      </c>
      <c r="AF58" t="s">
        <v>945</v>
      </c>
      <c r="AG58" t="s">
        <v>10</v>
      </c>
      <c r="AH58" t="s">
        <v>21</v>
      </c>
      <c r="AI58" t="s">
        <v>529</v>
      </c>
      <c r="AJ58" t="s">
        <v>186</v>
      </c>
      <c r="AL58" t="s">
        <v>944</v>
      </c>
      <c r="AM58" t="s">
        <v>1156</v>
      </c>
      <c r="AN58" t="s">
        <v>766</v>
      </c>
      <c r="AO58">
        <v>0.9639658770768843</v>
      </c>
      <c r="AP58">
        <v>660.62558692378798</v>
      </c>
    </row>
    <row r="59" spans="2:42">
      <c r="B59" t="s">
        <v>182</v>
      </c>
      <c r="C59" t="s">
        <v>281</v>
      </c>
      <c r="D59" t="s">
        <v>282</v>
      </c>
      <c r="E59" t="s">
        <v>10</v>
      </c>
      <c r="F59" t="s">
        <v>21</v>
      </c>
      <c r="G59" t="s">
        <v>185</v>
      </c>
      <c r="H59" t="s">
        <v>186</v>
      </c>
      <c r="J59" t="s">
        <v>281</v>
      </c>
      <c r="K59" t="s">
        <v>460</v>
      </c>
      <c r="L59">
        <v>1.3267804643086654</v>
      </c>
      <c r="M59">
        <v>0.1785437955301461</v>
      </c>
      <c r="O59" t="s">
        <v>525</v>
      </c>
      <c r="P59" t="s">
        <v>624</v>
      </c>
      <c r="Q59" t="s">
        <v>625</v>
      </c>
      <c r="R59" t="s">
        <v>10</v>
      </c>
      <c r="S59" t="s">
        <v>21</v>
      </c>
      <c r="T59" t="s">
        <v>528</v>
      </c>
      <c r="U59" t="s">
        <v>529</v>
      </c>
      <c r="V59" t="s">
        <v>186</v>
      </c>
      <c r="X59" t="s">
        <v>624</v>
      </c>
      <c r="Y59" t="s">
        <v>469</v>
      </c>
      <c r="Z59" t="s">
        <v>798</v>
      </c>
      <c r="AA59">
        <v>0.99716825122688613</v>
      </c>
      <c r="AB59">
        <v>51.915394173755317</v>
      </c>
      <c r="AD59" t="s">
        <v>525</v>
      </c>
      <c r="AE59" t="s">
        <v>946</v>
      </c>
      <c r="AF59" t="s">
        <v>947</v>
      </c>
      <c r="AG59" t="s">
        <v>10</v>
      </c>
      <c r="AH59" t="s">
        <v>21</v>
      </c>
      <c r="AI59" t="s">
        <v>529</v>
      </c>
      <c r="AJ59" t="s">
        <v>186</v>
      </c>
      <c r="AL59" t="s">
        <v>946</v>
      </c>
      <c r="AM59" t="s">
        <v>1157</v>
      </c>
      <c r="AN59" t="s">
        <v>1158</v>
      </c>
      <c r="AO59">
        <v>0.99523514181224426</v>
      </c>
      <c r="AP59">
        <v>87.355733442189276</v>
      </c>
    </row>
    <row r="60" spans="2:42">
      <c r="B60" t="s">
        <v>182</v>
      </c>
      <c r="C60" t="s">
        <v>283</v>
      </c>
      <c r="D60" t="s">
        <v>284</v>
      </c>
      <c r="E60" t="s">
        <v>10</v>
      </c>
      <c r="F60" t="s">
        <v>21</v>
      </c>
      <c r="G60" t="s">
        <v>185</v>
      </c>
      <c r="H60" t="s">
        <v>186</v>
      </c>
      <c r="J60" t="s">
        <v>283</v>
      </c>
      <c r="K60" t="s">
        <v>461</v>
      </c>
      <c r="L60">
        <v>4.9281052085892743</v>
      </c>
      <c r="M60">
        <v>0.178821227705355</v>
      </c>
      <c r="O60" t="s">
        <v>525</v>
      </c>
      <c r="P60" t="s">
        <v>626</v>
      </c>
      <c r="Q60" t="s">
        <v>627</v>
      </c>
      <c r="R60" t="s">
        <v>10</v>
      </c>
      <c r="S60" t="s">
        <v>21</v>
      </c>
      <c r="T60" t="s">
        <v>528</v>
      </c>
      <c r="U60" t="s">
        <v>529</v>
      </c>
      <c r="V60" t="s">
        <v>186</v>
      </c>
      <c r="X60" t="s">
        <v>626</v>
      </c>
      <c r="Y60" t="s">
        <v>451</v>
      </c>
      <c r="Z60" t="s">
        <v>799</v>
      </c>
      <c r="AA60">
        <v>0.96517446680717667</v>
      </c>
      <c r="AB60">
        <v>638.46810853509407</v>
      </c>
      <c r="AD60" t="s">
        <v>525</v>
      </c>
      <c r="AE60" t="s">
        <v>948</v>
      </c>
      <c r="AF60" t="s">
        <v>949</v>
      </c>
      <c r="AG60" t="s">
        <v>10</v>
      </c>
      <c r="AH60" t="s">
        <v>21</v>
      </c>
      <c r="AI60" t="s">
        <v>529</v>
      </c>
      <c r="AJ60" t="s">
        <v>186</v>
      </c>
      <c r="AL60" t="s">
        <v>948</v>
      </c>
      <c r="AM60" t="s">
        <v>1159</v>
      </c>
      <c r="AN60" t="s">
        <v>828</v>
      </c>
      <c r="AO60">
        <v>0.98518804923091219</v>
      </c>
      <c r="AP60">
        <v>271.55243076660895</v>
      </c>
    </row>
    <row r="61" spans="2:42">
      <c r="B61" t="s">
        <v>182</v>
      </c>
      <c r="C61" t="s">
        <v>285</v>
      </c>
      <c r="D61" t="s">
        <v>286</v>
      </c>
      <c r="E61" t="s">
        <v>10</v>
      </c>
      <c r="F61" t="s">
        <v>21</v>
      </c>
      <c r="G61" t="s">
        <v>185</v>
      </c>
      <c r="H61" t="s">
        <v>186</v>
      </c>
      <c r="J61" t="s">
        <v>285</v>
      </c>
      <c r="K61" t="s">
        <v>462</v>
      </c>
      <c r="L61">
        <v>2.2062714345275358</v>
      </c>
      <c r="M61">
        <v>0.1843342957525414</v>
      </c>
      <c r="O61" t="s">
        <v>525</v>
      </c>
      <c r="P61" t="s">
        <v>628</v>
      </c>
      <c r="Q61" t="s">
        <v>629</v>
      </c>
      <c r="R61" t="s">
        <v>10</v>
      </c>
      <c r="S61" t="s">
        <v>21</v>
      </c>
      <c r="T61" t="s">
        <v>528</v>
      </c>
      <c r="U61" t="s">
        <v>529</v>
      </c>
      <c r="V61" t="s">
        <v>186</v>
      </c>
      <c r="X61" t="s">
        <v>628</v>
      </c>
      <c r="Y61" t="s">
        <v>439</v>
      </c>
      <c r="Z61" t="s">
        <v>800</v>
      </c>
      <c r="AA61">
        <v>0.97391351247483049</v>
      </c>
      <c r="AB61">
        <v>478.25227129477486</v>
      </c>
      <c r="AD61" t="s">
        <v>525</v>
      </c>
      <c r="AE61" t="s">
        <v>950</v>
      </c>
      <c r="AF61" t="s">
        <v>951</v>
      </c>
      <c r="AG61" t="s">
        <v>10</v>
      </c>
      <c r="AH61" t="s">
        <v>21</v>
      </c>
      <c r="AI61" t="s">
        <v>529</v>
      </c>
      <c r="AJ61" t="s">
        <v>186</v>
      </c>
      <c r="AL61" t="s">
        <v>950</v>
      </c>
      <c r="AM61" t="s">
        <v>1160</v>
      </c>
      <c r="AN61" t="s">
        <v>1161</v>
      </c>
      <c r="AO61">
        <v>0.99365687310907536</v>
      </c>
      <c r="AP61">
        <v>116.29065966695268</v>
      </c>
    </row>
    <row r="62" spans="2:42">
      <c r="B62" t="s">
        <v>182</v>
      </c>
      <c r="C62" t="s">
        <v>287</v>
      </c>
      <c r="D62" t="s">
        <v>288</v>
      </c>
      <c r="E62" t="s">
        <v>10</v>
      </c>
      <c r="F62" t="s">
        <v>21</v>
      </c>
      <c r="G62" t="s">
        <v>185</v>
      </c>
      <c r="H62" t="s">
        <v>186</v>
      </c>
      <c r="J62" t="s">
        <v>287</v>
      </c>
      <c r="K62" t="s">
        <v>463</v>
      </c>
      <c r="L62">
        <v>4.4245084716131791</v>
      </c>
      <c r="M62">
        <v>0.18145198676949331</v>
      </c>
      <c r="O62" t="s">
        <v>525</v>
      </c>
      <c r="P62" t="s">
        <v>630</v>
      </c>
      <c r="Q62" t="s">
        <v>631</v>
      </c>
      <c r="R62" t="s">
        <v>10</v>
      </c>
      <c r="S62" t="s">
        <v>21</v>
      </c>
      <c r="T62" t="s">
        <v>528</v>
      </c>
      <c r="U62" t="s">
        <v>529</v>
      </c>
      <c r="V62" t="s">
        <v>186</v>
      </c>
      <c r="X62" t="s">
        <v>630</v>
      </c>
      <c r="Y62" t="s">
        <v>421</v>
      </c>
      <c r="Z62" t="s">
        <v>786</v>
      </c>
      <c r="AA62">
        <v>0.95803878799224462</v>
      </c>
      <c r="AB62">
        <v>769.28888680884779</v>
      </c>
      <c r="AD62" t="s">
        <v>525</v>
      </c>
      <c r="AE62" t="s">
        <v>952</v>
      </c>
      <c r="AF62" t="s">
        <v>953</v>
      </c>
      <c r="AG62" t="s">
        <v>10</v>
      </c>
      <c r="AH62" t="s">
        <v>21</v>
      </c>
      <c r="AI62" t="s">
        <v>529</v>
      </c>
      <c r="AJ62" t="s">
        <v>186</v>
      </c>
      <c r="AL62" t="s">
        <v>952</v>
      </c>
      <c r="AM62" t="s">
        <v>1162</v>
      </c>
      <c r="AN62" t="s">
        <v>1163</v>
      </c>
      <c r="AO62">
        <v>0.98173148154370893</v>
      </c>
      <c r="AP62">
        <v>334.92283836533551</v>
      </c>
    </row>
    <row r="63" spans="2:42">
      <c r="B63" t="s">
        <v>182</v>
      </c>
      <c r="C63" t="s">
        <v>289</v>
      </c>
      <c r="D63" t="s">
        <v>290</v>
      </c>
      <c r="E63" t="s">
        <v>10</v>
      </c>
      <c r="F63" t="s">
        <v>21</v>
      </c>
      <c r="G63" t="s">
        <v>185</v>
      </c>
      <c r="H63" t="s">
        <v>186</v>
      </c>
      <c r="J63" t="s">
        <v>289</v>
      </c>
      <c r="K63" t="s">
        <v>464</v>
      </c>
      <c r="L63">
        <v>0.78882757314662078</v>
      </c>
      <c r="M63">
        <v>0.187020457549297</v>
      </c>
      <c r="O63" t="s">
        <v>525</v>
      </c>
      <c r="P63" t="s">
        <v>632</v>
      </c>
      <c r="Q63" t="s">
        <v>633</v>
      </c>
      <c r="R63" t="s">
        <v>10</v>
      </c>
      <c r="S63" t="s">
        <v>21</v>
      </c>
      <c r="T63" t="s">
        <v>528</v>
      </c>
      <c r="U63" t="s">
        <v>529</v>
      </c>
      <c r="V63" t="s">
        <v>186</v>
      </c>
      <c r="X63" t="s">
        <v>632</v>
      </c>
      <c r="Y63" t="s">
        <v>476</v>
      </c>
      <c r="Z63" t="s">
        <v>801</v>
      </c>
      <c r="AA63">
        <v>0.99115465756486187</v>
      </c>
      <c r="AB63">
        <v>162.16461131086623</v>
      </c>
      <c r="AD63" t="s">
        <v>525</v>
      </c>
      <c r="AE63" t="s">
        <v>954</v>
      </c>
      <c r="AF63" t="s">
        <v>955</v>
      </c>
      <c r="AG63" t="s">
        <v>10</v>
      </c>
      <c r="AH63" t="s">
        <v>21</v>
      </c>
      <c r="AI63" t="s">
        <v>529</v>
      </c>
      <c r="AJ63" t="s">
        <v>186</v>
      </c>
      <c r="AL63" t="s">
        <v>954</v>
      </c>
      <c r="AM63" t="s">
        <v>1164</v>
      </c>
      <c r="AN63" t="s">
        <v>1165</v>
      </c>
      <c r="AO63">
        <v>0.99619363094054258</v>
      </c>
      <c r="AP63">
        <v>69.783432756719051</v>
      </c>
    </row>
    <row r="64" spans="2:42">
      <c r="B64" t="s">
        <v>182</v>
      </c>
      <c r="C64" t="s">
        <v>291</v>
      </c>
      <c r="D64" t="s">
        <v>292</v>
      </c>
      <c r="E64" t="s">
        <v>10</v>
      </c>
      <c r="F64" t="s">
        <v>21</v>
      </c>
      <c r="G64" t="s">
        <v>185</v>
      </c>
      <c r="H64" t="s">
        <v>186</v>
      </c>
      <c r="J64" t="s">
        <v>291</v>
      </c>
      <c r="K64" t="s">
        <v>465</v>
      </c>
      <c r="L64">
        <v>2.0698048666603324</v>
      </c>
      <c r="M64">
        <v>0.1847737908226004</v>
      </c>
      <c r="O64" t="s">
        <v>525</v>
      </c>
      <c r="P64" t="s">
        <v>634</v>
      </c>
      <c r="Q64" t="s">
        <v>635</v>
      </c>
      <c r="R64" t="s">
        <v>10</v>
      </c>
      <c r="S64" t="s">
        <v>21</v>
      </c>
      <c r="T64" t="s">
        <v>528</v>
      </c>
      <c r="U64" t="s">
        <v>529</v>
      </c>
      <c r="V64" t="s">
        <v>186</v>
      </c>
      <c r="X64" t="s">
        <v>634</v>
      </c>
      <c r="Y64" t="s">
        <v>455</v>
      </c>
      <c r="Z64" t="s">
        <v>802</v>
      </c>
      <c r="AA64">
        <v>0.99415187740478228</v>
      </c>
      <c r="AB64">
        <v>107.21558091232451</v>
      </c>
      <c r="AD64" t="s">
        <v>525</v>
      </c>
      <c r="AE64" t="s">
        <v>956</v>
      </c>
      <c r="AF64" t="s">
        <v>957</v>
      </c>
      <c r="AG64" t="s">
        <v>10</v>
      </c>
      <c r="AH64" t="s">
        <v>21</v>
      </c>
      <c r="AI64" t="s">
        <v>529</v>
      </c>
      <c r="AJ64" t="s">
        <v>186</v>
      </c>
      <c r="AL64" t="s">
        <v>956</v>
      </c>
      <c r="AM64" t="s">
        <v>1166</v>
      </c>
      <c r="AN64" t="s">
        <v>1167</v>
      </c>
      <c r="AO64">
        <v>0.9937205981760483</v>
      </c>
      <c r="AP64">
        <v>115.12236677244752</v>
      </c>
    </row>
    <row r="65" spans="2:42">
      <c r="B65" t="s">
        <v>182</v>
      </c>
      <c r="C65" t="s">
        <v>293</v>
      </c>
      <c r="D65" t="s">
        <v>294</v>
      </c>
      <c r="E65" t="s">
        <v>10</v>
      </c>
      <c r="F65" t="s">
        <v>21</v>
      </c>
      <c r="G65" t="s">
        <v>185</v>
      </c>
      <c r="H65" t="s">
        <v>186</v>
      </c>
      <c r="J65" t="s">
        <v>293</v>
      </c>
      <c r="K65" t="s">
        <v>466</v>
      </c>
      <c r="L65">
        <v>0.37667298805430582</v>
      </c>
      <c r="M65">
        <v>0.1883411842380627</v>
      </c>
      <c r="O65" t="s">
        <v>525</v>
      </c>
      <c r="P65" t="s">
        <v>636</v>
      </c>
      <c r="Q65" t="s">
        <v>637</v>
      </c>
      <c r="R65" t="s">
        <v>10</v>
      </c>
      <c r="S65" t="s">
        <v>21</v>
      </c>
      <c r="T65" t="s">
        <v>528</v>
      </c>
      <c r="U65" t="s">
        <v>529</v>
      </c>
      <c r="V65" t="s">
        <v>186</v>
      </c>
      <c r="X65" t="s">
        <v>636</v>
      </c>
      <c r="Y65" t="s">
        <v>432</v>
      </c>
      <c r="Z65" t="s">
        <v>803</v>
      </c>
      <c r="AA65">
        <v>0.97914162186228837</v>
      </c>
      <c r="AB65">
        <v>382.40359919138086</v>
      </c>
      <c r="AD65" t="s">
        <v>525</v>
      </c>
      <c r="AE65" t="s">
        <v>958</v>
      </c>
      <c r="AF65" t="s">
        <v>959</v>
      </c>
      <c r="AG65" t="s">
        <v>10</v>
      </c>
      <c r="AH65" t="s">
        <v>21</v>
      </c>
      <c r="AI65" t="s">
        <v>529</v>
      </c>
      <c r="AJ65" t="s">
        <v>186</v>
      </c>
      <c r="AL65" t="s">
        <v>958</v>
      </c>
      <c r="AM65" t="s">
        <v>1168</v>
      </c>
      <c r="AN65" t="s">
        <v>1169</v>
      </c>
      <c r="AO65">
        <v>0.99551746689248655</v>
      </c>
      <c r="AP65">
        <v>82.179773637747658</v>
      </c>
    </row>
    <row r="66" spans="2:42">
      <c r="B66" t="s">
        <v>182</v>
      </c>
      <c r="C66" t="s">
        <v>295</v>
      </c>
      <c r="D66" t="s">
        <v>296</v>
      </c>
      <c r="E66" t="s">
        <v>10</v>
      </c>
      <c r="F66" t="s">
        <v>21</v>
      </c>
      <c r="G66" t="s">
        <v>185</v>
      </c>
      <c r="H66" t="s">
        <v>186</v>
      </c>
      <c r="J66" t="s">
        <v>295</v>
      </c>
      <c r="K66" t="s">
        <v>467</v>
      </c>
      <c r="L66">
        <v>0.7175385534327795</v>
      </c>
      <c r="M66">
        <v>0.1930871386973266</v>
      </c>
      <c r="O66" t="s">
        <v>525</v>
      </c>
      <c r="P66" t="s">
        <v>638</v>
      </c>
      <c r="Q66" t="s">
        <v>639</v>
      </c>
      <c r="R66" t="s">
        <v>10</v>
      </c>
      <c r="S66" t="s">
        <v>21</v>
      </c>
      <c r="T66" t="s">
        <v>528</v>
      </c>
      <c r="U66" t="s">
        <v>529</v>
      </c>
      <c r="V66" t="s">
        <v>186</v>
      </c>
      <c r="X66" t="s">
        <v>638</v>
      </c>
      <c r="Y66" t="s">
        <v>436</v>
      </c>
      <c r="Z66" t="s">
        <v>775</v>
      </c>
      <c r="AA66">
        <v>0.97728234419758309</v>
      </c>
      <c r="AB66">
        <v>416.4903563776432</v>
      </c>
      <c r="AD66" t="s">
        <v>525</v>
      </c>
      <c r="AE66" t="s">
        <v>960</v>
      </c>
      <c r="AF66" t="s">
        <v>961</v>
      </c>
      <c r="AG66" t="s">
        <v>10</v>
      </c>
      <c r="AH66" t="s">
        <v>21</v>
      </c>
      <c r="AI66" t="s">
        <v>529</v>
      </c>
      <c r="AJ66" t="s">
        <v>186</v>
      </c>
      <c r="AL66" t="s">
        <v>960</v>
      </c>
      <c r="AM66" t="s">
        <v>1170</v>
      </c>
      <c r="AN66" t="s">
        <v>800</v>
      </c>
      <c r="AO66">
        <v>0.98120415323232357</v>
      </c>
      <c r="AP66">
        <v>344.59052407406728</v>
      </c>
    </row>
    <row r="67" spans="2:42">
      <c r="B67" t="s">
        <v>182</v>
      </c>
      <c r="C67" t="s">
        <v>297</v>
      </c>
      <c r="D67" t="s">
        <v>298</v>
      </c>
      <c r="E67" t="s">
        <v>10</v>
      </c>
      <c r="F67" t="s">
        <v>21</v>
      </c>
      <c r="G67" t="s">
        <v>185</v>
      </c>
      <c r="H67" t="s">
        <v>186</v>
      </c>
      <c r="J67" t="s">
        <v>297</v>
      </c>
      <c r="K67" t="s">
        <v>468</v>
      </c>
      <c r="L67">
        <v>0.1852716424275602</v>
      </c>
      <c r="M67">
        <v>0.18059867959346099</v>
      </c>
      <c r="O67" t="s">
        <v>525</v>
      </c>
      <c r="P67" t="s">
        <v>640</v>
      </c>
      <c r="Q67" t="s">
        <v>641</v>
      </c>
      <c r="R67" t="s">
        <v>10</v>
      </c>
      <c r="S67" t="s">
        <v>21</v>
      </c>
      <c r="T67" t="s">
        <v>528</v>
      </c>
      <c r="U67" t="s">
        <v>529</v>
      </c>
      <c r="V67" t="s">
        <v>186</v>
      </c>
      <c r="X67" t="s">
        <v>640</v>
      </c>
      <c r="Y67" t="s">
        <v>501</v>
      </c>
      <c r="Z67" t="s">
        <v>804</v>
      </c>
      <c r="AA67">
        <v>0.99461299119265312</v>
      </c>
      <c r="AB67">
        <v>98.761828134693147</v>
      </c>
      <c r="AD67" t="s">
        <v>525</v>
      </c>
      <c r="AE67" t="s">
        <v>962</v>
      </c>
      <c r="AF67" t="s">
        <v>963</v>
      </c>
      <c r="AG67" t="s">
        <v>10</v>
      </c>
      <c r="AH67" t="s">
        <v>21</v>
      </c>
      <c r="AI67" t="s">
        <v>529</v>
      </c>
      <c r="AJ67" t="s">
        <v>186</v>
      </c>
      <c r="AL67" t="s">
        <v>962</v>
      </c>
      <c r="AM67" t="s">
        <v>1171</v>
      </c>
      <c r="AN67" t="s">
        <v>771</v>
      </c>
      <c r="AO67">
        <v>0.96890229126728455</v>
      </c>
      <c r="AP67">
        <v>570.12466009978334</v>
      </c>
    </row>
    <row r="68" spans="2:42">
      <c r="B68" t="s">
        <v>182</v>
      </c>
      <c r="C68" t="s">
        <v>299</v>
      </c>
      <c r="D68" t="s">
        <v>300</v>
      </c>
      <c r="E68" t="s">
        <v>10</v>
      </c>
      <c r="F68" t="s">
        <v>21</v>
      </c>
      <c r="G68" t="s">
        <v>185</v>
      </c>
      <c r="H68" t="s">
        <v>186</v>
      </c>
      <c r="J68" t="s">
        <v>299</v>
      </c>
      <c r="K68" t="s">
        <v>469</v>
      </c>
      <c r="L68">
        <v>0.66791222107571557</v>
      </c>
      <c r="M68">
        <v>0.19208542967328271</v>
      </c>
      <c r="O68" t="s">
        <v>525</v>
      </c>
      <c r="P68" t="s">
        <v>642</v>
      </c>
      <c r="Q68" t="s">
        <v>643</v>
      </c>
      <c r="R68" t="s">
        <v>10</v>
      </c>
      <c r="S68" t="s">
        <v>21</v>
      </c>
      <c r="T68" t="s">
        <v>528</v>
      </c>
      <c r="U68" t="s">
        <v>529</v>
      </c>
      <c r="V68" t="s">
        <v>186</v>
      </c>
      <c r="X68" t="s">
        <v>642</v>
      </c>
      <c r="Y68" t="s">
        <v>509</v>
      </c>
      <c r="Z68" t="s">
        <v>805</v>
      </c>
      <c r="AA68">
        <v>0.99786623476405611</v>
      </c>
      <c r="AB68">
        <v>39.119029325638856</v>
      </c>
      <c r="AD68" t="s">
        <v>525</v>
      </c>
      <c r="AE68" t="s">
        <v>964</v>
      </c>
      <c r="AF68" t="s">
        <v>965</v>
      </c>
      <c r="AG68" t="s">
        <v>10</v>
      </c>
      <c r="AH68" t="s">
        <v>21</v>
      </c>
      <c r="AI68" t="s">
        <v>529</v>
      </c>
      <c r="AJ68" t="s">
        <v>186</v>
      </c>
      <c r="AL68" t="s">
        <v>964</v>
      </c>
      <c r="AM68" t="s">
        <v>1172</v>
      </c>
      <c r="AN68" t="s">
        <v>1173</v>
      </c>
      <c r="AO68">
        <v>0.98535267411378635</v>
      </c>
      <c r="AP68">
        <v>268.53430791391736</v>
      </c>
    </row>
    <row r="69" spans="2:42">
      <c r="B69" t="s">
        <v>182</v>
      </c>
      <c r="C69" t="s">
        <v>301</v>
      </c>
      <c r="D69" t="s">
        <v>302</v>
      </c>
      <c r="E69" t="s">
        <v>10</v>
      </c>
      <c r="F69" t="s">
        <v>21</v>
      </c>
      <c r="G69" t="s">
        <v>185</v>
      </c>
      <c r="H69" t="s">
        <v>186</v>
      </c>
      <c r="J69" t="s">
        <v>301</v>
      </c>
      <c r="K69" t="s">
        <v>470</v>
      </c>
      <c r="L69">
        <v>1.8771484206993192</v>
      </c>
      <c r="M69">
        <v>0.15641197075571561</v>
      </c>
      <c r="O69" t="s">
        <v>525</v>
      </c>
      <c r="P69" t="s">
        <v>644</v>
      </c>
      <c r="Q69" t="s">
        <v>645</v>
      </c>
      <c r="R69" t="s">
        <v>10</v>
      </c>
      <c r="S69" t="s">
        <v>21</v>
      </c>
      <c r="T69" t="s">
        <v>528</v>
      </c>
      <c r="U69" t="s">
        <v>529</v>
      </c>
      <c r="V69" t="s">
        <v>186</v>
      </c>
      <c r="X69" t="s">
        <v>644</v>
      </c>
      <c r="Y69" t="s">
        <v>477</v>
      </c>
      <c r="Z69" t="s">
        <v>797</v>
      </c>
      <c r="AA69">
        <v>0.98487876885107151</v>
      </c>
      <c r="AB69">
        <v>277.22257106368971</v>
      </c>
      <c r="AD69" t="s">
        <v>525</v>
      </c>
      <c r="AE69" t="s">
        <v>966</v>
      </c>
      <c r="AF69" t="s">
        <v>967</v>
      </c>
      <c r="AG69" t="s">
        <v>10</v>
      </c>
      <c r="AH69" t="s">
        <v>21</v>
      </c>
      <c r="AI69" t="s">
        <v>529</v>
      </c>
      <c r="AJ69" t="s">
        <v>186</v>
      </c>
      <c r="AL69" t="s">
        <v>966</v>
      </c>
      <c r="AM69" t="s">
        <v>1174</v>
      </c>
      <c r="AN69" t="s">
        <v>800</v>
      </c>
      <c r="AO69">
        <v>0.9753025401730977</v>
      </c>
      <c r="AP69">
        <v>452.78676349320841</v>
      </c>
    </row>
    <row r="70" spans="2:42">
      <c r="B70" t="s">
        <v>182</v>
      </c>
      <c r="C70" t="s">
        <v>303</v>
      </c>
      <c r="D70" t="s">
        <v>304</v>
      </c>
      <c r="E70" t="s">
        <v>10</v>
      </c>
      <c r="F70" t="s">
        <v>21</v>
      </c>
      <c r="G70" t="s">
        <v>185</v>
      </c>
      <c r="H70" t="s">
        <v>186</v>
      </c>
      <c r="J70" t="s">
        <v>303</v>
      </c>
      <c r="K70" t="s">
        <v>471</v>
      </c>
      <c r="L70">
        <v>0.24266106720980368</v>
      </c>
      <c r="M70">
        <v>0.1461926020669515</v>
      </c>
      <c r="O70" t="s">
        <v>525</v>
      </c>
      <c r="P70" t="s">
        <v>646</v>
      </c>
      <c r="Q70" t="s">
        <v>647</v>
      </c>
      <c r="R70" t="s">
        <v>10</v>
      </c>
      <c r="S70" t="s">
        <v>21</v>
      </c>
      <c r="T70" t="s">
        <v>528</v>
      </c>
      <c r="U70" t="s">
        <v>529</v>
      </c>
      <c r="V70" t="s">
        <v>186</v>
      </c>
      <c r="X70" t="s">
        <v>646</v>
      </c>
      <c r="Y70" t="s">
        <v>482</v>
      </c>
      <c r="Z70" t="s">
        <v>806</v>
      </c>
      <c r="AA70">
        <v>0.97771183986501431</v>
      </c>
      <c r="AB70">
        <v>408.61626914140533</v>
      </c>
      <c r="AD70" t="s">
        <v>525</v>
      </c>
      <c r="AE70" t="s">
        <v>968</v>
      </c>
      <c r="AF70" t="s">
        <v>969</v>
      </c>
      <c r="AG70" t="s">
        <v>10</v>
      </c>
      <c r="AH70" t="s">
        <v>21</v>
      </c>
      <c r="AI70" t="s">
        <v>529</v>
      </c>
      <c r="AJ70" t="s">
        <v>186</v>
      </c>
      <c r="AL70" t="s">
        <v>968</v>
      </c>
      <c r="AM70" t="s">
        <v>1175</v>
      </c>
      <c r="AN70" t="s">
        <v>777</v>
      </c>
      <c r="AO70">
        <v>0.97722893569421165</v>
      </c>
      <c r="AP70">
        <v>417.46951227278561</v>
      </c>
    </row>
    <row r="71" spans="2:42">
      <c r="B71" t="s">
        <v>182</v>
      </c>
      <c r="C71" t="s">
        <v>305</v>
      </c>
      <c r="D71" t="s">
        <v>306</v>
      </c>
      <c r="E71" t="s">
        <v>10</v>
      </c>
      <c r="F71" t="s">
        <v>21</v>
      </c>
      <c r="G71" t="s">
        <v>185</v>
      </c>
      <c r="H71" t="s">
        <v>186</v>
      </c>
      <c r="J71" t="s">
        <v>305</v>
      </c>
      <c r="K71" t="s">
        <v>472</v>
      </c>
      <c r="L71">
        <v>0.72219690357465238</v>
      </c>
      <c r="M71">
        <v>0.1684509809267854</v>
      </c>
      <c r="O71" t="s">
        <v>525</v>
      </c>
      <c r="P71" t="s">
        <v>648</v>
      </c>
      <c r="Q71" t="s">
        <v>649</v>
      </c>
      <c r="R71" t="s">
        <v>10</v>
      </c>
      <c r="S71" t="s">
        <v>21</v>
      </c>
      <c r="T71" t="s">
        <v>528</v>
      </c>
      <c r="U71" t="s">
        <v>529</v>
      </c>
      <c r="V71" t="s">
        <v>186</v>
      </c>
      <c r="X71" t="s">
        <v>648</v>
      </c>
      <c r="Y71" t="s">
        <v>424</v>
      </c>
      <c r="Z71" t="s">
        <v>807</v>
      </c>
      <c r="AA71">
        <v>0.96331930709728597</v>
      </c>
      <c r="AB71">
        <v>672.47936988309095</v>
      </c>
      <c r="AD71" t="s">
        <v>525</v>
      </c>
      <c r="AE71" t="s">
        <v>970</v>
      </c>
      <c r="AF71" t="s">
        <v>971</v>
      </c>
      <c r="AG71" t="s">
        <v>10</v>
      </c>
      <c r="AH71" t="s">
        <v>21</v>
      </c>
      <c r="AI71" t="s">
        <v>529</v>
      </c>
      <c r="AJ71" t="s">
        <v>186</v>
      </c>
      <c r="AL71" t="s">
        <v>970</v>
      </c>
      <c r="AM71" t="s">
        <v>1176</v>
      </c>
      <c r="AN71" t="s">
        <v>1177</v>
      </c>
      <c r="AO71">
        <v>0.99100491856694062</v>
      </c>
      <c r="AP71">
        <v>164.90982627275633</v>
      </c>
    </row>
    <row r="72" spans="2:42">
      <c r="B72" t="s">
        <v>182</v>
      </c>
      <c r="C72" t="s">
        <v>307</v>
      </c>
      <c r="D72" t="s">
        <v>308</v>
      </c>
      <c r="E72" t="s">
        <v>10</v>
      </c>
      <c r="F72" t="s">
        <v>21</v>
      </c>
      <c r="G72" t="s">
        <v>185</v>
      </c>
      <c r="H72" t="s">
        <v>186</v>
      </c>
      <c r="J72" t="s">
        <v>307</v>
      </c>
      <c r="K72" t="s">
        <v>473</v>
      </c>
      <c r="L72">
        <v>0.69156437716703278</v>
      </c>
      <c r="M72">
        <v>0.15434163973518031</v>
      </c>
      <c r="O72" t="s">
        <v>525</v>
      </c>
      <c r="P72" t="s">
        <v>650</v>
      </c>
      <c r="Q72" t="s">
        <v>651</v>
      </c>
      <c r="R72" t="s">
        <v>10</v>
      </c>
      <c r="S72" t="s">
        <v>21</v>
      </c>
      <c r="T72" t="s">
        <v>528</v>
      </c>
      <c r="U72" t="s">
        <v>529</v>
      </c>
      <c r="V72" t="s">
        <v>186</v>
      </c>
      <c r="X72" t="s">
        <v>650</v>
      </c>
      <c r="Y72" t="s">
        <v>489</v>
      </c>
      <c r="Z72" t="s">
        <v>808</v>
      </c>
      <c r="AA72">
        <v>0.96632999203490022</v>
      </c>
      <c r="AB72">
        <v>617.28347936016212</v>
      </c>
      <c r="AD72" t="s">
        <v>525</v>
      </c>
      <c r="AE72" t="s">
        <v>972</v>
      </c>
      <c r="AF72" t="s">
        <v>973</v>
      </c>
      <c r="AG72" t="s">
        <v>10</v>
      </c>
      <c r="AH72" t="s">
        <v>21</v>
      </c>
      <c r="AI72" t="s">
        <v>529</v>
      </c>
      <c r="AJ72" t="s">
        <v>186</v>
      </c>
      <c r="AL72" t="s">
        <v>972</v>
      </c>
      <c r="AM72" t="s">
        <v>1178</v>
      </c>
      <c r="AN72" t="s">
        <v>1179</v>
      </c>
      <c r="AO72">
        <v>0.9930316637989941</v>
      </c>
      <c r="AP72">
        <v>127.75283035177421</v>
      </c>
    </row>
    <row r="73" spans="2:42">
      <c r="B73" t="s">
        <v>182</v>
      </c>
      <c r="C73" t="s">
        <v>309</v>
      </c>
      <c r="D73" t="s">
        <v>310</v>
      </c>
      <c r="E73" t="s">
        <v>10</v>
      </c>
      <c r="F73" t="s">
        <v>21</v>
      </c>
      <c r="G73" t="s">
        <v>185</v>
      </c>
      <c r="H73" t="s">
        <v>186</v>
      </c>
      <c r="J73" t="s">
        <v>309</v>
      </c>
      <c r="K73" t="s">
        <v>474</v>
      </c>
      <c r="L73">
        <v>0.285624508934335</v>
      </c>
      <c r="M73">
        <v>0.1663864637670123</v>
      </c>
      <c r="O73" t="s">
        <v>525</v>
      </c>
      <c r="P73" t="s">
        <v>652</v>
      </c>
      <c r="Q73" t="s">
        <v>653</v>
      </c>
      <c r="R73" t="s">
        <v>10</v>
      </c>
      <c r="S73" t="s">
        <v>21</v>
      </c>
      <c r="T73" t="s">
        <v>528</v>
      </c>
      <c r="U73" t="s">
        <v>529</v>
      </c>
      <c r="V73" t="s">
        <v>186</v>
      </c>
      <c r="X73" t="s">
        <v>652</v>
      </c>
      <c r="Y73" t="s">
        <v>508</v>
      </c>
      <c r="Z73" t="s">
        <v>809</v>
      </c>
      <c r="AA73">
        <v>0.98874725198176772</v>
      </c>
      <c r="AB73">
        <v>206.30038033425757</v>
      </c>
      <c r="AD73" t="s">
        <v>525</v>
      </c>
      <c r="AE73" t="s">
        <v>974</v>
      </c>
      <c r="AF73" t="s">
        <v>975</v>
      </c>
      <c r="AG73" t="s">
        <v>10</v>
      </c>
      <c r="AH73" t="s">
        <v>21</v>
      </c>
      <c r="AI73" t="s">
        <v>529</v>
      </c>
      <c r="AJ73" t="s">
        <v>186</v>
      </c>
      <c r="AL73" t="s">
        <v>974</v>
      </c>
      <c r="AM73" t="s">
        <v>1180</v>
      </c>
      <c r="AN73" t="s">
        <v>1181</v>
      </c>
      <c r="AO73">
        <v>0.99036377987198421</v>
      </c>
      <c r="AP73">
        <v>176.66403568028937</v>
      </c>
    </row>
    <row r="74" spans="2:42">
      <c r="B74" t="s">
        <v>182</v>
      </c>
      <c r="C74" t="s">
        <v>311</v>
      </c>
      <c r="D74" t="s">
        <v>312</v>
      </c>
      <c r="E74" t="s">
        <v>10</v>
      </c>
      <c r="F74" t="s">
        <v>21</v>
      </c>
      <c r="G74" t="s">
        <v>185</v>
      </c>
      <c r="H74" t="s">
        <v>186</v>
      </c>
      <c r="J74" t="s">
        <v>311</v>
      </c>
      <c r="K74" t="s">
        <v>475</v>
      </c>
      <c r="L74">
        <v>0.24255053510119398</v>
      </c>
      <c r="M74">
        <v>0.15637486685416491</v>
      </c>
      <c r="O74" t="s">
        <v>525</v>
      </c>
      <c r="P74" t="s">
        <v>654</v>
      </c>
      <c r="Q74" t="s">
        <v>655</v>
      </c>
      <c r="R74" t="s">
        <v>10</v>
      </c>
      <c r="S74" t="s">
        <v>21</v>
      </c>
      <c r="T74" t="s">
        <v>528</v>
      </c>
      <c r="U74" t="s">
        <v>529</v>
      </c>
      <c r="V74" t="s">
        <v>186</v>
      </c>
      <c r="X74" t="s">
        <v>654</v>
      </c>
      <c r="Y74" t="s">
        <v>504</v>
      </c>
      <c r="Z74" t="s">
        <v>810</v>
      </c>
      <c r="AA74">
        <v>0.99799145399958744</v>
      </c>
      <c r="AB74">
        <v>36.82334334089645</v>
      </c>
      <c r="AD74" t="s">
        <v>525</v>
      </c>
      <c r="AE74" t="s">
        <v>976</v>
      </c>
      <c r="AF74" t="s">
        <v>977</v>
      </c>
      <c r="AG74" t="s">
        <v>10</v>
      </c>
      <c r="AH74" t="s">
        <v>21</v>
      </c>
      <c r="AI74" t="s">
        <v>529</v>
      </c>
      <c r="AJ74" t="s">
        <v>186</v>
      </c>
      <c r="AL74" t="s">
        <v>976</v>
      </c>
      <c r="AM74" t="s">
        <v>1182</v>
      </c>
      <c r="AN74" t="s">
        <v>1183</v>
      </c>
      <c r="AO74">
        <v>0.98977430953474721</v>
      </c>
      <c r="AP74">
        <v>187.47099186296776</v>
      </c>
    </row>
    <row r="75" spans="2:42">
      <c r="B75" t="s">
        <v>182</v>
      </c>
      <c r="C75" t="s">
        <v>313</v>
      </c>
      <c r="D75" t="s">
        <v>314</v>
      </c>
      <c r="E75" t="s">
        <v>10</v>
      </c>
      <c r="F75" t="s">
        <v>21</v>
      </c>
      <c r="G75" t="s">
        <v>185</v>
      </c>
      <c r="H75" t="s">
        <v>186</v>
      </c>
      <c r="J75" t="s">
        <v>313</v>
      </c>
      <c r="K75" t="s">
        <v>476</v>
      </c>
      <c r="L75">
        <v>0.57246388329827491</v>
      </c>
      <c r="M75">
        <v>0.16037709361594271</v>
      </c>
      <c r="O75" t="s">
        <v>525</v>
      </c>
      <c r="P75" t="s">
        <v>656</v>
      </c>
      <c r="Q75" t="s">
        <v>657</v>
      </c>
      <c r="R75" t="s">
        <v>10</v>
      </c>
      <c r="S75" t="s">
        <v>21</v>
      </c>
      <c r="T75" t="s">
        <v>528</v>
      </c>
      <c r="U75" t="s">
        <v>529</v>
      </c>
      <c r="V75" t="s">
        <v>186</v>
      </c>
      <c r="X75" t="s">
        <v>656</v>
      </c>
      <c r="Y75" t="s">
        <v>473</v>
      </c>
      <c r="Z75" t="s">
        <v>811</v>
      </c>
      <c r="AA75">
        <v>0.98810371666741925</v>
      </c>
      <c r="AB75">
        <v>218.09852776398071</v>
      </c>
      <c r="AD75" t="s">
        <v>525</v>
      </c>
      <c r="AE75" t="s">
        <v>978</v>
      </c>
      <c r="AF75" t="s">
        <v>979</v>
      </c>
      <c r="AG75" t="s">
        <v>10</v>
      </c>
      <c r="AH75" t="s">
        <v>21</v>
      </c>
      <c r="AI75" t="s">
        <v>529</v>
      </c>
      <c r="AJ75" t="s">
        <v>186</v>
      </c>
      <c r="AL75" t="s">
        <v>978</v>
      </c>
      <c r="AM75" t="s">
        <v>1184</v>
      </c>
      <c r="AN75" t="s">
        <v>1185</v>
      </c>
      <c r="AO75">
        <v>0.98319875680958635</v>
      </c>
      <c r="AP75">
        <v>308.02279182425025</v>
      </c>
    </row>
    <row r="76" spans="2:42">
      <c r="B76" t="s">
        <v>182</v>
      </c>
      <c r="C76" t="s">
        <v>315</v>
      </c>
      <c r="D76" t="s">
        <v>316</v>
      </c>
      <c r="E76" t="s">
        <v>10</v>
      </c>
      <c r="F76" t="s">
        <v>21</v>
      </c>
      <c r="G76" t="s">
        <v>185</v>
      </c>
      <c r="H76" t="s">
        <v>186</v>
      </c>
      <c r="J76" t="s">
        <v>315</v>
      </c>
      <c r="K76" t="s">
        <v>477</v>
      </c>
      <c r="L76">
        <v>0.53894696357282867</v>
      </c>
      <c r="M76">
        <v>0.15022808469457041</v>
      </c>
      <c r="O76" t="s">
        <v>525</v>
      </c>
      <c r="P76" t="s">
        <v>658</v>
      </c>
      <c r="Q76" t="s">
        <v>659</v>
      </c>
      <c r="R76" t="s">
        <v>10</v>
      </c>
      <c r="S76" t="s">
        <v>21</v>
      </c>
      <c r="T76" t="s">
        <v>528</v>
      </c>
      <c r="U76" t="s">
        <v>529</v>
      </c>
      <c r="V76" t="s">
        <v>186</v>
      </c>
      <c r="X76" t="s">
        <v>658</v>
      </c>
      <c r="Y76" t="s">
        <v>468</v>
      </c>
      <c r="Z76" t="s">
        <v>812</v>
      </c>
      <c r="AA76">
        <v>0.98939978818950769</v>
      </c>
      <c r="AB76">
        <v>194.33721652569255</v>
      </c>
      <c r="AD76" t="s">
        <v>525</v>
      </c>
      <c r="AE76" t="s">
        <v>980</v>
      </c>
      <c r="AF76" t="s">
        <v>981</v>
      </c>
      <c r="AG76" t="s">
        <v>10</v>
      </c>
      <c r="AH76" t="s">
        <v>21</v>
      </c>
      <c r="AI76" t="s">
        <v>529</v>
      </c>
      <c r="AJ76" t="s">
        <v>186</v>
      </c>
      <c r="AL76" t="s">
        <v>980</v>
      </c>
      <c r="AM76" t="s">
        <v>1186</v>
      </c>
      <c r="AN76" t="s">
        <v>799</v>
      </c>
      <c r="AO76">
        <v>0.96389305456828533</v>
      </c>
      <c r="AP76">
        <v>661.96066624810123</v>
      </c>
    </row>
    <row r="77" spans="2:42">
      <c r="B77" t="s">
        <v>182</v>
      </c>
      <c r="C77" t="s">
        <v>317</v>
      </c>
      <c r="D77" t="s">
        <v>318</v>
      </c>
      <c r="E77" t="s">
        <v>10</v>
      </c>
      <c r="F77" t="s">
        <v>21</v>
      </c>
      <c r="G77" t="s">
        <v>185</v>
      </c>
      <c r="H77" t="s">
        <v>186</v>
      </c>
      <c r="J77" t="s">
        <v>317</v>
      </c>
      <c r="K77" t="s">
        <v>478</v>
      </c>
      <c r="L77">
        <v>0.64408602485681032</v>
      </c>
      <c r="M77">
        <v>0.1570999741347984</v>
      </c>
      <c r="O77" t="s">
        <v>525</v>
      </c>
      <c r="P77" t="s">
        <v>660</v>
      </c>
      <c r="Q77" t="s">
        <v>661</v>
      </c>
      <c r="R77" t="s">
        <v>10</v>
      </c>
      <c r="S77" t="s">
        <v>21</v>
      </c>
      <c r="T77" t="s">
        <v>528</v>
      </c>
      <c r="U77" t="s">
        <v>529</v>
      </c>
      <c r="V77" t="s">
        <v>186</v>
      </c>
      <c r="X77" t="s">
        <v>660</v>
      </c>
      <c r="Y77" t="s">
        <v>447</v>
      </c>
      <c r="Z77" t="s">
        <v>813</v>
      </c>
      <c r="AA77">
        <v>0.99469825002235834</v>
      </c>
      <c r="AB77">
        <v>97.198749590096782</v>
      </c>
      <c r="AD77" t="s">
        <v>525</v>
      </c>
      <c r="AE77" t="s">
        <v>982</v>
      </c>
      <c r="AF77" t="s">
        <v>983</v>
      </c>
      <c r="AG77" t="s">
        <v>10</v>
      </c>
      <c r="AH77" t="s">
        <v>21</v>
      </c>
      <c r="AI77" t="s">
        <v>529</v>
      </c>
      <c r="AJ77" t="s">
        <v>186</v>
      </c>
      <c r="AL77" t="s">
        <v>982</v>
      </c>
      <c r="AM77" t="s">
        <v>1187</v>
      </c>
      <c r="AN77" t="s">
        <v>777</v>
      </c>
      <c r="AO77">
        <v>0.97884641132484518</v>
      </c>
      <c r="AP77">
        <v>387.81579237783831</v>
      </c>
    </row>
    <row r="78" spans="2:42">
      <c r="B78" t="s">
        <v>182</v>
      </c>
      <c r="C78" t="s">
        <v>319</v>
      </c>
      <c r="D78" t="s">
        <v>320</v>
      </c>
      <c r="E78" t="s">
        <v>10</v>
      </c>
      <c r="F78" t="s">
        <v>21</v>
      </c>
      <c r="G78" t="s">
        <v>185</v>
      </c>
      <c r="H78" t="s">
        <v>186</v>
      </c>
      <c r="J78" t="s">
        <v>319</v>
      </c>
      <c r="K78" t="s">
        <v>479</v>
      </c>
      <c r="L78">
        <v>1.6218246329726285</v>
      </c>
      <c r="M78">
        <v>0.1423463086554162</v>
      </c>
      <c r="O78" t="s">
        <v>525</v>
      </c>
      <c r="P78" t="s">
        <v>662</v>
      </c>
      <c r="Q78" t="s">
        <v>663</v>
      </c>
      <c r="R78" t="s">
        <v>10</v>
      </c>
      <c r="S78" t="s">
        <v>21</v>
      </c>
      <c r="T78" t="s">
        <v>528</v>
      </c>
      <c r="U78" t="s">
        <v>529</v>
      </c>
      <c r="V78" t="s">
        <v>186</v>
      </c>
      <c r="X78" t="s">
        <v>662</v>
      </c>
      <c r="Y78" t="s">
        <v>441</v>
      </c>
      <c r="Z78" t="s">
        <v>800</v>
      </c>
      <c r="AA78">
        <v>0.98781265556624087</v>
      </c>
      <c r="AB78">
        <v>223.4346479522504</v>
      </c>
      <c r="AD78" t="s">
        <v>525</v>
      </c>
      <c r="AE78" t="s">
        <v>984</v>
      </c>
      <c r="AF78" t="s">
        <v>985</v>
      </c>
      <c r="AG78" t="s">
        <v>10</v>
      </c>
      <c r="AH78" t="s">
        <v>21</v>
      </c>
      <c r="AI78" t="s">
        <v>529</v>
      </c>
      <c r="AJ78" t="s">
        <v>186</v>
      </c>
      <c r="AL78" t="s">
        <v>984</v>
      </c>
      <c r="AM78" t="s">
        <v>1188</v>
      </c>
      <c r="AN78" t="s">
        <v>1189</v>
      </c>
      <c r="AO78">
        <v>0.99218178085006481</v>
      </c>
      <c r="AP78">
        <v>143.33401774881088</v>
      </c>
    </row>
    <row r="79" spans="2:42">
      <c r="B79" t="s">
        <v>182</v>
      </c>
      <c r="C79" t="s">
        <v>321</v>
      </c>
      <c r="D79" t="s">
        <v>322</v>
      </c>
      <c r="E79" t="s">
        <v>10</v>
      </c>
      <c r="F79" t="s">
        <v>21</v>
      </c>
      <c r="G79" t="s">
        <v>185</v>
      </c>
      <c r="H79" t="s">
        <v>186</v>
      </c>
      <c r="J79" t="s">
        <v>321</v>
      </c>
      <c r="K79" t="s">
        <v>480</v>
      </c>
      <c r="L79">
        <v>0.48798399816130211</v>
      </c>
      <c r="M79">
        <v>0.14279978206000091</v>
      </c>
      <c r="O79" t="s">
        <v>525</v>
      </c>
      <c r="P79" t="s">
        <v>664</v>
      </c>
      <c r="Q79" t="s">
        <v>665</v>
      </c>
      <c r="R79" t="s">
        <v>10</v>
      </c>
      <c r="S79" t="s">
        <v>21</v>
      </c>
      <c r="T79" t="s">
        <v>528</v>
      </c>
      <c r="U79" t="s">
        <v>529</v>
      </c>
      <c r="V79" t="s">
        <v>186</v>
      </c>
      <c r="X79" t="s">
        <v>664</v>
      </c>
      <c r="Y79" t="s">
        <v>499</v>
      </c>
      <c r="Z79" t="s">
        <v>814</v>
      </c>
      <c r="AA79">
        <v>0.99488595254083423</v>
      </c>
      <c r="AB79">
        <v>93.757536751372243</v>
      </c>
      <c r="AD79" t="s">
        <v>525</v>
      </c>
      <c r="AE79" t="s">
        <v>986</v>
      </c>
      <c r="AF79" t="s">
        <v>987</v>
      </c>
      <c r="AG79" t="s">
        <v>10</v>
      </c>
      <c r="AH79" t="s">
        <v>21</v>
      </c>
      <c r="AI79" t="s">
        <v>529</v>
      </c>
      <c r="AJ79" t="s">
        <v>186</v>
      </c>
      <c r="AL79" t="s">
        <v>986</v>
      </c>
      <c r="AM79" t="s">
        <v>1190</v>
      </c>
      <c r="AN79" t="s">
        <v>1191</v>
      </c>
      <c r="AO79">
        <v>0.99098515311614066</v>
      </c>
      <c r="AP79">
        <v>165.27219287075408</v>
      </c>
    </row>
    <row r="80" spans="2:42">
      <c r="B80" t="s">
        <v>182</v>
      </c>
      <c r="C80" t="s">
        <v>323</v>
      </c>
      <c r="D80" t="s">
        <v>324</v>
      </c>
      <c r="E80" t="s">
        <v>10</v>
      </c>
      <c r="F80" t="s">
        <v>21</v>
      </c>
      <c r="G80" t="s">
        <v>185</v>
      </c>
      <c r="H80" t="s">
        <v>186</v>
      </c>
      <c r="J80" t="s">
        <v>323</v>
      </c>
      <c r="K80" t="s">
        <v>481</v>
      </c>
      <c r="L80">
        <v>0.99763658811054678</v>
      </c>
      <c r="M80">
        <v>0.15573066491527671</v>
      </c>
      <c r="O80" t="s">
        <v>525</v>
      </c>
      <c r="P80" t="s">
        <v>666</v>
      </c>
      <c r="Q80" t="s">
        <v>667</v>
      </c>
      <c r="R80" t="s">
        <v>10</v>
      </c>
      <c r="S80" t="s">
        <v>21</v>
      </c>
      <c r="T80" t="s">
        <v>528</v>
      </c>
      <c r="U80" t="s">
        <v>529</v>
      </c>
      <c r="V80" t="s">
        <v>186</v>
      </c>
      <c r="X80" t="s">
        <v>666</v>
      </c>
      <c r="Y80" t="s">
        <v>503</v>
      </c>
      <c r="Z80" t="s">
        <v>815</v>
      </c>
      <c r="AA80">
        <v>0.99382141242916044</v>
      </c>
      <c r="AB80">
        <v>113.27410546539164</v>
      </c>
      <c r="AD80" t="s">
        <v>525</v>
      </c>
      <c r="AE80" t="s">
        <v>988</v>
      </c>
      <c r="AF80" t="s">
        <v>989</v>
      </c>
      <c r="AG80" t="s">
        <v>10</v>
      </c>
      <c r="AH80" t="s">
        <v>21</v>
      </c>
      <c r="AI80" t="s">
        <v>529</v>
      </c>
      <c r="AJ80" t="s">
        <v>186</v>
      </c>
      <c r="AL80" t="s">
        <v>988</v>
      </c>
      <c r="AM80" t="s">
        <v>1192</v>
      </c>
      <c r="AN80" t="s">
        <v>1193</v>
      </c>
      <c r="AO80">
        <v>0.99461901629357563</v>
      </c>
      <c r="AP80">
        <v>98.651367951112562</v>
      </c>
    </row>
    <row r="81" spans="2:42">
      <c r="B81" t="s">
        <v>182</v>
      </c>
      <c r="C81" t="s">
        <v>325</v>
      </c>
      <c r="D81" t="s">
        <v>326</v>
      </c>
      <c r="E81" t="s">
        <v>10</v>
      </c>
      <c r="F81" t="s">
        <v>21</v>
      </c>
      <c r="G81" t="s">
        <v>185</v>
      </c>
      <c r="H81" t="s">
        <v>186</v>
      </c>
      <c r="J81" t="s">
        <v>325</v>
      </c>
      <c r="K81" t="s">
        <v>482</v>
      </c>
      <c r="L81">
        <v>2.5485621711094026</v>
      </c>
      <c r="M81">
        <v>0.16100822044759111</v>
      </c>
      <c r="O81" t="s">
        <v>525</v>
      </c>
      <c r="P81" t="s">
        <v>668</v>
      </c>
      <c r="Q81" t="s">
        <v>669</v>
      </c>
      <c r="R81" t="s">
        <v>10</v>
      </c>
      <c r="S81" t="s">
        <v>21</v>
      </c>
      <c r="T81" t="s">
        <v>528</v>
      </c>
      <c r="U81" t="s">
        <v>529</v>
      </c>
      <c r="V81" t="s">
        <v>186</v>
      </c>
      <c r="X81" t="s">
        <v>668</v>
      </c>
      <c r="Y81" t="s">
        <v>479</v>
      </c>
      <c r="Z81" t="s">
        <v>793</v>
      </c>
      <c r="AA81">
        <v>0.98306568300849551</v>
      </c>
      <c r="AB81">
        <v>310.46247817758194</v>
      </c>
      <c r="AD81" t="s">
        <v>525</v>
      </c>
      <c r="AE81" t="s">
        <v>990</v>
      </c>
      <c r="AF81" t="s">
        <v>991</v>
      </c>
      <c r="AG81" t="s">
        <v>10</v>
      </c>
      <c r="AH81" t="s">
        <v>21</v>
      </c>
      <c r="AI81" t="s">
        <v>529</v>
      </c>
      <c r="AJ81" t="s">
        <v>186</v>
      </c>
      <c r="AL81" t="s">
        <v>990</v>
      </c>
      <c r="AM81" t="s">
        <v>1194</v>
      </c>
      <c r="AN81" t="s">
        <v>1195</v>
      </c>
      <c r="AO81">
        <v>0.99325168994982083</v>
      </c>
      <c r="AP81">
        <v>123.71901758661835</v>
      </c>
    </row>
    <row r="82" spans="2:42">
      <c r="B82" t="s">
        <v>182</v>
      </c>
      <c r="C82" t="s">
        <v>327</v>
      </c>
      <c r="D82" t="s">
        <v>328</v>
      </c>
      <c r="E82" t="s">
        <v>10</v>
      </c>
      <c r="F82" t="s">
        <v>21</v>
      </c>
      <c r="G82" t="s">
        <v>185</v>
      </c>
      <c r="H82" t="s">
        <v>186</v>
      </c>
      <c r="J82" t="s">
        <v>327</v>
      </c>
      <c r="K82" t="s">
        <v>483</v>
      </c>
      <c r="L82">
        <v>3.1119419211108625</v>
      </c>
      <c r="M82">
        <v>0.1563875266024429</v>
      </c>
      <c r="O82" t="s">
        <v>525</v>
      </c>
      <c r="P82" t="s">
        <v>670</v>
      </c>
      <c r="Q82" t="s">
        <v>671</v>
      </c>
      <c r="R82" t="s">
        <v>10</v>
      </c>
      <c r="S82" t="s">
        <v>21</v>
      </c>
      <c r="T82" t="s">
        <v>528</v>
      </c>
      <c r="U82" t="s">
        <v>529</v>
      </c>
      <c r="V82" t="s">
        <v>186</v>
      </c>
      <c r="X82" t="s">
        <v>670</v>
      </c>
      <c r="Y82" t="s">
        <v>523</v>
      </c>
      <c r="Z82" t="s">
        <v>816</v>
      </c>
      <c r="AA82">
        <v>0.99212032788677706</v>
      </c>
      <c r="AB82">
        <v>144.46065540908705</v>
      </c>
      <c r="AD82" t="s">
        <v>525</v>
      </c>
      <c r="AE82" t="s">
        <v>992</v>
      </c>
      <c r="AF82" t="s">
        <v>993</v>
      </c>
      <c r="AG82" t="s">
        <v>10</v>
      </c>
      <c r="AH82" t="s">
        <v>21</v>
      </c>
      <c r="AI82" t="s">
        <v>529</v>
      </c>
      <c r="AJ82" t="s">
        <v>186</v>
      </c>
      <c r="AL82" t="s">
        <v>992</v>
      </c>
      <c r="AM82" t="s">
        <v>1196</v>
      </c>
      <c r="AN82" t="s">
        <v>1197</v>
      </c>
      <c r="AO82">
        <v>0.98797763593201926</v>
      </c>
      <c r="AP82">
        <v>220.41000791298114</v>
      </c>
    </row>
    <row r="83" spans="2:42">
      <c r="B83" t="s">
        <v>182</v>
      </c>
      <c r="C83" t="s">
        <v>329</v>
      </c>
      <c r="D83" t="s">
        <v>330</v>
      </c>
      <c r="E83" t="s">
        <v>10</v>
      </c>
      <c r="F83" t="s">
        <v>21</v>
      </c>
      <c r="G83" t="s">
        <v>185</v>
      </c>
      <c r="H83" t="s">
        <v>186</v>
      </c>
      <c r="J83" t="s">
        <v>329</v>
      </c>
      <c r="K83" t="s">
        <v>484</v>
      </c>
      <c r="L83">
        <v>0.8917632099776861</v>
      </c>
      <c r="M83">
        <v>0.1810683927608229</v>
      </c>
      <c r="O83" t="s">
        <v>525</v>
      </c>
      <c r="P83" t="s">
        <v>672</v>
      </c>
      <c r="Q83" t="s">
        <v>673</v>
      </c>
      <c r="R83" t="s">
        <v>10</v>
      </c>
      <c r="S83" t="s">
        <v>21</v>
      </c>
      <c r="T83" t="s">
        <v>528</v>
      </c>
      <c r="U83" t="s">
        <v>529</v>
      </c>
      <c r="V83" t="s">
        <v>186</v>
      </c>
      <c r="X83" t="s">
        <v>672</v>
      </c>
      <c r="Y83" t="s">
        <v>516</v>
      </c>
      <c r="Z83" t="s">
        <v>817</v>
      </c>
      <c r="AA83">
        <v>0.97251949961593231</v>
      </c>
      <c r="AB83">
        <v>503.80917370790775</v>
      </c>
      <c r="AD83" t="s">
        <v>525</v>
      </c>
      <c r="AE83" t="s">
        <v>994</v>
      </c>
      <c r="AF83" t="s">
        <v>995</v>
      </c>
      <c r="AG83" t="s">
        <v>10</v>
      </c>
      <c r="AH83" t="s">
        <v>21</v>
      </c>
      <c r="AI83" t="s">
        <v>529</v>
      </c>
      <c r="AJ83" t="s">
        <v>186</v>
      </c>
      <c r="AL83" t="s">
        <v>994</v>
      </c>
      <c r="AM83" t="s">
        <v>1198</v>
      </c>
      <c r="AN83" t="s">
        <v>775</v>
      </c>
      <c r="AO83">
        <v>0.97997619003718484</v>
      </c>
      <c r="AP83">
        <v>367.10318265161095</v>
      </c>
    </row>
    <row r="84" spans="2:42">
      <c r="B84" t="s">
        <v>182</v>
      </c>
      <c r="C84" t="s">
        <v>331</v>
      </c>
      <c r="D84" t="s">
        <v>332</v>
      </c>
      <c r="E84" t="s">
        <v>10</v>
      </c>
      <c r="F84" t="s">
        <v>21</v>
      </c>
      <c r="G84" t="s">
        <v>185</v>
      </c>
      <c r="H84" t="s">
        <v>186</v>
      </c>
      <c r="J84" t="s">
        <v>331</v>
      </c>
      <c r="K84" t="s">
        <v>485</v>
      </c>
      <c r="L84">
        <v>5.1889130352193131</v>
      </c>
      <c r="M84">
        <v>0.1573836055722736</v>
      </c>
      <c r="O84" t="s">
        <v>525</v>
      </c>
      <c r="P84" t="s">
        <v>674</v>
      </c>
      <c r="Q84" t="s">
        <v>675</v>
      </c>
      <c r="R84" t="s">
        <v>10</v>
      </c>
      <c r="S84" t="s">
        <v>21</v>
      </c>
      <c r="T84" t="s">
        <v>528</v>
      </c>
      <c r="U84" t="s">
        <v>529</v>
      </c>
      <c r="V84" t="s">
        <v>186</v>
      </c>
      <c r="X84" t="s">
        <v>674</v>
      </c>
      <c r="Y84" t="s">
        <v>515</v>
      </c>
      <c r="Z84" t="s">
        <v>818</v>
      </c>
      <c r="AA84">
        <v>0.95565183697734912</v>
      </c>
      <c r="AB84">
        <v>813.04965541526678</v>
      </c>
      <c r="AD84" t="s">
        <v>525</v>
      </c>
      <c r="AE84" t="s">
        <v>996</v>
      </c>
      <c r="AF84" t="s">
        <v>997</v>
      </c>
      <c r="AG84" t="s">
        <v>10</v>
      </c>
      <c r="AH84" t="s">
        <v>21</v>
      </c>
      <c r="AI84" t="s">
        <v>529</v>
      </c>
      <c r="AJ84" t="s">
        <v>186</v>
      </c>
      <c r="AL84" t="s">
        <v>996</v>
      </c>
      <c r="AM84" t="s">
        <v>1199</v>
      </c>
      <c r="AN84" t="s">
        <v>776</v>
      </c>
      <c r="AO84">
        <v>0.97173730261338565</v>
      </c>
      <c r="AP84">
        <v>518.14945208793029</v>
      </c>
    </row>
    <row r="85" spans="2:42">
      <c r="B85" t="s">
        <v>182</v>
      </c>
      <c r="C85" t="s">
        <v>333</v>
      </c>
      <c r="D85" t="s">
        <v>334</v>
      </c>
      <c r="E85" t="s">
        <v>10</v>
      </c>
      <c r="F85" t="s">
        <v>21</v>
      </c>
      <c r="G85" t="s">
        <v>185</v>
      </c>
      <c r="H85" t="s">
        <v>186</v>
      </c>
      <c r="J85" t="s">
        <v>333</v>
      </c>
      <c r="K85" t="s">
        <v>486</v>
      </c>
      <c r="L85">
        <v>6.96566137483331</v>
      </c>
      <c r="M85">
        <v>0.14430557543810399</v>
      </c>
      <c r="O85" t="s">
        <v>525</v>
      </c>
      <c r="P85" t="s">
        <v>676</v>
      </c>
      <c r="Q85" t="s">
        <v>677</v>
      </c>
      <c r="R85" t="s">
        <v>10</v>
      </c>
      <c r="S85" t="s">
        <v>21</v>
      </c>
      <c r="T85" t="s">
        <v>528</v>
      </c>
      <c r="U85" t="s">
        <v>529</v>
      </c>
      <c r="V85" t="s">
        <v>186</v>
      </c>
      <c r="X85" t="s">
        <v>676</v>
      </c>
      <c r="Y85" t="s">
        <v>445</v>
      </c>
      <c r="Z85" t="s">
        <v>819</v>
      </c>
      <c r="AA85">
        <v>0.98087336501501077</v>
      </c>
      <c r="AB85">
        <v>350.65497472480331</v>
      </c>
      <c r="AD85" t="s">
        <v>525</v>
      </c>
      <c r="AE85" t="s">
        <v>998</v>
      </c>
      <c r="AF85" t="s">
        <v>999</v>
      </c>
      <c r="AG85" t="s">
        <v>10</v>
      </c>
      <c r="AH85" t="s">
        <v>21</v>
      </c>
      <c r="AI85" t="s">
        <v>529</v>
      </c>
      <c r="AJ85" t="s">
        <v>186</v>
      </c>
      <c r="AL85" t="s">
        <v>998</v>
      </c>
      <c r="AM85" t="s">
        <v>1200</v>
      </c>
      <c r="AN85" t="s">
        <v>786</v>
      </c>
      <c r="AO85">
        <v>0.95953295651517267</v>
      </c>
      <c r="AP85">
        <v>741.89579722183475</v>
      </c>
    </row>
    <row r="86" spans="2:42">
      <c r="B86" t="s">
        <v>182</v>
      </c>
      <c r="C86" t="s">
        <v>335</v>
      </c>
      <c r="D86" t="s">
        <v>336</v>
      </c>
      <c r="E86" t="s">
        <v>10</v>
      </c>
      <c r="F86" t="s">
        <v>21</v>
      </c>
      <c r="G86" t="s">
        <v>185</v>
      </c>
      <c r="H86" t="s">
        <v>186</v>
      </c>
      <c r="J86" t="s">
        <v>335</v>
      </c>
      <c r="K86" t="s">
        <v>487</v>
      </c>
      <c r="L86">
        <v>8.568956887920649</v>
      </c>
      <c r="M86">
        <v>0.14432408811836939</v>
      </c>
      <c r="O86" t="s">
        <v>525</v>
      </c>
      <c r="P86" t="s">
        <v>678</v>
      </c>
      <c r="Q86" t="s">
        <v>679</v>
      </c>
      <c r="R86" t="s">
        <v>10</v>
      </c>
      <c r="S86" t="s">
        <v>21</v>
      </c>
      <c r="T86" t="s">
        <v>528</v>
      </c>
      <c r="U86" t="s">
        <v>529</v>
      </c>
      <c r="V86" t="s">
        <v>186</v>
      </c>
      <c r="X86" t="s">
        <v>678</v>
      </c>
      <c r="Y86" t="s">
        <v>426</v>
      </c>
      <c r="Z86" t="s">
        <v>777</v>
      </c>
      <c r="AA86">
        <v>0.95853316962202983</v>
      </c>
      <c r="AB86">
        <v>760.22522359612071</v>
      </c>
      <c r="AD86" t="s">
        <v>525</v>
      </c>
      <c r="AE86" t="s">
        <v>1000</v>
      </c>
      <c r="AF86" t="s">
        <v>1001</v>
      </c>
      <c r="AG86" t="s">
        <v>10</v>
      </c>
      <c r="AH86" t="s">
        <v>21</v>
      </c>
      <c r="AI86" t="s">
        <v>529</v>
      </c>
      <c r="AJ86" t="s">
        <v>186</v>
      </c>
      <c r="AL86" t="s">
        <v>1000</v>
      </c>
      <c r="AM86" t="s">
        <v>1201</v>
      </c>
      <c r="AN86" t="s">
        <v>1202</v>
      </c>
      <c r="AO86">
        <v>0.96479750477096671</v>
      </c>
      <c r="AP86">
        <v>645.37907919894371</v>
      </c>
    </row>
    <row r="87" spans="2:42">
      <c r="B87" t="s">
        <v>182</v>
      </c>
      <c r="C87" t="s">
        <v>337</v>
      </c>
      <c r="D87" t="s">
        <v>338</v>
      </c>
      <c r="E87" t="s">
        <v>10</v>
      </c>
      <c r="F87" t="s">
        <v>21</v>
      </c>
      <c r="G87" t="s">
        <v>185</v>
      </c>
      <c r="H87" t="s">
        <v>186</v>
      </c>
      <c r="J87" t="s">
        <v>337</v>
      </c>
      <c r="K87" t="s">
        <v>488</v>
      </c>
      <c r="L87">
        <v>4.1373471279321192</v>
      </c>
      <c r="M87">
        <v>0.15178264234250211</v>
      </c>
      <c r="O87" t="s">
        <v>525</v>
      </c>
      <c r="P87" t="s">
        <v>680</v>
      </c>
      <c r="Q87" t="s">
        <v>681</v>
      </c>
      <c r="R87" t="s">
        <v>10</v>
      </c>
      <c r="S87" t="s">
        <v>21</v>
      </c>
      <c r="T87" t="s">
        <v>528</v>
      </c>
      <c r="U87" t="s">
        <v>529</v>
      </c>
      <c r="V87" t="s">
        <v>186</v>
      </c>
      <c r="X87" t="s">
        <v>680</v>
      </c>
      <c r="Y87" t="s">
        <v>494</v>
      </c>
      <c r="Z87" t="s">
        <v>820</v>
      </c>
      <c r="AA87">
        <v>0.99213378107616379</v>
      </c>
      <c r="AB87">
        <v>144.21401360366428</v>
      </c>
      <c r="AD87" t="s">
        <v>525</v>
      </c>
      <c r="AE87" t="s">
        <v>1002</v>
      </c>
      <c r="AF87" t="s">
        <v>1003</v>
      </c>
      <c r="AG87" t="s">
        <v>10</v>
      </c>
      <c r="AH87" t="s">
        <v>21</v>
      </c>
      <c r="AI87" t="s">
        <v>529</v>
      </c>
      <c r="AJ87" t="s">
        <v>186</v>
      </c>
      <c r="AL87" t="s">
        <v>1002</v>
      </c>
      <c r="AM87" t="s">
        <v>1203</v>
      </c>
      <c r="AN87" t="s">
        <v>1204</v>
      </c>
      <c r="AO87">
        <v>0.99528277665216003</v>
      </c>
      <c r="AP87">
        <v>86.482428043732668</v>
      </c>
    </row>
    <row r="88" spans="2:42">
      <c r="B88" t="s">
        <v>182</v>
      </c>
      <c r="C88" t="s">
        <v>339</v>
      </c>
      <c r="D88" t="s">
        <v>340</v>
      </c>
      <c r="E88" t="s">
        <v>10</v>
      </c>
      <c r="F88" t="s">
        <v>21</v>
      </c>
      <c r="G88" t="s">
        <v>185</v>
      </c>
      <c r="H88" t="s">
        <v>186</v>
      </c>
      <c r="J88" t="s">
        <v>339</v>
      </c>
      <c r="K88" t="s">
        <v>489</v>
      </c>
      <c r="L88">
        <v>7.968230135474287</v>
      </c>
      <c r="M88">
        <v>0.14496763342074051</v>
      </c>
      <c r="O88" t="s">
        <v>525</v>
      </c>
      <c r="P88" t="s">
        <v>682</v>
      </c>
      <c r="Q88" t="s">
        <v>683</v>
      </c>
      <c r="R88" t="s">
        <v>10</v>
      </c>
      <c r="S88" t="s">
        <v>21</v>
      </c>
      <c r="T88" t="s">
        <v>528</v>
      </c>
      <c r="U88" t="s">
        <v>529</v>
      </c>
      <c r="V88" t="s">
        <v>186</v>
      </c>
      <c r="X88" t="s">
        <v>682</v>
      </c>
      <c r="Y88" t="s">
        <v>475</v>
      </c>
      <c r="Z88" t="s">
        <v>821</v>
      </c>
      <c r="AA88">
        <v>0.99350583409779669</v>
      </c>
      <c r="AB88">
        <v>119.05970820705976</v>
      </c>
      <c r="AD88" t="s">
        <v>525</v>
      </c>
      <c r="AE88" t="s">
        <v>1004</v>
      </c>
      <c r="AF88" t="s">
        <v>1005</v>
      </c>
      <c r="AG88" t="s">
        <v>10</v>
      </c>
      <c r="AH88" t="s">
        <v>21</v>
      </c>
      <c r="AI88" t="s">
        <v>529</v>
      </c>
      <c r="AJ88" t="s">
        <v>186</v>
      </c>
      <c r="AL88" t="s">
        <v>1004</v>
      </c>
      <c r="AM88" t="s">
        <v>1205</v>
      </c>
      <c r="AN88" t="s">
        <v>822</v>
      </c>
      <c r="AO88">
        <v>0.96518271028799074</v>
      </c>
      <c r="AP88">
        <v>638.31697805350348</v>
      </c>
    </row>
    <row r="89" spans="2:42">
      <c r="B89" t="s">
        <v>182</v>
      </c>
      <c r="C89" t="s">
        <v>341</v>
      </c>
      <c r="D89" t="s">
        <v>342</v>
      </c>
      <c r="E89" t="s">
        <v>10</v>
      </c>
      <c r="F89" t="s">
        <v>21</v>
      </c>
      <c r="G89" t="s">
        <v>185</v>
      </c>
      <c r="H89" t="s">
        <v>186</v>
      </c>
      <c r="J89" t="s">
        <v>341</v>
      </c>
      <c r="K89" t="s">
        <v>490</v>
      </c>
      <c r="L89">
        <v>6.1765486771533036</v>
      </c>
      <c r="M89">
        <v>0.14727067782649239</v>
      </c>
      <c r="O89" t="s">
        <v>525</v>
      </c>
      <c r="P89" t="s">
        <v>684</v>
      </c>
      <c r="Q89" t="s">
        <v>685</v>
      </c>
      <c r="R89" t="s">
        <v>10</v>
      </c>
      <c r="S89" t="s">
        <v>21</v>
      </c>
      <c r="T89" t="s">
        <v>528</v>
      </c>
      <c r="U89" t="s">
        <v>529</v>
      </c>
      <c r="V89" t="s">
        <v>186</v>
      </c>
      <c r="X89" t="s">
        <v>684</v>
      </c>
      <c r="Y89" t="s">
        <v>481</v>
      </c>
      <c r="Z89" t="s">
        <v>822</v>
      </c>
      <c r="AA89">
        <v>0.9618985042000826</v>
      </c>
      <c r="AB89">
        <v>698.5274229984866</v>
      </c>
      <c r="AD89" t="s">
        <v>525</v>
      </c>
      <c r="AE89" t="s">
        <v>1006</v>
      </c>
      <c r="AF89" t="s">
        <v>1007</v>
      </c>
      <c r="AG89" t="s">
        <v>10</v>
      </c>
      <c r="AH89" t="s">
        <v>21</v>
      </c>
      <c r="AI89" t="s">
        <v>529</v>
      </c>
      <c r="AJ89" t="s">
        <v>186</v>
      </c>
      <c r="AL89" t="s">
        <v>1006</v>
      </c>
      <c r="AM89" t="s">
        <v>1206</v>
      </c>
      <c r="AN89" t="s">
        <v>1207</v>
      </c>
      <c r="AO89">
        <v>0.99199944807039286</v>
      </c>
      <c r="AP89">
        <v>146.6767853761304</v>
      </c>
    </row>
    <row r="90" spans="2:42">
      <c r="B90" t="s">
        <v>182</v>
      </c>
      <c r="C90" t="s">
        <v>343</v>
      </c>
      <c r="D90" t="s">
        <v>344</v>
      </c>
      <c r="E90" t="s">
        <v>10</v>
      </c>
      <c r="F90" t="s">
        <v>21</v>
      </c>
      <c r="G90" t="s">
        <v>185</v>
      </c>
      <c r="H90" t="s">
        <v>186</v>
      </c>
      <c r="J90" t="s">
        <v>343</v>
      </c>
      <c r="K90" t="s">
        <v>491</v>
      </c>
      <c r="L90">
        <v>1.7194201185361229</v>
      </c>
      <c r="M90">
        <v>0.14974398571092709</v>
      </c>
      <c r="O90" t="s">
        <v>525</v>
      </c>
      <c r="P90" t="s">
        <v>686</v>
      </c>
      <c r="Q90" t="s">
        <v>687</v>
      </c>
      <c r="R90" t="s">
        <v>10</v>
      </c>
      <c r="S90" t="s">
        <v>21</v>
      </c>
      <c r="T90" t="s">
        <v>528</v>
      </c>
      <c r="U90" t="s">
        <v>529</v>
      </c>
      <c r="V90" t="s">
        <v>186</v>
      </c>
      <c r="X90" t="s">
        <v>686</v>
      </c>
      <c r="Y90" t="s">
        <v>474</v>
      </c>
      <c r="Z90" t="s">
        <v>823</v>
      </c>
      <c r="AA90">
        <v>0.99155880904397919</v>
      </c>
      <c r="AB90">
        <v>154.75516752704766</v>
      </c>
      <c r="AD90" t="s">
        <v>525</v>
      </c>
      <c r="AE90" t="s">
        <v>1008</v>
      </c>
      <c r="AF90" t="s">
        <v>1009</v>
      </c>
      <c r="AG90" t="s">
        <v>10</v>
      </c>
      <c r="AH90" t="s">
        <v>21</v>
      </c>
      <c r="AI90" t="s">
        <v>529</v>
      </c>
      <c r="AJ90" t="s">
        <v>186</v>
      </c>
      <c r="AL90" t="s">
        <v>1008</v>
      </c>
      <c r="AM90" t="s">
        <v>1208</v>
      </c>
      <c r="AN90" t="s">
        <v>1209</v>
      </c>
      <c r="AO90">
        <v>0.96023571789181339</v>
      </c>
      <c r="AP90">
        <v>729.01183865008704</v>
      </c>
    </row>
    <row r="91" spans="2:42">
      <c r="B91" t="s">
        <v>182</v>
      </c>
      <c r="C91" t="s">
        <v>345</v>
      </c>
      <c r="D91" t="s">
        <v>346</v>
      </c>
      <c r="E91" t="s">
        <v>10</v>
      </c>
      <c r="F91" t="s">
        <v>21</v>
      </c>
      <c r="G91" t="s">
        <v>185</v>
      </c>
      <c r="H91" t="s">
        <v>186</v>
      </c>
      <c r="J91" t="s">
        <v>345</v>
      </c>
      <c r="K91" t="s">
        <v>492</v>
      </c>
      <c r="L91">
        <v>0.75735022579432432</v>
      </c>
      <c r="M91">
        <v>0.15919239312921379</v>
      </c>
      <c r="O91" t="s">
        <v>525</v>
      </c>
      <c r="P91" t="s">
        <v>688</v>
      </c>
      <c r="Q91" t="s">
        <v>689</v>
      </c>
      <c r="R91" t="s">
        <v>10</v>
      </c>
      <c r="S91" t="s">
        <v>21</v>
      </c>
      <c r="T91" t="s">
        <v>528</v>
      </c>
      <c r="U91" t="s">
        <v>529</v>
      </c>
      <c r="V91" t="s">
        <v>186</v>
      </c>
      <c r="X91" t="s">
        <v>688</v>
      </c>
      <c r="Y91" t="s">
        <v>465</v>
      </c>
      <c r="Z91" t="s">
        <v>824</v>
      </c>
      <c r="AA91">
        <v>0.99205788798417383</v>
      </c>
      <c r="AB91">
        <v>145.60538695681305</v>
      </c>
      <c r="AD91" t="s">
        <v>525</v>
      </c>
      <c r="AE91" t="s">
        <v>1010</v>
      </c>
      <c r="AF91" t="s">
        <v>1011</v>
      </c>
      <c r="AG91" t="s">
        <v>10</v>
      </c>
      <c r="AH91" t="s">
        <v>21</v>
      </c>
      <c r="AI91" t="s">
        <v>529</v>
      </c>
      <c r="AJ91" t="s">
        <v>186</v>
      </c>
      <c r="AL91" t="s">
        <v>1010</v>
      </c>
      <c r="AM91" t="s">
        <v>1210</v>
      </c>
      <c r="AN91" t="s">
        <v>825</v>
      </c>
      <c r="AO91">
        <v>0.96702859623648663</v>
      </c>
      <c r="AP91">
        <v>604.47573566441145</v>
      </c>
    </row>
    <row r="92" spans="2:42">
      <c r="B92" t="s">
        <v>182</v>
      </c>
      <c r="C92" t="s">
        <v>347</v>
      </c>
      <c r="D92" t="s">
        <v>348</v>
      </c>
      <c r="E92" t="s">
        <v>10</v>
      </c>
      <c r="F92" t="s">
        <v>21</v>
      </c>
      <c r="G92" t="s">
        <v>185</v>
      </c>
      <c r="H92" t="s">
        <v>186</v>
      </c>
      <c r="J92" t="s">
        <v>347</v>
      </c>
      <c r="K92" t="s">
        <v>493</v>
      </c>
      <c r="L92">
        <v>0.69762864433851912</v>
      </c>
      <c r="M92">
        <v>0.15822414982848801</v>
      </c>
      <c r="O92" t="s">
        <v>525</v>
      </c>
      <c r="P92" t="s">
        <v>690</v>
      </c>
      <c r="Q92" t="s">
        <v>691</v>
      </c>
      <c r="R92" t="s">
        <v>10</v>
      </c>
      <c r="S92" t="s">
        <v>21</v>
      </c>
      <c r="T92" t="s">
        <v>528</v>
      </c>
      <c r="U92" t="s">
        <v>529</v>
      </c>
      <c r="V92" t="s">
        <v>186</v>
      </c>
      <c r="X92" t="s">
        <v>690</v>
      </c>
      <c r="Y92" t="s">
        <v>440</v>
      </c>
      <c r="Z92" t="s">
        <v>825</v>
      </c>
      <c r="AA92">
        <v>0.96714986090860444</v>
      </c>
      <c r="AB92">
        <v>602.25255000891764</v>
      </c>
      <c r="AD92" t="s">
        <v>525</v>
      </c>
      <c r="AE92" t="s">
        <v>1012</v>
      </c>
      <c r="AF92" t="s">
        <v>1013</v>
      </c>
      <c r="AG92" t="s">
        <v>10</v>
      </c>
      <c r="AH92" t="s">
        <v>21</v>
      </c>
      <c r="AI92" t="s">
        <v>529</v>
      </c>
      <c r="AJ92" t="s">
        <v>186</v>
      </c>
      <c r="AL92" t="s">
        <v>1012</v>
      </c>
      <c r="AM92" t="s">
        <v>1211</v>
      </c>
      <c r="AN92" t="s">
        <v>829</v>
      </c>
      <c r="AO92">
        <v>0.95025422795287418</v>
      </c>
      <c r="AP92">
        <v>912.0058208639731</v>
      </c>
    </row>
    <row r="93" spans="2:42">
      <c r="B93" t="s">
        <v>182</v>
      </c>
      <c r="C93" t="s">
        <v>349</v>
      </c>
      <c r="D93" t="s">
        <v>350</v>
      </c>
      <c r="E93" t="s">
        <v>10</v>
      </c>
      <c r="F93" t="s">
        <v>21</v>
      </c>
      <c r="G93" t="s">
        <v>185</v>
      </c>
      <c r="H93" t="s">
        <v>186</v>
      </c>
      <c r="J93" t="s">
        <v>349</v>
      </c>
      <c r="K93" t="s">
        <v>494</v>
      </c>
      <c r="L93">
        <v>3.141094505387179</v>
      </c>
      <c r="M93">
        <v>0.16277775259120009</v>
      </c>
      <c r="O93" t="s">
        <v>525</v>
      </c>
      <c r="P93" t="s">
        <v>692</v>
      </c>
      <c r="Q93" t="s">
        <v>693</v>
      </c>
      <c r="R93" t="s">
        <v>10</v>
      </c>
      <c r="S93" t="s">
        <v>21</v>
      </c>
      <c r="T93" t="s">
        <v>528</v>
      </c>
      <c r="U93" t="s">
        <v>529</v>
      </c>
      <c r="V93" t="s">
        <v>186</v>
      </c>
      <c r="X93" t="s">
        <v>692</v>
      </c>
      <c r="Y93" t="s">
        <v>425</v>
      </c>
      <c r="Z93" t="s">
        <v>771</v>
      </c>
      <c r="AA93">
        <v>0.96786721050671209</v>
      </c>
      <c r="AB93">
        <v>589.10114071027772</v>
      </c>
      <c r="AD93" t="s">
        <v>525</v>
      </c>
      <c r="AE93" t="s">
        <v>1014</v>
      </c>
      <c r="AF93" t="s">
        <v>1015</v>
      </c>
      <c r="AG93" t="s">
        <v>10</v>
      </c>
      <c r="AH93" t="s">
        <v>21</v>
      </c>
      <c r="AI93" t="s">
        <v>529</v>
      </c>
      <c r="AJ93" t="s">
        <v>186</v>
      </c>
      <c r="AL93" t="s">
        <v>1014</v>
      </c>
      <c r="AM93" t="s">
        <v>1212</v>
      </c>
      <c r="AN93" t="s">
        <v>1213</v>
      </c>
      <c r="AO93">
        <v>0.99339067833800443</v>
      </c>
      <c r="AP93">
        <v>121.170897136585</v>
      </c>
    </row>
    <row r="94" spans="2:42">
      <c r="B94" t="s">
        <v>182</v>
      </c>
      <c r="C94" t="s">
        <v>351</v>
      </c>
      <c r="D94" t="s">
        <v>352</v>
      </c>
      <c r="E94" t="s">
        <v>10</v>
      </c>
      <c r="F94" t="s">
        <v>21</v>
      </c>
      <c r="G94" t="s">
        <v>185</v>
      </c>
      <c r="H94" t="s">
        <v>186</v>
      </c>
      <c r="J94" t="s">
        <v>351</v>
      </c>
      <c r="K94" t="s">
        <v>495</v>
      </c>
      <c r="L94">
        <v>2.0349081589263704</v>
      </c>
      <c r="M94">
        <v>0.1600235689413565</v>
      </c>
      <c r="O94" t="s">
        <v>525</v>
      </c>
      <c r="P94" t="s">
        <v>694</v>
      </c>
      <c r="Q94" t="s">
        <v>695</v>
      </c>
      <c r="R94" t="s">
        <v>10</v>
      </c>
      <c r="S94" t="s">
        <v>21</v>
      </c>
      <c r="T94" t="s">
        <v>528</v>
      </c>
      <c r="U94" t="s">
        <v>529</v>
      </c>
      <c r="V94" t="s">
        <v>186</v>
      </c>
      <c r="X94" t="s">
        <v>694</v>
      </c>
      <c r="Y94" t="s">
        <v>493</v>
      </c>
      <c r="Z94" t="s">
        <v>826</v>
      </c>
      <c r="AA94">
        <v>0.99536611980373724</v>
      </c>
      <c r="AB94">
        <v>84.954470264817672</v>
      </c>
      <c r="AD94" t="s">
        <v>525</v>
      </c>
      <c r="AE94" t="s">
        <v>1016</v>
      </c>
      <c r="AF94" t="s">
        <v>1017</v>
      </c>
      <c r="AG94" t="s">
        <v>10</v>
      </c>
      <c r="AH94" t="s">
        <v>21</v>
      </c>
      <c r="AI94" t="s">
        <v>529</v>
      </c>
      <c r="AJ94" t="s">
        <v>186</v>
      </c>
      <c r="AL94" t="s">
        <v>1016</v>
      </c>
      <c r="AM94" t="s">
        <v>1214</v>
      </c>
      <c r="AN94" t="s">
        <v>784</v>
      </c>
      <c r="AO94">
        <v>0.98562518994502724</v>
      </c>
      <c r="AP94">
        <v>263.53818434116715</v>
      </c>
    </row>
    <row r="95" spans="2:42">
      <c r="B95" t="s">
        <v>182</v>
      </c>
      <c r="C95" t="s">
        <v>353</v>
      </c>
      <c r="D95" t="s">
        <v>354</v>
      </c>
      <c r="E95" t="s">
        <v>10</v>
      </c>
      <c r="F95" t="s">
        <v>21</v>
      </c>
      <c r="G95" t="s">
        <v>185</v>
      </c>
      <c r="H95" t="s">
        <v>186</v>
      </c>
      <c r="J95" t="s">
        <v>353</v>
      </c>
      <c r="K95" t="s">
        <v>496</v>
      </c>
      <c r="L95">
        <v>3.6866547573015502</v>
      </c>
      <c r="M95">
        <v>0.16591823554090809</v>
      </c>
      <c r="O95" t="s">
        <v>525</v>
      </c>
      <c r="P95" t="s">
        <v>696</v>
      </c>
      <c r="Q95" t="s">
        <v>697</v>
      </c>
      <c r="R95" t="s">
        <v>10</v>
      </c>
      <c r="S95" t="s">
        <v>21</v>
      </c>
      <c r="T95" t="s">
        <v>528</v>
      </c>
      <c r="U95" t="s">
        <v>529</v>
      </c>
      <c r="V95" t="s">
        <v>186</v>
      </c>
      <c r="X95" t="s">
        <v>696</v>
      </c>
      <c r="Y95" t="s">
        <v>511</v>
      </c>
      <c r="Z95" t="s">
        <v>827</v>
      </c>
      <c r="AA95">
        <v>0.99711547767783626</v>
      </c>
      <c r="AB95">
        <v>52.882909239669097</v>
      </c>
      <c r="AD95" t="s">
        <v>525</v>
      </c>
      <c r="AE95" t="s">
        <v>1018</v>
      </c>
      <c r="AF95" t="s">
        <v>1019</v>
      </c>
      <c r="AG95" t="s">
        <v>10</v>
      </c>
      <c r="AH95" t="s">
        <v>21</v>
      </c>
      <c r="AI95" t="s">
        <v>529</v>
      </c>
      <c r="AJ95" t="s">
        <v>186</v>
      </c>
      <c r="AL95" t="s">
        <v>1018</v>
      </c>
      <c r="AM95" t="s">
        <v>1215</v>
      </c>
      <c r="AN95" t="s">
        <v>1216</v>
      </c>
      <c r="AO95">
        <v>0.99736324987149239</v>
      </c>
      <c r="AP95">
        <v>48.340419022639914</v>
      </c>
    </row>
    <row r="96" spans="2:42">
      <c r="B96" t="s">
        <v>182</v>
      </c>
      <c r="C96" t="s">
        <v>355</v>
      </c>
      <c r="D96" t="s">
        <v>356</v>
      </c>
      <c r="E96" t="s">
        <v>10</v>
      </c>
      <c r="F96" t="s">
        <v>21</v>
      </c>
      <c r="G96" t="s">
        <v>185</v>
      </c>
      <c r="H96" t="s">
        <v>186</v>
      </c>
      <c r="J96" t="s">
        <v>355</v>
      </c>
      <c r="K96" t="s">
        <v>497</v>
      </c>
      <c r="L96">
        <v>0.23518123195177248</v>
      </c>
      <c r="M96">
        <v>0.18419301401902219</v>
      </c>
      <c r="O96" t="s">
        <v>525</v>
      </c>
      <c r="P96" t="s">
        <v>698</v>
      </c>
      <c r="Q96" t="s">
        <v>699</v>
      </c>
      <c r="R96" t="s">
        <v>10</v>
      </c>
      <c r="S96" t="s">
        <v>21</v>
      </c>
      <c r="T96" t="s">
        <v>528</v>
      </c>
      <c r="U96" t="s">
        <v>529</v>
      </c>
      <c r="V96" t="s">
        <v>186</v>
      </c>
      <c r="X96" t="s">
        <v>698</v>
      </c>
      <c r="Y96" t="s">
        <v>435</v>
      </c>
      <c r="Z96" t="s">
        <v>800</v>
      </c>
      <c r="AA96">
        <v>0.99359422268100406</v>
      </c>
      <c r="AB96">
        <v>117.43925084825979</v>
      </c>
      <c r="AD96" t="s">
        <v>525</v>
      </c>
      <c r="AE96" t="s">
        <v>1020</v>
      </c>
      <c r="AF96" t="s">
        <v>1021</v>
      </c>
      <c r="AG96" t="s">
        <v>10</v>
      </c>
      <c r="AH96" t="s">
        <v>21</v>
      </c>
      <c r="AI96" t="s">
        <v>529</v>
      </c>
      <c r="AJ96" t="s">
        <v>186</v>
      </c>
      <c r="AL96" t="s">
        <v>1020</v>
      </c>
      <c r="AM96" t="s">
        <v>1217</v>
      </c>
      <c r="AN96" t="s">
        <v>1218</v>
      </c>
      <c r="AO96">
        <v>0.98112610126652822</v>
      </c>
      <c r="AP96">
        <v>346.0214767803169</v>
      </c>
    </row>
    <row r="97" spans="2:42">
      <c r="B97" t="s">
        <v>182</v>
      </c>
      <c r="C97" t="s">
        <v>357</v>
      </c>
      <c r="D97" t="s">
        <v>358</v>
      </c>
      <c r="E97" t="s">
        <v>10</v>
      </c>
      <c r="F97" t="s">
        <v>21</v>
      </c>
      <c r="G97" t="s">
        <v>185</v>
      </c>
      <c r="H97" t="s">
        <v>186</v>
      </c>
      <c r="J97" t="s">
        <v>357</v>
      </c>
      <c r="K97" t="s">
        <v>498</v>
      </c>
      <c r="L97">
        <v>1.2387671921137384</v>
      </c>
      <c r="M97">
        <v>0.1675692061140594</v>
      </c>
      <c r="O97" t="s">
        <v>525</v>
      </c>
      <c r="P97" t="s">
        <v>700</v>
      </c>
      <c r="Q97" t="s">
        <v>701</v>
      </c>
      <c r="R97" t="s">
        <v>10</v>
      </c>
      <c r="S97" t="s">
        <v>21</v>
      </c>
      <c r="T97" t="s">
        <v>528</v>
      </c>
      <c r="U97" t="s">
        <v>529</v>
      </c>
      <c r="V97" t="s">
        <v>186</v>
      </c>
      <c r="X97" t="s">
        <v>700</v>
      </c>
      <c r="Y97" t="s">
        <v>443</v>
      </c>
      <c r="Z97" t="s">
        <v>828</v>
      </c>
      <c r="AA97">
        <v>0.98344247547448094</v>
      </c>
      <c r="AB97">
        <v>303.55461630118242</v>
      </c>
      <c r="AD97" t="s">
        <v>525</v>
      </c>
      <c r="AE97" t="s">
        <v>1022</v>
      </c>
      <c r="AF97" t="s">
        <v>1023</v>
      </c>
      <c r="AG97" t="s">
        <v>10</v>
      </c>
      <c r="AH97" t="s">
        <v>21</v>
      </c>
      <c r="AI97" t="s">
        <v>529</v>
      </c>
      <c r="AJ97" t="s">
        <v>186</v>
      </c>
      <c r="AL97" t="s">
        <v>1022</v>
      </c>
      <c r="AM97" t="s">
        <v>1219</v>
      </c>
      <c r="AN97" t="s">
        <v>763</v>
      </c>
      <c r="AO97">
        <v>0.99473960117719429</v>
      </c>
      <c r="AP97">
        <v>96.440645084771134</v>
      </c>
    </row>
    <row r="98" spans="2:42">
      <c r="B98" t="s">
        <v>182</v>
      </c>
      <c r="C98" t="s">
        <v>359</v>
      </c>
      <c r="D98" t="s">
        <v>360</v>
      </c>
      <c r="E98" t="s">
        <v>10</v>
      </c>
      <c r="F98" t="s">
        <v>21</v>
      </c>
      <c r="G98" t="s">
        <v>185</v>
      </c>
      <c r="H98" t="s">
        <v>186</v>
      </c>
      <c r="J98" t="s">
        <v>359</v>
      </c>
      <c r="K98" t="s">
        <v>499</v>
      </c>
      <c r="L98">
        <v>1.0769364027548496</v>
      </c>
      <c r="M98">
        <v>0.1843372240024351</v>
      </c>
      <c r="O98" t="s">
        <v>525</v>
      </c>
      <c r="P98" t="s">
        <v>702</v>
      </c>
      <c r="Q98" t="s">
        <v>703</v>
      </c>
      <c r="R98" t="s">
        <v>10</v>
      </c>
      <c r="S98" t="s">
        <v>21</v>
      </c>
      <c r="T98" t="s">
        <v>528</v>
      </c>
      <c r="U98" t="s">
        <v>529</v>
      </c>
      <c r="V98" t="s">
        <v>186</v>
      </c>
      <c r="X98" t="s">
        <v>702</v>
      </c>
      <c r="Y98" t="s">
        <v>428</v>
      </c>
      <c r="Z98" t="s">
        <v>829</v>
      </c>
      <c r="AA98">
        <v>0.94728824874196493</v>
      </c>
      <c r="AB98">
        <v>966.38210639730869</v>
      </c>
      <c r="AD98" t="s">
        <v>525</v>
      </c>
      <c r="AE98" t="s">
        <v>1024</v>
      </c>
      <c r="AF98" t="s">
        <v>1025</v>
      </c>
      <c r="AG98" t="s">
        <v>10</v>
      </c>
      <c r="AH98" t="s">
        <v>21</v>
      </c>
      <c r="AI98" t="s">
        <v>529</v>
      </c>
      <c r="AJ98" t="s">
        <v>186</v>
      </c>
      <c r="AL98" t="s">
        <v>1024</v>
      </c>
      <c r="AM98" t="s">
        <v>1220</v>
      </c>
      <c r="AN98" t="s">
        <v>844</v>
      </c>
      <c r="AO98">
        <v>0.97861605060045476</v>
      </c>
      <c r="AP98">
        <v>392.0390723249954</v>
      </c>
    </row>
    <row r="99" spans="2:42">
      <c r="B99" t="s">
        <v>182</v>
      </c>
      <c r="C99" t="s">
        <v>361</v>
      </c>
      <c r="D99" t="s">
        <v>362</v>
      </c>
      <c r="E99" t="s">
        <v>10</v>
      </c>
      <c r="F99" t="s">
        <v>21</v>
      </c>
      <c r="G99" t="s">
        <v>185</v>
      </c>
      <c r="H99" t="s">
        <v>186</v>
      </c>
      <c r="J99" t="s">
        <v>361</v>
      </c>
      <c r="K99" t="s">
        <v>500</v>
      </c>
      <c r="L99">
        <v>4.863761473647755</v>
      </c>
      <c r="M99">
        <v>0.18287087487683851</v>
      </c>
      <c r="O99" t="s">
        <v>525</v>
      </c>
      <c r="P99" t="s">
        <v>704</v>
      </c>
      <c r="Q99" t="s">
        <v>705</v>
      </c>
      <c r="R99" t="s">
        <v>10</v>
      </c>
      <c r="S99" t="s">
        <v>21</v>
      </c>
      <c r="T99" t="s">
        <v>528</v>
      </c>
      <c r="U99" t="s">
        <v>529</v>
      </c>
      <c r="V99" t="s">
        <v>186</v>
      </c>
      <c r="X99" t="s">
        <v>704</v>
      </c>
      <c r="Y99" t="s">
        <v>427</v>
      </c>
      <c r="Z99" t="s">
        <v>830</v>
      </c>
      <c r="AA99">
        <v>0.94572114997797563</v>
      </c>
      <c r="AB99">
        <v>995.11225040377974</v>
      </c>
      <c r="AD99" t="s">
        <v>525</v>
      </c>
      <c r="AE99" t="s">
        <v>1026</v>
      </c>
      <c r="AF99" t="s">
        <v>1027</v>
      </c>
      <c r="AG99" t="s">
        <v>10</v>
      </c>
      <c r="AH99" t="s">
        <v>21</v>
      </c>
      <c r="AI99" t="s">
        <v>529</v>
      </c>
      <c r="AJ99" t="s">
        <v>186</v>
      </c>
      <c r="AL99" t="s">
        <v>1026</v>
      </c>
      <c r="AM99" t="s">
        <v>1221</v>
      </c>
      <c r="AN99" t="s">
        <v>1222</v>
      </c>
      <c r="AO99">
        <v>0.99508592195918222</v>
      </c>
      <c r="AP99">
        <v>90.091430748326658</v>
      </c>
    </row>
    <row r="100" spans="2:42">
      <c r="B100" t="s">
        <v>182</v>
      </c>
      <c r="C100" t="s">
        <v>363</v>
      </c>
      <c r="D100" t="s">
        <v>364</v>
      </c>
      <c r="E100" t="s">
        <v>10</v>
      </c>
      <c r="F100" t="s">
        <v>21</v>
      </c>
      <c r="G100" t="s">
        <v>185</v>
      </c>
      <c r="H100" t="s">
        <v>186</v>
      </c>
      <c r="J100" t="s">
        <v>363</v>
      </c>
      <c r="K100" t="s">
        <v>501</v>
      </c>
      <c r="L100">
        <v>1.3610383651942781</v>
      </c>
      <c r="M100">
        <v>0.1629527597955443</v>
      </c>
      <c r="O100" t="s">
        <v>525</v>
      </c>
      <c r="P100" t="s">
        <v>706</v>
      </c>
      <c r="Q100" t="s">
        <v>707</v>
      </c>
      <c r="R100" t="s">
        <v>10</v>
      </c>
      <c r="S100" t="s">
        <v>21</v>
      </c>
      <c r="T100" t="s">
        <v>528</v>
      </c>
      <c r="U100" t="s">
        <v>529</v>
      </c>
      <c r="V100" t="s">
        <v>186</v>
      </c>
      <c r="X100" t="s">
        <v>706</v>
      </c>
      <c r="Y100" t="s">
        <v>412</v>
      </c>
      <c r="Z100" t="s">
        <v>777</v>
      </c>
      <c r="AA100">
        <v>0.97560277756726399</v>
      </c>
      <c r="AB100">
        <v>447.28241126682786</v>
      </c>
      <c r="AD100" t="s">
        <v>525</v>
      </c>
      <c r="AE100" t="s">
        <v>1028</v>
      </c>
      <c r="AF100" t="s">
        <v>1029</v>
      </c>
      <c r="AG100" t="s">
        <v>10</v>
      </c>
      <c r="AH100" t="s">
        <v>21</v>
      </c>
      <c r="AI100" t="s">
        <v>529</v>
      </c>
      <c r="AJ100" t="s">
        <v>186</v>
      </c>
      <c r="AL100" t="s">
        <v>1028</v>
      </c>
      <c r="AM100" t="s">
        <v>1223</v>
      </c>
      <c r="AN100" t="s">
        <v>1224</v>
      </c>
      <c r="AO100">
        <v>0.98119730624586221</v>
      </c>
      <c r="AP100">
        <v>344.71605215919334</v>
      </c>
    </row>
    <row r="101" spans="2:42">
      <c r="B101" t="s">
        <v>182</v>
      </c>
      <c r="C101" t="s">
        <v>365</v>
      </c>
      <c r="D101" t="s">
        <v>366</v>
      </c>
      <c r="E101" t="s">
        <v>10</v>
      </c>
      <c r="F101" t="s">
        <v>21</v>
      </c>
      <c r="G101" t="s">
        <v>185</v>
      </c>
      <c r="H101" t="s">
        <v>186</v>
      </c>
      <c r="J101" t="s">
        <v>365</v>
      </c>
      <c r="K101" t="s">
        <v>502</v>
      </c>
      <c r="L101">
        <v>0.20871528164014749</v>
      </c>
      <c r="M101">
        <v>0.1671853283137982</v>
      </c>
      <c r="O101" t="s">
        <v>525</v>
      </c>
      <c r="P101" t="s">
        <v>708</v>
      </c>
      <c r="Q101" t="s">
        <v>709</v>
      </c>
      <c r="R101" t="s">
        <v>10</v>
      </c>
      <c r="S101" t="s">
        <v>21</v>
      </c>
      <c r="T101" t="s">
        <v>528</v>
      </c>
      <c r="U101" t="s">
        <v>529</v>
      </c>
      <c r="V101" t="s">
        <v>186</v>
      </c>
      <c r="X101" t="s">
        <v>708</v>
      </c>
      <c r="Y101" t="s">
        <v>419</v>
      </c>
      <c r="Z101" t="s">
        <v>831</v>
      </c>
      <c r="AA101">
        <v>0.99186360504348214</v>
      </c>
      <c r="AB101">
        <v>149.16724086949478</v>
      </c>
      <c r="AD101" t="s">
        <v>525</v>
      </c>
      <c r="AE101" t="s">
        <v>1030</v>
      </c>
      <c r="AF101" t="s">
        <v>1031</v>
      </c>
      <c r="AG101" t="s">
        <v>10</v>
      </c>
      <c r="AH101" t="s">
        <v>21</v>
      </c>
      <c r="AI101" t="s">
        <v>529</v>
      </c>
      <c r="AJ101" t="s">
        <v>186</v>
      </c>
      <c r="AL101" t="s">
        <v>1030</v>
      </c>
      <c r="AM101" t="s">
        <v>1225</v>
      </c>
      <c r="AN101" t="s">
        <v>1226</v>
      </c>
      <c r="AO101">
        <v>0.99142938949119519</v>
      </c>
      <c r="AP101">
        <v>157.12785932808816</v>
      </c>
    </row>
    <row r="102" spans="2:42">
      <c r="B102" t="s">
        <v>182</v>
      </c>
      <c r="C102" t="s">
        <v>367</v>
      </c>
      <c r="D102" t="s">
        <v>368</v>
      </c>
      <c r="E102" t="s">
        <v>10</v>
      </c>
      <c r="F102" t="s">
        <v>21</v>
      </c>
      <c r="G102" t="s">
        <v>185</v>
      </c>
      <c r="H102" t="s">
        <v>186</v>
      </c>
      <c r="J102" t="s">
        <v>367</v>
      </c>
      <c r="K102" t="s">
        <v>503</v>
      </c>
      <c r="L102">
        <v>1.9717618027625665</v>
      </c>
      <c r="M102">
        <v>0.16448784579016279</v>
      </c>
      <c r="O102" t="s">
        <v>525</v>
      </c>
      <c r="P102" t="s">
        <v>710</v>
      </c>
      <c r="Q102" t="s">
        <v>711</v>
      </c>
      <c r="R102" t="s">
        <v>10</v>
      </c>
      <c r="S102" t="s">
        <v>21</v>
      </c>
      <c r="T102" t="s">
        <v>528</v>
      </c>
      <c r="U102" t="s">
        <v>529</v>
      </c>
      <c r="V102" t="s">
        <v>186</v>
      </c>
      <c r="X102" t="s">
        <v>710</v>
      </c>
      <c r="Y102" t="s">
        <v>417</v>
      </c>
      <c r="Z102" t="s">
        <v>832</v>
      </c>
      <c r="AA102">
        <v>0.99687969124005726</v>
      </c>
      <c r="AB102">
        <v>57.205660598949251</v>
      </c>
      <c r="AD102" t="s">
        <v>525</v>
      </c>
      <c r="AE102" t="s">
        <v>1032</v>
      </c>
      <c r="AF102" t="s">
        <v>1033</v>
      </c>
      <c r="AG102" t="s">
        <v>10</v>
      </c>
      <c r="AH102" t="s">
        <v>21</v>
      </c>
      <c r="AI102" t="s">
        <v>529</v>
      </c>
      <c r="AJ102" t="s">
        <v>186</v>
      </c>
      <c r="AL102" t="s">
        <v>1032</v>
      </c>
      <c r="AM102" t="s">
        <v>1227</v>
      </c>
      <c r="AN102" t="s">
        <v>768</v>
      </c>
      <c r="AO102">
        <v>0.97681985605165111</v>
      </c>
      <c r="AP102">
        <v>424.96930571972894</v>
      </c>
    </row>
    <row r="103" spans="2:42">
      <c r="B103" t="s">
        <v>182</v>
      </c>
      <c r="C103" t="s">
        <v>369</v>
      </c>
      <c r="D103" t="s">
        <v>370</v>
      </c>
      <c r="E103" t="s">
        <v>10</v>
      </c>
      <c r="F103" t="s">
        <v>21</v>
      </c>
      <c r="G103" t="s">
        <v>185</v>
      </c>
      <c r="H103" t="s">
        <v>186</v>
      </c>
      <c r="J103" t="s">
        <v>369</v>
      </c>
      <c r="K103" t="s">
        <v>504</v>
      </c>
      <c r="L103">
        <v>0.27749514290900934</v>
      </c>
      <c r="M103">
        <v>0.17510251944778071</v>
      </c>
      <c r="O103" t="s">
        <v>525</v>
      </c>
      <c r="P103" t="s">
        <v>712</v>
      </c>
      <c r="Q103" t="s">
        <v>713</v>
      </c>
      <c r="R103" t="s">
        <v>10</v>
      </c>
      <c r="S103" t="s">
        <v>21</v>
      </c>
      <c r="T103" t="s">
        <v>528</v>
      </c>
      <c r="U103" t="s">
        <v>529</v>
      </c>
      <c r="V103" t="s">
        <v>186</v>
      </c>
      <c r="X103" t="s">
        <v>712</v>
      </c>
      <c r="Y103" t="s">
        <v>496</v>
      </c>
      <c r="Z103" t="s">
        <v>833</v>
      </c>
      <c r="AA103">
        <v>0.99541786661907483</v>
      </c>
      <c r="AB103">
        <v>84.005778650295483</v>
      </c>
      <c r="AD103" t="s">
        <v>525</v>
      </c>
      <c r="AE103" t="s">
        <v>1034</v>
      </c>
      <c r="AF103" t="s">
        <v>1035</v>
      </c>
      <c r="AG103" t="s">
        <v>10</v>
      </c>
      <c r="AH103" t="s">
        <v>21</v>
      </c>
      <c r="AI103" t="s">
        <v>529</v>
      </c>
      <c r="AJ103" t="s">
        <v>186</v>
      </c>
      <c r="AL103" t="s">
        <v>1034</v>
      </c>
      <c r="AM103" t="s">
        <v>1228</v>
      </c>
      <c r="AN103" t="s">
        <v>1229</v>
      </c>
      <c r="AO103">
        <v>0.99458173745996081</v>
      </c>
      <c r="AP103">
        <v>99.334813234052177</v>
      </c>
    </row>
    <row r="104" spans="2:42">
      <c r="B104" t="s">
        <v>182</v>
      </c>
      <c r="C104" t="s">
        <v>371</v>
      </c>
      <c r="D104" t="s">
        <v>372</v>
      </c>
      <c r="E104" t="s">
        <v>10</v>
      </c>
      <c r="F104" t="s">
        <v>21</v>
      </c>
      <c r="G104" t="s">
        <v>185</v>
      </c>
      <c r="H104" t="s">
        <v>186</v>
      </c>
      <c r="J104" t="s">
        <v>371</v>
      </c>
      <c r="K104" t="s">
        <v>505</v>
      </c>
      <c r="L104">
        <v>1.0861517871043362</v>
      </c>
      <c r="M104">
        <v>0.16824137330994701</v>
      </c>
      <c r="O104" t="s">
        <v>525</v>
      </c>
      <c r="P104" t="s">
        <v>714</v>
      </c>
      <c r="Q104" t="s">
        <v>715</v>
      </c>
      <c r="R104" t="s">
        <v>10</v>
      </c>
      <c r="S104" t="s">
        <v>21</v>
      </c>
      <c r="T104" t="s">
        <v>528</v>
      </c>
      <c r="U104" t="s">
        <v>529</v>
      </c>
      <c r="V104" t="s">
        <v>186</v>
      </c>
      <c r="X104" t="s">
        <v>714</v>
      </c>
      <c r="Y104" t="s">
        <v>495</v>
      </c>
      <c r="Z104" t="s">
        <v>834</v>
      </c>
      <c r="AA104">
        <v>0.99140075219905943</v>
      </c>
      <c r="AB104">
        <v>157.65287635057757</v>
      </c>
      <c r="AD104" t="s">
        <v>525</v>
      </c>
      <c r="AE104" t="s">
        <v>1036</v>
      </c>
      <c r="AF104" t="s">
        <v>1037</v>
      </c>
      <c r="AG104" t="s">
        <v>10</v>
      </c>
      <c r="AH104" t="s">
        <v>21</v>
      </c>
      <c r="AI104" t="s">
        <v>529</v>
      </c>
      <c r="AJ104" t="s">
        <v>186</v>
      </c>
      <c r="AL104" t="s">
        <v>1036</v>
      </c>
      <c r="AM104" t="s">
        <v>1230</v>
      </c>
      <c r="AN104" t="s">
        <v>1231</v>
      </c>
      <c r="AO104">
        <v>0.98211155303370046</v>
      </c>
      <c r="AP104">
        <v>327.95486104882536</v>
      </c>
    </row>
    <row r="105" spans="2:42">
      <c r="B105" t="s">
        <v>182</v>
      </c>
      <c r="C105" t="s">
        <v>373</v>
      </c>
      <c r="D105" t="s">
        <v>374</v>
      </c>
      <c r="E105" t="s">
        <v>10</v>
      </c>
      <c r="F105" t="s">
        <v>21</v>
      </c>
      <c r="G105" t="s">
        <v>185</v>
      </c>
      <c r="H105" t="s">
        <v>186</v>
      </c>
      <c r="J105" t="s">
        <v>373</v>
      </c>
      <c r="K105" t="s">
        <v>506</v>
      </c>
      <c r="L105">
        <v>0.38244097120484705</v>
      </c>
      <c r="M105">
        <v>0.1657518986192876</v>
      </c>
      <c r="O105" t="s">
        <v>525</v>
      </c>
      <c r="P105" t="s">
        <v>716</v>
      </c>
      <c r="Q105" t="s">
        <v>717</v>
      </c>
      <c r="R105" t="s">
        <v>10</v>
      </c>
      <c r="S105" t="s">
        <v>21</v>
      </c>
      <c r="T105" t="s">
        <v>528</v>
      </c>
      <c r="U105" t="s">
        <v>529</v>
      </c>
      <c r="V105" t="s">
        <v>186</v>
      </c>
      <c r="X105" t="s">
        <v>716</v>
      </c>
      <c r="Y105" t="s">
        <v>512</v>
      </c>
      <c r="Z105" t="s">
        <v>835</v>
      </c>
      <c r="AA105">
        <v>0.99566116133903737</v>
      </c>
      <c r="AB105">
        <v>79.545375450981282</v>
      </c>
      <c r="AD105" t="s">
        <v>525</v>
      </c>
      <c r="AE105" t="s">
        <v>1038</v>
      </c>
      <c r="AF105" t="s">
        <v>1039</v>
      </c>
      <c r="AG105" t="s">
        <v>10</v>
      </c>
      <c r="AH105" t="s">
        <v>21</v>
      </c>
      <c r="AI105" t="s">
        <v>529</v>
      </c>
      <c r="AJ105" t="s">
        <v>186</v>
      </c>
      <c r="AL105" t="s">
        <v>1038</v>
      </c>
      <c r="AM105" t="s">
        <v>1232</v>
      </c>
      <c r="AN105" t="s">
        <v>1233</v>
      </c>
      <c r="AO105">
        <v>0.96105091021535305</v>
      </c>
      <c r="AP105">
        <v>714.06664605185995</v>
      </c>
    </row>
    <row r="106" spans="2:42">
      <c r="B106" t="s">
        <v>182</v>
      </c>
      <c r="C106" t="s">
        <v>375</v>
      </c>
      <c r="D106" t="s">
        <v>376</v>
      </c>
      <c r="E106" t="s">
        <v>10</v>
      </c>
      <c r="F106" t="s">
        <v>21</v>
      </c>
      <c r="G106" t="s">
        <v>185</v>
      </c>
      <c r="H106" t="s">
        <v>186</v>
      </c>
      <c r="J106" t="s">
        <v>375</v>
      </c>
      <c r="K106" t="s">
        <v>507</v>
      </c>
      <c r="L106">
        <v>0.25650580238104803</v>
      </c>
      <c r="M106">
        <v>0.15759863260167839</v>
      </c>
      <c r="O106" t="s">
        <v>525</v>
      </c>
      <c r="P106" t="s">
        <v>718</v>
      </c>
      <c r="Q106" t="s">
        <v>719</v>
      </c>
      <c r="R106" t="s">
        <v>10</v>
      </c>
      <c r="S106" t="s">
        <v>21</v>
      </c>
      <c r="T106" t="s">
        <v>528</v>
      </c>
      <c r="U106" t="s">
        <v>529</v>
      </c>
      <c r="V106" t="s">
        <v>186</v>
      </c>
      <c r="X106" t="s">
        <v>718</v>
      </c>
      <c r="Y106" t="s">
        <v>457</v>
      </c>
      <c r="Z106" t="s">
        <v>836</v>
      </c>
      <c r="AA106">
        <v>0.97957044315726016</v>
      </c>
      <c r="AB106">
        <v>374.54187545023012</v>
      </c>
      <c r="AD106" t="s">
        <v>525</v>
      </c>
      <c r="AE106" t="s">
        <v>1040</v>
      </c>
      <c r="AF106" t="s">
        <v>1041</v>
      </c>
      <c r="AG106" t="s">
        <v>10</v>
      </c>
      <c r="AH106" t="s">
        <v>21</v>
      </c>
      <c r="AI106" t="s">
        <v>529</v>
      </c>
      <c r="AJ106" t="s">
        <v>186</v>
      </c>
      <c r="AL106" t="s">
        <v>1040</v>
      </c>
      <c r="AM106" t="s">
        <v>1234</v>
      </c>
      <c r="AN106" t="s">
        <v>786</v>
      </c>
      <c r="AO106">
        <v>0.96381581443399977</v>
      </c>
      <c r="AP106">
        <v>663.37673537667001</v>
      </c>
    </row>
    <row r="107" spans="2:42">
      <c r="B107" t="s">
        <v>182</v>
      </c>
      <c r="C107" t="s">
        <v>377</v>
      </c>
      <c r="D107" t="s">
        <v>378</v>
      </c>
      <c r="E107" t="s">
        <v>10</v>
      </c>
      <c r="F107" t="s">
        <v>21</v>
      </c>
      <c r="G107" t="s">
        <v>185</v>
      </c>
      <c r="H107" t="s">
        <v>186</v>
      </c>
      <c r="J107" t="s">
        <v>377</v>
      </c>
      <c r="K107" t="s">
        <v>508</v>
      </c>
      <c r="L107">
        <v>1.1050149298052989</v>
      </c>
      <c r="M107">
        <v>0.16351431548189771</v>
      </c>
      <c r="O107" t="s">
        <v>525</v>
      </c>
      <c r="P107" t="s">
        <v>720</v>
      </c>
      <c r="Q107" t="s">
        <v>721</v>
      </c>
      <c r="R107" t="s">
        <v>10</v>
      </c>
      <c r="S107" t="s">
        <v>21</v>
      </c>
      <c r="T107" t="s">
        <v>528</v>
      </c>
      <c r="U107" t="s">
        <v>529</v>
      </c>
      <c r="V107" t="s">
        <v>186</v>
      </c>
      <c r="X107" t="s">
        <v>720</v>
      </c>
      <c r="Y107" t="s">
        <v>454</v>
      </c>
      <c r="Z107" t="s">
        <v>837</v>
      </c>
      <c r="AA107">
        <v>0.96512242849974439</v>
      </c>
      <c r="AB107">
        <v>639.42214417135187</v>
      </c>
      <c r="AD107" t="s">
        <v>525</v>
      </c>
      <c r="AE107" t="s">
        <v>1042</v>
      </c>
      <c r="AF107" t="s">
        <v>1043</v>
      </c>
      <c r="AG107" t="s">
        <v>10</v>
      </c>
      <c r="AH107" t="s">
        <v>21</v>
      </c>
      <c r="AI107" t="s">
        <v>529</v>
      </c>
      <c r="AJ107" t="s">
        <v>186</v>
      </c>
      <c r="AL107" t="s">
        <v>1042</v>
      </c>
      <c r="AM107" t="s">
        <v>1235</v>
      </c>
      <c r="AN107" t="s">
        <v>1236</v>
      </c>
      <c r="AO107">
        <v>0.98443298929288481</v>
      </c>
      <c r="AP107">
        <v>285.395196297111</v>
      </c>
    </row>
    <row r="108" spans="2:42">
      <c r="B108" t="s">
        <v>182</v>
      </c>
      <c r="C108" t="s">
        <v>379</v>
      </c>
      <c r="D108" t="s">
        <v>380</v>
      </c>
      <c r="E108" t="s">
        <v>10</v>
      </c>
      <c r="F108" t="s">
        <v>21</v>
      </c>
      <c r="G108" t="s">
        <v>185</v>
      </c>
      <c r="H108" t="s">
        <v>186</v>
      </c>
      <c r="J108" t="s">
        <v>379</v>
      </c>
      <c r="K108" t="s">
        <v>509</v>
      </c>
      <c r="L108">
        <v>0.27052879001657892</v>
      </c>
      <c r="M108">
        <v>0.17894822312467379</v>
      </c>
      <c r="O108" t="s">
        <v>525</v>
      </c>
      <c r="P108" t="s">
        <v>722</v>
      </c>
      <c r="Q108" t="s">
        <v>723</v>
      </c>
      <c r="R108" t="s">
        <v>10</v>
      </c>
      <c r="S108" t="s">
        <v>21</v>
      </c>
      <c r="T108" t="s">
        <v>528</v>
      </c>
      <c r="U108" t="s">
        <v>529</v>
      </c>
      <c r="V108" t="s">
        <v>186</v>
      </c>
      <c r="X108" t="s">
        <v>722</v>
      </c>
      <c r="Y108" t="s">
        <v>434</v>
      </c>
      <c r="Z108" t="s">
        <v>776</v>
      </c>
      <c r="AA108">
        <v>0.98232893893872142</v>
      </c>
      <c r="AB108">
        <v>323.96945279010777</v>
      </c>
      <c r="AD108" t="s">
        <v>525</v>
      </c>
      <c r="AE108" t="s">
        <v>1044</v>
      </c>
      <c r="AF108" t="s">
        <v>1045</v>
      </c>
      <c r="AG108" t="s">
        <v>10</v>
      </c>
      <c r="AH108" t="s">
        <v>21</v>
      </c>
      <c r="AI108" t="s">
        <v>529</v>
      </c>
      <c r="AJ108" t="s">
        <v>186</v>
      </c>
      <c r="AL108" t="s">
        <v>1044</v>
      </c>
      <c r="AM108" t="s">
        <v>1237</v>
      </c>
      <c r="AN108" t="s">
        <v>1238</v>
      </c>
      <c r="AO108">
        <v>0.99675129304345389</v>
      </c>
      <c r="AP108">
        <v>59.559627536678128</v>
      </c>
    </row>
    <row r="109" spans="2:42">
      <c r="B109" t="s">
        <v>182</v>
      </c>
      <c r="C109" t="s">
        <v>381</v>
      </c>
      <c r="D109" t="s">
        <v>382</v>
      </c>
      <c r="E109" t="s">
        <v>10</v>
      </c>
      <c r="F109" t="s">
        <v>21</v>
      </c>
      <c r="G109" t="s">
        <v>185</v>
      </c>
      <c r="H109" t="s">
        <v>186</v>
      </c>
      <c r="J109" t="s">
        <v>381</v>
      </c>
      <c r="K109" t="s">
        <v>510</v>
      </c>
      <c r="L109">
        <v>0.19522474904553841</v>
      </c>
      <c r="M109">
        <v>0.1804561799003819</v>
      </c>
      <c r="O109" t="s">
        <v>525</v>
      </c>
      <c r="P109" t="s">
        <v>724</v>
      </c>
      <c r="Q109" t="s">
        <v>725</v>
      </c>
      <c r="R109" t="s">
        <v>10</v>
      </c>
      <c r="S109" t="s">
        <v>21</v>
      </c>
      <c r="T109" t="s">
        <v>528</v>
      </c>
      <c r="U109" t="s">
        <v>529</v>
      </c>
      <c r="V109" t="s">
        <v>186</v>
      </c>
      <c r="X109" t="s">
        <v>724</v>
      </c>
      <c r="Y109" t="s">
        <v>491</v>
      </c>
      <c r="Z109" t="s">
        <v>838</v>
      </c>
      <c r="AA109">
        <v>0.98687556710518476</v>
      </c>
      <c r="AB109">
        <v>240.61460307161329</v>
      </c>
      <c r="AD109" t="s">
        <v>525</v>
      </c>
      <c r="AE109" t="s">
        <v>1046</v>
      </c>
      <c r="AF109" t="s">
        <v>1047</v>
      </c>
      <c r="AG109" t="s">
        <v>10</v>
      </c>
      <c r="AH109" t="s">
        <v>21</v>
      </c>
      <c r="AI109" t="s">
        <v>529</v>
      </c>
      <c r="AJ109" t="s">
        <v>186</v>
      </c>
      <c r="AL109" t="s">
        <v>1046</v>
      </c>
      <c r="AM109" t="s">
        <v>1239</v>
      </c>
      <c r="AN109" t="s">
        <v>1240</v>
      </c>
      <c r="AO109">
        <v>0.9810465916042902</v>
      </c>
      <c r="AP109">
        <v>347.47915392134644</v>
      </c>
    </row>
    <row r="110" spans="2:42">
      <c r="B110" t="s">
        <v>182</v>
      </c>
      <c r="C110" t="s">
        <v>383</v>
      </c>
      <c r="D110" t="s">
        <v>384</v>
      </c>
      <c r="E110" t="s">
        <v>10</v>
      </c>
      <c r="F110" t="s">
        <v>21</v>
      </c>
      <c r="G110" t="s">
        <v>185</v>
      </c>
      <c r="H110" t="s">
        <v>186</v>
      </c>
      <c r="J110" t="s">
        <v>383</v>
      </c>
      <c r="K110" t="s">
        <v>511</v>
      </c>
      <c r="L110">
        <v>0.17309630255345729</v>
      </c>
      <c r="M110">
        <v>0.1779443195053238</v>
      </c>
      <c r="O110" t="s">
        <v>525</v>
      </c>
      <c r="P110" t="s">
        <v>726</v>
      </c>
      <c r="Q110" t="s">
        <v>727</v>
      </c>
      <c r="R110" t="s">
        <v>10</v>
      </c>
      <c r="S110" t="s">
        <v>21</v>
      </c>
      <c r="T110" t="s">
        <v>528</v>
      </c>
      <c r="U110" t="s">
        <v>529</v>
      </c>
      <c r="V110" t="s">
        <v>186</v>
      </c>
      <c r="X110" t="s">
        <v>726</v>
      </c>
      <c r="Y110" t="s">
        <v>510</v>
      </c>
      <c r="Z110" t="s">
        <v>839</v>
      </c>
      <c r="AA110">
        <v>0.99540390044057458</v>
      </c>
      <c r="AB110">
        <v>84.261825256133193</v>
      </c>
      <c r="AD110" t="s">
        <v>525</v>
      </c>
      <c r="AE110" t="s">
        <v>1048</v>
      </c>
      <c r="AF110" t="s">
        <v>1049</v>
      </c>
      <c r="AG110" t="s">
        <v>10</v>
      </c>
      <c r="AH110" t="s">
        <v>21</v>
      </c>
      <c r="AI110" t="s">
        <v>529</v>
      </c>
      <c r="AJ110" t="s">
        <v>186</v>
      </c>
      <c r="AL110" t="s">
        <v>1048</v>
      </c>
      <c r="AM110" t="s">
        <v>1241</v>
      </c>
      <c r="AN110" t="s">
        <v>1242</v>
      </c>
      <c r="AO110">
        <v>0.99358903494530093</v>
      </c>
      <c r="AP110">
        <v>117.53435933614936</v>
      </c>
    </row>
    <row r="111" spans="2:42">
      <c r="B111" t="s">
        <v>182</v>
      </c>
      <c r="C111" t="s">
        <v>385</v>
      </c>
      <c r="D111" t="s">
        <v>386</v>
      </c>
      <c r="E111" t="s">
        <v>10</v>
      </c>
      <c r="F111" t="s">
        <v>21</v>
      </c>
      <c r="G111" t="s">
        <v>185</v>
      </c>
      <c r="H111" t="s">
        <v>186</v>
      </c>
      <c r="J111" t="s">
        <v>385</v>
      </c>
      <c r="K111" t="s">
        <v>512</v>
      </c>
      <c r="L111">
        <v>0.11985105159303096</v>
      </c>
      <c r="M111">
        <v>0.17134307181150121</v>
      </c>
      <c r="O111" t="s">
        <v>525</v>
      </c>
      <c r="P111" t="s">
        <v>728</v>
      </c>
      <c r="Q111" t="s">
        <v>729</v>
      </c>
      <c r="R111" t="s">
        <v>10</v>
      </c>
      <c r="S111" t="s">
        <v>21</v>
      </c>
      <c r="T111" t="s">
        <v>528</v>
      </c>
      <c r="U111" t="s">
        <v>529</v>
      </c>
      <c r="V111" t="s">
        <v>186</v>
      </c>
      <c r="X111" t="s">
        <v>728</v>
      </c>
      <c r="Y111" t="s">
        <v>506</v>
      </c>
      <c r="Z111" t="s">
        <v>840</v>
      </c>
      <c r="AA111">
        <v>0.99560202921691865</v>
      </c>
      <c r="AB111">
        <v>80.629464356491098</v>
      </c>
      <c r="AD111" t="s">
        <v>525</v>
      </c>
      <c r="AE111" t="s">
        <v>1050</v>
      </c>
      <c r="AF111" t="s">
        <v>1051</v>
      </c>
      <c r="AG111" t="s">
        <v>10</v>
      </c>
      <c r="AH111" t="s">
        <v>21</v>
      </c>
      <c r="AI111" t="s">
        <v>529</v>
      </c>
      <c r="AJ111" t="s">
        <v>186</v>
      </c>
      <c r="AL111" t="s">
        <v>1050</v>
      </c>
      <c r="AM111" t="s">
        <v>1243</v>
      </c>
      <c r="AN111" t="s">
        <v>1244</v>
      </c>
      <c r="AO111">
        <v>0.98352208334082891</v>
      </c>
      <c r="AP111">
        <v>302.09513875146894</v>
      </c>
    </row>
    <row r="112" spans="2:42">
      <c r="B112" t="s">
        <v>182</v>
      </c>
      <c r="C112" t="s">
        <v>387</v>
      </c>
      <c r="D112" t="s">
        <v>388</v>
      </c>
      <c r="E112" t="s">
        <v>10</v>
      </c>
      <c r="F112" t="s">
        <v>21</v>
      </c>
      <c r="G112" t="s">
        <v>185</v>
      </c>
      <c r="H112" t="s">
        <v>186</v>
      </c>
      <c r="J112" t="s">
        <v>387</v>
      </c>
      <c r="K112" t="s">
        <v>513</v>
      </c>
      <c r="L112">
        <v>1.3017563350507089</v>
      </c>
      <c r="M112">
        <v>0.15699219718261731</v>
      </c>
      <c r="O112" t="s">
        <v>525</v>
      </c>
      <c r="P112" t="s">
        <v>730</v>
      </c>
      <c r="Q112" t="s">
        <v>731</v>
      </c>
      <c r="R112" t="s">
        <v>10</v>
      </c>
      <c r="S112" t="s">
        <v>21</v>
      </c>
      <c r="T112" t="s">
        <v>528</v>
      </c>
      <c r="U112" t="s">
        <v>529</v>
      </c>
      <c r="V112" t="s">
        <v>186</v>
      </c>
      <c r="X112" t="s">
        <v>730</v>
      </c>
      <c r="Y112" t="s">
        <v>514</v>
      </c>
      <c r="Z112" t="s">
        <v>818</v>
      </c>
      <c r="AA112">
        <v>0.9688732201717053</v>
      </c>
      <c r="AB112">
        <v>570.65763018540258</v>
      </c>
      <c r="AD112" t="s">
        <v>525</v>
      </c>
      <c r="AE112" t="s">
        <v>1052</v>
      </c>
      <c r="AF112" t="s">
        <v>1053</v>
      </c>
      <c r="AG112" t="s">
        <v>10</v>
      </c>
      <c r="AH112" t="s">
        <v>21</v>
      </c>
      <c r="AI112" t="s">
        <v>529</v>
      </c>
      <c r="AJ112" t="s">
        <v>186</v>
      </c>
      <c r="AL112" t="s">
        <v>1052</v>
      </c>
      <c r="AM112" t="s">
        <v>1245</v>
      </c>
      <c r="AN112" t="s">
        <v>1246</v>
      </c>
      <c r="AO112">
        <v>0.99386396114675946</v>
      </c>
      <c r="AP112">
        <v>112.49404564274286</v>
      </c>
    </row>
    <row r="113" spans="2:42">
      <c r="B113" t="s">
        <v>182</v>
      </c>
      <c r="C113" t="s">
        <v>389</v>
      </c>
      <c r="D113" t="s">
        <v>390</v>
      </c>
      <c r="E113" t="s">
        <v>10</v>
      </c>
      <c r="F113" t="s">
        <v>21</v>
      </c>
      <c r="G113" t="s">
        <v>185</v>
      </c>
      <c r="H113" t="s">
        <v>186</v>
      </c>
      <c r="J113" t="s">
        <v>389</v>
      </c>
      <c r="K113" t="s">
        <v>514</v>
      </c>
      <c r="L113">
        <v>3.4461863889766668</v>
      </c>
      <c r="M113">
        <v>0.15531118922771789</v>
      </c>
      <c r="O113" t="s">
        <v>525</v>
      </c>
      <c r="P113" t="s">
        <v>732</v>
      </c>
      <c r="Q113" t="s">
        <v>733</v>
      </c>
      <c r="R113" t="s">
        <v>10</v>
      </c>
      <c r="S113" t="s">
        <v>21</v>
      </c>
      <c r="T113" t="s">
        <v>528</v>
      </c>
      <c r="U113" t="s">
        <v>529</v>
      </c>
      <c r="V113" t="s">
        <v>186</v>
      </c>
      <c r="X113" t="s">
        <v>732</v>
      </c>
      <c r="Y113" t="s">
        <v>459</v>
      </c>
      <c r="Z113" t="s">
        <v>841</v>
      </c>
      <c r="AA113">
        <v>0.97555314427114348</v>
      </c>
      <c r="AB113">
        <v>448.19235502903689</v>
      </c>
      <c r="AD113" t="s">
        <v>525</v>
      </c>
      <c r="AE113" t="s">
        <v>1054</v>
      </c>
      <c r="AF113" t="s">
        <v>1055</v>
      </c>
      <c r="AG113" t="s">
        <v>10</v>
      </c>
      <c r="AH113" t="s">
        <v>21</v>
      </c>
      <c r="AI113" t="s">
        <v>529</v>
      </c>
      <c r="AJ113" t="s">
        <v>186</v>
      </c>
      <c r="AL113" t="s">
        <v>1054</v>
      </c>
      <c r="AM113" t="s">
        <v>1247</v>
      </c>
      <c r="AN113" t="s">
        <v>1248</v>
      </c>
      <c r="AO113">
        <v>0.98143101476031569</v>
      </c>
      <c r="AP113">
        <v>340.43139606087988</v>
      </c>
    </row>
    <row r="114" spans="2:42">
      <c r="B114" t="s">
        <v>182</v>
      </c>
      <c r="C114" t="s">
        <v>391</v>
      </c>
      <c r="D114" t="s">
        <v>392</v>
      </c>
      <c r="E114" t="s">
        <v>10</v>
      </c>
      <c r="F114" t="s">
        <v>21</v>
      </c>
      <c r="G114" t="s">
        <v>185</v>
      </c>
      <c r="H114" t="s">
        <v>186</v>
      </c>
      <c r="J114" t="s">
        <v>391</v>
      </c>
      <c r="K114" t="s">
        <v>515</v>
      </c>
      <c r="L114">
        <v>2.4104079458556149</v>
      </c>
      <c r="M114">
        <v>0.15615834068906231</v>
      </c>
      <c r="O114" t="s">
        <v>525</v>
      </c>
      <c r="P114" t="s">
        <v>734</v>
      </c>
      <c r="Q114" t="s">
        <v>735</v>
      </c>
      <c r="R114" t="s">
        <v>10</v>
      </c>
      <c r="S114" t="s">
        <v>21</v>
      </c>
      <c r="T114" t="s">
        <v>528</v>
      </c>
      <c r="U114" t="s">
        <v>529</v>
      </c>
      <c r="V114" t="s">
        <v>186</v>
      </c>
      <c r="X114" t="s">
        <v>734</v>
      </c>
      <c r="Y114" t="s">
        <v>466</v>
      </c>
      <c r="Z114" t="s">
        <v>842</v>
      </c>
      <c r="AA114">
        <v>0.99208651564280692</v>
      </c>
      <c r="AB114">
        <v>145.0805465485389</v>
      </c>
      <c r="AD114" t="s">
        <v>525</v>
      </c>
      <c r="AE114" t="s">
        <v>1056</v>
      </c>
      <c r="AF114" t="s">
        <v>1057</v>
      </c>
      <c r="AG114" t="s">
        <v>10</v>
      </c>
      <c r="AH114" t="s">
        <v>21</v>
      </c>
      <c r="AI114" t="s">
        <v>529</v>
      </c>
      <c r="AJ114" t="s">
        <v>186</v>
      </c>
      <c r="AL114" t="s">
        <v>1056</v>
      </c>
      <c r="AM114" t="s">
        <v>1249</v>
      </c>
      <c r="AN114" t="s">
        <v>1250</v>
      </c>
      <c r="AO114">
        <v>0.99214884341276699</v>
      </c>
      <c r="AP114">
        <v>143.93787076593793</v>
      </c>
    </row>
    <row r="115" spans="2:42">
      <c r="B115" t="s">
        <v>182</v>
      </c>
      <c r="C115" t="s">
        <v>393</v>
      </c>
      <c r="D115" t="s">
        <v>394</v>
      </c>
      <c r="E115" t="s">
        <v>10</v>
      </c>
      <c r="F115" t="s">
        <v>21</v>
      </c>
      <c r="G115" t="s">
        <v>185</v>
      </c>
      <c r="H115" t="s">
        <v>186</v>
      </c>
      <c r="J115" t="s">
        <v>393</v>
      </c>
      <c r="K115" t="s">
        <v>516</v>
      </c>
      <c r="L115">
        <v>0.89620360348973394</v>
      </c>
      <c r="M115">
        <v>0.17040795686554699</v>
      </c>
      <c r="O115" t="s">
        <v>525</v>
      </c>
      <c r="P115" t="s">
        <v>736</v>
      </c>
      <c r="Q115" t="s">
        <v>737</v>
      </c>
      <c r="R115" t="s">
        <v>10</v>
      </c>
      <c r="S115" t="s">
        <v>21</v>
      </c>
      <c r="T115" t="s">
        <v>528</v>
      </c>
      <c r="U115" t="s">
        <v>529</v>
      </c>
      <c r="V115" t="s">
        <v>186</v>
      </c>
      <c r="X115" t="s">
        <v>736</v>
      </c>
      <c r="Y115" t="s">
        <v>450</v>
      </c>
      <c r="Z115" t="s">
        <v>843</v>
      </c>
      <c r="AA115">
        <v>0.99791701598054783</v>
      </c>
      <c r="AB115">
        <v>38.188040356623382</v>
      </c>
      <c r="AD115" t="s">
        <v>525</v>
      </c>
      <c r="AE115" t="s">
        <v>1058</v>
      </c>
      <c r="AF115" t="s">
        <v>1059</v>
      </c>
      <c r="AG115" t="s">
        <v>10</v>
      </c>
      <c r="AH115" t="s">
        <v>21</v>
      </c>
      <c r="AI115" t="s">
        <v>529</v>
      </c>
      <c r="AJ115" t="s">
        <v>186</v>
      </c>
      <c r="AL115" t="s">
        <v>1058</v>
      </c>
      <c r="AM115" t="s">
        <v>1251</v>
      </c>
      <c r="AN115" t="s">
        <v>1252</v>
      </c>
      <c r="AO115">
        <v>0.99514132469856453</v>
      </c>
      <c r="AP115">
        <v>89.075713859649341</v>
      </c>
    </row>
    <row r="116" spans="2:42">
      <c r="B116" t="s">
        <v>182</v>
      </c>
      <c r="C116" t="s">
        <v>395</v>
      </c>
      <c r="D116" t="s">
        <v>396</v>
      </c>
      <c r="E116" t="s">
        <v>10</v>
      </c>
      <c r="F116" t="s">
        <v>21</v>
      </c>
      <c r="G116" t="s">
        <v>185</v>
      </c>
      <c r="H116" t="s">
        <v>186</v>
      </c>
      <c r="J116" t="s">
        <v>395</v>
      </c>
      <c r="K116" t="s">
        <v>517</v>
      </c>
      <c r="L116">
        <v>2.0415048023603859</v>
      </c>
      <c r="M116">
        <v>0.1658833313450076</v>
      </c>
      <c r="O116" t="s">
        <v>525</v>
      </c>
      <c r="P116" t="s">
        <v>738</v>
      </c>
      <c r="Q116" t="s">
        <v>739</v>
      </c>
      <c r="R116" t="s">
        <v>10</v>
      </c>
      <c r="S116" t="s">
        <v>21</v>
      </c>
      <c r="T116" t="s">
        <v>528</v>
      </c>
      <c r="U116" t="s">
        <v>529</v>
      </c>
      <c r="V116" t="s">
        <v>186</v>
      </c>
      <c r="X116" t="s">
        <v>738</v>
      </c>
      <c r="Y116" t="s">
        <v>423</v>
      </c>
      <c r="Z116" t="s">
        <v>844</v>
      </c>
      <c r="AA116">
        <v>0.96915297067028183</v>
      </c>
      <c r="AB116">
        <v>565.52887104483329</v>
      </c>
      <c r="AD116" t="s">
        <v>525</v>
      </c>
      <c r="AE116" t="s">
        <v>1060</v>
      </c>
      <c r="AF116" t="s">
        <v>1061</v>
      </c>
      <c r="AG116" t="s">
        <v>10</v>
      </c>
      <c r="AH116" t="s">
        <v>21</v>
      </c>
      <c r="AI116" t="s">
        <v>529</v>
      </c>
      <c r="AJ116" t="s">
        <v>186</v>
      </c>
      <c r="AL116" t="s">
        <v>1060</v>
      </c>
      <c r="AM116" t="s">
        <v>1253</v>
      </c>
      <c r="AN116" t="s">
        <v>1254</v>
      </c>
      <c r="AO116">
        <v>0.98203994669072336</v>
      </c>
      <c r="AP116">
        <v>329.26764400340483</v>
      </c>
    </row>
    <row r="117" spans="2:42">
      <c r="B117" t="s">
        <v>182</v>
      </c>
      <c r="C117" t="s">
        <v>397</v>
      </c>
      <c r="D117" t="s">
        <v>398</v>
      </c>
      <c r="E117" t="s">
        <v>10</v>
      </c>
      <c r="F117" t="s">
        <v>21</v>
      </c>
      <c r="G117" t="s">
        <v>185</v>
      </c>
      <c r="H117" t="s">
        <v>186</v>
      </c>
      <c r="J117" t="s">
        <v>397</v>
      </c>
      <c r="K117" t="s">
        <v>518</v>
      </c>
      <c r="L117">
        <v>0.52758207607080154</v>
      </c>
      <c r="M117">
        <v>0.1608071526743246</v>
      </c>
      <c r="O117" t="s">
        <v>525</v>
      </c>
      <c r="P117" t="s">
        <v>740</v>
      </c>
      <c r="Q117" t="s">
        <v>741</v>
      </c>
      <c r="R117" t="s">
        <v>10</v>
      </c>
      <c r="S117" t="s">
        <v>21</v>
      </c>
      <c r="T117" t="s">
        <v>528</v>
      </c>
      <c r="U117" t="s">
        <v>529</v>
      </c>
      <c r="V117" t="s">
        <v>186</v>
      </c>
      <c r="X117" t="s">
        <v>740</v>
      </c>
      <c r="Y117" t="s">
        <v>488</v>
      </c>
      <c r="Z117" t="s">
        <v>845</v>
      </c>
      <c r="AA117">
        <v>0.97470956224561167</v>
      </c>
      <c r="AB117">
        <v>463.65802549711873</v>
      </c>
      <c r="AD117" t="s">
        <v>525</v>
      </c>
      <c r="AE117" t="s">
        <v>1062</v>
      </c>
      <c r="AF117" t="s">
        <v>1063</v>
      </c>
      <c r="AG117" t="s">
        <v>10</v>
      </c>
      <c r="AH117" t="s">
        <v>21</v>
      </c>
      <c r="AI117" t="s">
        <v>529</v>
      </c>
      <c r="AJ117" t="s">
        <v>186</v>
      </c>
      <c r="AL117" t="s">
        <v>1062</v>
      </c>
      <c r="AM117" t="s">
        <v>1255</v>
      </c>
      <c r="AN117" t="s">
        <v>1173</v>
      </c>
      <c r="AO117">
        <v>0.98454177441762536</v>
      </c>
      <c r="AP117">
        <v>283.40080234353542</v>
      </c>
    </row>
    <row r="118" spans="2:42">
      <c r="B118" t="s">
        <v>182</v>
      </c>
      <c r="C118" t="s">
        <v>399</v>
      </c>
      <c r="D118" t="s">
        <v>400</v>
      </c>
      <c r="E118" t="s">
        <v>10</v>
      </c>
      <c r="F118" t="s">
        <v>21</v>
      </c>
      <c r="G118" t="s">
        <v>185</v>
      </c>
      <c r="H118" t="s">
        <v>186</v>
      </c>
      <c r="J118" t="s">
        <v>399</v>
      </c>
      <c r="K118" t="s">
        <v>519</v>
      </c>
      <c r="L118">
        <v>0.45619022265677039</v>
      </c>
      <c r="M118">
        <v>0.16200657099456769</v>
      </c>
      <c r="O118" t="s">
        <v>525</v>
      </c>
      <c r="P118" t="s">
        <v>742</v>
      </c>
      <c r="Q118" t="s">
        <v>743</v>
      </c>
      <c r="R118" t="s">
        <v>10</v>
      </c>
      <c r="S118" t="s">
        <v>21</v>
      </c>
      <c r="T118" t="s">
        <v>528</v>
      </c>
      <c r="U118" t="s">
        <v>529</v>
      </c>
      <c r="V118" t="s">
        <v>186</v>
      </c>
      <c r="X118" t="s">
        <v>742</v>
      </c>
      <c r="Y118" t="s">
        <v>487</v>
      </c>
      <c r="Z118" t="s">
        <v>846</v>
      </c>
      <c r="AA118">
        <v>0.97663323046055417</v>
      </c>
      <c r="AB118">
        <v>428.390774889841</v>
      </c>
      <c r="AD118" t="s">
        <v>525</v>
      </c>
      <c r="AE118" t="s">
        <v>1064</v>
      </c>
      <c r="AF118" t="s">
        <v>1065</v>
      </c>
      <c r="AG118" t="s">
        <v>10</v>
      </c>
      <c r="AH118" t="s">
        <v>21</v>
      </c>
      <c r="AI118" t="s">
        <v>529</v>
      </c>
      <c r="AJ118" t="s">
        <v>186</v>
      </c>
      <c r="AL118" t="s">
        <v>1064</v>
      </c>
      <c r="AM118" t="s">
        <v>1256</v>
      </c>
      <c r="AN118" t="s">
        <v>776</v>
      </c>
      <c r="AO118">
        <v>0.9640580758121321</v>
      </c>
      <c r="AP118">
        <v>658.93527677757788</v>
      </c>
    </row>
    <row r="119" spans="2:42">
      <c r="B119" t="s">
        <v>182</v>
      </c>
      <c r="C119" t="s">
        <v>401</v>
      </c>
      <c r="D119" t="s">
        <v>402</v>
      </c>
      <c r="E119" t="s">
        <v>10</v>
      </c>
      <c r="F119" t="s">
        <v>21</v>
      </c>
      <c r="G119" t="s">
        <v>185</v>
      </c>
      <c r="H119" t="s">
        <v>186</v>
      </c>
      <c r="J119" t="s">
        <v>401</v>
      </c>
      <c r="K119" t="s">
        <v>520</v>
      </c>
      <c r="L119">
        <v>0.89357335195629417</v>
      </c>
      <c r="M119">
        <v>0.16012817172681229</v>
      </c>
      <c r="O119" t="s">
        <v>525</v>
      </c>
      <c r="P119" t="s">
        <v>744</v>
      </c>
      <c r="Q119" t="s">
        <v>745</v>
      </c>
      <c r="R119" t="s">
        <v>10</v>
      </c>
      <c r="S119" t="s">
        <v>21</v>
      </c>
      <c r="T119" t="s">
        <v>528</v>
      </c>
      <c r="U119" t="s">
        <v>529</v>
      </c>
      <c r="V119" t="s">
        <v>186</v>
      </c>
      <c r="X119" t="s">
        <v>744</v>
      </c>
      <c r="Y119" t="s">
        <v>505</v>
      </c>
      <c r="Z119" t="s">
        <v>847</v>
      </c>
      <c r="AA119">
        <v>0.99552406327941245</v>
      </c>
      <c r="AB119">
        <v>82.058839877437549</v>
      </c>
      <c r="AD119" t="s">
        <v>525</v>
      </c>
      <c r="AE119" t="s">
        <v>1066</v>
      </c>
      <c r="AF119" t="s">
        <v>1067</v>
      </c>
      <c r="AG119" t="s">
        <v>10</v>
      </c>
      <c r="AH119" t="s">
        <v>21</v>
      </c>
      <c r="AI119" t="s">
        <v>529</v>
      </c>
      <c r="AJ119" t="s">
        <v>186</v>
      </c>
      <c r="AL119" t="s">
        <v>1066</v>
      </c>
      <c r="AM119" t="s">
        <v>1257</v>
      </c>
      <c r="AN119" t="s">
        <v>771</v>
      </c>
      <c r="AO119">
        <v>0.97965143406268995</v>
      </c>
      <c r="AP119">
        <v>373.05704218401706</v>
      </c>
    </row>
    <row r="120" spans="2:42">
      <c r="B120" t="s">
        <v>182</v>
      </c>
      <c r="C120" t="s">
        <v>403</v>
      </c>
      <c r="D120" t="s">
        <v>404</v>
      </c>
      <c r="E120" t="s">
        <v>10</v>
      </c>
      <c r="F120" t="s">
        <v>21</v>
      </c>
      <c r="G120" t="s">
        <v>185</v>
      </c>
      <c r="H120" t="s">
        <v>186</v>
      </c>
      <c r="J120" t="s">
        <v>403</v>
      </c>
      <c r="K120" t="s">
        <v>521</v>
      </c>
      <c r="L120">
        <v>0.45964801661890448</v>
      </c>
      <c r="M120">
        <v>0.18117376243895819</v>
      </c>
      <c r="O120" t="s">
        <v>525</v>
      </c>
      <c r="P120" t="s">
        <v>746</v>
      </c>
      <c r="Q120" t="s">
        <v>747</v>
      </c>
      <c r="R120" t="s">
        <v>10</v>
      </c>
      <c r="S120" t="s">
        <v>21</v>
      </c>
      <c r="T120" t="s">
        <v>528</v>
      </c>
      <c r="U120" t="s">
        <v>529</v>
      </c>
      <c r="V120" t="s">
        <v>186</v>
      </c>
      <c r="X120" t="s">
        <v>746</v>
      </c>
      <c r="Y120" t="s">
        <v>478</v>
      </c>
      <c r="Z120" t="s">
        <v>848</v>
      </c>
      <c r="AA120">
        <v>0.99261367423097813</v>
      </c>
      <c r="AB120">
        <v>135.41597243206863</v>
      </c>
      <c r="AD120" t="s">
        <v>525</v>
      </c>
      <c r="AE120" t="s">
        <v>1068</v>
      </c>
      <c r="AF120" t="s">
        <v>1069</v>
      </c>
      <c r="AG120" t="s">
        <v>10</v>
      </c>
      <c r="AH120" t="s">
        <v>21</v>
      </c>
      <c r="AI120" t="s">
        <v>529</v>
      </c>
      <c r="AJ120" t="s">
        <v>186</v>
      </c>
      <c r="AL120" t="s">
        <v>1068</v>
      </c>
      <c r="AM120" t="s">
        <v>1258</v>
      </c>
      <c r="AN120" t="s">
        <v>1259</v>
      </c>
      <c r="AO120">
        <v>0.98984492570242899</v>
      </c>
      <c r="AP120">
        <v>186.17636212213432</v>
      </c>
    </row>
    <row r="121" spans="2:42">
      <c r="B121" t="s">
        <v>182</v>
      </c>
      <c r="C121" t="s">
        <v>405</v>
      </c>
      <c r="D121" t="s">
        <v>406</v>
      </c>
      <c r="E121" t="s">
        <v>10</v>
      </c>
      <c r="F121" t="s">
        <v>21</v>
      </c>
      <c r="G121" t="s">
        <v>185</v>
      </c>
      <c r="H121" t="s">
        <v>186</v>
      </c>
      <c r="J121" t="s">
        <v>405</v>
      </c>
      <c r="K121" t="s">
        <v>522</v>
      </c>
      <c r="L121">
        <v>0.4192635859371881</v>
      </c>
      <c r="M121">
        <v>0.16714948866400531</v>
      </c>
      <c r="O121" t="s">
        <v>525</v>
      </c>
      <c r="P121" t="s">
        <v>748</v>
      </c>
      <c r="Q121" t="s">
        <v>749</v>
      </c>
      <c r="R121" t="s">
        <v>10</v>
      </c>
      <c r="S121" t="s">
        <v>21</v>
      </c>
      <c r="T121" t="s">
        <v>528</v>
      </c>
      <c r="U121" t="s">
        <v>529</v>
      </c>
      <c r="V121" t="s">
        <v>186</v>
      </c>
      <c r="X121" t="s">
        <v>748</v>
      </c>
      <c r="Y121" t="s">
        <v>519</v>
      </c>
      <c r="Z121" t="s">
        <v>849</v>
      </c>
      <c r="AA121">
        <v>0.99293523903997005</v>
      </c>
      <c r="AB121">
        <v>129.52061760054838</v>
      </c>
      <c r="AD121" t="s">
        <v>525</v>
      </c>
      <c r="AE121" t="s">
        <v>1070</v>
      </c>
      <c r="AF121" t="s">
        <v>1071</v>
      </c>
      <c r="AG121" t="s">
        <v>10</v>
      </c>
      <c r="AH121" t="s">
        <v>21</v>
      </c>
      <c r="AI121" t="s">
        <v>529</v>
      </c>
      <c r="AJ121" t="s">
        <v>186</v>
      </c>
      <c r="AL121" t="s">
        <v>1070</v>
      </c>
      <c r="AM121" t="s">
        <v>1260</v>
      </c>
      <c r="AN121" t="s">
        <v>1261</v>
      </c>
      <c r="AO121">
        <v>0.99205315146956785</v>
      </c>
      <c r="AP121">
        <v>145.69222305792215</v>
      </c>
    </row>
    <row r="122" spans="2:42">
      <c r="B122" t="s">
        <v>182</v>
      </c>
      <c r="C122" t="s">
        <v>407</v>
      </c>
      <c r="D122" t="s">
        <v>408</v>
      </c>
      <c r="E122" t="s">
        <v>10</v>
      </c>
      <c r="F122" t="s">
        <v>21</v>
      </c>
      <c r="G122" t="s">
        <v>185</v>
      </c>
      <c r="H122" t="s">
        <v>186</v>
      </c>
      <c r="J122" t="s">
        <v>407</v>
      </c>
      <c r="K122" t="s">
        <v>523</v>
      </c>
      <c r="L122">
        <v>0.3616945215854413</v>
      </c>
      <c r="M122">
        <v>0.16114953179610281</v>
      </c>
      <c r="O122" t="s">
        <v>525</v>
      </c>
      <c r="P122" t="s">
        <v>750</v>
      </c>
      <c r="Q122" t="s">
        <v>751</v>
      </c>
      <c r="R122" t="s">
        <v>10</v>
      </c>
      <c r="S122" t="s">
        <v>21</v>
      </c>
      <c r="T122" t="s">
        <v>528</v>
      </c>
      <c r="U122" t="s">
        <v>529</v>
      </c>
      <c r="V122" t="s">
        <v>186</v>
      </c>
      <c r="X122" t="s">
        <v>750</v>
      </c>
      <c r="Y122" t="s">
        <v>518</v>
      </c>
      <c r="Z122" t="s">
        <v>782</v>
      </c>
      <c r="AA122">
        <v>0.98399246623610293</v>
      </c>
      <c r="AB122">
        <v>293.47145233811392</v>
      </c>
      <c r="AD122" t="s">
        <v>525</v>
      </c>
      <c r="AE122" t="s">
        <v>1072</v>
      </c>
      <c r="AF122" t="s">
        <v>1073</v>
      </c>
      <c r="AG122" t="s">
        <v>10</v>
      </c>
      <c r="AH122" t="s">
        <v>21</v>
      </c>
      <c r="AI122" t="s">
        <v>529</v>
      </c>
      <c r="AJ122" t="s">
        <v>186</v>
      </c>
      <c r="AL122" t="s">
        <v>1072</v>
      </c>
      <c r="AM122" t="s">
        <v>1262</v>
      </c>
      <c r="AN122" t="s">
        <v>797</v>
      </c>
      <c r="AO122">
        <v>0.96699802726948925</v>
      </c>
      <c r="AP122">
        <v>605.0361667260313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46424-21F0-46EF-8F5C-7A3F1ED32C16}">
  <dimension ref="B9:Z122"/>
  <sheetViews>
    <sheetView workbookViewId="0"/>
  </sheetViews>
  <sheetFormatPr defaultRowHeight="14.25"/>
  <sheetData>
    <row r="9" spans="2:26">
      <c r="B9" t="s">
        <v>163</v>
      </c>
      <c r="J9" t="s">
        <v>174</v>
      </c>
      <c r="O9" t="s">
        <v>163</v>
      </c>
      <c r="W9" t="s">
        <v>174</v>
      </c>
    </row>
    <row r="10" spans="2:26">
      <c r="B10" t="s">
        <v>178</v>
      </c>
      <c r="C10" t="s">
        <v>164</v>
      </c>
      <c r="D10" t="s">
        <v>165</v>
      </c>
      <c r="E10" t="s">
        <v>179</v>
      </c>
      <c r="F10" t="s">
        <v>180</v>
      </c>
      <c r="G10" t="s">
        <v>166</v>
      </c>
      <c r="H10" t="s">
        <v>181</v>
      </c>
      <c r="J10" t="s">
        <v>164</v>
      </c>
      <c r="K10" t="s">
        <v>409</v>
      </c>
      <c r="L10" t="s">
        <v>410</v>
      </c>
      <c r="M10" t="s">
        <v>411</v>
      </c>
      <c r="O10" t="s">
        <v>178</v>
      </c>
      <c r="P10" t="s">
        <v>164</v>
      </c>
      <c r="Q10" t="s">
        <v>165</v>
      </c>
      <c r="R10" t="s">
        <v>179</v>
      </c>
      <c r="S10" t="s">
        <v>180</v>
      </c>
      <c r="T10" t="s">
        <v>166</v>
      </c>
      <c r="U10" t="s">
        <v>181</v>
      </c>
      <c r="W10" t="s">
        <v>164</v>
      </c>
      <c r="X10" t="s">
        <v>409</v>
      </c>
      <c r="Y10" t="s">
        <v>410</v>
      </c>
      <c r="Z10" t="s">
        <v>411</v>
      </c>
    </row>
    <row r="11" spans="2:26">
      <c r="B11" t="s">
        <v>182</v>
      </c>
      <c r="C11" t="s">
        <v>1263</v>
      </c>
      <c r="D11" t="s">
        <v>1264</v>
      </c>
      <c r="E11" t="s">
        <v>10</v>
      </c>
      <c r="F11" t="s">
        <v>21</v>
      </c>
      <c r="G11" t="s">
        <v>185</v>
      </c>
      <c r="H11" t="s">
        <v>186</v>
      </c>
      <c r="J11" t="s">
        <v>1263</v>
      </c>
      <c r="K11" t="s">
        <v>1129</v>
      </c>
      <c r="L11">
        <v>0.26162715026770972</v>
      </c>
      <c r="M11">
        <v>0.43557344896135308</v>
      </c>
      <c r="O11" t="s">
        <v>182</v>
      </c>
      <c r="P11" t="s">
        <v>1487</v>
      </c>
      <c r="Q11" t="s">
        <v>1488</v>
      </c>
      <c r="R11" t="s">
        <v>10</v>
      </c>
      <c r="S11" t="s">
        <v>21</v>
      </c>
      <c r="T11" t="s">
        <v>185</v>
      </c>
      <c r="U11" t="s">
        <v>186</v>
      </c>
      <c r="W11" t="s">
        <v>1487</v>
      </c>
      <c r="X11" t="s">
        <v>1701</v>
      </c>
      <c r="Y11">
        <v>62.294249999999998</v>
      </c>
      <c r="Z11">
        <v>0.3828867904307226</v>
      </c>
    </row>
    <row r="12" spans="2:26">
      <c r="B12" t="s">
        <v>182</v>
      </c>
      <c r="C12" t="s">
        <v>1265</v>
      </c>
      <c r="D12" t="s">
        <v>1266</v>
      </c>
      <c r="E12" t="s">
        <v>10</v>
      </c>
      <c r="F12" t="s">
        <v>21</v>
      </c>
      <c r="G12" t="s">
        <v>185</v>
      </c>
      <c r="H12" t="s">
        <v>186</v>
      </c>
      <c r="J12" t="s">
        <v>1265</v>
      </c>
      <c r="K12" t="s">
        <v>1164</v>
      </c>
      <c r="L12">
        <v>0.3598154542757534</v>
      </c>
      <c r="M12">
        <v>0.36070789001289411</v>
      </c>
      <c r="O12" t="s">
        <v>182</v>
      </c>
      <c r="P12" t="s">
        <v>1489</v>
      </c>
      <c r="Q12" t="s">
        <v>1490</v>
      </c>
      <c r="R12" t="s">
        <v>10</v>
      </c>
      <c r="S12" t="s">
        <v>21</v>
      </c>
      <c r="T12" t="s">
        <v>185</v>
      </c>
      <c r="U12" t="s">
        <v>186</v>
      </c>
      <c r="W12" t="s">
        <v>1489</v>
      </c>
      <c r="X12" t="s">
        <v>1702</v>
      </c>
      <c r="Y12">
        <v>78.679500000000004</v>
      </c>
      <c r="Z12">
        <v>0.38583077923925713</v>
      </c>
    </row>
    <row r="13" spans="2:26">
      <c r="B13" t="s">
        <v>182</v>
      </c>
      <c r="C13" t="s">
        <v>1267</v>
      </c>
      <c r="D13" t="s">
        <v>1268</v>
      </c>
      <c r="E13" t="s">
        <v>10</v>
      </c>
      <c r="F13" t="s">
        <v>21</v>
      </c>
      <c r="G13" t="s">
        <v>185</v>
      </c>
      <c r="H13" t="s">
        <v>186</v>
      </c>
      <c r="J13" t="s">
        <v>1267</v>
      </c>
      <c r="K13" t="s">
        <v>1160</v>
      </c>
      <c r="L13">
        <v>5.2903905166292144</v>
      </c>
      <c r="M13">
        <v>0.34700976733039363</v>
      </c>
      <c r="O13" t="s">
        <v>182</v>
      </c>
      <c r="P13" t="s">
        <v>1491</v>
      </c>
      <c r="Q13" t="s">
        <v>1492</v>
      </c>
      <c r="R13" t="s">
        <v>10</v>
      </c>
      <c r="S13" t="s">
        <v>21</v>
      </c>
      <c r="T13" t="s">
        <v>185</v>
      </c>
      <c r="U13" t="s">
        <v>186</v>
      </c>
      <c r="W13" t="s">
        <v>1491</v>
      </c>
      <c r="X13" t="s">
        <v>1703</v>
      </c>
      <c r="Y13">
        <v>89.000249999999994</v>
      </c>
      <c r="Z13">
        <v>0.40069904090150121</v>
      </c>
    </row>
    <row r="14" spans="2:26">
      <c r="B14" t="s">
        <v>182</v>
      </c>
      <c r="C14" t="s">
        <v>1269</v>
      </c>
      <c r="D14" t="s">
        <v>1270</v>
      </c>
      <c r="E14" t="s">
        <v>10</v>
      </c>
      <c r="F14" t="s">
        <v>21</v>
      </c>
      <c r="G14" t="s">
        <v>185</v>
      </c>
      <c r="H14" t="s">
        <v>186</v>
      </c>
      <c r="J14" t="s">
        <v>1269</v>
      </c>
      <c r="K14" t="s">
        <v>1100</v>
      </c>
      <c r="L14">
        <v>1.780259099511323</v>
      </c>
      <c r="M14">
        <v>0.34502627383783158</v>
      </c>
      <c r="O14" t="s">
        <v>182</v>
      </c>
      <c r="P14" t="s">
        <v>1493</v>
      </c>
      <c r="Q14" t="s">
        <v>1494</v>
      </c>
      <c r="R14" t="s">
        <v>10</v>
      </c>
      <c r="S14" t="s">
        <v>21</v>
      </c>
      <c r="T14" t="s">
        <v>185</v>
      </c>
      <c r="U14" t="s">
        <v>186</v>
      </c>
      <c r="W14" t="s">
        <v>1493</v>
      </c>
      <c r="X14" t="s">
        <v>1704</v>
      </c>
      <c r="Y14">
        <v>32.511749999999999</v>
      </c>
      <c r="Z14">
        <v>0.25425031302965179</v>
      </c>
    </row>
    <row r="15" spans="2:26">
      <c r="B15" t="s">
        <v>182</v>
      </c>
      <c r="C15" t="s">
        <v>1271</v>
      </c>
      <c r="D15" t="s">
        <v>1272</v>
      </c>
      <c r="E15" t="s">
        <v>10</v>
      </c>
      <c r="F15" t="s">
        <v>21</v>
      </c>
      <c r="G15" t="s">
        <v>185</v>
      </c>
      <c r="H15" t="s">
        <v>186</v>
      </c>
      <c r="J15" t="s">
        <v>1271</v>
      </c>
      <c r="K15" t="s">
        <v>1087</v>
      </c>
      <c r="L15">
        <v>0.49661974626379585</v>
      </c>
      <c r="M15">
        <v>0.33551788850200531</v>
      </c>
      <c r="O15" t="s">
        <v>182</v>
      </c>
      <c r="P15" t="s">
        <v>1495</v>
      </c>
      <c r="Q15" t="s">
        <v>1496</v>
      </c>
      <c r="R15" t="s">
        <v>10</v>
      </c>
      <c r="S15" t="s">
        <v>21</v>
      </c>
      <c r="T15" t="s">
        <v>185</v>
      </c>
      <c r="U15" t="s">
        <v>186</v>
      </c>
      <c r="W15" t="s">
        <v>1495</v>
      </c>
      <c r="X15" t="s">
        <v>1705</v>
      </c>
      <c r="Y15">
        <v>119.81699999999999</v>
      </c>
      <c r="Z15">
        <v>0.32460583037742607</v>
      </c>
    </row>
    <row r="16" spans="2:26">
      <c r="B16" t="s">
        <v>182</v>
      </c>
      <c r="C16" t="s">
        <v>1273</v>
      </c>
      <c r="D16" t="s">
        <v>1274</v>
      </c>
      <c r="E16" t="s">
        <v>10</v>
      </c>
      <c r="F16" t="s">
        <v>21</v>
      </c>
      <c r="G16" t="s">
        <v>185</v>
      </c>
      <c r="H16" t="s">
        <v>186</v>
      </c>
      <c r="J16" t="s">
        <v>1273</v>
      </c>
      <c r="K16" t="s">
        <v>1156</v>
      </c>
      <c r="L16">
        <v>23.141594902919586</v>
      </c>
      <c r="M16">
        <v>0.50104745705065001</v>
      </c>
      <c r="O16" t="s">
        <v>182</v>
      </c>
      <c r="P16" t="s">
        <v>1497</v>
      </c>
      <c r="Q16" t="s">
        <v>1498</v>
      </c>
      <c r="R16" t="s">
        <v>10</v>
      </c>
      <c r="S16" t="s">
        <v>21</v>
      </c>
      <c r="T16" t="s">
        <v>185</v>
      </c>
      <c r="U16" t="s">
        <v>186</v>
      </c>
      <c r="W16" t="s">
        <v>1497</v>
      </c>
      <c r="X16" t="s">
        <v>1706</v>
      </c>
      <c r="Y16">
        <v>100.90349999999999</v>
      </c>
      <c r="Z16">
        <v>0.3743058040317826</v>
      </c>
    </row>
    <row r="17" spans="2:26">
      <c r="B17" t="s">
        <v>182</v>
      </c>
      <c r="C17" t="s">
        <v>1275</v>
      </c>
      <c r="D17" t="s">
        <v>1276</v>
      </c>
      <c r="E17" t="s">
        <v>10</v>
      </c>
      <c r="F17" t="s">
        <v>21</v>
      </c>
      <c r="G17" t="s">
        <v>185</v>
      </c>
      <c r="H17" t="s">
        <v>186</v>
      </c>
      <c r="J17" t="s">
        <v>1275</v>
      </c>
      <c r="K17" t="s">
        <v>1119</v>
      </c>
      <c r="L17">
        <v>2.337505613596413</v>
      </c>
      <c r="M17">
        <v>0.53703184140631433</v>
      </c>
      <c r="O17" t="s">
        <v>182</v>
      </c>
      <c r="P17" t="s">
        <v>1499</v>
      </c>
      <c r="Q17" t="s">
        <v>1500</v>
      </c>
      <c r="R17" t="s">
        <v>10</v>
      </c>
      <c r="S17" t="s">
        <v>21</v>
      </c>
      <c r="T17" t="s">
        <v>185</v>
      </c>
      <c r="U17" t="s">
        <v>186</v>
      </c>
      <c r="W17" t="s">
        <v>1499</v>
      </c>
      <c r="X17" t="s">
        <v>1707</v>
      </c>
      <c r="Y17">
        <v>79.882499999999993</v>
      </c>
      <c r="Z17">
        <v>0.3505272114855793</v>
      </c>
    </row>
    <row r="18" spans="2:26">
      <c r="B18" t="s">
        <v>182</v>
      </c>
      <c r="C18" t="s">
        <v>1277</v>
      </c>
      <c r="D18" t="s">
        <v>1278</v>
      </c>
      <c r="E18" t="s">
        <v>10</v>
      </c>
      <c r="F18" t="s">
        <v>21</v>
      </c>
      <c r="G18" t="s">
        <v>185</v>
      </c>
      <c r="H18" t="s">
        <v>186</v>
      </c>
      <c r="J18" t="s">
        <v>1277</v>
      </c>
      <c r="K18" t="s">
        <v>1091</v>
      </c>
      <c r="L18">
        <v>4.9312505675704399</v>
      </c>
      <c r="M18">
        <v>0.52196543315223276</v>
      </c>
      <c r="O18" t="s">
        <v>182</v>
      </c>
      <c r="P18" t="s">
        <v>1501</v>
      </c>
      <c r="Q18" t="s">
        <v>1502</v>
      </c>
      <c r="R18" t="s">
        <v>10</v>
      </c>
      <c r="S18" t="s">
        <v>21</v>
      </c>
      <c r="T18" t="s">
        <v>185</v>
      </c>
      <c r="U18" t="s">
        <v>186</v>
      </c>
      <c r="W18" t="s">
        <v>1501</v>
      </c>
      <c r="X18" t="s">
        <v>1708</v>
      </c>
      <c r="Y18">
        <v>226.755</v>
      </c>
      <c r="Z18">
        <v>0.35869068914696228</v>
      </c>
    </row>
    <row r="19" spans="2:26">
      <c r="B19" t="s">
        <v>182</v>
      </c>
      <c r="C19" t="s">
        <v>1279</v>
      </c>
      <c r="D19" t="s">
        <v>1280</v>
      </c>
      <c r="E19" t="s">
        <v>10</v>
      </c>
      <c r="F19" t="s">
        <v>21</v>
      </c>
      <c r="G19" t="s">
        <v>185</v>
      </c>
      <c r="H19" t="s">
        <v>186</v>
      </c>
      <c r="J19" t="s">
        <v>1279</v>
      </c>
      <c r="K19" t="s">
        <v>1221</v>
      </c>
      <c r="L19">
        <v>1.6487730589628236</v>
      </c>
      <c r="M19">
        <v>0.3462452366712031</v>
      </c>
      <c r="O19" t="s">
        <v>182</v>
      </c>
      <c r="P19" t="s">
        <v>1503</v>
      </c>
      <c r="Q19" t="s">
        <v>1504</v>
      </c>
      <c r="R19" t="s">
        <v>10</v>
      </c>
      <c r="S19" t="s">
        <v>21</v>
      </c>
      <c r="T19" t="s">
        <v>185</v>
      </c>
      <c r="U19" t="s">
        <v>186</v>
      </c>
      <c r="W19" t="s">
        <v>1503</v>
      </c>
      <c r="X19" t="s">
        <v>1709</v>
      </c>
      <c r="Y19">
        <v>117.267</v>
      </c>
      <c r="Z19">
        <v>0.34258477984654712</v>
      </c>
    </row>
    <row r="20" spans="2:26">
      <c r="B20" t="s">
        <v>182</v>
      </c>
      <c r="C20" t="s">
        <v>1281</v>
      </c>
      <c r="D20" t="s">
        <v>1282</v>
      </c>
      <c r="E20" t="s">
        <v>10</v>
      </c>
      <c r="F20" t="s">
        <v>21</v>
      </c>
      <c r="G20" t="s">
        <v>185</v>
      </c>
      <c r="H20" t="s">
        <v>186</v>
      </c>
      <c r="J20" t="s">
        <v>1281</v>
      </c>
      <c r="K20" t="s">
        <v>1117</v>
      </c>
      <c r="L20">
        <v>2.5104213886424116</v>
      </c>
      <c r="M20">
        <v>0.3793136763040702</v>
      </c>
      <c r="O20" t="s">
        <v>182</v>
      </c>
      <c r="P20" t="s">
        <v>1505</v>
      </c>
      <c r="Q20" t="s">
        <v>1506</v>
      </c>
      <c r="R20" t="s">
        <v>10</v>
      </c>
      <c r="S20" t="s">
        <v>21</v>
      </c>
      <c r="T20" t="s">
        <v>185</v>
      </c>
      <c r="U20" t="s">
        <v>186</v>
      </c>
      <c r="W20" t="s">
        <v>1505</v>
      </c>
      <c r="X20" t="s">
        <v>1710</v>
      </c>
      <c r="Y20">
        <v>95.664749999999998</v>
      </c>
      <c r="Z20">
        <v>0.36445885358427149</v>
      </c>
    </row>
    <row r="21" spans="2:26">
      <c r="B21" t="s">
        <v>182</v>
      </c>
      <c r="C21" t="s">
        <v>1283</v>
      </c>
      <c r="D21" t="s">
        <v>1284</v>
      </c>
      <c r="E21" t="s">
        <v>10</v>
      </c>
      <c r="F21" t="s">
        <v>21</v>
      </c>
      <c r="G21" t="s">
        <v>185</v>
      </c>
      <c r="H21" t="s">
        <v>186</v>
      </c>
      <c r="J21" t="s">
        <v>1283</v>
      </c>
      <c r="K21" t="s">
        <v>1085</v>
      </c>
      <c r="L21">
        <v>64.580141886188471</v>
      </c>
      <c r="M21">
        <v>0.50726364138675972</v>
      </c>
      <c r="O21" t="s">
        <v>182</v>
      </c>
      <c r="P21" t="s">
        <v>1507</v>
      </c>
      <c r="Q21" t="s">
        <v>1508</v>
      </c>
      <c r="R21" t="s">
        <v>10</v>
      </c>
      <c r="S21" t="s">
        <v>21</v>
      </c>
      <c r="T21" t="s">
        <v>185</v>
      </c>
      <c r="U21" t="s">
        <v>186</v>
      </c>
      <c r="W21" t="s">
        <v>1507</v>
      </c>
      <c r="X21" t="s">
        <v>1711</v>
      </c>
      <c r="Y21">
        <v>72.540000000000006</v>
      </c>
      <c r="Z21">
        <v>0.33661441634123263</v>
      </c>
    </row>
    <row r="22" spans="2:26">
      <c r="B22" t="s">
        <v>182</v>
      </c>
      <c r="C22" t="s">
        <v>1285</v>
      </c>
      <c r="D22" t="s">
        <v>1286</v>
      </c>
      <c r="E22" t="s">
        <v>10</v>
      </c>
      <c r="F22" t="s">
        <v>21</v>
      </c>
      <c r="G22" t="s">
        <v>185</v>
      </c>
      <c r="H22" t="s">
        <v>186</v>
      </c>
      <c r="J22" t="s">
        <v>1285</v>
      </c>
      <c r="K22" t="s">
        <v>1201</v>
      </c>
      <c r="L22">
        <v>29.812315754608743</v>
      </c>
      <c r="M22">
        <v>0.49286639132600019</v>
      </c>
      <c r="O22" t="s">
        <v>182</v>
      </c>
      <c r="P22" t="s">
        <v>1509</v>
      </c>
      <c r="Q22" t="s">
        <v>1510</v>
      </c>
      <c r="R22" t="s">
        <v>10</v>
      </c>
      <c r="S22" t="s">
        <v>21</v>
      </c>
      <c r="T22" t="s">
        <v>185</v>
      </c>
      <c r="U22" t="s">
        <v>186</v>
      </c>
      <c r="W22" t="s">
        <v>1509</v>
      </c>
      <c r="X22" t="s">
        <v>1712</v>
      </c>
      <c r="Y22">
        <v>128.27625</v>
      </c>
      <c r="Z22">
        <v>0.3925934791494804</v>
      </c>
    </row>
    <row r="23" spans="2:26">
      <c r="B23" t="s">
        <v>182</v>
      </c>
      <c r="C23" t="s">
        <v>1287</v>
      </c>
      <c r="D23" t="s">
        <v>1288</v>
      </c>
      <c r="E23" t="s">
        <v>10</v>
      </c>
      <c r="F23" t="s">
        <v>21</v>
      </c>
      <c r="G23" t="s">
        <v>185</v>
      </c>
      <c r="H23" t="s">
        <v>186</v>
      </c>
      <c r="J23" t="s">
        <v>1287</v>
      </c>
      <c r="K23" t="s">
        <v>1257</v>
      </c>
      <c r="L23">
        <v>2.4344348015303465</v>
      </c>
      <c r="M23">
        <v>0.46082729983357529</v>
      </c>
      <c r="O23" t="s">
        <v>182</v>
      </c>
      <c r="P23" t="s">
        <v>1511</v>
      </c>
      <c r="Q23" t="s">
        <v>1512</v>
      </c>
      <c r="R23" t="s">
        <v>10</v>
      </c>
      <c r="S23" t="s">
        <v>21</v>
      </c>
      <c r="T23" t="s">
        <v>185</v>
      </c>
      <c r="U23" t="s">
        <v>186</v>
      </c>
      <c r="W23" t="s">
        <v>1511</v>
      </c>
      <c r="X23" t="s">
        <v>1713</v>
      </c>
      <c r="Y23">
        <v>9.6494999999999997</v>
      </c>
      <c r="Z23">
        <v>0.2254983309740019</v>
      </c>
    </row>
    <row r="24" spans="2:26">
      <c r="B24" t="s">
        <v>182</v>
      </c>
      <c r="C24" t="s">
        <v>1289</v>
      </c>
      <c r="D24" t="s">
        <v>1290</v>
      </c>
      <c r="E24" t="s">
        <v>10</v>
      </c>
      <c r="F24" t="s">
        <v>21</v>
      </c>
      <c r="G24" t="s">
        <v>185</v>
      </c>
      <c r="H24" t="s">
        <v>186</v>
      </c>
      <c r="J24" t="s">
        <v>1289</v>
      </c>
      <c r="K24" t="s">
        <v>1258</v>
      </c>
      <c r="L24">
        <v>6.9910731622374005</v>
      </c>
      <c r="M24">
        <v>0.52627486888277808</v>
      </c>
      <c r="O24" t="s">
        <v>182</v>
      </c>
      <c r="P24" t="s">
        <v>1513</v>
      </c>
      <c r="Q24" t="s">
        <v>1514</v>
      </c>
      <c r="R24" t="s">
        <v>10</v>
      </c>
      <c r="S24" t="s">
        <v>21</v>
      </c>
      <c r="T24" t="s">
        <v>185</v>
      </c>
      <c r="U24" t="s">
        <v>186</v>
      </c>
      <c r="W24" t="s">
        <v>1513</v>
      </c>
      <c r="X24" t="s">
        <v>1714</v>
      </c>
      <c r="Y24">
        <v>143.0925</v>
      </c>
      <c r="Z24">
        <v>0.38557652674343901</v>
      </c>
    </row>
    <row r="25" spans="2:26">
      <c r="B25" t="s">
        <v>182</v>
      </c>
      <c r="C25" t="s">
        <v>1291</v>
      </c>
      <c r="D25" t="s">
        <v>1292</v>
      </c>
      <c r="E25" t="s">
        <v>10</v>
      </c>
      <c r="F25" t="s">
        <v>21</v>
      </c>
      <c r="G25" t="s">
        <v>185</v>
      </c>
      <c r="H25" t="s">
        <v>186</v>
      </c>
      <c r="J25" t="s">
        <v>1291</v>
      </c>
      <c r="K25" t="s">
        <v>1142</v>
      </c>
      <c r="L25">
        <v>18.049864904596099</v>
      </c>
      <c r="M25">
        <v>0.52016544964390377</v>
      </c>
      <c r="O25" t="s">
        <v>182</v>
      </c>
      <c r="P25" t="s">
        <v>1515</v>
      </c>
      <c r="Q25" t="s">
        <v>1516</v>
      </c>
      <c r="R25" t="s">
        <v>10</v>
      </c>
      <c r="S25" t="s">
        <v>21</v>
      </c>
      <c r="T25" t="s">
        <v>185</v>
      </c>
      <c r="U25" t="s">
        <v>186</v>
      </c>
      <c r="W25" t="s">
        <v>1515</v>
      </c>
      <c r="X25" t="s">
        <v>1715</v>
      </c>
      <c r="Y25">
        <v>73.544250000000005</v>
      </c>
      <c r="Z25">
        <v>0.3423805840935914</v>
      </c>
    </row>
    <row r="26" spans="2:26">
      <c r="B26" t="s">
        <v>182</v>
      </c>
      <c r="C26" t="s">
        <v>1293</v>
      </c>
      <c r="D26" t="s">
        <v>1294</v>
      </c>
      <c r="E26" t="s">
        <v>10</v>
      </c>
      <c r="F26" t="s">
        <v>21</v>
      </c>
      <c r="G26" t="s">
        <v>185</v>
      </c>
      <c r="H26" t="s">
        <v>186</v>
      </c>
      <c r="J26" t="s">
        <v>1293</v>
      </c>
      <c r="K26" t="s">
        <v>1260</v>
      </c>
      <c r="L26">
        <v>5.6511300904457658</v>
      </c>
      <c r="M26">
        <v>0.53267763772462473</v>
      </c>
      <c r="O26" t="s">
        <v>182</v>
      </c>
      <c r="P26" t="s">
        <v>1517</v>
      </c>
      <c r="Q26" t="s">
        <v>1518</v>
      </c>
      <c r="R26" t="s">
        <v>10</v>
      </c>
      <c r="S26" t="s">
        <v>21</v>
      </c>
      <c r="T26" t="s">
        <v>185</v>
      </c>
      <c r="U26" t="s">
        <v>186</v>
      </c>
      <c r="W26" t="s">
        <v>1517</v>
      </c>
      <c r="X26" t="s">
        <v>1716</v>
      </c>
      <c r="Y26">
        <v>178.9665</v>
      </c>
      <c r="Z26">
        <v>0.34931318591392368</v>
      </c>
    </row>
    <row r="27" spans="2:26">
      <c r="B27" t="s">
        <v>182</v>
      </c>
      <c r="C27" t="s">
        <v>1295</v>
      </c>
      <c r="D27" t="s">
        <v>1296</v>
      </c>
      <c r="E27" t="s">
        <v>10</v>
      </c>
      <c r="F27" t="s">
        <v>21</v>
      </c>
      <c r="G27" t="s">
        <v>185</v>
      </c>
      <c r="H27" t="s">
        <v>186</v>
      </c>
      <c r="J27" t="s">
        <v>1295</v>
      </c>
      <c r="K27" t="s">
        <v>1262</v>
      </c>
      <c r="L27">
        <v>12.656660547347176</v>
      </c>
      <c r="M27">
        <v>0.41602376266201302</v>
      </c>
      <c r="O27" t="s">
        <v>182</v>
      </c>
      <c r="P27" t="s">
        <v>1519</v>
      </c>
      <c r="Q27" t="s">
        <v>1520</v>
      </c>
      <c r="R27" t="s">
        <v>10</v>
      </c>
      <c r="S27" t="s">
        <v>21</v>
      </c>
      <c r="T27" t="s">
        <v>185</v>
      </c>
      <c r="U27" t="s">
        <v>186</v>
      </c>
      <c r="W27" t="s">
        <v>1519</v>
      </c>
      <c r="X27" t="s">
        <v>1717</v>
      </c>
      <c r="Y27">
        <v>123.6405</v>
      </c>
      <c r="Z27">
        <v>0.3483683454551913</v>
      </c>
    </row>
    <row r="28" spans="2:26">
      <c r="B28" t="s">
        <v>182</v>
      </c>
      <c r="C28" t="s">
        <v>1297</v>
      </c>
      <c r="D28" t="s">
        <v>1298</v>
      </c>
      <c r="E28" t="s">
        <v>10</v>
      </c>
      <c r="F28" t="s">
        <v>21</v>
      </c>
      <c r="G28" t="s">
        <v>185</v>
      </c>
      <c r="H28" t="s">
        <v>186</v>
      </c>
      <c r="J28" t="s">
        <v>1297</v>
      </c>
      <c r="K28" t="s">
        <v>1162</v>
      </c>
      <c r="L28">
        <v>9.3804512575833687</v>
      </c>
      <c r="M28">
        <v>0.41536289610487748</v>
      </c>
      <c r="O28" t="s">
        <v>182</v>
      </c>
      <c r="P28" t="s">
        <v>1521</v>
      </c>
      <c r="Q28" t="s">
        <v>1522</v>
      </c>
      <c r="R28" t="s">
        <v>10</v>
      </c>
      <c r="S28" t="s">
        <v>21</v>
      </c>
      <c r="T28" t="s">
        <v>185</v>
      </c>
      <c r="U28" t="s">
        <v>186</v>
      </c>
      <c r="W28" t="s">
        <v>1521</v>
      </c>
      <c r="X28" t="s">
        <v>1718</v>
      </c>
      <c r="Y28">
        <v>89.694749999999999</v>
      </c>
      <c r="Z28">
        <v>0.33508324969733227</v>
      </c>
    </row>
    <row r="29" spans="2:26">
      <c r="B29" t="s">
        <v>182</v>
      </c>
      <c r="C29" t="s">
        <v>1299</v>
      </c>
      <c r="D29" t="s">
        <v>1300</v>
      </c>
      <c r="E29" t="s">
        <v>10</v>
      </c>
      <c r="F29" t="s">
        <v>21</v>
      </c>
      <c r="G29" t="s">
        <v>185</v>
      </c>
      <c r="H29" t="s">
        <v>186</v>
      </c>
      <c r="J29" t="s">
        <v>1299</v>
      </c>
      <c r="K29" t="s">
        <v>1089</v>
      </c>
      <c r="L29">
        <v>8.6499947041619603</v>
      </c>
      <c r="M29">
        <v>0.52101980858676422</v>
      </c>
      <c r="O29" t="s">
        <v>182</v>
      </c>
      <c r="P29" t="s">
        <v>1523</v>
      </c>
      <c r="Q29" t="s">
        <v>1524</v>
      </c>
      <c r="R29" t="s">
        <v>10</v>
      </c>
      <c r="S29" t="s">
        <v>21</v>
      </c>
      <c r="T29" t="s">
        <v>185</v>
      </c>
      <c r="U29" t="s">
        <v>186</v>
      </c>
      <c r="W29" t="s">
        <v>1523</v>
      </c>
      <c r="X29" t="s">
        <v>1719</v>
      </c>
      <c r="Y29">
        <v>187.3185</v>
      </c>
      <c r="Z29">
        <v>0.32595269156182222</v>
      </c>
    </row>
    <row r="30" spans="2:26">
      <c r="B30" t="s">
        <v>182</v>
      </c>
      <c r="C30" t="s">
        <v>1301</v>
      </c>
      <c r="D30" t="s">
        <v>1302</v>
      </c>
      <c r="E30" t="s">
        <v>10</v>
      </c>
      <c r="F30" t="s">
        <v>21</v>
      </c>
      <c r="G30" t="s">
        <v>185</v>
      </c>
      <c r="H30" t="s">
        <v>186</v>
      </c>
      <c r="J30" t="s">
        <v>1301</v>
      </c>
      <c r="K30" t="s">
        <v>1212</v>
      </c>
      <c r="L30">
        <v>1.6265516087294254</v>
      </c>
      <c r="M30">
        <v>0.48499926361930212</v>
      </c>
      <c r="O30" t="s">
        <v>182</v>
      </c>
      <c r="P30" t="s">
        <v>1525</v>
      </c>
      <c r="Q30" t="s">
        <v>1526</v>
      </c>
      <c r="R30" t="s">
        <v>10</v>
      </c>
      <c r="S30" t="s">
        <v>21</v>
      </c>
      <c r="T30" t="s">
        <v>185</v>
      </c>
      <c r="U30" t="s">
        <v>186</v>
      </c>
      <c r="W30" t="s">
        <v>1525</v>
      </c>
      <c r="X30" t="s">
        <v>1720</v>
      </c>
      <c r="Y30">
        <v>55.59675</v>
      </c>
      <c r="Z30">
        <v>0.35357115075925372</v>
      </c>
    </row>
    <row r="31" spans="2:26">
      <c r="B31" t="s">
        <v>182</v>
      </c>
      <c r="C31" t="s">
        <v>1303</v>
      </c>
      <c r="D31" t="s">
        <v>1304</v>
      </c>
      <c r="E31" t="s">
        <v>10</v>
      </c>
      <c r="F31" t="s">
        <v>21</v>
      </c>
      <c r="G31" t="s">
        <v>185</v>
      </c>
      <c r="H31" t="s">
        <v>186</v>
      </c>
      <c r="J31" t="s">
        <v>1303</v>
      </c>
      <c r="K31" t="s">
        <v>1182</v>
      </c>
      <c r="L31">
        <v>2.6661585646059458</v>
      </c>
      <c r="M31">
        <v>0.53086443005360506</v>
      </c>
      <c r="O31" t="s">
        <v>182</v>
      </c>
      <c r="P31" t="s">
        <v>1527</v>
      </c>
      <c r="Q31" t="s">
        <v>1528</v>
      </c>
      <c r="R31" t="s">
        <v>10</v>
      </c>
      <c r="S31" t="s">
        <v>21</v>
      </c>
      <c r="T31" t="s">
        <v>185</v>
      </c>
      <c r="U31" t="s">
        <v>186</v>
      </c>
      <c r="W31" t="s">
        <v>1527</v>
      </c>
      <c r="X31" t="s">
        <v>1721</v>
      </c>
      <c r="Y31">
        <v>163.03649999999999</v>
      </c>
      <c r="Z31">
        <v>0.36635355377180751</v>
      </c>
    </row>
    <row r="32" spans="2:26">
      <c r="B32" t="s">
        <v>182</v>
      </c>
      <c r="C32" t="s">
        <v>1305</v>
      </c>
      <c r="D32" t="s">
        <v>1306</v>
      </c>
      <c r="E32" t="s">
        <v>10</v>
      </c>
      <c r="F32" t="s">
        <v>21</v>
      </c>
      <c r="G32" t="s">
        <v>185</v>
      </c>
      <c r="H32" t="s">
        <v>186</v>
      </c>
      <c r="J32" t="s">
        <v>1305</v>
      </c>
      <c r="K32" t="s">
        <v>1135</v>
      </c>
      <c r="L32">
        <v>3.9349286265453371</v>
      </c>
      <c r="M32">
        <v>0.49434546164168752</v>
      </c>
      <c r="O32" t="s">
        <v>182</v>
      </c>
      <c r="P32" t="s">
        <v>1529</v>
      </c>
      <c r="Q32" t="s">
        <v>1530</v>
      </c>
      <c r="R32" t="s">
        <v>10</v>
      </c>
      <c r="S32" t="s">
        <v>21</v>
      </c>
      <c r="T32" t="s">
        <v>185</v>
      </c>
      <c r="U32" t="s">
        <v>186</v>
      </c>
      <c r="W32" t="s">
        <v>1529</v>
      </c>
      <c r="X32" t="s">
        <v>1722</v>
      </c>
      <c r="Y32">
        <v>64.718999999999994</v>
      </c>
      <c r="Z32">
        <v>0.3546414628565111</v>
      </c>
    </row>
    <row r="33" spans="2:26">
      <c r="B33" t="s">
        <v>182</v>
      </c>
      <c r="C33" t="s">
        <v>1307</v>
      </c>
      <c r="D33" t="s">
        <v>1308</v>
      </c>
      <c r="E33" t="s">
        <v>10</v>
      </c>
      <c r="F33" t="s">
        <v>21</v>
      </c>
      <c r="G33" t="s">
        <v>185</v>
      </c>
      <c r="H33" t="s">
        <v>186</v>
      </c>
      <c r="J33" t="s">
        <v>1307</v>
      </c>
      <c r="K33" t="s">
        <v>1146</v>
      </c>
      <c r="L33">
        <v>2.8791905517141583</v>
      </c>
      <c r="M33">
        <v>0.43527538187191639</v>
      </c>
      <c r="O33" t="s">
        <v>182</v>
      </c>
      <c r="P33" t="s">
        <v>1531</v>
      </c>
      <c r="Q33" t="s">
        <v>1532</v>
      </c>
      <c r="R33" t="s">
        <v>10</v>
      </c>
      <c r="S33" t="s">
        <v>21</v>
      </c>
      <c r="T33" t="s">
        <v>185</v>
      </c>
      <c r="U33" t="s">
        <v>186</v>
      </c>
      <c r="W33" t="s">
        <v>1531</v>
      </c>
      <c r="X33" t="s">
        <v>1723</v>
      </c>
      <c r="Y33">
        <v>119.89275000000001</v>
      </c>
      <c r="Z33">
        <v>0.30756751895429679</v>
      </c>
    </row>
    <row r="34" spans="2:26">
      <c r="B34" t="s">
        <v>182</v>
      </c>
      <c r="C34" t="s">
        <v>1309</v>
      </c>
      <c r="D34" t="s">
        <v>1310</v>
      </c>
      <c r="E34" t="s">
        <v>10</v>
      </c>
      <c r="F34" t="s">
        <v>21</v>
      </c>
      <c r="G34" t="s">
        <v>185</v>
      </c>
      <c r="H34" t="s">
        <v>186</v>
      </c>
      <c r="J34" t="s">
        <v>1309</v>
      </c>
      <c r="K34" t="s">
        <v>1205</v>
      </c>
      <c r="L34">
        <v>10.4951202314078</v>
      </c>
      <c r="M34">
        <v>0.2213542399665667</v>
      </c>
      <c r="O34" t="s">
        <v>182</v>
      </c>
      <c r="P34" t="s">
        <v>1533</v>
      </c>
      <c r="Q34" t="s">
        <v>1534</v>
      </c>
      <c r="R34" t="s">
        <v>10</v>
      </c>
      <c r="S34" t="s">
        <v>21</v>
      </c>
      <c r="T34" t="s">
        <v>185</v>
      </c>
      <c r="U34" t="s">
        <v>186</v>
      </c>
      <c r="W34" t="s">
        <v>1533</v>
      </c>
      <c r="X34" t="s">
        <v>1724</v>
      </c>
      <c r="Y34">
        <v>127.47375</v>
      </c>
      <c r="Z34">
        <v>0.35694043130330472</v>
      </c>
    </row>
    <row r="35" spans="2:26">
      <c r="B35" t="s">
        <v>182</v>
      </c>
      <c r="C35" t="s">
        <v>1311</v>
      </c>
      <c r="D35" t="s">
        <v>1312</v>
      </c>
      <c r="E35" t="s">
        <v>10</v>
      </c>
      <c r="F35" t="s">
        <v>21</v>
      </c>
      <c r="G35" t="s">
        <v>185</v>
      </c>
      <c r="H35" t="s">
        <v>186</v>
      </c>
      <c r="J35" t="s">
        <v>1311</v>
      </c>
      <c r="K35" t="s">
        <v>1102</v>
      </c>
      <c r="L35">
        <v>31.061272259554968</v>
      </c>
      <c r="M35">
        <v>0.47212007543585222</v>
      </c>
      <c r="O35" t="s">
        <v>182</v>
      </c>
      <c r="P35" t="s">
        <v>1535</v>
      </c>
      <c r="Q35" t="s">
        <v>1536</v>
      </c>
      <c r="R35" t="s">
        <v>10</v>
      </c>
      <c r="S35" t="s">
        <v>21</v>
      </c>
      <c r="T35" t="s">
        <v>185</v>
      </c>
      <c r="U35" t="s">
        <v>186</v>
      </c>
      <c r="W35" t="s">
        <v>1535</v>
      </c>
      <c r="X35" t="s">
        <v>1725</v>
      </c>
      <c r="Y35">
        <v>120.84375</v>
      </c>
      <c r="Z35">
        <v>0.3674622883002478</v>
      </c>
    </row>
    <row r="36" spans="2:26">
      <c r="B36" t="s">
        <v>182</v>
      </c>
      <c r="C36" t="s">
        <v>1313</v>
      </c>
      <c r="D36" t="s">
        <v>1314</v>
      </c>
      <c r="E36" t="s">
        <v>10</v>
      </c>
      <c r="F36" t="s">
        <v>21</v>
      </c>
      <c r="G36" t="s">
        <v>185</v>
      </c>
      <c r="H36" t="s">
        <v>186</v>
      </c>
      <c r="J36" t="s">
        <v>1313</v>
      </c>
      <c r="K36" t="s">
        <v>1176</v>
      </c>
      <c r="L36">
        <v>1.311739934009811</v>
      </c>
      <c r="M36">
        <v>0.31687820134097761</v>
      </c>
      <c r="O36" t="s">
        <v>182</v>
      </c>
      <c r="P36" t="s">
        <v>1537</v>
      </c>
      <c r="Q36" t="s">
        <v>1538</v>
      </c>
      <c r="R36" t="s">
        <v>10</v>
      </c>
      <c r="S36" t="s">
        <v>21</v>
      </c>
      <c r="T36" t="s">
        <v>185</v>
      </c>
      <c r="U36" t="s">
        <v>186</v>
      </c>
      <c r="W36" t="s">
        <v>1537</v>
      </c>
      <c r="X36" t="s">
        <v>1726</v>
      </c>
      <c r="Y36">
        <v>28.69125</v>
      </c>
      <c r="Z36">
        <v>0.3076524337705937</v>
      </c>
    </row>
    <row r="37" spans="2:26">
      <c r="B37" t="s">
        <v>182</v>
      </c>
      <c r="C37" t="s">
        <v>1315</v>
      </c>
      <c r="D37" t="s">
        <v>1316</v>
      </c>
      <c r="E37" t="s">
        <v>10</v>
      </c>
      <c r="F37" t="s">
        <v>21</v>
      </c>
      <c r="G37" t="s">
        <v>185</v>
      </c>
      <c r="H37" t="s">
        <v>186</v>
      </c>
      <c r="J37" t="s">
        <v>1315</v>
      </c>
      <c r="K37" t="s">
        <v>1235</v>
      </c>
      <c r="L37">
        <v>0.50374705632502792</v>
      </c>
      <c r="M37">
        <v>0.39799010750354058</v>
      </c>
      <c r="O37" t="s">
        <v>182</v>
      </c>
      <c r="P37" t="s">
        <v>1539</v>
      </c>
      <c r="Q37" t="s">
        <v>1540</v>
      </c>
      <c r="R37" t="s">
        <v>10</v>
      </c>
      <c r="S37" t="s">
        <v>21</v>
      </c>
      <c r="T37" t="s">
        <v>185</v>
      </c>
      <c r="U37" t="s">
        <v>186</v>
      </c>
      <c r="W37" t="s">
        <v>1539</v>
      </c>
      <c r="X37" t="s">
        <v>1727</v>
      </c>
      <c r="Y37">
        <v>91.79325</v>
      </c>
      <c r="Z37">
        <v>0.27931225934929349</v>
      </c>
    </row>
    <row r="38" spans="2:26">
      <c r="B38" t="s">
        <v>182</v>
      </c>
      <c r="C38" t="s">
        <v>1317</v>
      </c>
      <c r="D38" t="s">
        <v>1318</v>
      </c>
      <c r="E38" t="s">
        <v>10</v>
      </c>
      <c r="F38" t="s">
        <v>21</v>
      </c>
      <c r="G38" t="s">
        <v>185</v>
      </c>
      <c r="H38" t="s">
        <v>186</v>
      </c>
      <c r="J38" t="s">
        <v>1317</v>
      </c>
      <c r="K38" t="s">
        <v>1115</v>
      </c>
      <c r="L38">
        <v>6.3717673797652257</v>
      </c>
      <c r="M38">
        <v>0.33645870298574959</v>
      </c>
      <c r="O38" t="s">
        <v>182</v>
      </c>
      <c r="P38" t="s">
        <v>1541</v>
      </c>
      <c r="Q38" t="s">
        <v>1542</v>
      </c>
      <c r="R38" t="s">
        <v>10</v>
      </c>
      <c r="S38" t="s">
        <v>21</v>
      </c>
      <c r="T38" t="s">
        <v>185</v>
      </c>
      <c r="U38" t="s">
        <v>186</v>
      </c>
      <c r="W38" t="s">
        <v>1541</v>
      </c>
      <c r="X38" t="s">
        <v>1728</v>
      </c>
      <c r="Y38">
        <v>24.9315</v>
      </c>
      <c r="Z38">
        <v>0.33475813740104698</v>
      </c>
    </row>
    <row r="39" spans="2:26">
      <c r="B39" t="s">
        <v>182</v>
      </c>
      <c r="C39" t="s">
        <v>1319</v>
      </c>
      <c r="D39" t="s">
        <v>1320</v>
      </c>
      <c r="E39" t="s">
        <v>10</v>
      </c>
      <c r="F39" t="s">
        <v>21</v>
      </c>
      <c r="G39" t="s">
        <v>185</v>
      </c>
      <c r="H39" t="s">
        <v>186</v>
      </c>
      <c r="J39" t="s">
        <v>1319</v>
      </c>
      <c r="K39" t="s">
        <v>1175</v>
      </c>
      <c r="L39">
        <v>1.3946648023780812</v>
      </c>
      <c r="M39">
        <v>0.30992722847463589</v>
      </c>
      <c r="O39" t="s">
        <v>182</v>
      </c>
      <c r="P39" t="s">
        <v>1543</v>
      </c>
      <c r="Q39" t="s">
        <v>1544</v>
      </c>
      <c r="R39" t="s">
        <v>10</v>
      </c>
      <c r="S39" t="s">
        <v>21</v>
      </c>
      <c r="T39" t="s">
        <v>185</v>
      </c>
      <c r="U39" t="s">
        <v>186</v>
      </c>
      <c r="W39" t="s">
        <v>1543</v>
      </c>
      <c r="X39" t="s">
        <v>1729</v>
      </c>
      <c r="Y39">
        <v>149.06549999999999</v>
      </c>
      <c r="Z39">
        <v>0.3362970709829593</v>
      </c>
    </row>
    <row r="40" spans="2:26">
      <c r="B40" t="s">
        <v>182</v>
      </c>
      <c r="C40" t="s">
        <v>1321</v>
      </c>
      <c r="D40" t="s">
        <v>1322</v>
      </c>
      <c r="E40" t="s">
        <v>10</v>
      </c>
      <c r="F40" t="s">
        <v>21</v>
      </c>
      <c r="G40" t="s">
        <v>185</v>
      </c>
      <c r="H40" t="s">
        <v>186</v>
      </c>
      <c r="J40" t="s">
        <v>1321</v>
      </c>
      <c r="K40" t="s">
        <v>1097</v>
      </c>
      <c r="L40">
        <v>1.2028038280878515</v>
      </c>
      <c r="M40">
        <v>0.30510578024037799</v>
      </c>
      <c r="O40" t="s">
        <v>182</v>
      </c>
      <c r="P40" t="s">
        <v>1545</v>
      </c>
      <c r="Q40" t="s">
        <v>1546</v>
      </c>
      <c r="R40" t="s">
        <v>10</v>
      </c>
      <c r="S40" t="s">
        <v>21</v>
      </c>
      <c r="T40" t="s">
        <v>185</v>
      </c>
      <c r="U40" t="s">
        <v>186</v>
      </c>
      <c r="W40" t="s">
        <v>1545</v>
      </c>
      <c r="X40" t="s">
        <v>1730</v>
      </c>
      <c r="Y40">
        <v>62.496749999999999</v>
      </c>
      <c r="Z40">
        <v>0.34621684352638571</v>
      </c>
    </row>
    <row r="41" spans="2:26">
      <c r="B41" t="s">
        <v>182</v>
      </c>
      <c r="C41" t="s">
        <v>1323</v>
      </c>
      <c r="D41" t="s">
        <v>1324</v>
      </c>
      <c r="E41" t="s">
        <v>10</v>
      </c>
      <c r="F41" t="s">
        <v>21</v>
      </c>
      <c r="G41" t="s">
        <v>185</v>
      </c>
      <c r="H41" t="s">
        <v>186</v>
      </c>
      <c r="J41" t="s">
        <v>1323</v>
      </c>
      <c r="K41" t="s">
        <v>1112</v>
      </c>
      <c r="L41">
        <v>1.3371039133946589</v>
      </c>
      <c r="M41">
        <v>0.32234932224218021</v>
      </c>
      <c r="O41" t="s">
        <v>182</v>
      </c>
      <c r="P41" t="s">
        <v>1547</v>
      </c>
      <c r="Q41" t="s">
        <v>1548</v>
      </c>
      <c r="R41" t="s">
        <v>10</v>
      </c>
      <c r="S41" t="s">
        <v>21</v>
      </c>
      <c r="T41" t="s">
        <v>185</v>
      </c>
      <c r="U41" t="s">
        <v>186</v>
      </c>
      <c r="W41" t="s">
        <v>1547</v>
      </c>
      <c r="X41" t="s">
        <v>1731</v>
      </c>
      <c r="Y41">
        <v>69.972750000000005</v>
      </c>
      <c r="Z41">
        <v>0.36143644541904341</v>
      </c>
    </row>
    <row r="42" spans="2:26">
      <c r="B42" t="s">
        <v>182</v>
      </c>
      <c r="C42" t="s">
        <v>1325</v>
      </c>
      <c r="D42" t="s">
        <v>1326</v>
      </c>
      <c r="E42" t="s">
        <v>10</v>
      </c>
      <c r="F42" t="s">
        <v>21</v>
      </c>
      <c r="G42" t="s">
        <v>185</v>
      </c>
      <c r="H42" t="s">
        <v>186</v>
      </c>
      <c r="J42" t="s">
        <v>1325</v>
      </c>
      <c r="K42" t="s">
        <v>1200</v>
      </c>
      <c r="L42">
        <v>0.73499820090284262</v>
      </c>
      <c r="M42">
        <v>0.29799742206854268</v>
      </c>
      <c r="O42" t="s">
        <v>182</v>
      </c>
      <c r="P42" t="s">
        <v>1549</v>
      </c>
      <c r="Q42" t="s">
        <v>1550</v>
      </c>
      <c r="R42" t="s">
        <v>10</v>
      </c>
      <c r="S42" t="s">
        <v>21</v>
      </c>
      <c r="T42" t="s">
        <v>185</v>
      </c>
      <c r="U42" t="s">
        <v>186</v>
      </c>
      <c r="W42" t="s">
        <v>1549</v>
      </c>
      <c r="X42" t="s">
        <v>1732</v>
      </c>
      <c r="Y42">
        <v>50.625749999999996</v>
      </c>
      <c r="Z42">
        <v>0.38590225447207449</v>
      </c>
    </row>
    <row r="43" spans="2:26">
      <c r="B43" t="s">
        <v>182</v>
      </c>
      <c r="C43" t="s">
        <v>1327</v>
      </c>
      <c r="D43" t="s">
        <v>1328</v>
      </c>
      <c r="E43" t="s">
        <v>10</v>
      </c>
      <c r="F43" t="s">
        <v>21</v>
      </c>
      <c r="G43" t="s">
        <v>185</v>
      </c>
      <c r="H43" t="s">
        <v>186</v>
      </c>
      <c r="J43" t="s">
        <v>1327</v>
      </c>
      <c r="K43" t="s">
        <v>1220</v>
      </c>
      <c r="L43">
        <v>0.4094170234569498</v>
      </c>
      <c r="M43">
        <v>0.2761208455370841</v>
      </c>
      <c r="O43" t="s">
        <v>182</v>
      </c>
      <c r="P43" t="s">
        <v>1551</v>
      </c>
      <c r="Q43" t="s">
        <v>1552</v>
      </c>
      <c r="R43" t="s">
        <v>10</v>
      </c>
      <c r="S43" t="s">
        <v>21</v>
      </c>
      <c r="T43" t="s">
        <v>185</v>
      </c>
      <c r="U43" t="s">
        <v>186</v>
      </c>
      <c r="W43" t="s">
        <v>1551</v>
      </c>
      <c r="X43" t="s">
        <v>1733</v>
      </c>
      <c r="Y43">
        <v>109.3935</v>
      </c>
      <c r="Z43">
        <v>0.41081507501637948</v>
      </c>
    </row>
    <row r="44" spans="2:26">
      <c r="B44" t="s">
        <v>182</v>
      </c>
      <c r="C44" t="s">
        <v>1329</v>
      </c>
      <c r="D44" t="s">
        <v>1330</v>
      </c>
      <c r="E44" t="s">
        <v>10</v>
      </c>
      <c r="F44" t="s">
        <v>21</v>
      </c>
      <c r="G44" t="s">
        <v>185</v>
      </c>
      <c r="H44" t="s">
        <v>186</v>
      </c>
      <c r="J44" t="s">
        <v>1329</v>
      </c>
      <c r="K44" t="s">
        <v>1187</v>
      </c>
      <c r="L44">
        <v>6.5096393224899485</v>
      </c>
      <c r="M44">
        <v>0.29627964794902129</v>
      </c>
      <c r="O44" t="s">
        <v>182</v>
      </c>
      <c r="P44" t="s">
        <v>1553</v>
      </c>
      <c r="Q44" t="s">
        <v>1554</v>
      </c>
      <c r="R44" t="s">
        <v>10</v>
      </c>
      <c r="S44" t="s">
        <v>21</v>
      </c>
      <c r="T44" t="s">
        <v>185</v>
      </c>
      <c r="U44" t="s">
        <v>186</v>
      </c>
      <c r="W44" t="s">
        <v>1553</v>
      </c>
      <c r="X44" t="s">
        <v>1734</v>
      </c>
      <c r="Y44">
        <v>204.73275000000001</v>
      </c>
      <c r="Z44">
        <v>0.550776224309665</v>
      </c>
    </row>
    <row r="45" spans="2:26">
      <c r="B45" t="s">
        <v>182</v>
      </c>
      <c r="C45" t="s">
        <v>1331</v>
      </c>
      <c r="D45" t="s">
        <v>1332</v>
      </c>
      <c r="E45" t="s">
        <v>10</v>
      </c>
      <c r="F45" t="s">
        <v>21</v>
      </c>
      <c r="G45" t="s">
        <v>185</v>
      </c>
      <c r="H45" t="s">
        <v>186</v>
      </c>
      <c r="J45" t="s">
        <v>1331</v>
      </c>
      <c r="K45" t="s">
        <v>1234</v>
      </c>
      <c r="L45">
        <v>3.8564595816626834</v>
      </c>
      <c r="M45">
        <v>0.29736573933983479</v>
      </c>
      <c r="O45" t="s">
        <v>182</v>
      </c>
      <c r="P45" t="s">
        <v>1555</v>
      </c>
      <c r="Q45" t="s">
        <v>1556</v>
      </c>
      <c r="R45" t="s">
        <v>10</v>
      </c>
      <c r="S45" t="s">
        <v>21</v>
      </c>
      <c r="T45" t="s">
        <v>185</v>
      </c>
      <c r="U45" t="s">
        <v>186</v>
      </c>
      <c r="W45" t="s">
        <v>1555</v>
      </c>
      <c r="X45" t="s">
        <v>1735</v>
      </c>
      <c r="Y45">
        <v>30.99</v>
      </c>
      <c r="Z45">
        <v>0.40974052939226602</v>
      </c>
    </row>
    <row r="46" spans="2:26">
      <c r="B46" t="s">
        <v>182</v>
      </c>
      <c r="C46" t="s">
        <v>1333</v>
      </c>
      <c r="D46" t="s">
        <v>1334</v>
      </c>
      <c r="E46" t="s">
        <v>10</v>
      </c>
      <c r="F46" t="s">
        <v>21</v>
      </c>
      <c r="G46" t="s">
        <v>185</v>
      </c>
      <c r="H46" t="s">
        <v>186</v>
      </c>
      <c r="J46" t="s">
        <v>1333</v>
      </c>
      <c r="K46" t="s">
        <v>1171</v>
      </c>
      <c r="L46">
        <v>4.3078115120702654</v>
      </c>
      <c r="M46">
        <v>0.33614985308862622</v>
      </c>
      <c r="O46" t="s">
        <v>182</v>
      </c>
      <c r="P46" t="s">
        <v>1557</v>
      </c>
      <c r="Q46" t="s">
        <v>1558</v>
      </c>
      <c r="R46" t="s">
        <v>10</v>
      </c>
      <c r="S46" t="s">
        <v>21</v>
      </c>
      <c r="T46" t="s">
        <v>185</v>
      </c>
      <c r="U46" t="s">
        <v>186</v>
      </c>
      <c r="W46" t="s">
        <v>1557</v>
      </c>
      <c r="X46" t="s">
        <v>1736</v>
      </c>
      <c r="Y46">
        <v>210.13425000000001</v>
      </c>
      <c r="Z46">
        <v>0.57162520527932603</v>
      </c>
    </row>
    <row r="47" spans="2:26">
      <c r="B47" t="s">
        <v>182</v>
      </c>
      <c r="C47" t="s">
        <v>1335</v>
      </c>
      <c r="D47" t="s">
        <v>1336</v>
      </c>
      <c r="E47" t="s">
        <v>10</v>
      </c>
      <c r="F47" t="s">
        <v>21</v>
      </c>
      <c r="G47" t="s">
        <v>185</v>
      </c>
      <c r="H47" t="s">
        <v>186</v>
      </c>
      <c r="J47" t="s">
        <v>1335</v>
      </c>
      <c r="K47" t="s">
        <v>1114</v>
      </c>
      <c r="L47">
        <v>5.6801519117349706</v>
      </c>
      <c r="M47">
        <v>0.29675349226093778</v>
      </c>
      <c r="O47" t="s">
        <v>182</v>
      </c>
      <c r="P47" t="s">
        <v>1559</v>
      </c>
      <c r="Q47" t="s">
        <v>1560</v>
      </c>
      <c r="R47" t="s">
        <v>10</v>
      </c>
      <c r="S47" t="s">
        <v>21</v>
      </c>
      <c r="T47" t="s">
        <v>185</v>
      </c>
      <c r="U47" t="s">
        <v>186</v>
      </c>
      <c r="W47" t="s">
        <v>1559</v>
      </c>
      <c r="X47" t="s">
        <v>1737</v>
      </c>
      <c r="Y47">
        <v>92.862750000000005</v>
      </c>
      <c r="Z47">
        <v>0.6042235444340065</v>
      </c>
    </row>
    <row r="48" spans="2:26">
      <c r="B48" t="s">
        <v>182</v>
      </c>
      <c r="C48" t="s">
        <v>1337</v>
      </c>
      <c r="D48" t="s">
        <v>1338</v>
      </c>
      <c r="E48" t="s">
        <v>10</v>
      </c>
      <c r="F48" t="s">
        <v>21</v>
      </c>
      <c r="G48" t="s">
        <v>185</v>
      </c>
      <c r="H48" t="s">
        <v>186</v>
      </c>
      <c r="J48" t="s">
        <v>1337</v>
      </c>
      <c r="K48" t="s">
        <v>1127</v>
      </c>
      <c r="L48">
        <v>1.7842385939779524</v>
      </c>
      <c r="M48">
        <v>0.38271983281038607</v>
      </c>
      <c r="O48" t="s">
        <v>182</v>
      </c>
      <c r="P48" t="s">
        <v>1561</v>
      </c>
      <c r="Q48" t="s">
        <v>1562</v>
      </c>
      <c r="R48" t="s">
        <v>10</v>
      </c>
      <c r="S48" t="s">
        <v>21</v>
      </c>
      <c r="T48" t="s">
        <v>185</v>
      </c>
      <c r="U48" t="s">
        <v>186</v>
      </c>
      <c r="W48" t="s">
        <v>1561</v>
      </c>
      <c r="X48" t="s">
        <v>1738</v>
      </c>
      <c r="Y48">
        <v>172.47075000000001</v>
      </c>
      <c r="Z48">
        <v>0.5841940066579252</v>
      </c>
    </row>
    <row r="49" spans="2:26">
      <c r="B49" t="s">
        <v>182</v>
      </c>
      <c r="C49" t="s">
        <v>1339</v>
      </c>
      <c r="D49" t="s">
        <v>1340</v>
      </c>
      <c r="E49" t="s">
        <v>10</v>
      </c>
      <c r="F49" t="s">
        <v>21</v>
      </c>
      <c r="G49" t="s">
        <v>185</v>
      </c>
      <c r="H49" t="s">
        <v>186</v>
      </c>
      <c r="J49" t="s">
        <v>1339</v>
      </c>
      <c r="K49" t="s">
        <v>1237</v>
      </c>
      <c r="L49">
        <v>0.69028661006327863</v>
      </c>
      <c r="M49">
        <v>0.32294818662637897</v>
      </c>
      <c r="O49" t="s">
        <v>182</v>
      </c>
      <c r="P49" t="s">
        <v>1563</v>
      </c>
      <c r="Q49" t="s">
        <v>1564</v>
      </c>
      <c r="R49" t="s">
        <v>10</v>
      </c>
      <c r="S49" t="s">
        <v>21</v>
      </c>
      <c r="T49" t="s">
        <v>185</v>
      </c>
      <c r="U49" t="s">
        <v>186</v>
      </c>
      <c r="W49" t="s">
        <v>1563</v>
      </c>
      <c r="X49" t="s">
        <v>1739</v>
      </c>
      <c r="Y49">
        <v>12.359249999999999</v>
      </c>
      <c r="Z49">
        <v>0.29897378480517572</v>
      </c>
    </row>
    <row r="50" spans="2:26">
      <c r="B50" t="s">
        <v>182</v>
      </c>
      <c r="C50" t="s">
        <v>1341</v>
      </c>
      <c r="D50" t="s">
        <v>1342</v>
      </c>
      <c r="E50" t="s">
        <v>10</v>
      </c>
      <c r="F50" t="s">
        <v>21</v>
      </c>
      <c r="G50" t="s">
        <v>185</v>
      </c>
      <c r="H50" t="s">
        <v>186</v>
      </c>
      <c r="J50" t="s">
        <v>1341</v>
      </c>
      <c r="K50" t="s">
        <v>1144</v>
      </c>
      <c r="L50">
        <v>9.05214017572494</v>
      </c>
      <c r="M50">
        <v>0.2948066182076472</v>
      </c>
      <c r="O50" t="s">
        <v>182</v>
      </c>
      <c r="P50" t="s">
        <v>1565</v>
      </c>
      <c r="Q50" t="s">
        <v>1566</v>
      </c>
      <c r="R50" t="s">
        <v>10</v>
      </c>
      <c r="S50" t="s">
        <v>21</v>
      </c>
      <c r="T50" t="s">
        <v>185</v>
      </c>
      <c r="U50" t="s">
        <v>186</v>
      </c>
      <c r="W50" t="s">
        <v>1565</v>
      </c>
      <c r="X50" t="s">
        <v>1740</v>
      </c>
      <c r="Y50">
        <v>62.963250000000002</v>
      </c>
      <c r="Z50">
        <v>0.40079592951577792</v>
      </c>
    </row>
    <row r="51" spans="2:26">
      <c r="B51" t="s">
        <v>182</v>
      </c>
      <c r="C51" t="s">
        <v>1343</v>
      </c>
      <c r="D51" t="s">
        <v>1344</v>
      </c>
      <c r="E51" t="s">
        <v>10</v>
      </c>
      <c r="F51" t="s">
        <v>21</v>
      </c>
      <c r="G51" t="s">
        <v>185</v>
      </c>
      <c r="H51" t="s">
        <v>186</v>
      </c>
      <c r="J51" t="s">
        <v>1343</v>
      </c>
      <c r="K51" t="s">
        <v>1203</v>
      </c>
      <c r="L51">
        <v>2.3947089228433591</v>
      </c>
      <c r="M51">
        <v>0.30481015224107899</v>
      </c>
      <c r="O51" t="s">
        <v>182</v>
      </c>
      <c r="P51" t="s">
        <v>1567</v>
      </c>
      <c r="Q51" t="s">
        <v>1568</v>
      </c>
      <c r="R51" t="s">
        <v>10</v>
      </c>
      <c r="S51" t="s">
        <v>21</v>
      </c>
      <c r="T51" t="s">
        <v>185</v>
      </c>
      <c r="U51" t="s">
        <v>186</v>
      </c>
      <c r="W51" t="s">
        <v>1567</v>
      </c>
      <c r="X51" t="s">
        <v>1741</v>
      </c>
      <c r="Y51">
        <v>107.25749999999999</v>
      </c>
      <c r="Z51">
        <v>0.50163208082436628</v>
      </c>
    </row>
    <row r="52" spans="2:26">
      <c r="B52" t="s">
        <v>182</v>
      </c>
      <c r="C52" t="s">
        <v>1345</v>
      </c>
      <c r="D52" t="s">
        <v>1346</v>
      </c>
      <c r="E52" t="s">
        <v>10</v>
      </c>
      <c r="F52" t="s">
        <v>21</v>
      </c>
      <c r="G52" t="s">
        <v>185</v>
      </c>
      <c r="H52" t="s">
        <v>186</v>
      </c>
      <c r="J52" t="s">
        <v>1345</v>
      </c>
      <c r="K52" t="s">
        <v>1178</v>
      </c>
      <c r="L52">
        <v>9.9295086938942223</v>
      </c>
      <c r="M52">
        <v>0.35665922957410839</v>
      </c>
      <c r="O52" t="s">
        <v>182</v>
      </c>
      <c r="P52" t="s">
        <v>1569</v>
      </c>
      <c r="Q52" t="s">
        <v>1570</v>
      </c>
      <c r="R52" t="s">
        <v>10</v>
      </c>
      <c r="S52" t="s">
        <v>21</v>
      </c>
      <c r="T52" t="s">
        <v>185</v>
      </c>
      <c r="U52" t="s">
        <v>186</v>
      </c>
      <c r="W52" t="s">
        <v>1569</v>
      </c>
      <c r="X52" t="s">
        <v>1742</v>
      </c>
      <c r="Y52">
        <v>75.363749999999996</v>
      </c>
      <c r="Z52">
        <v>0.44082002644843288</v>
      </c>
    </row>
    <row r="53" spans="2:26">
      <c r="B53" t="s">
        <v>182</v>
      </c>
      <c r="C53" t="s">
        <v>1347</v>
      </c>
      <c r="D53" t="s">
        <v>1348</v>
      </c>
      <c r="E53" t="s">
        <v>10</v>
      </c>
      <c r="F53" t="s">
        <v>21</v>
      </c>
      <c r="G53" t="s">
        <v>185</v>
      </c>
      <c r="H53" t="s">
        <v>186</v>
      </c>
      <c r="J53" t="s">
        <v>1347</v>
      </c>
      <c r="K53" t="s">
        <v>1180</v>
      </c>
      <c r="L53">
        <v>1.9998357662707582</v>
      </c>
      <c r="M53">
        <v>0.43685961808200668</v>
      </c>
      <c r="O53" t="s">
        <v>182</v>
      </c>
      <c r="P53" t="s">
        <v>1571</v>
      </c>
      <c r="Q53" t="s">
        <v>1572</v>
      </c>
      <c r="R53" t="s">
        <v>10</v>
      </c>
      <c r="S53" t="s">
        <v>21</v>
      </c>
      <c r="T53" t="s">
        <v>185</v>
      </c>
      <c r="U53" t="s">
        <v>186</v>
      </c>
      <c r="W53" t="s">
        <v>1571</v>
      </c>
      <c r="X53" t="s">
        <v>1743</v>
      </c>
      <c r="Y53">
        <v>329.02875</v>
      </c>
      <c r="Z53">
        <v>0.57537424641122659</v>
      </c>
    </row>
    <row r="54" spans="2:26">
      <c r="B54" t="s">
        <v>182</v>
      </c>
      <c r="C54" t="s">
        <v>1349</v>
      </c>
      <c r="D54" t="s">
        <v>1350</v>
      </c>
      <c r="E54" t="s">
        <v>10</v>
      </c>
      <c r="F54" t="s">
        <v>21</v>
      </c>
      <c r="G54" t="s">
        <v>185</v>
      </c>
      <c r="H54" t="s">
        <v>186</v>
      </c>
      <c r="J54" t="s">
        <v>1349</v>
      </c>
      <c r="K54" t="s">
        <v>1188</v>
      </c>
      <c r="L54">
        <v>6.9752206371289756</v>
      </c>
      <c r="M54">
        <v>0.36864155323762721</v>
      </c>
      <c r="O54" t="s">
        <v>182</v>
      </c>
      <c r="P54" t="s">
        <v>1573</v>
      </c>
      <c r="Q54" t="s">
        <v>1574</v>
      </c>
      <c r="R54" t="s">
        <v>10</v>
      </c>
      <c r="S54" t="s">
        <v>21</v>
      </c>
      <c r="T54" t="s">
        <v>185</v>
      </c>
      <c r="U54" t="s">
        <v>186</v>
      </c>
      <c r="W54" t="s">
        <v>1573</v>
      </c>
      <c r="X54" t="s">
        <v>1744</v>
      </c>
      <c r="Y54">
        <v>160.39574999999999</v>
      </c>
      <c r="Z54">
        <v>0.50963393424865022</v>
      </c>
    </row>
    <row r="55" spans="2:26">
      <c r="B55" t="s">
        <v>182</v>
      </c>
      <c r="C55" t="s">
        <v>1351</v>
      </c>
      <c r="D55" t="s">
        <v>1352</v>
      </c>
      <c r="E55" t="s">
        <v>10</v>
      </c>
      <c r="F55" t="s">
        <v>21</v>
      </c>
      <c r="G55" t="s">
        <v>185</v>
      </c>
      <c r="H55" t="s">
        <v>186</v>
      </c>
      <c r="J55" t="s">
        <v>1351</v>
      </c>
      <c r="K55" t="s">
        <v>1083</v>
      </c>
      <c r="L55">
        <v>3.7084173872989887</v>
      </c>
      <c r="M55">
        <v>0.32326034889132732</v>
      </c>
      <c r="O55" t="s">
        <v>182</v>
      </c>
      <c r="P55" t="s">
        <v>1575</v>
      </c>
      <c r="Q55" t="s">
        <v>1576</v>
      </c>
      <c r="R55" t="s">
        <v>10</v>
      </c>
      <c r="S55" t="s">
        <v>21</v>
      </c>
      <c r="T55" t="s">
        <v>185</v>
      </c>
      <c r="U55" t="s">
        <v>186</v>
      </c>
      <c r="W55" t="s">
        <v>1575</v>
      </c>
      <c r="X55" t="s">
        <v>1745</v>
      </c>
      <c r="Y55">
        <v>215.79900000000001</v>
      </c>
      <c r="Z55">
        <v>0.58119004863342616</v>
      </c>
    </row>
    <row r="56" spans="2:26">
      <c r="B56" t="s">
        <v>182</v>
      </c>
      <c r="C56" t="s">
        <v>1353</v>
      </c>
      <c r="D56" t="s">
        <v>1354</v>
      </c>
      <c r="E56" t="s">
        <v>10</v>
      </c>
      <c r="F56" t="s">
        <v>21</v>
      </c>
      <c r="G56" t="s">
        <v>185</v>
      </c>
      <c r="H56" t="s">
        <v>186</v>
      </c>
      <c r="J56" t="s">
        <v>1353</v>
      </c>
      <c r="K56" t="s">
        <v>1081</v>
      </c>
      <c r="L56">
        <v>2.6813545577834228</v>
      </c>
      <c r="M56">
        <v>0.33256759604054759</v>
      </c>
      <c r="O56" t="s">
        <v>182</v>
      </c>
      <c r="P56" t="s">
        <v>1577</v>
      </c>
      <c r="Q56" t="s">
        <v>1578</v>
      </c>
      <c r="R56" t="s">
        <v>10</v>
      </c>
      <c r="S56" t="s">
        <v>21</v>
      </c>
      <c r="T56" t="s">
        <v>185</v>
      </c>
      <c r="U56" t="s">
        <v>186</v>
      </c>
      <c r="W56" t="s">
        <v>1577</v>
      </c>
      <c r="X56" t="s">
        <v>1746</v>
      </c>
      <c r="Y56">
        <v>22.9605</v>
      </c>
      <c r="Z56">
        <v>0.34044973758631403</v>
      </c>
    </row>
    <row r="57" spans="2:26">
      <c r="B57" t="s">
        <v>182</v>
      </c>
      <c r="C57" t="s">
        <v>1355</v>
      </c>
      <c r="D57" t="s">
        <v>1356</v>
      </c>
      <c r="E57" t="s">
        <v>10</v>
      </c>
      <c r="F57" t="s">
        <v>21</v>
      </c>
      <c r="G57" t="s">
        <v>185</v>
      </c>
      <c r="H57" t="s">
        <v>186</v>
      </c>
      <c r="J57" t="s">
        <v>1355</v>
      </c>
      <c r="K57" t="s">
        <v>1098</v>
      </c>
      <c r="L57">
        <v>2.8757841843161476</v>
      </c>
      <c r="M57">
        <v>0.33226944205056141</v>
      </c>
      <c r="O57" t="s">
        <v>182</v>
      </c>
      <c r="P57" t="s">
        <v>1579</v>
      </c>
      <c r="Q57" t="s">
        <v>1580</v>
      </c>
      <c r="R57" t="s">
        <v>10</v>
      </c>
      <c r="S57" t="s">
        <v>21</v>
      </c>
      <c r="T57" t="s">
        <v>185</v>
      </c>
      <c r="U57" t="s">
        <v>186</v>
      </c>
      <c r="W57" t="s">
        <v>1579</v>
      </c>
      <c r="X57" t="s">
        <v>1747</v>
      </c>
      <c r="Y57">
        <v>12.738</v>
      </c>
      <c r="Z57">
        <v>0.36953960117838741</v>
      </c>
    </row>
    <row r="58" spans="2:26">
      <c r="B58" t="s">
        <v>182</v>
      </c>
      <c r="C58" t="s">
        <v>1357</v>
      </c>
      <c r="D58" t="s">
        <v>1358</v>
      </c>
      <c r="E58" t="s">
        <v>10</v>
      </c>
      <c r="F58" t="s">
        <v>21</v>
      </c>
      <c r="G58" t="s">
        <v>185</v>
      </c>
      <c r="H58" t="s">
        <v>186</v>
      </c>
      <c r="J58" t="s">
        <v>1357</v>
      </c>
      <c r="K58" t="s">
        <v>1210</v>
      </c>
      <c r="L58">
        <v>1.5935626126773363</v>
      </c>
      <c r="M58">
        <v>0.29589295117275322</v>
      </c>
      <c r="O58" t="s">
        <v>182</v>
      </c>
      <c r="P58" t="s">
        <v>1581</v>
      </c>
      <c r="Q58" t="s">
        <v>1582</v>
      </c>
      <c r="R58" t="s">
        <v>10</v>
      </c>
      <c r="S58" t="s">
        <v>21</v>
      </c>
      <c r="T58" t="s">
        <v>185</v>
      </c>
      <c r="U58" t="s">
        <v>186</v>
      </c>
      <c r="W58" t="s">
        <v>1581</v>
      </c>
      <c r="X58" t="s">
        <v>1748</v>
      </c>
      <c r="Y58">
        <v>283.01325000000003</v>
      </c>
      <c r="Z58">
        <v>0.66550054652110691</v>
      </c>
    </row>
    <row r="59" spans="2:26">
      <c r="B59" t="s">
        <v>182</v>
      </c>
      <c r="C59" t="s">
        <v>1359</v>
      </c>
      <c r="D59" t="s">
        <v>1360</v>
      </c>
      <c r="E59" t="s">
        <v>10</v>
      </c>
      <c r="F59" t="s">
        <v>21</v>
      </c>
      <c r="G59" t="s">
        <v>185</v>
      </c>
      <c r="H59" t="s">
        <v>186</v>
      </c>
      <c r="J59" t="s">
        <v>1359</v>
      </c>
      <c r="K59" t="s">
        <v>1139</v>
      </c>
      <c r="L59">
        <v>1.4812929265116628</v>
      </c>
      <c r="M59">
        <v>0.2422874699293126</v>
      </c>
      <c r="O59" t="s">
        <v>182</v>
      </c>
      <c r="P59" t="s">
        <v>1583</v>
      </c>
      <c r="Q59" t="s">
        <v>1584</v>
      </c>
      <c r="R59" t="s">
        <v>10</v>
      </c>
      <c r="S59" t="s">
        <v>21</v>
      </c>
      <c r="T59" t="s">
        <v>185</v>
      </c>
      <c r="U59" t="s">
        <v>186</v>
      </c>
      <c r="W59" t="s">
        <v>1583</v>
      </c>
      <c r="X59" t="s">
        <v>1749</v>
      </c>
      <c r="Y59">
        <v>240.54750000000001</v>
      </c>
      <c r="Z59">
        <v>0.62812319727605825</v>
      </c>
    </row>
    <row r="60" spans="2:26">
      <c r="B60" t="s">
        <v>182</v>
      </c>
      <c r="C60" t="s">
        <v>1361</v>
      </c>
      <c r="D60" t="s">
        <v>1362</v>
      </c>
      <c r="E60" t="s">
        <v>10</v>
      </c>
      <c r="F60" t="s">
        <v>21</v>
      </c>
      <c r="G60" t="s">
        <v>185</v>
      </c>
      <c r="H60" t="s">
        <v>186</v>
      </c>
      <c r="J60" t="s">
        <v>1361</v>
      </c>
      <c r="K60" t="s">
        <v>1124</v>
      </c>
      <c r="L60">
        <v>0.82280863723994913</v>
      </c>
      <c r="M60">
        <v>0.2401424521991585</v>
      </c>
      <c r="O60" t="s">
        <v>182</v>
      </c>
      <c r="P60" t="s">
        <v>1585</v>
      </c>
      <c r="Q60" t="s">
        <v>1586</v>
      </c>
      <c r="R60" t="s">
        <v>10</v>
      </c>
      <c r="S60" t="s">
        <v>21</v>
      </c>
      <c r="T60" t="s">
        <v>185</v>
      </c>
      <c r="U60" t="s">
        <v>186</v>
      </c>
      <c r="W60" t="s">
        <v>1585</v>
      </c>
      <c r="X60" t="s">
        <v>1750</v>
      </c>
      <c r="Y60">
        <v>63.939</v>
      </c>
      <c r="Z60">
        <v>0.53218860391544376</v>
      </c>
    </row>
    <row r="61" spans="2:26">
      <c r="B61" t="s">
        <v>182</v>
      </c>
      <c r="C61" t="s">
        <v>1363</v>
      </c>
      <c r="D61" t="s">
        <v>1364</v>
      </c>
      <c r="E61" t="s">
        <v>10</v>
      </c>
      <c r="F61" t="s">
        <v>21</v>
      </c>
      <c r="G61" t="s">
        <v>185</v>
      </c>
      <c r="H61" t="s">
        <v>186</v>
      </c>
      <c r="J61" t="s">
        <v>1363</v>
      </c>
      <c r="K61" t="s">
        <v>1253</v>
      </c>
      <c r="L61">
        <v>0.83633874746268555</v>
      </c>
      <c r="M61">
        <v>0.23448857359319031</v>
      </c>
      <c r="O61" t="s">
        <v>182</v>
      </c>
      <c r="P61" t="s">
        <v>1587</v>
      </c>
      <c r="Q61" t="s">
        <v>1588</v>
      </c>
      <c r="R61" t="s">
        <v>10</v>
      </c>
      <c r="S61" t="s">
        <v>21</v>
      </c>
      <c r="T61" t="s">
        <v>185</v>
      </c>
      <c r="U61" t="s">
        <v>186</v>
      </c>
      <c r="W61" t="s">
        <v>1587</v>
      </c>
      <c r="X61" t="s">
        <v>1751</v>
      </c>
      <c r="Y61">
        <v>321.79275000000001</v>
      </c>
      <c r="Z61">
        <v>0.660868666865981</v>
      </c>
    </row>
    <row r="62" spans="2:26">
      <c r="B62" t="s">
        <v>182</v>
      </c>
      <c r="C62" t="s">
        <v>1365</v>
      </c>
      <c r="D62" t="s">
        <v>1366</v>
      </c>
      <c r="E62" t="s">
        <v>10</v>
      </c>
      <c r="F62" t="s">
        <v>21</v>
      </c>
      <c r="G62" t="s">
        <v>185</v>
      </c>
      <c r="H62" t="s">
        <v>186</v>
      </c>
      <c r="J62" t="s">
        <v>1365</v>
      </c>
      <c r="K62" t="s">
        <v>1106</v>
      </c>
      <c r="L62">
        <v>0.95803683449358956</v>
      </c>
      <c r="M62">
        <v>0.28442432589524569</v>
      </c>
      <c r="O62" t="s">
        <v>182</v>
      </c>
      <c r="P62" t="s">
        <v>1589</v>
      </c>
      <c r="Q62" t="s">
        <v>1590</v>
      </c>
      <c r="R62" t="s">
        <v>10</v>
      </c>
      <c r="S62" t="s">
        <v>21</v>
      </c>
      <c r="T62" t="s">
        <v>185</v>
      </c>
      <c r="U62" t="s">
        <v>186</v>
      </c>
      <c r="W62" t="s">
        <v>1589</v>
      </c>
      <c r="X62" t="s">
        <v>1752</v>
      </c>
      <c r="Y62">
        <v>287.202</v>
      </c>
      <c r="Z62">
        <v>0.64997222493765239</v>
      </c>
    </row>
    <row r="63" spans="2:26">
      <c r="B63" t="s">
        <v>182</v>
      </c>
      <c r="C63" t="s">
        <v>1367</v>
      </c>
      <c r="D63" t="s">
        <v>1368</v>
      </c>
      <c r="E63" t="s">
        <v>10</v>
      </c>
      <c r="F63" t="s">
        <v>21</v>
      </c>
      <c r="G63" t="s">
        <v>185</v>
      </c>
      <c r="H63" t="s">
        <v>186</v>
      </c>
      <c r="J63" t="s">
        <v>1367</v>
      </c>
      <c r="K63" t="s">
        <v>1108</v>
      </c>
      <c r="L63">
        <v>0.95862298282471103</v>
      </c>
      <c r="M63">
        <v>0.24421332846091501</v>
      </c>
      <c r="O63" t="s">
        <v>182</v>
      </c>
      <c r="P63" t="s">
        <v>1591</v>
      </c>
      <c r="Q63" t="s">
        <v>1592</v>
      </c>
      <c r="R63" t="s">
        <v>10</v>
      </c>
      <c r="S63" t="s">
        <v>21</v>
      </c>
      <c r="T63" t="s">
        <v>185</v>
      </c>
      <c r="U63" t="s">
        <v>186</v>
      </c>
      <c r="W63" t="s">
        <v>1591</v>
      </c>
      <c r="X63" t="s">
        <v>1753</v>
      </c>
      <c r="Y63">
        <v>54.048749999999998</v>
      </c>
      <c r="Z63">
        <v>0.26575433000492388</v>
      </c>
    </row>
    <row r="64" spans="2:26">
      <c r="B64" t="s">
        <v>182</v>
      </c>
      <c r="C64" t="s">
        <v>1369</v>
      </c>
      <c r="D64" t="s">
        <v>1370</v>
      </c>
      <c r="E64" t="s">
        <v>10</v>
      </c>
      <c r="F64" t="s">
        <v>21</v>
      </c>
      <c r="G64" t="s">
        <v>185</v>
      </c>
      <c r="H64" t="s">
        <v>186</v>
      </c>
      <c r="J64" t="s">
        <v>1369</v>
      </c>
      <c r="K64" t="s">
        <v>1198</v>
      </c>
      <c r="L64">
        <v>1.9366554225681476</v>
      </c>
      <c r="M64">
        <v>0.23941967932517411</v>
      </c>
      <c r="O64" t="s">
        <v>182</v>
      </c>
      <c r="P64" t="s">
        <v>1593</v>
      </c>
      <c r="Q64" t="s">
        <v>1594</v>
      </c>
      <c r="R64" t="s">
        <v>10</v>
      </c>
      <c r="S64" t="s">
        <v>21</v>
      </c>
      <c r="T64" t="s">
        <v>185</v>
      </c>
      <c r="U64" t="s">
        <v>186</v>
      </c>
      <c r="W64" t="s">
        <v>1593</v>
      </c>
      <c r="X64" t="s">
        <v>1754</v>
      </c>
      <c r="Y64">
        <v>74.005499999999998</v>
      </c>
      <c r="Z64">
        <v>0.31226686613669907</v>
      </c>
    </row>
    <row r="65" spans="2:26">
      <c r="B65" t="s">
        <v>182</v>
      </c>
      <c r="C65" t="s">
        <v>1371</v>
      </c>
      <c r="D65" t="s">
        <v>1372</v>
      </c>
      <c r="E65" t="s">
        <v>10</v>
      </c>
      <c r="F65" t="s">
        <v>21</v>
      </c>
      <c r="G65" t="s">
        <v>185</v>
      </c>
      <c r="H65" t="s">
        <v>186</v>
      </c>
      <c r="J65" t="s">
        <v>1371</v>
      </c>
      <c r="K65" t="s">
        <v>1208</v>
      </c>
      <c r="L65">
        <v>0.81337710850597367</v>
      </c>
      <c r="M65">
        <v>0.33144308065621131</v>
      </c>
      <c r="O65" t="s">
        <v>182</v>
      </c>
      <c r="P65" t="s">
        <v>1595</v>
      </c>
      <c r="Q65" t="s">
        <v>1596</v>
      </c>
      <c r="R65" t="s">
        <v>10</v>
      </c>
      <c r="S65" t="s">
        <v>21</v>
      </c>
      <c r="T65" t="s">
        <v>185</v>
      </c>
      <c r="U65" t="s">
        <v>186</v>
      </c>
      <c r="W65" t="s">
        <v>1595</v>
      </c>
      <c r="X65" t="s">
        <v>1755</v>
      </c>
      <c r="Y65">
        <v>36.518999999999998</v>
      </c>
      <c r="Z65">
        <v>0.26854220108166799</v>
      </c>
    </row>
    <row r="66" spans="2:26">
      <c r="B66" t="s">
        <v>182</v>
      </c>
      <c r="C66" t="s">
        <v>1373</v>
      </c>
      <c r="D66" t="s">
        <v>1374</v>
      </c>
      <c r="E66" t="s">
        <v>10</v>
      </c>
      <c r="F66" t="s">
        <v>21</v>
      </c>
      <c r="G66" t="s">
        <v>185</v>
      </c>
      <c r="H66" t="s">
        <v>186</v>
      </c>
      <c r="J66" t="s">
        <v>1373</v>
      </c>
      <c r="K66" t="s">
        <v>1133</v>
      </c>
      <c r="L66">
        <v>1.3659216818982207</v>
      </c>
      <c r="M66">
        <v>0.31555388175572069</v>
      </c>
      <c r="O66" t="s">
        <v>182</v>
      </c>
      <c r="P66" t="s">
        <v>1597</v>
      </c>
      <c r="Q66" t="s">
        <v>1598</v>
      </c>
      <c r="R66" t="s">
        <v>10</v>
      </c>
      <c r="S66" t="s">
        <v>21</v>
      </c>
      <c r="T66" t="s">
        <v>185</v>
      </c>
      <c r="U66" t="s">
        <v>186</v>
      </c>
      <c r="W66" t="s">
        <v>1597</v>
      </c>
      <c r="X66" t="s">
        <v>1756</v>
      </c>
      <c r="Y66">
        <v>65.451750000000004</v>
      </c>
      <c r="Z66">
        <v>0.29390301843695399</v>
      </c>
    </row>
    <row r="67" spans="2:26">
      <c r="B67" t="s">
        <v>182</v>
      </c>
      <c r="C67" t="s">
        <v>1375</v>
      </c>
      <c r="D67" t="s">
        <v>1376</v>
      </c>
      <c r="E67" t="s">
        <v>10</v>
      </c>
      <c r="F67" t="s">
        <v>21</v>
      </c>
      <c r="G67" t="s">
        <v>185</v>
      </c>
      <c r="H67" t="s">
        <v>186</v>
      </c>
      <c r="J67" t="s">
        <v>1375</v>
      </c>
      <c r="K67" t="s">
        <v>1110</v>
      </c>
      <c r="L67">
        <v>4.8987735354196902</v>
      </c>
      <c r="M67">
        <v>0.23575887324773881</v>
      </c>
      <c r="O67" t="s">
        <v>182</v>
      </c>
      <c r="P67" t="s">
        <v>1599</v>
      </c>
      <c r="Q67" t="s">
        <v>1600</v>
      </c>
      <c r="R67" t="s">
        <v>10</v>
      </c>
      <c r="S67" t="s">
        <v>21</v>
      </c>
      <c r="T67" t="s">
        <v>185</v>
      </c>
      <c r="U67" t="s">
        <v>186</v>
      </c>
      <c r="W67" t="s">
        <v>1599</v>
      </c>
      <c r="X67" t="s">
        <v>1757</v>
      </c>
      <c r="Y67">
        <v>22.617000000000001</v>
      </c>
      <c r="Z67">
        <v>0.2568382042989697</v>
      </c>
    </row>
    <row r="68" spans="2:26">
      <c r="B68" t="s">
        <v>182</v>
      </c>
      <c r="C68" t="s">
        <v>1377</v>
      </c>
      <c r="D68" t="s">
        <v>1378</v>
      </c>
      <c r="E68" t="s">
        <v>10</v>
      </c>
      <c r="F68" t="s">
        <v>21</v>
      </c>
      <c r="G68" t="s">
        <v>185</v>
      </c>
      <c r="H68" t="s">
        <v>186</v>
      </c>
      <c r="J68" t="s">
        <v>1377</v>
      </c>
      <c r="K68" t="s">
        <v>1230</v>
      </c>
      <c r="L68">
        <v>3.0692531938887133</v>
      </c>
      <c r="M68">
        <v>0.27856947024383638</v>
      </c>
      <c r="O68" t="s">
        <v>182</v>
      </c>
      <c r="P68" t="s">
        <v>1601</v>
      </c>
      <c r="Q68" t="s">
        <v>1602</v>
      </c>
      <c r="R68" t="s">
        <v>10</v>
      </c>
      <c r="S68" t="s">
        <v>21</v>
      </c>
      <c r="T68" t="s">
        <v>185</v>
      </c>
      <c r="U68" t="s">
        <v>186</v>
      </c>
      <c r="W68" t="s">
        <v>1601</v>
      </c>
      <c r="X68" t="s">
        <v>1758</v>
      </c>
      <c r="Y68">
        <v>42.0075</v>
      </c>
      <c r="Z68">
        <v>0.28734111387870559</v>
      </c>
    </row>
    <row r="69" spans="2:26">
      <c r="B69" t="s">
        <v>182</v>
      </c>
      <c r="C69" t="s">
        <v>1379</v>
      </c>
      <c r="D69" t="s">
        <v>1380</v>
      </c>
      <c r="E69" t="s">
        <v>10</v>
      </c>
      <c r="F69" t="s">
        <v>21</v>
      </c>
      <c r="G69" t="s">
        <v>185</v>
      </c>
      <c r="H69" t="s">
        <v>186</v>
      </c>
      <c r="J69" t="s">
        <v>1379</v>
      </c>
      <c r="K69" t="s">
        <v>1255</v>
      </c>
      <c r="L69">
        <v>0.85461031202934901</v>
      </c>
      <c r="M69">
        <v>0.36744698570454748</v>
      </c>
      <c r="O69" t="s">
        <v>182</v>
      </c>
      <c r="P69" t="s">
        <v>1603</v>
      </c>
      <c r="Q69" t="s">
        <v>1604</v>
      </c>
      <c r="R69" t="s">
        <v>10</v>
      </c>
      <c r="S69" t="s">
        <v>21</v>
      </c>
      <c r="T69" t="s">
        <v>185</v>
      </c>
      <c r="U69" t="s">
        <v>186</v>
      </c>
      <c r="W69" t="s">
        <v>1603</v>
      </c>
      <c r="X69" t="s">
        <v>1759</v>
      </c>
      <c r="Y69">
        <v>111.79425000000001</v>
      </c>
      <c r="Z69">
        <v>0.27383615888849361</v>
      </c>
    </row>
    <row r="70" spans="2:26">
      <c r="B70" t="s">
        <v>182</v>
      </c>
      <c r="C70" t="s">
        <v>1381</v>
      </c>
      <c r="D70" t="s">
        <v>1382</v>
      </c>
      <c r="E70" t="s">
        <v>10</v>
      </c>
      <c r="F70" t="s">
        <v>21</v>
      </c>
      <c r="G70" t="s">
        <v>185</v>
      </c>
      <c r="H70" t="s">
        <v>186</v>
      </c>
      <c r="J70" t="s">
        <v>1381</v>
      </c>
      <c r="K70" t="s">
        <v>1172</v>
      </c>
      <c r="L70">
        <v>3.5531709914226814</v>
      </c>
      <c r="M70">
        <v>0.30941206660320741</v>
      </c>
      <c r="O70" t="s">
        <v>182</v>
      </c>
      <c r="P70" t="s">
        <v>1605</v>
      </c>
      <c r="Q70" t="s">
        <v>1606</v>
      </c>
      <c r="R70" t="s">
        <v>10</v>
      </c>
      <c r="S70" t="s">
        <v>21</v>
      </c>
      <c r="T70" t="s">
        <v>185</v>
      </c>
      <c r="U70" t="s">
        <v>186</v>
      </c>
      <c r="W70" t="s">
        <v>1605</v>
      </c>
      <c r="X70" t="s">
        <v>1760</v>
      </c>
      <c r="Y70">
        <v>149.73525000000001</v>
      </c>
      <c r="Z70">
        <v>0.3618935444097186</v>
      </c>
    </row>
    <row r="71" spans="2:26">
      <c r="B71" t="s">
        <v>182</v>
      </c>
      <c r="C71" t="s">
        <v>1383</v>
      </c>
      <c r="D71" t="s">
        <v>1384</v>
      </c>
      <c r="E71" t="s">
        <v>10</v>
      </c>
      <c r="F71" t="s">
        <v>21</v>
      </c>
      <c r="G71" t="s">
        <v>185</v>
      </c>
      <c r="H71" t="s">
        <v>186</v>
      </c>
      <c r="J71" t="s">
        <v>1383</v>
      </c>
      <c r="K71" t="s">
        <v>1159</v>
      </c>
      <c r="L71">
        <v>0.712839235911786</v>
      </c>
      <c r="M71">
        <v>0.27534254556012477</v>
      </c>
      <c r="O71" t="s">
        <v>182</v>
      </c>
      <c r="P71" t="s">
        <v>1607</v>
      </c>
      <c r="Q71" t="s">
        <v>1608</v>
      </c>
      <c r="R71" t="s">
        <v>10</v>
      </c>
      <c r="S71" t="s">
        <v>21</v>
      </c>
      <c r="T71" t="s">
        <v>185</v>
      </c>
      <c r="U71" t="s">
        <v>186</v>
      </c>
      <c r="W71" t="s">
        <v>1607</v>
      </c>
      <c r="X71" t="s">
        <v>1761</v>
      </c>
      <c r="Y71">
        <v>105.61199999999999</v>
      </c>
      <c r="Z71">
        <v>0.45654154891608179</v>
      </c>
    </row>
    <row r="72" spans="2:26">
      <c r="B72" t="s">
        <v>182</v>
      </c>
      <c r="C72" t="s">
        <v>1385</v>
      </c>
      <c r="D72" t="s">
        <v>1386</v>
      </c>
      <c r="E72" t="s">
        <v>10</v>
      </c>
      <c r="F72" t="s">
        <v>21</v>
      </c>
      <c r="G72" t="s">
        <v>185</v>
      </c>
      <c r="H72" t="s">
        <v>186</v>
      </c>
      <c r="J72" t="s">
        <v>1385</v>
      </c>
      <c r="K72" t="s">
        <v>1219</v>
      </c>
      <c r="L72">
        <v>3.1775787694538669</v>
      </c>
      <c r="M72">
        <v>0.32396807095829311</v>
      </c>
      <c r="O72" t="s">
        <v>182</v>
      </c>
      <c r="P72" t="s">
        <v>1609</v>
      </c>
      <c r="Q72" t="s">
        <v>1610</v>
      </c>
      <c r="R72" t="s">
        <v>10</v>
      </c>
      <c r="S72" t="s">
        <v>21</v>
      </c>
      <c r="T72" t="s">
        <v>185</v>
      </c>
      <c r="U72" t="s">
        <v>186</v>
      </c>
      <c r="W72" t="s">
        <v>1609</v>
      </c>
      <c r="X72" t="s">
        <v>1762</v>
      </c>
      <c r="Y72">
        <v>193.88024999999999</v>
      </c>
      <c r="Z72">
        <v>0.51431210555993101</v>
      </c>
    </row>
    <row r="73" spans="2:26">
      <c r="B73" t="s">
        <v>182</v>
      </c>
      <c r="C73" t="s">
        <v>1387</v>
      </c>
      <c r="D73" t="s">
        <v>1388</v>
      </c>
      <c r="E73" t="s">
        <v>10</v>
      </c>
      <c r="F73" t="s">
        <v>21</v>
      </c>
      <c r="G73" t="s">
        <v>185</v>
      </c>
      <c r="H73" t="s">
        <v>186</v>
      </c>
      <c r="J73" t="s">
        <v>1387</v>
      </c>
      <c r="K73" t="s">
        <v>1153</v>
      </c>
      <c r="L73">
        <v>3.5516199614738828</v>
      </c>
      <c r="M73">
        <v>0.25343106482258271</v>
      </c>
      <c r="O73" t="s">
        <v>182</v>
      </c>
      <c r="P73" t="s">
        <v>1611</v>
      </c>
      <c r="Q73" t="s">
        <v>1612</v>
      </c>
      <c r="R73" t="s">
        <v>10</v>
      </c>
      <c r="S73" t="s">
        <v>21</v>
      </c>
      <c r="T73" t="s">
        <v>185</v>
      </c>
      <c r="U73" t="s">
        <v>186</v>
      </c>
      <c r="W73" t="s">
        <v>1611</v>
      </c>
      <c r="X73" t="s">
        <v>1763</v>
      </c>
      <c r="Y73">
        <v>102.55500000000001</v>
      </c>
      <c r="Z73">
        <v>0.45229564298589081</v>
      </c>
    </row>
    <row r="74" spans="2:26">
      <c r="B74" t="s">
        <v>182</v>
      </c>
      <c r="C74" t="s">
        <v>1389</v>
      </c>
      <c r="D74" t="s">
        <v>1390</v>
      </c>
      <c r="E74" t="s">
        <v>10</v>
      </c>
      <c r="F74" t="s">
        <v>21</v>
      </c>
      <c r="G74" t="s">
        <v>185</v>
      </c>
      <c r="H74" t="s">
        <v>186</v>
      </c>
      <c r="J74" t="s">
        <v>1389</v>
      </c>
      <c r="K74" t="s">
        <v>1141</v>
      </c>
      <c r="L74">
        <v>2.1034555795522794</v>
      </c>
      <c r="M74">
        <v>0.25945040637734051</v>
      </c>
      <c r="O74" t="s">
        <v>182</v>
      </c>
      <c r="P74" t="s">
        <v>1613</v>
      </c>
      <c r="Q74" t="s">
        <v>1614</v>
      </c>
      <c r="R74" t="s">
        <v>10</v>
      </c>
      <c r="S74" t="s">
        <v>21</v>
      </c>
      <c r="T74" t="s">
        <v>185</v>
      </c>
      <c r="U74" t="s">
        <v>186</v>
      </c>
      <c r="W74" t="s">
        <v>1613</v>
      </c>
      <c r="X74" t="s">
        <v>1764</v>
      </c>
      <c r="Y74">
        <v>34.905000000000001</v>
      </c>
      <c r="Z74">
        <v>0.30453361674403329</v>
      </c>
    </row>
    <row r="75" spans="2:26">
      <c r="B75" t="s">
        <v>182</v>
      </c>
      <c r="C75" t="s">
        <v>1391</v>
      </c>
      <c r="D75" t="s">
        <v>1392</v>
      </c>
      <c r="E75" t="s">
        <v>10</v>
      </c>
      <c r="F75" t="s">
        <v>21</v>
      </c>
      <c r="G75" t="s">
        <v>185</v>
      </c>
      <c r="H75" t="s">
        <v>186</v>
      </c>
      <c r="J75" t="s">
        <v>1391</v>
      </c>
      <c r="K75" t="s">
        <v>1170</v>
      </c>
      <c r="L75">
        <v>7.4048144568543099</v>
      </c>
      <c r="M75">
        <v>0.34216990335923209</v>
      </c>
      <c r="O75" t="s">
        <v>182</v>
      </c>
      <c r="P75" t="s">
        <v>1615</v>
      </c>
      <c r="Q75" t="s">
        <v>1616</v>
      </c>
      <c r="R75" t="s">
        <v>10</v>
      </c>
      <c r="S75" t="s">
        <v>21</v>
      </c>
      <c r="T75" t="s">
        <v>185</v>
      </c>
      <c r="U75" t="s">
        <v>186</v>
      </c>
      <c r="W75" t="s">
        <v>1615</v>
      </c>
      <c r="X75" t="s">
        <v>1765</v>
      </c>
      <c r="Y75">
        <v>139.34625</v>
      </c>
      <c r="Z75">
        <v>0.46111036678039452</v>
      </c>
    </row>
    <row r="76" spans="2:26">
      <c r="B76" t="s">
        <v>182</v>
      </c>
      <c r="C76" t="s">
        <v>1393</v>
      </c>
      <c r="D76" t="s">
        <v>1394</v>
      </c>
      <c r="E76" t="s">
        <v>10</v>
      </c>
      <c r="F76" t="s">
        <v>21</v>
      </c>
      <c r="G76" t="s">
        <v>185</v>
      </c>
      <c r="H76" t="s">
        <v>186</v>
      </c>
      <c r="J76" t="s">
        <v>1393</v>
      </c>
      <c r="K76" t="s">
        <v>1126</v>
      </c>
      <c r="L76">
        <v>0.86959307844812062</v>
      </c>
      <c r="M76">
        <v>0.28310272976091239</v>
      </c>
      <c r="O76" t="s">
        <v>182</v>
      </c>
      <c r="P76" t="s">
        <v>1617</v>
      </c>
      <c r="Q76" t="s">
        <v>1618</v>
      </c>
      <c r="R76" t="s">
        <v>10</v>
      </c>
      <c r="S76" t="s">
        <v>21</v>
      </c>
      <c r="T76" t="s">
        <v>185</v>
      </c>
      <c r="U76" t="s">
        <v>186</v>
      </c>
      <c r="W76" t="s">
        <v>1617</v>
      </c>
      <c r="X76" t="s">
        <v>1766</v>
      </c>
      <c r="Y76">
        <v>197.56049999999999</v>
      </c>
      <c r="Z76">
        <v>0.51173706044903911</v>
      </c>
    </row>
    <row r="77" spans="2:26">
      <c r="B77" t="s">
        <v>182</v>
      </c>
      <c r="C77" t="s">
        <v>1395</v>
      </c>
      <c r="D77" t="s">
        <v>1396</v>
      </c>
      <c r="E77" t="s">
        <v>10</v>
      </c>
      <c r="F77" t="s">
        <v>21</v>
      </c>
      <c r="G77" t="s">
        <v>185</v>
      </c>
      <c r="H77" t="s">
        <v>186</v>
      </c>
      <c r="J77" t="s">
        <v>1395</v>
      </c>
      <c r="K77" t="s">
        <v>1174</v>
      </c>
      <c r="L77">
        <v>2.3840668984149009</v>
      </c>
      <c r="M77">
        <v>0.4225956600935018</v>
      </c>
      <c r="O77" t="s">
        <v>182</v>
      </c>
      <c r="P77" t="s">
        <v>1619</v>
      </c>
      <c r="Q77" t="s">
        <v>1620</v>
      </c>
      <c r="R77" t="s">
        <v>10</v>
      </c>
      <c r="S77" t="s">
        <v>21</v>
      </c>
      <c r="T77" t="s">
        <v>185</v>
      </c>
      <c r="U77" t="s">
        <v>186</v>
      </c>
      <c r="W77" t="s">
        <v>1619</v>
      </c>
      <c r="X77" t="s">
        <v>1767</v>
      </c>
      <c r="Y77">
        <v>52.143749999999997</v>
      </c>
      <c r="Z77">
        <v>0.45157560307651262</v>
      </c>
    </row>
    <row r="78" spans="2:26">
      <c r="B78" t="s">
        <v>182</v>
      </c>
      <c r="C78" t="s">
        <v>1397</v>
      </c>
      <c r="D78" t="s">
        <v>1398</v>
      </c>
      <c r="E78" t="s">
        <v>10</v>
      </c>
      <c r="F78" t="s">
        <v>21</v>
      </c>
      <c r="G78" t="s">
        <v>185</v>
      </c>
      <c r="H78" t="s">
        <v>186</v>
      </c>
      <c r="J78" t="s">
        <v>1397</v>
      </c>
      <c r="K78" t="s">
        <v>1111</v>
      </c>
      <c r="L78">
        <v>1.9022091300263835</v>
      </c>
      <c r="M78">
        <v>0.27857222226375439</v>
      </c>
      <c r="O78" t="s">
        <v>182</v>
      </c>
      <c r="P78" t="s">
        <v>1621</v>
      </c>
      <c r="Q78" t="s">
        <v>1622</v>
      </c>
      <c r="R78" t="s">
        <v>10</v>
      </c>
      <c r="S78" t="s">
        <v>21</v>
      </c>
      <c r="T78" t="s">
        <v>185</v>
      </c>
      <c r="U78" t="s">
        <v>186</v>
      </c>
      <c r="W78" t="s">
        <v>1621</v>
      </c>
      <c r="X78" t="s">
        <v>1768</v>
      </c>
      <c r="Y78">
        <v>123.98399999999999</v>
      </c>
      <c r="Z78">
        <v>0.50658345988154285</v>
      </c>
    </row>
    <row r="79" spans="2:26">
      <c r="B79" t="s">
        <v>182</v>
      </c>
      <c r="C79" t="s">
        <v>1399</v>
      </c>
      <c r="D79" t="s">
        <v>1400</v>
      </c>
      <c r="E79" t="s">
        <v>10</v>
      </c>
      <c r="F79" t="s">
        <v>21</v>
      </c>
      <c r="G79" t="s">
        <v>185</v>
      </c>
      <c r="H79" t="s">
        <v>186</v>
      </c>
      <c r="J79" t="s">
        <v>1399</v>
      </c>
      <c r="K79" t="s">
        <v>1211</v>
      </c>
      <c r="L79">
        <v>1.8307256711444824</v>
      </c>
      <c r="M79">
        <v>0.30056426667178621</v>
      </c>
      <c r="O79" t="s">
        <v>182</v>
      </c>
      <c r="P79" t="s">
        <v>1623</v>
      </c>
      <c r="Q79" t="s">
        <v>1624</v>
      </c>
      <c r="R79" t="s">
        <v>10</v>
      </c>
      <c r="S79" t="s">
        <v>21</v>
      </c>
      <c r="T79" t="s">
        <v>185</v>
      </c>
      <c r="U79" t="s">
        <v>186</v>
      </c>
      <c r="W79" t="s">
        <v>1623</v>
      </c>
      <c r="X79" t="s">
        <v>1769</v>
      </c>
      <c r="Y79">
        <v>156.58875</v>
      </c>
      <c r="Z79">
        <v>0.5058193807296727</v>
      </c>
    </row>
    <row r="80" spans="2:26">
      <c r="B80" t="s">
        <v>182</v>
      </c>
      <c r="C80" t="s">
        <v>1401</v>
      </c>
      <c r="D80" t="s">
        <v>1402</v>
      </c>
      <c r="E80" t="s">
        <v>10</v>
      </c>
      <c r="F80" t="s">
        <v>21</v>
      </c>
      <c r="G80" t="s">
        <v>185</v>
      </c>
      <c r="H80" t="s">
        <v>186</v>
      </c>
      <c r="J80" t="s">
        <v>1401</v>
      </c>
      <c r="K80" t="s">
        <v>1256</v>
      </c>
      <c r="L80">
        <v>3.4132474515821043</v>
      </c>
      <c r="M80">
        <v>0.27736096943356781</v>
      </c>
      <c r="O80" t="s">
        <v>182</v>
      </c>
      <c r="P80" t="s">
        <v>1625</v>
      </c>
      <c r="Q80" t="s">
        <v>1626</v>
      </c>
      <c r="R80" t="s">
        <v>10</v>
      </c>
      <c r="S80" t="s">
        <v>21</v>
      </c>
      <c r="T80" t="s">
        <v>185</v>
      </c>
      <c r="U80" t="s">
        <v>186</v>
      </c>
      <c r="W80" t="s">
        <v>1625</v>
      </c>
      <c r="X80" t="s">
        <v>1770</v>
      </c>
      <c r="Y80">
        <v>194.8125</v>
      </c>
      <c r="Z80">
        <v>0.58574309875824304</v>
      </c>
    </row>
    <row r="81" spans="2:26">
      <c r="B81" t="s">
        <v>182</v>
      </c>
      <c r="C81" t="s">
        <v>1403</v>
      </c>
      <c r="D81" t="s">
        <v>1404</v>
      </c>
      <c r="E81" t="s">
        <v>10</v>
      </c>
      <c r="F81" t="s">
        <v>21</v>
      </c>
      <c r="G81" t="s">
        <v>185</v>
      </c>
      <c r="H81" t="s">
        <v>186</v>
      </c>
      <c r="J81" t="s">
        <v>1403</v>
      </c>
      <c r="K81" t="s">
        <v>1232</v>
      </c>
      <c r="L81">
        <v>1.2657643485855088</v>
      </c>
      <c r="M81">
        <v>0.2718396060325764</v>
      </c>
      <c r="O81" t="s">
        <v>182</v>
      </c>
      <c r="P81" t="s">
        <v>1627</v>
      </c>
      <c r="Q81" t="s">
        <v>1628</v>
      </c>
      <c r="R81" t="s">
        <v>10</v>
      </c>
      <c r="S81" t="s">
        <v>21</v>
      </c>
      <c r="T81" t="s">
        <v>185</v>
      </c>
      <c r="U81" t="s">
        <v>186</v>
      </c>
      <c r="W81" t="s">
        <v>1627</v>
      </c>
      <c r="X81" t="s">
        <v>1771</v>
      </c>
      <c r="Y81">
        <v>32.372999999999998</v>
      </c>
      <c r="Z81">
        <v>0.31244549044959552</v>
      </c>
    </row>
    <row r="82" spans="2:26">
      <c r="B82" t="s">
        <v>182</v>
      </c>
      <c r="C82" t="s">
        <v>1405</v>
      </c>
      <c r="D82" t="s">
        <v>1406</v>
      </c>
      <c r="E82" t="s">
        <v>10</v>
      </c>
      <c r="F82" t="s">
        <v>21</v>
      </c>
      <c r="G82" t="s">
        <v>185</v>
      </c>
      <c r="H82" t="s">
        <v>186</v>
      </c>
      <c r="J82" t="s">
        <v>1405</v>
      </c>
      <c r="K82" t="s">
        <v>1154</v>
      </c>
      <c r="L82">
        <v>13.479258785763509</v>
      </c>
      <c r="M82">
        <v>0.54370961607269142</v>
      </c>
      <c r="O82" t="s">
        <v>182</v>
      </c>
      <c r="P82" t="s">
        <v>1629</v>
      </c>
      <c r="Q82" t="s">
        <v>1630</v>
      </c>
      <c r="R82" t="s">
        <v>10</v>
      </c>
      <c r="S82" t="s">
        <v>21</v>
      </c>
      <c r="T82" t="s">
        <v>185</v>
      </c>
      <c r="U82" t="s">
        <v>186</v>
      </c>
      <c r="W82" t="s">
        <v>1629</v>
      </c>
      <c r="X82" t="s">
        <v>1772</v>
      </c>
      <c r="Y82">
        <v>21.033750000000001</v>
      </c>
      <c r="Z82">
        <v>0.3036074910316654</v>
      </c>
    </row>
    <row r="83" spans="2:26">
      <c r="B83" t="s">
        <v>182</v>
      </c>
      <c r="C83" t="s">
        <v>1407</v>
      </c>
      <c r="D83" t="s">
        <v>1408</v>
      </c>
      <c r="E83" t="s">
        <v>10</v>
      </c>
      <c r="F83" t="s">
        <v>21</v>
      </c>
      <c r="G83" t="s">
        <v>185</v>
      </c>
      <c r="H83" t="s">
        <v>186</v>
      </c>
      <c r="J83" t="s">
        <v>1407</v>
      </c>
      <c r="K83" t="s">
        <v>1199</v>
      </c>
      <c r="L83">
        <v>7.5062656073144884</v>
      </c>
      <c r="M83">
        <v>0.51074527021469307</v>
      </c>
      <c r="O83" t="s">
        <v>182</v>
      </c>
      <c r="P83" t="s">
        <v>1631</v>
      </c>
      <c r="Q83" t="s">
        <v>1632</v>
      </c>
      <c r="R83" t="s">
        <v>10</v>
      </c>
      <c r="S83" t="s">
        <v>21</v>
      </c>
      <c r="T83" t="s">
        <v>185</v>
      </c>
      <c r="U83" t="s">
        <v>186</v>
      </c>
      <c r="W83" t="s">
        <v>1631</v>
      </c>
      <c r="X83" t="s">
        <v>1773</v>
      </c>
      <c r="Y83">
        <v>175.2345</v>
      </c>
      <c r="Z83">
        <v>0.42245541266597159</v>
      </c>
    </row>
    <row r="84" spans="2:26">
      <c r="B84" t="s">
        <v>182</v>
      </c>
      <c r="C84" t="s">
        <v>1409</v>
      </c>
      <c r="D84" t="s">
        <v>1410</v>
      </c>
      <c r="E84" t="s">
        <v>10</v>
      </c>
      <c r="F84" t="s">
        <v>21</v>
      </c>
      <c r="G84" t="s">
        <v>185</v>
      </c>
      <c r="H84" t="s">
        <v>186</v>
      </c>
      <c r="J84" t="s">
        <v>1409</v>
      </c>
      <c r="K84" t="s">
        <v>1080</v>
      </c>
      <c r="L84">
        <v>12.887592601629111</v>
      </c>
      <c r="M84">
        <v>0.51513215535995005</v>
      </c>
      <c r="O84" t="s">
        <v>182</v>
      </c>
      <c r="P84" t="s">
        <v>1633</v>
      </c>
      <c r="Q84" t="s">
        <v>1634</v>
      </c>
      <c r="R84" t="s">
        <v>10</v>
      </c>
      <c r="S84" t="s">
        <v>21</v>
      </c>
      <c r="T84" t="s">
        <v>185</v>
      </c>
      <c r="U84" t="s">
        <v>186</v>
      </c>
      <c r="W84" t="s">
        <v>1633</v>
      </c>
      <c r="X84" t="s">
        <v>1774</v>
      </c>
      <c r="Y84">
        <v>199.9845</v>
      </c>
      <c r="Z84">
        <v>0.47337608625316718</v>
      </c>
    </row>
    <row r="85" spans="2:26">
      <c r="B85" t="s">
        <v>182</v>
      </c>
      <c r="C85" t="s">
        <v>1411</v>
      </c>
      <c r="D85" t="s">
        <v>1412</v>
      </c>
      <c r="E85" t="s">
        <v>10</v>
      </c>
      <c r="F85" t="s">
        <v>21</v>
      </c>
      <c r="G85" t="s">
        <v>185</v>
      </c>
      <c r="H85" t="s">
        <v>186</v>
      </c>
      <c r="J85" t="s">
        <v>1411</v>
      </c>
      <c r="K85" t="s">
        <v>1186</v>
      </c>
      <c r="L85">
        <v>4.4826834486841909</v>
      </c>
      <c r="M85">
        <v>0.39319524214099372</v>
      </c>
      <c r="O85" t="s">
        <v>182</v>
      </c>
      <c r="P85" t="s">
        <v>1635</v>
      </c>
      <c r="Q85" t="s">
        <v>1636</v>
      </c>
      <c r="R85" t="s">
        <v>10</v>
      </c>
      <c r="S85" t="s">
        <v>21</v>
      </c>
      <c r="T85" t="s">
        <v>185</v>
      </c>
      <c r="U85" t="s">
        <v>186</v>
      </c>
      <c r="W85" t="s">
        <v>1635</v>
      </c>
      <c r="X85" t="s">
        <v>1775</v>
      </c>
      <c r="Y85">
        <v>12.18</v>
      </c>
      <c r="Z85">
        <v>0.26302657069468649</v>
      </c>
    </row>
    <row r="86" spans="2:26">
      <c r="B86" t="s">
        <v>182</v>
      </c>
      <c r="C86" t="s">
        <v>1413</v>
      </c>
      <c r="D86" t="s">
        <v>1414</v>
      </c>
      <c r="E86" t="s">
        <v>10</v>
      </c>
      <c r="F86" t="s">
        <v>21</v>
      </c>
      <c r="G86" t="s">
        <v>185</v>
      </c>
      <c r="H86" t="s">
        <v>186</v>
      </c>
      <c r="J86" t="s">
        <v>1413</v>
      </c>
      <c r="K86" t="s">
        <v>1151</v>
      </c>
      <c r="L86">
        <v>7.0557160737365336</v>
      </c>
      <c r="M86">
        <v>0.355086606404593</v>
      </c>
      <c r="O86" t="s">
        <v>182</v>
      </c>
      <c r="P86" t="s">
        <v>1637</v>
      </c>
      <c r="Q86" t="s">
        <v>1638</v>
      </c>
      <c r="R86" t="s">
        <v>10</v>
      </c>
      <c r="S86" t="s">
        <v>21</v>
      </c>
      <c r="T86" t="s">
        <v>185</v>
      </c>
      <c r="U86" t="s">
        <v>186</v>
      </c>
      <c r="W86" t="s">
        <v>1637</v>
      </c>
      <c r="X86" t="s">
        <v>1776</v>
      </c>
      <c r="Y86">
        <v>19.178999999999998</v>
      </c>
      <c r="Z86">
        <v>0.32710361720114378</v>
      </c>
    </row>
    <row r="87" spans="2:26">
      <c r="B87" t="s">
        <v>182</v>
      </c>
      <c r="C87" t="s">
        <v>1415</v>
      </c>
      <c r="D87" t="s">
        <v>1416</v>
      </c>
      <c r="E87" t="s">
        <v>10</v>
      </c>
      <c r="F87" t="s">
        <v>21</v>
      </c>
      <c r="G87" t="s">
        <v>185</v>
      </c>
      <c r="H87" t="s">
        <v>186</v>
      </c>
      <c r="J87" t="s">
        <v>1415</v>
      </c>
      <c r="K87" t="s">
        <v>1096</v>
      </c>
      <c r="L87">
        <v>26.201627585920569</v>
      </c>
      <c r="M87">
        <v>0.40505465010128727</v>
      </c>
      <c r="O87" t="s">
        <v>182</v>
      </c>
      <c r="P87" t="s">
        <v>1639</v>
      </c>
      <c r="Q87" t="s">
        <v>1640</v>
      </c>
      <c r="R87" t="s">
        <v>10</v>
      </c>
      <c r="S87" t="s">
        <v>21</v>
      </c>
      <c r="T87" t="s">
        <v>185</v>
      </c>
      <c r="U87" t="s">
        <v>186</v>
      </c>
      <c r="W87" t="s">
        <v>1639</v>
      </c>
      <c r="X87" t="s">
        <v>1777</v>
      </c>
      <c r="Y87">
        <v>35.296500000000002</v>
      </c>
      <c r="Z87">
        <v>0.39387955683735459</v>
      </c>
    </row>
    <row r="88" spans="2:26">
      <c r="B88" t="s">
        <v>182</v>
      </c>
      <c r="C88" t="s">
        <v>1417</v>
      </c>
      <c r="D88" t="s">
        <v>1418</v>
      </c>
      <c r="E88" t="s">
        <v>10</v>
      </c>
      <c r="F88" t="s">
        <v>21</v>
      </c>
      <c r="G88" t="s">
        <v>185</v>
      </c>
      <c r="H88" t="s">
        <v>186</v>
      </c>
      <c r="J88" t="s">
        <v>1417</v>
      </c>
      <c r="K88" t="s">
        <v>1245</v>
      </c>
      <c r="L88">
        <v>0.51831722624411036</v>
      </c>
      <c r="M88">
        <v>0.1431027537680673</v>
      </c>
      <c r="O88" t="s">
        <v>182</v>
      </c>
      <c r="P88" t="s">
        <v>1641</v>
      </c>
      <c r="Q88" t="s">
        <v>1642</v>
      </c>
      <c r="R88" t="s">
        <v>10</v>
      </c>
      <c r="S88" t="s">
        <v>21</v>
      </c>
      <c r="T88" t="s">
        <v>185</v>
      </c>
      <c r="U88" t="s">
        <v>186</v>
      </c>
      <c r="W88" t="s">
        <v>1641</v>
      </c>
      <c r="X88" t="s">
        <v>1778</v>
      </c>
      <c r="Y88">
        <v>26.876249999999999</v>
      </c>
      <c r="Z88">
        <v>0.3191741101937674</v>
      </c>
    </row>
    <row r="89" spans="2:26">
      <c r="B89" t="s">
        <v>182</v>
      </c>
      <c r="C89" t="s">
        <v>1419</v>
      </c>
      <c r="D89" t="s">
        <v>1420</v>
      </c>
      <c r="E89" t="s">
        <v>10</v>
      </c>
      <c r="F89" t="s">
        <v>21</v>
      </c>
      <c r="G89" t="s">
        <v>185</v>
      </c>
      <c r="H89" t="s">
        <v>186</v>
      </c>
      <c r="J89" t="s">
        <v>1419</v>
      </c>
      <c r="K89" t="s">
        <v>1149</v>
      </c>
      <c r="L89">
        <v>17.309267818520048</v>
      </c>
      <c r="M89">
        <v>0.31926334470893958</v>
      </c>
      <c r="O89" t="s">
        <v>182</v>
      </c>
      <c r="P89" t="s">
        <v>1643</v>
      </c>
      <c r="Q89" t="s">
        <v>1644</v>
      </c>
      <c r="R89" t="s">
        <v>10</v>
      </c>
      <c r="S89" t="s">
        <v>21</v>
      </c>
      <c r="T89" t="s">
        <v>185</v>
      </c>
      <c r="U89" t="s">
        <v>186</v>
      </c>
      <c r="W89" t="s">
        <v>1643</v>
      </c>
      <c r="X89" t="s">
        <v>1779</v>
      </c>
      <c r="Y89">
        <v>68.597999999999999</v>
      </c>
      <c r="Z89">
        <v>0.34970844194942807</v>
      </c>
    </row>
    <row r="90" spans="2:26">
      <c r="B90" t="s">
        <v>182</v>
      </c>
      <c r="C90" t="s">
        <v>1421</v>
      </c>
      <c r="D90" t="s">
        <v>1422</v>
      </c>
      <c r="E90" t="s">
        <v>10</v>
      </c>
      <c r="F90" t="s">
        <v>21</v>
      </c>
      <c r="G90" t="s">
        <v>185</v>
      </c>
      <c r="H90" t="s">
        <v>186</v>
      </c>
      <c r="J90" t="s">
        <v>1421</v>
      </c>
      <c r="K90" t="s">
        <v>1122</v>
      </c>
      <c r="L90">
        <v>12.484491317107983</v>
      </c>
      <c r="M90">
        <v>0.27959202163994967</v>
      </c>
      <c r="O90" t="s">
        <v>182</v>
      </c>
      <c r="P90" t="s">
        <v>1645</v>
      </c>
      <c r="Q90" t="s">
        <v>1646</v>
      </c>
      <c r="R90" t="s">
        <v>10</v>
      </c>
      <c r="S90" t="s">
        <v>21</v>
      </c>
      <c r="T90" t="s">
        <v>185</v>
      </c>
      <c r="U90" t="s">
        <v>186</v>
      </c>
      <c r="W90" t="s">
        <v>1645</v>
      </c>
      <c r="X90" t="s">
        <v>1780</v>
      </c>
      <c r="Y90">
        <v>152.64150000000001</v>
      </c>
      <c r="Z90">
        <v>0.34609292984297618</v>
      </c>
    </row>
    <row r="91" spans="2:26">
      <c r="B91" t="s">
        <v>182</v>
      </c>
      <c r="C91" t="s">
        <v>1423</v>
      </c>
      <c r="D91" t="s">
        <v>1424</v>
      </c>
      <c r="E91" t="s">
        <v>10</v>
      </c>
      <c r="F91" t="s">
        <v>21</v>
      </c>
      <c r="G91" t="s">
        <v>185</v>
      </c>
      <c r="H91" t="s">
        <v>186</v>
      </c>
      <c r="J91" t="s">
        <v>1423</v>
      </c>
      <c r="K91" t="s">
        <v>1094</v>
      </c>
      <c r="L91">
        <v>8.5747636137900756</v>
      </c>
      <c r="M91">
        <v>0.35362810692055369</v>
      </c>
      <c r="O91" t="s">
        <v>182</v>
      </c>
      <c r="P91" t="s">
        <v>1647</v>
      </c>
      <c r="Q91" t="s">
        <v>1648</v>
      </c>
      <c r="R91" t="s">
        <v>10</v>
      </c>
      <c r="S91" t="s">
        <v>21</v>
      </c>
      <c r="T91" t="s">
        <v>185</v>
      </c>
      <c r="U91" t="s">
        <v>186</v>
      </c>
      <c r="W91" t="s">
        <v>1647</v>
      </c>
      <c r="X91" t="s">
        <v>1781</v>
      </c>
      <c r="Y91">
        <v>43.21725</v>
      </c>
      <c r="Z91">
        <v>0.30985358922904321</v>
      </c>
    </row>
    <row r="92" spans="2:26">
      <c r="B92" t="s">
        <v>182</v>
      </c>
      <c r="C92" t="s">
        <v>1425</v>
      </c>
      <c r="D92" t="s">
        <v>1426</v>
      </c>
      <c r="E92" t="s">
        <v>10</v>
      </c>
      <c r="F92" t="s">
        <v>21</v>
      </c>
      <c r="G92" t="s">
        <v>185</v>
      </c>
      <c r="H92" t="s">
        <v>186</v>
      </c>
      <c r="J92" t="s">
        <v>1425</v>
      </c>
      <c r="K92" t="s">
        <v>1251</v>
      </c>
      <c r="L92">
        <v>16.815137912716544</v>
      </c>
      <c r="M92">
        <v>0.36140922364553291</v>
      </c>
      <c r="O92" t="s">
        <v>182</v>
      </c>
      <c r="P92" t="s">
        <v>1649</v>
      </c>
      <c r="Q92" t="s">
        <v>1650</v>
      </c>
      <c r="R92" t="s">
        <v>10</v>
      </c>
      <c r="S92" t="s">
        <v>21</v>
      </c>
      <c r="T92" t="s">
        <v>185</v>
      </c>
      <c r="U92" t="s">
        <v>186</v>
      </c>
      <c r="W92" t="s">
        <v>1649</v>
      </c>
      <c r="X92" t="s">
        <v>1782</v>
      </c>
      <c r="Y92">
        <v>84.987750000000005</v>
      </c>
      <c r="Z92">
        <v>0.31348086003425518</v>
      </c>
    </row>
    <row r="93" spans="2:26">
      <c r="B93" t="s">
        <v>182</v>
      </c>
      <c r="C93" t="s">
        <v>1427</v>
      </c>
      <c r="D93" t="s">
        <v>1428</v>
      </c>
      <c r="E93" t="s">
        <v>10</v>
      </c>
      <c r="F93" t="s">
        <v>21</v>
      </c>
      <c r="G93" t="s">
        <v>185</v>
      </c>
      <c r="H93" t="s">
        <v>186</v>
      </c>
      <c r="J93" t="s">
        <v>1427</v>
      </c>
      <c r="K93" t="s">
        <v>1168</v>
      </c>
      <c r="L93">
        <v>63.607973421201038</v>
      </c>
      <c r="M93">
        <v>0.3492545721510702</v>
      </c>
      <c r="O93" t="s">
        <v>182</v>
      </c>
      <c r="P93" t="s">
        <v>1651</v>
      </c>
      <c r="Q93" t="s">
        <v>1652</v>
      </c>
      <c r="R93" t="s">
        <v>10</v>
      </c>
      <c r="S93" t="s">
        <v>21</v>
      </c>
      <c r="T93" t="s">
        <v>185</v>
      </c>
      <c r="U93" t="s">
        <v>186</v>
      </c>
      <c r="W93" t="s">
        <v>1651</v>
      </c>
      <c r="X93" t="s">
        <v>1783</v>
      </c>
      <c r="Y93">
        <v>75.284999999999997</v>
      </c>
      <c r="Z93">
        <v>0.39763272845972542</v>
      </c>
    </row>
    <row r="94" spans="2:26">
      <c r="B94" t="s">
        <v>182</v>
      </c>
      <c r="C94" t="s">
        <v>1429</v>
      </c>
      <c r="D94" t="s">
        <v>1430</v>
      </c>
      <c r="E94" t="s">
        <v>10</v>
      </c>
      <c r="F94" t="s">
        <v>21</v>
      </c>
      <c r="G94" t="s">
        <v>185</v>
      </c>
      <c r="H94" t="s">
        <v>186</v>
      </c>
      <c r="J94" t="s">
        <v>1429</v>
      </c>
      <c r="K94" t="s">
        <v>1157</v>
      </c>
      <c r="L94">
        <v>0.20510402185688437</v>
      </c>
      <c r="M94">
        <v>0.1513568250987786</v>
      </c>
      <c r="O94" t="s">
        <v>182</v>
      </c>
      <c r="P94" t="s">
        <v>1653</v>
      </c>
      <c r="Q94" t="s">
        <v>1654</v>
      </c>
      <c r="R94" t="s">
        <v>10</v>
      </c>
      <c r="S94" t="s">
        <v>21</v>
      </c>
      <c r="T94" t="s">
        <v>185</v>
      </c>
      <c r="U94" t="s">
        <v>186</v>
      </c>
      <c r="W94" t="s">
        <v>1653</v>
      </c>
      <c r="X94" t="s">
        <v>1784</v>
      </c>
      <c r="Y94">
        <v>76.134</v>
      </c>
      <c r="Z94">
        <v>0.3329740211866738</v>
      </c>
    </row>
    <row r="95" spans="2:26">
      <c r="B95" t="s">
        <v>182</v>
      </c>
      <c r="C95" t="s">
        <v>1431</v>
      </c>
      <c r="D95" t="s">
        <v>1432</v>
      </c>
      <c r="E95" t="s">
        <v>10</v>
      </c>
      <c r="F95" t="s">
        <v>21</v>
      </c>
      <c r="G95" t="s">
        <v>185</v>
      </c>
      <c r="H95" t="s">
        <v>186</v>
      </c>
      <c r="J95" t="s">
        <v>1431</v>
      </c>
      <c r="K95" t="s">
        <v>1192</v>
      </c>
      <c r="L95">
        <v>0.70493333118494395</v>
      </c>
      <c r="M95">
        <v>0.13785721898910089</v>
      </c>
      <c r="O95" t="s">
        <v>182</v>
      </c>
      <c r="P95" t="s">
        <v>1655</v>
      </c>
      <c r="Q95" t="s">
        <v>1656</v>
      </c>
      <c r="R95" t="s">
        <v>10</v>
      </c>
      <c r="S95" t="s">
        <v>21</v>
      </c>
      <c r="T95" t="s">
        <v>185</v>
      </c>
      <c r="U95" t="s">
        <v>186</v>
      </c>
      <c r="W95" t="s">
        <v>1655</v>
      </c>
      <c r="X95" t="s">
        <v>1785</v>
      </c>
      <c r="Y95">
        <v>51.999749999999999</v>
      </c>
      <c r="Z95">
        <v>0.30120043728577039</v>
      </c>
    </row>
    <row r="96" spans="2:26">
      <c r="B96" t="s">
        <v>182</v>
      </c>
      <c r="C96" t="s">
        <v>1433</v>
      </c>
      <c r="D96" t="s">
        <v>1434</v>
      </c>
      <c r="E96" t="s">
        <v>10</v>
      </c>
      <c r="F96" t="s">
        <v>21</v>
      </c>
      <c r="G96" t="s">
        <v>185</v>
      </c>
      <c r="H96" t="s">
        <v>186</v>
      </c>
      <c r="J96" t="s">
        <v>1433</v>
      </c>
      <c r="K96" t="s">
        <v>1184</v>
      </c>
      <c r="L96">
        <v>0.23380465776369466</v>
      </c>
      <c r="M96">
        <v>0.31051665883812729</v>
      </c>
      <c r="O96" t="s">
        <v>182</v>
      </c>
      <c r="P96" t="s">
        <v>1657</v>
      </c>
      <c r="Q96" t="s">
        <v>1658</v>
      </c>
      <c r="R96" t="s">
        <v>10</v>
      </c>
      <c r="S96" t="s">
        <v>21</v>
      </c>
      <c r="T96" t="s">
        <v>185</v>
      </c>
      <c r="U96" t="s">
        <v>186</v>
      </c>
      <c r="W96" t="s">
        <v>1657</v>
      </c>
      <c r="X96" t="s">
        <v>1786</v>
      </c>
      <c r="Y96">
        <v>84.138000000000005</v>
      </c>
      <c r="Z96">
        <v>0.32124986344921369</v>
      </c>
    </row>
    <row r="97" spans="2:26">
      <c r="B97" t="s">
        <v>182</v>
      </c>
      <c r="C97" t="s">
        <v>1435</v>
      </c>
      <c r="D97" t="s">
        <v>1436</v>
      </c>
      <c r="E97" t="s">
        <v>10</v>
      </c>
      <c r="F97" t="s">
        <v>21</v>
      </c>
      <c r="G97" t="s">
        <v>185</v>
      </c>
      <c r="H97" t="s">
        <v>186</v>
      </c>
      <c r="J97" t="s">
        <v>1435</v>
      </c>
      <c r="K97" t="s">
        <v>1190</v>
      </c>
      <c r="L97">
        <v>0.61184763396783282</v>
      </c>
      <c r="M97">
        <v>0.33324541068329838</v>
      </c>
      <c r="O97" t="s">
        <v>182</v>
      </c>
      <c r="P97" t="s">
        <v>1659</v>
      </c>
      <c r="Q97" t="s">
        <v>1660</v>
      </c>
      <c r="R97" t="s">
        <v>10</v>
      </c>
      <c r="S97" t="s">
        <v>21</v>
      </c>
      <c r="T97" t="s">
        <v>185</v>
      </c>
      <c r="U97" t="s">
        <v>186</v>
      </c>
      <c r="W97" t="s">
        <v>1659</v>
      </c>
      <c r="X97" t="s">
        <v>1787</v>
      </c>
      <c r="Y97">
        <v>118.73025</v>
      </c>
      <c r="Z97">
        <v>0.31732710791940377</v>
      </c>
    </row>
    <row r="98" spans="2:26">
      <c r="B98" t="s">
        <v>182</v>
      </c>
      <c r="C98" t="s">
        <v>1437</v>
      </c>
      <c r="D98" t="s">
        <v>1438</v>
      </c>
      <c r="E98" t="s">
        <v>10</v>
      </c>
      <c r="F98" t="s">
        <v>21</v>
      </c>
      <c r="G98" t="s">
        <v>185</v>
      </c>
      <c r="H98" t="s">
        <v>186</v>
      </c>
      <c r="J98" t="s">
        <v>1437</v>
      </c>
      <c r="K98" t="s">
        <v>1104</v>
      </c>
      <c r="L98">
        <v>9.0685465944618932E-2</v>
      </c>
      <c r="M98">
        <v>0.12736457139397531</v>
      </c>
      <c r="O98" t="s">
        <v>182</v>
      </c>
      <c r="P98" t="s">
        <v>1661</v>
      </c>
      <c r="Q98" t="s">
        <v>1662</v>
      </c>
      <c r="R98" t="s">
        <v>10</v>
      </c>
      <c r="S98" t="s">
        <v>21</v>
      </c>
      <c r="T98" t="s">
        <v>185</v>
      </c>
      <c r="U98" t="s">
        <v>186</v>
      </c>
      <c r="W98" t="s">
        <v>1661</v>
      </c>
      <c r="X98" t="s">
        <v>1788</v>
      </c>
      <c r="Y98">
        <v>17.033249999999999</v>
      </c>
      <c r="Z98">
        <v>0.28203237550109689</v>
      </c>
    </row>
    <row r="99" spans="2:26">
      <c r="B99" t="s">
        <v>182</v>
      </c>
      <c r="C99" t="s">
        <v>1439</v>
      </c>
      <c r="D99" t="s">
        <v>1440</v>
      </c>
      <c r="E99" t="s">
        <v>10</v>
      </c>
      <c r="F99" t="s">
        <v>21</v>
      </c>
      <c r="G99" t="s">
        <v>185</v>
      </c>
      <c r="H99" t="s">
        <v>186</v>
      </c>
      <c r="J99" t="s">
        <v>1439</v>
      </c>
      <c r="K99" t="s">
        <v>1241</v>
      </c>
      <c r="L99">
        <v>0.35155867924596557</v>
      </c>
      <c r="M99">
        <v>0.1097456107970665</v>
      </c>
      <c r="O99" t="s">
        <v>182</v>
      </c>
      <c r="P99" t="s">
        <v>1663</v>
      </c>
      <c r="Q99" t="s">
        <v>1664</v>
      </c>
      <c r="R99" t="s">
        <v>10</v>
      </c>
      <c r="S99" t="s">
        <v>21</v>
      </c>
      <c r="T99" t="s">
        <v>185</v>
      </c>
      <c r="U99" t="s">
        <v>186</v>
      </c>
      <c r="W99" t="s">
        <v>1663</v>
      </c>
      <c r="X99" t="s">
        <v>1789</v>
      </c>
      <c r="Y99">
        <v>151.58099999999999</v>
      </c>
      <c r="Z99">
        <v>0.52354443815920071</v>
      </c>
    </row>
    <row r="100" spans="2:26">
      <c r="B100" t="s">
        <v>182</v>
      </c>
      <c r="C100" t="s">
        <v>1441</v>
      </c>
      <c r="D100" t="s">
        <v>1442</v>
      </c>
      <c r="E100" t="s">
        <v>10</v>
      </c>
      <c r="F100" t="s">
        <v>21</v>
      </c>
      <c r="G100" t="s">
        <v>185</v>
      </c>
      <c r="H100" t="s">
        <v>186</v>
      </c>
      <c r="J100" t="s">
        <v>1441</v>
      </c>
      <c r="K100" t="s">
        <v>1166</v>
      </c>
      <c r="L100">
        <v>0.60443587831520007</v>
      </c>
      <c r="M100">
        <v>0.13682509473328269</v>
      </c>
      <c r="O100" t="s">
        <v>182</v>
      </c>
      <c r="P100" t="s">
        <v>1665</v>
      </c>
      <c r="Q100" t="s">
        <v>1666</v>
      </c>
      <c r="R100" t="s">
        <v>10</v>
      </c>
      <c r="S100" t="s">
        <v>21</v>
      </c>
      <c r="T100" t="s">
        <v>185</v>
      </c>
      <c r="U100" t="s">
        <v>186</v>
      </c>
      <c r="W100" t="s">
        <v>1665</v>
      </c>
      <c r="X100" t="s">
        <v>1790</v>
      </c>
      <c r="Y100">
        <v>158.99100000000001</v>
      </c>
      <c r="Z100">
        <v>0.50610010018340545</v>
      </c>
    </row>
    <row r="101" spans="2:26">
      <c r="B101" t="s">
        <v>182</v>
      </c>
      <c r="C101" t="s">
        <v>1443</v>
      </c>
      <c r="D101" t="s">
        <v>1444</v>
      </c>
      <c r="E101" t="s">
        <v>10</v>
      </c>
      <c r="F101" t="s">
        <v>21</v>
      </c>
      <c r="G101" t="s">
        <v>185</v>
      </c>
      <c r="H101" t="s">
        <v>186</v>
      </c>
      <c r="J101" t="s">
        <v>1443</v>
      </c>
      <c r="K101" t="s">
        <v>1239</v>
      </c>
      <c r="L101">
        <v>1.6757160944206968</v>
      </c>
      <c r="M101">
        <v>0.1714550065256838</v>
      </c>
      <c r="O101" t="s">
        <v>182</v>
      </c>
      <c r="P101" t="s">
        <v>1667</v>
      </c>
      <c r="Q101" t="s">
        <v>1668</v>
      </c>
      <c r="R101" t="s">
        <v>10</v>
      </c>
      <c r="S101" t="s">
        <v>21</v>
      </c>
      <c r="T101" t="s">
        <v>185</v>
      </c>
      <c r="U101" t="s">
        <v>186</v>
      </c>
      <c r="W101" t="s">
        <v>1667</v>
      </c>
      <c r="X101" t="s">
        <v>1791</v>
      </c>
      <c r="Y101">
        <v>68.34375</v>
      </c>
      <c r="Z101">
        <v>0.4614574102741627</v>
      </c>
    </row>
    <row r="102" spans="2:26">
      <c r="B102" t="s">
        <v>182</v>
      </c>
      <c r="C102" t="s">
        <v>1445</v>
      </c>
      <c r="D102" t="s">
        <v>1446</v>
      </c>
      <c r="E102" t="s">
        <v>10</v>
      </c>
      <c r="F102" t="s">
        <v>21</v>
      </c>
      <c r="G102" t="s">
        <v>185</v>
      </c>
      <c r="H102" t="s">
        <v>186</v>
      </c>
      <c r="J102" t="s">
        <v>1445</v>
      </c>
      <c r="K102" t="s">
        <v>1227</v>
      </c>
      <c r="L102">
        <v>3.3348141008127765</v>
      </c>
      <c r="M102">
        <v>0.1924734765455825</v>
      </c>
      <c r="O102" t="s">
        <v>182</v>
      </c>
      <c r="P102" t="s">
        <v>1669</v>
      </c>
      <c r="Q102" t="s">
        <v>1670</v>
      </c>
      <c r="R102" t="s">
        <v>10</v>
      </c>
      <c r="S102" t="s">
        <v>21</v>
      </c>
      <c r="T102" t="s">
        <v>185</v>
      </c>
      <c r="U102" t="s">
        <v>186</v>
      </c>
      <c r="W102" t="s">
        <v>1669</v>
      </c>
      <c r="X102" t="s">
        <v>1792</v>
      </c>
      <c r="Y102">
        <v>177.29474999999999</v>
      </c>
      <c r="Z102">
        <v>0.51241486753240428</v>
      </c>
    </row>
    <row r="103" spans="2:26">
      <c r="B103" t="s">
        <v>182</v>
      </c>
      <c r="C103" t="s">
        <v>1447</v>
      </c>
      <c r="D103" t="s">
        <v>1448</v>
      </c>
      <c r="E103" t="s">
        <v>10</v>
      </c>
      <c r="F103" t="s">
        <v>21</v>
      </c>
      <c r="G103" t="s">
        <v>185</v>
      </c>
      <c r="H103" t="s">
        <v>186</v>
      </c>
      <c r="J103" t="s">
        <v>1447</v>
      </c>
      <c r="K103" t="s">
        <v>1243</v>
      </c>
      <c r="L103">
        <v>5.0369156317961723</v>
      </c>
      <c r="M103">
        <v>0.18020833496033711</v>
      </c>
      <c r="O103" t="s">
        <v>182</v>
      </c>
      <c r="P103" t="s">
        <v>1671</v>
      </c>
      <c r="Q103" t="s">
        <v>1672</v>
      </c>
      <c r="R103" t="s">
        <v>10</v>
      </c>
      <c r="S103" t="s">
        <v>21</v>
      </c>
      <c r="T103" t="s">
        <v>185</v>
      </c>
      <c r="U103" t="s">
        <v>186</v>
      </c>
      <c r="W103" t="s">
        <v>1671</v>
      </c>
      <c r="X103" t="s">
        <v>1793</v>
      </c>
      <c r="Y103">
        <v>129.6885</v>
      </c>
      <c r="Z103">
        <v>0.47855753143979368</v>
      </c>
    </row>
    <row r="104" spans="2:26">
      <c r="B104" t="s">
        <v>182</v>
      </c>
      <c r="C104" t="s">
        <v>1449</v>
      </c>
      <c r="D104" t="s">
        <v>1450</v>
      </c>
      <c r="E104" t="s">
        <v>10</v>
      </c>
      <c r="F104" t="s">
        <v>21</v>
      </c>
      <c r="G104" t="s">
        <v>185</v>
      </c>
      <c r="H104" t="s">
        <v>186</v>
      </c>
      <c r="J104" t="s">
        <v>1449</v>
      </c>
      <c r="K104" t="s">
        <v>1247</v>
      </c>
      <c r="L104">
        <v>4.1810126913299372</v>
      </c>
      <c r="M104">
        <v>0.19412648798557541</v>
      </c>
      <c r="O104" t="s">
        <v>182</v>
      </c>
      <c r="P104" t="s">
        <v>1673</v>
      </c>
      <c r="Q104" t="s">
        <v>1674</v>
      </c>
      <c r="R104" t="s">
        <v>10</v>
      </c>
      <c r="S104" t="s">
        <v>21</v>
      </c>
      <c r="T104" t="s">
        <v>185</v>
      </c>
      <c r="U104" t="s">
        <v>186</v>
      </c>
      <c r="W104" t="s">
        <v>1673</v>
      </c>
      <c r="X104" t="s">
        <v>1794</v>
      </c>
      <c r="Y104">
        <v>157.32675</v>
      </c>
      <c r="Z104">
        <v>0.47222692600782218</v>
      </c>
    </row>
    <row r="105" spans="2:26">
      <c r="B105" t="s">
        <v>182</v>
      </c>
      <c r="C105" t="s">
        <v>1451</v>
      </c>
      <c r="D105" t="s">
        <v>1452</v>
      </c>
      <c r="E105" t="s">
        <v>10</v>
      </c>
      <c r="F105" t="s">
        <v>21</v>
      </c>
      <c r="G105" t="s">
        <v>185</v>
      </c>
      <c r="H105" t="s">
        <v>186</v>
      </c>
      <c r="J105" t="s">
        <v>1451</v>
      </c>
      <c r="K105" t="s">
        <v>1217</v>
      </c>
      <c r="L105">
        <v>1.9220995581392877</v>
      </c>
      <c r="M105">
        <v>0.27504253976873771</v>
      </c>
      <c r="O105" t="s">
        <v>182</v>
      </c>
      <c r="P105" t="s">
        <v>1675</v>
      </c>
      <c r="Q105" t="s">
        <v>1676</v>
      </c>
      <c r="R105" t="s">
        <v>10</v>
      </c>
      <c r="S105" t="s">
        <v>21</v>
      </c>
      <c r="T105" t="s">
        <v>185</v>
      </c>
      <c r="U105" t="s">
        <v>186</v>
      </c>
      <c r="W105" t="s">
        <v>1675</v>
      </c>
      <c r="X105" t="s">
        <v>1795</v>
      </c>
      <c r="Y105">
        <v>70.229249999999993</v>
      </c>
      <c r="Z105">
        <v>0.45164524694763108</v>
      </c>
    </row>
    <row r="106" spans="2:26">
      <c r="B106" t="s">
        <v>182</v>
      </c>
      <c r="C106" t="s">
        <v>1453</v>
      </c>
      <c r="D106" t="s">
        <v>1454</v>
      </c>
      <c r="E106" t="s">
        <v>10</v>
      </c>
      <c r="F106" t="s">
        <v>21</v>
      </c>
      <c r="G106" t="s">
        <v>185</v>
      </c>
      <c r="H106" t="s">
        <v>186</v>
      </c>
      <c r="J106" t="s">
        <v>1453</v>
      </c>
      <c r="K106" t="s">
        <v>1196</v>
      </c>
      <c r="L106">
        <v>0.97766821631374401</v>
      </c>
      <c r="M106">
        <v>0.2113648336240575</v>
      </c>
      <c r="O106" t="s">
        <v>182</v>
      </c>
      <c r="P106" t="s">
        <v>1677</v>
      </c>
      <c r="Q106" t="s">
        <v>1678</v>
      </c>
      <c r="R106" t="s">
        <v>10</v>
      </c>
      <c r="S106" t="s">
        <v>21</v>
      </c>
      <c r="T106" t="s">
        <v>185</v>
      </c>
      <c r="U106" t="s">
        <v>186</v>
      </c>
      <c r="W106" t="s">
        <v>1677</v>
      </c>
      <c r="X106" t="s">
        <v>1796</v>
      </c>
      <c r="Y106">
        <v>188.97749999999999</v>
      </c>
      <c r="Z106">
        <v>0.44463850333410349</v>
      </c>
    </row>
    <row r="107" spans="2:26">
      <c r="B107" t="s">
        <v>182</v>
      </c>
      <c r="C107" t="s">
        <v>1455</v>
      </c>
      <c r="D107" t="s">
        <v>1456</v>
      </c>
      <c r="E107" t="s">
        <v>10</v>
      </c>
      <c r="F107" t="s">
        <v>21</v>
      </c>
      <c r="G107" t="s">
        <v>185</v>
      </c>
      <c r="H107" t="s">
        <v>186</v>
      </c>
      <c r="J107" t="s">
        <v>1455</v>
      </c>
      <c r="K107" t="s">
        <v>1194</v>
      </c>
      <c r="L107">
        <v>3.9767659196305281</v>
      </c>
      <c r="M107">
        <v>0.21395406756002061</v>
      </c>
      <c r="O107" t="s">
        <v>182</v>
      </c>
      <c r="P107" t="s">
        <v>1679</v>
      </c>
      <c r="Q107" t="s">
        <v>1680</v>
      </c>
      <c r="R107" t="s">
        <v>10</v>
      </c>
      <c r="S107" t="s">
        <v>21</v>
      </c>
      <c r="T107" t="s">
        <v>185</v>
      </c>
      <c r="U107" t="s">
        <v>186</v>
      </c>
      <c r="W107" t="s">
        <v>1679</v>
      </c>
      <c r="X107" t="s">
        <v>1797</v>
      </c>
      <c r="Y107">
        <v>183.29325</v>
      </c>
      <c r="Z107">
        <v>0.47246019681845292</v>
      </c>
    </row>
    <row r="108" spans="2:26">
      <c r="B108" t="s">
        <v>182</v>
      </c>
      <c r="C108" t="s">
        <v>1457</v>
      </c>
      <c r="D108" t="s">
        <v>1458</v>
      </c>
      <c r="E108" t="s">
        <v>10</v>
      </c>
      <c r="F108" t="s">
        <v>21</v>
      </c>
      <c r="G108" t="s">
        <v>185</v>
      </c>
      <c r="H108" t="s">
        <v>186</v>
      </c>
      <c r="J108" t="s">
        <v>1457</v>
      </c>
      <c r="K108" t="s">
        <v>1137</v>
      </c>
      <c r="L108">
        <v>0.54107125073623541</v>
      </c>
      <c r="M108">
        <v>0.2387951266154075</v>
      </c>
      <c r="O108" t="s">
        <v>182</v>
      </c>
      <c r="P108" t="s">
        <v>1681</v>
      </c>
      <c r="Q108" t="s">
        <v>1682</v>
      </c>
      <c r="R108" t="s">
        <v>10</v>
      </c>
      <c r="S108" t="s">
        <v>21</v>
      </c>
      <c r="T108" t="s">
        <v>185</v>
      </c>
      <c r="U108" t="s">
        <v>186</v>
      </c>
      <c r="W108" t="s">
        <v>1681</v>
      </c>
      <c r="X108" t="s">
        <v>1798</v>
      </c>
      <c r="Y108">
        <v>215.1</v>
      </c>
      <c r="Z108">
        <v>0.49547285518358469</v>
      </c>
    </row>
    <row r="109" spans="2:26">
      <c r="B109" t="s">
        <v>182</v>
      </c>
      <c r="C109" t="s">
        <v>1459</v>
      </c>
      <c r="D109" t="s">
        <v>1460</v>
      </c>
      <c r="E109" t="s">
        <v>10</v>
      </c>
      <c r="F109" t="s">
        <v>21</v>
      </c>
      <c r="G109" t="s">
        <v>185</v>
      </c>
      <c r="H109" t="s">
        <v>186</v>
      </c>
      <c r="J109" t="s">
        <v>1459</v>
      </c>
      <c r="K109" t="s">
        <v>1206</v>
      </c>
      <c r="L109">
        <v>3.6600987823391438</v>
      </c>
      <c r="M109">
        <v>0.23928589327127861</v>
      </c>
      <c r="O109" t="s">
        <v>182</v>
      </c>
      <c r="P109" t="s">
        <v>1683</v>
      </c>
      <c r="Q109" t="s">
        <v>1684</v>
      </c>
      <c r="R109" t="s">
        <v>10</v>
      </c>
      <c r="S109" t="s">
        <v>21</v>
      </c>
      <c r="T109" t="s">
        <v>185</v>
      </c>
      <c r="U109" t="s">
        <v>186</v>
      </c>
      <c r="W109" t="s">
        <v>1683</v>
      </c>
      <c r="X109" t="s">
        <v>1799</v>
      </c>
      <c r="Y109">
        <v>192.18299999999999</v>
      </c>
      <c r="Z109">
        <v>0.42407538772772008</v>
      </c>
    </row>
    <row r="110" spans="2:26">
      <c r="B110" t="s">
        <v>182</v>
      </c>
      <c r="C110" t="s">
        <v>1461</v>
      </c>
      <c r="D110" t="s">
        <v>1462</v>
      </c>
      <c r="E110" t="s">
        <v>10</v>
      </c>
      <c r="F110" t="s">
        <v>21</v>
      </c>
      <c r="G110" t="s">
        <v>185</v>
      </c>
      <c r="H110" t="s">
        <v>186</v>
      </c>
      <c r="J110" t="s">
        <v>1461</v>
      </c>
      <c r="K110" t="s">
        <v>1131</v>
      </c>
      <c r="L110">
        <v>2.6335594652878145</v>
      </c>
      <c r="M110">
        <v>0.23339877246801519</v>
      </c>
      <c r="O110" t="s">
        <v>182</v>
      </c>
      <c r="P110" t="s">
        <v>1685</v>
      </c>
      <c r="Q110" t="s">
        <v>1686</v>
      </c>
      <c r="R110" t="s">
        <v>10</v>
      </c>
      <c r="S110" t="s">
        <v>21</v>
      </c>
      <c r="T110" t="s">
        <v>185</v>
      </c>
      <c r="U110" t="s">
        <v>186</v>
      </c>
      <c r="W110" t="s">
        <v>1685</v>
      </c>
      <c r="X110" t="s">
        <v>1800</v>
      </c>
      <c r="Y110">
        <v>156.98400000000001</v>
      </c>
      <c r="Z110">
        <v>0.42494686636830331</v>
      </c>
    </row>
    <row r="111" spans="2:26">
      <c r="B111" t="s">
        <v>182</v>
      </c>
      <c r="C111" t="s">
        <v>1463</v>
      </c>
      <c r="D111" t="s">
        <v>1464</v>
      </c>
      <c r="E111" t="s">
        <v>10</v>
      </c>
      <c r="F111" t="s">
        <v>21</v>
      </c>
      <c r="G111" t="s">
        <v>185</v>
      </c>
      <c r="H111" t="s">
        <v>186</v>
      </c>
      <c r="J111" t="s">
        <v>1463</v>
      </c>
      <c r="K111" t="s">
        <v>1249</v>
      </c>
      <c r="L111">
        <v>4.1038242117657084</v>
      </c>
      <c r="M111">
        <v>0.21611662587635119</v>
      </c>
      <c r="O111" t="s">
        <v>182</v>
      </c>
      <c r="P111" t="s">
        <v>1687</v>
      </c>
      <c r="Q111" t="s">
        <v>1688</v>
      </c>
      <c r="R111" t="s">
        <v>10</v>
      </c>
      <c r="S111" t="s">
        <v>21</v>
      </c>
      <c r="T111" t="s">
        <v>185</v>
      </c>
      <c r="U111" t="s">
        <v>186</v>
      </c>
      <c r="W111" t="s">
        <v>1687</v>
      </c>
      <c r="X111" t="s">
        <v>1801</v>
      </c>
      <c r="Y111">
        <v>121.90349999999999</v>
      </c>
      <c r="Z111">
        <v>0.39852263278870498</v>
      </c>
    </row>
    <row r="112" spans="2:26">
      <c r="B112" t="s">
        <v>182</v>
      </c>
      <c r="C112" t="s">
        <v>1465</v>
      </c>
      <c r="D112" t="s">
        <v>1466</v>
      </c>
      <c r="E112" t="s">
        <v>10</v>
      </c>
      <c r="F112" t="s">
        <v>21</v>
      </c>
      <c r="G112" t="s">
        <v>185</v>
      </c>
      <c r="H112" t="s">
        <v>186</v>
      </c>
      <c r="J112" t="s">
        <v>1465</v>
      </c>
      <c r="K112" t="s">
        <v>1214</v>
      </c>
      <c r="L112">
        <v>1.7248019526996015</v>
      </c>
      <c r="M112">
        <v>0.13809047277429659</v>
      </c>
      <c r="O112" t="s">
        <v>182</v>
      </c>
      <c r="P112" t="s">
        <v>1689</v>
      </c>
      <c r="Q112" t="s">
        <v>1690</v>
      </c>
      <c r="R112" t="s">
        <v>10</v>
      </c>
      <c r="S112" t="s">
        <v>21</v>
      </c>
      <c r="T112" t="s">
        <v>185</v>
      </c>
      <c r="U112" t="s">
        <v>186</v>
      </c>
      <c r="W112" t="s">
        <v>1689</v>
      </c>
      <c r="X112" t="s">
        <v>1802</v>
      </c>
      <c r="Y112">
        <v>135.46350000000001</v>
      </c>
      <c r="Z112">
        <v>0.38080131578746712</v>
      </c>
    </row>
    <row r="113" spans="2:26">
      <c r="B113" t="s">
        <v>182</v>
      </c>
      <c r="C113" t="s">
        <v>1467</v>
      </c>
      <c r="D113" t="s">
        <v>1468</v>
      </c>
      <c r="E113" t="s">
        <v>10</v>
      </c>
      <c r="F113" t="s">
        <v>21</v>
      </c>
      <c r="G113" t="s">
        <v>185</v>
      </c>
      <c r="H113" t="s">
        <v>186</v>
      </c>
      <c r="J113" t="s">
        <v>1467</v>
      </c>
      <c r="K113" t="s">
        <v>1093</v>
      </c>
      <c r="L113">
        <v>3.8442099415023976</v>
      </c>
      <c r="M113">
        <v>0.117819255225026</v>
      </c>
      <c r="O113" t="s">
        <v>182</v>
      </c>
      <c r="P113" t="s">
        <v>1691</v>
      </c>
      <c r="Q113" t="s">
        <v>1692</v>
      </c>
      <c r="R113" t="s">
        <v>10</v>
      </c>
      <c r="S113" t="s">
        <v>21</v>
      </c>
      <c r="T113" t="s">
        <v>185</v>
      </c>
      <c r="U113" t="s">
        <v>186</v>
      </c>
      <c r="W113" t="s">
        <v>1691</v>
      </c>
      <c r="X113" t="s">
        <v>1803</v>
      </c>
      <c r="Y113">
        <v>178.85550000000001</v>
      </c>
      <c r="Z113">
        <v>0.45759106378933412</v>
      </c>
    </row>
    <row r="114" spans="2:26">
      <c r="B114" t="s">
        <v>182</v>
      </c>
      <c r="C114" t="s">
        <v>1469</v>
      </c>
      <c r="D114" t="s">
        <v>1470</v>
      </c>
      <c r="E114" t="s">
        <v>10</v>
      </c>
      <c r="F114" t="s">
        <v>21</v>
      </c>
      <c r="G114" t="s">
        <v>185</v>
      </c>
      <c r="H114" t="s">
        <v>186</v>
      </c>
      <c r="J114" t="s">
        <v>1469</v>
      </c>
      <c r="K114" t="s">
        <v>1223</v>
      </c>
      <c r="L114">
        <v>5.7455273851314541E-2</v>
      </c>
      <c r="M114">
        <v>0.1129048702300436</v>
      </c>
      <c r="O114" t="s">
        <v>182</v>
      </c>
      <c r="P114" t="s">
        <v>1693</v>
      </c>
      <c r="Q114" t="s">
        <v>1694</v>
      </c>
      <c r="R114" t="s">
        <v>10</v>
      </c>
      <c r="S114" t="s">
        <v>21</v>
      </c>
      <c r="T114" t="s">
        <v>185</v>
      </c>
      <c r="U114" t="s">
        <v>186</v>
      </c>
      <c r="W114" t="s">
        <v>1693</v>
      </c>
      <c r="X114" t="s">
        <v>1804</v>
      </c>
      <c r="Y114">
        <v>142.55025000000001</v>
      </c>
      <c r="Z114">
        <v>0.44058823159454769</v>
      </c>
    </row>
    <row r="115" spans="2:26">
      <c r="B115" t="s">
        <v>182</v>
      </c>
      <c r="C115" t="s">
        <v>1471</v>
      </c>
      <c r="D115" t="s">
        <v>1472</v>
      </c>
      <c r="E115" t="s">
        <v>10</v>
      </c>
      <c r="F115" t="s">
        <v>21</v>
      </c>
      <c r="G115" t="s">
        <v>185</v>
      </c>
      <c r="H115" t="s">
        <v>186</v>
      </c>
      <c r="J115" t="s">
        <v>1471</v>
      </c>
      <c r="K115" t="s">
        <v>1148</v>
      </c>
      <c r="L115">
        <v>0.32211485251210181</v>
      </c>
      <c r="M115">
        <v>0.15183441430388539</v>
      </c>
      <c r="O115" t="s">
        <v>182</v>
      </c>
      <c r="P115" t="s">
        <v>1695</v>
      </c>
      <c r="Q115" t="s">
        <v>1696</v>
      </c>
      <c r="R115" t="s">
        <v>10</v>
      </c>
      <c r="S115" t="s">
        <v>21</v>
      </c>
      <c r="T115" t="s">
        <v>185</v>
      </c>
      <c r="U115" t="s">
        <v>186</v>
      </c>
      <c r="W115" t="s">
        <v>1695</v>
      </c>
      <c r="X115" t="s">
        <v>1805</v>
      </c>
      <c r="Y115">
        <v>197.89275000000001</v>
      </c>
      <c r="Z115">
        <v>0.43606226246177798</v>
      </c>
    </row>
    <row r="116" spans="2:26">
      <c r="B116" t="s">
        <v>182</v>
      </c>
      <c r="C116" t="s">
        <v>1473</v>
      </c>
      <c r="D116" t="s">
        <v>1474</v>
      </c>
      <c r="E116" t="s">
        <v>10</v>
      </c>
      <c r="F116" t="s">
        <v>21</v>
      </c>
      <c r="G116" t="s">
        <v>185</v>
      </c>
      <c r="H116" t="s">
        <v>186</v>
      </c>
      <c r="J116" t="s">
        <v>1473</v>
      </c>
      <c r="K116" t="s">
        <v>1074</v>
      </c>
      <c r="L116">
        <v>4.148704941362463</v>
      </c>
      <c r="M116">
        <v>0.23993376155728879</v>
      </c>
      <c r="O116" t="s">
        <v>182</v>
      </c>
      <c r="P116" t="s">
        <v>1697</v>
      </c>
      <c r="Q116" t="s">
        <v>1698</v>
      </c>
      <c r="R116" t="s">
        <v>10</v>
      </c>
      <c r="S116" t="s">
        <v>21</v>
      </c>
      <c r="T116" t="s">
        <v>185</v>
      </c>
      <c r="U116" t="s">
        <v>186</v>
      </c>
      <c r="W116" t="s">
        <v>1697</v>
      </c>
      <c r="X116" t="s">
        <v>1806</v>
      </c>
      <c r="Y116">
        <v>58.86</v>
      </c>
      <c r="Z116">
        <v>0.41776022934429807</v>
      </c>
    </row>
    <row r="117" spans="2:26">
      <c r="B117" t="s">
        <v>182</v>
      </c>
      <c r="C117" t="s">
        <v>1475</v>
      </c>
      <c r="D117" t="s">
        <v>1476</v>
      </c>
      <c r="E117" t="s">
        <v>10</v>
      </c>
      <c r="F117" t="s">
        <v>21</v>
      </c>
      <c r="G117" t="s">
        <v>185</v>
      </c>
      <c r="H117" t="s">
        <v>186</v>
      </c>
      <c r="J117" t="s">
        <v>1475</v>
      </c>
      <c r="K117" t="s">
        <v>1120</v>
      </c>
      <c r="L117">
        <v>0.61918586489039196</v>
      </c>
      <c r="M117">
        <v>0.2040330608214066</v>
      </c>
      <c r="O117" t="s">
        <v>182</v>
      </c>
      <c r="P117" t="s">
        <v>1699</v>
      </c>
      <c r="Q117" t="s">
        <v>1700</v>
      </c>
      <c r="R117" t="s">
        <v>10</v>
      </c>
      <c r="S117" t="s">
        <v>21</v>
      </c>
      <c r="T117" t="s">
        <v>185</v>
      </c>
      <c r="U117" t="s">
        <v>186</v>
      </c>
      <c r="W117" t="s">
        <v>1699</v>
      </c>
      <c r="X117" t="s">
        <v>1807</v>
      </c>
      <c r="Y117">
        <v>198.774</v>
      </c>
      <c r="Z117">
        <v>0.44444117168386987</v>
      </c>
    </row>
    <row r="118" spans="2:26">
      <c r="B118" t="s">
        <v>182</v>
      </c>
      <c r="C118" t="s">
        <v>1477</v>
      </c>
      <c r="D118" t="s">
        <v>1478</v>
      </c>
      <c r="E118" t="s">
        <v>10</v>
      </c>
      <c r="F118" t="s">
        <v>21</v>
      </c>
      <c r="G118" t="s">
        <v>185</v>
      </c>
      <c r="H118" t="s">
        <v>186</v>
      </c>
      <c r="J118" t="s">
        <v>1477</v>
      </c>
      <c r="K118" t="s">
        <v>1078</v>
      </c>
      <c r="L118">
        <v>2.8313235396707324</v>
      </c>
      <c r="M118">
        <v>0.2076595784275917</v>
      </c>
    </row>
    <row r="119" spans="2:26">
      <c r="B119" t="s">
        <v>182</v>
      </c>
      <c r="C119" t="s">
        <v>1479</v>
      </c>
      <c r="D119" t="s">
        <v>1480</v>
      </c>
      <c r="E119" t="s">
        <v>10</v>
      </c>
      <c r="F119" t="s">
        <v>21</v>
      </c>
      <c r="G119" t="s">
        <v>185</v>
      </c>
      <c r="H119" t="s">
        <v>186</v>
      </c>
      <c r="J119" t="s">
        <v>1479</v>
      </c>
      <c r="K119" t="s">
        <v>1228</v>
      </c>
      <c r="L119">
        <v>1.386457050168391</v>
      </c>
      <c r="M119">
        <v>0.25045483231117888</v>
      </c>
    </row>
    <row r="120" spans="2:26">
      <c r="B120" t="s">
        <v>182</v>
      </c>
      <c r="C120" t="s">
        <v>1481</v>
      </c>
      <c r="D120" t="s">
        <v>1482</v>
      </c>
      <c r="E120" t="s">
        <v>10</v>
      </c>
      <c r="F120" t="s">
        <v>21</v>
      </c>
      <c r="G120" t="s">
        <v>185</v>
      </c>
      <c r="H120" t="s">
        <v>186</v>
      </c>
      <c r="J120" t="s">
        <v>1481</v>
      </c>
      <c r="K120" t="s">
        <v>1215</v>
      </c>
      <c r="L120">
        <v>0.78577709297623932</v>
      </c>
      <c r="M120">
        <v>0.23347592258463051</v>
      </c>
    </row>
    <row r="121" spans="2:26">
      <c r="B121" t="s">
        <v>182</v>
      </c>
      <c r="C121" t="s">
        <v>1483</v>
      </c>
      <c r="D121" t="s">
        <v>1484</v>
      </c>
      <c r="E121" t="s">
        <v>10</v>
      </c>
      <c r="F121" t="s">
        <v>21</v>
      </c>
      <c r="G121" t="s">
        <v>185</v>
      </c>
      <c r="H121" t="s">
        <v>186</v>
      </c>
      <c r="J121" t="s">
        <v>1483</v>
      </c>
      <c r="K121" t="s">
        <v>1225</v>
      </c>
      <c r="L121">
        <v>0.98843614631413201</v>
      </c>
      <c r="M121">
        <v>0.15589788424472001</v>
      </c>
    </row>
    <row r="122" spans="2:26">
      <c r="B122" t="s">
        <v>182</v>
      </c>
      <c r="C122" t="s">
        <v>1485</v>
      </c>
      <c r="D122" t="s">
        <v>1486</v>
      </c>
      <c r="E122" t="s">
        <v>10</v>
      </c>
      <c r="F122" t="s">
        <v>21</v>
      </c>
      <c r="G122" t="s">
        <v>185</v>
      </c>
      <c r="H122" t="s">
        <v>186</v>
      </c>
      <c r="J122" t="s">
        <v>1485</v>
      </c>
      <c r="K122" t="s">
        <v>1076</v>
      </c>
      <c r="L122">
        <v>1.3715602804789098</v>
      </c>
      <c r="M122">
        <v>0.1797141495124302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1A7DC-CC67-40EA-9887-A79EF3AAAA46}">
  <dimension ref="B9:P73"/>
  <sheetViews>
    <sheetView workbookViewId="0"/>
  </sheetViews>
  <sheetFormatPr defaultRowHeight="14.25"/>
  <sheetData>
    <row r="9" spans="2:16">
      <c r="B9" t="s">
        <v>174</v>
      </c>
      <c r="J9" t="s">
        <v>163</v>
      </c>
    </row>
    <row r="10" spans="2:16">
      <c r="B10" t="s">
        <v>164</v>
      </c>
      <c r="C10" t="s">
        <v>752</v>
      </c>
      <c r="D10" t="s">
        <v>409</v>
      </c>
      <c r="E10">
        <v>2023</v>
      </c>
      <c r="F10">
        <v>2030</v>
      </c>
      <c r="G10">
        <v>2050</v>
      </c>
      <c r="H10" t="s">
        <v>54</v>
      </c>
      <c r="J10" t="s">
        <v>178</v>
      </c>
      <c r="K10" t="s">
        <v>164</v>
      </c>
      <c r="L10" t="s">
        <v>165</v>
      </c>
      <c r="M10" t="s">
        <v>179</v>
      </c>
      <c r="N10" t="s">
        <v>180</v>
      </c>
      <c r="O10" t="s">
        <v>166</v>
      </c>
      <c r="P10" t="s">
        <v>181</v>
      </c>
    </row>
    <row r="11" spans="2:16">
      <c r="B11" t="s">
        <v>1808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182</v>
      </c>
      <c r="K11" t="s">
        <v>1808</v>
      </c>
      <c r="M11" t="s">
        <v>10</v>
      </c>
      <c r="N11" t="s">
        <v>21</v>
      </c>
      <c r="O11" t="s">
        <v>529</v>
      </c>
      <c r="P11" t="s">
        <v>1830</v>
      </c>
    </row>
    <row r="12" spans="2:16">
      <c r="B12" t="s">
        <v>1808</v>
      </c>
      <c r="C12" t="s">
        <v>31</v>
      </c>
      <c r="D12" t="s">
        <v>19</v>
      </c>
      <c r="E12">
        <v>0.5</v>
      </c>
      <c r="F12">
        <v>0.5</v>
      </c>
      <c r="G12">
        <v>0.5</v>
      </c>
      <c r="H12" t="s">
        <v>1809</v>
      </c>
      <c r="J12" t="s">
        <v>182</v>
      </c>
      <c r="K12" t="s">
        <v>1813</v>
      </c>
      <c r="M12" t="s">
        <v>10</v>
      </c>
      <c r="N12" t="s">
        <v>21</v>
      </c>
      <c r="O12" t="s">
        <v>529</v>
      </c>
      <c r="P12" t="s">
        <v>1830</v>
      </c>
    </row>
    <row r="13" spans="2:16">
      <c r="B13" t="s">
        <v>1808</v>
      </c>
      <c r="C13" t="s">
        <v>31</v>
      </c>
      <c r="D13" t="s">
        <v>19</v>
      </c>
      <c r="E13">
        <v>5850</v>
      </c>
      <c r="F13">
        <v>5800</v>
      </c>
      <c r="G13">
        <v>5150</v>
      </c>
      <c r="H13" t="s">
        <v>1810</v>
      </c>
      <c r="J13" t="s">
        <v>182</v>
      </c>
      <c r="K13" t="s">
        <v>1814</v>
      </c>
      <c r="M13" t="s">
        <v>10</v>
      </c>
      <c r="N13" t="s">
        <v>21</v>
      </c>
      <c r="O13" t="s">
        <v>529</v>
      </c>
      <c r="P13" t="s">
        <v>1830</v>
      </c>
    </row>
    <row r="14" spans="2:16">
      <c r="B14" t="s">
        <v>1808</v>
      </c>
      <c r="C14" t="s">
        <v>31</v>
      </c>
      <c r="D14" t="s">
        <v>19</v>
      </c>
      <c r="E14">
        <v>205</v>
      </c>
      <c r="F14">
        <v>205</v>
      </c>
      <c r="G14">
        <v>180</v>
      </c>
      <c r="H14" t="s">
        <v>1811</v>
      </c>
      <c r="J14" t="s">
        <v>182</v>
      </c>
      <c r="K14" t="s">
        <v>1815</v>
      </c>
      <c r="M14" t="s">
        <v>10</v>
      </c>
      <c r="N14" t="s">
        <v>21</v>
      </c>
      <c r="O14" t="s">
        <v>529</v>
      </c>
      <c r="P14" t="s">
        <v>1830</v>
      </c>
    </row>
    <row r="15" spans="2:16">
      <c r="B15" t="s">
        <v>1808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1812</v>
      </c>
      <c r="J15" t="s">
        <v>182</v>
      </c>
      <c r="K15" t="s">
        <v>1816</v>
      </c>
      <c r="M15" t="s">
        <v>10</v>
      </c>
      <c r="N15" t="s">
        <v>21</v>
      </c>
      <c r="O15" t="s">
        <v>529</v>
      </c>
      <c r="P15" t="s">
        <v>1830</v>
      </c>
    </row>
    <row r="16" spans="2:16">
      <c r="B16" t="s">
        <v>1813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182</v>
      </c>
      <c r="K16" t="s">
        <v>1817</v>
      </c>
      <c r="M16" t="s">
        <v>10</v>
      </c>
      <c r="N16" t="s">
        <v>21</v>
      </c>
      <c r="O16" t="s">
        <v>529</v>
      </c>
      <c r="P16" t="s">
        <v>1830</v>
      </c>
    </row>
    <row r="17" spans="2:16">
      <c r="B17" t="s">
        <v>1813</v>
      </c>
      <c r="C17" t="s">
        <v>31</v>
      </c>
      <c r="D17" t="s">
        <v>19</v>
      </c>
      <c r="E17">
        <v>0.5</v>
      </c>
      <c r="F17">
        <v>0.5</v>
      </c>
      <c r="G17">
        <v>0.5</v>
      </c>
      <c r="H17" t="s">
        <v>1809</v>
      </c>
      <c r="J17" t="s">
        <v>182</v>
      </c>
      <c r="K17" t="s">
        <v>1818</v>
      </c>
      <c r="M17" t="s">
        <v>10</v>
      </c>
      <c r="N17" t="s">
        <v>21</v>
      </c>
      <c r="O17" t="s">
        <v>529</v>
      </c>
      <c r="P17" t="s">
        <v>1830</v>
      </c>
    </row>
    <row r="18" spans="2:16">
      <c r="B18" t="s">
        <v>1813</v>
      </c>
      <c r="C18" t="s">
        <v>31</v>
      </c>
      <c r="D18" t="s">
        <v>19</v>
      </c>
      <c r="E18">
        <v>2500</v>
      </c>
      <c r="F18">
        <v>2450</v>
      </c>
      <c r="G18">
        <v>2400</v>
      </c>
      <c r="H18" t="s">
        <v>1810</v>
      </c>
      <c r="J18" t="s">
        <v>182</v>
      </c>
      <c r="K18" t="s">
        <v>1819</v>
      </c>
      <c r="M18" t="s">
        <v>10</v>
      </c>
      <c r="N18" t="s">
        <v>21</v>
      </c>
      <c r="O18" t="s">
        <v>529</v>
      </c>
      <c r="P18" t="s">
        <v>1830</v>
      </c>
    </row>
    <row r="19" spans="2:16">
      <c r="B19" t="s">
        <v>1813</v>
      </c>
      <c r="C19" t="s">
        <v>31</v>
      </c>
      <c r="D19" t="s">
        <v>19</v>
      </c>
      <c r="E19">
        <v>90</v>
      </c>
      <c r="F19">
        <v>85</v>
      </c>
      <c r="G19">
        <v>85</v>
      </c>
      <c r="H19" t="s">
        <v>1811</v>
      </c>
      <c r="J19" t="s">
        <v>182</v>
      </c>
      <c r="K19" t="s">
        <v>1820</v>
      </c>
      <c r="M19" t="s">
        <v>10</v>
      </c>
      <c r="N19" t="s">
        <v>21</v>
      </c>
      <c r="O19" t="s">
        <v>529</v>
      </c>
      <c r="P19" t="s">
        <v>1830</v>
      </c>
    </row>
    <row r="20" spans="2:16">
      <c r="B20" t="s">
        <v>1813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1812</v>
      </c>
      <c r="J20" t="s">
        <v>182</v>
      </c>
      <c r="K20" t="s">
        <v>1821</v>
      </c>
      <c r="M20" t="s">
        <v>10</v>
      </c>
      <c r="N20" t="s">
        <v>21</v>
      </c>
      <c r="O20" t="s">
        <v>529</v>
      </c>
      <c r="P20" t="s">
        <v>1830</v>
      </c>
    </row>
    <row r="21" spans="2:16">
      <c r="B21" t="s">
        <v>1814</v>
      </c>
      <c r="C21" t="s">
        <v>33</v>
      </c>
      <c r="D21" t="s">
        <v>19</v>
      </c>
      <c r="E21">
        <v>0.59</v>
      </c>
      <c r="F21">
        <v>0.6</v>
      </c>
      <c r="G21">
        <v>0.61</v>
      </c>
      <c r="H21" t="s">
        <v>146</v>
      </c>
      <c r="J21" t="s">
        <v>182</v>
      </c>
      <c r="K21" t="s">
        <v>1822</v>
      </c>
      <c r="M21" t="s">
        <v>10</v>
      </c>
      <c r="N21" t="s">
        <v>21</v>
      </c>
      <c r="O21" t="s">
        <v>529</v>
      </c>
      <c r="P21" t="s">
        <v>1830</v>
      </c>
    </row>
    <row r="22" spans="2:16">
      <c r="B22" t="s">
        <v>1814</v>
      </c>
      <c r="C22" t="s">
        <v>33</v>
      </c>
      <c r="D22" t="s">
        <v>19</v>
      </c>
      <c r="E22">
        <v>1000</v>
      </c>
      <c r="F22">
        <v>1000</v>
      </c>
      <c r="G22">
        <v>1000</v>
      </c>
      <c r="H22" t="s">
        <v>1810</v>
      </c>
      <c r="J22" t="s">
        <v>182</v>
      </c>
      <c r="K22" t="s">
        <v>1823</v>
      </c>
      <c r="M22" t="s">
        <v>10</v>
      </c>
      <c r="N22" t="s">
        <v>21</v>
      </c>
      <c r="O22" t="s">
        <v>529</v>
      </c>
      <c r="P22" t="s">
        <v>1830</v>
      </c>
    </row>
    <row r="23" spans="2:16">
      <c r="B23" t="s">
        <v>1814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1811</v>
      </c>
      <c r="J23" t="s">
        <v>182</v>
      </c>
      <c r="K23" t="s">
        <v>1824</v>
      </c>
      <c r="M23" t="s">
        <v>10</v>
      </c>
      <c r="N23" t="s">
        <v>21</v>
      </c>
      <c r="O23" t="s">
        <v>529</v>
      </c>
      <c r="P23" t="s">
        <v>1830</v>
      </c>
    </row>
    <row r="24" spans="2:16">
      <c r="B24" t="s">
        <v>1815</v>
      </c>
      <c r="C24" t="s">
        <v>33</v>
      </c>
      <c r="D24" t="s">
        <v>19</v>
      </c>
      <c r="E24">
        <v>0.51</v>
      </c>
      <c r="F24">
        <v>0.52</v>
      </c>
      <c r="G24">
        <v>0.54</v>
      </c>
      <c r="H24" t="s">
        <v>146</v>
      </c>
      <c r="J24" t="s">
        <v>182</v>
      </c>
      <c r="K24" t="s">
        <v>1825</v>
      </c>
      <c r="M24" t="s">
        <v>10</v>
      </c>
      <c r="N24" t="s">
        <v>21</v>
      </c>
      <c r="O24" t="s">
        <v>529</v>
      </c>
      <c r="P24" t="s">
        <v>1830</v>
      </c>
    </row>
    <row r="25" spans="2:16">
      <c r="B25" t="s">
        <v>1815</v>
      </c>
      <c r="C25" t="s">
        <v>33</v>
      </c>
      <c r="D25" t="s">
        <v>19</v>
      </c>
      <c r="E25">
        <v>3100</v>
      </c>
      <c r="F25">
        <v>3100</v>
      </c>
      <c r="G25">
        <v>2350</v>
      </c>
      <c r="H25" t="s">
        <v>1810</v>
      </c>
      <c r="J25" t="s">
        <v>182</v>
      </c>
      <c r="K25" t="s">
        <v>1826</v>
      </c>
      <c r="M25" t="s">
        <v>10</v>
      </c>
      <c r="N25" t="s">
        <v>21</v>
      </c>
      <c r="O25" t="s">
        <v>529</v>
      </c>
      <c r="P25" t="s">
        <v>1830</v>
      </c>
    </row>
    <row r="26" spans="2:16">
      <c r="B26" t="s">
        <v>1815</v>
      </c>
      <c r="C26" t="s">
        <v>33</v>
      </c>
      <c r="D26" t="s">
        <v>19</v>
      </c>
      <c r="E26">
        <v>75</v>
      </c>
      <c r="F26">
        <v>75</v>
      </c>
      <c r="G26">
        <v>60</v>
      </c>
      <c r="H26" t="s">
        <v>1811</v>
      </c>
      <c r="J26" t="s">
        <v>182</v>
      </c>
      <c r="K26" t="s">
        <v>1827</v>
      </c>
      <c r="M26" t="s">
        <v>10</v>
      </c>
      <c r="N26" t="s">
        <v>21</v>
      </c>
      <c r="O26" t="s">
        <v>529</v>
      </c>
      <c r="P26" t="s">
        <v>1830</v>
      </c>
    </row>
    <row r="27" spans="2:16">
      <c r="B27" t="s">
        <v>1816</v>
      </c>
      <c r="C27" t="s">
        <v>32</v>
      </c>
      <c r="D27" t="s">
        <v>19</v>
      </c>
      <c r="E27">
        <v>0.37</v>
      </c>
      <c r="F27">
        <v>0.38</v>
      </c>
      <c r="G27">
        <v>0.4</v>
      </c>
      <c r="H27" t="s">
        <v>146</v>
      </c>
      <c r="J27" t="s">
        <v>182</v>
      </c>
      <c r="K27" t="s">
        <v>1829</v>
      </c>
      <c r="M27" t="s">
        <v>10</v>
      </c>
      <c r="N27" t="s">
        <v>21</v>
      </c>
      <c r="O27" t="s">
        <v>529</v>
      </c>
      <c r="P27" t="s">
        <v>1830</v>
      </c>
    </row>
    <row r="28" spans="2:16">
      <c r="B28" t="s">
        <v>1816</v>
      </c>
      <c r="C28" t="s">
        <v>32</v>
      </c>
      <c r="D28" t="s">
        <v>19</v>
      </c>
      <c r="E28">
        <v>5600</v>
      </c>
      <c r="F28">
        <v>5600</v>
      </c>
      <c r="G28">
        <v>4300</v>
      </c>
      <c r="H28" t="s">
        <v>1810</v>
      </c>
    </row>
    <row r="29" spans="2:16">
      <c r="B29" t="s">
        <v>1816</v>
      </c>
      <c r="C29" t="s">
        <v>32</v>
      </c>
      <c r="D29" t="s">
        <v>19</v>
      </c>
      <c r="E29">
        <v>170</v>
      </c>
      <c r="F29">
        <v>170</v>
      </c>
      <c r="G29">
        <v>130</v>
      </c>
      <c r="H29" t="s">
        <v>1811</v>
      </c>
    </row>
    <row r="30" spans="2:16">
      <c r="B30" t="s">
        <v>1817</v>
      </c>
      <c r="C30" t="s">
        <v>33</v>
      </c>
      <c r="D30" t="s">
        <v>19</v>
      </c>
      <c r="E30">
        <v>0.4</v>
      </c>
      <c r="F30">
        <v>0.41000000000000003</v>
      </c>
      <c r="G30">
        <v>0.42</v>
      </c>
      <c r="H30" t="s">
        <v>146</v>
      </c>
    </row>
    <row r="31" spans="2:16">
      <c r="B31" t="s">
        <v>1817</v>
      </c>
      <c r="C31" t="s">
        <v>33</v>
      </c>
      <c r="D31" t="s">
        <v>19</v>
      </c>
      <c r="E31">
        <v>500</v>
      </c>
      <c r="F31">
        <v>500</v>
      </c>
      <c r="G31">
        <v>500</v>
      </c>
      <c r="H31" t="s">
        <v>1810</v>
      </c>
    </row>
    <row r="32" spans="2:16">
      <c r="B32" t="s">
        <v>1817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1811</v>
      </c>
    </row>
    <row r="33" spans="2:8">
      <c r="B33" t="s">
        <v>1818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1818</v>
      </c>
      <c r="C34" t="s">
        <v>28</v>
      </c>
      <c r="D34" t="s">
        <v>19</v>
      </c>
      <c r="E34">
        <v>0.4</v>
      </c>
      <c r="F34">
        <v>0.4</v>
      </c>
      <c r="G34">
        <v>0.4</v>
      </c>
      <c r="H34" t="s">
        <v>1809</v>
      </c>
    </row>
    <row r="35" spans="2:8">
      <c r="B35" t="s">
        <v>1818</v>
      </c>
      <c r="C35" t="s">
        <v>28</v>
      </c>
      <c r="D35" t="s">
        <v>19</v>
      </c>
      <c r="E35">
        <v>2700</v>
      </c>
      <c r="F35">
        <v>2700</v>
      </c>
      <c r="G35">
        <v>2700</v>
      </c>
      <c r="H35" t="s">
        <v>1810</v>
      </c>
    </row>
    <row r="36" spans="2:8">
      <c r="B36" t="s">
        <v>1818</v>
      </c>
      <c r="C36" t="s">
        <v>28</v>
      </c>
      <c r="D36" t="s">
        <v>19</v>
      </c>
      <c r="E36">
        <v>70</v>
      </c>
      <c r="F36">
        <v>65</v>
      </c>
      <c r="G36">
        <v>65</v>
      </c>
      <c r="H36" t="s">
        <v>1811</v>
      </c>
    </row>
    <row r="37" spans="2:8">
      <c r="B37" t="s">
        <v>1818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1812</v>
      </c>
    </row>
    <row r="38" spans="2:8">
      <c r="B38" t="s">
        <v>1819</v>
      </c>
      <c r="C38" t="s">
        <v>33</v>
      </c>
      <c r="D38" t="s">
        <v>19</v>
      </c>
      <c r="E38">
        <v>0.45</v>
      </c>
      <c r="F38">
        <v>0.47000000000000003</v>
      </c>
      <c r="G38">
        <v>0.5</v>
      </c>
      <c r="H38" t="s">
        <v>146</v>
      </c>
    </row>
    <row r="39" spans="2:8">
      <c r="B39" t="s">
        <v>1819</v>
      </c>
      <c r="C39" t="s">
        <v>33</v>
      </c>
      <c r="D39" t="s">
        <v>19</v>
      </c>
      <c r="E39">
        <v>2600</v>
      </c>
      <c r="F39">
        <v>2450</v>
      </c>
      <c r="G39">
        <v>2400</v>
      </c>
      <c r="H39" t="s">
        <v>1810</v>
      </c>
    </row>
    <row r="40" spans="2:8">
      <c r="B40" t="s">
        <v>1819</v>
      </c>
      <c r="C40" t="s">
        <v>33</v>
      </c>
      <c r="D40" t="s">
        <v>19</v>
      </c>
      <c r="E40">
        <v>90</v>
      </c>
      <c r="F40">
        <v>85</v>
      </c>
      <c r="G40">
        <v>85</v>
      </c>
      <c r="H40" t="s">
        <v>1811</v>
      </c>
    </row>
    <row r="41" spans="2:8">
      <c r="B41" t="s">
        <v>1820</v>
      </c>
      <c r="C41" t="s">
        <v>32</v>
      </c>
      <c r="D41" t="s">
        <v>19</v>
      </c>
      <c r="E41">
        <v>0.36</v>
      </c>
      <c r="F41">
        <v>0.38</v>
      </c>
      <c r="G41">
        <v>0.43</v>
      </c>
      <c r="H41" t="s">
        <v>146</v>
      </c>
    </row>
    <row r="42" spans="2:8">
      <c r="B42" t="s">
        <v>1820</v>
      </c>
      <c r="C42" t="s">
        <v>32</v>
      </c>
      <c r="D42" t="s">
        <v>19</v>
      </c>
      <c r="E42">
        <v>5950</v>
      </c>
      <c r="F42">
        <v>5850</v>
      </c>
      <c r="G42">
        <v>5100</v>
      </c>
      <c r="H42" t="s">
        <v>1810</v>
      </c>
    </row>
    <row r="43" spans="2:8">
      <c r="B43" t="s">
        <v>1820</v>
      </c>
      <c r="C43" t="s">
        <v>32</v>
      </c>
      <c r="D43" t="s">
        <v>19</v>
      </c>
      <c r="E43">
        <v>210</v>
      </c>
      <c r="F43">
        <v>205</v>
      </c>
      <c r="G43">
        <v>180</v>
      </c>
      <c r="H43" t="s">
        <v>1811</v>
      </c>
    </row>
    <row r="44" spans="2:8">
      <c r="B44" t="s">
        <v>1821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1821</v>
      </c>
      <c r="C45" t="s">
        <v>36</v>
      </c>
      <c r="D45" t="s">
        <v>19</v>
      </c>
      <c r="E45">
        <v>5000</v>
      </c>
      <c r="F45">
        <v>4800</v>
      </c>
      <c r="G45">
        <v>4500</v>
      </c>
      <c r="H45" t="s">
        <v>1810</v>
      </c>
    </row>
    <row r="46" spans="2:8">
      <c r="B46" t="s">
        <v>1821</v>
      </c>
      <c r="C46" t="s">
        <v>36</v>
      </c>
      <c r="D46" t="s">
        <v>19</v>
      </c>
      <c r="E46">
        <v>175</v>
      </c>
      <c r="F46">
        <v>175</v>
      </c>
      <c r="G46">
        <v>175</v>
      </c>
      <c r="H46" t="s">
        <v>1811</v>
      </c>
    </row>
    <row r="47" spans="2:8">
      <c r="B47" t="s">
        <v>1822</v>
      </c>
      <c r="C47" t="s">
        <v>32</v>
      </c>
      <c r="D47" t="s">
        <v>19</v>
      </c>
      <c r="E47">
        <v>0.37</v>
      </c>
      <c r="F47">
        <v>0.38</v>
      </c>
      <c r="G47">
        <v>0.4</v>
      </c>
      <c r="H47" t="s">
        <v>146</v>
      </c>
    </row>
    <row r="48" spans="2:8">
      <c r="B48" t="s">
        <v>1822</v>
      </c>
      <c r="C48" t="s">
        <v>32</v>
      </c>
      <c r="D48" t="s">
        <v>19</v>
      </c>
      <c r="E48">
        <v>5800</v>
      </c>
      <c r="F48">
        <v>5800</v>
      </c>
      <c r="G48">
        <v>5150</v>
      </c>
      <c r="H48" t="s">
        <v>1810</v>
      </c>
    </row>
    <row r="49" spans="2:8">
      <c r="B49" t="s">
        <v>1822</v>
      </c>
      <c r="C49" t="s">
        <v>32</v>
      </c>
      <c r="D49" t="s">
        <v>19</v>
      </c>
      <c r="E49">
        <v>175</v>
      </c>
      <c r="F49">
        <v>175</v>
      </c>
      <c r="G49">
        <v>155</v>
      </c>
      <c r="H49" t="s">
        <v>1811</v>
      </c>
    </row>
    <row r="50" spans="2:8">
      <c r="B50" t="s">
        <v>1823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1823</v>
      </c>
      <c r="C51" t="s">
        <v>27</v>
      </c>
      <c r="D51" t="s">
        <v>19</v>
      </c>
      <c r="E51">
        <v>0.2</v>
      </c>
      <c r="F51">
        <v>0.22</v>
      </c>
      <c r="G51">
        <v>0.23</v>
      </c>
      <c r="H51" t="s">
        <v>1809</v>
      </c>
    </row>
    <row r="52" spans="2:8">
      <c r="B52" t="s">
        <v>1823</v>
      </c>
      <c r="C52" t="s">
        <v>27</v>
      </c>
      <c r="D52" t="s">
        <v>19</v>
      </c>
      <c r="E52">
        <v>1110</v>
      </c>
      <c r="F52">
        <v>690</v>
      </c>
      <c r="G52">
        <v>480</v>
      </c>
      <c r="H52" t="s">
        <v>1810</v>
      </c>
    </row>
    <row r="53" spans="2:8">
      <c r="B53" t="s">
        <v>1823</v>
      </c>
      <c r="C53" t="s">
        <v>27</v>
      </c>
      <c r="D53" t="s">
        <v>19</v>
      </c>
      <c r="E53">
        <v>16</v>
      </c>
      <c r="F53">
        <v>16</v>
      </c>
      <c r="G53">
        <v>16</v>
      </c>
      <c r="H53" t="s">
        <v>1811</v>
      </c>
    </row>
    <row r="54" spans="2:8">
      <c r="B54" t="s">
        <v>1823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1812</v>
      </c>
    </row>
    <row r="55" spans="2:8">
      <c r="B55" t="s">
        <v>1824</v>
      </c>
      <c r="C55" t="s">
        <v>32</v>
      </c>
      <c r="D55" t="s">
        <v>19</v>
      </c>
      <c r="E55">
        <v>0.39</v>
      </c>
      <c r="F55">
        <v>0.39</v>
      </c>
      <c r="G55">
        <v>0.39</v>
      </c>
      <c r="H55" t="s">
        <v>146</v>
      </c>
    </row>
    <row r="56" spans="2:8">
      <c r="B56" t="s">
        <v>1824</v>
      </c>
      <c r="C56" t="s">
        <v>32</v>
      </c>
      <c r="D56" t="s">
        <v>19</v>
      </c>
      <c r="E56">
        <v>1800</v>
      </c>
      <c r="F56">
        <v>1800</v>
      </c>
      <c r="G56">
        <v>1800</v>
      </c>
      <c r="H56" t="s">
        <v>1810</v>
      </c>
    </row>
    <row r="57" spans="2:8">
      <c r="B57" t="s">
        <v>1824</v>
      </c>
      <c r="C57" t="s">
        <v>32</v>
      </c>
      <c r="D57" t="s">
        <v>19</v>
      </c>
      <c r="E57">
        <v>45</v>
      </c>
      <c r="F57">
        <v>45</v>
      </c>
      <c r="G57">
        <v>45</v>
      </c>
      <c r="H57" t="s">
        <v>1811</v>
      </c>
    </row>
    <row r="58" spans="2:8">
      <c r="B58" t="s">
        <v>1825</v>
      </c>
      <c r="C58" t="s">
        <v>32</v>
      </c>
      <c r="D58" t="s">
        <v>19</v>
      </c>
      <c r="E58">
        <v>0.43</v>
      </c>
      <c r="F58">
        <v>0.43</v>
      </c>
      <c r="G58">
        <v>0.43</v>
      </c>
      <c r="H58" t="s">
        <v>146</v>
      </c>
    </row>
    <row r="59" spans="2:8">
      <c r="B59" t="s">
        <v>1825</v>
      </c>
      <c r="C59" t="s">
        <v>32</v>
      </c>
      <c r="D59" t="s">
        <v>19</v>
      </c>
      <c r="E59">
        <v>2100</v>
      </c>
      <c r="F59">
        <v>2100</v>
      </c>
      <c r="G59">
        <v>2100</v>
      </c>
      <c r="H59" t="s">
        <v>1810</v>
      </c>
    </row>
    <row r="60" spans="2:8">
      <c r="B60" t="s">
        <v>1825</v>
      </c>
      <c r="C60" t="s">
        <v>32</v>
      </c>
      <c r="D60" t="s">
        <v>19</v>
      </c>
      <c r="E60">
        <v>65</v>
      </c>
      <c r="F60">
        <v>65</v>
      </c>
      <c r="G60">
        <v>65</v>
      </c>
      <c r="H60" t="s">
        <v>1811</v>
      </c>
    </row>
    <row r="61" spans="2:8">
      <c r="B61" t="s">
        <v>1826</v>
      </c>
      <c r="C61" t="s">
        <v>32</v>
      </c>
      <c r="D61" t="s">
        <v>19</v>
      </c>
      <c r="E61">
        <v>0.46</v>
      </c>
      <c r="F61">
        <v>0.47000000000000003</v>
      </c>
      <c r="G61">
        <v>0.48</v>
      </c>
      <c r="H61" t="s">
        <v>146</v>
      </c>
    </row>
    <row r="62" spans="2:8">
      <c r="B62" t="s">
        <v>1826</v>
      </c>
      <c r="C62" t="s">
        <v>32</v>
      </c>
      <c r="D62" t="s">
        <v>19</v>
      </c>
      <c r="E62">
        <v>2300</v>
      </c>
      <c r="F62">
        <v>2300</v>
      </c>
      <c r="G62">
        <v>2300</v>
      </c>
      <c r="H62" t="s">
        <v>1810</v>
      </c>
    </row>
    <row r="63" spans="2:8">
      <c r="B63" t="s">
        <v>1826</v>
      </c>
      <c r="C63" t="s">
        <v>32</v>
      </c>
      <c r="D63" t="s">
        <v>19</v>
      </c>
      <c r="E63">
        <v>70</v>
      </c>
      <c r="F63">
        <v>70</v>
      </c>
      <c r="G63">
        <v>70</v>
      </c>
      <c r="H63" t="s">
        <v>1811</v>
      </c>
    </row>
    <row r="64" spans="2:8">
      <c r="B64" t="s">
        <v>1827</v>
      </c>
      <c r="C64" t="s">
        <v>1828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1827</v>
      </c>
      <c r="C65" t="s">
        <v>1828</v>
      </c>
      <c r="D65" t="s">
        <v>19</v>
      </c>
      <c r="E65">
        <v>0.41000000000000003</v>
      </c>
      <c r="F65">
        <v>0.46</v>
      </c>
      <c r="G65">
        <v>0.49</v>
      </c>
      <c r="H65" t="s">
        <v>1809</v>
      </c>
    </row>
    <row r="66" spans="2:8">
      <c r="B66" t="s">
        <v>1827</v>
      </c>
      <c r="C66" t="s">
        <v>1828</v>
      </c>
      <c r="D66" t="s">
        <v>19</v>
      </c>
      <c r="E66">
        <v>4060</v>
      </c>
      <c r="F66">
        <v>2760</v>
      </c>
      <c r="G66">
        <v>1980</v>
      </c>
      <c r="H66" t="s">
        <v>1810</v>
      </c>
    </row>
    <row r="67" spans="2:8">
      <c r="B67" t="s">
        <v>1827</v>
      </c>
      <c r="C67" t="s">
        <v>1828</v>
      </c>
      <c r="D67" t="s">
        <v>19</v>
      </c>
      <c r="E67">
        <v>120</v>
      </c>
      <c r="F67">
        <v>95</v>
      </c>
      <c r="G67">
        <v>70</v>
      </c>
      <c r="H67" t="s">
        <v>1811</v>
      </c>
    </row>
    <row r="68" spans="2:8">
      <c r="B68" t="s">
        <v>1827</v>
      </c>
      <c r="C68" t="s">
        <v>1828</v>
      </c>
      <c r="D68" t="s">
        <v>19</v>
      </c>
      <c r="E68">
        <v>3</v>
      </c>
      <c r="F68">
        <v>3</v>
      </c>
      <c r="G68">
        <v>3</v>
      </c>
      <c r="H68" t="s">
        <v>1812</v>
      </c>
    </row>
    <row r="69" spans="2:8">
      <c r="B69" t="s">
        <v>1829</v>
      </c>
      <c r="C69" t="s">
        <v>1828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1829</v>
      </c>
      <c r="C70" t="s">
        <v>1828</v>
      </c>
      <c r="D70" t="s">
        <v>19</v>
      </c>
      <c r="E70">
        <v>0.42</v>
      </c>
      <c r="F70">
        <v>0.43</v>
      </c>
      <c r="G70">
        <v>0.44</v>
      </c>
      <c r="H70" t="s">
        <v>1809</v>
      </c>
    </row>
    <row r="71" spans="2:8">
      <c r="B71" t="s">
        <v>1829</v>
      </c>
      <c r="C71" t="s">
        <v>1828</v>
      </c>
      <c r="D71" t="s">
        <v>19</v>
      </c>
      <c r="E71">
        <v>1500</v>
      </c>
      <c r="F71">
        <v>1430</v>
      </c>
      <c r="G71">
        <v>1370</v>
      </c>
      <c r="H71" t="s">
        <v>1810</v>
      </c>
    </row>
    <row r="72" spans="2:8">
      <c r="B72" t="s">
        <v>1829</v>
      </c>
      <c r="C72" t="s">
        <v>1828</v>
      </c>
      <c r="D72" t="s">
        <v>19</v>
      </c>
      <c r="E72">
        <v>38</v>
      </c>
      <c r="F72">
        <v>36</v>
      </c>
      <c r="G72">
        <v>36</v>
      </c>
      <c r="H72" t="s">
        <v>1811</v>
      </c>
    </row>
    <row r="73" spans="2:8">
      <c r="B73" t="s">
        <v>1829</v>
      </c>
      <c r="C73" t="s">
        <v>1828</v>
      </c>
      <c r="D73" t="s">
        <v>19</v>
      </c>
      <c r="E73">
        <v>1.5</v>
      </c>
      <c r="F73">
        <v>1.5</v>
      </c>
      <c r="G73">
        <v>1.5</v>
      </c>
      <c r="H73" t="s">
        <v>1812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B0E18-C827-4D1F-BCEC-5E5AFBED62AA}">
  <dimension ref="B2:M59"/>
  <sheetViews>
    <sheetView tabSelected="1" workbookViewId="0"/>
  </sheetViews>
  <sheetFormatPr defaultRowHeight="14.25"/>
  <sheetData>
    <row r="2" spans="2:13">
      <c r="B2" t="s">
        <v>174</v>
      </c>
      <c r="H2" t="s">
        <v>163</v>
      </c>
    </row>
    <row r="3" spans="2:13">
      <c r="B3" t="s">
        <v>164</v>
      </c>
      <c r="C3" t="s">
        <v>752</v>
      </c>
      <c r="D3" t="s">
        <v>409</v>
      </c>
      <c r="E3" t="s">
        <v>146</v>
      </c>
      <c r="H3" t="s">
        <v>178</v>
      </c>
      <c r="I3" t="s">
        <v>164</v>
      </c>
      <c r="J3" t="s">
        <v>165</v>
      </c>
      <c r="K3" t="s">
        <v>1941</v>
      </c>
      <c r="L3" t="s">
        <v>1942</v>
      </c>
      <c r="M3" t="s">
        <v>166</v>
      </c>
    </row>
    <row r="4" spans="2:13">
      <c r="B4" t="s">
        <v>1831</v>
      </c>
      <c r="C4" t="s">
        <v>1832</v>
      </c>
      <c r="D4" t="s">
        <v>1833</v>
      </c>
      <c r="E4">
        <v>1</v>
      </c>
      <c r="H4" t="s">
        <v>525</v>
      </c>
      <c r="I4" t="s">
        <v>1831</v>
      </c>
      <c r="J4" t="s">
        <v>1943</v>
      </c>
      <c r="K4" t="s">
        <v>21</v>
      </c>
      <c r="L4" t="s">
        <v>10</v>
      </c>
      <c r="M4" t="s">
        <v>529</v>
      </c>
    </row>
    <row r="5" spans="2:13">
      <c r="B5" t="s">
        <v>1834</v>
      </c>
      <c r="C5" t="s">
        <v>1833</v>
      </c>
      <c r="D5" t="s">
        <v>1832</v>
      </c>
      <c r="E5">
        <v>1</v>
      </c>
      <c r="H5" t="s">
        <v>525</v>
      </c>
      <c r="I5" t="s">
        <v>1834</v>
      </c>
      <c r="J5" t="s">
        <v>1944</v>
      </c>
      <c r="K5" t="s">
        <v>21</v>
      </c>
      <c r="L5" t="s">
        <v>10</v>
      </c>
      <c r="M5" t="s">
        <v>529</v>
      </c>
    </row>
    <row r="6" spans="2:13">
      <c r="B6" t="s">
        <v>1835</v>
      </c>
      <c r="C6" t="s">
        <v>1836</v>
      </c>
      <c r="D6" t="s">
        <v>1837</v>
      </c>
      <c r="E6">
        <v>1</v>
      </c>
      <c r="H6" t="s">
        <v>525</v>
      </c>
      <c r="I6" t="s">
        <v>1835</v>
      </c>
      <c r="J6" t="s">
        <v>1945</v>
      </c>
      <c r="K6" t="s">
        <v>21</v>
      </c>
      <c r="L6" t="s">
        <v>10</v>
      </c>
      <c r="M6" t="s">
        <v>529</v>
      </c>
    </row>
    <row r="7" spans="2:13">
      <c r="B7" t="s">
        <v>1838</v>
      </c>
      <c r="C7" t="s">
        <v>1837</v>
      </c>
      <c r="D7" t="s">
        <v>1836</v>
      </c>
      <c r="E7">
        <v>1</v>
      </c>
      <c r="H7" t="s">
        <v>525</v>
      </c>
      <c r="I7" t="s">
        <v>1838</v>
      </c>
      <c r="J7" t="s">
        <v>1946</v>
      </c>
      <c r="K7" t="s">
        <v>21</v>
      </c>
      <c r="L7" t="s">
        <v>10</v>
      </c>
      <c r="M7" t="s">
        <v>529</v>
      </c>
    </row>
    <row r="8" spans="2:13">
      <c r="B8" t="s">
        <v>1839</v>
      </c>
      <c r="C8" t="s">
        <v>1840</v>
      </c>
      <c r="D8" t="s">
        <v>1841</v>
      </c>
      <c r="E8">
        <v>1</v>
      </c>
      <c r="H8" t="s">
        <v>525</v>
      </c>
      <c r="I8" t="s">
        <v>1839</v>
      </c>
      <c r="J8" t="s">
        <v>1947</v>
      </c>
      <c r="K8" t="s">
        <v>21</v>
      </c>
      <c r="L8" t="s">
        <v>10</v>
      </c>
      <c r="M8" t="s">
        <v>529</v>
      </c>
    </row>
    <row r="9" spans="2:13">
      <c r="B9" t="s">
        <v>1842</v>
      </c>
      <c r="C9" t="s">
        <v>1841</v>
      </c>
      <c r="D9" t="s">
        <v>1840</v>
      </c>
      <c r="E9">
        <v>1</v>
      </c>
      <c r="H9" t="s">
        <v>525</v>
      </c>
      <c r="I9" t="s">
        <v>1842</v>
      </c>
      <c r="J9" t="s">
        <v>1948</v>
      </c>
      <c r="K9" t="s">
        <v>21</v>
      </c>
      <c r="L9" t="s">
        <v>10</v>
      </c>
      <c r="M9" t="s">
        <v>529</v>
      </c>
    </row>
    <row r="10" spans="2:13">
      <c r="B10" t="s">
        <v>1843</v>
      </c>
      <c r="C10" t="s">
        <v>1844</v>
      </c>
      <c r="D10" t="s">
        <v>1845</v>
      </c>
      <c r="E10">
        <v>1</v>
      </c>
      <c r="H10" t="s">
        <v>525</v>
      </c>
      <c r="I10" t="s">
        <v>1843</v>
      </c>
      <c r="J10" t="s">
        <v>1949</v>
      </c>
      <c r="K10" t="s">
        <v>21</v>
      </c>
      <c r="L10" t="s">
        <v>10</v>
      </c>
      <c r="M10" t="s">
        <v>529</v>
      </c>
    </row>
    <row r="11" spans="2:13">
      <c r="B11" t="s">
        <v>1846</v>
      </c>
      <c r="C11" t="s">
        <v>1845</v>
      </c>
      <c r="D11" t="s">
        <v>1844</v>
      </c>
      <c r="E11">
        <v>1</v>
      </c>
      <c r="H11" t="s">
        <v>525</v>
      </c>
      <c r="I11" t="s">
        <v>1846</v>
      </c>
      <c r="J11" t="s">
        <v>1950</v>
      </c>
      <c r="K11" t="s">
        <v>21</v>
      </c>
      <c r="L11" t="s">
        <v>10</v>
      </c>
      <c r="M11" t="s">
        <v>529</v>
      </c>
    </row>
    <row r="12" spans="2:13">
      <c r="B12" t="s">
        <v>1847</v>
      </c>
      <c r="C12" t="s">
        <v>1848</v>
      </c>
      <c r="D12" t="s">
        <v>1849</v>
      </c>
      <c r="E12">
        <v>1</v>
      </c>
      <c r="H12" t="s">
        <v>525</v>
      </c>
      <c r="I12" t="s">
        <v>1847</v>
      </c>
      <c r="J12" t="s">
        <v>1951</v>
      </c>
      <c r="K12" t="s">
        <v>21</v>
      </c>
      <c r="L12" t="s">
        <v>10</v>
      </c>
      <c r="M12" t="s">
        <v>529</v>
      </c>
    </row>
    <row r="13" spans="2:13">
      <c r="B13" t="s">
        <v>1850</v>
      </c>
      <c r="C13" t="s">
        <v>1849</v>
      </c>
      <c r="D13" t="s">
        <v>1848</v>
      </c>
      <c r="E13">
        <v>1</v>
      </c>
      <c r="H13" t="s">
        <v>525</v>
      </c>
      <c r="I13" t="s">
        <v>1850</v>
      </c>
      <c r="J13" t="s">
        <v>1952</v>
      </c>
      <c r="K13" t="s">
        <v>21</v>
      </c>
      <c r="L13" t="s">
        <v>10</v>
      </c>
      <c r="M13" t="s">
        <v>529</v>
      </c>
    </row>
    <row r="14" spans="2:13">
      <c r="B14" t="s">
        <v>1851</v>
      </c>
      <c r="C14" t="s">
        <v>1849</v>
      </c>
      <c r="D14" t="s">
        <v>1852</v>
      </c>
      <c r="E14">
        <v>1</v>
      </c>
      <c r="H14" t="s">
        <v>525</v>
      </c>
      <c r="I14" t="s">
        <v>1851</v>
      </c>
      <c r="J14" t="s">
        <v>1953</v>
      </c>
      <c r="K14" t="s">
        <v>21</v>
      </c>
      <c r="L14" t="s">
        <v>10</v>
      </c>
      <c r="M14" t="s">
        <v>529</v>
      </c>
    </row>
    <row r="15" spans="2:13">
      <c r="B15" t="s">
        <v>1853</v>
      </c>
      <c r="C15" t="s">
        <v>1852</v>
      </c>
      <c r="D15" t="s">
        <v>1849</v>
      </c>
      <c r="E15">
        <v>1</v>
      </c>
      <c r="H15" t="s">
        <v>525</v>
      </c>
      <c r="I15" t="s">
        <v>1853</v>
      </c>
      <c r="J15" t="s">
        <v>1954</v>
      </c>
      <c r="K15" t="s">
        <v>21</v>
      </c>
      <c r="L15" t="s">
        <v>10</v>
      </c>
      <c r="M15" t="s">
        <v>529</v>
      </c>
    </row>
    <row r="16" spans="2:13">
      <c r="B16" t="s">
        <v>1854</v>
      </c>
      <c r="C16" t="s">
        <v>1855</v>
      </c>
      <c r="D16" t="s">
        <v>1856</v>
      </c>
      <c r="E16">
        <v>1</v>
      </c>
      <c r="H16" t="s">
        <v>525</v>
      </c>
      <c r="I16" t="s">
        <v>1854</v>
      </c>
      <c r="J16" t="s">
        <v>1955</v>
      </c>
      <c r="K16" t="s">
        <v>21</v>
      </c>
      <c r="L16" t="s">
        <v>10</v>
      </c>
      <c r="M16" t="s">
        <v>529</v>
      </c>
    </row>
    <row r="17" spans="2:13">
      <c r="B17" t="s">
        <v>1857</v>
      </c>
      <c r="C17" t="s">
        <v>1856</v>
      </c>
      <c r="D17" t="s">
        <v>1855</v>
      </c>
      <c r="E17">
        <v>1</v>
      </c>
      <c r="H17" t="s">
        <v>525</v>
      </c>
      <c r="I17" t="s">
        <v>1857</v>
      </c>
      <c r="J17" t="s">
        <v>1956</v>
      </c>
      <c r="K17" t="s">
        <v>21</v>
      </c>
      <c r="L17" t="s">
        <v>10</v>
      </c>
      <c r="M17" t="s">
        <v>529</v>
      </c>
    </row>
    <row r="18" spans="2:13">
      <c r="B18" t="s">
        <v>1858</v>
      </c>
      <c r="C18" t="s">
        <v>1859</v>
      </c>
      <c r="D18" t="s">
        <v>1860</v>
      </c>
      <c r="E18">
        <v>1</v>
      </c>
      <c r="H18" t="s">
        <v>525</v>
      </c>
      <c r="I18" t="s">
        <v>1858</v>
      </c>
      <c r="J18" t="s">
        <v>1957</v>
      </c>
      <c r="K18" t="s">
        <v>21</v>
      </c>
      <c r="L18" t="s">
        <v>10</v>
      </c>
      <c r="M18" t="s">
        <v>529</v>
      </c>
    </row>
    <row r="19" spans="2:13">
      <c r="B19" t="s">
        <v>1861</v>
      </c>
      <c r="C19" t="s">
        <v>1860</v>
      </c>
      <c r="D19" t="s">
        <v>1859</v>
      </c>
      <c r="E19">
        <v>1</v>
      </c>
      <c r="H19" t="s">
        <v>525</v>
      </c>
      <c r="I19" t="s">
        <v>1861</v>
      </c>
      <c r="J19" t="s">
        <v>1958</v>
      </c>
      <c r="K19" t="s">
        <v>21</v>
      </c>
      <c r="L19" t="s">
        <v>10</v>
      </c>
      <c r="M19" t="s">
        <v>529</v>
      </c>
    </row>
    <row r="20" spans="2:13">
      <c r="B20" t="s">
        <v>1862</v>
      </c>
      <c r="C20" t="s">
        <v>1863</v>
      </c>
      <c r="D20" t="s">
        <v>1864</v>
      </c>
      <c r="E20">
        <v>1</v>
      </c>
      <c r="H20" t="s">
        <v>525</v>
      </c>
      <c r="I20" t="s">
        <v>1862</v>
      </c>
      <c r="J20" t="s">
        <v>1959</v>
      </c>
      <c r="K20" t="s">
        <v>21</v>
      </c>
      <c r="L20" t="s">
        <v>10</v>
      </c>
      <c r="M20" t="s">
        <v>529</v>
      </c>
    </row>
    <row r="21" spans="2:13">
      <c r="B21" t="s">
        <v>1865</v>
      </c>
      <c r="C21" t="s">
        <v>1864</v>
      </c>
      <c r="D21" t="s">
        <v>1863</v>
      </c>
      <c r="E21">
        <v>1</v>
      </c>
      <c r="H21" t="s">
        <v>525</v>
      </c>
      <c r="I21" t="s">
        <v>1865</v>
      </c>
      <c r="J21" t="s">
        <v>1960</v>
      </c>
      <c r="K21" t="s">
        <v>21</v>
      </c>
      <c r="L21" t="s">
        <v>10</v>
      </c>
      <c r="M21" t="s">
        <v>529</v>
      </c>
    </row>
    <row r="22" spans="2:13">
      <c r="B22" t="s">
        <v>1866</v>
      </c>
      <c r="C22" t="s">
        <v>1867</v>
      </c>
      <c r="D22" t="s">
        <v>1868</v>
      </c>
      <c r="E22">
        <v>1</v>
      </c>
      <c r="H22" t="s">
        <v>525</v>
      </c>
      <c r="I22" t="s">
        <v>1866</v>
      </c>
      <c r="J22" t="s">
        <v>1961</v>
      </c>
      <c r="K22" t="s">
        <v>21</v>
      </c>
      <c r="L22" t="s">
        <v>10</v>
      </c>
      <c r="M22" t="s">
        <v>529</v>
      </c>
    </row>
    <row r="23" spans="2:13">
      <c r="B23" t="s">
        <v>1869</v>
      </c>
      <c r="C23" t="s">
        <v>1868</v>
      </c>
      <c r="D23" t="s">
        <v>1867</v>
      </c>
      <c r="E23">
        <v>1</v>
      </c>
      <c r="H23" t="s">
        <v>525</v>
      </c>
      <c r="I23" t="s">
        <v>1869</v>
      </c>
      <c r="J23" t="s">
        <v>1962</v>
      </c>
      <c r="K23" t="s">
        <v>21</v>
      </c>
      <c r="L23" t="s">
        <v>10</v>
      </c>
      <c r="M23" t="s">
        <v>529</v>
      </c>
    </row>
    <row r="24" spans="2:13">
      <c r="B24" t="s">
        <v>1870</v>
      </c>
      <c r="C24" t="s">
        <v>1871</v>
      </c>
      <c r="D24" t="s">
        <v>1872</v>
      </c>
      <c r="E24">
        <v>1</v>
      </c>
      <c r="H24" t="s">
        <v>525</v>
      </c>
      <c r="I24" t="s">
        <v>1870</v>
      </c>
      <c r="J24" t="s">
        <v>1963</v>
      </c>
      <c r="K24" t="s">
        <v>21</v>
      </c>
      <c r="L24" t="s">
        <v>10</v>
      </c>
      <c r="M24" t="s">
        <v>529</v>
      </c>
    </row>
    <row r="25" spans="2:13">
      <c r="B25" t="s">
        <v>1873</v>
      </c>
      <c r="C25" t="s">
        <v>1872</v>
      </c>
      <c r="D25" t="s">
        <v>1871</v>
      </c>
      <c r="E25">
        <v>1</v>
      </c>
      <c r="H25" t="s">
        <v>525</v>
      </c>
      <c r="I25" t="s">
        <v>1873</v>
      </c>
      <c r="J25" t="s">
        <v>1964</v>
      </c>
      <c r="K25" t="s">
        <v>21</v>
      </c>
      <c r="L25" t="s">
        <v>10</v>
      </c>
      <c r="M25" t="s">
        <v>529</v>
      </c>
    </row>
    <row r="26" spans="2:13">
      <c r="B26" t="s">
        <v>1874</v>
      </c>
      <c r="C26" t="s">
        <v>1875</v>
      </c>
      <c r="D26" t="s">
        <v>1876</v>
      </c>
      <c r="E26">
        <v>1</v>
      </c>
      <c r="H26" t="s">
        <v>525</v>
      </c>
      <c r="I26" t="s">
        <v>1874</v>
      </c>
      <c r="J26" t="s">
        <v>1965</v>
      </c>
      <c r="K26" t="s">
        <v>21</v>
      </c>
      <c r="L26" t="s">
        <v>10</v>
      </c>
      <c r="M26" t="s">
        <v>529</v>
      </c>
    </row>
    <row r="27" spans="2:13">
      <c r="B27" t="s">
        <v>1877</v>
      </c>
      <c r="C27" t="s">
        <v>1876</v>
      </c>
      <c r="D27" t="s">
        <v>1875</v>
      </c>
      <c r="E27">
        <v>1</v>
      </c>
      <c r="H27" t="s">
        <v>525</v>
      </c>
      <c r="I27" t="s">
        <v>1877</v>
      </c>
      <c r="J27" t="s">
        <v>1966</v>
      </c>
      <c r="K27" t="s">
        <v>21</v>
      </c>
      <c r="L27" t="s">
        <v>10</v>
      </c>
      <c r="M27" t="s">
        <v>529</v>
      </c>
    </row>
    <row r="28" spans="2:13">
      <c r="B28" t="s">
        <v>1878</v>
      </c>
      <c r="C28" t="s">
        <v>1879</v>
      </c>
      <c r="D28" t="s">
        <v>1880</v>
      </c>
      <c r="E28">
        <v>1</v>
      </c>
      <c r="H28" t="s">
        <v>525</v>
      </c>
      <c r="I28" t="s">
        <v>1878</v>
      </c>
      <c r="J28" t="s">
        <v>1967</v>
      </c>
      <c r="K28" t="s">
        <v>21</v>
      </c>
      <c r="L28" t="s">
        <v>10</v>
      </c>
      <c r="M28" t="s">
        <v>529</v>
      </c>
    </row>
    <row r="29" spans="2:13">
      <c r="B29" t="s">
        <v>1881</v>
      </c>
      <c r="C29" t="s">
        <v>1880</v>
      </c>
      <c r="D29" t="s">
        <v>1879</v>
      </c>
      <c r="E29">
        <v>1</v>
      </c>
      <c r="H29" t="s">
        <v>525</v>
      </c>
      <c r="I29" t="s">
        <v>1881</v>
      </c>
      <c r="J29" t="s">
        <v>1968</v>
      </c>
      <c r="K29" t="s">
        <v>21</v>
      </c>
      <c r="L29" t="s">
        <v>10</v>
      </c>
      <c r="M29" t="s">
        <v>529</v>
      </c>
    </row>
    <row r="30" spans="2:13">
      <c r="B30" t="s">
        <v>1882</v>
      </c>
      <c r="C30" t="s">
        <v>822</v>
      </c>
      <c r="D30" t="s">
        <v>1883</v>
      </c>
      <c r="E30">
        <v>1</v>
      </c>
      <c r="H30" t="s">
        <v>525</v>
      </c>
      <c r="I30" t="s">
        <v>1882</v>
      </c>
      <c r="J30" t="s">
        <v>1969</v>
      </c>
      <c r="K30" t="s">
        <v>21</v>
      </c>
      <c r="L30" t="s">
        <v>10</v>
      </c>
      <c r="M30" t="s">
        <v>529</v>
      </c>
    </row>
    <row r="31" spans="2:13">
      <c r="B31" t="s">
        <v>1884</v>
      </c>
      <c r="C31" t="s">
        <v>1883</v>
      </c>
      <c r="D31" t="s">
        <v>822</v>
      </c>
      <c r="E31">
        <v>1</v>
      </c>
      <c r="H31" t="s">
        <v>525</v>
      </c>
      <c r="I31" t="s">
        <v>1884</v>
      </c>
      <c r="J31" t="s">
        <v>1970</v>
      </c>
      <c r="K31" t="s">
        <v>21</v>
      </c>
      <c r="L31" t="s">
        <v>10</v>
      </c>
      <c r="M31" t="s">
        <v>529</v>
      </c>
    </row>
    <row r="32" spans="2:13">
      <c r="B32" t="s">
        <v>1885</v>
      </c>
      <c r="C32" t="s">
        <v>1886</v>
      </c>
      <c r="D32" t="s">
        <v>1887</v>
      </c>
      <c r="E32">
        <v>1</v>
      </c>
      <c r="H32" t="s">
        <v>525</v>
      </c>
      <c r="I32" t="s">
        <v>1885</v>
      </c>
      <c r="J32" t="s">
        <v>1971</v>
      </c>
      <c r="K32" t="s">
        <v>21</v>
      </c>
      <c r="L32" t="s">
        <v>10</v>
      </c>
      <c r="M32" t="s">
        <v>529</v>
      </c>
    </row>
    <row r="33" spans="2:13">
      <c r="B33" t="s">
        <v>1888</v>
      </c>
      <c r="C33" t="s">
        <v>1887</v>
      </c>
      <c r="D33" t="s">
        <v>1886</v>
      </c>
      <c r="E33">
        <v>1</v>
      </c>
      <c r="H33" t="s">
        <v>525</v>
      </c>
      <c r="I33" t="s">
        <v>1888</v>
      </c>
      <c r="J33" t="s">
        <v>1972</v>
      </c>
      <c r="K33" t="s">
        <v>21</v>
      </c>
      <c r="L33" t="s">
        <v>10</v>
      </c>
      <c r="M33" t="s">
        <v>529</v>
      </c>
    </row>
    <row r="34" spans="2:13">
      <c r="B34" t="s">
        <v>1889</v>
      </c>
      <c r="C34" t="s">
        <v>1890</v>
      </c>
      <c r="D34" t="s">
        <v>1891</v>
      </c>
      <c r="E34">
        <v>1</v>
      </c>
      <c r="H34" t="s">
        <v>525</v>
      </c>
      <c r="I34" t="s">
        <v>1889</v>
      </c>
      <c r="J34" t="s">
        <v>1973</v>
      </c>
      <c r="K34" t="s">
        <v>21</v>
      </c>
      <c r="L34" t="s">
        <v>10</v>
      </c>
      <c r="M34" t="s">
        <v>529</v>
      </c>
    </row>
    <row r="35" spans="2:13">
      <c r="B35" t="s">
        <v>1892</v>
      </c>
      <c r="C35" t="s">
        <v>1891</v>
      </c>
      <c r="D35" t="s">
        <v>1890</v>
      </c>
      <c r="E35">
        <v>1</v>
      </c>
      <c r="H35" t="s">
        <v>525</v>
      </c>
      <c r="I35" t="s">
        <v>1892</v>
      </c>
      <c r="J35" t="s">
        <v>1974</v>
      </c>
      <c r="K35" t="s">
        <v>21</v>
      </c>
      <c r="L35" t="s">
        <v>10</v>
      </c>
      <c r="M35" t="s">
        <v>529</v>
      </c>
    </row>
    <row r="36" spans="2:13">
      <c r="B36" t="s">
        <v>1893</v>
      </c>
      <c r="C36" t="s">
        <v>1894</v>
      </c>
      <c r="D36" t="s">
        <v>1895</v>
      </c>
      <c r="E36">
        <v>1</v>
      </c>
      <c r="H36" t="s">
        <v>525</v>
      </c>
      <c r="I36" t="s">
        <v>1893</v>
      </c>
      <c r="J36" t="s">
        <v>1975</v>
      </c>
      <c r="K36" t="s">
        <v>21</v>
      </c>
      <c r="L36" t="s">
        <v>10</v>
      </c>
      <c r="M36" t="s">
        <v>529</v>
      </c>
    </row>
    <row r="37" spans="2:13">
      <c r="B37" t="s">
        <v>1896</v>
      </c>
      <c r="C37" t="s">
        <v>1895</v>
      </c>
      <c r="D37" t="s">
        <v>1894</v>
      </c>
      <c r="E37">
        <v>1</v>
      </c>
      <c r="H37" t="s">
        <v>525</v>
      </c>
      <c r="I37" t="s">
        <v>1896</v>
      </c>
      <c r="J37" t="s">
        <v>1976</v>
      </c>
      <c r="K37" t="s">
        <v>21</v>
      </c>
      <c r="L37" t="s">
        <v>10</v>
      </c>
      <c r="M37" t="s">
        <v>529</v>
      </c>
    </row>
    <row r="38" spans="2:13">
      <c r="B38" t="s">
        <v>1897</v>
      </c>
      <c r="C38" t="s">
        <v>1898</v>
      </c>
      <c r="D38" t="s">
        <v>1899</v>
      </c>
      <c r="E38">
        <v>1</v>
      </c>
      <c r="H38" t="s">
        <v>525</v>
      </c>
      <c r="I38" t="s">
        <v>1897</v>
      </c>
      <c r="J38" t="s">
        <v>1977</v>
      </c>
      <c r="K38" t="s">
        <v>21</v>
      </c>
      <c r="L38" t="s">
        <v>10</v>
      </c>
      <c r="M38" t="s">
        <v>529</v>
      </c>
    </row>
    <row r="39" spans="2:13">
      <c r="B39" t="s">
        <v>1900</v>
      </c>
      <c r="C39" t="s">
        <v>1899</v>
      </c>
      <c r="D39" t="s">
        <v>1898</v>
      </c>
      <c r="E39">
        <v>1</v>
      </c>
      <c r="H39" t="s">
        <v>525</v>
      </c>
      <c r="I39" t="s">
        <v>1900</v>
      </c>
      <c r="J39" t="s">
        <v>1978</v>
      </c>
      <c r="K39" t="s">
        <v>21</v>
      </c>
      <c r="L39" t="s">
        <v>10</v>
      </c>
      <c r="M39" t="s">
        <v>529</v>
      </c>
    </row>
    <row r="40" spans="2:13">
      <c r="B40" t="s">
        <v>1901</v>
      </c>
      <c r="C40" t="s">
        <v>1902</v>
      </c>
      <c r="D40" t="s">
        <v>1903</v>
      </c>
      <c r="E40">
        <v>1</v>
      </c>
      <c r="H40" t="s">
        <v>525</v>
      </c>
      <c r="I40" t="s">
        <v>1901</v>
      </c>
      <c r="J40" t="s">
        <v>1979</v>
      </c>
      <c r="K40" t="s">
        <v>21</v>
      </c>
      <c r="L40" t="s">
        <v>10</v>
      </c>
      <c r="M40" t="s">
        <v>529</v>
      </c>
    </row>
    <row r="41" spans="2:13">
      <c r="B41" t="s">
        <v>1904</v>
      </c>
      <c r="C41" t="s">
        <v>1903</v>
      </c>
      <c r="D41" t="s">
        <v>1902</v>
      </c>
      <c r="E41">
        <v>1</v>
      </c>
      <c r="H41" t="s">
        <v>525</v>
      </c>
      <c r="I41" t="s">
        <v>1904</v>
      </c>
      <c r="J41" t="s">
        <v>1980</v>
      </c>
      <c r="K41" t="s">
        <v>21</v>
      </c>
      <c r="L41" t="s">
        <v>10</v>
      </c>
      <c r="M41" t="s">
        <v>529</v>
      </c>
    </row>
    <row r="42" spans="2:13">
      <c r="B42" t="s">
        <v>1905</v>
      </c>
      <c r="C42" t="s">
        <v>1906</v>
      </c>
      <c r="D42" t="s">
        <v>1907</v>
      </c>
      <c r="E42">
        <v>1</v>
      </c>
      <c r="H42" t="s">
        <v>525</v>
      </c>
      <c r="I42" t="s">
        <v>1905</v>
      </c>
      <c r="J42" t="s">
        <v>1981</v>
      </c>
      <c r="K42" t="s">
        <v>21</v>
      </c>
      <c r="L42" t="s">
        <v>10</v>
      </c>
      <c r="M42" t="s">
        <v>529</v>
      </c>
    </row>
    <row r="43" spans="2:13">
      <c r="B43" t="s">
        <v>1908</v>
      </c>
      <c r="C43" t="s">
        <v>1907</v>
      </c>
      <c r="D43" t="s">
        <v>1906</v>
      </c>
      <c r="E43">
        <v>1</v>
      </c>
      <c r="H43" t="s">
        <v>525</v>
      </c>
      <c r="I43" t="s">
        <v>1908</v>
      </c>
      <c r="J43" t="s">
        <v>1982</v>
      </c>
      <c r="K43" t="s">
        <v>21</v>
      </c>
      <c r="L43" t="s">
        <v>10</v>
      </c>
      <c r="M43" t="s">
        <v>529</v>
      </c>
    </row>
    <row r="44" spans="2:13">
      <c r="B44" t="s">
        <v>1909</v>
      </c>
      <c r="C44" t="s">
        <v>1910</v>
      </c>
      <c r="D44" t="s">
        <v>1911</v>
      </c>
      <c r="E44">
        <v>1</v>
      </c>
      <c r="H44" t="s">
        <v>525</v>
      </c>
      <c r="I44" t="s">
        <v>1909</v>
      </c>
      <c r="J44" t="s">
        <v>1983</v>
      </c>
      <c r="K44" t="s">
        <v>21</v>
      </c>
      <c r="L44" t="s">
        <v>10</v>
      </c>
      <c r="M44" t="s">
        <v>529</v>
      </c>
    </row>
    <row r="45" spans="2:13">
      <c r="B45" t="s">
        <v>1912</v>
      </c>
      <c r="C45" t="s">
        <v>1911</v>
      </c>
      <c r="D45" t="s">
        <v>1910</v>
      </c>
      <c r="E45">
        <v>1</v>
      </c>
      <c r="H45" t="s">
        <v>525</v>
      </c>
      <c r="I45" t="s">
        <v>1912</v>
      </c>
      <c r="J45" t="s">
        <v>1984</v>
      </c>
      <c r="K45" t="s">
        <v>21</v>
      </c>
      <c r="L45" t="s">
        <v>10</v>
      </c>
      <c r="M45" t="s">
        <v>529</v>
      </c>
    </row>
    <row r="46" spans="2:13">
      <c r="B46" t="s">
        <v>1913</v>
      </c>
      <c r="C46" t="s">
        <v>1914</v>
      </c>
      <c r="D46" t="s">
        <v>1915</v>
      </c>
      <c r="E46">
        <v>1</v>
      </c>
      <c r="H46" t="s">
        <v>525</v>
      </c>
      <c r="I46" t="s">
        <v>1913</v>
      </c>
      <c r="J46" t="s">
        <v>1985</v>
      </c>
      <c r="K46" t="s">
        <v>21</v>
      </c>
      <c r="L46" t="s">
        <v>10</v>
      </c>
      <c r="M46" t="s">
        <v>529</v>
      </c>
    </row>
    <row r="47" spans="2:13">
      <c r="B47" t="s">
        <v>1916</v>
      </c>
      <c r="C47" t="s">
        <v>1915</v>
      </c>
      <c r="D47" t="s">
        <v>1914</v>
      </c>
      <c r="E47">
        <v>1</v>
      </c>
      <c r="H47" t="s">
        <v>525</v>
      </c>
      <c r="I47" t="s">
        <v>1916</v>
      </c>
      <c r="J47" t="s">
        <v>1986</v>
      </c>
      <c r="K47" t="s">
        <v>21</v>
      </c>
      <c r="L47" t="s">
        <v>10</v>
      </c>
      <c r="M47" t="s">
        <v>529</v>
      </c>
    </row>
    <row r="48" spans="2:13">
      <c r="B48" t="s">
        <v>1917</v>
      </c>
      <c r="C48" t="s">
        <v>1918</v>
      </c>
      <c r="D48" t="s">
        <v>1919</v>
      </c>
      <c r="E48">
        <v>1</v>
      </c>
      <c r="H48" t="s">
        <v>525</v>
      </c>
      <c r="I48" t="s">
        <v>1917</v>
      </c>
      <c r="J48" t="s">
        <v>1987</v>
      </c>
      <c r="K48" t="s">
        <v>21</v>
      </c>
      <c r="L48" t="s">
        <v>10</v>
      </c>
      <c r="M48" t="s">
        <v>529</v>
      </c>
    </row>
    <row r="49" spans="2:13">
      <c r="B49" t="s">
        <v>1920</v>
      </c>
      <c r="C49" t="s">
        <v>1919</v>
      </c>
      <c r="D49" t="s">
        <v>1918</v>
      </c>
      <c r="E49">
        <v>1</v>
      </c>
      <c r="H49" t="s">
        <v>525</v>
      </c>
      <c r="I49" t="s">
        <v>1920</v>
      </c>
      <c r="J49" t="s">
        <v>1988</v>
      </c>
      <c r="K49" t="s">
        <v>21</v>
      </c>
      <c r="L49" t="s">
        <v>10</v>
      </c>
      <c r="M49" t="s">
        <v>529</v>
      </c>
    </row>
    <row r="50" spans="2:13">
      <c r="B50" t="s">
        <v>1921</v>
      </c>
      <c r="C50" t="s">
        <v>1922</v>
      </c>
      <c r="D50" t="s">
        <v>1923</v>
      </c>
      <c r="E50">
        <v>1</v>
      </c>
      <c r="H50" t="s">
        <v>525</v>
      </c>
      <c r="I50" t="s">
        <v>1921</v>
      </c>
      <c r="J50" t="s">
        <v>1989</v>
      </c>
      <c r="K50" t="s">
        <v>21</v>
      </c>
      <c r="L50" t="s">
        <v>10</v>
      </c>
      <c r="M50" t="s">
        <v>529</v>
      </c>
    </row>
    <row r="51" spans="2:13">
      <c r="B51" t="s">
        <v>1924</v>
      </c>
      <c r="C51" t="s">
        <v>1923</v>
      </c>
      <c r="D51" t="s">
        <v>1922</v>
      </c>
      <c r="E51">
        <v>1</v>
      </c>
      <c r="H51" t="s">
        <v>525</v>
      </c>
      <c r="I51" t="s">
        <v>1924</v>
      </c>
      <c r="J51" t="s">
        <v>1990</v>
      </c>
      <c r="K51" t="s">
        <v>21</v>
      </c>
      <c r="L51" t="s">
        <v>10</v>
      </c>
      <c r="M51" t="s">
        <v>529</v>
      </c>
    </row>
    <row r="52" spans="2:13">
      <c r="B52" t="s">
        <v>1925</v>
      </c>
      <c r="C52" t="s">
        <v>1926</v>
      </c>
      <c r="D52" t="s">
        <v>1927</v>
      </c>
      <c r="E52">
        <v>1</v>
      </c>
      <c r="H52" t="s">
        <v>525</v>
      </c>
      <c r="I52" t="s">
        <v>1925</v>
      </c>
      <c r="J52" t="s">
        <v>1991</v>
      </c>
      <c r="K52" t="s">
        <v>21</v>
      </c>
      <c r="L52" t="s">
        <v>10</v>
      </c>
      <c r="M52" t="s">
        <v>529</v>
      </c>
    </row>
    <row r="53" spans="2:13">
      <c r="B53" t="s">
        <v>1928</v>
      </c>
      <c r="C53" t="s">
        <v>1927</v>
      </c>
      <c r="D53" t="s">
        <v>1926</v>
      </c>
      <c r="E53">
        <v>1</v>
      </c>
      <c r="H53" t="s">
        <v>525</v>
      </c>
      <c r="I53" t="s">
        <v>1928</v>
      </c>
      <c r="J53" t="s">
        <v>1992</v>
      </c>
      <c r="K53" t="s">
        <v>21</v>
      </c>
      <c r="L53" t="s">
        <v>10</v>
      </c>
      <c r="M53" t="s">
        <v>529</v>
      </c>
    </row>
    <row r="54" spans="2:13">
      <c r="B54" t="s">
        <v>1929</v>
      </c>
      <c r="C54" t="s">
        <v>1930</v>
      </c>
      <c r="D54" t="s">
        <v>1931</v>
      </c>
      <c r="E54">
        <v>1</v>
      </c>
      <c r="H54" t="s">
        <v>525</v>
      </c>
      <c r="I54" t="s">
        <v>1929</v>
      </c>
      <c r="J54" t="s">
        <v>1993</v>
      </c>
      <c r="K54" t="s">
        <v>21</v>
      </c>
      <c r="L54" t="s">
        <v>10</v>
      </c>
      <c r="M54" t="s">
        <v>529</v>
      </c>
    </row>
    <row r="55" spans="2:13">
      <c r="B55" t="s">
        <v>1932</v>
      </c>
      <c r="C55" t="s">
        <v>1931</v>
      </c>
      <c r="D55" t="s">
        <v>1930</v>
      </c>
      <c r="E55">
        <v>1</v>
      </c>
      <c r="H55" t="s">
        <v>525</v>
      </c>
      <c r="I55" t="s">
        <v>1932</v>
      </c>
      <c r="J55" t="s">
        <v>1994</v>
      </c>
      <c r="K55" t="s">
        <v>21</v>
      </c>
      <c r="L55" t="s">
        <v>10</v>
      </c>
      <c r="M55" t="s">
        <v>529</v>
      </c>
    </row>
    <row r="56" spans="2:13">
      <c r="B56" t="s">
        <v>1933</v>
      </c>
      <c r="C56" t="s">
        <v>1934</v>
      </c>
      <c r="D56" t="s">
        <v>1935</v>
      </c>
      <c r="E56">
        <v>1</v>
      </c>
      <c r="H56" t="s">
        <v>525</v>
      </c>
      <c r="I56" t="s">
        <v>1933</v>
      </c>
      <c r="J56" t="s">
        <v>1995</v>
      </c>
      <c r="K56" t="s">
        <v>21</v>
      </c>
      <c r="L56" t="s">
        <v>10</v>
      </c>
      <c r="M56" t="s">
        <v>529</v>
      </c>
    </row>
    <row r="57" spans="2:13">
      <c r="B57" t="s">
        <v>1936</v>
      </c>
      <c r="C57" t="s">
        <v>1935</v>
      </c>
      <c r="D57" t="s">
        <v>1934</v>
      </c>
      <c r="E57">
        <v>1</v>
      </c>
      <c r="H57" t="s">
        <v>525</v>
      </c>
      <c r="I57" t="s">
        <v>1936</v>
      </c>
      <c r="J57" t="s">
        <v>1996</v>
      </c>
      <c r="K57" t="s">
        <v>21</v>
      </c>
      <c r="L57" t="s">
        <v>10</v>
      </c>
      <c r="M57" t="s">
        <v>529</v>
      </c>
    </row>
    <row r="58" spans="2:13">
      <c r="B58" t="s">
        <v>1937</v>
      </c>
      <c r="C58" t="s">
        <v>1938</v>
      </c>
      <c r="D58" t="s">
        <v>1939</v>
      </c>
      <c r="E58">
        <v>1</v>
      </c>
      <c r="H58" t="s">
        <v>525</v>
      </c>
      <c r="I58" t="s">
        <v>1937</v>
      </c>
      <c r="J58" t="s">
        <v>1997</v>
      </c>
      <c r="K58" t="s">
        <v>21</v>
      </c>
      <c r="L58" t="s">
        <v>10</v>
      </c>
      <c r="M58" t="s">
        <v>529</v>
      </c>
    </row>
    <row r="59" spans="2:13">
      <c r="B59" t="s">
        <v>1940</v>
      </c>
      <c r="C59" t="s">
        <v>1939</v>
      </c>
      <c r="D59" t="s">
        <v>1938</v>
      </c>
      <c r="E59">
        <v>1</v>
      </c>
      <c r="H59" t="s">
        <v>525</v>
      </c>
      <c r="I59" t="s">
        <v>1940</v>
      </c>
      <c r="J59" t="s">
        <v>1998</v>
      </c>
      <c r="K59" t="s">
        <v>21</v>
      </c>
      <c r="L59" t="s">
        <v>10</v>
      </c>
      <c r="M59" t="s">
        <v>529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misc</vt:lpstr>
      <vt:lpstr>hydro</vt:lpstr>
      <vt:lpstr>ELC_Storage</vt:lpstr>
      <vt:lpstr>EV Battery</vt:lpstr>
      <vt:lpstr>H2 prod</vt:lpstr>
      <vt:lpstr>solar</vt:lpstr>
      <vt:lpstr>wind</vt:lpstr>
      <vt:lpstr>conventional</vt:lpstr>
      <vt:lpstr>grid_transformers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2025-09-16T20:07:53Z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