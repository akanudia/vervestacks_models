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"/>
    </mc:Choice>
  </mc:AlternateContent>
  <xr:revisionPtr revIDLastSave="0" documentId="13_ncr:1_{E0AD4CE3-DCC5-4ADE-88C1-4533330A79F2}" xr6:coauthVersionLast="47" xr6:coauthVersionMax="47" xr10:uidLastSave="{00000000-0000-0000-0000-000000000000}"/>
  <bookViews>
    <workbookView xWindow="-98" yWindow="-98" windowWidth="28996" windowHeight="17475" firstSheet="1" activeTab="7" xr2:uid="{00000000-000D-0000-FFFF-FFFF00000000}"/>
  </bookViews>
  <sheets>
    <sheet name="emissions" sheetId="5" r:id="rId1"/>
    <sheet name="grids" sheetId="7" r:id="rId2"/>
    <sheet name="re_targets" sheetId="6" r:id="rId3"/>
    <sheet name="Veda" sheetId="1" r:id="rId4"/>
    <sheet name="buildrates" sheetId="4" r:id="rId5"/>
    <sheet name="historical_data_long" sheetId="3" r:id="rId6"/>
    <sheet name="co2_network" sheetId="8" r:id="rId7"/>
    <sheet name="vre agg cap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 s="1"/>
  <c r="U15" i="1"/>
  <c r="S10" i="1"/>
  <c r="T10" i="1" s="1"/>
  <c r="Q10" i="1"/>
  <c r="F9" i="5"/>
  <c r="E6" i="5"/>
  <c r="E5" i="5"/>
  <c r="E4" i="5"/>
  <c r="AB10" i="1"/>
  <c r="AC10" i="1" s="1"/>
  <c r="AA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B9" i="1" l="1"/>
  <c r="AC9" i="1" s="1"/>
  <c r="AB8" i="1"/>
  <c r="AC8" i="1" s="1"/>
  <c r="AA9" i="1"/>
  <c r="AA8" i="1"/>
  <c r="Q9" i="1"/>
  <c r="Q8" i="1"/>
  <c r="S9" i="1"/>
  <c r="T9" i="1" s="1"/>
  <c r="S8" i="1"/>
  <c r="T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<sst xmlns="http://schemas.openxmlformats.org/spreadsheetml/2006/main" count="12763" uniqueCount="2327">
  <si>
    <t>~UC_Sets: R_E: AllRegions</t>
  </si>
  <si>
    <t>pset_ci</t>
  </si>
  <si>
    <t>process</t>
  </si>
  <si>
    <t>coal</t>
  </si>
  <si>
    <t>hydro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</si>
  <si>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</si>
  <si>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</si>
  <si>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</si>
  <si>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</si>
  <si>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</si>
  <si>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</si>
  <si>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</si>
  <si>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</si>
  <si>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</si>
  <si>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</si>
  <si>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</si>
  <si>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</si>
  <si>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</si>
  <si>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</si>
  <si>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</si>
  <si>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</si>
  <si>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</si>
  <si>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</si>
  <si>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</si>
  <si>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cset_cn</t>
  </si>
  <si>
    <t>other_indexes</t>
  </si>
  <si>
    <t>VDA_EMCB</t>
  </si>
  <si>
    <t>CO2</t>
  </si>
  <si>
    <t>~UC_T: FX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</si>
  <si>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</si>
  <si>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</si>
  <si>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</si>
  <si>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</si>
  <si>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</si>
  <si>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</si>
  <si>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</si>
  <si>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</si>
  <si>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</si>
  <si>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</si>
  <si>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</si>
  <si>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</si>
  <si>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</si>
  <si>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</si>
  <si>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</si>
  <si>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</si>
  <si>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</si>
  <si>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</si>
  <si>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</si>
  <si>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</si>
  <si>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</si>
  <si>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</si>
  <si>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</si>
  <si>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</si>
  <si>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</si>
  <si>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</si>
  <si>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</si>
  <si>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</si>
  <si>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</si>
  <si>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</si>
  <si>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</si>
  <si>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</si>
  <si>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</si>
  <si>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</si>
  <si>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</si>
  <si>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</si>
  <si>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~UC_T: 2050</t>
  </si>
  <si>
    <t>UCE_min oil fleet utilization</t>
  </si>
  <si>
    <t>g[_]*,distr*</t>
  </si>
  <si>
    <t>~UC_T: UC_CAP~LO</t>
  </si>
  <si>
    <t>co2captured,co2[_]*</t>
  </si>
  <si>
    <t>X base-year nuclear capacity</t>
  </si>
  <si>
    <t>-CO2Captured,-co2[_]*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</si>
  <si>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</si>
  <si>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</si>
  <si>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</si>
  <si>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</si>
  <si>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</si>
  <si>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</si>
  <si>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</si>
  <si>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</si>
  <si>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</si>
  <si>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</si>
  <si>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</si>
  <si>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</si>
  <si>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</si>
  <si>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</si>
  <si>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</si>
  <si>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</si>
  <si>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</si>
  <si>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</si>
  <si>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</si>
  <si>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</si>
  <si>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</si>
  <si>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</si>
  <si>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</si>
  <si>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</si>
  <si>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</si>
  <si>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</si>
  <si>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</si>
  <si>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</si>
  <si>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</si>
  <si>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</si>
  <si>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</si>
  <si>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</si>
  <si>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</si>
  <si>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Rest of renewables</t>
  </si>
  <si>
    <t>BUILD RATE ASSUMPTIONS</t>
  </si>
  <si>
    <t>iso</t>
  </si>
  <si>
    <t>AUS</t>
  </si>
  <si>
    <t>~TFM_DINS-AT</t>
  </si>
  <si>
    <t>pasti</t>
  </si>
  <si>
    <t>ncap_cost</t>
  </si>
  <si>
    <t>efficiency</t>
  </si>
  <si>
    <t>g_AUS22p5S119p9E_AUS-Newman_AUS</t>
  </si>
  <si>
    <t>g_AUS42p8S146p2E_AUS-Palmerston_AUS</t>
  </si>
  <si>
    <t>g_Altona_AUS-Hazelwood_AUS</t>
  </si>
  <si>
    <t>g_Armidale_AUS-Blackwall_AUS</t>
  </si>
  <si>
    <t>g_Armidale_AUS-BulliCreek_AUS</t>
  </si>
  <si>
    <t>g_Australind_AUS-Merredin_AUS</t>
  </si>
  <si>
    <t>g_Balranald_AUS-Altona_AUS</t>
  </si>
  <si>
    <t>g_Balranald_AUS-DarlingtonPoint_AUS</t>
  </si>
  <si>
    <t>g_Balranald_AUS-Tarrone_AUS</t>
  </si>
  <si>
    <t>g_Blackwall_AUS-Murarrie_AUS</t>
  </si>
  <si>
    <t>g_Bouldercombe_AUS-CalliopeRiver_AUS</t>
  </si>
  <si>
    <t>g_Bouldercombe_AUS-Calvale_AUS</t>
  </si>
  <si>
    <t>g_Broadsound_AUS-Bouldercombe_AUS</t>
  </si>
  <si>
    <t>g_BrokenHill_AUS-Balranald_AUS</t>
  </si>
  <si>
    <t>g_BulliCreek_AUS-Eurombah_AUS</t>
  </si>
  <si>
    <t>g_CalliopeRiver_AUS-Tarong_AUS</t>
  </si>
  <si>
    <t>g_Calvale_AUS-Bouldercombe_AUS</t>
  </si>
  <si>
    <t>g_Calvale_AUS-CalliopeRiver_AUS</t>
  </si>
  <si>
    <t>g_Calvale_AUS-Tarong_AUS</t>
  </si>
  <si>
    <t>g_Canberra_AUS-KangarooValleyTran_AUS</t>
  </si>
  <si>
    <t>g_Cemi_AUS-Chumvale_AUS</t>
  </si>
  <si>
    <t>g_CentralCoast_AUS-Armidale_AUS</t>
  </si>
  <si>
    <t>g_CentralCoast_AUS-Dubbo_AUS</t>
  </si>
  <si>
    <t>g_Cultana_AUS-Davenport_AUS</t>
  </si>
  <si>
    <t>g_Cultana_AUS-TemplersWest_AUS</t>
  </si>
  <si>
    <t>g_DaptoBulkSupply_AUS-SydneySouthBulkSup_AUS</t>
  </si>
  <si>
    <t>g_DaptoBulkSupply_AUS-Sydney_AUS</t>
  </si>
  <si>
    <t>g_DarlingtonPoint_AUS-Wagga_AUS</t>
  </si>
  <si>
    <t>g_Davenport_AUS-TemplersWest_AUS</t>
  </si>
  <si>
    <t>g_Dubbo_AUS-SydneyWest_AUS</t>
  </si>
  <si>
    <t>g_Farrell_AUS-Sheffield_AUS</t>
  </si>
  <si>
    <t>g_Geelong_AUS-Altona_AUS</t>
  </si>
  <si>
    <t>g_Geelong_AUS-Tarrone_AUS</t>
  </si>
  <si>
    <t>g_KangarooValleyTran_AUS-DaptoBulkSupply_AUS</t>
  </si>
  <si>
    <t>g_Karratha_AUS-TomPriceMine_AUS</t>
  </si>
  <si>
    <t>g_Lilyvale_AUS-Broadsound_AUS</t>
  </si>
  <si>
    <t>g_Merredin_AUS-Kalgoorlie_AUS</t>
  </si>
  <si>
    <t>g_Morawa_AUS-Yandin_AUS</t>
  </si>
  <si>
    <t>g_Murray_AUS-Altona_AUS</t>
  </si>
  <si>
    <t>g_Nebo_AUS-Bouldercombe_AUS</t>
  </si>
  <si>
    <t>g_Nebo_AUS-Broadsound_AUS</t>
  </si>
  <si>
    <t>g_Newman_AUS-TomPriceMine_AUS</t>
  </si>
  <si>
    <t>g_OlympicDamWest_AUS-Davenport_AUS</t>
  </si>
  <si>
    <t>g_Palmerston_AUS-Sheffield_AUS</t>
  </si>
  <si>
    <t>g_Perth_AUS-Australind_AUS</t>
  </si>
  <si>
    <t>g_PortHedland_AUS-Karratha_AUS</t>
  </si>
  <si>
    <t>g_Rowville_AUS-Altona_AUS</t>
  </si>
  <si>
    <t>g_Rowville_AUS-Hazelwood_AUS</t>
  </si>
  <si>
    <t>g_Strathmore_AUS-Nebo_AUS</t>
  </si>
  <si>
    <t>g_SydneyNorthBulkSup_AUS-CentralCoast_AUS</t>
  </si>
  <si>
    <t>g_SydneyWest_AUS-CentralCoast_AUS</t>
  </si>
  <si>
    <t>g_SydneyWest_AUS-KangarooValleyTran_AUS</t>
  </si>
  <si>
    <t>g_SydneyWest_AUS-SydneyNorthBulkSup_AUS</t>
  </si>
  <si>
    <t>g_SydneyWest_AUS-Sydney_AUS</t>
  </si>
  <si>
    <t>g_Sydney_AUS-SydneySouthBulkSup_AUS</t>
  </si>
  <si>
    <t>g_Tarong_AUS-Blackwall_AUS</t>
  </si>
  <si>
    <t>g_Tarong_AUS-BulliCreek_AUS</t>
  </si>
  <si>
    <t>g_Tarong_AUS-Murarrie_AUS</t>
  </si>
  <si>
    <t>g_TemplersWest_AUS-Balranald_AUS</t>
  </si>
  <si>
    <t>g_TemplersWest_AUS-TorrensIslandBatte_AUS</t>
  </si>
  <si>
    <t>g_TorrensIslandBatte_AUS-Tarrone_AUS</t>
  </si>
  <si>
    <t>g_UpperTumut_AUS-Canberra_AUS</t>
  </si>
  <si>
    <t>g_UpperTumut_AUS-Murray_AUS</t>
  </si>
  <si>
    <t>g_Wagga_AUS-Murray_AUS</t>
  </si>
  <si>
    <t>g_Wagga_AUS-UpperTumut_AUS</t>
  </si>
  <si>
    <t>g_Walkamin_AUS-Strathmore_AUS</t>
  </si>
  <si>
    <t>g_Yandin_AUS-Perth_AUS</t>
  </si>
  <si>
    <t>commodity</t>
  </si>
  <si>
    <t>flo_mark</t>
  </si>
  <si>
    <t>lim_type</t>
  </si>
  <si>
    <t>e_demand_Perth_AUS</t>
  </si>
  <si>
    <t>elc_buildings</t>
  </si>
  <si>
    <t>lo</t>
  </si>
  <si>
    <t>elc_transport</t>
  </si>
  <si>
    <t>elc_roadtransport</t>
  </si>
  <si>
    <t>e_demand_Murarrie_AUS</t>
  </si>
  <si>
    <t>e_demand_SydneyWest_AUS</t>
  </si>
  <si>
    <t>e_demand_Altona_AUS</t>
  </si>
  <si>
    <t>e_demand_Sheffield_AUS</t>
  </si>
  <si>
    <t>e_demand_Calvale_AUS</t>
  </si>
  <si>
    <t>e_demand_Armidale_AUS</t>
  </si>
  <si>
    <t>e_demand_Davenport_AUS</t>
  </si>
  <si>
    <t>e_demand_Cultana_AUS</t>
  </si>
  <si>
    <t>e_demand_Nebo_AUS</t>
  </si>
  <si>
    <t>e_demand_Dubbo_AUS</t>
  </si>
  <si>
    <t>e_demand_DarlingtonPoint_AUS</t>
  </si>
  <si>
    <t>e_demand_Tarong_AUS</t>
  </si>
  <si>
    <t>e_demand_Blackwall_AUS</t>
  </si>
  <si>
    <t>e_demand_Bouldercombe_AUS</t>
  </si>
  <si>
    <t>e_demand_Lilyvale_AUS</t>
  </si>
  <si>
    <t>e_demand_Wagga_AUS</t>
  </si>
  <si>
    <t>e_demand_DaptoBulkSupply_AUS</t>
  </si>
  <si>
    <t>e_demand_BulliCreek_AUS</t>
  </si>
  <si>
    <t>e_demand_Palmerston_AUS</t>
  </si>
  <si>
    <t>e_demand_SydneyNorthBulkSup_AUS</t>
  </si>
  <si>
    <t>e_demand_UpperTumut_AUS</t>
  </si>
  <si>
    <t>e_demand_Rowville_AUS</t>
  </si>
  <si>
    <t>e_demand_KangarooValleyTran_AUS</t>
  </si>
  <si>
    <t>e_demand_Geelong_AUS</t>
  </si>
  <si>
    <t>e_demand_Farrell_AUS</t>
  </si>
  <si>
    <t>e_demand_Tarrone_AUS</t>
  </si>
  <si>
    <t>e_demand_CalliopeRiver_AUS</t>
  </si>
  <si>
    <t>e_demand_Hazelwood_AUS</t>
  </si>
  <si>
    <t>e_demand_Karratha_AUS</t>
  </si>
  <si>
    <t>e_demand_TemplersWest_AUS</t>
  </si>
  <si>
    <t>e_demand_Canberra_AUS</t>
  </si>
  <si>
    <t>e_demand_SydneySouthBulkSup_AUS</t>
  </si>
  <si>
    <t>e_demand_Walkamin_AUS</t>
  </si>
  <si>
    <t>e_demand_BrokenHill_AUS</t>
  </si>
  <si>
    <t>e_demand_TorrensIslandBatte_AUS</t>
  </si>
  <si>
    <t>e_demand_CentralCoast_AUS</t>
  </si>
  <si>
    <t>e_demand_Sydney_AUS</t>
  </si>
  <si>
    <t>e_demand_AUS42p8S146p2E_AUS</t>
  </si>
  <si>
    <t>e_demand_Australind_AUS</t>
  </si>
  <si>
    <t>e_demand_Kalgoorlie_AUS</t>
  </si>
  <si>
    <t>ev_battery_Perth_AUS</t>
  </si>
  <si>
    <t>ev_battery_Murarrie_AUS</t>
  </si>
  <si>
    <t>ev_battery_SydneyWest_AUS</t>
  </si>
  <si>
    <t>ev_battery_Altona_AUS</t>
  </si>
  <si>
    <t>ev_battery_Sheffield_AUS</t>
  </si>
  <si>
    <t>ev_battery_Calvale_AUS</t>
  </si>
  <si>
    <t>ev_battery_Armidale_AUS</t>
  </si>
  <si>
    <t>ev_battery_Davenport_AUS</t>
  </si>
  <si>
    <t>ev_battery_Cultana_AUS</t>
  </si>
  <si>
    <t>ev_battery_Nebo_AUS</t>
  </si>
  <si>
    <t>ev_battery_Dubbo_AUS</t>
  </si>
  <si>
    <t>ev_battery_DarlingtonPoint_AUS</t>
  </si>
  <si>
    <t>ev_battery_Tarong_AUS</t>
  </si>
  <si>
    <t>ev_battery_Blackwall_AUS</t>
  </si>
  <si>
    <t>ev_battery_Bouldercombe_AUS</t>
  </si>
  <si>
    <t>ev_battery_Lilyvale_AUS</t>
  </si>
  <si>
    <t>ev_battery_Wagga_AUS</t>
  </si>
  <si>
    <t>ev_battery_DaptoBulkSupply_AUS</t>
  </si>
  <si>
    <t>ev_battery_BulliCreek_AUS</t>
  </si>
  <si>
    <t>ev_battery_Palmerston_AUS</t>
  </si>
  <si>
    <t>ev_battery_SydneyNorthBulkSup_AUS</t>
  </si>
  <si>
    <t>ev_battery_UpperTumut_AUS</t>
  </si>
  <si>
    <t>ev_battery_Rowville_AUS</t>
  </si>
  <si>
    <t>ev_battery_KangarooValleyTran_AUS</t>
  </si>
  <si>
    <t>ev_battery_Geelong_AUS</t>
  </si>
  <si>
    <t>ev_battery_Farrell_AUS</t>
  </si>
  <si>
    <t>ev_battery_Tarrone_AUS</t>
  </si>
  <si>
    <t>ev_battery_CalliopeRiver_AUS</t>
  </si>
  <si>
    <t>ev_battery_Hazelwood_AUS</t>
  </si>
  <si>
    <t>ev_battery_Karratha_AUS</t>
  </si>
  <si>
    <t>ev_battery_TemplersWest_AUS</t>
  </si>
  <si>
    <t>ev_battery_Canberra_AUS</t>
  </si>
  <si>
    <t>ev_battery_SydneySouthBulkSup_AUS</t>
  </si>
  <si>
    <t>ev_battery_Walkamin_AUS</t>
  </si>
  <si>
    <t>ev_battery_BrokenHill_AUS</t>
  </si>
  <si>
    <t>ev_battery_TorrensIslandBatte_AUS</t>
  </si>
  <si>
    <t>ev_battery_CentralCoast_AUS</t>
  </si>
  <si>
    <t>ev_battery_Sydney_AUS</t>
  </si>
  <si>
    <t>ev_battery_AUS42p8S146p2E_AUS</t>
  </si>
  <si>
    <t>ev_battery_Australind_AUS</t>
  </si>
  <si>
    <t>ev_battery_Kalgoorlie_AUS</t>
  </si>
  <si>
    <t>H2prd_Elc_PEM_Perth_AUS</t>
  </si>
  <si>
    <t>H2prd_Elc_PEM_Murarrie_AUS</t>
  </si>
  <si>
    <t>H2prd_Elc_PEM_SydneyWest_AUS</t>
  </si>
  <si>
    <t>H2prd_Elc_PEM_Altona_AUS</t>
  </si>
  <si>
    <t>H2prd_Elc_PEM_Sheffield_AUS</t>
  </si>
  <si>
    <t>H2prd_Elc_PEM_Calvale_AUS</t>
  </si>
  <si>
    <t>H2prd_Elc_PEM_Armidale_AUS</t>
  </si>
  <si>
    <t>H2prd_Elc_PEM_Davenport_AUS</t>
  </si>
  <si>
    <t>H2prd_Elc_PEM_Cultana_AUS</t>
  </si>
  <si>
    <t>H2prd_Elc_PEM_Nebo_AUS</t>
  </si>
  <si>
    <t>H2prd_Elc_PEM_Dubbo_AUS</t>
  </si>
  <si>
    <t>H2prd_Elc_PEM_DarlingtonPoint_AUS</t>
  </si>
  <si>
    <t>H2prd_Elc_PEM_Tarong_AUS</t>
  </si>
  <si>
    <t>H2prd_Elc_PEM_Blackwall_AUS</t>
  </si>
  <si>
    <t>H2prd_Elc_PEM_Bouldercombe_AUS</t>
  </si>
  <si>
    <t>H2prd_Elc_PEM_Lilyvale_AUS</t>
  </si>
  <si>
    <t>H2prd_Elc_PEM_Wagga_AUS</t>
  </si>
  <si>
    <t>H2prd_Elc_PEM_DaptoBulkSupply_AUS</t>
  </si>
  <si>
    <t>H2prd_Elc_PEM_BulliCreek_AUS</t>
  </si>
  <si>
    <t>H2prd_Elc_PEM_Palmerston_AUS</t>
  </si>
  <si>
    <t>H2prd_Elc_PEM_SydneyNorthBulkSup_AUS</t>
  </si>
  <si>
    <t>H2prd_Elc_PEM_UpperTumut_AUS</t>
  </si>
  <si>
    <t>H2prd_Elc_PEM_Rowville_AUS</t>
  </si>
  <si>
    <t>H2prd_Elc_PEM_KangarooValleyTran_AUS</t>
  </si>
  <si>
    <t>H2prd_Elc_PEM_Geelong_AUS</t>
  </si>
  <si>
    <t>H2prd_Elc_PEM_Farrell_AUS</t>
  </si>
  <si>
    <t>H2prd_Elc_PEM_Tarrone_AUS</t>
  </si>
  <si>
    <t>H2prd_Elc_PEM_CalliopeRiver_AUS</t>
  </si>
  <si>
    <t>H2prd_Elc_PEM_Hazelwood_AUS</t>
  </si>
  <si>
    <t>H2prd_Elc_PEM_Karratha_AUS</t>
  </si>
  <si>
    <t>H2prd_Elc_PEM_TemplersWest_AUS</t>
  </si>
  <si>
    <t>H2prd_Elc_PEM_Canberra_AUS</t>
  </si>
  <si>
    <t>H2prd_Elc_PEM_SydneySouthBulkSup_AUS</t>
  </si>
  <si>
    <t>H2prd_Elc_PEM_Walkamin_AUS</t>
  </si>
  <si>
    <t>H2prd_Elc_PEM_BrokenHill_AUS</t>
  </si>
  <si>
    <t>H2prd_Elc_PEM_TorrensIslandBatte_AUS</t>
  </si>
  <si>
    <t>H2prd_Elc_PEM_CentralCoast_AUS</t>
  </si>
  <si>
    <t>H2prd_Elc_PEM_Sydney_AUS</t>
  </si>
  <si>
    <t>H2prd_Elc_PEM_AUS42p8S146p2E_AUS</t>
  </si>
  <si>
    <t>H2prd_Elc_PEM_Australind_AUS</t>
  </si>
  <si>
    <t>H2prd_Elc_PEM_Kalgoorlie_AUS</t>
  </si>
  <si>
    <t>H2prd_Elc_ALK_Perth_AUS</t>
  </si>
  <si>
    <t>H2prd_Elc_ALK_Murarrie_AUS</t>
  </si>
  <si>
    <t>H2prd_Elc_ALK_SydneyWest_AUS</t>
  </si>
  <si>
    <t>H2prd_Elc_ALK_Altona_AUS</t>
  </si>
  <si>
    <t>H2prd_Elc_ALK_Sheffield_AUS</t>
  </si>
  <si>
    <t>H2prd_Elc_ALK_Calvale_AUS</t>
  </si>
  <si>
    <t>H2prd_Elc_ALK_Armidale_AUS</t>
  </si>
  <si>
    <t>H2prd_Elc_ALK_Davenport_AUS</t>
  </si>
  <si>
    <t>H2prd_Elc_ALK_Cultana_AUS</t>
  </si>
  <si>
    <t>H2prd_Elc_ALK_Nebo_AUS</t>
  </si>
  <si>
    <t>H2prd_Elc_ALK_Dubbo_AUS</t>
  </si>
  <si>
    <t>H2prd_Elc_ALK_DarlingtonPoint_AUS</t>
  </si>
  <si>
    <t>H2prd_Elc_ALK_Tarong_AUS</t>
  </si>
  <si>
    <t>H2prd_Elc_ALK_Blackwall_AUS</t>
  </si>
  <si>
    <t>H2prd_Elc_ALK_Bouldercombe_AUS</t>
  </si>
  <si>
    <t>H2prd_Elc_ALK_Lilyvale_AUS</t>
  </si>
  <si>
    <t>H2prd_Elc_ALK_Wagga_AUS</t>
  </si>
  <si>
    <t>H2prd_Elc_ALK_DaptoBulkSupply_AUS</t>
  </si>
  <si>
    <t>H2prd_Elc_ALK_BulliCreek_AUS</t>
  </si>
  <si>
    <t>H2prd_Elc_ALK_Palmerston_AUS</t>
  </si>
  <si>
    <t>H2prd_Elc_ALK_SydneyNorthBulkSup_AUS</t>
  </si>
  <si>
    <t>H2prd_Elc_ALK_UpperTumut_AUS</t>
  </si>
  <si>
    <t>H2prd_Elc_ALK_Rowville_AUS</t>
  </si>
  <si>
    <t>H2prd_Elc_ALK_KangarooValleyTran_AUS</t>
  </si>
  <si>
    <t>H2prd_Elc_ALK_Geelong_AUS</t>
  </si>
  <si>
    <t>H2prd_Elc_ALK_Farrell_AUS</t>
  </si>
  <si>
    <t>H2prd_Elc_ALK_Tarrone_AUS</t>
  </si>
  <si>
    <t>H2prd_Elc_ALK_CalliopeRiver_AUS</t>
  </si>
  <si>
    <t>H2prd_Elc_ALK_Hazelwood_AUS</t>
  </si>
  <si>
    <t>H2prd_Elc_ALK_Karratha_AUS</t>
  </si>
  <si>
    <t>H2prd_Elc_ALK_TemplersWest_AUS</t>
  </si>
  <si>
    <t>H2prd_Elc_ALK_Canberra_AUS</t>
  </si>
  <si>
    <t>H2prd_Elc_ALK_SydneySouthBulkSup_AUS</t>
  </si>
  <si>
    <t>H2prd_Elc_ALK_Walkamin_AUS</t>
  </si>
  <si>
    <t>H2prd_Elc_ALK_BrokenHill_AUS</t>
  </si>
  <si>
    <t>H2prd_Elc_ALK_TorrensIslandBatte_AUS</t>
  </si>
  <si>
    <t>H2prd_Elc_ALK_CentralCoast_AUS</t>
  </si>
  <si>
    <t>H2prd_Elc_ALK_Sydney_AUS</t>
  </si>
  <si>
    <t>H2prd_Elc_ALK_AUS42p8S146p2E_AUS</t>
  </si>
  <si>
    <t>H2prd_Elc_ALK_Australind_AUS</t>
  </si>
  <si>
    <t>H2prd_Elc_ALK_Kalgoorlie_AUS</t>
  </si>
  <si>
    <t>elc_industry</t>
  </si>
  <si>
    <t>e_demand_Strathmore_AUS</t>
  </si>
  <si>
    <t>e_demand_OlympicDamWest_AUS</t>
  </si>
  <si>
    <t>e_demand_TomPriceMine_AUS</t>
  </si>
  <si>
    <t>e_demand_Eurombah_AUS</t>
  </si>
  <si>
    <t>e_demand_Morawa_AUS</t>
  </si>
  <si>
    <t>e_demand_PortHedland_AUS</t>
  </si>
  <si>
    <t>e_demand_AUS22p5S119p9E_AUS</t>
  </si>
  <si>
    <t>e_demand_Newman_AUS</t>
  </si>
  <si>
    <t>ev_battery_Strathmore_AUS</t>
  </si>
  <si>
    <t>ev_battery_OlympicDamWest_AUS</t>
  </si>
  <si>
    <t>ev_battery_TomPriceMine_AUS</t>
  </si>
  <si>
    <t>ev_battery_Eurombah_AUS</t>
  </si>
  <si>
    <t>ev_battery_Morawa_AUS</t>
  </si>
  <si>
    <t>ev_battery_PortHedland_AUS</t>
  </si>
  <si>
    <t>ev_battery_AUS22p5S119p9E_AUS</t>
  </si>
  <si>
    <t>ev_battery_Newman_AUS</t>
  </si>
  <si>
    <t>H2prd_Elc_PEM_Strathmore_AUS</t>
  </si>
  <si>
    <t>H2prd_Elc_PEM_OlympicDamWest_AUS</t>
  </si>
  <si>
    <t>H2prd_Elc_PEM_TomPriceMine_AUS</t>
  </si>
  <si>
    <t>H2prd_Elc_PEM_Eurombah_AUS</t>
  </si>
  <si>
    <t>H2prd_Elc_PEM_Morawa_AUS</t>
  </si>
  <si>
    <t>H2prd_Elc_PEM_PortHedland_AUS</t>
  </si>
  <si>
    <t>H2prd_Elc_PEM_AUS22p5S119p9E_AUS</t>
  </si>
  <si>
    <t>H2prd_Elc_PEM_Newman_AUS</t>
  </si>
  <si>
    <t>H2prd_Elc_ALK_Strathmore_AUS</t>
  </si>
  <si>
    <t>H2prd_Elc_ALK_OlympicDamWest_AUS</t>
  </si>
  <si>
    <t>H2prd_Elc_ALK_TomPriceMine_AUS</t>
  </si>
  <si>
    <t>H2prd_Elc_ALK_Eurombah_AUS</t>
  </si>
  <si>
    <t>H2prd_Elc_ALK_Morawa_AUS</t>
  </si>
  <si>
    <t>H2prd_Elc_ALK_PortHedland_AUS</t>
  </si>
  <si>
    <t>H2prd_Elc_ALK_AUS22p5S119p9E_AUS</t>
  </si>
  <si>
    <t>H2prd_Elc_ALK_Newman_AUS</t>
  </si>
  <si>
    <t>h_demand_Perth_AUS</t>
  </si>
  <si>
    <t>het_buildings</t>
  </si>
  <si>
    <t>het_industry</t>
  </si>
  <si>
    <t>h_demand_Blackwall_AUS</t>
  </si>
  <si>
    <t>h_demand_Strathmore_AUS</t>
  </si>
  <si>
    <t>h_demand_Nebo_AUS</t>
  </si>
  <si>
    <t>h_demand_Tarong_AUS</t>
  </si>
  <si>
    <t>h_demand_Walkamin_AUS</t>
  </si>
  <si>
    <t>h_demand_Altona_AUS</t>
  </si>
  <si>
    <t>h_demand_CentralCoast_AUS</t>
  </si>
  <si>
    <t>h_demand_TorrensIslandBatte_AUS</t>
  </si>
  <si>
    <t>h_demand_SydneyWest_AUS</t>
  </si>
  <si>
    <t>h_demand_Australind_AUS</t>
  </si>
  <si>
    <t>h_demand_Newman_AUS</t>
  </si>
  <si>
    <t>h_demand_CalliopeRiver_AUS</t>
  </si>
  <si>
    <t>~TFM_TOPDINS</t>
  </si>
  <si>
    <t>region</t>
  </si>
  <si>
    <t>io</t>
  </si>
  <si>
    <t>e_Perth_AUS</t>
  </si>
  <si>
    <t>IN</t>
  </si>
  <si>
    <t>e_Murarrie_AUS</t>
  </si>
  <si>
    <t>e_SydneyWest_AUS</t>
  </si>
  <si>
    <t>e_Altona_AUS</t>
  </si>
  <si>
    <t>e_Sheffield_AUS</t>
  </si>
  <si>
    <t>e_Calvale_AUS</t>
  </si>
  <si>
    <t>e_Armidale_AUS</t>
  </si>
  <si>
    <t>e_Davenport_AUS</t>
  </si>
  <si>
    <t>e_Cultana_AUS</t>
  </si>
  <si>
    <t>e_Nebo_AUS</t>
  </si>
  <si>
    <t>e_Dubbo_AUS</t>
  </si>
  <si>
    <t>e_DarlingtonPoint_AUS</t>
  </si>
  <si>
    <t>e_Tarong_AUS</t>
  </si>
  <si>
    <t>e_Blackwall_AUS</t>
  </si>
  <si>
    <t>e_Bouldercombe_AUS</t>
  </si>
  <si>
    <t>e_Lilyvale_AUS</t>
  </si>
  <si>
    <t>e_Wagga_AUS</t>
  </si>
  <si>
    <t>e_DaptoBulkSupply_AUS</t>
  </si>
  <si>
    <t>e_BulliCreek_AUS</t>
  </si>
  <si>
    <t>e_Palmerston_AUS</t>
  </si>
  <si>
    <t>e_SydneyNorthBulkSup_AUS</t>
  </si>
  <si>
    <t>e_UpperTumut_AUS</t>
  </si>
  <si>
    <t>e_Rowville_AUS</t>
  </si>
  <si>
    <t>e_KangarooValleyTran_AUS</t>
  </si>
  <si>
    <t>e_Geelong_AUS</t>
  </si>
  <si>
    <t>e_Farrell_AUS</t>
  </si>
  <si>
    <t>e_Tarrone_AUS</t>
  </si>
  <si>
    <t>e_CalliopeRiver_AUS</t>
  </si>
  <si>
    <t>e_Hazelwood_AUS</t>
  </si>
  <si>
    <t>e_Karratha_AUS</t>
  </si>
  <si>
    <t>e_TemplersWest_AUS</t>
  </si>
  <si>
    <t>e_Canberra_AUS</t>
  </si>
  <si>
    <t>e_SydneySouthBulkSup_AUS</t>
  </si>
  <si>
    <t>e_Walkamin_AUS</t>
  </si>
  <si>
    <t>e_BrokenHill_AUS</t>
  </si>
  <si>
    <t>e_TorrensIslandBatte_AUS</t>
  </si>
  <si>
    <t>e_CentralCoast_AUS</t>
  </si>
  <si>
    <t>e_Sydney_AUS</t>
  </si>
  <si>
    <t>e_AUS42p8S146p2E_AUS</t>
  </si>
  <si>
    <t>e_Australind_AUS</t>
  </si>
  <si>
    <t>e_Kalgoorlie_AUS</t>
  </si>
  <si>
    <t>e_Strathmore_AUS</t>
  </si>
  <si>
    <t>e_OlympicDamWest_AUS</t>
  </si>
  <si>
    <t>e_TomPriceMine_AUS</t>
  </si>
  <si>
    <t>e_Eurombah_AUS</t>
  </si>
  <si>
    <t>e_Morawa_AUS</t>
  </si>
  <si>
    <t>e_PortHedland_AUS</t>
  </si>
  <si>
    <t>e_AUS22p5S119p9E_AUS</t>
  </si>
  <si>
    <t>e_Newman_AUS</t>
  </si>
  <si>
    <t>h_Perth_AUS</t>
  </si>
  <si>
    <t>h_Blackwall_AUS</t>
  </si>
  <si>
    <t>h_Strathmore_AUS</t>
  </si>
  <si>
    <t>h_Nebo_AUS</t>
  </si>
  <si>
    <t>h_Tarong_AUS</t>
  </si>
  <si>
    <t>h_Walkamin_AUS</t>
  </si>
  <si>
    <t>h_Altona_AUS</t>
  </si>
  <si>
    <t>h_demand_Chumvale_AUS</t>
  </si>
  <si>
    <t>h_Chumvale_AUS</t>
  </si>
  <si>
    <t>h_CentralCoast_AUS</t>
  </si>
  <si>
    <t>h_TorrensIslandBatte_AUS</t>
  </si>
  <si>
    <t>h_SydneyWest_AUS</t>
  </si>
  <si>
    <t>h_Australind_AUS</t>
  </si>
  <si>
    <t>h_Newman_AUS</t>
  </si>
  <si>
    <t>h_CalliopeRiver_AUS</t>
  </si>
  <si>
    <t>en_gas_ccgt_Perth_AUS</t>
  </si>
  <si>
    <t>OUT</t>
  </si>
  <si>
    <t>en_gas_turbine_Perth_AUS</t>
  </si>
  <si>
    <t>en_gas_ccs_Perth_AUS</t>
  </si>
  <si>
    <t>en_coal_subcritical_Perth_AUS</t>
  </si>
  <si>
    <t>en_coal_supercritical_Perth_AUS</t>
  </si>
  <si>
    <t>en_coal_ultrasupercritical_Perth_AUS</t>
  </si>
  <si>
    <t>en_coal_igcc_Perth_AUS</t>
  </si>
  <si>
    <t>en_nuclear_Perth_AUS</t>
  </si>
  <si>
    <t>en_nuclear_smr_Perth_AUS</t>
  </si>
  <si>
    <t>en_biomass_Perth_AUS</t>
  </si>
  <si>
    <t>en_chp_gas_cc_ext_Perth_AUS</t>
  </si>
  <si>
    <t>en_chp_biomass_chips_ext_Perth_AUS</t>
  </si>
  <si>
    <t>en_chp_gas_cc_ext_ccs_Perth_AUS</t>
  </si>
  <si>
    <t>en_hop_gas_boiler_Perth_AUS</t>
  </si>
  <si>
    <t>en_hop_biomass_chips_Perth_AUS</t>
  </si>
  <si>
    <t>en_hop_electric_boiler_Perth_AUS</t>
  </si>
  <si>
    <t>en_hp_air_10mw_Perth_AUS</t>
  </si>
  <si>
    <t>en_gas_ccgt_Murarrie_AUS</t>
  </si>
  <si>
    <t>en_gas_turbine_Murarrie_AUS</t>
  </si>
  <si>
    <t>en_gas_ccs_Murarrie_AUS</t>
  </si>
  <si>
    <t>en_coal_subcritical_Murarrie_AUS</t>
  </si>
  <si>
    <t>en_coal_supercritical_Murarrie_AUS</t>
  </si>
  <si>
    <t>en_coal_ultrasupercritical_Murarrie_AUS</t>
  </si>
  <si>
    <t>en_coal_igcc_Murarrie_AUS</t>
  </si>
  <si>
    <t>en_nuclear_Murarrie_AUS</t>
  </si>
  <si>
    <t>en_nuclear_smr_Murarrie_AUS</t>
  </si>
  <si>
    <t>en_biomass_Murarrie_AUS</t>
  </si>
  <si>
    <t>en_chp_gas_cc_ext_Murarrie_AUS</t>
  </si>
  <si>
    <t>h_Murarrie_AUS</t>
  </si>
  <si>
    <t>en_chp_biomass_chips_ext_Murarrie_AUS</t>
  </si>
  <si>
    <t>en_chp_gas_cc_ext_ccs_Murarrie_AUS</t>
  </si>
  <si>
    <t>en_hop_gas_boiler_Murarrie_AUS</t>
  </si>
  <si>
    <t>en_hop_biomass_chips_Murarrie_AUS</t>
  </si>
  <si>
    <t>en_hop_electric_boiler_Murarrie_AUS</t>
  </si>
  <si>
    <t>en_hp_air_10mw_Murarrie_AUS</t>
  </si>
  <si>
    <t>en_gas_ccgt_SydneyWest_AUS</t>
  </si>
  <si>
    <t>en_gas_turbine_SydneyWest_AUS</t>
  </si>
  <si>
    <t>en_gas_ccs_SydneyWest_AUS</t>
  </si>
  <si>
    <t>en_coal_subcritical_SydneyWest_AUS</t>
  </si>
  <si>
    <t>en_coal_supercritical_SydneyWest_AUS</t>
  </si>
  <si>
    <t>en_coal_ultrasupercritical_SydneyWest_AUS</t>
  </si>
  <si>
    <t>en_coal_igcc_SydneyWest_AUS</t>
  </si>
  <si>
    <t>en_nuclear_SydneyWest_AUS</t>
  </si>
  <si>
    <t>en_nuclear_smr_SydneyWest_AUS</t>
  </si>
  <si>
    <t>en_biomass_SydneyWest_AUS</t>
  </si>
  <si>
    <t>en_chp_gas_cc_ext_SydneyWest_AUS</t>
  </si>
  <si>
    <t>en_chp_biomass_chips_ext_SydneyWest_AUS</t>
  </si>
  <si>
    <t>en_chp_gas_cc_ext_ccs_SydneyWest_AUS</t>
  </si>
  <si>
    <t>en_hop_gas_boiler_SydneyWest_AUS</t>
  </si>
  <si>
    <t>en_hop_biomass_chips_SydneyWest_AUS</t>
  </si>
  <si>
    <t>en_hop_electric_boiler_SydneyWest_AUS</t>
  </si>
  <si>
    <t>en_hp_air_10mw_SydneyWest_AUS</t>
  </si>
  <si>
    <t>en_gas_ccgt_Altona_AUS</t>
  </si>
  <si>
    <t>en_gas_turbine_Altona_AUS</t>
  </si>
  <si>
    <t>en_gas_ccs_Altona_AUS</t>
  </si>
  <si>
    <t>en_coal_subcritical_Altona_AUS</t>
  </si>
  <si>
    <t>en_coal_supercritical_Altona_AUS</t>
  </si>
  <si>
    <t>en_coal_ultrasupercritical_Altona_AUS</t>
  </si>
  <si>
    <t>en_coal_igcc_Altona_AUS</t>
  </si>
  <si>
    <t>en_nuclear_Altona_AUS</t>
  </si>
  <si>
    <t>en_nuclear_smr_Altona_AUS</t>
  </si>
  <si>
    <t>en_biomass_Altona_AUS</t>
  </si>
  <si>
    <t>en_chp_gas_cc_ext_Altona_AUS</t>
  </si>
  <si>
    <t>en_chp_biomass_chips_ext_Altona_AUS</t>
  </si>
  <si>
    <t>en_chp_gas_cc_ext_ccs_Altona_AUS</t>
  </si>
  <si>
    <t>en_hop_gas_boiler_Altona_AUS</t>
  </si>
  <si>
    <t>en_hop_biomass_chips_Altona_AUS</t>
  </si>
  <si>
    <t>en_hop_electric_boiler_Altona_AUS</t>
  </si>
  <si>
    <t>en_hp_air_10mw_Altona_AUS</t>
  </si>
  <si>
    <t>en_gas_ccgt_Sheffield_AUS</t>
  </si>
  <si>
    <t>en_gas_turbine_Sheffield_AUS</t>
  </si>
  <si>
    <t>en_gas_ccs_Sheffield_AUS</t>
  </si>
  <si>
    <t>en_coal_subcritical_Sheffield_AUS</t>
  </si>
  <si>
    <t>en_coal_supercritical_Sheffield_AUS</t>
  </si>
  <si>
    <t>en_coal_ultrasupercritical_Sheffield_AUS</t>
  </si>
  <si>
    <t>en_coal_igcc_Sheffield_AUS</t>
  </si>
  <si>
    <t>en_nuclear_Sheffield_AUS</t>
  </si>
  <si>
    <t>en_nuclear_smr_Sheffield_AUS</t>
  </si>
  <si>
    <t>en_biomass_Sheffield_AUS</t>
  </si>
  <si>
    <t>en_chp_gas_cc_ext_Sheffield_AUS</t>
  </si>
  <si>
    <t>h_Sheffield_AUS</t>
  </si>
  <si>
    <t>en_chp_biomass_chips_ext_Sheffield_AUS</t>
  </si>
  <si>
    <t>en_chp_gas_cc_ext_ccs_Sheffield_AUS</t>
  </si>
  <si>
    <t>en_hop_gas_boiler_Sheffield_AUS</t>
  </si>
  <si>
    <t>en_hop_biomass_chips_Sheffield_AUS</t>
  </si>
  <si>
    <t>en_hop_electric_boiler_Sheffield_AUS</t>
  </si>
  <si>
    <t>en_hp_air_10mw_Sheffield_AUS</t>
  </si>
  <si>
    <t>en_gas_ccgt_Calvale_AUS</t>
  </si>
  <si>
    <t>en_gas_turbine_Calvale_AUS</t>
  </si>
  <si>
    <t>en_gas_ccs_Calvale_AUS</t>
  </si>
  <si>
    <t>en_coal_subcritical_Calvale_AUS</t>
  </si>
  <si>
    <t>en_coal_supercritical_Calvale_AUS</t>
  </si>
  <si>
    <t>en_coal_ultrasupercritical_Calvale_AUS</t>
  </si>
  <si>
    <t>en_coal_igcc_Calvale_AUS</t>
  </si>
  <si>
    <t>en_nuclear_Calvale_AUS</t>
  </si>
  <si>
    <t>en_nuclear_smr_Calvale_AUS</t>
  </si>
  <si>
    <t>en_biomass_Calvale_AUS</t>
  </si>
  <si>
    <t>en_chp_gas_cc_ext_Calvale_AUS</t>
  </si>
  <si>
    <t>h_Calvale_AUS</t>
  </si>
  <si>
    <t>en_chp_biomass_chips_ext_Calvale_AUS</t>
  </si>
  <si>
    <t>en_chp_gas_cc_ext_ccs_Calvale_AUS</t>
  </si>
  <si>
    <t>en_hop_gas_boiler_Calvale_AUS</t>
  </si>
  <si>
    <t>en_hop_biomass_chips_Calvale_AUS</t>
  </si>
  <si>
    <t>en_hop_electric_boiler_Calvale_AUS</t>
  </si>
  <si>
    <t>en_hp_air_10mw_Calvale_AUS</t>
  </si>
  <si>
    <t>en_gas_ccgt_Broadsound_AUS</t>
  </si>
  <si>
    <t>e_Broadsound_AUS</t>
  </si>
  <si>
    <t>en_gas_turbine_Broadsound_AUS</t>
  </si>
  <si>
    <t>en_gas_ccs_Broadsound_AUS</t>
  </si>
  <si>
    <t>en_coal_subcritical_Broadsound_AUS</t>
  </si>
  <si>
    <t>en_coal_supercritical_Broadsound_AUS</t>
  </si>
  <si>
    <t>en_coal_ultrasupercritical_Broadsound_AUS</t>
  </si>
  <si>
    <t>en_coal_igcc_Broadsound_AUS</t>
  </si>
  <si>
    <t>en_nuclear_Broadsound_AUS</t>
  </si>
  <si>
    <t>en_nuclear_smr_Broadsound_AUS</t>
  </si>
  <si>
    <t>en_biomass_Broadsound_AUS</t>
  </si>
  <si>
    <t>en_chp_gas_cc_ext_Broadsound_AUS</t>
  </si>
  <si>
    <t>h_Broadsound_AUS</t>
  </si>
  <si>
    <t>en_chp_biomass_chips_ext_Broadsound_AUS</t>
  </si>
  <si>
    <t>en_chp_gas_cc_ext_ccs_Broadsound_AUS</t>
  </si>
  <si>
    <t>en_hop_gas_boiler_Broadsound_AUS</t>
  </si>
  <si>
    <t>en_hop_biomass_chips_Broadsound_AUS</t>
  </si>
  <si>
    <t>en_hop_electric_boiler_Broadsound_AUS</t>
  </si>
  <si>
    <t>en_hp_air_10mw_Broadsound_AUS</t>
  </si>
  <si>
    <t>en_gas_ccgt_Armidale_AUS</t>
  </si>
  <si>
    <t>en_gas_turbine_Armidale_AUS</t>
  </si>
  <si>
    <t>en_gas_ccs_Armidale_AUS</t>
  </si>
  <si>
    <t>en_coal_subcritical_Armidale_AUS</t>
  </si>
  <si>
    <t>en_coal_supercritical_Armidale_AUS</t>
  </si>
  <si>
    <t>en_coal_ultrasupercritical_Armidale_AUS</t>
  </si>
  <si>
    <t>en_coal_igcc_Armidale_AUS</t>
  </si>
  <si>
    <t>en_nuclear_Armidale_AUS</t>
  </si>
  <si>
    <t>en_nuclear_smr_Armidale_AUS</t>
  </si>
  <si>
    <t>en_biomass_Armidale_AUS</t>
  </si>
  <si>
    <t>en_chp_gas_cc_ext_Armidale_AUS</t>
  </si>
  <si>
    <t>h_Armidale_AUS</t>
  </si>
  <si>
    <t>en_chp_biomass_chips_ext_Armidale_AUS</t>
  </si>
  <si>
    <t>en_chp_gas_cc_ext_ccs_Armidale_AUS</t>
  </si>
  <si>
    <t>en_hop_gas_boiler_Armidale_AUS</t>
  </si>
  <si>
    <t>en_hop_biomass_chips_Armidale_AUS</t>
  </si>
  <si>
    <t>en_hop_electric_boiler_Armidale_AUS</t>
  </si>
  <si>
    <t>en_hp_air_10mw_Armidale_AUS</t>
  </si>
  <si>
    <t>en_gas_ccgt_Davenport_AUS</t>
  </si>
  <si>
    <t>en_gas_turbine_Davenport_AUS</t>
  </si>
  <si>
    <t>en_gas_ccs_Davenport_AUS</t>
  </si>
  <si>
    <t>en_coal_subcritical_Davenport_AUS</t>
  </si>
  <si>
    <t>en_coal_supercritical_Davenport_AUS</t>
  </si>
  <si>
    <t>en_coal_ultrasupercritical_Davenport_AUS</t>
  </si>
  <si>
    <t>en_coal_igcc_Davenport_AUS</t>
  </si>
  <si>
    <t>en_nuclear_Davenport_AUS</t>
  </si>
  <si>
    <t>en_nuclear_smr_Davenport_AUS</t>
  </si>
  <si>
    <t>en_biomass_Davenport_AUS</t>
  </si>
  <si>
    <t>en_chp_gas_cc_ext_Davenport_AUS</t>
  </si>
  <si>
    <t>h_Davenport_AUS</t>
  </si>
  <si>
    <t>en_chp_biomass_chips_ext_Davenport_AUS</t>
  </si>
  <si>
    <t>en_chp_gas_cc_ext_ccs_Davenport_AUS</t>
  </si>
  <si>
    <t>en_hop_gas_boiler_Davenport_AUS</t>
  </si>
  <si>
    <t>en_hop_biomass_chips_Davenport_AUS</t>
  </si>
  <si>
    <t>en_hop_electric_boiler_Davenport_AUS</t>
  </si>
  <si>
    <t>en_hp_air_10mw_Davenport_AUS</t>
  </si>
  <si>
    <t>en_gas_ccgt_Cultana_AUS</t>
  </si>
  <si>
    <t>en_gas_turbine_Cultana_AUS</t>
  </si>
  <si>
    <t>en_gas_ccs_Cultana_AUS</t>
  </si>
  <si>
    <t>en_coal_subcritical_Cultana_AUS</t>
  </si>
  <si>
    <t>en_coal_supercritical_Cultana_AUS</t>
  </si>
  <si>
    <t>en_coal_ultrasupercritical_Cultana_AUS</t>
  </si>
  <si>
    <t>en_coal_igcc_Cultana_AUS</t>
  </si>
  <si>
    <t>en_nuclear_Cultana_AUS</t>
  </si>
  <si>
    <t>en_nuclear_smr_Cultana_AUS</t>
  </si>
  <si>
    <t>en_biomass_Cultana_AUS</t>
  </si>
  <si>
    <t>en_chp_gas_cc_ext_Cultana_AUS</t>
  </si>
  <si>
    <t>h_Cultana_AUS</t>
  </si>
  <si>
    <t>en_chp_biomass_chips_ext_Cultana_AUS</t>
  </si>
  <si>
    <t>en_chp_gas_cc_ext_ccs_Cultana_AUS</t>
  </si>
  <si>
    <t>en_hop_gas_boiler_Cultana_AUS</t>
  </si>
  <si>
    <t>en_hop_biomass_chips_Cultana_AUS</t>
  </si>
  <si>
    <t>en_hop_electric_boiler_Cultana_AUS</t>
  </si>
  <si>
    <t>en_hp_air_10mw_Cultana_AUS</t>
  </si>
  <si>
    <t>en_gas_ccgt_Nebo_AUS</t>
  </si>
  <si>
    <t>en_gas_turbine_Nebo_AUS</t>
  </si>
  <si>
    <t>en_gas_ccs_Nebo_AUS</t>
  </si>
  <si>
    <t>en_coal_subcritical_Nebo_AUS</t>
  </si>
  <si>
    <t>en_coal_supercritical_Nebo_AUS</t>
  </si>
  <si>
    <t>en_coal_ultrasupercritical_Nebo_AUS</t>
  </si>
  <si>
    <t>en_coal_igcc_Nebo_AUS</t>
  </si>
  <si>
    <t>en_nuclear_Nebo_AUS</t>
  </si>
  <si>
    <t>en_nuclear_smr_Nebo_AUS</t>
  </si>
  <si>
    <t>en_biomass_Nebo_AUS</t>
  </si>
  <si>
    <t>en_chp_gas_cc_ext_Nebo_AUS</t>
  </si>
  <si>
    <t>en_chp_biomass_chips_ext_Nebo_AUS</t>
  </si>
  <si>
    <t>en_chp_gas_cc_ext_ccs_Nebo_AUS</t>
  </si>
  <si>
    <t>en_hop_gas_boiler_Nebo_AUS</t>
  </si>
  <si>
    <t>en_hop_biomass_chips_Nebo_AUS</t>
  </si>
  <si>
    <t>en_hop_electric_boiler_Nebo_AUS</t>
  </si>
  <si>
    <t>en_hp_air_10mw_Nebo_AUS</t>
  </si>
  <si>
    <t>en_gas_ccgt_Dubbo_AUS</t>
  </si>
  <si>
    <t>en_gas_turbine_Dubbo_AUS</t>
  </si>
  <si>
    <t>en_gas_ccs_Dubbo_AUS</t>
  </si>
  <si>
    <t>en_coal_subcritical_Dubbo_AUS</t>
  </si>
  <si>
    <t>en_coal_supercritical_Dubbo_AUS</t>
  </si>
  <si>
    <t>en_coal_ultrasupercritical_Dubbo_AUS</t>
  </si>
  <si>
    <t>en_coal_igcc_Dubbo_AUS</t>
  </si>
  <si>
    <t>en_nuclear_Dubbo_AUS</t>
  </si>
  <si>
    <t>en_nuclear_smr_Dubbo_AUS</t>
  </si>
  <si>
    <t>en_biomass_Dubbo_AUS</t>
  </si>
  <si>
    <t>en_chp_gas_cc_ext_Dubbo_AUS</t>
  </si>
  <si>
    <t>h_Dubbo_AUS</t>
  </si>
  <si>
    <t>en_chp_biomass_chips_ext_Dubbo_AUS</t>
  </si>
  <si>
    <t>en_chp_gas_cc_ext_ccs_Dubbo_AUS</t>
  </si>
  <si>
    <t>en_hop_gas_boiler_Dubbo_AUS</t>
  </si>
  <si>
    <t>en_hop_biomass_chips_Dubbo_AUS</t>
  </si>
  <si>
    <t>en_hop_electric_boiler_Dubbo_AUS</t>
  </si>
  <si>
    <t>en_hp_air_10mw_Dubbo_AUS</t>
  </si>
  <si>
    <t>en_gas_ccgt_DarlingtonPoint_AUS</t>
  </si>
  <si>
    <t>en_gas_turbine_DarlingtonPoint_AUS</t>
  </si>
  <si>
    <t>en_gas_ccs_DarlingtonPoint_AUS</t>
  </si>
  <si>
    <t>en_coal_subcritical_DarlingtonPoint_AUS</t>
  </si>
  <si>
    <t>en_coal_supercritical_DarlingtonPoint_AUS</t>
  </si>
  <si>
    <t>en_coal_ultrasupercritical_DarlingtonPoint_AUS</t>
  </si>
  <si>
    <t>en_coal_igcc_DarlingtonPoint_AUS</t>
  </si>
  <si>
    <t>en_nuclear_DarlingtonPoint_AUS</t>
  </si>
  <si>
    <t>en_nuclear_smr_DarlingtonPoint_AUS</t>
  </si>
  <si>
    <t>en_biomass_DarlingtonPoint_AUS</t>
  </si>
  <si>
    <t>en_chp_gas_cc_ext_DarlingtonPoint_AUS</t>
  </si>
  <si>
    <t>h_DarlingtonPoint_AUS</t>
  </si>
  <si>
    <t>en_chp_biomass_chips_ext_DarlingtonPoint_AUS</t>
  </si>
  <si>
    <t>en_chp_gas_cc_ext_ccs_DarlingtonPoint_AUS</t>
  </si>
  <si>
    <t>en_hop_gas_boiler_DarlingtonPoint_AUS</t>
  </si>
  <si>
    <t>en_hop_biomass_chips_DarlingtonPoint_AUS</t>
  </si>
  <si>
    <t>en_hop_electric_boiler_DarlingtonPoint_AUS</t>
  </si>
  <si>
    <t>en_hp_air_10mw_DarlingtonPoint_AUS</t>
  </si>
  <si>
    <t>en_gas_ccgt_Balranald_AUS</t>
  </si>
  <si>
    <t>e_Balranald_AUS</t>
  </si>
  <si>
    <t>en_gas_turbine_Balranald_AUS</t>
  </si>
  <si>
    <t>en_gas_ccs_Balranald_AUS</t>
  </si>
  <si>
    <t>en_coal_subcritical_Balranald_AUS</t>
  </si>
  <si>
    <t>en_coal_supercritical_Balranald_AUS</t>
  </si>
  <si>
    <t>en_coal_ultrasupercritical_Balranald_AUS</t>
  </si>
  <si>
    <t>en_coal_igcc_Balranald_AUS</t>
  </si>
  <si>
    <t>en_nuclear_Balranald_AUS</t>
  </si>
  <si>
    <t>en_nuclear_smr_Balranald_AUS</t>
  </si>
  <si>
    <t>en_biomass_Balranald_AUS</t>
  </si>
  <si>
    <t>en_chp_gas_cc_ext_Balranald_AUS</t>
  </si>
  <si>
    <t>h_Balranald_AUS</t>
  </si>
  <si>
    <t>en_chp_biomass_chips_ext_Balranald_AUS</t>
  </si>
  <si>
    <t>en_chp_gas_cc_ext_ccs_Balranald_AUS</t>
  </si>
  <si>
    <t>en_hop_gas_boiler_Balranald_AUS</t>
  </si>
  <si>
    <t>en_hop_biomass_chips_Balranald_AUS</t>
  </si>
  <si>
    <t>en_hop_electric_boiler_Balranald_AUS</t>
  </si>
  <si>
    <t>en_hp_air_10mw_Balranald_AUS</t>
  </si>
  <si>
    <t>en_gas_ccgt_Tarong_AUS</t>
  </si>
  <si>
    <t>en_gas_turbine_Tarong_AUS</t>
  </si>
  <si>
    <t>en_gas_ccs_Tarong_AUS</t>
  </si>
  <si>
    <t>en_coal_subcritical_Tarong_AUS</t>
  </si>
  <si>
    <t>en_coal_supercritical_Tarong_AUS</t>
  </si>
  <si>
    <t>en_coal_ultrasupercritical_Tarong_AUS</t>
  </si>
  <si>
    <t>en_coal_igcc_Tarong_AUS</t>
  </si>
  <si>
    <t>en_nuclear_Tarong_AUS</t>
  </si>
  <si>
    <t>en_nuclear_smr_Tarong_AUS</t>
  </si>
  <si>
    <t>en_biomass_Tarong_AUS</t>
  </si>
  <si>
    <t>en_chp_gas_cc_ext_Tarong_AUS</t>
  </si>
  <si>
    <t>en_chp_biomass_chips_ext_Tarong_AUS</t>
  </si>
  <si>
    <t>en_chp_gas_cc_ext_ccs_Tarong_AUS</t>
  </si>
  <si>
    <t>en_hop_gas_boiler_Tarong_AUS</t>
  </si>
  <si>
    <t>en_hop_biomass_chips_Tarong_AUS</t>
  </si>
  <si>
    <t>en_hop_electric_boiler_Tarong_AUS</t>
  </si>
  <si>
    <t>en_hp_air_10mw_Tarong_AUS</t>
  </si>
  <si>
    <t>en_gas_ccgt_Blackwall_AUS</t>
  </si>
  <si>
    <t>en_gas_turbine_Blackwall_AUS</t>
  </si>
  <si>
    <t>en_gas_ccs_Blackwall_AUS</t>
  </si>
  <si>
    <t>en_coal_subcritical_Blackwall_AUS</t>
  </si>
  <si>
    <t>en_coal_supercritical_Blackwall_AUS</t>
  </si>
  <si>
    <t>en_coal_ultrasupercritical_Blackwall_AUS</t>
  </si>
  <si>
    <t>en_coal_igcc_Blackwall_AUS</t>
  </si>
  <si>
    <t>en_nuclear_Blackwall_AUS</t>
  </si>
  <si>
    <t>en_nuclear_smr_Blackwall_AUS</t>
  </si>
  <si>
    <t>en_biomass_Blackwall_AUS</t>
  </si>
  <si>
    <t>en_chp_gas_cc_ext_Blackwall_AUS</t>
  </si>
  <si>
    <t>en_chp_biomass_chips_ext_Blackwall_AUS</t>
  </si>
  <si>
    <t>en_chp_gas_cc_ext_ccs_Blackwall_AUS</t>
  </si>
  <si>
    <t>en_hop_gas_boiler_Blackwall_AUS</t>
  </si>
  <si>
    <t>en_hop_biomass_chips_Blackwall_AUS</t>
  </si>
  <si>
    <t>en_hop_electric_boiler_Blackwall_AUS</t>
  </si>
  <si>
    <t>en_hp_air_10mw_Blackwall_AUS</t>
  </si>
  <si>
    <t>en_gas_ccgt_Bouldercombe_AUS</t>
  </si>
  <si>
    <t>en_gas_turbine_Bouldercombe_AUS</t>
  </si>
  <si>
    <t>en_gas_ccs_Bouldercombe_AUS</t>
  </si>
  <si>
    <t>en_coal_subcritical_Bouldercombe_AUS</t>
  </si>
  <si>
    <t>en_coal_supercritical_Bouldercombe_AUS</t>
  </si>
  <si>
    <t>en_coal_ultrasupercritical_Bouldercombe_AUS</t>
  </si>
  <si>
    <t>en_coal_igcc_Bouldercombe_AUS</t>
  </si>
  <si>
    <t>en_nuclear_Bouldercombe_AUS</t>
  </si>
  <si>
    <t>en_nuclear_smr_Bouldercombe_AUS</t>
  </si>
  <si>
    <t>en_biomass_Bouldercombe_AUS</t>
  </si>
  <si>
    <t>en_chp_gas_cc_ext_Bouldercombe_AUS</t>
  </si>
  <si>
    <t>h_Bouldercombe_AUS</t>
  </si>
  <si>
    <t>en_chp_biomass_chips_ext_Bouldercombe_AUS</t>
  </si>
  <si>
    <t>en_chp_gas_cc_ext_ccs_Bouldercombe_AUS</t>
  </si>
  <si>
    <t>en_hop_gas_boiler_Bouldercombe_AUS</t>
  </si>
  <si>
    <t>en_hop_biomass_chips_Bouldercombe_AUS</t>
  </si>
  <si>
    <t>en_hop_electric_boiler_Bouldercombe_AUS</t>
  </si>
  <si>
    <t>en_hp_air_10mw_Bouldercombe_AUS</t>
  </si>
  <si>
    <t>en_gas_ccgt_Strathmore_AUS</t>
  </si>
  <si>
    <t>en_gas_turbine_Strathmore_AUS</t>
  </si>
  <si>
    <t>en_gas_ccs_Strathmore_AUS</t>
  </si>
  <si>
    <t>en_coal_subcritical_Strathmore_AUS</t>
  </si>
  <si>
    <t>en_coal_supercritical_Strathmore_AUS</t>
  </si>
  <si>
    <t>en_coal_ultrasupercritical_Strathmore_AUS</t>
  </si>
  <si>
    <t>en_coal_igcc_Strathmore_AUS</t>
  </si>
  <si>
    <t>en_nuclear_Strathmore_AUS</t>
  </si>
  <si>
    <t>en_nuclear_smr_Strathmore_AUS</t>
  </si>
  <si>
    <t>en_biomass_Strathmore_AUS</t>
  </si>
  <si>
    <t>en_chp_gas_cc_ext_Strathmore_AUS</t>
  </si>
  <si>
    <t>en_chp_biomass_chips_ext_Strathmore_AUS</t>
  </si>
  <si>
    <t>en_chp_gas_cc_ext_ccs_Strathmore_AUS</t>
  </si>
  <si>
    <t>en_hop_gas_boiler_Strathmore_AUS</t>
  </si>
  <si>
    <t>en_hop_biomass_chips_Strathmore_AUS</t>
  </si>
  <si>
    <t>en_hop_electric_boiler_Strathmore_AUS</t>
  </si>
  <si>
    <t>en_hp_air_10mw_Strathmore_AUS</t>
  </si>
  <si>
    <t>en_gas_ccgt_Lilyvale_AUS</t>
  </si>
  <si>
    <t>en_gas_turbine_Lilyvale_AUS</t>
  </si>
  <si>
    <t>en_gas_ccs_Lilyvale_AUS</t>
  </si>
  <si>
    <t>en_coal_subcritical_Lilyvale_AUS</t>
  </si>
  <si>
    <t>en_coal_supercritical_Lilyvale_AUS</t>
  </si>
  <si>
    <t>en_coal_ultrasupercritical_Lilyvale_AUS</t>
  </si>
  <si>
    <t>en_coal_igcc_Lilyvale_AUS</t>
  </si>
  <si>
    <t>en_nuclear_Lilyvale_AUS</t>
  </si>
  <si>
    <t>en_nuclear_smr_Lilyvale_AUS</t>
  </si>
  <si>
    <t>en_biomass_Lilyvale_AUS</t>
  </si>
  <si>
    <t>en_chp_gas_cc_ext_Lilyvale_AUS</t>
  </si>
  <si>
    <t>h_Lilyvale_AUS</t>
  </si>
  <si>
    <t>en_chp_biomass_chips_ext_Lilyvale_AUS</t>
  </si>
  <si>
    <t>en_chp_gas_cc_ext_ccs_Lilyvale_AUS</t>
  </si>
  <si>
    <t>en_hop_gas_boiler_Lilyvale_AUS</t>
  </si>
  <si>
    <t>en_hop_biomass_chips_Lilyvale_AUS</t>
  </si>
  <si>
    <t>en_hop_electric_boiler_Lilyvale_AUS</t>
  </si>
  <si>
    <t>en_hp_air_10mw_Lilyvale_AUS</t>
  </si>
  <si>
    <t>en_gas_ccgt_Wagga_AUS</t>
  </si>
  <si>
    <t>en_gas_turbine_Wagga_AUS</t>
  </si>
  <si>
    <t>en_gas_ccs_Wagga_AUS</t>
  </si>
  <si>
    <t>en_coal_subcritical_Wagga_AUS</t>
  </si>
  <si>
    <t>en_coal_supercritical_Wagga_AUS</t>
  </si>
  <si>
    <t>en_coal_ultrasupercritical_Wagga_AUS</t>
  </si>
  <si>
    <t>en_coal_igcc_Wagga_AUS</t>
  </si>
  <si>
    <t>en_nuclear_Wagga_AUS</t>
  </si>
  <si>
    <t>en_nuclear_smr_Wagga_AUS</t>
  </si>
  <si>
    <t>en_biomass_Wagga_AUS</t>
  </si>
  <si>
    <t>en_chp_gas_cc_ext_Wagga_AUS</t>
  </si>
  <si>
    <t>h_Wagga_AUS</t>
  </si>
  <si>
    <t>en_chp_biomass_chips_ext_Wagga_AUS</t>
  </si>
  <si>
    <t>en_chp_gas_cc_ext_ccs_Wagga_AUS</t>
  </si>
  <si>
    <t>en_hop_gas_boiler_Wagga_AUS</t>
  </si>
  <si>
    <t>en_hop_biomass_chips_Wagga_AUS</t>
  </si>
  <si>
    <t>en_hop_electric_boiler_Wagga_AUS</t>
  </si>
  <si>
    <t>en_hp_air_10mw_Wagga_AUS</t>
  </si>
  <si>
    <t>en_gas_ccgt_DaptoBulkSupply_AUS</t>
  </si>
  <si>
    <t>en_gas_turbine_DaptoBulkSupply_AUS</t>
  </si>
  <si>
    <t>en_gas_ccs_DaptoBulkSupply_AUS</t>
  </si>
  <si>
    <t>en_coal_subcritical_DaptoBulkSupply_AUS</t>
  </si>
  <si>
    <t>en_coal_supercritical_DaptoBulkSupply_AUS</t>
  </si>
  <si>
    <t>en_coal_ultrasupercritical_DaptoBulkSupply_AUS</t>
  </si>
  <si>
    <t>en_coal_igcc_DaptoBulkSupply_AUS</t>
  </si>
  <si>
    <t>en_nuclear_DaptoBulkSupply_AUS</t>
  </si>
  <si>
    <t>en_nuclear_smr_DaptoBulkSupply_AUS</t>
  </si>
  <si>
    <t>en_biomass_DaptoBulkSupply_AUS</t>
  </si>
  <si>
    <t>en_chp_gas_cc_ext_DaptoBulkSupply_AUS</t>
  </si>
  <si>
    <t>h_DaptoBulkSupply_AUS</t>
  </si>
  <si>
    <t>en_chp_biomass_chips_ext_DaptoBulkSupply_AUS</t>
  </si>
  <si>
    <t>en_chp_gas_cc_ext_ccs_DaptoBulkSupply_AUS</t>
  </si>
  <si>
    <t>en_hop_gas_boiler_DaptoBulkSupply_AUS</t>
  </si>
  <si>
    <t>en_hop_biomass_chips_DaptoBulkSupply_AUS</t>
  </si>
  <si>
    <t>en_hop_electric_boiler_DaptoBulkSupply_AUS</t>
  </si>
  <si>
    <t>en_hp_air_10mw_DaptoBulkSupply_AUS</t>
  </si>
  <si>
    <t>en_gas_ccgt_BulliCreek_AUS</t>
  </si>
  <si>
    <t>en_gas_turbine_BulliCreek_AUS</t>
  </si>
  <si>
    <t>en_gas_ccs_BulliCreek_AUS</t>
  </si>
  <si>
    <t>en_coal_subcritical_BulliCreek_AUS</t>
  </si>
  <si>
    <t>en_coal_supercritical_BulliCreek_AUS</t>
  </si>
  <si>
    <t>en_coal_ultrasupercritical_BulliCreek_AUS</t>
  </si>
  <si>
    <t>en_coal_igcc_BulliCreek_AUS</t>
  </si>
  <si>
    <t>en_nuclear_BulliCreek_AUS</t>
  </si>
  <si>
    <t>en_nuclear_smr_BulliCreek_AUS</t>
  </si>
  <si>
    <t>en_biomass_BulliCreek_AUS</t>
  </si>
  <si>
    <t>en_chp_gas_cc_ext_BulliCreek_AUS</t>
  </si>
  <si>
    <t>h_BulliCreek_AUS</t>
  </si>
  <si>
    <t>en_chp_biomass_chips_ext_BulliCreek_AUS</t>
  </si>
  <si>
    <t>en_chp_gas_cc_ext_ccs_BulliCreek_AUS</t>
  </si>
  <si>
    <t>en_hop_gas_boiler_BulliCreek_AUS</t>
  </si>
  <si>
    <t>en_hop_biomass_chips_BulliCreek_AUS</t>
  </si>
  <si>
    <t>en_hop_electric_boiler_BulliCreek_AUS</t>
  </si>
  <si>
    <t>en_hp_air_10mw_BulliCreek_AUS</t>
  </si>
  <si>
    <t>en_gas_ccgt_Palmerston_AUS</t>
  </si>
  <si>
    <t>en_gas_turbine_Palmerston_AUS</t>
  </si>
  <si>
    <t>en_gas_ccs_Palmerston_AUS</t>
  </si>
  <si>
    <t>en_coal_subcritical_Palmerston_AUS</t>
  </si>
  <si>
    <t>en_coal_supercritical_Palmerston_AUS</t>
  </si>
  <si>
    <t>en_coal_ultrasupercritical_Palmerston_AUS</t>
  </si>
  <si>
    <t>en_coal_igcc_Palmerston_AUS</t>
  </si>
  <si>
    <t>en_nuclear_Palmerston_AUS</t>
  </si>
  <si>
    <t>en_nuclear_smr_Palmerston_AUS</t>
  </si>
  <si>
    <t>en_biomass_Palmerston_AUS</t>
  </si>
  <si>
    <t>en_chp_gas_cc_ext_Palmerston_AUS</t>
  </si>
  <si>
    <t>h_Palmerston_AUS</t>
  </si>
  <si>
    <t>en_chp_biomass_chips_ext_Palmerston_AUS</t>
  </si>
  <si>
    <t>en_chp_gas_cc_ext_ccs_Palmerston_AUS</t>
  </si>
  <si>
    <t>en_hop_gas_boiler_Palmerston_AUS</t>
  </si>
  <si>
    <t>en_hop_biomass_chips_Palmerston_AUS</t>
  </si>
  <si>
    <t>en_hop_electric_boiler_Palmerston_AUS</t>
  </si>
  <si>
    <t>en_hp_air_10mw_Palmerston_AUS</t>
  </si>
  <si>
    <t>en_gas_ccgt_Murray_AUS</t>
  </si>
  <si>
    <t>e_Murray_AUS</t>
  </si>
  <si>
    <t>en_gas_turbine_Murray_AUS</t>
  </si>
  <si>
    <t>en_gas_ccs_Murray_AUS</t>
  </si>
  <si>
    <t>en_coal_subcritical_Murray_AUS</t>
  </si>
  <si>
    <t>en_coal_supercritical_Murray_AUS</t>
  </si>
  <si>
    <t>en_coal_ultrasupercritical_Murray_AUS</t>
  </si>
  <si>
    <t>en_coal_igcc_Murray_AUS</t>
  </si>
  <si>
    <t>en_nuclear_Murray_AUS</t>
  </si>
  <si>
    <t>en_nuclear_smr_Murray_AUS</t>
  </si>
  <si>
    <t>en_biomass_Murray_AUS</t>
  </si>
  <si>
    <t>en_chp_gas_cc_ext_Murray_AUS</t>
  </si>
  <si>
    <t>h_Murray_AUS</t>
  </si>
  <si>
    <t>en_chp_biomass_chips_ext_Murray_AUS</t>
  </si>
  <si>
    <t>en_chp_gas_cc_ext_ccs_Murray_AUS</t>
  </si>
  <si>
    <t>en_hop_gas_boiler_Murray_AUS</t>
  </si>
  <si>
    <t>en_hop_biomass_chips_Murray_AUS</t>
  </si>
  <si>
    <t>en_hop_electric_boiler_Murray_AUS</t>
  </si>
  <si>
    <t>en_hp_air_10mw_Murray_AUS</t>
  </si>
  <si>
    <t>en_gas_ccgt_SydneyNorthBulkSup_AUS</t>
  </si>
  <si>
    <t>en_gas_turbine_SydneyNorthBulkSup_AUS</t>
  </si>
  <si>
    <t>en_gas_ccs_SydneyNorthBulkSup_AUS</t>
  </si>
  <si>
    <t>en_coal_subcritical_SydneyNorthBulkSup_AUS</t>
  </si>
  <si>
    <t>en_coal_supercritical_SydneyNorthBulkSup_AUS</t>
  </si>
  <si>
    <t>en_coal_ultrasupercritical_SydneyNorthBulkSup_AUS</t>
  </si>
  <si>
    <t>en_coal_igcc_SydneyNorthBulkSup_AUS</t>
  </si>
  <si>
    <t>en_nuclear_SydneyNorthBulkSup_AUS</t>
  </si>
  <si>
    <t>en_nuclear_smr_SydneyNorthBulkSup_AUS</t>
  </si>
  <si>
    <t>en_biomass_SydneyNorthBulkSup_AUS</t>
  </si>
  <si>
    <t>en_chp_gas_cc_ext_SydneyNorthBulkSup_AUS</t>
  </si>
  <si>
    <t>h_SydneyNorthBulkSup_AUS</t>
  </si>
  <si>
    <t>en_chp_biomass_chips_ext_SydneyNorthBulkSup_AUS</t>
  </si>
  <si>
    <t>en_chp_gas_cc_ext_ccs_SydneyNorthBulkSup_AUS</t>
  </si>
  <si>
    <t>en_hop_gas_boiler_SydneyNorthBulkSup_AUS</t>
  </si>
  <si>
    <t>en_hop_biomass_chips_SydneyNorthBulkSup_AUS</t>
  </si>
  <si>
    <t>en_hop_electric_boiler_SydneyNorthBulkSup_AUS</t>
  </si>
  <si>
    <t>en_hp_air_10mw_SydneyNorthBulkSup_AUS</t>
  </si>
  <si>
    <t>en_gas_ccgt_OlympicDamWest_AUS</t>
  </si>
  <si>
    <t>en_gas_turbine_OlympicDamWest_AUS</t>
  </si>
  <si>
    <t>en_gas_ccs_OlympicDamWest_AUS</t>
  </si>
  <si>
    <t>en_coal_subcritical_OlympicDamWest_AUS</t>
  </si>
  <si>
    <t>en_coal_supercritical_OlympicDamWest_AUS</t>
  </si>
  <si>
    <t>en_coal_ultrasupercritical_OlympicDamWest_AUS</t>
  </si>
  <si>
    <t>en_coal_igcc_OlympicDamWest_AUS</t>
  </si>
  <si>
    <t>en_nuclear_OlympicDamWest_AUS</t>
  </si>
  <si>
    <t>en_nuclear_smr_OlympicDamWest_AUS</t>
  </si>
  <si>
    <t>en_biomass_OlympicDamWest_AUS</t>
  </si>
  <si>
    <t>en_chp_gas_cc_ext_OlympicDamWest_AUS</t>
  </si>
  <si>
    <t>h_OlympicDamWest_AUS</t>
  </si>
  <si>
    <t>en_chp_biomass_chips_ext_OlympicDamWest_AUS</t>
  </si>
  <si>
    <t>en_chp_gas_cc_ext_ccs_OlympicDamWest_AUS</t>
  </si>
  <si>
    <t>en_hop_gas_boiler_OlympicDamWest_AUS</t>
  </si>
  <si>
    <t>en_hop_biomass_chips_OlympicDamWest_AUS</t>
  </si>
  <si>
    <t>en_hop_electric_boiler_OlympicDamWest_AUS</t>
  </si>
  <si>
    <t>en_hp_air_10mw_OlympicDamWest_AUS</t>
  </si>
  <si>
    <t>en_gas_ccgt_UpperTumut_AUS</t>
  </si>
  <si>
    <t>en_gas_turbine_UpperTumut_AUS</t>
  </si>
  <si>
    <t>en_gas_ccs_UpperTumut_AUS</t>
  </si>
  <si>
    <t>en_coal_subcritical_UpperTumut_AUS</t>
  </si>
  <si>
    <t>en_coal_supercritical_UpperTumut_AUS</t>
  </si>
  <si>
    <t>en_coal_ultrasupercritical_UpperTumut_AUS</t>
  </si>
  <si>
    <t>en_coal_igcc_UpperTumut_AUS</t>
  </si>
  <si>
    <t>en_nuclear_UpperTumut_AUS</t>
  </si>
  <si>
    <t>en_nuclear_smr_UpperTumut_AUS</t>
  </si>
  <si>
    <t>en_biomass_UpperTumut_AUS</t>
  </si>
  <si>
    <t>en_chp_gas_cc_ext_UpperTumut_AUS</t>
  </si>
  <si>
    <t>h_UpperTumut_AUS</t>
  </si>
  <si>
    <t>en_chp_biomass_chips_ext_UpperTumut_AUS</t>
  </si>
  <si>
    <t>en_chp_gas_cc_ext_ccs_UpperTumut_AUS</t>
  </si>
  <si>
    <t>en_hop_gas_boiler_UpperTumut_AUS</t>
  </si>
  <si>
    <t>en_hop_biomass_chips_UpperTumut_AUS</t>
  </si>
  <si>
    <t>en_hop_electric_boiler_UpperTumut_AUS</t>
  </si>
  <si>
    <t>en_hp_air_10mw_UpperTumut_AUS</t>
  </si>
  <si>
    <t>en_gas_ccgt_Merredin_AUS</t>
  </si>
  <si>
    <t>e_Merredin_AUS</t>
  </si>
  <si>
    <t>en_gas_turbine_Merredin_AUS</t>
  </si>
  <si>
    <t>en_gas_ccs_Merredin_AUS</t>
  </si>
  <si>
    <t>en_coal_subcritical_Merredin_AUS</t>
  </si>
  <si>
    <t>en_coal_supercritical_Merredin_AUS</t>
  </si>
  <si>
    <t>en_coal_ultrasupercritical_Merredin_AUS</t>
  </si>
  <si>
    <t>en_coal_igcc_Merredin_AUS</t>
  </si>
  <si>
    <t>en_nuclear_Merredin_AUS</t>
  </si>
  <si>
    <t>en_nuclear_smr_Merredin_AUS</t>
  </si>
  <si>
    <t>en_biomass_Merredin_AUS</t>
  </si>
  <si>
    <t>en_chp_gas_cc_ext_Merredin_AUS</t>
  </si>
  <si>
    <t>h_Merredin_AUS</t>
  </si>
  <si>
    <t>en_chp_biomass_chips_ext_Merredin_AUS</t>
  </si>
  <si>
    <t>en_chp_gas_cc_ext_ccs_Merredin_AUS</t>
  </si>
  <si>
    <t>en_hop_gas_boiler_Merredin_AUS</t>
  </si>
  <si>
    <t>en_hop_biomass_chips_Merredin_AUS</t>
  </si>
  <si>
    <t>en_hop_electric_boiler_Merredin_AUS</t>
  </si>
  <si>
    <t>en_hp_air_10mw_Merredin_AUS</t>
  </si>
  <si>
    <t>en_gas_ccgt_Chumvale_AUS</t>
  </si>
  <si>
    <t>e_Chumvale_AUS</t>
  </si>
  <si>
    <t>en_gas_turbine_Chumvale_AUS</t>
  </si>
  <si>
    <t>en_gas_ccs_Chumvale_AUS</t>
  </si>
  <si>
    <t>en_coal_subcritical_Chumvale_AUS</t>
  </si>
  <si>
    <t>en_coal_supercritical_Chumvale_AUS</t>
  </si>
  <si>
    <t>en_coal_ultrasupercritical_Chumvale_AUS</t>
  </si>
  <si>
    <t>en_coal_igcc_Chumvale_AUS</t>
  </si>
  <si>
    <t>en_nuclear_Chumvale_AUS</t>
  </si>
  <si>
    <t>en_nuclear_smr_Chumvale_AUS</t>
  </si>
  <si>
    <t>en_biomass_Chumvale_AUS</t>
  </si>
  <si>
    <t>en_chp_gas_cc_ext_Chumvale_AUS</t>
  </si>
  <si>
    <t>en_chp_biomass_chips_ext_Chumvale_AUS</t>
  </si>
  <si>
    <t>en_chp_gas_cc_ext_ccs_Chumvale_AUS</t>
  </si>
  <si>
    <t>en_hop_gas_boiler_Chumvale_AUS</t>
  </si>
  <si>
    <t>en_hop_biomass_chips_Chumvale_AUS</t>
  </si>
  <si>
    <t>en_hop_electric_boiler_Chumvale_AUS</t>
  </si>
  <si>
    <t>en_hp_air_10mw_Chumvale_AUS</t>
  </si>
  <si>
    <t>en_gas_ccgt_Rowville_AUS</t>
  </si>
  <si>
    <t>en_gas_turbine_Rowville_AUS</t>
  </si>
  <si>
    <t>en_gas_ccs_Rowville_AUS</t>
  </si>
  <si>
    <t>en_coal_subcritical_Rowville_AUS</t>
  </si>
  <si>
    <t>en_coal_supercritical_Rowville_AUS</t>
  </si>
  <si>
    <t>en_coal_ultrasupercritical_Rowville_AUS</t>
  </si>
  <si>
    <t>en_coal_igcc_Rowville_AUS</t>
  </si>
  <si>
    <t>en_nuclear_Rowville_AUS</t>
  </si>
  <si>
    <t>en_nuclear_smr_Rowville_AUS</t>
  </si>
  <si>
    <t>en_biomass_Rowville_AUS</t>
  </si>
  <si>
    <t>en_chp_gas_cc_ext_Rowville_AUS</t>
  </si>
  <si>
    <t>h_Rowville_AUS</t>
  </si>
  <si>
    <t>en_chp_biomass_chips_ext_Rowville_AUS</t>
  </si>
  <si>
    <t>en_chp_gas_cc_ext_ccs_Rowville_AUS</t>
  </si>
  <si>
    <t>en_hop_gas_boiler_Rowville_AUS</t>
  </si>
  <si>
    <t>en_hop_biomass_chips_Rowville_AUS</t>
  </si>
  <si>
    <t>en_hop_electric_boiler_Rowville_AUS</t>
  </si>
  <si>
    <t>en_hp_air_10mw_Rowville_AUS</t>
  </si>
  <si>
    <t>en_gas_ccgt_KangarooValleyTran_AUS</t>
  </si>
  <si>
    <t>en_gas_turbine_KangarooValleyTran_AUS</t>
  </si>
  <si>
    <t>en_gas_ccs_KangarooValleyTran_AUS</t>
  </si>
  <si>
    <t>en_coal_subcritical_KangarooValleyTran_AUS</t>
  </si>
  <si>
    <t>en_coal_supercritical_KangarooValleyTran_AUS</t>
  </si>
  <si>
    <t>en_coal_ultrasupercritical_KangarooValleyTran_AUS</t>
  </si>
  <si>
    <t>en_coal_igcc_KangarooValleyTran_AUS</t>
  </si>
  <si>
    <t>en_nuclear_KangarooValleyTran_AUS</t>
  </si>
  <si>
    <t>en_nuclear_smr_KangarooValleyTran_AUS</t>
  </si>
  <si>
    <t>en_biomass_KangarooValleyTran_AUS</t>
  </si>
  <si>
    <t>en_chp_gas_cc_ext_KangarooValleyTran_AUS</t>
  </si>
  <si>
    <t>h_KangarooValleyTran_AUS</t>
  </si>
  <si>
    <t>en_chp_biomass_chips_ext_KangarooValleyTran_AUS</t>
  </si>
  <si>
    <t>en_chp_gas_cc_ext_ccs_KangarooValleyTran_AUS</t>
  </si>
  <si>
    <t>en_hop_gas_boiler_KangarooValleyTran_AUS</t>
  </si>
  <si>
    <t>en_hop_biomass_chips_KangarooValleyTran_AUS</t>
  </si>
  <si>
    <t>en_hop_electric_boiler_KangarooValleyTran_AUS</t>
  </si>
  <si>
    <t>en_hp_air_10mw_KangarooValleyTran_AUS</t>
  </si>
  <si>
    <t>en_gas_ccgt_Geelong_AUS</t>
  </si>
  <si>
    <t>en_gas_turbine_Geelong_AUS</t>
  </si>
  <si>
    <t>en_gas_ccs_Geelong_AUS</t>
  </si>
  <si>
    <t>en_coal_subcritical_Geelong_AUS</t>
  </si>
  <si>
    <t>en_coal_supercritical_Geelong_AUS</t>
  </si>
  <si>
    <t>en_coal_ultrasupercritical_Geelong_AUS</t>
  </si>
  <si>
    <t>en_coal_igcc_Geelong_AUS</t>
  </si>
  <si>
    <t>en_nuclear_Geelong_AUS</t>
  </si>
  <si>
    <t>en_nuclear_smr_Geelong_AUS</t>
  </si>
  <si>
    <t>en_biomass_Geelong_AUS</t>
  </si>
  <si>
    <t>en_chp_gas_cc_ext_Geelong_AUS</t>
  </si>
  <si>
    <t>h_Geelong_AUS</t>
  </si>
  <si>
    <t>en_chp_biomass_chips_ext_Geelong_AUS</t>
  </si>
  <si>
    <t>en_chp_gas_cc_ext_ccs_Geelong_AUS</t>
  </si>
  <si>
    <t>en_hop_gas_boiler_Geelong_AUS</t>
  </si>
  <si>
    <t>en_hop_biomass_chips_Geelong_AUS</t>
  </si>
  <si>
    <t>en_hop_electric_boiler_Geelong_AUS</t>
  </si>
  <si>
    <t>en_hp_air_10mw_Geelong_AUS</t>
  </si>
  <si>
    <t>en_gas_ccgt_Farrell_AUS</t>
  </si>
  <si>
    <t>en_gas_turbine_Farrell_AUS</t>
  </si>
  <si>
    <t>en_gas_ccs_Farrell_AUS</t>
  </si>
  <si>
    <t>en_coal_subcritical_Farrell_AUS</t>
  </si>
  <si>
    <t>en_coal_supercritical_Farrell_AUS</t>
  </si>
  <si>
    <t>en_coal_ultrasupercritical_Farrell_AUS</t>
  </si>
  <si>
    <t>en_coal_igcc_Farrell_AUS</t>
  </si>
  <si>
    <t>en_nuclear_Farrell_AUS</t>
  </si>
  <si>
    <t>en_nuclear_smr_Farrell_AUS</t>
  </si>
  <si>
    <t>en_biomass_Farrell_AUS</t>
  </si>
  <si>
    <t>en_chp_gas_cc_ext_Farrell_AUS</t>
  </si>
  <si>
    <t>h_Farrell_AUS</t>
  </si>
  <si>
    <t>en_chp_biomass_chips_ext_Farrell_AUS</t>
  </si>
  <si>
    <t>en_chp_gas_cc_ext_ccs_Farrell_AUS</t>
  </si>
  <si>
    <t>en_hop_gas_boiler_Farrell_AUS</t>
  </si>
  <si>
    <t>en_hop_biomass_chips_Farrell_AUS</t>
  </si>
  <si>
    <t>en_hop_electric_boiler_Farrell_AUS</t>
  </si>
  <si>
    <t>en_hp_air_10mw_Farrell_AUS</t>
  </si>
  <si>
    <t>en_gas_ccgt_Tarrone_AUS</t>
  </si>
  <si>
    <t>en_gas_turbine_Tarrone_AUS</t>
  </si>
  <si>
    <t>en_gas_ccs_Tarrone_AUS</t>
  </si>
  <si>
    <t>en_coal_subcritical_Tarrone_AUS</t>
  </si>
  <si>
    <t>en_coal_supercritical_Tarrone_AUS</t>
  </si>
  <si>
    <t>en_coal_ultrasupercritical_Tarrone_AUS</t>
  </si>
  <si>
    <t>en_coal_igcc_Tarrone_AUS</t>
  </si>
  <si>
    <t>en_nuclear_Tarrone_AUS</t>
  </si>
  <si>
    <t>en_nuclear_smr_Tarrone_AUS</t>
  </si>
  <si>
    <t>en_biomass_Tarrone_AUS</t>
  </si>
  <si>
    <t>en_chp_gas_cc_ext_Tarrone_AUS</t>
  </si>
  <si>
    <t>h_Tarrone_AUS</t>
  </si>
  <si>
    <t>en_chp_biomass_chips_ext_Tarrone_AUS</t>
  </si>
  <si>
    <t>en_chp_gas_cc_ext_ccs_Tarrone_AUS</t>
  </si>
  <si>
    <t>en_hop_gas_boiler_Tarrone_AUS</t>
  </si>
  <si>
    <t>en_hop_biomass_chips_Tarrone_AUS</t>
  </si>
  <si>
    <t>en_hop_electric_boiler_Tarrone_AUS</t>
  </si>
  <si>
    <t>en_hp_air_10mw_Tarrone_AUS</t>
  </si>
  <si>
    <t>en_gas_ccgt_TomPriceMine_AUS</t>
  </si>
  <si>
    <t>en_gas_turbine_TomPriceMine_AUS</t>
  </si>
  <si>
    <t>en_gas_ccs_TomPriceMine_AUS</t>
  </si>
  <si>
    <t>en_coal_subcritical_TomPriceMine_AUS</t>
  </si>
  <si>
    <t>en_coal_supercritical_TomPriceMine_AUS</t>
  </si>
  <si>
    <t>en_coal_ultrasupercritical_TomPriceMine_AUS</t>
  </si>
  <si>
    <t>en_coal_igcc_TomPriceMine_AUS</t>
  </si>
  <si>
    <t>en_nuclear_TomPriceMine_AUS</t>
  </si>
  <si>
    <t>en_nuclear_smr_TomPriceMine_AUS</t>
  </si>
  <si>
    <t>en_biomass_TomPriceMine_AUS</t>
  </si>
  <si>
    <t>en_chp_gas_cc_ext_TomPriceMine_AUS</t>
  </si>
  <si>
    <t>h_TomPriceMine_AUS</t>
  </si>
  <si>
    <t>en_chp_biomass_chips_ext_TomPriceMine_AUS</t>
  </si>
  <si>
    <t>en_chp_gas_cc_ext_ccs_TomPriceMine_AUS</t>
  </si>
  <si>
    <t>en_hop_gas_boiler_TomPriceMine_AUS</t>
  </si>
  <si>
    <t>en_hop_biomass_chips_TomPriceMine_AUS</t>
  </si>
  <si>
    <t>en_hop_electric_boiler_TomPriceMine_AUS</t>
  </si>
  <si>
    <t>en_hp_air_10mw_TomPriceMine_AUS</t>
  </si>
  <si>
    <t>en_gas_ccgt_CalliopeRiver_AUS</t>
  </si>
  <si>
    <t>en_gas_turbine_CalliopeRiver_AUS</t>
  </si>
  <si>
    <t>en_gas_ccs_CalliopeRiver_AUS</t>
  </si>
  <si>
    <t>en_coal_subcritical_CalliopeRiver_AUS</t>
  </si>
  <si>
    <t>en_coal_supercritical_CalliopeRiver_AUS</t>
  </si>
  <si>
    <t>en_coal_ultrasupercritical_CalliopeRiver_AUS</t>
  </si>
  <si>
    <t>en_coal_igcc_CalliopeRiver_AUS</t>
  </si>
  <si>
    <t>en_nuclear_CalliopeRiver_AUS</t>
  </si>
  <si>
    <t>en_nuclear_smr_CalliopeRiver_AUS</t>
  </si>
  <si>
    <t>en_biomass_CalliopeRiver_AUS</t>
  </si>
  <si>
    <t>en_chp_gas_cc_ext_CalliopeRiver_AUS</t>
  </si>
  <si>
    <t>en_chp_biomass_chips_ext_CalliopeRiver_AUS</t>
  </si>
  <si>
    <t>en_chp_gas_cc_ext_ccs_CalliopeRiver_AUS</t>
  </si>
  <si>
    <t>en_hop_gas_boiler_CalliopeRiver_AUS</t>
  </si>
  <si>
    <t>en_hop_biomass_chips_CalliopeRiver_AUS</t>
  </si>
  <si>
    <t>en_hop_electric_boiler_CalliopeRiver_AUS</t>
  </si>
  <si>
    <t>en_hp_air_10mw_CalliopeRiver_AUS</t>
  </si>
  <si>
    <t>en_gas_ccgt_Hazelwood_AUS</t>
  </si>
  <si>
    <t>en_gas_turbine_Hazelwood_AUS</t>
  </si>
  <si>
    <t>en_gas_ccs_Hazelwood_AUS</t>
  </si>
  <si>
    <t>en_coal_subcritical_Hazelwood_AUS</t>
  </si>
  <si>
    <t>en_coal_supercritical_Hazelwood_AUS</t>
  </si>
  <si>
    <t>en_coal_ultrasupercritical_Hazelwood_AUS</t>
  </si>
  <si>
    <t>en_coal_igcc_Hazelwood_AUS</t>
  </si>
  <si>
    <t>en_nuclear_Hazelwood_AUS</t>
  </si>
  <si>
    <t>en_nuclear_smr_Hazelwood_AUS</t>
  </si>
  <si>
    <t>en_biomass_Hazelwood_AUS</t>
  </si>
  <si>
    <t>en_chp_gas_cc_ext_Hazelwood_AUS</t>
  </si>
  <si>
    <t>h_Hazelwood_AUS</t>
  </si>
  <si>
    <t>en_chp_biomass_chips_ext_Hazelwood_AUS</t>
  </si>
  <si>
    <t>en_chp_gas_cc_ext_ccs_Hazelwood_AUS</t>
  </si>
  <si>
    <t>en_hop_gas_boiler_Hazelwood_AUS</t>
  </si>
  <si>
    <t>en_hop_biomass_chips_Hazelwood_AUS</t>
  </si>
  <si>
    <t>en_hop_electric_boiler_Hazelwood_AUS</t>
  </si>
  <si>
    <t>en_hp_air_10mw_Hazelwood_AUS</t>
  </si>
  <si>
    <t>en_gas_ccgt_Eurombah_AUS</t>
  </si>
  <si>
    <t>en_gas_turbine_Eurombah_AUS</t>
  </si>
  <si>
    <t>en_gas_ccs_Eurombah_AUS</t>
  </si>
  <si>
    <t>en_coal_subcritical_Eurombah_AUS</t>
  </si>
  <si>
    <t>en_coal_supercritical_Eurombah_AUS</t>
  </si>
  <si>
    <t>en_coal_ultrasupercritical_Eurombah_AUS</t>
  </si>
  <si>
    <t>en_coal_igcc_Eurombah_AUS</t>
  </si>
  <si>
    <t>en_nuclear_Eurombah_AUS</t>
  </si>
  <si>
    <t>en_nuclear_smr_Eurombah_AUS</t>
  </si>
  <si>
    <t>en_biomass_Eurombah_AUS</t>
  </si>
  <si>
    <t>en_chp_gas_cc_ext_Eurombah_AUS</t>
  </si>
  <si>
    <t>h_Eurombah_AUS</t>
  </si>
  <si>
    <t>en_chp_biomass_chips_ext_Eurombah_AUS</t>
  </si>
  <si>
    <t>en_chp_gas_cc_ext_ccs_Eurombah_AUS</t>
  </si>
  <si>
    <t>en_hop_gas_boiler_Eurombah_AUS</t>
  </si>
  <si>
    <t>en_hop_biomass_chips_Eurombah_AUS</t>
  </si>
  <si>
    <t>en_hop_electric_boiler_Eurombah_AUS</t>
  </si>
  <si>
    <t>en_hp_air_10mw_Eurombah_AUS</t>
  </si>
  <si>
    <t>en_gas_ccgt_Karratha_AUS</t>
  </si>
  <si>
    <t>en_gas_turbine_Karratha_AUS</t>
  </si>
  <si>
    <t>en_gas_ccs_Karratha_AUS</t>
  </si>
  <si>
    <t>en_coal_subcritical_Karratha_AUS</t>
  </si>
  <si>
    <t>en_coal_supercritical_Karratha_AUS</t>
  </si>
  <si>
    <t>en_coal_ultrasupercritical_Karratha_AUS</t>
  </si>
  <si>
    <t>en_coal_igcc_Karratha_AUS</t>
  </si>
  <si>
    <t>en_nuclear_Karratha_AUS</t>
  </si>
  <si>
    <t>en_nuclear_smr_Karratha_AUS</t>
  </si>
  <si>
    <t>en_biomass_Karratha_AUS</t>
  </si>
  <si>
    <t>en_chp_gas_cc_ext_Karratha_AUS</t>
  </si>
  <si>
    <t>h_Karratha_AUS</t>
  </si>
  <si>
    <t>en_chp_biomass_chips_ext_Karratha_AUS</t>
  </si>
  <si>
    <t>en_chp_gas_cc_ext_ccs_Karratha_AUS</t>
  </si>
  <si>
    <t>en_hop_gas_boiler_Karratha_AUS</t>
  </si>
  <si>
    <t>en_hop_biomass_chips_Karratha_AUS</t>
  </si>
  <si>
    <t>en_hop_electric_boiler_Karratha_AUS</t>
  </si>
  <si>
    <t>en_hp_air_10mw_Karratha_AUS</t>
  </si>
  <si>
    <t>en_gas_ccgt_Morawa_AUS</t>
  </si>
  <si>
    <t>en_gas_turbine_Morawa_AUS</t>
  </si>
  <si>
    <t>en_gas_ccs_Morawa_AUS</t>
  </si>
  <si>
    <t>en_coal_subcritical_Morawa_AUS</t>
  </si>
  <si>
    <t>en_coal_supercritical_Morawa_AUS</t>
  </si>
  <si>
    <t>en_coal_ultrasupercritical_Morawa_AUS</t>
  </si>
  <si>
    <t>en_coal_igcc_Morawa_AUS</t>
  </si>
  <si>
    <t>en_nuclear_Morawa_AUS</t>
  </si>
  <si>
    <t>en_nuclear_smr_Morawa_AUS</t>
  </si>
  <si>
    <t>en_biomass_Morawa_AUS</t>
  </si>
  <si>
    <t>en_chp_gas_cc_ext_Morawa_AUS</t>
  </si>
  <si>
    <t>h_Morawa_AUS</t>
  </si>
  <si>
    <t>en_chp_biomass_chips_ext_Morawa_AUS</t>
  </si>
  <si>
    <t>en_chp_gas_cc_ext_ccs_Morawa_AUS</t>
  </si>
  <si>
    <t>en_hop_gas_boiler_Morawa_AUS</t>
  </si>
  <si>
    <t>en_hop_biomass_chips_Morawa_AUS</t>
  </si>
  <si>
    <t>en_hop_electric_boiler_Morawa_AUS</t>
  </si>
  <si>
    <t>en_hp_air_10mw_Morawa_AUS</t>
  </si>
  <si>
    <t>en_gas_ccgt_TemplersWest_AUS</t>
  </si>
  <si>
    <t>en_gas_turbine_TemplersWest_AUS</t>
  </si>
  <si>
    <t>en_gas_ccs_TemplersWest_AUS</t>
  </si>
  <si>
    <t>en_coal_subcritical_TemplersWest_AUS</t>
  </si>
  <si>
    <t>en_coal_supercritical_TemplersWest_AUS</t>
  </si>
  <si>
    <t>en_coal_ultrasupercritical_TemplersWest_AUS</t>
  </si>
  <si>
    <t>en_coal_igcc_TemplersWest_AUS</t>
  </si>
  <si>
    <t>en_nuclear_TemplersWest_AUS</t>
  </si>
  <si>
    <t>en_nuclear_smr_TemplersWest_AUS</t>
  </si>
  <si>
    <t>en_biomass_TemplersWest_AUS</t>
  </si>
  <si>
    <t>en_chp_gas_cc_ext_TemplersWest_AUS</t>
  </si>
  <si>
    <t>h_TemplersWest_AUS</t>
  </si>
  <si>
    <t>en_chp_biomass_chips_ext_TemplersWest_AUS</t>
  </si>
  <si>
    <t>en_chp_gas_cc_ext_ccs_TemplersWest_AUS</t>
  </si>
  <si>
    <t>en_hop_gas_boiler_TemplersWest_AUS</t>
  </si>
  <si>
    <t>en_hop_biomass_chips_TemplersWest_AUS</t>
  </si>
  <si>
    <t>en_hop_electric_boiler_TemplersWest_AUS</t>
  </si>
  <si>
    <t>en_hp_air_10mw_TemplersWest_AUS</t>
  </si>
  <si>
    <t>en_gas_ccgt_Canberra_AUS</t>
  </si>
  <si>
    <t>en_gas_turbine_Canberra_AUS</t>
  </si>
  <si>
    <t>en_gas_ccs_Canberra_AUS</t>
  </si>
  <si>
    <t>en_coal_subcritical_Canberra_AUS</t>
  </si>
  <si>
    <t>en_coal_supercritical_Canberra_AUS</t>
  </si>
  <si>
    <t>en_coal_ultrasupercritical_Canberra_AUS</t>
  </si>
  <si>
    <t>en_coal_igcc_Canberra_AUS</t>
  </si>
  <si>
    <t>en_nuclear_Canberra_AUS</t>
  </si>
  <si>
    <t>en_nuclear_smr_Canberra_AUS</t>
  </si>
  <si>
    <t>en_biomass_Canberra_AUS</t>
  </si>
  <si>
    <t>en_chp_gas_cc_ext_Canberra_AUS</t>
  </si>
  <si>
    <t>h_Canberra_AUS</t>
  </si>
  <si>
    <t>en_chp_biomass_chips_ext_Canberra_AUS</t>
  </si>
  <si>
    <t>en_chp_gas_cc_ext_ccs_Canberra_AUS</t>
  </si>
  <si>
    <t>en_hop_gas_boiler_Canberra_AUS</t>
  </si>
  <si>
    <t>en_hop_biomass_chips_Canberra_AUS</t>
  </si>
  <si>
    <t>en_hop_electric_boiler_Canberra_AUS</t>
  </si>
  <si>
    <t>en_hp_air_10mw_Canberra_AUS</t>
  </si>
  <si>
    <t>en_gas_ccgt_SydneySouthBulkSup_AUS</t>
  </si>
  <si>
    <t>en_gas_turbine_SydneySouthBulkSup_AUS</t>
  </si>
  <si>
    <t>en_gas_ccs_SydneySouthBulkSup_AUS</t>
  </si>
  <si>
    <t>en_coal_subcritical_SydneySouthBulkSup_AUS</t>
  </si>
  <si>
    <t>en_coal_supercritical_SydneySouthBulkSup_AUS</t>
  </si>
  <si>
    <t>en_coal_ultrasupercritical_SydneySouthBulkSup_AUS</t>
  </si>
  <si>
    <t>en_coal_igcc_SydneySouthBulkSup_AUS</t>
  </si>
  <si>
    <t>en_nuclear_SydneySouthBulkSup_AUS</t>
  </si>
  <si>
    <t>en_nuclear_smr_SydneySouthBulkSup_AUS</t>
  </si>
  <si>
    <t>en_biomass_SydneySouthBulkSup_AUS</t>
  </si>
  <si>
    <t>en_chp_gas_cc_ext_SydneySouthBulkSup_AUS</t>
  </si>
  <si>
    <t>h_SydneySouthBulkSup_AUS</t>
  </si>
  <si>
    <t>en_chp_biomass_chips_ext_SydneySouthBulkSup_AUS</t>
  </si>
  <si>
    <t>en_chp_gas_cc_ext_ccs_SydneySouthBulkSup_AUS</t>
  </si>
  <si>
    <t>en_hop_gas_boiler_SydneySouthBulkSup_AUS</t>
  </si>
  <si>
    <t>en_hop_biomass_chips_SydneySouthBulkSup_AUS</t>
  </si>
  <si>
    <t>en_hop_electric_boiler_SydneySouthBulkSup_AUS</t>
  </si>
  <si>
    <t>en_hp_air_10mw_SydneySouthBulkSup_AUS</t>
  </si>
  <si>
    <t>en_gas_ccgt_Cemi_AUS</t>
  </si>
  <si>
    <t>e_Cemi_AUS</t>
  </si>
  <si>
    <t>en_gas_turbine_Cemi_AUS</t>
  </si>
  <si>
    <t>en_gas_ccs_Cemi_AUS</t>
  </si>
  <si>
    <t>en_coal_subcritical_Cemi_AUS</t>
  </si>
  <si>
    <t>en_coal_supercritical_Cemi_AUS</t>
  </si>
  <si>
    <t>en_coal_ultrasupercritical_Cemi_AUS</t>
  </si>
  <si>
    <t>en_coal_igcc_Cemi_AUS</t>
  </si>
  <si>
    <t>en_nuclear_Cemi_AUS</t>
  </si>
  <si>
    <t>en_nuclear_smr_Cemi_AUS</t>
  </si>
  <si>
    <t>en_biomass_Cemi_AUS</t>
  </si>
  <si>
    <t>en_chp_gas_cc_ext_Cemi_AUS</t>
  </si>
  <si>
    <t>h_Cemi_AUS</t>
  </si>
  <si>
    <t>en_chp_biomass_chips_ext_Cemi_AUS</t>
  </si>
  <si>
    <t>en_chp_gas_cc_ext_ccs_Cemi_AUS</t>
  </si>
  <si>
    <t>en_hop_gas_boiler_Cemi_AUS</t>
  </si>
  <si>
    <t>en_hop_biomass_chips_Cemi_AUS</t>
  </si>
  <si>
    <t>en_hop_electric_boiler_Cemi_AUS</t>
  </si>
  <si>
    <t>en_hp_air_10mw_Cemi_AUS</t>
  </si>
  <si>
    <t>en_gas_ccgt_Walkamin_AUS</t>
  </si>
  <si>
    <t>en_gas_turbine_Walkamin_AUS</t>
  </si>
  <si>
    <t>en_gas_ccs_Walkamin_AUS</t>
  </si>
  <si>
    <t>en_coal_subcritical_Walkamin_AUS</t>
  </si>
  <si>
    <t>en_coal_supercritical_Walkamin_AUS</t>
  </si>
  <si>
    <t>en_coal_ultrasupercritical_Walkamin_AUS</t>
  </si>
  <si>
    <t>en_coal_igcc_Walkamin_AUS</t>
  </si>
  <si>
    <t>en_nuclear_Walkamin_AUS</t>
  </si>
  <si>
    <t>en_nuclear_smr_Walkamin_AUS</t>
  </si>
  <si>
    <t>en_biomass_Walkamin_AUS</t>
  </si>
  <si>
    <t>en_chp_gas_cc_ext_Walkamin_AUS</t>
  </si>
  <si>
    <t>en_chp_biomass_chips_ext_Walkamin_AUS</t>
  </si>
  <si>
    <t>en_chp_gas_cc_ext_ccs_Walkamin_AUS</t>
  </si>
  <si>
    <t>en_hop_gas_boiler_Walkamin_AUS</t>
  </si>
  <si>
    <t>en_hop_biomass_chips_Walkamin_AUS</t>
  </si>
  <si>
    <t>en_hop_electric_boiler_Walkamin_AUS</t>
  </si>
  <si>
    <t>en_hp_air_10mw_Walkamin_AUS</t>
  </si>
  <si>
    <t>en_gas_ccgt_BrokenHill_AUS</t>
  </si>
  <si>
    <t>en_gas_turbine_BrokenHill_AUS</t>
  </si>
  <si>
    <t>en_gas_ccs_BrokenHill_AUS</t>
  </si>
  <si>
    <t>en_coal_subcritical_BrokenHill_AUS</t>
  </si>
  <si>
    <t>en_coal_supercritical_BrokenHill_AUS</t>
  </si>
  <si>
    <t>en_coal_ultrasupercritical_BrokenHill_AUS</t>
  </si>
  <si>
    <t>en_coal_igcc_BrokenHill_AUS</t>
  </si>
  <si>
    <t>en_nuclear_BrokenHill_AUS</t>
  </si>
  <si>
    <t>en_nuclear_smr_BrokenHill_AUS</t>
  </si>
  <si>
    <t>en_biomass_BrokenHill_AUS</t>
  </si>
  <si>
    <t>en_chp_gas_cc_ext_BrokenHill_AUS</t>
  </si>
  <si>
    <t>h_BrokenHill_AUS</t>
  </si>
  <si>
    <t>en_chp_biomass_chips_ext_BrokenHill_AUS</t>
  </si>
  <si>
    <t>en_chp_gas_cc_ext_ccs_BrokenHill_AUS</t>
  </si>
  <si>
    <t>en_hop_gas_boiler_BrokenHill_AUS</t>
  </si>
  <si>
    <t>en_hop_biomass_chips_BrokenHill_AUS</t>
  </si>
  <si>
    <t>en_hop_electric_boiler_BrokenHill_AUS</t>
  </si>
  <si>
    <t>en_hp_air_10mw_BrokenHill_AUS</t>
  </si>
  <si>
    <t>en_gas_ccgt_Yandin_AUS</t>
  </si>
  <si>
    <t>e_Yandin_AUS</t>
  </si>
  <si>
    <t>en_gas_turbine_Yandin_AUS</t>
  </si>
  <si>
    <t>en_gas_ccs_Yandin_AUS</t>
  </si>
  <si>
    <t>en_coal_subcritical_Yandin_AUS</t>
  </si>
  <si>
    <t>en_coal_supercritical_Yandin_AUS</t>
  </si>
  <si>
    <t>en_coal_ultrasupercritical_Yandin_AUS</t>
  </si>
  <si>
    <t>en_coal_igcc_Yandin_AUS</t>
  </si>
  <si>
    <t>en_nuclear_Yandin_AUS</t>
  </si>
  <si>
    <t>en_nuclear_smr_Yandin_AUS</t>
  </si>
  <si>
    <t>en_biomass_Yandin_AUS</t>
  </si>
  <si>
    <t>en_chp_gas_cc_ext_Yandin_AUS</t>
  </si>
  <si>
    <t>h_Yandin_AUS</t>
  </si>
  <si>
    <t>en_chp_biomass_chips_ext_Yandin_AUS</t>
  </si>
  <si>
    <t>en_chp_gas_cc_ext_ccs_Yandin_AUS</t>
  </si>
  <si>
    <t>en_hop_gas_boiler_Yandin_AUS</t>
  </si>
  <si>
    <t>en_hop_biomass_chips_Yandin_AUS</t>
  </si>
  <si>
    <t>en_hop_electric_boiler_Yandin_AUS</t>
  </si>
  <si>
    <t>en_hp_air_10mw_Yandin_AUS</t>
  </si>
  <si>
    <t>en_gas_ccgt_TorrensIslandBatte_AUS</t>
  </si>
  <si>
    <t>en_gas_turbine_TorrensIslandBatte_AUS</t>
  </si>
  <si>
    <t>en_gas_ccs_TorrensIslandBatte_AUS</t>
  </si>
  <si>
    <t>en_coal_subcritical_TorrensIslandBatte_AUS</t>
  </si>
  <si>
    <t>en_coal_supercritical_TorrensIslandBatte_AUS</t>
  </si>
  <si>
    <t>en_coal_ultrasupercritical_TorrensIslandBatte_AUS</t>
  </si>
  <si>
    <t>en_coal_igcc_TorrensIslandBatte_AUS</t>
  </si>
  <si>
    <t>en_nuclear_TorrensIslandBatte_AUS</t>
  </si>
  <si>
    <t>en_nuclear_smr_TorrensIslandBatte_AUS</t>
  </si>
  <si>
    <t>en_biomass_TorrensIslandBatte_AUS</t>
  </si>
  <si>
    <t>en_chp_gas_cc_ext_TorrensIslandBatte_AUS</t>
  </si>
  <si>
    <t>en_chp_biomass_chips_ext_TorrensIslandBatte_AUS</t>
  </si>
  <si>
    <t>en_chp_gas_cc_ext_ccs_TorrensIslandBatte_AUS</t>
  </si>
  <si>
    <t>en_hop_gas_boiler_TorrensIslandBatte_AUS</t>
  </si>
  <si>
    <t>en_hop_biomass_chips_TorrensIslandBatte_AUS</t>
  </si>
  <si>
    <t>en_hop_electric_boiler_TorrensIslandBatte_AUS</t>
  </si>
  <si>
    <t>en_hp_air_10mw_TorrensIslandBatte_AUS</t>
  </si>
  <si>
    <t>en_gas_ccgt_CentralCoast_AUS</t>
  </si>
  <si>
    <t>en_gas_turbine_CentralCoast_AUS</t>
  </si>
  <si>
    <t>en_gas_ccs_CentralCoast_AUS</t>
  </si>
  <si>
    <t>en_coal_subcritical_CentralCoast_AUS</t>
  </si>
  <si>
    <t>en_coal_supercritical_CentralCoast_AUS</t>
  </si>
  <si>
    <t>en_coal_ultrasupercritical_CentralCoast_AUS</t>
  </si>
  <si>
    <t>en_coal_igcc_CentralCoast_AUS</t>
  </si>
  <si>
    <t>en_nuclear_CentralCoast_AUS</t>
  </si>
  <si>
    <t>en_nuclear_smr_CentralCoast_AUS</t>
  </si>
  <si>
    <t>en_biomass_CentralCoast_AUS</t>
  </si>
  <si>
    <t>en_chp_gas_cc_ext_CentralCoast_AUS</t>
  </si>
  <si>
    <t>en_chp_biomass_chips_ext_CentralCoast_AUS</t>
  </si>
  <si>
    <t>en_chp_gas_cc_ext_ccs_CentralCoast_AUS</t>
  </si>
  <si>
    <t>en_hop_gas_boiler_CentralCoast_AUS</t>
  </si>
  <si>
    <t>en_hop_biomass_chips_CentralCoast_AUS</t>
  </si>
  <si>
    <t>en_hop_electric_boiler_CentralCoast_AUS</t>
  </si>
  <si>
    <t>en_hp_air_10mw_CentralCoast_AUS</t>
  </si>
  <si>
    <t>en_gas_ccgt_Sydney_AUS</t>
  </si>
  <si>
    <t>en_gas_turbine_Sydney_AUS</t>
  </si>
  <si>
    <t>en_gas_ccs_Sydney_AUS</t>
  </si>
  <si>
    <t>en_coal_subcritical_Sydney_AUS</t>
  </si>
  <si>
    <t>en_coal_supercritical_Sydney_AUS</t>
  </si>
  <si>
    <t>en_coal_ultrasupercritical_Sydney_AUS</t>
  </si>
  <si>
    <t>en_coal_igcc_Sydney_AUS</t>
  </si>
  <si>
    <t>en_nuclear_Sydney_AUS</t>
  </si>
  <si>
    <t>en_nuclear_smr_Sydney_AUS</t>
  </si>
  <si>
    <t>en_biomass_Sydney_AUS</t>
  </si>
  <si>
    <t>en_chp_gas_cc_ext_Sydney_AUS</t>
  </si>
  <si>
    <t>h_Sydney_AUS</t>
  </si>
  <si>
    <t>en_chp_biomass_chips_ext_Sydney_AUS</t>
  </si>
  <si>
    <t>en_chp_gas_cc_ext_ccs_Sydney_AUS</t>
  </si>
  <si>
    <t>en_hop_gas_boiler_Sydney_AUS</t>
  </si>
  <si>
    <t>en_hop_biomass_chips_Sydney_AUS</t>
  </si>
  <si>
    <t>en_hop_electric_boiler_Sydney_AUS</t>
  </si>
  <si>
    <t>en_hp_air_10mw_Sydney_AUS</t>
  </si>
  <si>
    <t>en_gas_ccgt_PortHedland_AUS</t>
  </si>
  <si>
    <t>en_gas_turbine_PortHedland_AUS</t>
  </si>
  <si>
    <t>en_gas_ccs_PortHedland_AUS</t>
  </si>
  <si>
    <t>en_coal_subcritical_PortHedland_AUS</t>
  </si>
  <si>
    <t>en_coal_supercritical_PortHedland_AUS</t>
  </si>
  <si>
    <t>en_coal_ultrasupercritical_PortHedland_AUS</t>
  </si>
  <si>
    <t>en_coal_igcc_PortHedland_AUS</t>
  </si>
  <si>
    <t>en_nuclear_PortHedland_AUS</t>
  </si>
  <si>
    <t>en_nuclear_smr_PortHedland_AUS</t>
  </si>
  <si>
    <t>en_biomass_PortHedland_AUS</t>
  </si>
  <si>
    <t>en_chp_gas_cc_ext_PortHedland_AUS</t>
  </si>
  <si>
    <t>h_PortHedland_AUS</t>
  </si>
  <si>
    <t>en_chp_biomass_chips_ext_PortHedland_AUS</t>
  </si>
  <si>
    <t>en_chp_gas_cc_ext_ccs_PortHedland_AUS</t>
  </si>
  <si>
    <t>en_hop_gas_boiler_PortHedland_AUS</t>
  </si>
  <si>
    <t>en_hop_biomass_chips_PortHedland_AUS</t>
  </si>
  <si>
    <t>en_hop_electric_boiler_PortHedland_AUS</t>
  </si>
  <si>
    <t>en_hp_air_10mw_PortHedland_AUS</t>
  </si>
  <si>
    <t>en_gas_ccgt_AUS42p8S146p2E_AUS</t>
  </si>
  <si>
    <t>en_gas_turbine_AUS42p8S146p2E_AUS</t>
  </si>
  <si>
    <t>en_gas_ccs_AUS42p8S146p2E_AUS</t>
  </si>
  <si>
    <t>en_coal_subcritical_AUS42p8S146p2E_AUS</t>
  </si>
  <si>
    <t>en_coal_supercritical_AUS42p8S146p2E_AUS</t>
  </si>
  <si>
    <t>en_coal_ultrasupercritical_AUS42p8S146p2E_AUS</t>
  </si>
  <si>
    <t>en_coal_igcc_AUS42p8S146p2E_AUS</t>
  </si>
  <si>
    <t>en_nuclear_AUS42p8S146p2E_AUS</t>
  </si>
  <si>
    <t>en_nuclear_smr_AUS42p8S146p2E_AUS</t>
  </si>
  <si>
    <t>en_biomass_AUS42p8S146p2E_AUS</t>
  </si>
  <si>
    <t>en_chp_gas_cc_ext_AUS42p8S146p2E_AUS</t>
  </si>
  <si>
    <t>h_AUS42p8S146p2E_AUS</t>
  </si>
  <si>
    <t>en_chp_biomass_chips_ext_AUS42p8S146p2E_AUS</t>
  </si>
  <si>
    <t>en_chp_gas_cc_ext_ccs_AUS42p8S146p2E_AUS</t>
  </si>
  <si>
    <t>en_hop_gas_boiler_AUS42p8S146p2E_AUS</t>
  </si>
  <si>
    <t>en_hop_biomass_chips_AUS42p8S146p2E_AUS</t>
  </si>
  <si>
    <t>en_hop_electric_boiler_AUS42p8S146p2E_AUS</t>
  </si>
  <si>
    <t>en_hp_air_10mw_AUS42p8S146p2E_AUS</t>
  </si>
  <si>
    <t>en_gas_ccgt_AUS22p5S119p9E_AUS</t>
  </si>
  <si>
    <t>en_gas_turbine_AUS22p5S119p9E_AUS</t>
  </si>
  <si>
    <t>en_gas_ccs_AUS22p5S119p9E_AUS</t>
  </si>
  <si>
    <t>en_coal_subcritical_AUS22p5S119p9E_AUS</t>
  </si>
  <si>
    <t>en_coal_supercritical_AUS22p5S119p9E_AUS</t>
  </si>
  <si>
    <t>en_coal_ultrasupercritical_AUS22p5S119p9E_AUS</t>
  </si>
  <si>
    <t>en_coal_igcc_AUS22p5S119p9E_AUS</t>
  </si>
  <si>
    <t>en_nuclear_AUS22p5S119p9E_AUS</t>
  </si>
  <si>
    <t>en_nuclear_smr_AUS22p5S119p9E_AUS</t>
  </si>
  <si>
    <t>en_biomass_AUS22p5S119p9E_AUS</t>
  </si>
  <si>
    <t>en_chp_gas_cc_ext_AUS22p5S119p9E_AUS</t>
  </si>
  <si>
    <t>h_AUS22p5S119p9E_AUS</t>
  </si>
  <si>
    <t>en_chp_biomass_chips_ext_AUS22p5S119p9E_AUS</t>
  </si>
  <si>
    <t>en_chp_gas_cc_ext_ccs_AUS22p5S119p9E_AUS</t>
  </si>
  <si>
    <t>en_hop_gas_boiler_AUS22p5S119p9E_AUS</t>
  </si>
  <si>
    <t>en_hop_biomass_chips_AUS22p5S119p9E_AUS</t>
  </si>
  <si>
    <t>en_hop_electric_boiler_AUS22p5S119p9E_AUS</t>
  </si>
  <si>
    <t>en_hp_air_10mw_AUS22p5S119p9E_AUS</t>
  </si>
  <si>
    <t>en_gas_ccgt_Australind_AUS</t>
  </si>
  <si>
    <t>en_gas_turbine_Australind_AUS</t>
  </si>
  <si>
    <t>en_gas_ccs_Australind_AUS</t>
  </si>
  <si>
    <t>en_coal_subcritical_Australind_AUS</t>
  </si>
  <si>
    <t>en_coal_supercritical_Australind_AUS</t>
  </si>
  <si>
    <t>en_coal_ultrasupercritical_Australind_AUS</t>
  </si>
  <si>
    <t>en_coal_igcc_Australind_AUS</t>
  </si>
  <si>
    <t>en_nuclear_Australind_AUS</t>
  </si>
  <si>
    <t>en_nuclear_smr_Australind_AUS</t>
  </si>
  <si>
    <t>en_biomass_Australind_AUS</t>
  </si>
  <si>
    <t>en_chp_gas_cc_ext_Australind_AUS</t>
  </si>
  <si>
    <t>en_chp_biomass_chips_ext_Australind_AUS</t>
  </si>
  <si>
    <t>en_chp_gas_cc_ext_ccs_Australind_AUS</t>
  </si>
  <si>
    <t>en_hop_gas_boiler_Australind_AUS</t>
  </si>
  <si>
    <t>en_hop_biomass_chips_Australind_AUS</t>
  </si>
  <si>
    <t>en_hop_electric_boiler_Australind_AUS</t>
  </si>
  <si>
    <t>en_hp_air_10mw_Australind_AUS</t>
  </si>
  <si>
    <t>en_gas_ccgt_Kalgoorlie_AUS</t>
  </si>
  <si>
    <t>en_gas_turbine_Kalgoorlie_AUS</t>
  </si>
  <si>
    <t>en_gas_ccs_Kalgoorlie_AUS</t>
  </si>
  <si>
    <t>en_coal_subcritical_Kalgoorlie_AUS</t>
  </si>
  <si>
    <t>en_coal_supercritical_Kalgoorlie_AUS</t>
  </si>
  <si>
    <t>en_coal_ultrasupercritical_Kalgoorlie_AUS</t>
  </si>
  <si>
    <t>en_coal_igcc_Kalgoorlie_AUS</t>
  </si>
  <si>
    <t>en_nuclear_Kalgoorlie_AUS</t>
  </si>
  <si>
    <t>en_nuclear_smr_Kalgoorlie_AUS</t>
  </si>
  <si>
    <t>en_biomass_Kalgoorlie_AUS</t>
  </si>
  <si>
    <t>en_chp_gas_cc_ext_Kalgoorlie_AUS</t>
  </si>
  <si>
    <t>h_Kalgoorlie_AUS</t>
  </si>
  <si>
    <t>en_chp_biomass_chips_ext_Kalgoorlie_AUS</t>
  </si>
  <si>
    <t>en_chp_gas_cc_ext_ccs_Kalgoorlie_AUS</t>
  </si>
  <si>
    <t>en_hop_gas_boiler_Kalgoorlie_AUS</t>
  </si>
  <si>
    <t>en_hop_biomass_chips_Kalgoorlie_AUS</t>
  </si>
  <si>
    <t>en_hop_electric_boiler_Kalgoorlie_AUS</t>
  </si>
  <si>
    <t>en_hp_air_10mw_Kalgoorlie_AUS</t>
  </si>
  <si>
    <t>en_gas_ccgt_Newman_AUS</t>
  </si>
  <si>
    <t>en_gas_turbine_Newman_AUS</t>
  </si>
  <si>
    <t>en_gas_ccs_Newman_AUS</t>
  </si>
  <si>
    <t>en_coal_subcritical_Newman_AUS</t>
  </si>
  <si>
    <t>en_coal_supercritical_Newman_AUS</t>
  </si>
  <si>
    <t>en_coal_ultrasupercritical_Newman_AUS</t>
  </si>
  <si>
    <t>en_coal_igcc_Newman_AUS</t>
  </si>
  <si>
    <t>en_nuclear_Newman_AUS</t>
  </si>
  <si>
    <t>en_nuclear_smr_Newman_AUS</t>
  </si>
  <si>
    <t>en_biomass_Newman_AUS</t>
  </si>
  <si>
    <t>en_chp_gas_cc_ext_Newman_AUS</t>
  </si>
  <si>
    <t>en_chp_biomass_chips_ext_Newman_AUS</t>
  </si>
  <si>
    <t>en_chp_gas_cc_ext_ccs_Newman_AUS</t>
  </si>
  <si>
    <t>en_hop_gas_boiler_Newman_AUS</t>
  </si>
  <si>
    <t>en_hop_biomass_chips_Newman_AUS</t>
  </si>
  <si>
    <t>en_hop_electric_boiler_Newman_AUS</t>
  </si>
  <si>
    <t>en_hp_air_10mw_Newman_AUS</t>
  </si>
  <si>
    <t>en_battery_4h_Perth_AUS</t>
  </si>
  <si>
    <t>en_battery_8h_Perth_AUS</t>
  </si>
  <si>
    <t>en_battery_4h_Murarrie_AUS</t>
  </si>
  <si>
    <t>en_battery_8h_Murarrie_AUS</t>
  </si>
  <si>
    <t>en_battery_4h_SydneyWest_AUS</t>
  </si>
  <si>
    <t>en_battery_8h_SydneyWest_AUS</t>
  </si>
  <si>
    <t>en_battery_4h_Altona_AUS</t>
  </si>
  <si>
    <t>en_battery_8h_Altona_AUS</t>
  </si>
  <si>
    <t>en_battery_4h_Sheffield_AUS</t>
  </si>
  <si>
    <t>en_battery_8h_Sheffield_AUS</t>
  </si>
  <si>
    <t>en_battery_4h_Calvale_AUS</t>
  </si>
  <si>
    <t>en_battery_8h_Calvale_AUS</t>
  </si>
  <si>
    <t>en_battery_4h_Broadsound_AUS</t>
  </si>
  <si>
    <t>en_battery_8h_Broadsound_AUS</t>
  </si>
  <si>
    <t>en_battery_4h_Armidale_AUS</t>
  </si>
  <si>
    <t>en_battery_8h_Armidale_AUS</t>
  </si>
  <si>
    <t>en_battery_4h_Davenport_AUS</t>
  </si>
  <si>
    <t>en_battery_8h_Davenport_AUS</t>
  </si>
  <si>
    <t>en_battery_4h_Cultana_AUS</t>
  </si>
  <si>
    <t>en_battery_8h_Cultana_AUS</t>
  </si>
  <si>
    <t>en_battery_4h_Nebo_AUS</t>
  </si>
  <si>
    <t>en_battery_8h_Nebo_AUS</t>
  </si>
  <si>
    <t>en_battery_4h_Dubbo_AUS</t>
  </si>
  <si>
    <t>en_battery_8h_Dubbo_AUS</t>
  </si>
  <si>
    <t>en_battery_4h_DarlingtonPoint_AUS</t>
  </si>
  <si>
    <t>en_battery_8h_DarlingtonPoint_AUS</t>
  </si>
  <si>
    <t>en_battery_4h_Balranald_AUS</t>
  </si>
  <si>
    <t>en_battery_8h_Balranald_AUS</t>
  </si>
  <si>
    <t>en_battery_4h_Tarong_AUS</t>
  </si>
  <si>
    <t>en_battery_8h_Tarong_AUS</t>
  </si>
  <si>
    <t>en_battery_4h_Blackwall_AUS</t>
  </si>
  <si>
    <t>en_battery_8h_Blackwall_AUS</t>
  </si>
  <si>
    <t>en_battery_4h_Bouldercombe_AUS</t>
  </si>
  <si>
    <t>en_battery_8h_Bouldercombe_AUS</t>
  </si>
  <si>
    <t>en_battery_4h_Strathmore_AUS</t>
  </si>
  <si>
    <t>en_battery_8h_Strathmore_AUS</t>
  </si>
  <si>
    <t>en_battery_4h_Lilyvale_AUS</t>
  </si>
  <si>
    <t>en_battery_8h_Lilyvale_AUS</t>
  </si>
  <si>
    <t>en_battery_4h_Wagga_AUS</t>
  </si>
  <si>
    <t>en_battery_8h_Wagga_AUS</t>
  </si>
  <si>
    <t>en_battery_4h_DaptoBulkSupply_AUS</t>
  </si>
  <si>
    <t>en_battery_8h_DaptoBulkSupply_AUS</t>
  </si>
  <si>
    <t>en_battery_4h_BulliCreek_AUS</t>
  </si>
  <si>
    <t>en_battery_8h_BulliCreek_AUS</t>
  </si>
  <si>
    <t>en_battery_4h_Palmerston_AUS</t>
  </si>
  <si>
    <t>en_battery_8h_Palmerston_AUS</t>
  </si>
  <si>
    <t>en_battery_4h_Murray_AUS</t>
  </si>
  <si>
    <t>en_battery_8h_Murray_AUS</t>
  </si>
  <si>
    <t>en_battery_4h_SydneyNorthBulkSup_AUS</t>
  </si>
  <si>
    <t>en_battery_8h_SydneyNorthBulkSup_AUS</t>
  </si>
  <si>
    <t>en_battery_4h_OlympicDamWest_AUS</t>
  </si>
  <si>
    <t>en_battery_8h_OlympicDamWest_AUS</t>
  </si>
  <si>
    <t>en_battery_4h_UpperTumut_AUS</t>
  </si>
  <si>
    <t>en_battery_8h_UpperTumut_AUS</t>
  </si>
  <si>
    <t>en_battery_4h_Merredin_AUS</t>
  </si>
  <si>
    <t>en_battery_8h_Merredin_AUS</t>
  </si>
  <si>
    <t>en_battery_4h_Chumvale_AUS</t>
  </si>
  <si>
    <t>en_battery_8h_Chumvale_AUS</t>
  </si>
  <si>
    <t>en_battery_4h_Rowville_AUS</t>
  </si>
  <si>
    <t>en_battery_8h_Rowville_AUS</t>
  </si>
  <si>
    <t>en_battery_4h_KangarooValleyTran_AUS</t>
  </si>
  <si>
    <t>en_battery_8h_KangarooValleyTran_AUS</t>
  </si>
  <si>
    <t>en_battery_4h_Geelong_AUS</t>
  </si>
  <si>
    <t>en_battery_8h_Geelong_AUS</t>
  </si>
  <si>
    <t>en_battery_4h_Farrell_AUS</t>
  </si>
  <si>
    <t>en_battery_8h_Farrell_AUS</t>
  </si>
  <si>
    <t>en_battery_4h_Tarrone_AUS</t>
  </si>
  <si>
    <t>en_battery_8h_Tarrone_AUS</t>
  </si>
  <si>
    <t>en_battery_4h_TomPriceMine_AUS</t>
  </si>
  <si>
    <t>en_battery_8h_TomPriceMine_AUS</t>
  </si>
  <si>
    <t>en_battery_4h_CalliopeRiver_AUS</t>
  </si>
  <si>
    <t>en_battery_8h_CalliopeRiver_AUS</t>
  </si>
  <si>
    <t>en_battery_4h_Hazelwood_AUS</t>
  </si>
  <si>
    <t>en_battery_8h_Hazelwood_AUS</t>
  </si>
  <si>
    <t>en_battery_4h_Eurombah_AUS</t>
  </si>
  <si>
    <t>en_battery_8h_Eurombah_AUS</t>
  </si>
  <si>
    <t>en_battery_4h_Karratha_AUS</t>
  </si>
  <si>
    <t>en_battery_8h_Karratha_AUS</t>
  </si>
  <si>
    <t>en_battery_4h_Morawa_AUS</t>
  </si>
  <si>
    <t>en_battery_8h_Morawa_AUS</t>
  </si>
  <si>
    <t>en_battery_4h_TemplersWest_AUS</t>
  </si>
  <si>
    <t>en_battery_8h_TemplersWest_AUS</t>
  </si>
  <si>
    <t>en_battery_4h_Canberra_AUS</t>
  </si>
  <si>
    <t>en_battery_8h_Canberra_AUS</t>
  </si>
  <si>
    <t>en_battery_4h_SydneySouthBulkSup_AUS</t>
  </si>
  <si>
    <t>en_battery_8h_SydneySouthBulkSup_AUS</t>
  </si>
  <si>
    <t>en_battery_4h_Cemi_AUS</t>
  </si>
  <si>
    <t>en_battery_8h_Cemi_AUS</t>
  </si>
  <si>
    <t>en_battery_4h_Walkamin_AUS</t>
  </si>
  <si>
    <t>en_battery_8h_Walkamin_AUS</t>
  </si>
  <si>
    <t>en_battery_4h_BrokenHill_AUS</t>
  </si>
  <si>
    <t>en_battery_8h_BrokenHill_AUS</t>
  </si>
  <si>
    <t>en_battery_4h_Yandin_AUS</t>
  </si>
  <si>
    <t>en_battery_8h_Yandin_AUS</t>
  </si>
  <si>
    <t>en_battery_4h_TorrensIslandBatte_AUS</t>
  </si>
  <si>
    <t>en_battery_8h_TorrensIslandBatte_AUS</t>
  </si>
  <si>
    <t>en_battery_4h_CentralCoast_AUS</t>
  </si>
  <si>
    <t>en_battery_8h_CentralCoast_AUS</t>
  </si>
  <si>
    <t>en_battery_4h_Sydney_AUS</t>
  </si>
  <si>
    <t>en_battery_8h_Sydney_AUS</t>
  </si>
  <si>
    <t>en_battery_4h_PortHedland_AUS</t>
  </si>
  <si>
    <t>en_battery_8h_PortHedland_AUS</t>
  </si>
  <si>
    <t>en_battery_4h_AUS42p8S146p2E_AUS</t>
  </si>
  <si>
    <t>en_battery_8h_AUS42p8S146p2E_AUS</t>
  </si>
  <si>
    <t>en_battery_4h_AUS22p5S119p9E_AUS</t>
  </si>
  <si>
    <t>en_battery_8h_AUS22p5S119p9E_AUS</t>
  </si>
  <si>
    <t>en_battery_4h_Australind_AUS</t>
  </si>
  <si>
    <t>en_battery_8h_Australind_AUS</t>
  </si>
  <si>
    <t>en_battery_4h_Kalgoorlie_AUS</t>
  </si>
  <si>
    <t>en_battery_8h_Kalgoorlie_AUS</t>
  </si>
  <si>
    <t>en_battery_4h_Newman_AUS</t>
  </si>
  <si>
    <t>en_battery_8h_Newman_AUS</t>
  </si>
  <si>
    <t>~tfm_ins-at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</si>
  <si>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</si>
  <si>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</si>
  <si>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</si>
  <si>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</si>
  <si>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</si>
  <si>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</si>
  <si>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</si>
  <si>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</si>
  <si>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</si>
  <si>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</si>
  <si>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</si>
  <si>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~TFM_DINS</t>
  </si>
  <si>
    <t>act_cum</t>
  </si>
  <si>
    <t>sto_ogci10001_AUS</t>
  </si>
  <si>
    <t>sto_ogci10002_AUS</t>
  </si>
  <si>
    <t>sto_ogci10003_AUS</t>
  </si>
  <si>
    <t>sto_ogci10004_AUS</t>
  </si>
  <si>
    <t>sto_ogci10011_AUS</t>
  </si>
  <si>
    <t>sto_ogci10013_AUS</t>
  </si>
  <si>
    <t>sto_ogci10015_AUS</t>
  </si>
  <si>
    <t>sto_ogci10018_AUS</t>
  </si>
  <si>
    <t>sto_ogci10019_AUS</t>
  </si>
  <si>
    <t>sto_ogci10020_AUS</t>
  </si>
  <si>
    <t>sto_ogci10022_AUS</t>
  </si>
  <si>
    <t>sto_ogci10023_AUS</t>
  </si>
  <si>
    <t>sto_ogci10024_AUS</t>
  </si>
  <si>
    <t>sto_ogci10025_AUS</t>
  </si>
  <si>
    <t>sto_ogci10028_AUS</t>
  </si>
  <si>
    <t>sto_ogci10030_AUS</t>
  </si>
  <si>
    <t>sto_ogci10031_AUS</t>
  </si>
  <si>
    <t>sto_ogci10033_AUS</t>
  </si>
  <si>
    <t>sto_ogci10034_AUS</t>
  </si>
  <si>
    <t>sto_ogci10035_AUS</t>
  </si>
  <si>
    <t>sto_ogci10036_AUS</t>
  </si>
  <si>
    <t>sto_ogci10037_AUS</t>
  </si>
  <si>
    <t>sto_ogci10038_AUS</t>
  </si>
  <si>
    <t>sto_ogci10039_AUS</t>
  </si>
  <si>
    <t>sto_ogci10040_AUS</t>
  </si>
  <si>
    <t>sto_ogci10041_AUS</t>
  </si>
  <si>
    <t>sto_ogci10042_AUS</t>
  </si>
  <si>
    <t>sto_ogci10043_AUS</t>
  </si>
  <si>
    <t>sto_ogci10049_AUS</t>
  </si>
  <si>
    <t>sto_ogci10050_AUS</t>
  </si>
  <si>
    <t>sto_ogci10053_AUS</t>
  </si>
  <si>
    <t>sto_ogci10054_AUS</t>
  </si>
  <si>
    <t>sto_ogci10055_AUS</t>
  </si>
  <si>
    <t>sto_ogci10056_AUS</t>
  </si>
  <si>
    <t>sto_ogci10057_AUS</t>
  </si>
  <si>
    <t>sto_ogci10058_AUS</t>
  </si>
  <si>
    <t>sto_ogci10059_AUS</t>
  </si>
  <si>
    <t>sto_ogci10060_AUS</t>
  </si>
  <si>
    <t>sto_ogci10062_AUS</t>
  </si>
  <si>
    <t>sto_ogci10063_AUS</t>
  </si>
  <si>
    <t>sto_ogci10064_AUS</t>
  </si>
  <si>
    <t>sto_ogci10065_AUS</t>
  </si>
  <si>
    <t>sto_ogci10066_AUS</t>
  </si>
  <si>
    <t>sto_ogci10067_AUS</t>
  </si>
  <si>
    <t>sto_ogci10068_AUS</t>
  </si>
  <si>
    <t>sto_ogci10069_AUS</t>
  </si>
  <si>
    <t>act_cost</t>
  </si>
  <si>
    <t>p_co2_Perth_AUS-ogci10066</t>
  </si>
  <si>
    <t>p_co2_Murarrie_AUS-ogci10022</t>
  </si>
  <si>
    <t>p_co2_SydneyWest_AUS-ogci10030</t>
  </si>
  <si>
    <t>p_co2_Altona_AUS-ogci10019</t>
  </si>
  <si>
    <t>p_co2_Sheffield_AUS-ogci10018</t>
  </si>
  <si>
    <t>p_co2_Calvale_AUS-ogci10037</t>
  </si>
  <si>
    <t>p_co2_Broadsound_AUS-ogci10025</t>
  </si>
  <si>
    <t>p_co2_Armidale_AUS-ogci10022</t>
  </si>
  <si>
    <t>p_co2_Davenport_AUS-ogci10024</t>
  </si>
  <si>
    <t>p_co2_Cultana_AUS-ogci10024</t>
  </si>
  <si>
    <t>p_co2_Nebo_AUS-ogci10025</t>
  </si>
  <si>
    <t>p_co2_Dubbo_AUS-ogci10015</t>
  </si>
  <si>
    <t>p_co2_DarlingtonPoint_AUS-ogci10015</t>
  </si>
  <si>
    <t>p_co2_Balranald_AUS-ogci10024</t>
  </si>
  <si>
    <t>p_co2_Tarong_AUS-ogci10056</t>
  </si>
  <si>
    <t>p_co2_Blackwall_AUS-ogci10022</t>
  </si>
  <si>
    <t>p_co2_Bouldercombe_AUS-ogci10025</t>
  </si>
  <si>
    <t>p_co2_Strathmore_AUS-ogci10025</t>
  </si>
  <si>
    <t>p_co2_Lilyvale_AUS-ogci10025</t>
  </si>
  <si>
    <t>p_co2_Wagga_AUS-ogci10015</t>
  </si>
  <si>
    <t>p_co2_DaptoBulkSupply_AUS-ogci10030</t>
  </si>
  <si>
    <t>p_co2_BulliCreek_AUS-ogci10020</t>
  </si>
  <si>
    <t>p_co2_Palmerston_AUS-ogci10018</t>
  </si>
  <si>
    <t>p_co2_Murray_AUS-ogci10015</t>
  </si>
  <si>
    <t>p_co2_SydneyNorthBulkSup_AUS-ogci10030</t>
  </si>
  <si>
    <t>p_co2_OlympicDamWest_AUS-ogci10023</t>
  </si>
  <si>
    <t>p_co2_UpperTumut_AUS-ogci10015</t>
  </si>
  <si>
    <t>p_co2_Merredin_AUS-ogci10066</t>
  </si>
  <si>
    <t>p_co2_Chumvale_AUS-ogci10033</t>
  </si>
  <si>
    <t>p_co2_Rowville_AUS-ogci10019</t>
  </si>
  <si>
    <t>p_co2_KangarooValleyTran_AUS-ogci10030</t>
  </si>
  <si>
    <t>p_co2_Geelong_AUS-ogci10019</t>
  </si>
  <si>
    <t>p_co2_Farrell_AUS-ogci10019</t>
  </si>
  <si>
    <t>p_co2_Tarrone_AUS-ogci10031</t>
  </si>
  <si>
    <t>p_co2_TomPriceMine_AUS-ogci10028</t>
  </si>
  <si>
    <t>p_co2_CalliopeRiver_AUS-ogci10025</t>
  </si>
  <si>
    <t>p_co2_Hazelwood_AUS-ogci10063</t>
  </si>
  <si>
    <t>p_co2_Eurombah_AUS-ogci10037</t>
  </si>
  <si>
    <t>p_co2_Karratha_AUS-ogci10028</t>
  </si>
  <si>
    <t>p_co2_Morawa_AUS-ogci10069</t>
  </si>
  <si>
    <t>p_co2_TemplersWest_AUS-ogci10024</t>
  </si>
  <si>
    <t>p_co2_Canberra_AUS-ogci10015</t>
  </si>
  <si>
    <t>p_co2_SydneySouthBulkSup_AUS-ogci10030</t>
  </si>
  <si>
    <t>p_co2_Cemi_AUS-ogci10033</t>
  </si>
  <si>
    <t>p_co2_Walkamin_AUS-ogci10025</t>
  </si>
  <si>
    <t>p_co2_BrokenHill_AUS-ogci10024</t>
  </si>
  <si>
    <t>p_co2_Yandin_AUS-ogci10067</t>
  </si>
  <si>
    <t>p_co2_TorrensIslandBatte_AUS-ogci10062</t>
  </si>
  <si>
    <t>p_co2_CentralCoast_AUS-ogci10030</t>
  </si>
  <si>
    <t>p_co2_Sydney_AUS-ogci10030</t>
  </si>
  <si>
    <t>p_co2_PortHedland_AUS-ogci10028</t>
  </si>
  <si>
    <t>p_co2_AUS42p8S146p2E_AUS-ogci10018</t>
  </si>
  <si>
    <t>p_co2_AUS22p5S119p9E_AUS-ogci10028</t>
  </si>
  <si>
    <t>p_co2_Australind_AUS-ogci10066</t>
  </si>
  <si>
    <t>p_co2_Kalgoorlie_AUS-ogci10066</t>
  </si>
  <si>
    <t>p_co2_Newman_AUS-ogci10028</t>
  </si>
  <si>
    <t>p_co2_Cemi_AUS-ogci10001</t>
  </si>
  <si>
    <t>p_co2_Cemi_AUS-ogci10002</t>
  </si>
  <si>
    <t>p_co2_Cemi_AUS-ogci10003</t>
  </si>
  <si>
    <t>p_co2_Cemi_AUS-ogci10004</t>
  </si>
  <si>
    <t>p_co2_PortHedland_AUS-ogci10011</t>
  </si>
  <si>
    <t>p_co2_Yandin_AUS-ogci10013</t>
  </si>
  <si>
    <t>p_co2_Hazelwood_AUS-ogci10034</t>
  </si>
  <si>
    <t>p_co2_Yandin_AUS-ogci10035</t>
  </si>
  <si>
    <t>p_co2_Morawa_AUS-ogci10036</t>
  </si>
  <si>
    <t>p_co2_Eurombah_AUS-ogci10038</t>
  </si>
  <si>
    <t>p_co2_Eurombah_AUS-ogci10039</t>
  </si>
  <si>
    <t>p_co2_Eurombah_AUS-ogci10040</t>
  </si>
  <si>
    <t>p_co2_Eurombah_AUS-ogci10041</t>
  </si>
  <si>
    <t>p_co2_BrokenHill_AUS-ogci10042</t>
  </si>
  <si>
    <t>p_co2_BrokenHill_AUS-ogci10043</t>
  </si>
  <si>
    <t>p_co2_Eurombah_AUS-ogci10049</t>
  </si>
  <si>
    <t>p_co2_Eurombah_AUS-ogci10050</t>
  </si>
  <si>
    <t>p_co2_Eurombah_AUS-ogci10053</t>
  </si>
  <si>
    <t>p_co2_Eurombah_AUS-ogci10054</t>
  </si>
  <si>
    <t>p_co2_Eurombah_AUS-ogci10055</t>
  </si>
  <si>
    <t>p_co2_Eurombah_AUS-ogci10057</t>
  </si>
  <si>
    <t>p_co2_Eurombah_AUS-ogci10058</t>
  </si>
  <si>
    <t>p_co2_Eurombah_AUS-ogci10059</t>
  </si>
  <si>
    <t>p_co2_Eurombah_AUS-ogci10060</t>
  </si>
  <si>
    <t>p_co2_Hazelwood_AUS-ogci10064</t>
  </si>
  <si>
    <t>p_co2_Morawa_AUS-ogci10065</t>
  </si>
  <si>
    <t>p_co2_Yandin_AUS-ogci10068</t>
  </si>
  <si>
    <t>flo_emis</t>
  </si>
  <si>
    <t>co2_Perth_AUS</t>
  </si>
  <si>
    <t>co2_Murarrie_AUS</t>
  </si>
  <si>
    <t>co2_SydneyWest_AUS</t>
  </si>
  <si>
    <t>co2_Altona_AUS</t>
  </si>
  <si>
    <t>co2_Sheffield_AUS</t>
  </si>
  <si>
    <t>co2_Calvale_AUS</t>
  </si>
  <si>
    <t>co2_Broadsound_AUS</t>
  </si>
  <si>
    <t>co2_Armidale_AUS</t>
  </si>
  <si>
    <t>co2_Davenport_AUS</t>
  </si>
  <si>
    <t>co2_Cultana_AUS</t>
  </si>
  <si>
    <t>co2_Nebo_AUS</t>
  </si>
  <si>
    <t>co2_Dubbo_AUS</t>
  </si>
  <si>
    <t>co2_DarlingtonPoint_AUS</t>
  </si>
  <si>
    <t>co2_Balranald_AUS</t>
  </si>
  <si>
    <t>co2_Tarong_AUS</t>
  </si>
  <si>
    <t>co2_Blackwall_AUS</t>
  </si>
  <si>
    <t>co2_Bouldercombe_AUS</t>
  </si>
  <si>
    <t>co2_Strathmore_AUS</t>
  </si>
  <si>
    <t>co2_Lilyvale_AUS</t>
  </si>
  <si>
    <t>co2_Wagga_AUS</t>
  </si>
  <si>
    <t>co2_DaptoBulkSupply_AUS</t>
  </si>
  <si>
    <t>co2_BulliCreek_AUS</t>
  </si>
  <si>
    <t>co2_Palmerston_AUS</t>
  </si>
  <si>
    <t>co2_Murray_AUS</t>
  </si>
  <si>
    <t>co2_SydneyNorthBulkSup_AUS</t>
  </si>
  <si>
    <t>co2_OlympicDamWest_AUS</t>
  </si>
  <si>
    <t>co2_UpperTumut_AUS</t>
  </si>
  <si>
    <t>co2_Merredin_AUS</t>
  </si>
  <si>
    <t>co2_Chumvale_AUS</t>
  </si>
  <si>
    <t>co2_Rowville_AUS</t>
  </si>
  <si>
    <t>co2_KangarooValleyTran_AUS</t>
  </si>
  <si>
    <t>co2_Geelong_AUS</t>
  </si>
  <si>
    <t>co2_Farrell_AUS</t>
  </si>
  <si>
    <t>co2_Tarrone_AUS</t>
  </si>
  <si>
    <t>co2_TomPriceMine_AUS</t>
  </si>
  <si>
    <t>co2_CalliopeRiver_AUS</t>
  </si>
  <si>
    <t>co2_Hazelwood_AUS</t>
  </si>
  <si>
    <t>co2_Eurombah_AUS</t>
  </si>
  <si>
    <t>co2_Karratha_AUS</t>
  </si>
  <si>
    <t>co2_Morawa_AUS</t>
  </si>
  <si>
    <t>co2_TemplersWest_AUS</t>
  </si>
  <si>
    <t>co2_Canberra_AUS</t>
  </si>
  <si>
    <t>co2_SydneySouthBulkSup_AUS</t>
  </si>
  <si>
    <t>co2_Cemi_AUS</t>
  </si>
  <si>
    <t>co2_Walkamin_AUS</t>
  </si>
  <si>
    <t>co2_BrokenHill_AUS</t>
  </si>
  <si>
    <t>co2_Yandin_AUS</t>
  </si>
  <si>
    <t>co2_TorrensIslandBatte_AUS</t>
  </si>
  <si>
    <t>co2_CentralCoast_AUS</t>
  </si>
  <si>
    <t>co2_Sydney_AUS</t>
  </si>
  <si>
    <t>co2_PortHedland_AUS</t>
  </si>
  <si>
    <t>co2_AUS42p8S146p2E_AUS</t>
  </si>
  <si>
    <t>co2_AUS22p5S119p9E_AUS</t>
  </si>
  <si>
    <t>co2_Australind_AUS</t>
  </si>
  <si>
    <t>co2_Kalgoorlie_AUS</t>
  </si>
  <si>
    <t>co2_Newman_AUS</t>
  </si>
  <si>
    <t>ep_coal_subcritical_G100000102667_ccs-rf</t>
  </si>
  <si>
    <t>ep_coal_subcritical_G100000111276_ccs-rf</t>
  </si>
  <si>
    <t>ep_coal_subcritical_G100000109602_ccs-rf</t>
  </si>
  <si>
    <t>ep_coal_subcritical_G100000102668_ccs-rf</t>
  </si>
  <si>
    <t>ep_coal_subcritical_G100000100679_ccs-rf</t>
  </si>
  <si>
    <t>ep_coal_subcritical_G100000111274_ccs-rf</t>
  </si>
  <si>
    <t>ep_coal_subcritical_G100000109599_ccs-rf</t>
  </si>
  <si>
    <t>ep_coal_subcritical_G100000106432_ccs-rf</t>
  </si>
  <si>
    <t>ep_coal_subcritical_G100000107053_ccs-rf</t>
  </si>
  <si>
    <t>ep_coal_subcritical_G100000106433_ccs-rf</t>
  </si>
  <si>
    <t>ep_coal_subcritical_G100000102670_ccs-rf</t>
  </si>
  <si>
    <t>ep_coal_subcritical_G100000107054_ccs-rf</t>
  </si>
  <si>
    <t>ep_coal_subcritical_G100000106430_ccs-rf</t>
  </si>
  <si>
    <t>ep_coal_subcritical_G100000109978_ccs-rf</t>
  </si>
  <si>
    <t>ep_coal_subcritical_G100000102669_ccs-rf</t>
  </si>
  <si>
    <t>ep_coal_subcritical_G100000106284_ccs-rf</t>
  </si>
  <si>
    <t>ep_coal_supercritical_G100000101162_ccs-rf</t>
  </si>
  <si>
    <t>ep_coal_supercritical_G100000106927_ccs-rf</t>
  </si>
  <si>
    <t>ep_coal_subcritical_G100000109600_ccs-rf</t>
  </si>
  <si>
    <t>ep_coal_subcritical_G100000101664_ccs-rf</t>
  </si>
  <si>
    <t>ep_coal_subcritical_G100000101160_ccs-rf</t>
  </si>
  <si>
    <t>ep_gas_combined_cycle_G100000409795_ccs-rf</t>
  </si>
  <si>
    <t>ep_coal_subcritical_G100000106282_ccs-rf</t>
  </si>
  <si>
    <t>ep_coal_subcritical_G100000106435_ccs-rf</t>
  </si>
  <si>
    <t>ep_coal_subcritical_G100000101161_ccs-rf</t>
  </si>
  <si>
    <t>ep_coal_subcritical_G100000110540_ccs-rf</t>
  </si>
  <si>
    <t>ep_coal_subcritical_G100000110541_ccs-rf</t>
  </si>
  <si>
    <t>ep_coal_subcritical_G100000106434_ccs-rf</t>
  </si>
  <si>
    <t>ep_coal_subcritical_G100000106431_ccs-rf</t>
  </si>
  <si>
    <t>ep_coal_subcritical_G100000109977_ccs-rf</t>
  </si>
  <si>
    <t>ep_coal_subcritical_G100000106283_ccs-rf</t>
  </si>
  <si>
    <t>ep_coal_subcritical_G100000100681_ccs-rf</t>
  </si>
  <si>
    <t>ep_coal_subcritical_G100000111273_ccs-rf</t>
  </si>
  <si>
    <t>ep_coal_subcritical_G100000100682_ccs-rf</t>
  </si>
  <si>
    <t>ep_coal_supercritical_G100000106926_ccs-rf</t>
  </si>
  <si>
    <t>ep_coal_supercritical_G100000109976_ccs-rf</t>
  </si>
  <si>
    <t>ep_coal_supercritical_G100000101163_ccs-rf</t>
  </si>
  <si>
    <t>ep_coal_subcritical_G100000111275_ccs-rf</t>
  </si>
  <si>
    <t>ep_gas_steam_turbine_G100000401532_ccs-rf</t>
  </si>
  <si>
    <t>ep_gas_combined_cycle_G100000401548_ccs-rf</t>
  </si>
  <si>
    <t>ep_gas_combined_cycle_G100000401506_ccs-rf</t>
  </si>
  <si>
    <t>ep_coal_subcritical_G100000100680_ccs-rf</t>
  </si>
  <si>
    <t>ep_coal_subcritical_G100000114515_ccs-rf</t>
  </si>
  <si>
    <t>ep_coal_supercritical_G100000105802_ccs-rf</t>
  </si>
  <si>
    <t>ep_gas_combined_cycle_G100000409789_ccs-rf</t>
  </si>
  <si>
    <t>ep_coal_subcritical_G100000106281_ccs-rf</t>
  </si>
  <si>
    <t>ep_coal_subcritical_G100000109601_ccs-rf</t>
  </si>
  <si>
    <t>ep_coal_subcritical_G100000114514_ccs-rf</t>
  </si>
  <si>
    <t>~UC_Sets: R_S: Allregions</t>
  </si>
  <si>
    <t>~UC_T</t>
  </si>
  <si>
    <t>uc_cap</t>
  </si>
  <si>
    <t>uc_rhst~0</t>
  </si>
  <si>
    <t>ELE</t>
  </si>
  <si>
    <t>UCE_elcagg_spv_AUS_001</t>
  </si>
  <si>
    <t>elc_spv_AUS_001</t>
  </si>
  <si>
    <t>UCE_elcagg_spv_AUS_002</t>
  </si>
  <si>
    <t>elc_spv_AUS_002</t>
  </si>
  <si>
    <t>UCE_elcagg_spv_AUS_003</t>
  </si>
  <si>
    <t>elc_spv_AUS_003</t>
  </si>
  <si>
    <t>UCE_elcagg_spv_AUS_004</t>
  </si>
  <si>
    <t>elc_spv_AUS_004</t>
  </si>
  <si>
    <t>UCE_elcagg_spv_AUS_005</t>
  </si>
  <si>
    <t>elc_spv_AUS_005</t>
  </si>
  <si>
    <t>UCE_elcagg_spv_AUS_006</t>
  </si>
  <si>
    <t>elc_spv_AUS_006</t>
  </si>
  <si>
    <t>UCE_elcagg_spv_AUS_007</t>
  </si>
  <si>
    <t>elc_spv_AUS_007</t>
  </si>
  <si>
    <t>UCE_elcagg_spv_AUS_008</t>
  </si>
  <si>
    <t>elc_spv_AUS_008</t>
  </si>
  <si>
    <t>UCE_elcagg_spv_AUS_009</t>
  </si>
  <si>
    <t>elc_spv_AUS_009</t>
  </si>
  <si>
    <t>UCE_elcagg_spv_AUS_010</t>
  </si>
  <si>
    <t>elc_spv_AUS_010</t>
  </si>
  <si>
    <t>UCE_elcagg_spv_AUS_011</t>
  </si>
  <si>
    <t>elc_spv_AUS_011</t>
  </si>
  <si>
    <t>UCE_elcagg_spv_AUS_012</t>
  </si>
  <si>
    <t>elc_spv_AUS_012</t>
  </si>
  <si>
    <t>UCE_elcagg_spv_AUS_013</t>
  </si>
  <si>
    <t>elc_spv_AUS_013</t>
  </si>
  <si>
    <t>UCE_elcagg_spv_AUS_014</t>
  </si>
  <si>
    <t>elc_spv_AUS_014</t>
  </si>
  <si>
    <t>UCE_elcagg_spv_AUS_015</t>
  </si>
  <si>
    <t>elc_spv_AUS_015</t>
  </si>
  <si>
    <t>UCE_elcagg_spv_AUS_016</t>
  </si>
  <si>
    <t>elc_spv_AUS_016</t>
  </si>
  <si>
    <t>UCE_elcagg_spv_AUS_017</t>
  </si>
  <si>
    <t>elc_spv_AUS_017</t>
  </si>
  <si>
    <t>UCE_elcagg_spv_AUS_018</t>
  </si>
  <si>
    <t>elc_spv_AUS_018</t>
  </si>
  <si>
    <t>UCE_elcagg_spv_AUS_019</t>
  </si>
  <si>
    <t>elc_spv_AUS_019</t>
  </si>
  <si>
    <t>UCE_elcagg_spv_AUS_020</t>
  </si>
  <si>
    <t>elc_spv_AUS_020</t>
  </si>
  <si>
    <t>UCE_elcagg_spv_AUS_021</t>
  </si>
  <si>
    <t>elc_spv_AUS_021</t>
  </si>
  <si>
    <t>UCE_elcagg_spv_AUS_022</t>
  </si>
  <si>
    <t>elc_spv_AUS_022</t>
  </si>
  <si>
    <t>UCE_elcagg_spv_AUS_023</t>
  </si>
  <si>
    <t>elc_spv_AUS_023</t>
  </si>
  <si>
    <t>UCE_elcagg_spv_AUS_024</t>
  </si>
  <si>
    <t>elc_spv_AUS_024</t>
  </si>
  <si>
    <t>UCE_elcagg_spv_AUS_025</t>
  </si>
  <si>
    <t>elc_spv_AUS_025</t>
  </si>
  <si>
    <t>UCE_elcagg_spv_AUS_026</t>
  </si>
  <si>
    <t>elc_spv_AUS_026</t>
  </si>
  <si>
    <t>UCE_elcagg_spv_AUS_027</t>
  </si>
  <si>
    <t>elc_spv_AUS_027</t>
  </si>
  <si>
    <t>UCE_elcagg_spv_AUS_028</t>
  </si>
  <si>
    <t>elc_spv_AUS_028</t>
  </si>
  <si>
    <t>UCE_elcagg_spv_AUS_029</t>
  </si>
  <si>
    <t>elc_spv_AUS_029</t>
  </si>
  <si>
    <t>UCE_elcagg_spv_AUS_030</t>
  </si>
  <si>
    <t>elc_spv_AUS_030</t>
  </si>
  <si>
    <t>UCE_elcagg_spv_AUS_031</t>
  </si>
  <si>
    <t>elc_spv_AUS_031</t>
  </si>
  <si>
    <t>UCE_elcagg_spv_AUS_032</t>
  </si>
  <si>
    <t>elc_spv_AUS_032</t>
  </si>
  <si>
    <t>UCE_elcagg_spv_AUS_033</t>
  </si>
  <si>
    <t>elc_spv_AUS_033</t>
  </si>
  <si>
    <t>UCE_elcagg_spv_AUS_034</t>
  </si>
  <si>
    <t>elc_spv_AUS_034</t>
  </si>
  <si>
    <t>UCE_elcagg_spv_AUS_035</t>
  </si>
  <si>
    <t>elc_spv_AUS_035</t>
  </si>
  <si>
    <t>UCE_elcagg_spv_AUS_036</t>
  </si>
  <si>
    <t>elc_spv_AUS_036</t>
  </si>
  <si>
    <t>UCE_elcagg_spv_AUS_037</t>
  </si>
  <si>
    <t>elc_spv_AUS_037</t>
  </si>
  <si>
    <t>UCE_elcagg_spv_AUS_038</t>
  </si>
  <si>
    <t>elc_spv_AUS_038</t>
  </si>
  <si>
    <t>UCE_elcagg_spv_AUS_039</t>
  </si>
  <si>
    <t>elc_spv_AUS_039</t>
  </si>
  <si>
    <t>UCE_elcagg_spv_AUS_040</t>
  </si>
  <si>
    <t>elc_spv_AUS_040</t>
  </si>
  <si>
    <t>UCE_elcagg_spv_AUS_041</t>
  </si>
  <si>
    <t>elc_spv_AUS_041</t>
  </si>
  <si>
    <t>UCE_elcagg_spv_AUS_042</t>
  </si>
  <si>
    <t>elc_spv_AUS_042</t>
  </si>
  <si>
    <t>UCE_elcagg_spv_AUS_043</t>
  </si>
  <si>
    <t>elc_spv_AUS_043</t>
  </si>
  <si>
    <t>UCE_elcagg_spv_AUS_044</t>
  </si>
  <si>
    <t>elc_spv_AUS_044</t>
  </si>
  <si>
    <t>UCE_elcagg_spv_AUS_045</t>
  </si>
  <si>
    <t>elc_spv_AUS_045</t>
  </si>
  <si>
    <t>UCE_elcagg_spv_AUS_046</t>
  </si>
  <si>
    <t>elc_spv_AUS_046</t>
  </si>
  <si>
    <t>UCE_elcagg_spv_AUS_047</t>
  </si>
  <si>
    <t>elc_spv_AUS_047</t>
  </si>
  <si>
    <t>UCE_elcagg_spv_AUS_048</t>
  </si>
  <si>
    <t>elc_spv_AUS_048</t>
  </si>
  <si>
    <t>UCE_elcagg_spv_AUS_049</t>
  </si>
  <si>
    <t>elc_spv_AUS_049</t>
  </si>
  <si>
    <t>UCE_elcagg_spv_AUS_050</t>
  </si>
  <si>
    <t>elc_spv_AUS_050</t>
  </si>
  <si>
    <t>UCE_elcagg_spv_AUS_051</t>
  </si>
  <si>
    <t>elc_spv_AUS_051</t>
  </si>
  <si>
    <t>UCE_elcagg_spv_AUS_052</t>
  </si>
  <si>
    <t>elc_spv_AUS_052</t>
  </si>
  <si>
    <t>UCE_elcagg_spv_AUS_053</t>
  </si>
  <si>
    <t>elc_spv_AUS_053</t>
  </si>
  <si>
    <t>UCE_elcagg_spv_AUS_054</t>
  </si>
  <si>
    <t>elc_spv_AUS_054</t>
  </si>
  <si>
    <t>UCE_elcagg_spv_AUS_055</t>
  </si>
  <si>
    <t>elc_spv_AUS_055</t>
  </si>
  <si>
    <t>UCE_elcagg_spv_AUS_056</t>
  </si>
  <si>
    <t>elc_spv_AUS_056</t>
  </si>
  <si>
    <t>UCE_elcagg_spv_AUS_057</t>
  </si>
  <si>
    <t>elc_spv_AUS_057</t>
  </si>
  <si>
    <t>UCE_elcagg_spv_AUS_058</t>
  </si>
  <si>
    <t>elc_spv_AUS_058</t>
  </si>
  <si>
    <t>UCE_elcagg_spv_AUS_059</t>
  </si>
  <si>
    <t>elc_spv_AUS_059</t>
  </si>
  <si>
    <t>UCE_elcagg_spv_AUS_060</t>
  </si>
  <si>
    <t>elc_spv_AUS_060</t>
  </si>
  <si>
    <t>UCE_elcagg_spv_AUS_061</t>
  </si>
  <si>
    <t>elc_spv_AUS_061</t>
  </si>
  <si>
    <t>UCE_elcagg_spv_AUS_062</t>
  </si>
  <si>
    <t>elc_spv_AUS_062</t>
  </si>
  <si>
    <t>UCE_elcagg_spv_AUS_063</t>
  </si>
  <si>
    <t>elc_spv_AUS_063</t>
  </si>
  <si>
    <t>UCE_elcagg_spv_AUS_064</t>
  </si>
  <si>
    <t>elc_spv_AUS_064</t>
  </si>
  <si>
    <t>UCE_elcagg_spv_AUS_065</t>
  </si>
  <si>
    <t>elc_spv_AUS_065</t>
  </si>
  <si>
    <t>UCE_elcagg_spv_AUS_066</t>
  </si>
  <si>
    <t>elc_spv_AUS_066</t>
  </si>
  <si>
    <t>UCE_elcagg_spv_AUS_067</t>
  </si>
  <si>
    <t>elc_spv_AUS_067</t>
  </si>
  <si>
    <t>UCE_elcagg_spv_AUS_068</t>
  </si>
  <si>
    <t>elc_spv_AUS_068</t>
  </si>
  <si>
    <t>UCE_elcagg_spv_AUS_069</t>
  </si>
  <si>
    <t>elc_spv_AUS_069</t>
  </si>
  <si>
    <t>UCE_elcagg_spv_AUS_070</t>
  </si>
  <si>
    <t>elc_spv_AUS_070</t>
  </si>
  <si>
    <t>UCE_elcagg_spv_AUS_071</t>
  </si>
  <si>
    <t>elc_spv_AUS_071</t>
  </si>
  <si>
    <t>UCE_elcagg_spv_AUS_072</t>
  </si>
  <si>
    <t>elc_spv_AUS_072</t>
  </si>
  <si>
    <t>UCE_elcagg_spv_AUS_073</t>
  </si>
  <si>
    <t>elc_spv_AUS_073</t>
  </si>
  <si>
    <t>UCE_elcagg_spv_AUS_074</t>
  </si>
  <si>
    <t>elc_spv_AUS_074</t>
  </si>
  <si>
    <t>UCE_elcagg_spv_AUS_075</t>
  </si>
  <si>
    <t>elc_spv_AUS_075</t>
  </si>
  <si>
    <t>UCE_elcagg_spv_AUS_076</t>
  </si>
  <si>
    <t>elc_spv_AUS_076</t>
  </si>
  <si>
    <t>UCE_elcagg_spv_AUS_077</t>
  </si>
  <si>
    <t>elc_spv_AUS_077</t>
  </si>
  <si>
    <t>UCE_elcagg_spv_AUS_078</t>
  </si>
  <si>
    <t>elc_spv_AUS_078</t>
  </si>
  <si>
    <t>UCE_elcagg_spv_AUS_079</t>
  </si>
  <si>
    <t>elc_spv_AUS_079</t>
  </si>
  <si>
    <t>UCE_elcagg_spv_AUS_080</t>
  </si>
  <si>
    <t>elc_spv_AUS_080</t>
  </si>
  <si>
    <t>UCE_elcagg_spv_AUS_081</t>
  </si>
  <si>
    <t>elc_spv_AUS_081</t>
  </si>
  <si>
    <t>UCE_elcagg_spv_AUS_082</t>
  </si>
  <si>
    <t>elc_spv_AUS_082</t>
  </si>
  <si>
    <t>UCE_elcagg_spv_AUS_083</t>
  </si>
  <si>
    <t>elc_spv_AUS_083</t>
  </si>
  <si>
    <t>UCE_elcagg_spv_AUS_084</t>
  </si>
  <si>
    <t>elc_spv_AUS_084</t>
  </si>
  <si>
    <t>UCE_elcagg_spv_AUS_085</t>
  </si>
  <si>
    <t>elc_spv_AUS_085</t>
  </si>
  <si>
    <t>UCE_elcagg_spv_AUS_086</t>
  </si>
  <si>
    <t>elc_spv_AUS_086</t>
  </si>
  <si>
    <t>UCE_elcagg_spv_AUS_087</t>
  </si>
  <si>
    <t>elc_spv_AUS_087</t>
  </si>
  <si>
    <t>UCE_elcagg_spv_AUS_088</t>
  </si>
  <si>
    <t>elc_spv_AUS_088</t>
  </si>
  <si>
    <t>UCE_elcagg_spv_AUS_089</t>
  </si>
  <si>
    <t>elc_spv_AUS_089</t>
  </si>
  <si>
    <t>UCE_elcagg_spv_AUS_090</t>
  </si>
  <si>
    <t>elc_spv_AUS_090</t>
  </si>
  <si>
    <t>UCE_elcagg_spv_AUS_091</t>
  </si>
  <si>
    <t>elc_spv_AUS_091</t>
  </si>
  <si>
    <t>UCE_elcagg_spv_AUS_092</t>
  </si>
  <si>
    <t>elc_spv_AUS_092</t>
  </si>
  <si>
    <t>UCE_elcagg_spv_AUS_093</t>
  </si>
  <si>
    <t>elc_spv_AUS_093</t>
  </si>
  <si>
    <t>UCE_elcagg_spv_AUS_094</t>
  </si>
  <si>
    <t>elc_spv_AUS_094</t>
  </si>
  <si>
    <t>UCE_elcagg_spv_AUS_095</t>
  </si>
  <si>
    <t>elc_spv_AUS_095</t>
  </si>
  <si>
    <t>UCE_elcagg_spv_AUS_096</t>
  </si>
  <si>
    <t>elc_spv_AUS_096</t>
  </si>
  <si>
    <t>UCE_elcagg_spv_AUS_097</t>
  </si>
  <si>
    <t>elc_spv_AUS_097</t>
  </si>
  <si>
    <t>UCE_elcagg_wof_AUS_001</t>
  </si>
  <si>
    <t>elc_wof_AUS_001</t>
  </si>
  <si>
    <t>UCE_elcagg_wof_AUS_002</t>
  </si>
  <si>
    <t>elc_wof_AUS_002</t>
  </si>
  <si>
    <t>UCE_elcagg_wof_AUS_003</t>
  </si>
  <si>
    <t>elc_wof_AUS_003</t>
  </si>
  <si>
    <t>UCE_elcagg_wof_AUS_004</t>
  </si>
  <si>
    <t>elc_wof_AUS_004</t>
  </si>
  <si>
    <t>UCE_elcagg_wof_AUS_005</t>
  </si>
  <si>
    <t>elc_wof_AUS_005</t>
  </si>
  <si>
    <t>UCE_elcagg_wof_AUS_006</t>
  </si>
  <si>
    <t>elc_wof_AUS_006</t>
  </si>
  <si>
    <t>UCE_elcagg_wof_AUS_007</t>
  </si>
  <si>
    <t>elc_wof_AUS_007</t>
  </si>
  <si>
    <t>UCE_elcagg_wof_AUS_008</t>
  </si>
  <si>
    <t>elc_wof_AUS_008</t>
  </si>
  <si>
    <t>UCE_elcagg_wof_AUS_009</t>
  </si>
  <si>
    <t>elc_wof_AUS_009</t>
  </si>
  <si>
    <t>UCE_elcagg_wof_AUS_010</t>
  </si>
  <si>
    <t>elc_wof_AUS_010</t>
  </si>
  <si>
    <t>UCE_elcagg_wof_AUS_011</t>
  </si>
  <si>
    <t>elc_wof_AUS_011</t>
  </si>
  <si>
    <t>UCE_elcagg_wof_AUS_012</t>
  </si>
  <si>
    <t>elc_wof_AUS_012</t>
  </si>
  <si>
    <t>UCE_elcagg_wof_AUS_013</t>
  </si>
  <si>
    <t>elc_wof_AUS_013</t>
  </si>
  <si>
    <t>UCE_elcagg_wof_AUS_014</t>
  </si>
  <si>
    <t>elc_wof_AUS_014</t>
  </si>
  <si>
    <t>UCE_elcagg_wof_AUS_015</t>
  </si>
  <si>
    <t>elc_wof_AUS_015</t>
  </si>
  <si>
    <t>UCE_elcagg_wof_AUS_016</t>
  </si>
  <si>
    <t>elc_wof_AUS_016</t>
  </si>
  <si>
    <t>UCE_elcagg_wof_AUS_017</t>
  </si>
  <si>
    <t>elc_wof_AUS_017</t>
  </si>
  <si>
    <t>UCE_elcagg_wof_AUS_018</t>
  </si>
  <si>
    <t>elc_wof_AUS_018</t>
  </si>
  <si>
    <t>UCE_elcagg_wof_AUS_019</t>
  </si>
  <si>
    <t>elc_wof_AUS_019</t>
  </si>
  <si>
    <t>UCE_elcagg_wof_AUS_020</t>
  </si>
  <si>
    <t>elc_wof_AUS_020</t>
  </si>
  <si>
    <t>UCE_elcagg_wof_AUS_021</t>
  </si>
  <si>
    <t>elc_wof_AUS_021</t>
  </si>
  <si>
    <t>UCE_elcagg_wof_AUS_022</t>
  </si>
  <si>
    <t>elc_wof_AUS_022</t>
  </si>
  <si>
    <t>UCE_elcagg_wof_AUS_023</t>
  </si>
  <si>
    <t>elc_wof_AUS_023</t>
  </si>
  <si>
    <t>UCE_elcagg_wof_AUS_024</t>
  </si>
  <si>
    <t>elc_wof_AUS_024</t>
  </si>
  <si>
    <t>UCE_elcagg_wof_AUS_025</t>
  </si>
  <si>
    <t>elc_wof_AUS_025</t>
  </si>
  <si>
    <t>UCE_elcagg_wof_AUS_026</t>
  </si>
  <si>
    <t>elc_wof_AUS_026</t>
  </si>
  <si>
    <t>UCE_elcagg_wof_AUS_027</t>
  </si>
  <si>
    <t>elc_wof_AUS_027</t>
  </si>
  <si>
    <t>UCE_elcagg_wof_AUS_028</t>
  </si>
  <si>
    <t>elc_wof_AUS_028</t>
  </si>
  <si>
    <t>UCE_elcagg_wof_AUS_029</t>
  </si>
  <si>
    <t>elc_wof_AUS_029</t>
  </si>
  <si>
    <t>UCE_elcagg_wof_AUS_030</t>
  </si>
  <si>
    <t>elc_wof_AUS_030</t>
  </si>
  <si>
    <t>UCE_elcagg_wof_AUS_031</t>
  </si>
  <si>
    <t>elc_wof_AUS_031</t>
  </si>
  <si>
    <t>UCE_elcagg_wof_AUS_032</t>
  </si>
  <si>
    <t>elc_wof_AUS_032</t>
  </si>
  <si>
    <t>UCE_elcagg_wof_AUS_033</t>
  </si>
  <si>
    <t>elc_wof_AUS_033</t>
  </si>
  <si>
    <t>UCE_elcagg_wof_AUS_034</t>
  </si>
  <si>
    <t>elc_wof_AUS_034</t>
  </si>
  <si>
    <t>UCE_elcagg_wof_AUS_035</t>
  </si>
  <si>
    <t>elc_wof_AUS_035</t>
  </si>
  <si>
    <t>UCE_elcagg_wof_AUS_036</t>
  </si>
  <si>
    <t>elc_wof_AUS_036</t>
  </si>
  <si>
    <t>UCE_elcagg_wof_AUS_037</t>
  </si>
  <si>
    <t>elc_wof_AUS_037</t>
  </si>
  <si>
    <t>UCE_elcagg_wof_AUS_038</t>
  </si>
  <si>
    <t>elc_wof_AUS_038</t>
  </si>
  <si>
    <t>UCE_elcagg_wof_AUS_039</t>
  </si>
  <si>
    <t>elc_wof_AUS_039</t>
  </si>
  <si>
    <t>UCE_elcagg_wof_AUS_040</t>
  </si>
  <si>
    <t>elc_wof_AUS_040</t>
  </si>
  <si>
    <t>UCE_elcagg_wof_AUS_041</t>
  </si>
  <si>
    <t>elc_wof_AUS_041</t>
  </si>
  <si>
    <t>UCE_elcagg_wof_AUS_042</t>
  </si>
  <si>
    <t>elc_wof_AUS_042</t>
  </si>
  <si>
    <t>UCE_elcagg_wof_AUS_043</t>
  </si>
  <si>
    <t>elc_wof_AUS_043</t>
  </si>
  <si>
    <t>UCE_elcagg_wof_AUS_044</t>
  </si>
  <si>
    <t>elc_wof_AUS_044</t>
  </si>
  <si>
    <t>UCE_elcagg_wof_AUS_045</t>
  </si>
  <si>
    <t>elc_wof_AUS_045</t>
  </si>
  <si>
    <t>UCE_elcagg_wof_AUS_046</t>
  </si>
  <si>
    <t>elc_wof_AUS_046</t>
  </si>
  <si>
    <t>UCE_elcagg_wof_AUS_047</t>
  </si>
  <si>
    <t>elc_wof_AUS_047</t>
  </si>
  <si>
    <t>UCE_elcagg_wof_AUS_048</t>
  </si>
  <si>
    <t>elc_wof_AUS_048</t>
  </si>
  <si>
    <t>UCE_elcagg_wof_AUS_049</t>
  </si>
  <si>
    <t>elc_wof_AUS_049</t>
  </si>
  <si>
    <t>UCE_elcagg_wof_AUS_050</t>
  </si>
  <si>
    <t>elc_wof_AUS_050</t>
  </si>
  <si>
    <t>UCE_elcagg_wof_AUS_051</t>
  </si>
  <si>
    <t>elc_wof_AUS_051</t>
  </si>
  <si>
    <t>UCE_elcagg_wof_AUS_052</t>
  </si>
  <si>
    <t>elc_wof_AUS_052</t>
  </si>
  <si>
    <t>UCE_elcagg_won_AUS_001</t>
  </si>
  <si>
    <t>elc_won_AUS_001</t>
  </si>
  <si>
    <t>UCE_elcagg_won_AUS_002</t>
  </si>
  <si>
    <t>elc_won_AUS_002</t>
  </si>
  <si>
    <t>UCE_elcagg_won_AUS_003</t>
  </si>
  <si>
    <t>elc_won_AUS_003</t>
  </si>
  <si>
    <t>UCE_elcagg_won_AUS_004</t>
  </si>
  <si>
    <t>elc_won_AUS_004</t>
  </si>
  <si>
    <t>UCE_elcagg_won_AUS_005</t>
  </si>
  <si>
    <t>elc_won_AUS_005</t>
  </si>
  <si>
    <t>UCE_elcagg_won_AUS_006</t>
  </si>
  <si>
    <t>elc_won_AUS_006</t>
  </si>
  <si>
    <t>UCE_elcagg_won_AUS_007</t>
  </si>
  <si>
    <t>elc_won_AUS_007</t>
  </si>
  <si>
    <t>UCE_elcagg_won_AUS_008</t>
  </si>
  <si>
    <t>elc_won_AUS_008</t>
  </si>
  <si>
    <t>UCE_elcagg_won_AUS_009</t>
  </si>
  <si>
    <t>elc_won_AUS_009</t>
  </si>
  <si>
    <t>UCE_elcagg_won_AUS_010</t>
  </si>
  <si>
    <t>elc_won_AUS_010</t>
  </si>
  <si>
    <t>UCE_elcagg_won_AUS_011</t>
  </si>
  <si>
    <t>elc_won_AUS_011</t>
  </si>
  <si>
    <t>UCE_elcagg_won_AUS_012</t>
  </si>
  <si>
    <t>elc_won_AUS_012</t>
  </si>
  <si>
    <t>UCE_elcagg_won_AUS_013</t>
  </si>
  <si>
    <t>elc_won_AUS_013</t>
  </si>
  <si>
    <t>UCE_elcagg_won_AUS_014</t>
  </si>
  <si>
    <t>elc_won_AUS_014</t>
  </si>
  <si>
    <t>UCE_elcagg_won_AUS_015</t>
  </si>
  <si>
    <t>elc_won_AUS_015</t>
  </si>
  <si>
    <t>UCE_elcagg_won_AUS_016</t>
  </si>
  <si>
    <t>elc_won_AUS_016</t>
  </si>
  <si>
    <t>UCE_elcagg_won_AUS_017</t>
  </si>
  <si>
    <t>elc_won_AUS_017</t>
  </si>
  <si>
    <t>UCE_elcagg_won_AUS_018</t>
  </si>
  <si>
    <t>elc_won_AUS_018</t>
  </si>
  <si>
    <t>UCE_elcagg_won_AUS_019</t>
  </si>
  <si>
    <t>elc_won_AUS_019</t>
  </si>
  <si>
    <t>UCE_elcagg_won_AUS_020</t>
  </si>
  <si>
    <t>elc_won_AUS_020</t>
  </si>
  <si>
    <t>UCE_elcagg_won_AUS_021</t>
  </si>
  <si>
    <t>elc_won_AUS_021</t>
  </si>
  <si>
    <t>UCE_elcagg_won_AUS_022</t>
  </si>
  <si>
    <t>elc_won_AUS_022</t>
  </si>
  <si>
    <t>UCE_elcagg_won_AUS_023</t>
  </si>
  <si>
    <t>elc_won_AUS_023</t>
  </si>
  <si>
    <t>UCE_elcagg_won_AUS_024</t>
  </si>
  <si>
    <t>elc_won_AUS_024</t>
  </si>
  <si>
    <t>UCE_elcagg_won_AUS_025</t>
  </si>
  <si>
    <t>elc_won_AUS_025</t>
  </si>
  <si>
    <t>UCE_elcagg_won_AUS_026</t>
  </si>
  <si>
    <t>elc_won_AUS_026</t>
  </si>
  <si>
    <t>UCE_elcagg_won_AUS_027</t>
  </si>
  <si>
    <t>elc_won_AUS_027</t>
  </si>
  <si>
    <t>UCE_elcagg_won_AUS_028</t>
  </si>
  <si>
    <t>elc_won_AUS_028</t>
  </si>
  <si>
    <t>UCE_elcagg_won_AUS_029</t>
  </si>
  <si>
    <t>elc_won_AUS_029</t>
  </si>
  <si>
    <t>UCE_elcagg_won_AUS_030</t>
  </si>
  <si>
    <t>elc_won_AUS_030</t>
  </si>
  <si>
    <t>UCE_elcagg_won_AUS_031</t>
  </si>
  <si>
    <t>elc_won_AUS_031</t>
  </si>
  <si>
    <t>UCE_elcagg_won_AUS_032</t>
  </si>
  <si>
    <t>elc_won_AUS_032</t>
  </si>
  <si>
    <t>UCE_elcagg_won_AUS_033</t>
  </si>
  <si>
    <t>elc_won_AUS_033</t>
  </si>
  <si>
    <t>UCE_elcagg_won_AUS_034</t>
  </si>
  <si>
    <t>elc_won_AUS_034</t>
  </si>
  <si>
    <t>UCE_elcagg_won_AUS_035</t>
  </si>
  <si>
    <t>elc_won_AUS_035</t>
  </si>
  <si>
    <t>UCE_elcagg_won_AUS_036</t>
  </si>
  <si>
    <t>elc_won_AUS_036</t>
  </si>
  <si>
    <t>UCE_elcagg_won_AUS_037</t>
  </si>
  <si>
    <t>elc_won_AUS_037</t>
  </si>
  <si>
    <t>UCE_elcagg_won_AUS_038</t>
  </si>
  <si>
    <t>elc_won_AUS_038</t>
  </si>
  <si>
    <t>UCE_elcagg_won_AUS_039</t>
  </si>
  <si>
    <t>elc_won_AUS_039</t>
  </si>
  <si>
    <t>UCE_elcagg_won_AUS_040</t>
  </si>
  <si>
    <t>elc_won_AUS_040</t>
  </si>
  <si>
    <t>UCE_elcagg_won_AUS_041</t>
  </si>
  <si>
    <t>elc_won_AUS_041</t>
  </si>
  <si>
    <t>UCE_elcagg_won_AUS_042</t>
  </si>
  <si>
    <t>elc_won_AUS_042</t>
  </si>
  <si>
    <t>UCE_elcagg_won_AUS_043</t>
  </si>
  <si>
    <t>elc_won_AUS_043</t>
  </si>
  <si>
    <t>UCE_elcagg_won_AUS_044</t>
  </si>
  <si>
    <t>elc_won_AUS_044</t>
  </si>
  <si>
    <t>UCE_elcagg_won_AUS_045</t>
  </si>
  <si>
    <t>elc_won_AUS_045</t>
  </si>
  <si>
    <t>UCE_elcagg_won_AUS_046</t>
  </si>
  <si>
    <t>elc_won_AUS_046</t>
  </si>
  <si>
    <t>UCE_elcagg_won_AUS_047</t>
  </si>
  <si>
    <t>elc_won_AUS_047</t>
  </si>
  <si>
    <t>UCE_elcagg_won_AUS_048</t>
  </si>
  <si>
    <t>elc_won_AUS_048</t>
  </si>
  <si>
    <t>UCE_elcagg_won_AUS_049</t>
  </si>
  <si>
    <t>elc_won_AUS_049</t>
  </si>
  <si>
    <t>UCE_elcagg_won_AUS_050</t>
  </si>
  <si>
    <t>elc_won_AUS_050</t>
  </si>
  <si>
    <t>UCE_elcagg_won_AUS_051</t>
  </si>
  <si>
    <t>elc_won_AUS_051</t>
  </si>
  <si>
    <t>UCE_elcagg_won_AUS_052</t>
  </si>
  <si>
    <t>elc_won_AUS_052</t>
  </si>
  <si>
    <t>UCE_elcagg_won_AUS_053</t>
  </si>
  <si>
    <t>elc_won_AUS_053</t>
  </si>
  <si>
    <t>UCE_elcagg_won_AUS_054</t>
  </si>
  <si>
    <t>elc_won_AUS_054</t>
  </si>
  <si>
    <t>UCE_elcagg_won_AUS_055</t>
  </si>
  <si>
    <t>elc_won_AUS_055</t>
  </si>
  <si>
    <t>UCE_elcagg_won_AUS_056</t>
  </si>
  <si>
    <t>elc_won_AUS_056</t>
  </si>
  <si>
    <t>UCE_elcagg_won_AUS_057</t>
  </si>
  <si>
    <t>elc_won_AUS_057</t>
  </si>
  <si>
    <t>UCE_elcagg_won_AUS_058</t>
  </si>
  <si>
    <t>elc_won_AUS_058</t>
  </si>
  <si>
    <t>UCE_elcagg_won_AUS_059</t>
  </si>
  <si>
    <t>elc_won_AUS_059</t>
  </si>
  <si>
    <t>UCE_elcagg_won_AUS_060</t>
  </si>
  <si>
    <t>elc_won_AUS_060</t>
  </si>
  <si>
    <t>UCE_elcagg_won_AUS_061</t>
  </si>
  <si>
    <t>elc_won_AUS_061</t>
  </si>
  <si>
    <t>UCE_elcagg_won_AUS_062</t>
  </si>
  <si>
    <t>elc_won_AUS_062</t>
  </si>
  <si>
    <t>UCE_elcagg_won_AUS_063</t>
  </si>
  <si>
    <t>elc_won_AUS_063</t>
  </si>
  <si>
    <t>UCE_elcagg_won_AUS_064</t>
  </si>
  <si>
    <t>elc_won_AUS_064</t>
  </si>
  <si>
    <t>UCE_elcagg_won_AUS_065</t>
  </si>
  <si>
    <t>elc_won_AUS_065</t>
  </si>
  <si>
    <t>UCE_elcagg_won_AUS_066</t>
  </si>
  <si>
    <t>elc_won_AUS_066</t>
  </si>
  <si>
    <t>UCE_elcagg_won_AUS_067</t>
  </si>
  <si>
    <t>elc_won_AUS_067</t>
  </si>
  <si>
    <t>UCE_elcagg_won_AUS_068</t>
  </si>
  <si>
    <t>elc_won_AUS_068</t>
  </si>
  <si>
    <t>UCE_elcagg_won_AUS_069</t>
  </si>
  <si>
    <t>elc_won_AUS_069</t>
  </si>
  <si>
    <t>UCE_elcagg_won_AUS_070</t>
  </si>
  <si>
    <t>elc_won_AUS_070</t>
  </si>
  <si>
    <t>UCE_elcagg_won_AUS_071</t>
  </si>
  <si>
    <t>elc_won_AUS_071</t>
  </si>
  <si>
    <t>UCE_elcagg_won_AUS_072</t>
  </si>
  <si>
    <t>elc_won_AUS_072</t>
  </si>
  <si>
    <t>UCE_elcagg_won_AUS_073</t>
  </si>
  <si>
    <t>elc_won_AUS_073</t>
  </si>
  <si>
    <t>UCE_elcagg_won_AUS_074</t>
  </si>
  <si>
    <t>elc_won_AUS_074</t>
  </si>
  <si>
    <t>UCE_elcagg_won_AUS_075</t>
  </si>
  <si>
    <t>elc_won_AUS_075</t>
  </si>
  <si>
    <t>UCE_elcagg_won_AUS_076</t>
  </si>
  <si>
    <t>elc_won_AUS_076</t>
  </si>
  <si>
    <t>UCE_elcagg_won_AUS_077</t>
  </si>
  <si>
    <t>elc_won_AUS_077</t>
  </si>
  <si>
    <t>UCE_elcagg_won_AUS_078</t>
  </si>
  <si>
    <t>elc_won_AUS_078</t>
  </si>
  <si>
    <t>UCE_elcagg_won_AUS_079</t>
  </si>
  <si>
    <t>elc_won_AUS_079</t>
  </si>
  <si>
    <t>UCE_elcagg_won_AUS_080</t>
  </si>
  <si>
    <t>elc_won_AUS_080</t>
  </si>
  <si>
    <t>UCE_elcagg_won_AUS_081</t>
  </si>
  <si>
    <t>elc_won_AUS_081</t>
  </si>
  <si>
    <t>UCE_elcagg_won_AUS_082</t>
  </si>
  <si>
    <t>elc_won_AUS_082</t>
  </si>
  <si>
    <t>UCE_elcagg_won_AUS_083</t>
  </si>
  <si>
    <t>elc_won_AUS_083</t>
  </si>
  <si>
    <t>UCE_elcagg_won_AUS_084</t>
  </si>
  <si>
    <t>elc_won_AUS_084</t>
  </si>
  <si>
    <t>UCE_elcagg_won_AUS_085</t>
  </si>
  <si>
    <t>elc_won_AUS_085</t>
  </si>
  <si>
    <t>UCE_elcagg_won_AUS_086</t>
  </si>
  <si>
    <t>elc_won_AUS_086</t>
  </si>
  <si>
    <t>UCE_elcagg_won_AUS_087</t>
  </si>
  <si>
    <t>elc_won_AUS_087</t>
  </si>
  <si>
    <t>UCE_elcagg_won_AUS_088</t>
  </si>
  <si>
    <t>elc_won_AUS_088</t>
  </si>
  <si>
    <t>UCE_elcagg_won_AUS_089</t>
  </si>
  <si>
    <t>elc_won_AUS_089</t>
  </si>
  <si>
    <t>UCE_elcagg_won_AUS_090</t>
  </si>
  <si>
    <t>elc_won_AUS_090</t>
  </si>
  <si>
    <t>UCE_elcagg_won_AUS_091</t>
  </si>
  <si>
    <t>elc_won_AUS_091</t>
  </si>
  <si>
    <t>UCE_elcagg_won_AUS_092</t>
  </si>
  <si>
    <t>elc_won_AUS_092</t>
  </si>
  <si>
    <t>UCE_elcagg_won_AUS_093</t>
  </si>
  <si>
    <t>elc_won_AUS_093</t>
  </si>
  <si>
    <t>UCE_elcagg_won_AUS_094</t>
  </si>
  <si>
    <t>elc_won_AUS_094</t>
  </si>
  <si>
    <t>UCE_elcagg_won_AUS_095</t>
  </si>
  <si>
    <t>elc_won_AUS_095</t>
  </si>
  <si>
    <t>UCE_elcagg_won_AUS_096</t>
  </si>
  <si>
    <t>elc_won_AUS_096</t>
  </si>
  <si>
    <t>UCE_elcagg_won_AUS_097</t>
  </si>
  <si>
    <t>elc_won_AUS_097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</si>
</sst>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4" fillId="0" borderId="2" xfId="1"/>
    <xf numFmtId="0" fontId="5" fillId="0" borderId="1" xfId="2" applyFont="1" applyBorder="1"/>
    <xf numFmtId="0" fontId="7" fillId="0" borderId="0" xfId="0" applyFont="1"/>
    <xf numFmtId="0" fontId="6" fillId="3" borderId="0" xfId="3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">
    <cellStyle name="Heading 3" xfId="1" builtinId="18"/>
    <cellStyle name="Heading 4" xfId="2" builtinId="19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EC7-2E61-4DC3-B37B-7E050A1433CE}">
  <dimension ref="B2:I11"/>
  <sheetViews>
    <sheetView workbookViewId="0"/>
  </sheetViews>
  <sheetFormatPr defaultRowHeight="14.25" x14ac:dyDescent="0.45"/>
  <cols>
    <col min="2" max="2" width="9.3984375" bestFit="1" customWidth="1"/>
    <col min="3" max="3" width="17.06640625" bestFit="1" customWidth="1"/>
    <col min="4" max="4" width="11.6640625" bestFit="1" customWidth="1"/>
    <col min="5" max="5" width="5.73046875" bestFit="1" customWidth="1"/>
    <col min="6" max="6" width="10.6640625" bestFit="1" customWidth="1"/>
    <col min="7" max="7" width="9.3984375" bestFit="1" customWidth="1"/>
    <col min="9" max="9" width="2.73046875" bestFit="1" customWidth="1"/>
  </cols>
  <sheetData>
    <row r="2" spans="2:9" x14ac:dyDescent="0.45">
      <c r="B2" t="s">
        <v>21</v>
      </c>
    </row>
    <row r="3" spans="2:9" x14ac:dyDescent="0.45">
      <c r="B3" t="s">
        <v>22</v>
      </c>
      <c r="C3" t="s">
        <v>24</v>
      </c>
      <c r="D3" t="s">
        <v>25</v>
      </c>
      <c r="E3" t="s">
        <v>23</v>
      </c>
      <c r="F3" t="s">
        <v>10</v>
      </c>
      <c r="G3" t="s">
        <v>2</v>
      </c>
    </row>
    <row r="4" spans="2:9" x14ac:dyDescent="0.45">
      <c r="B4" t="s">
        <v>26</v>
      </c>
      <c r="C4" t="s">
        <v>3</v>
      </c>
      <c r="D4" t="s">
        <v>27</v>
      </c>
      <c r="E4">
        <f>I4*3.6</f>
        <v>338.40000000000003</v>
      </c>
      <c r="I4">
        <v>94</v>
      </c>
    </row>
    <row r="5" spans="2:9" x14ac:dyDescent="0.45">
      <c r="B5" t="s">
        <v>26</v>
      </c>
      <c r="C5" t="s">
        <v>5</v>
      </c>
      <c r="D5" t="s">
        <v>27</v>
      </c>
      <c r="E5">
        <f>I5*3.6</f>
        <v>198</v>
      </c>
      <c r="I5">
        <v>55</v>
      </c>
    </row>
    <row r="6" spans="2:9" x14ac:dyDescent="0.45">
      <c r="B6" t="s">
        <v>26</v>
      </c>
      <c r="C6" t="s">
        <v>18</v>
      </c>
      <c r="D6" t="s">
        <v>27</v>
      </c>
      <c r="E6">
        <f>I6*3.6</f>
        <v>252</v>
      </c>
      <c r="I6">
        <v>70</v>
      </c>
    </row>
    <row r="7" spans="2:9" x14ac:dyDescent="0.45">
      <c r="B7" t="s">
        <v>29</v>
      </c>
      <c r="C7" t="s">
        <v>30</v>
      </c>
      <c r="D7" t="s">
        <v>31</v>
      </c>
      <c r="E7">
        <v>1</v>
      </c>
    </row>
    <row r="8" spans="2:9" x14ac:dyDescent="0.45">
      <c r="B8" t="s">
        <v>29</v>
      </c>
      <c r="C8" t="s">
        <v>69</v>
      </c>
      <c r="D8" t="s">
        <v>31</v>
      </c>
      <c r="E8">
        <v>-1</v>
      </c>
    </row>
    <row r="9" spans="2:9" x14ac:dyDescent="0.45">
      <c r="B9" t="s">
        <v>34</v>
      </c>
      <c r="C9" t="s">
        <v>32</v>
      </c>
      <c r="E9">
        <v>0.1</v>
      </c>
      <c r="F9" t="str">
        <f>C9</f>
        <v>co2captured</v>
      </c>
    </row>
    <row r="10" spans="2:9" x14ac:dyDescent="0.45">
      <c r="B10" t="s">
        <v>50</v>
      </c>
      <c r="E10">
        <v>50</v>
      </c>
      <c r="G10" t="s">
        <v>67</v>
      </c>
    </row>
    <row r="11" spans="2:9" x14ac:dyDescent="0.45">
      <c r="B11" t="s">
        <v>51</v>
      </c>
      <c r="E11">
        <v>8.76</v>
      </c>
      <c r="G11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C5FE-6B75-4608-9732-D7C4414B85C4}">
  <dimension ref="B2:AG1459"/>
  <sheetViews>
    <sheetView workbookViewId="0"/>
  </sheetViews>
  <sheetFormatPr defaultRowHeight="14.25" x14ac:dyDescent="0.45"/>
  <sheetData>
    <row r="2" spans="2:33" x14ac:dyDescent="0.45">
      <c r="B2" t="s">
        <v>109</v>
      </c>
      <c r="H2" t="s">
        <v>109</v>
      </c>
      <c r="P2" t="s">
        <v>399</v>
      </c>
      <c r="U2" t="s">
        <v>399</v>
      </c>
    </row>
    <row r="3" spans="2:33" x14ac:dyDescent="0.45">
      <c r="B3" t="s">
        <v>2</v>
      </c>
      <c r="C3" t="s">
        <v>110</v>
      </c>
      <c r="D3" t="s">
        <v>111</v>
      </c>
      <c r="E3" t="s">
        <v>112</v>
      </c>
      <c r="H3" t="s">
        <v>2</v>
      </c>
      <c r="I3" t="s">
        <v>180</v>
      </c>
      <c r="J3" t="s">
        <v>181</v>
      </c>
      <c r="K3" t="s">
        <v>182</v>
      </c>
      <c r="P3" t="s">
        <v>400</v>
      </c>
      <c r="Q3" t="s">
        <v>2</v>
      </c>
      <c r="R3" t="s">
        <v>180</v>
      </c>
      <c r="S3" t="s">
        <v>401</v>
      </c>
      <c r="U3" t="s">
        <v>400</v>
      </c>
      <c r="V3" t="s">
        <v>2</v>
      </c>
      <c r="W3" t="s">
        <v>180</v>
      </c>
      <c r="X3" t="s">
        <v>401</v>
      </c>
      <c r="AA3" t="s">
        <v>1581</v>
      </c>
    </row>
    <row r="4" spans="2:33" x14ac:dyDescent="0.45">
      <c r="B4" t="s">
        <v>113</v>
      </c>
      <c r="C4">
        <v>0.68817842686326636</v>
      </c>
      <c r="D4">
        <v>116.60000000000001</v>
      </c>
      <c r="E4">
        <v>0.99363999999999997</v>
      </c>
      <c r="H4" t="s">
        <v>183</v>
      </c>
      <c r="I4" t="s">
        <v>184</v>
      </c>
      <c r="J4">
        <v>0.10455642257141601</v>
      </c>
      <c r="K4" t="s">
        <v>185</v>
      </c>
      <c r="P4" t="s">
        <v>108</v>
      </c>
      <c r="Q4" t="s">
        <v>183</v>
      </c>
      <c r="R4" t="s">
        <v>402</v>
      </c>
      <c r="S4" t="s">
        <v>403</v>
      </c>
      <c r="U4" t="s">
        <v>108</v>
      </c>
      <c r="V4" t="s">
        <v>467</v>
      </c>
      <c r="W4" t="s">
        <v>402</v>
      </c>
      <c r="X4" t="s">
        <v>468</v>
      </c>
      <c r="AA4" t="s">
        <v>180</v>
      </c>
      <c r="AB4" t="s">
        <v>1583</v>
      </c>
      <c r="AC4" t="s">
        <v>1585</v>
      </c>
      <c r="AD4" t="s">
        <v>1586</v>
      </c>
      <c r="AE4" t="s">
        <v>1587</v>
      </c>
      <c r="AF4" t="s">
        <v>1588</v>
      </c>
      <c r="AG4" t="s">
        <v>1591</v>
      </c>
    </row>
    <row r="5" spans="2:33" x14ac:dyDescent="0.45">
      <c r="B5" t="s">
        <v>114</v>
      </c>
      <c r="C5">
        <v>0.68817842686326636</v>
      </c>
      <c r="D5">
        <v>134.20000000000002</v>
      </c>
      <c r="E5">
        <v>0.99268000000000001</v>
      </c>
      <c r="H5" t="s">
        <v>183</v>
      </c>
      <c r="I5" t="s">
        <v>186</v>
      </c>
      <c r="J5">
        <v>0.10455642257141601</v>
      </c>
      <c r="K5" t="s">
        <v>185</v>
      </c>
      <c r="P5" t="s">
        <v>108</v>
      </c>
      <c r="Q5" t="s">
        <v>188</v>
      </c>
      <c r="R5" t="s">
        <v>404</v>
      </c>
      <c r="S5" t="s">
        <v>403</v>
      </c>
      <c r="U5" t="s">
        <v>108</v>
      </c>
      <c r="V5" t="s">
        <v>469</v>
      </c>
      <c r="W5" t="s">
        <v>402</v>
      </c>
      <c r="X5" t="s">
        <v>468</v>
      </c>
      <c r="AA5" t="s">
        <v>1582</v>
      </c>
      <c r="AB5" t="s">
        <v>1584</v>
      </c>
      <c r="AC5">
        <v>2</v>
      </c>
      <c r="AE5">
        <v>0</v>
      </c>
      <c r="AF5" t="s">
        <v>1589</v>
      </c>
      <c r="AG5" t="s">
        <v>1592</v>
      </c>
    </row>
    <row r="6" spans="2:33" x14ac:dyDescent="0.45">
      <c r="B6" t="s">
        <v>115</v>
      </c>
      <c r="C6">
        <v>3.1280837584693924</v>
      </c>
      <c r="D6">
        <v>218.9</v>
      </c>
      <c r="E6">
        <v>0.98806000000000005</v>
      </c>
      <c r="H6" t="s">
        <v>183</v>
      </c>
      <c r="I6" t="s">
        <v>187</v>
      </c>
      <c r="J6">
        <v>0.10455642257141601</v>
      </c>
      <c r="K6" t="s">
        <v>185</v>
      </c>
      <c r="P6" t="s">
        <v>108</v>
      </c>
      <c r="Q6" t="s">
        <v>189</v>
      </c>
      <c r="R6" t="s">
        <v>405</v>
      </c>
      <c r="S6" t="s">
        <v>403</v>
      </c>
      <c r="U6" t="s">
        <v>108</v>
      </c>
      <c r="V6" t="s">
        <v>470</v>
      </c>
      <c r="W6" t="s">
        <v>402</v>
      </c>
      <c r="X6" t="s">
        <v>468</v>
      </c>
      <c r="AA6" t="s">
        <v>1582</v>
      </c>
      <c r="AB6" t="s">
        <v>1584</v>
      </c>
      <c r="AD6">
        <v>2</v>
      </c>
      <c r="AE6">
        <v>0</v>
      </c>
      <c r="AF6" t="s">
        <v>1590</v>
      </c>
    </row>
    <row r="7" spans="2:33" x14ac:dyDescent="0.45">
      <c r="B7" t="s">
        <v>116</v>
      </c>
      <c r="C7">
        <v>0.77420073022117442</v>
      </c>
      <c r="D7">
        <v>408.1</v>
      </c>
      <c r="E7">
        <v>0.97774000000000005</v>
      </c>
      <c r="H7" t="s">
        <v>188</v>
      </c>
      <c r="I7" t="s">
        <v>184</v>
      </c>
      <c r="J7">
        <v>0.14064063554730752</v>
      </c>
      <c r="K7" t="s">
        <v>185</v>
      </c>
      <c r="P7" t="s">
        <v>108</v>
      </c>
      <c r="Q7" t="s">
        <v>190</v>
      </c>
      <c r="R7" t="s">
        <v>406</v>
      </c>
      <c r="S7" t="s">
        <v>403</v>
      </c>
      <c r="U7" t="s">
        <v>108</v>
      </c>
      <c r="V7" t="s">
        <v>471</v>
      </c>
      <c r="W7" t="s">
        <v>402</v>
      </c>
      <c r="X7" t="s">
        <v>468</v>
      </c>
    </row>
    <row r="8" spans="2:33" x14ac:dyDescent="0.45">
      <c r="B8" t="s">
        <v>117</v>
      </c>
      <c r="C8">
        <v>1.5484014604423488</v>
      </c>
      <c r="D8">
        <v>99.000000000000014</v>
      </c>
      <c r="E8">
        <v>0.99460000000000004</v>
      </c>
      <c r="H8" t="s">
        <v>188</v>
      </c>
      <c r="I8" t="s">
        <v>186</v>
      </c>
      <c r="J8">
        <v>0.14064063554730752</v>
      </c>
      <c r="K8" t="s">
        <v>185</v>
      </c>
      <c r="P8" t="s">
        <v>108</v>
      </c>
      <c r="Q8" t="s">
        <v>191</v>
      </c>
      <c r="R8" t="s">
        <v>407</v>
      </c>
      <c r="S8" t="s">
        <v>403</v>
      </c>
      <c r="U8" t="s">
        <v>108</v>
      </c>
      <c r="V8" t="s">
        <v>472</v>
      </c>
      <c r="W8" t="s">
        <v>402</v>
      </c>
      <c r="X8" t="s">
        <v>468</v>
      </c>
    </row>
    <row r="9" spans="2:33" x14ac:dyDescent="0.45">
      <c r="B9" t="s">
        <v>118</v>
      </c>
      <c r="C9">
        <v>0.34408921343163318</v>
      </c>
      <c r="D9">
        <v>261.8</v>
      </c>
      <c r="E9">
        <v>0.98572000000000004</v>
      </c>
      <c r="H9" t="s">
        <v>188</v>
      </c>
      <c r="I9" t="s">
        <v>187</v>
      </c>
      <c r="J9">
        <v>0.14064063554730752</v>
      </c>
      <c r="K9" t="s">
        <v>185</v>
      </c>
      <c r="P9" t="s">
        <v>108</v>
      </c>
      <c r="Q9" t="s">
        <v>192</v>
      </c>
      <c r="R9" t="s">
        <v>408</v>
      </c>
      <c r="S9" t="s">
        <v>403</v>
      </c>
      <c r="U9" t="s">
        <v>108</v>
      </c>
      <c r="V9" t="s">
        <v>473</v>
      </c>
      <c r="W9" t="s">
        <v>402</v>
      </c>
      <c r="X9" t="s">
        <v>468</v>
      </c>
    </row>
    <row r="10" spans="2:33" x14ac:dyDescent="0.45">
      <c r="B10" t="s">
        <v>119</v>
      </c>
      <c r="C10">
        <v>0.34408921343163318</v>
      </c>
      <c r="D10">
        <v>245.3</v>
      </c>
      <c r="E10">
        <v>0.98662000000000005</v>
      </c>
      <c r="H10" t="s">
        <v>189</v>
      </c>
      <c r="I10" t="s">
        <v>184</v>
      </c>
      <c r="J10">
        <v>3.5964846964412517E-2</v>
      </c>
      <c r="K10" t="s">
        <v>185</v>
      </c>
      <c r="P10" t="s">
        <v>108</v>
      </c>
      <c r="Q10" t="s">
        <v>193</v>
      </c>
      <c r="R10" t="s">
        <v>409</v>
      </c>
      <c r="S10" t="s">
        <v>403</v>
      </c>
      <c r="U10" t="s">
        <v>108</v>
      </c>
      <c r="V10" t="s">
        <v>474</v>
      </c>
      <c r="W10" t="s">
        <v>402</v>
      </c>
      <c r="X10" t="s">
        <v>468</v>
      </c>
    </row>
    <row r="11" spans="2:33" x14ac:dyDescent="0.45">
      <c r="B11" t="s">
        <v>120</v>
      </c>
      <c r="C11">
        <v>0.34408921343163318</v>
      </c>
      <c r="D11">
        <v>590.70000000000005</v>
      </c>
      <c r="E11">
        <v>0.96777999999999997</v>
      </c>
      <c r="H11" t="s">
        <v>189</v>
      </c>
      <c r="I11" t="s">
        <v>186</v>
      </c>
      <c r="J11">
        <v>3.5964846964412517E-2</v>
      </c>
      <c r="K11" t="s">
        <v>185</v>
      </c>
      <c r="P11" t="s">
        <v>108</v>
      </c>
      <c r="Q11" t="s">
        <v>194</v>
      </c>
      <c r="R11" t="s">
        <v>410</v>
      </c>
      <c r="S11" t="s">
        <v>403</v>
      </c>
      <c r="U11" t="s">
        <v>108</v>
      </c>
      <c r="V11" t="s">
        <v>475</v>
      </c>
      <c r="W11" t="s">
        <v>402</v>
      </c>
      <c r="X11" t="s">
        <v>468</v>
      </c>
    </row>
    <row r="12" spans="2:33" x14ac:dyDescent="0.45">
      <c r="B12" t="s">
        <v>121</v>
      </c>
      <c r="C12">
        <v>0.34408921343163318</v>
      </c>
      <c r="D12">
        <v>400.40000000000003</v>
      </c>
      <c r="E12">
        <v>0.97816000000000003</v>
      </c>
      <c r="H12" t="s">
        <v>189</v>
      </c>
      <c r="I12" t="s">
        <v>187</v>
      </c>
      <c r="J12">
        <v>3.5964846964412517E-2</v>
      </c>
      <c r="K12" t="s">
        <v>185</v>
      </c>
      <c r="P12" t="s">
        <v>108</v>
      </c>
      <c r="Q12" t="s">
        <v>195</v>
      </c>
      <c r="R12" t="s">
        <v>411</v>
      </c>
      <c r="S12" t="s">
        <v>403</v>
      </c>
      <c r="U12" t="s">
        <v>108</v>
      </c>
      <c r="V12" t="s">
        <v>476</v>
      </c>
      <c r="W12" t="s">
        <v>402</v>
      </c>
      <c r="X12" t="s">
        <v>468</v>
      </c>
    </row>
    <row r="13" spans="2:33" x14ac:dyDescent="0.45">
      <c r="B13" t="s">
        <v>122</v>
      </c>
      <c r="C13">
        <v>5.8065054766588053</v>
      </c>
      <c r="D13">
        <v>84.7</v>
      </c>
      <c r="E13">
        <v>0.99538000000000004</v>
      </c>
      <c r="H13" t="s">
        <v>190</v>
      </c>
      <c r="I13" t="s">
        <v>184</v>
      </c>
      <c r="J13">
        <v>0.17620293965073539</v>
      </c>
      <c r="K13" t="s">
        <v>185</v>
      </c>
      <c r="P13" t="s">
        <v>108</v>
      </c>
      <c r="Q13" t="s">
        <v>196</v>
      </c>
      <c r="R13" t="s">
        <v>412</v>
      </c>
      <c r="S13" t="s">
        <v>403</v>
      </c>
      <c r="U13" t="s">
        <v>108</v>
      </c>
      <c r="V13" t="s">
        <v>477</v>
      </c>
      <c r="W13" t="s">
        <v>402</v>
      </c>
      <c r="X13" t="s">
        <v>468</v>
      </c>
    </row>
    <row r="14" spans="2:33" x14ac:dyDescent="0.45">
      <c r="B14" t="s">
        <v>123</v>
      </c>
      <c r="C14">
        <v>1.2903345503686243</v>
      </c>
      <c r="D14">
        <v>112.2</v>
      </c>
      <c r="E14">
        <v>0.99387999999999999</v>
      </c>
      <c r="H14" t="s">
        <v>190</v>
      </c>
      <c r="I14" t="s">
        <v>186</v>
      </c>
      <c r="J14">
        <v>0.17620293965073539</v>
      </c>
      <c r="K14" t="s">
        <v>185</v>
      </c>
      <c r="P14" t="s">
        <v>108</v>
      </c>
      <c r="Q14" t="s">
        <v>197</v>
      </c>
      <c r="R14" t="s">
        <v>413</v>
      </c>
      <c r="S14" t="s">
        <v>403</v>
      </c>
      <c r="U14" t="s">
        <v>108</v>
      </c>
      <c r="V14" t="s">
        <v>478</v>
      </c>
      <c r="W14" t="s">
        <v>402</v>
      </c>
      <c r="X14" t="s">
        <v>468</v>
      </c>
    </row>
    <row r="15" spans="2:33" x14ac:dyDescent="0.45">
      <c r="B15" t="s">
        <v>124</v>
      </c>
      <c r="C15">
        <v>0.64516727518431216</v>
      </c>
      <c r="D15">
        <v>124.30000000000001</v>
      </c>
      <c r="E15">
        <v>0.99321999999999999</v>
      </c>
      <c r="H15" t="s">
        <v>190</v>
      </c>
      <c r="I15" t="s">
        <v>187</v>
      </c>
      <c r="J15">
        <v>0.17620293965073539</v>
      </c>
      <c r="K15" t="s">
        <v>185</v>
      </c>
      <c r="P15" t="s">
        <v>108</v>
      </c>
      <c r="Q15" t="s">
        <v>198</v>
      </c>
      <c r="R15" t="s">
        <v>414</v>
      </c>
      <c r="S15" t="s">
        <v>403</v>
      </c>
      <c r="U15" t="s">
        <v>108</v>
      </c>
      <c r="V15" t="s">
        <v>478</v>
      </c>
      <c r="W15" t="s">
        <v>452</v>
      </c>
      <c r="X15" t="s">
        <v>468</v>
      </c>
    </row>
    <row r="16" spans="2:33" x14ac:dyDescent="0.45">
      <c r="B16" t="s">
        <v>125</v>
      </c>
      <c r="C16">
        <v>1.9355018255529364</v>
      </c>
      <c r="D16">
        <v>167.20000000000002</v>
      </c>
      <c r="E16">
        <v>0.99087999999999998</v>
      </c>
      <c r="H16" t="s">
        <v>191</v>
      </c>
      <c r="I16" t="s">
        <v>184</v>
      </c>
      <c r="J16">
        <v>2.6040636261774261E-3</v>
      </c>
      <c r="K16" t="s">
        <v>185</v>
      </c>
      <c r="P16" t="s">
        <v>108</v>
      </c>
      <c r="Q16" t="s">
        <v>199</v>
      </c>
      <c r="R16" t="s">
        <v>415</v>
      </c>
      <c r="S16" t="s">
        <v>403</v>
      </c>
      <c r="U16" t="s">
        <v>108</v>
      </c>
      <c r="V16" t="s">
        <v>479</v>
      </c>
      <c r="W16" t="s">
        <v>402</v>
      </c>
      <c r="X16" t="s">
        <v>468</v>
      </c>
    </row>
    <row r="17" spans="2:24" x14ac:dyDescent="0.45">
      <c r="B17" t="s">
        <v>126</v>
      </c>
      <c r="C17">
        <v>0.34408921343163318</v>
      </c>
      <c r="D17">
        <v>401.50000000000006</v>
      </c>
      <c r="E17">
        <v>0.97809999999999997</v>
      </c>
      <c r="H17" t="s">
        <v>191</v>
      </c>
      <c r="I17" t="s">
        <v>186</v>
      </c>
      <c r="J17">
        <v>2.6040636261774261E-3</v>
      </c>
      <c r="K17" t="s">
        <v>185</v>
      </c>
      <c r="P17" t="s">
        <v>108</v>
      </c>
      <c r="Q17" t="s">
        <v>200</v>
      </c>
      <c r="R17" t="s">
        <v>416</v>
      </c>
      <c r="S17" t="s">
        <v>403</v>
      </c>
      <c r="U17" t="s">
        <v>108</v>
      </c>
      <c r="V17" t="s">
        <v>479</v>
      </c>
      <c r="W17" t="s">
        <v>452</v>
      </c>
      <c r="X17" t="s">
        <v>468</v>
      </c>
    </row>
    <row r="18" spans="2:24" x14ac:dyDescent="0.45">
      <c r="B18" t="s">
        <v>127</v>
      </c>
      <c r="C18">
        <v>1.2903345503686237</v>
      </c>
      <c r="D18">
        <v>49.500000000000007</v>
      </c>
      <c r="E18">
        <v>0.99729999999999996</v>
      </c>
      <c r="H18" t="s">
        <v>191</v>
      </c>
      <c r="I18" t="s">
        <v>187</v>
      </c>
      <c r="J18">
        <v>2.6040636261774261E-3</v>
      </c>
      <c r="K18" t="s">
        <v>185</v>
      </c>
      <c r="P18" t="s">
        <v>108</v>
      </c>
      <c r="Q18" t="s">
        <v>201</v>
      </c>
      <c r="R18" t="s">
        <v>417</v>
      </c>
      <c r="S18" t="s">
        <v>403</v>
      </c>
      <c r="U18" t="s">
        <v>108</v>
      </c>
      <c r="V18" t="s">
        <v>480</v>
      </c>
      <c r="W18" t="s">
        <v>402</v>
      </c>
      <c r="X18" t="s">
        <v>468</v>
      </c>
    </row>
    <row r="19" spans="2:24" x14ac:dyDescent="0.45">
      <c r="B19" t="s">
        <v>128</v>
      </c>
      <c r="C19">
        <v>1.9355018255529364</v>
      </c>
      <c r="D19">
        <v>127.60000000000001</v>
      </c>
      <c r="E19">
        <v>0.99304000000000003</v>
      </c>
      <c r="H19" t="s">
        <v>192</v>
      </c>
      <c r="I19" t="s">
        <v>184</v>
      </c>
      <c r="J19">
        <v>9.5322680466405794E-6</v>
      </c>
      <c r="K19" t="s">
        <v>185</v>
      </c>
      <c r="P19" t="s">
        <v>108</v>
      </c>
      <c r="Q19" t="s">
        <v>202</v>
      </c>
      <c r="R19" t="s">
        <v>418</v>
      </c>
      <c r="S19" t="s">
        <v>403</v>
      </c>
      <c r="U19" t="s">
        <v>108</v>
      </c>
      <c r="V19" t="s">
        <v>480</v>
      </c>
      <c r="W19" t="s">
        <v>452</v>
      </c>
      <c r="X19" t="s">
        <v>468</v>
      </c>
    </row>
    <row r="20" spans="2:24" x14ac:dyDescent="0.45">
      <c r="B20" t="s">
        <v>129</v>
      </c>
      <c r="C20">
        <v>1.2903345503686237</v>
      </c>
      <c r="D20">
        <v>39.6</v>
      </c>
      <c r="E20">
        <v>0.99783999999999995</v>
      </c>
      <c r="H20" t="s">
        <v>192</v>
      </c>
      <c r="I20" t="s">
        <v>186</v>
      </c>
      <c r="J20">
        <v>9.5322680466405794E-6</v>
      </c>
      <c r="K20" t="s">
        <v>185</v>
      </c>
      <c r="P20" t="s">
        <v>108</v>
      </c>
      <c r="Q20" t="s">
        <v>203</v>
      </c>
      <c r="R20" t="s">
        <v>419</v>
      </c>
      <c r="S20" t="s">
        <v>403</v>
      </c>
      <c r="U20" t="s">
        <v>108</v>
      </c>
      <c r="V20" t="s">
        <v>481</v>
      </c>
      <c r="W20" t="s">
        <v>452</v>
      </c>
      <c r="X20" t="s">
        <v>468</v>
      </c>
    </row>
    <row r="21" spans="2:24" x14ac:dyDescent="0.45">
      <c r="B21" t="s">
        <v>130</v>
      </c>
      <c r="C21">
        <v>0.64516727518431216</v>
      </c>
      <c r="D21">
        <v>244.20000000000002</v>
      </c>
      <c r="E21">
        <v>0.98668</v>
      </c>
      <c r="H21" t="s">
        <v>192</v>
      </c>
      <c r="I21" t="s">
        <v>187</v>
      </c>
      <c r="J21">
        <v>9.5322680466405794E-6</v>
      </c>
      <c r="K21" t="s">
        <v>185</v>
      </c>
      <c r="P21" t="s">
        <v>108</v>
      </c>
      <c r="Q21" t="s">
        <v>204</v>
      </c>
      <c r="R21" t="s">
        <v>420</v>
      </c>
      <c r="S21" t="s">
        <v>403</v>
      </c>
      <c r="U21" t="s">
        <v>108</v>
      </c>
      <c r="V21" t="s">
        <v>482</v>
      </c>
      <c r="W21" t="s">
        <v>452</v>
      </c>
      <c r="X21" t="s">
        <v>468</v>
      </c>
    </row>
    <row r="22" spans="2:24" x14ac:dyDescent="0.45">
      <c r="B22" t="s">
        <v>131</v>
      </c>
      <c r="C22">
        <v>1.2903345503686237</v>
      </c>
      <c r="D22">
        <v>397.1</v>
      </c>
      <c r="E22">
        <v>0.97833999999999999</v>
      </c>
      <c r="H22" t="s">
        <v>193</v>
      </c>
      <c r="I22" t="s">
        <v>184</v>
      </c>
      <c r="J22">
        <v>9.8937960837051009E-4</v>
      </c>
      <c r="K22" t="s">
        <v>185</v>
      </c>
      <c r="P22" t="s">
        <v>108</v>
      </c>
      <c r="Q22" t="s">
        <v>205</v>
      </c>
      <c r="R22" t="s">
        <v>421</v>
      </c>
      <c r="S22" t="s">
        <v>403</v>
      </c>
      <c r="U22" t="s">
        <v>108</v>
      </c>
      <c r="V22" t="s">
        <v>483</v>
      </c>
      <c r="W22" t="s">
        <v>452</v>
      </c>
      <c r="X22" t="s">
        <v>468</v>
      </c>
    </row>
    <row r="23" spans="2:24" x14ac:dyDescent="0.45">
      <c r="B23" t="s">
        <v>132</v>
      </c>
      <c r="C23">
        <v>3.0968029208846977</v>
      </c>
      <c r="D23">
        <v>275</v>
      </c>
      <c r="E23">
        <v>0.98499999999999999</v>
      </c>
      <c r="H23" t="s">
        <v>193</v>
      </c>
      <c r="I23" t="s">
        <v>186</v>
      </c>
      <c r="J23">
        <v>9.8937960837051009E-4</v>
      </c>
      <c r="K23" t="s">
        <v>185</v>
      </c>
      <c r="P23" t="s">
        <v>108</v>
      </c>
      <c r="Q23" t="s">
        <v>206</v>
      </c>
      <c r="R23" t="s">
        <v>422</v>
      </c>
      <c r="S23" t="s">
        <v>403</v>
      </c>
      <c r="U23" t="s">
        <v>108</v>
      </c>
      <c r="V23" t="s">
        <v>483</v>
      </c>
      <c r="W23" t="s">
        <v>402</v>
      </c>
      <c r="X23" t="s">
        <v>403</v>
      </c>
    </row>
    <row r="24" spans="2:24" x14ac:dyDescent="0.45">
      <c r="B24" t="s">
        <v>133</v>
      </c>
      <c r="C24">
        <v>0.34408921343163318</v>
      </c>
      <c r="D24">
        <v>179.3</v>
      </c>
      <c r="E24">
        <v>0.99021999999999999</v>
      </c>
      <c r="H24" t="s">
        <v>193</v>
      </c>
      <c r="I24" t="s">
        <v>187</v>
      </c>
      <c r="J24">
        <v>9.8937960837051009E-4</v>
      </c>
      <c r="K24" t="s">
        <v>185</v>
      </c>
      <c r="P24" t="s">
        <v>108</v>
      </c>
      <c r="Q24" t="s">
        <v>207</v>
      </c>
      <c r="R24" t="s">
        <v>423</v>
      </c>
      <c r="S24" t="s">
        <v>403</v>
      </c>
      <c r="U24" t="s">
        <v>108</v>
      </c>
      <c r="V24" t="s">
        <v>484</v>
      </c>
      <c r="W24" t="s">
        <v>452</v>
      </c>
      <c r="X24" t="s">
        <v>468</v>
      </c>
    </row>
    <row r="25" spans="2:24" x14ac:dyDescent="0.45">
      <c r="B25" t="s">
        <v>134</v>
      </c>
      <c r="C25">
        <v>1.5484014604423488</v>
      </c>
      <c r="D25">
        <v>323.40000000000003</v>
      </c>
      <c r="E25">
        <v>0.98236000000000001</v>
      </c>
      <c r="H25" t="s">
        <v>194</v>
      </c>
      <c r="I25" t="s">
        <v>184</v>
      </c>
      <c r="J25">
        <v>3.5391076319364681E-5</v>
      </c>
      <c r="K25" t="s">
        <v>185</v>
      </c>
      <c r="P25" t="s">
        <v>108</v>
      </c>
      <c r="Q25" t="s">
        <v>208</v>
      </c>
      <c r="R25" t="s">
        <v>424</v>
      </c>
      <c r="S25" t="s">
        <v>403</v>
      </c>
      <c r="U25" t="s">
        <v>108</v>
      </c>
      <c r="V25" t="s">
        <v>484</v>
      </c>
      <c r="W25" t="s">
        <v>402</v>
      </c>
      <c r="X25" t="s">
        <v>403</v>
      </c>
    </row>
    <row r="26" spans="2:24" x14ac:dyDescent="0.45">
      <c r="B26" t="s">
        <v>135</v>
      </c>
      <c r="C26">
        <v>3.1280837584693924</v>
      </c>
      <c r="D26">
        <v>280.5</v>
      </c>
      <c r="E26">
        <v>0.98470000000000002</v>
      </c>
      <c r="H26" t="s">
        <v>194</v>
      </c>
      <c r="I26" t="s">
        <v>186</v>
      </c>
      <c r="J26">
        <v>3.5391076319364681E-5</v>
      </c>
      <c r="K26" t="s">
        <v>185</v>
      </c>
      <c r="P26" t="s">
        <v>108</v>
      </c>
      <c r="Q26" t="s">
        <v>209</v>
      </c>
      <c r="R26" t="s">
        <v>425</v>
      </c>
      <c r="S26" t="s">
        <v>403</v>
      </c>
      <c r="U26" t="s">
        <v>108</v>
      </c>
      <c r="V26" t="s">
        <v>485</v>
      </c>
      <c r="W26" t="s">
        <v>404</v>
      </c>
      <c r="X26" t="s">
        <v>468</v>
      </c>
    </row>
    <row r="27" spans="2:24" x14ac:dyDescent="0.45">
      <c r="B27" t="s">
        <v>136</v>
      </c>
      <c r="C27">
        <v>1.9355018255529357</v>
      </c>
      <c r="D27">
        <v>99.000000000000014</v>
      </c>
      <c r="E27">
        <v>0.99460000000000004</v>
      </c>
      <c r="H27" t="s">
        <v>194</v>
      </c>
      <c r="I27" t="s">
        <v>187</v>
      </c>
      <c r="J27">
        <v>3.5391076319364681E-5</v>
      </c>
      <c r="K27" t="s">
        <v>185</v>
      </c>
      <c r="P27" t="s">
        <v>108</v>
      </c>
      <c r="Q27" t="s">
        <v>210</v>
      </c>
      <c r="R27" t="s">
        <v>426</v>
      </c>
      <c r="S27" t="s">
        <v>403</v>
      </c>
      <c r="U27" t="s">
        <v>108</v>
      </c>
      <c r="V27" t="s">
        <v>486</v>
      </c>
      <c r="W27" t="s">
        <v>404</v>
      </c>
      <c r="X27" t="s">
        <v>468</v>
      </c>
    </row>
    <row r="28" spans="2:24" x14ac:dyDescent="0.45">
      <c r="B28" t="s">
        <v>137</v>
      </c>
      <c r="C28">
        <v>0.64516727518431216</v>
      </c>
      <c r="D28">
        <v>115.50000000000001</v>
      </c>
      <c r="E28">
        <v>0.99370000000000003</v>
      </c>
      <c r="H28" t="s">
        <v>195</v>
      </c>
      <c r="I28" t="s">
        <v>184</v>
      </c>
      <c r="J28">
        <v>9.6276259107804993E-4</v>
      </c>
      <c r="K28" t="s">
        <v>185</v>
      </c>
      <c r="P28" t="s">
        <v>108</v>
      </c>
      <c r="Q28" t="s">
        <v>211</v>
      </c>
      <c r="R28" t="s">
        <v>427</v>
      </c>
      <c r="S28" t="s">
        <v>403</v>
      </c>
      <c r="U28" t="s">
        <v>108</v>
      </c>
      <c r="V28" t="s">
        <v>487</v>
      </c>
      <c r="W28" t="s">
        <v>404</v>
      </c>
      <c r="X28" t="s">
        <v>468</v>
      </c>
    </row>
    <row r="29" spans="2:24" x14ac:dyDescent="0.45">
      <c r="B29" t="s">
        <v>138</v>
      </c>
      <c r="C29">
        <v>0.77420073022117442</v>
      </c>
      <c r="D29">
        <v>227.70000000000002</v>
      </c>
      <c r="E29">
        <v>0.98758000000000001</v>
      </c>
      <c r="H29" t="s">
        <v>195</v>
      </c>
      <c r="I29" t="s">
        <v>186</v>
      </c>
      <c r="J29">
        <v>9.6276259107804993E-4</v>
      </c>
      <c r="K29" t="s">
        <v>185</v>
      </c>
      <c r="P29" t="s">
        <v>108</v>
      </c>
      <c r="Q29" t="s">
        <v>212</v>
      </c>
      <c r="R29" t="s">
        <v>428</v>
      </c>
      <c r="S29" t="s">
        <v>403</v>
      </c>
      <c r="U29" t="s">
        <v>108</v>
      </c>
      <c r="V29" t="s">
        <v>488</v>
      </c>
      <c r="W29" t="s">
        <v>404</v>
      </c>
      <c r="X29" t="s">
        <v>468</v>
      </c>
    </row>
    <row r="30" spans="2:24" x14ac:dyDescent="0.45">
      <c r="B30" t="s">
        <v>139</v>
      </c>
      <c r="C30">
        <v>0.77420073022117442</v>
      </c>
      <c r="D30">
        <v>116.60000000000001</v>
      </c>
      <c r="E30">
        <v>0.99363999999999997</v>
      </c>
      <c r="H30" t="s">
        <v>195</v>
      </c>
      <c r="I30" t="s">
        <v>187</v>
      </c>
      <c r="J30">
        <v>9.6276259107804993E-4</v>
      </c>
      <c r="K30" t="s">
        <v>185</v>
      </c>
      <c r="P30" t="s">
        <v>108</v>
      </c>
      <c r="Q30" t="s">
        <v>213</v>
      </c>
      <c r="R30" t="s">
        <v>429</v>
      </c>
      <c r="S30" t="s">
        <v>403</v>
      </c>
      <c r="U30" t="s">
        <v>108</v>
      </c>
      <c r="V30" t="s">
        <v>489</v>
      </c>
      <c r="W30" t="s">
        <v>404</v>
      </c>
      <c r="X30" t="s">
        <v>468</v>
      </c>
    </row>
    <row r="31" spans="2:24" x14ac:dyDescent="0.45">
      <c r="B31" t="s">
        <v>140</v>
      </c>
      <c r="C31">
        <v>0.77420073022117442</v>
      </c>
      <c r="D31">
        <v>221.10000000000002</v>
      </c>
      <c r="E31">
        <v>0.98794000000000004</v>
      </c>
      <c r="H31" t="s">
        <v>196</v>
      </c>
      <c r="I31" t="s">
        <v>184</v>
      </c>
      <c r="J31">
        <v>3.384279910389182E-3</v>
      </c>
      <c r="K31" t="s">
        <v>185</v>
      </c>
      <c r="P31" t="s">
        <v>108</v>
      </c>
      <c r="Q31" t="s">
        <v>214</v>
      </c>
      <c r="R31" t="s">
        <v>430</v>
      </c>
      <c r="S31" t="s">
        <v>403</v>
      </c>
      <c r="U31" t="s">
        <v>108</v>
      </c>
      <c r="V31" t="s">
        <v>490</v>
      </c>
      <c r="W31" t="s">
        <v>404</v>
      </c>
      <c r="X31" t="s">
        <v>468</v>
      </c>
    </row>
    <row r="32" spans="2:24" x14ac:dyDescent="0.45">
      <c r="B32" t="s">
        <v>141</v>
      </c>
      <c r="C32">
        <v>1.9355018255529357</v>
      </c>
      <c r="D32">
        <v>99.000000000000014</v>
      </c>
      <c r="E32">
        <v>0.99460000000000004</v>
      </c>
      <c r="H32" t="s">
        <v>196</v>
      </c>
      <c r="I32" t="s">
        <v>186</v>
      </c>
      <c r="J32">
        <v>3.384279910389182E-3</v>
      </c>
      <c r="K32" t="s">
        <v>185</v>
      </c>
      <c r="P32" t="s">
        <v>108</v>
      </c>
      <c r="Q32" t="s">
        <v>215</v>
      </c>
      <c r="R32" t="s">
        <v>431</v>
      </c>
      <c r="S32" t="s">
        <v>403</v>
      </c>
      <c r="U32" t="s">
        <v>108</v>
      </c>
      <c r="V32" t="s">
        <v>491</v>
      </c>
      <c r="W32" t="s">
        <v>404</v>
      </c>
      <c r="X32" t="s">
        <v>468</v>
      </c>
    </row>
    <row r="33" spans="2:24" x14ac:dyDescent="0.45">
      <c r="B33" t="s">
        <v>142</v>
      </c>
      <c r="C33">
        <v>3.902284488690567</v>
      </c>
      <c r="D33">
        <v>253.00000000000003</v>
      </c>
      <c r="E33">
        <v>0.98619999999999997</v>
      </c>
      <c r="H33" t="s">
        <v>196</v>
      </c>
      <c r="I33" t="s">
        <v>187</v>
      </c>
      <c r="J33">
        <v>3.384279910389182E-3</v>
      </c>
      <c r="K33" t="s">
        <v>185</v>
      </c>
      <c r="P33" t="s">
        <v>108</v>
      </c>
      <c r="Q33" t="s">
        <v>216</v>
      </c>
      <c r="R33" t="s">
        <v>432</v>
      </c>
      <c r="S33" t="s">
        <v>403</v>
      </c>
      <c r="U33" t="s">
        <v>108</v>
      </c>
      <c r="V33" t="s">
        <v>492</v>
      </c>
      <c r="W33" t="s">
        <v>404</v>
      </c>
      <c r="X33" t="s">
        <v>468</v>
      </c>
    </row>
    <row r="34" spans="2:24" x14ac:dyDescent="0.45">
      <c r="B34" t="s">
        <v>143</v>
      </c>
      <c r="C34">
        <v>0.68817842686326636</v>
      </c>
      <c r="D34">
        <v>297</v>
      </c>
      <c r="E34">
        <v>0.98380000000000001</v>
      </c>
      <c r="H34" t="s">
        <v>197</v>
      </c>
      <c r="I34" t="s">
        <v>184</v>
      </c>
      <c r="J34">
        <v>3.5690458094748798E-3</v>
      </c>
      <c r="K34" t="s">
        <v>185</v>
      </c>
      <c r="P34" t="s">
        <v>108</v>
      </c>
      <c r="Q34" t="s">
        <v>217</v>
      </c>
      <c r="R34" t="s">
        <v>433</v>
      </c>
      <c r="S34" t="s">
        <v>403</v>
      </c>
      <c r="U34" t="s">
        <v>108</v>
      </c>
      <c r="V34" t="s">
        <v>493</v>
      </c>
      <c r="W34" t="s">
        <v>404</v>
      </c>
      <c r="X34" t="s">
        <v>468</v>
      </c>
    </row>
    <row r="35" spans="2:24" x14ac:dyDescent="0.45">
      <c r="B35" t="s">
        <v>144</v>
      </c>
      <c r="C35">
        <v>4.5044406121959248</v>
      </c>
      <c r="D35">
        <v>312.40000000000003</v>
      </c>
      <c r="E35">
        <v>0.98296000000000006</v>
      </c>
      <c r="H35" t="s">
        <v>197</v>
      </c>
      <c r="I35" t="s">
        <v>186</v>
      </c>
      <c r="J35">
        <v>3.5690458094748798E-3</v>
      </c>
      <c r="K35" t="s">
        <v>185</v>
      </c>
      <c r="P35" t="s">
        <v>108</v>
      </c>
      <c r="Q35" t="s">
        <v>218</v>
      </c>
      <c r="R35" t="s">
        <v>434</v>
      </c>
      <c r="S35" t="s">
        <v>403</v>
      </c>
      <c r="U35" t="s">
        <v>108</v>
      </c>
      <c r="V35" t="s">
        <v>494</v>
      </c>
      <c r="W35" t="s">
        <v>404</v>
      </c>
      <c r="X35" t="s">
        <v>468</v>
      </c>
    </row>
    <row r="36" spans="2:24" x14ac:dyDescent="0.45">
      <c r="B36" t="s">
        <v>145</v>
      </c>
      <c r="C36">
        <v>4.1603513987642922</v>
      </c>
      <c r="D36">
        <v>147.4</v>
      </c>
      <c r="E36">
        <v>0.99195999999999995</v>
      </c>
      <c r="H36" t="s">
        <v>197</v>
      </c>
      <c r="I36" t="s">
        <v>187</v>
      </c>
      <c r="J36">
        <v>3.5690458094748798E-3</v>
      </c>
      <c r="K36" t="s">
        <v>185</v>
      </c>
      <c r="P36" t="s">
        <v>108</v>
      </c>
      <c r="Q36" t="s">
        <v>219</v>
      </c>
      <c r="R36" t="s">
        <v>435</v>
      </c>
      <c r="S36" t="s">
        <v>403</v>
      </c>
      <c r="U36" t="s">
        <v>108</v>
      </c>
      <c r="V36" t="s">
        <v>495</v>
      </c>
      <c r="W36" t="s">
        <v>404</v>
      </c>
      <c r="X36" t="s">
        <v>468</v>
      </c>
    </row>
    <row r="37" spans="2:24" x14ac:dyDescent="0.45">
      <c r="B37" t="s">
        <v>146</v>
      </c>
      <c r="C37">
        <v>2.3226021906635235</v>
      </c>
      <c r="D37">
        <v>185.9</v>
      </c>
      <c r="E37">
        <v>0.98985999999999996</v>
      </c>
      <c r="H37" t="s">
        <v>198</v>
      </c>
      <c r="I37" t="s">
        <v>184</v>
      </c>
      <c r="J37">
        <v>8.4472369340795803E-4</v>
      </c>
      <c r="K37" t="s">
        <v>185</v>
      </c>
      <c r="P37" t="s">
        <v>108</v>
      </c>
      <c r="Q37" t="s">
        <v>220</v>
      </c>
      <c r="R37" t="s">
        <v>436</v>
      </c>
      <c r="S37" t="s">
        <v>403</v>
      </c>
      <c r="U37" t="s">
        <v>108</v>
      </c>
      <c r="V37" t="s">
        <v>495</v>
      </c>
      <c r="W37" t="s">
        <v>496</v>
      </c>
      <c r="X37" t="s">
        <v>468</v>
      </c>
    </row>
    <row r="38" spans="2:24" x14ac:dyDescent="0.45">
      <c r="B38" t="s">
        <v>147</v>
      </c>
      <c r="C38">
        <v>0.34408921343163318</v>
      </c>
      <c r="D38">
        <v>279.40000000000003</v>
      </c>
      <c r="E38">
        <v>0.98475999999999997</v>
      </c>
      <c r="H38" t="s">
        <v>198</v>
      </c>
      <c r="I38" t="s">
        <v>186</v>
      </c>
      <c r="J38">
        <v>8.4472369340795803E-4</v>
      </c>
      <c r="K38" t="s">
        <v>185</v>
      </c>
      <c r="P38" t="s">
        <v>108</v>
      </c>
      <c r="Q38" t="s">
        <v>221</v>
      </c>
      <c r="R38" t="s">
        <v>437</v>
      </c>
      <c r="S38" t="s">
        <v>403</v>
      </c>
      <c r="U38" t="s">
        <v>108</v>
      </c>
      <c r="V38" t="s">
        <v>497</v>
      </c>
      <c r="W38" t="s">
        <v>404</v>
      </c>
      <c r="X38" t="s">
        <v>468</v>
      </c>
    </row>
    <row r="39" spans="2:24" x14ac:dyDescent="0.45">
      <c r="B39" t="s">
        <v>148</v>
      </c>
      <c r="C39">
        <v>1.2903345503686243</v>
      </c>
      <c r="D39">
        <v>304.70000000000005</v>
      </c>
      <c r="E39">
        <v>0.98338000000000003</v>
      </c>
      <c r="H39" t="s">
        <v>198</v>
      </c>
      <c r="I39" t="s">
        <v>187</v>
      </c>
      <c r="J39">
        <v>8.4472369340795803E-4</v>
      </c>
      <c r="K39" t="s">
        <v>185</v>
      </c>
      <c r="P39" t="s">
        <v>108</v>
      </c>
      <c r="Q39" t="s">
        <v>222</v>
      </c>
      <c r="R39" t="s">
        <v>438</v>
      </c>
      <c r="S39" t="s">
        <v>403</v>
      </c>
      <c r="U39" t="s">
        <v>108</v>
      </c>
      <c r="V39" t="s">
        <v>497</v>
      </c>
      <c r="W39" t="s">
        <v>496</v>
      </c>
      <c r="X39" t="s">
        <v>468</v>
      </c>
    </row>
    <row r="40" spans="2:24" x14ac:dyDescent="0.45">
      <c r="B40" t="s">
        <v>149</v>
      </c>
      <c r="C40">
        <v>0.34408921343163318</v>
      </c>
      <c r="D40">
        <v>437.8</v>
      </c>
      <c r="E40">
        <v>0.97611999999999999</v>
      </c>
      <c r="H40" t="s">
        <v>199</v>
      </c>
      <c r="I40" t="s">
        <v>184</v>
      </c>
      <c r="J40">
        <v>3.1814579510781901E-3</v>
      </c>
      <c r="K40" t="s">
        <v>185</v>
      </c>
      <c r="P40" t="s">
        <v>108</v>
      </c>
      <c r="Q40" t="s">
        <v>223</v>
      </c>
      <c r="R40" t="s">
        <v>439</v>
      </c>
      <c r="S40" t="s">
        <v>403</v>
      </c>
      <c r="U40" t="s">
        <v>108</v>
      </c>
      <c r="V40" t="s">
        <v>498</v>
      </c>
      <c r="W40" t="s">
        <v>404</v>
      </c>
      <c r="X40" t="s">
        <v>468</v>
      </c>
    </row>
    <row r="41" spans="2:24" x14ac:dyDescent="0.45">
      <c r="B41" t="s">
        <v>150</v>
      </c>
      <c r="C41">
        <v>0.77420073022117442</v>
      </c>
      <c r="D41">
        <v>129.80000000000001</v>
      </c>
      <c r="E41">
        <v>0.99292000000000002</v>
      </c>
      <c r="H41" t="s">
        <v>199</v>
      </c>
      <c r="I41" t="s">
        <v>186</v>
      </c>
      <c r="J41">
        <v>3.1814579510781901E-3</v>
      </c>
      <c r="K41" t="s">
        <v>185</v>
      </c>
      <c r="P41" t="s">
        <v>108</v>
      </c>
      <c r="Q41" t="s">
        <v>224</v>
      </c>
      <c r="R41" t="s">
        <v>440</v>
      </c>
      <c r="S41" t="s">
        <v>403</v>
      </c>
      <c r="U41" t="s">
        <v>108</v>
      </c>
      <c r="V41" t="s">
        <v>498</v>
      </c>
      <c r="W41" t="s">
        <v>496</v>
      </c>
      <c r="X41" t="s">
        <v>468</v>
      </c>
    </row>
    <row r="42" spans="2:24" x14ac:dyDescent="0.45">
      <c r="B42" t="s">
        <v>151</v>
      </c>
      <c r="C42">
        <v>3.2688475276005144</v>
      </c>
      <c r="D42">
        <v>537.90000000000009</v>
      </c>
      <c r="E42">
        <v>0.97065999999999997</v>
      </c>
      <c r="H42" t="s">
        <v>199</v>
      </c>
      <c r="I42" t="s">
        <v>187</v>
      </c>
      <c r="J42">
        <v>3.1814579510781901E-3</v>
      </c>
      <c r="K42" t="s">
        <v>185</v>
      </c>
      <c r="P42" t="s">
        <v>108</v>
      </c>
      <c r="Q42" t="s">
        <v>225</v>
      </c>
      <c r="R42" t="s">
        <v>441</v>
      </c>
      <c r="S42" t="s">
        <v>403</v>
      </c>
      <c r="U42" t="s">
        <v>108</v>
      </c>
      <c r="V42" t="s">
        <v>499</v>
      </c>
      <c r="W42" t="s">
        <v>496</v>
      </c>
      <c r="X42" t="s">
        <v>468</v>
      </c>
    </row>
    <row r="43" spans="2:24" x14ac:dyDescent="0.45">
      <c r="B43" t="s">
        <v>152</v>
      </c>
      <c r="C43">
        <v>0.64516727518431216</v>
      </c>
      <c r="D43">
        <v>245.3</v>
      </c>
      <c r="E43">
        <v>0.98662000000000005</v>
      </c>
      <c r="H43" t="s">
        <v>200</v>
      </c>
      <c r="I43" t="s">
        <v>184</v>
      </c>
      <c r="J43">
        <v>4.2826282146869711E-2</v>
      </c>
      <c r="K43" t="s">
        <v>185</v>
      </c>
      <c r="P43" t="s">
        <v>108</v>
      </c>
      <c r="Q43" t="s">
        <v>226</v>
      </c>
      <c r="R43" t="s">
        <v>442</v>
      </c>
      <c r="S43" t="s">
        <v>403</v>
      </c>
      <c r="U43" t="s">
        <v>108</v>
      </c>
      <c r="V43" t="s">
        <v>500</v>
      </c>
      <c r="W43" t="s">
        <v>496</v>
      </c>
      <c r="X43" t="s">
        <v>468</v>
      </c>
    </row>
    <row r="44" spans="2:24" x14ac:dyDescent="0.45">
      <c r="B44" t="s">
        <v>153</v>
      </c>
      <c r="C44">
        <v>2.5806691007372482</v>
      </c>
      <c r="D44">
        <v>74.800000000000011</v>
      </c>
      <c r="E44">
        <v>0.99592000000000003</v>
      </c>
      <c r="H44" t="s">
        <v>200</v>
      </c>
      <c r="I44" t="s">
        <v>186</v>
      </c>
      <c r="J44">
        <v>4.2826282146869711E-2</v>
      </c>
      <c r="K44" t="s">
        <v>185</v>
      </c>
      <c r="P44" t="s">
        <v>108</v>
      </c>
      <c r="Q44" t="s">
        <v>227</v>
      </c>
      <c r="R44" t="s">
        <v>443</v>
      </c>
      <c r="S44" t="s">
        <v>403</v>
      </c>
      <c r="U44" t="s">
        <v>108</v>
      </c>
      <c r="V44" t="s">
        <v>501</v>
      </c>
      <c r="W44" t="s">
        <v>496</v>
      </c>
      <c r="X44" t="s">
        <v>468</v>
      </c>
    </row>
    <row r="45" spans="2:24" x14ac:dyDescent="0.45">
      <c r="B45" t="s">
        <v>154</v>
      </c>
      <c r="C45">
        <v>0.68817842686326636</v>
      </c>
      <c r="D45">
        <v>56.1</v>
      </c>
      <c r="E45">
        <v>0.99694000000000005</v>
      </c>
      <c r="H45" t="s">
        <v>200</v>
      </c>
      <c r="I45" t="s">
        <v>187</v>
      </c>
      <c r="J45">
        <v>4.2826282146869711E-2</v>
      </c>
      <c r="K45" t="s">
        <v>185</v>
      </c>
      <c r="P45" t="s">
        <v>108</v>
      </c>
      <c r="Q45" t="s">
        <v>352</v>
      </c>
      <c r="R45" t="s">
        <v>444</v>
      </c>
      <c r="S45" t="s">
        <v>403</v>
      </c>
      <c r="U45" t="s">
        <v>108</v>
      </c>
      <c r="V45" t="s">
        <v>501</v>
      </c>
      <c r="W45" t="s">
        <v>404</v>
      </c>
      <c r="X45" t="s">
        <v>403</v>
      </c>
    </row>
    <row r="46" spans="2:24" x14ac:dyDescent="0.45">
      <c r="B46" t="s">
        <v>155</v>
      </c>
      <c r="C46">
        <v>1.2903345503686237</v>
      </c>
      <c r="D46">
        <v>135.30000000000001</v>
      </c>
      <c r="E46">
        <v>0.99261999999999995</v>
      </c>
      <c r="H46" t="s">
        <v>201</v>
      </c>
      <c r="I46" t="s">
        <v>184</v>
      </c>
      <c r="J46">
        <v>3.3394171558205499E-3</v>
      </c>
      <c r="K46" t="s">
        <v>185</v>
      </c>
      <c r="P46" t="s">
        <v>108</v>
      </c>
      <c r="Q46" t="s">
        <v>353</v>
      </c>
      <c r="R46" t="s">
        <v>445</v>
      </c>
      <c r="S46" t="s">
        <v>403</v>
      </c>
      <c r="U46" t="s">
        <v>108</v>
      </c>
      <c r="V46" t="s">
        <v>502</v>
      </c>
      <c r="W46" t="s">
        <v>496</v>
      </c>
      <c r="X46" t="s">
        <v>468</v>
      </c>
    </row>
    <row r="47" spans="2:24" x14ac:dyDescent="0.45">
      <c r="B47" t="s">
        <v>156</v>
      </c>
      <c r="C47">
        <v>1.0322676402948994</v>
      </c>
      <c r="D47">
        <v>95.7</v>
      </c>
      <c r="E47">
        <v>0.99478</v>
      </c>
      <c r="H47" t="s">
        <v>201</v>
      </c>
      <c r="I47" t="s">
        <v>186</v>
      </c>
      <c r="J47">
        <v>3.3394171558205499E-3</v>
      </c>
      <c r="K47" t="s">
        <v>185</v>
      </c>
      <c r="P47" t="s">
        <v>108</v>
      </c>
      <c r="Q47" t="s">
        <v>354</v>
      </c>
      <c r="R47" t="s">
        <v>446</v>
      </c>
      <c r="S47" t="s">
        <v>403</v>
      </c>
      <c r="U47" t="s">
        <v>108</v>
      </c>
      <c r="V47" t="s">
        <v>502</v>
      </c>
      <c r="W47" t="s">
        <v>404</v>
      </c>
      <c r="X47" t="s">
        <v>403</v>
      </c>
    </row>
    <row r="48" spans="2:24" x14ac:dyDescent="0.45">
      <c r="B48" t="s">
        <v>157</v>
      </c>
      <c r="C48">
        <v>3.0968029208846977</v>
      </c>
      <c r="D48">
        <v>119.9</v>
      </c>
      <c r="E48">
        <v>0.99346000000000001</v>
      </c>
      <c r="H48" t="s">
        <v>201</v>
      </c>
      <c r="I48" t="s">
        <v>187</v>
      </c>
      <c r="J48">
        <v>3.3394171558205499E-3</v>
      </c>
      <c r="K48" t="s">
        <v>185</v>
      </c>
      <c r="P48" t="s">
        <v>108</v>
      </c>
      <c r="Q48" t="s">
        <v>355</v>
      </c>
      <c r="R48" t="s">
        <v>447</v>
      </c>
      <c r="S48" t="s">
        <v>403</v>
      </c>
      <c r="U48" t="s">
        <v>108</v>
      </c>
      <c r="V48" t="s">
        <v>503</v>
      </c>
      <c r="W48" t="s">
        <v>405</v>
      </c>
      <c r="X48" t="s">
        <v>468</v>
      </c>
    </row>
    <row r="49" spans="2:24" x14ac:dyDescent="0.45">
      <c r="B49" t="s">
        <v>158</v>
      </c>
      <c r="C49">
        <v>0.34408921343163318</v>
      </c>
      <c r="D49">
        <v>333.3</v>
      </c>
      <c r="E49">
        <v>0.98182000000000003</v>
      </c>
      <c r="H49" t="s">
        <v>202</v>
      </c>
      <c r="I49" t="s">
        <v>184</v>
      </c>
      <c r="J49">
        <v>6.5406199804486794E-4</v>
      </c>
      <c r="K49" t="s">
        <v>185</v>
      </c>
      <c r="P49" t="s">
        <v>108</v>
      </c>
      <c r="Q49" t="s">
        <v>356</v>
      </c>
      <c r="R49" t="s">
        <v>448</v>
      </c>
      <c r="S49" t="s">
        <v>403</v>
      </c>
      <c r="U49" t="s">
        <v>108</v>
      </c>
      <c r="V49" t="s">
        <v>504</v>
      </c>
      <c r="W49" t="s">
        <v>405</v>
      </c>
      <c r="X49" t="s">
        <v>468</v>
      </c>
    </row>
    <row r="50" spans="2:24" x14ac:dyDescent="0.45">
      <c r="B50" t="s">
        <v>159</v>
      </c>
      <c r="C50">
        <v>4.8485298256275575</v>
      </c>
      <c r="D50">
        <v>51.7</v>
      </c>
      <c r="E50">
        <v>0.99717999999999996</v>
      </c>
      <c r="H50" t="s">
        <v>202</v>
      </c>
      <c r="I50" t="s">
        <v>186</v>
      </c>
      <c r="J50">
        <v>6.5406199804486794E-4</v>
      </c>
      <c r="K50" t="s">
        <v>185</v>
      </c>
      <c r="P50" t="s">
        <v>108</v>
      </c>
      <c r="Q50" t="s">
        <v>357</v>
      </c>
      <c r="R50" t="s">
        <v>449</v>
      </c>
      <c r="S50" t="s">
        <v>403</v>
      </c>
      <c r="U50" t="s">
        <v>108</v>
      </c>
      <c r="V50" t="s">
        <v>505</v>
      </c>
      <c r="W50" t="s">
        <v>405</v>
      </c>
      <c r="X50" t="s">
        <v>468</v>
      </c>
    </row>
    <row r="51" spans="2:24" x14ac:dyDescent="0.45">
      <c r="B51" t="s">
        <v>160</v>
      </c>
      <c r="C51">
        <v>5.1926190390591911</v>
      </c>
      <c r="D51">
        <v>250.8</v>
      </c>
      <c r="E51">
        <v>0.98631999999999997</v>
      </c>
      <c r="H51" t="s">
        <v>202</v>
      </c>
      <c r="I51" t="s">
        <v>187</v>
      </c>
      <c r="J51">
        <v>6.5406199804486794E-4</v>
      </c>
      <c r="K51" t="s">
        <v>185</v>
      </c>
      <c r="P51" t="s">
        <v>108</v>
      </c>
      <c r="Q51" t="s">
        <v>358</v>
      </c>
      <c r="R51" t="s">
        <v>450</v>
      </c>
      <c r="S51" t="s">
        <v>403</v>
      </c>
      <c r="U51" t="s">
        <v>108</v>
      </c>
      <c r="V51" t="s">
        <v>506</v>
      </c>
      <c r="W51" t="s">
        <v>405</v>
      </c>
      <c r="X51" t="s">
        <v>468</v>
      </c>
    </row>
    <row r="52" spans="2:24" x14ac:dyDescent="0.45">
      <c r="B52" t="s">
        <v>161</v>
      </c>
      <c r="C52">
        <v>2.5806691007372473</v>
      </c>
      <c r="D52">
        <v>78.100000000000009</v>
      </c>
      <c r="E52">
        <v>0.99573999999999996</v>
      </c>
      <c r="H52" t="s">
        <v>203</v>
      </c>
      <c r="I52" t="s">
        <v>184</v>
      </c>
      <c r="J52">
        <v>2.3066026286364038E-3</v>
      </c>
      <c r="K52" t="s">
        <v>185</v>
      </c>
      <c r="P52" t="s">
        <v>108</v>
      </c>
      <c r="Q52" t="s">
        <v>359</v>
      </c>
      <c r="R52" t="s">
        <v>451</v>
      </c>
      <c r="S52" t="s">
        <v>403</v>
      </c>
      <c r="U52" t="s">
        <v>108</v>
      </c>
      <c r="V52" t="s">
        <v>507</v>
      </c>
      <c r="W52" t="s">
        <v>405</v>
      </c>
      <c r="X52" t="s">
        <v>468</v>
      </c>
    </row>
    <row r="53" spans="2:24" x14ac:dyDescent="0.45">
      <c r="B53" t="s">
        <v>162</v>
      </c>
      <c r="C53">
        <v>3.0968029208846977</v>
      </c>
      <c r="D53">
        <v>213.4</v>
      </c>
      <c r="E53">
        <v>0.98836000000000002</v>
      </c>
      <c r="H53" t="s">
        <v>203</v>
      </c>
      <c r="I53" t="s">
        <v>186</v>
      </c>
      <c r="J53">
        <v>2.3066026286364038E-3</v>
      </c>
      <c r="K53" t="s">
        <v>185</v>
      </c>
      <c r="P53" t="s">
        <v>108</v>
      </c>
      <c r="Q53" t="s">
        <v>228</v>
      </c>
      <c r="R53" t="s">
        <v>402</v>
      </c>
      <c r="S53" t="s">
        <v>403</v>
      </c>
      <c r="U53" t="s">
        <v>108</v>
      </c>
      <c r="V53" t="s">
        <v>508</v>
      </c>
      <c r="W53" t="s">
        <v>405</v>
      </c>
      <c r="X53" t="s">
        <v>468</v>
      </c>
    </row>
    <row r="54" spans="2:24" x14ac:dyDescent="0.45">
      <c r="B54" t="s">
        <v>163</v>
      </c>
      <c r="C54">
        <v>4.6764852189117416</v>
      </c>
      <c r="D54">
        <v>447.70000000000005</v>
      </c>
      <c r="E54">
        <v>0.97558</v>
      </c>
      <c r="H54" t="s">
        <v>203</v>
      </c>
      <c r="I54" t="s">
        <v>187</v>
      </c>
      <c r="J54">
        <v>2.3066026286364038E-3</v>
      </c>
      <c r="K54" t="s">
        <v>185</v>
      </c>
      <c r="P54" t="s">
        <v>108</v>
      </c>
      <c r="Q54" t="s">
        <v>229</v>
      </c>
      <c r="R54" t="s">
        <v>404</v>
      </c>
      <c r="S54" t="s">
        <v>403</v>
      </c>
      <c r="U54" t="s">
        <v>108</v>
      </c>
      <c r="V54" t="s">
        <v>509</v>
      </c>
      <c r="W54" t="s">
        <v>405</v>
      </c>
      <c r="X54" t="s">
        <v>468</v>
      </c>
    </row>
    <row r="55" spans="2:24" x14ac:dyDescent="0.45">
      <c r="B55" t="s">
        <v>164</v>
      </c>
      <c r="C55">
        <v>3.902284488690567</v>
      </c>
      <c r="D55">
        <v>352</v>
      </c>
      <c r="E55">
        <v>0.98080000000000001</v>
      </c>
      <c r="H55" t="s">
        <v>204</v>
      </c>
      <c r="I55" t="s">
        <v>184</v>
      </c>
      <c r="J55">
        <v>1.5216613792951535E-2</v>
      </c>
      <c r="K55" t="s">
        <v>185</v>
      </c>
      <c r="P55" t="s">
        <v>108</v>
      </c>
      <c r="Q55" t="s">
        <v>230</v>
      </c>
      <c r="R55" t="s">
        <v>405</v>
      </c>
      <c r="S55" t="s">
        <v>403</v>
      </c>
      <c r="U55" t="s">
        <v>108</v>
      </c>
      <c r="V55" t="s">
        <v>510</v>
      </c>
      <c r="W55" t="s">
        <v>405</v>
      </c>
      <c r="X55" t="s">
        <v>468</v>
      </c>
    </row>
    <row r="56" spans="2:24" x14ac:dyDescent="0.45">
      <c r="B56" t="s">
        <v>165</v>
      </c>
      <c r="C56">
        <v>3.0968029208846977</v>
      </c>
      <c r="D56">
        <v>107.80000000000001</v>
      </c>
      <c r="E56">
        <v>0.99412</v>
      </c>
      <c r="H56" t="s">
        <v>204</v>
      </c>
      <c r="I56" t="s">
        <v>186</v>
      </c>
      <c r="J56">
        <v>1.5216613792951535E-2</v>
      </c>
      <c r="K56" t="s">
        <v>185</v>
      </c>
      <c r="P56" t="s">
        <v>108</v>
      </c>
      <c r="Q56" t="s">
        <v>231</v>
      </c>
      <c r="R56" t="s">
        <v>406</v>
      </c>
      <c r="S56" t="s">
        <v>403</v>
      </c>
      <c r="U56" t="s">
        <v>108</v>
      </c>
      <c r="V56" t="s">
        <v>511</v>
      </c>
      <c r="W56" t="s">
        <v>405</v>
      </c>
      <c r="X56" t="s">
        <v>468</v>
      </c>
    </row>
    <row r="57" spans="2:24" x14ac:dyDescent="0.45">
      <c r="B57" t="s">
        <v>166</v>
      </c>
      <c r="C57">
        <v>3.8710036511058719</v>
      </c>
      <c r="D57">
        <v>112.2</v>
      </c>
      <c r="E57">
        <v>0.99387999999999999</v>
      </c>
      <c r="H57" t="s">
        <v>204</v>
      </c>
      <c r="I57" t="s">
        <v>187</v>
      </c>
      <c r="J57">
        <v>1.5216613792951535E-2</v>
      </c>
      <c r="K57" t="s">
        <v>185</v>
      </c>
      <c r="P57" t="s">
        <v>108</v>
      </c>
      <c r="Q57" t="s">
        <v>232</v>
      </c>
      <c r="R57" t="s">
        <v>407</v>
      </c>
      <c r="S57" t="s">
        <v>403</v>
      </c>
      <c r="U57" t="s">
        <v>108</v>
      </c>
      <c r="V57" t="s">
        <v>512</v>
      </c>
      <c r="W57" t="s">
        <v>405</v>
      </c>
      <c r="X57" t="s">
        <v>468</v>
      </c>
    </row>
    <row r="58" spans="2:24" x14ac:dyDescent="0.45">
      <c r="B58" t="s">
        <v>167</v>
      </c>
      <c r="C58">
        <v>3.0968029208846977</v>
      </c>
      <c r="D58">
        <v>22</v>
      </c>
      <c r="E58">
        <v>0.99880000000000002</v>
      </c>
      <c r="H58" t="s">
        <v>205</v>
      </c>
      <c r="I58" t="s">
        <v>184</v>
      </c>
      <c r="J58">
        <v>2.30957499730552E-4</v>
      </c>
      <c r="K58" t="s">
        <v>185</v>
      </c>
      <c r="P58" t="s">
        <v>108</v>
      </c>
      <c r="Q58" t="s">
        <v>233</v>
      </c>
      <c r="R58" t="s">
        <v>408</v>
      </c>
      <c r="S58" t="s">
        <v>403</v>
      </c>
      <c r="U58" t="s">
        <v>108</v>
      </c>
      <c r="V58" t="s">
        <v>513</v>
      </c>
      <c r="W58" t="s">
        <v>405</v>
      </c>
      <c r="X58" t="s">
        <v>468</v>
      </c>
    </row>
    <row r="59" spans="2:24" x14ac:dyDescent="0.45">
      <c r="B59" t="s">
        <v>168</v>
      </c>
      <c r="C59">
        <v>3.8710036511058714</v>
      </c>
      <c r="D59">
        <v>116.60000000000001</v>
      </c>
      <c r="E59">
        <v>0.99363999999999997</v>
      </c>
      <c r="H59" t="s">
        <v>205</v>
      </c>
      <c r="I59" t="s">
        <v>186</v>
      </c>
      <c r="J59">
        <v>2.30957499730552E-4</v>
      </c>
      <c r="K59" t="s">
        <v>185</v>
      </c>
      <c r="P59" t="s">
        <v>108</v>
      </c>
      <c r="Q59" t="s">
        <v>234</v>
      </c>
      <c r="R59" t="s">
        <v>409</v>
      </c>
      <c r="S59" t="s">
        <v>403</v>
      </c>
      <c r="U59" t="s">
        <v>108</v>
      </c>
      <c r="V59" t="s">
        <v>513</v>
      </c>
      <c r="W59" t="s">
        <v>463</v>
      </c>
      <c r="X59" t="s">
        <v>468</v>
      </c>
    </row>
    <row r="60" spans="2:24" x14ac:dyDescent="0.45">
      <c r="B60" t="s">
        <v>169</v>
      </c>
      <c r="C60">
        <v>4.1290705611795966</v>
      </c>
      <c r="D60">
        <v>213.4</v>
      </c>
      <c r="E60">
        <v>0.98836000000000002</v>
      </c>
      <c r="H60" t="s">
        <v>205</v>
      </c>
      <c r="I60" t="s">
        <v>187</v>
      </c>
      <c r="J60">
        <v>2.30957499730552E-4</v>
      </c>
      <c r="K60" t="s">
        <v>185</v>
      </c>
      <c r="P60" t="s">
        <v>108</v>
      </c>
      <c r="Q60" t="s">
        <v>235</v>
      </c>
      <c r="R60" t="s">
        <v>410</v>
      </c>
      <c r="S60" t="s">
        <v>403</v>
      </c>
      <c r="U60" t="s">
        <v>108</v>
      </c>
      <c r="V60" t="s">
        <v>514</v>
      </c>
      <c r="W60" t="s">
        <v>405</v>
      </c>
      <c r="X60" t="s">
        <v>468</v>
      </c>
    </row>
    <row r="61" spans="2:24" x14ac:dyDescent="0.45">
      <c r="B61" t="s">
        <v>170</v>
      </c>
      <c r="C61">
        <v>1.9355018255529364</v>
      </c>
      <c r="D61">
        <v>181.50000000000003</v>
      </c>
      <c r="E61">
        <v>0.99009999999999998</v>
      </c>
      <c r="H61" t="s">
        <v>206</v>
      </c>
      <c r="I61" t="s">
        <v>184</v>
      </c>
      <c r="J61">
        <v>2.8729760172643598E-3</v>
      </c>
      <c r="K61" t="s">
        <v>185</v>
      </c>
      <c r="P61" t="s">
        <v>108</v>
      </c>
      <c r="Q61" t="s">
        <v>236</v>
      </c>
      <c r="R61" t="s">
        <v>411</v>
      </c>
      <c r="S61" t="s">
        <v>403</v>
      </c>
      <c r="U61" t="s">
        <v>108</v>
      </c>
      <c r="V61" t="s">
        <v>514</v>
      </c>
      <c r="W61" t="s">
        <v>463</v>
      </c>
      <c r="X61" t="s">
        <v>468</v>
      </c>
    </row>
    <row r="62" spans="2:24" x14ac:dyDescent="0.45">
      <c r="B62" t="s">
        <v>171</v>
      </c>
      <c r="C62">
        <v>1.5484014604423488</v>
      </c>
      <c r="D62">
        <v>647.90000000000009</v>
      </c>
      <c r="E62">
        <v>0.96465999999999996</v>
      </c>
      <c r="H62" t="s">
        <v>206</v>
      </c>
      <c r="I62" t="s">
        <v>186</v>
      </c>
      <c r="J62">
        <v>2.8729760172643598E-3</v>
      </c>
      <c r="K62" t="s">
        <v>185</v>
      </c>
      <c r="P62" t="s">
        <v>108</v>
      </c>
      <c r="Q62" t="s">
        <v>237</v>
      </c>
      <c r="R62" t="s">
        <v>412</v>
      </c>
      <c r="S62" t="s">
        <v>403</v>
      </c>
      <c r="U62" t="s">
        <v>108</v>
      </c>
      <c r="V62" t="s">
        <v>515</v>
      </c>
      <c r="W62" t="s">
        <v>405</v>
      </c>
      <c r="X62" t="s">
        <v>468</v>
      </c>
    </row>
    <row r="63" spans="2:24" x14ac:dyDescent="0.45">
      <c r="B63" t="s">
        <v>172</v>
      </c>
      <c r="C63">
        <v>2.5806691007372482</v>
      </c>
      <c r="D63">
        <v>187.00000000000003</v>
      </c>
      <c r="E63">
        <v>0.98980000000000001</v>
      </c>
      <c r="H63" t="s">
        <v>206</v>
      </c>
      <c r="I63" t="s">
        <v>187</v>
      </c>
      <c r="J63">
        <v>2.8729760172643598E-3</v>
      </c>
      <c r="K63" t="s">
        <v>185</v>
      </c>
      <c r="P63" t="s">
        <v>108</v>
      </c>
      <c r="Q63" t="s">
        <v>238</v>
      </c>
      <c r="R63" t="s">
        <v>413</v>
      </c>
      <c r="S63" t="s">
        <v>403</v>
      </c>
      <c r="U63" t="s">
        <v>108</v>
      </c>
      <c r="V63" t="s">
        <v>515</v>
      </c>
      <c r="W63" t="s">
        <v>463</v>
      </c>
      <c r="X63" t="s">
        <v>468</v>
      </c>
    </row>
    <row r="64" spans="2:24" x14ac:dyDescent="0.45">
      <c r="B64" t="s">
        <v>173</v>
      </c>
      <c r="C64">
        <v>1.2903345503686237</v>
      </c>
      <c r="D64">
        <v>463.1</v>
      </c>
      <c r="E64">
        <v>0.97474000000000005</v>
      </c>
      <c r="H64" t="s">
        <v>207</v>
      </c>
      <c r="I64" t="s">
        <v>184</v>
      </c>
      <c r="J64">
        <v>5.4564833273287441E-2</v>
      </c>
      <c r="K64" t="s">
        <v>185</v>
      </c>
      <c r="P64" t="s">
        <v>108</v>
      </c>
      <c r="Q64" t="s">
        <v>239</v>
      </c>
      <c r="R64" t="s">
        <v>414</v>
      </c>
      <c r="S64" t="s">
        <v>403</v>
      </c>
      <c r="U64" t="s">
        <v>108</v>
      </c>
      <c r="V64" t="s">
        <v>516</v>
      </c>
      <c r="W64" t="s">
        <v>463</v>
      </c>
      <c r="X64" t="s">
        <v>468</v>
      </c>
    </row>
    <row r="65" spans="2:24" x14ac:dyDescent="0.45">
      <c r="B65" t="s">
        <v>174</v>
      </c>
      <c r="C65">
        <v>3.0968029208846977</v>
      </c>
      <c r="D65">
        <v>370.70000000000005</v>
      </c>
      <c r="E65">
        <v>0.97977999999999998</v>
      </c>
      <c r="H65" t="s">
        <v>207</v>
      </c>
      <c r="I65" t="s">
        <v>186</v>
      </c>
      <c r="J65">
        <v>5.4564833273287441E-2</v>
      </c>
      <c r="K65" t="s">
        <v>185</v>
      </c>
      <c r="P65" t="s">
        <v>108</v>
      </c>
      <c r="Q65" t="s">
        <v>240</v>
      </c>
      <c r="R65" t="s">
        <v>415</v>
      </c>
      <c r="S65" t="s">
        <v>403</v>
      </c>
      <c r="U65" t="s">
        <v>108</v>
      </c>
      <c r="V65" t="s">
        <v>517</v>
      </c>
      <c r="W65" t="s">
        <v>463</v>
      </c>
      <c r="X65" t="s">
        <v>468</v>
      </c>
    </row>
    <row r="66" spans="2:24" x14ac:dyDescent="0.45">
      <c r="B66" t="s">
        <v>175</v>
      </c>
      <c r="C66">
        <v>1.5484014604423488</v>
      </c>
      <c r="D66">
        <v>192.50000000000003</v>
      </c>
      <c r="E66">
        <v>0.98950000000000005</v>
      </c>
      <c r="H66" t="s">
        <v>207</v>
      </c>
      <c r="I66" t="s">
        <v>187</v>
      </c>
      <c r="J66">
        <v>5.4564833273287441E-2</v>
      </c>
      <c r="K66" t="s">
        <v>185</v>
      </c>
      <c r="P66" t="s">
        <v>108</v>
      </c>
      <c r="Q66" t="s">
        <v>241</v>
      </c>
      <c r="R66" t="s">
        <v>416</v>
      </c>
      <c r="S66" t="s">
        <v>403</v>
      </c>
      <c r="U66" t="s">
        <v>108</v>
      </c>
      <c r="V66" t="s">
        <v>518</v>
      </c>
      <c r="W66" t="s">
        <v>463</v>
      </c>
      <c r="X66" t="s">
        <v>468</v>
      </c>
    </row>
    <row r="67" spans="2:24" x14ac:dyDescent="0.45">
      <c r="B67" t="s">
        <v>176</v>
      </c>
      <c r="C67">
        <v>0.77420073022117442</v>
      </c>
      <c r="D67">
        <v>112.2</v>
      </c>
      <c r="E67">
        <v>0.99387999999999999</v>
      </c>
      <c r="H67" t="s">
        <v>208</v>
      </c>
      <c r="I67" t="s">
        <v>184</v>
      </c>
      <c r="J67">
        <v>4.0187722894336501E-3</v>
      </c>
      <c r="K67" t="s">
        <v>185</v>
      </c>
      <c r="P67" t="s">
        <v>108</v>
      </c>
      <c r="Q67" t="s">
        <v>242</v>
      </c>
      <c r="R67" t="s">
        <v>417</v>
      </c>
      <c r="S67" t="s">
        <v>403</v>
      </c>
      <c r="U67" t="s">
        <v>108</v>
      </c>
      <c r="V67" t="s">
        <v>518</v>
      </c>
      <c r="W67" t="s">
        <v>405</v>
      </c>
      <c r="X67" t="s">
        <v>403</v>
      </c>
    </row>
    <row r="68" spans="2:24" x14ac:dyDescent="0.45">
      <c r="B68" t="s">
        <v>177</v>
      </c>
      <c r="C68">
        <v>0.77420073022117442</v>
      </c>
      <c r="D68">
        <v>151.80000000000001</v>
      </c>
      <c r="E68">
        <v>0.99172000000000005</v>
      </c>
      <c r="H68" t="s">
        <v>208</v>
      </c>
      <c r="I68" t="s">
        <v>186</v>
      </c>
      <c r="J68">
        <v>4.0187722894336501E-3</v>
      </c>
      <c r="K68" t="s">
        <v>185</v>
      </c>
      <c r="P68" t="s">
        <v>108</v>
      </c>
      <c r="Q68" t="s">
        <v>243</v>
      </c>
      <c r="R68" t="s">
        <v>418</v>
      </c>
      <c r="S68" t="s">
        <v>403</v>
      </c>
      <c r="U68" t="s">
        <v>108</v>
      </c>
      <c r="V68" t="s">
        <v>519</v>
      </c>
      <c r="W68" t="s">
        <v>463</v>
      </c>
      <c r="X68" t="s">
        <v>468</v>
      </c>
    </row>
    <row r="69" spans="2:24" x14ac:dyDescent="0.45">
      <c r="B69" t="s">
        <v>178</v>
      </c>
      <c r="C69">
        <v>1.2903345503686243</v>
      </c>
      <c r="D69">
        <v>273.90000000000003</v>
      </c>
      <c r="E69">
        <v>0.98506000000000005</v>
      </c>
      <c r="H69" t="s">
        <v>208</v>
      </c>
      <c r="I69" t="s">
        <v>187</v>
      </c>
      <c r="J69">
        <v>4.0187722894336501E-3</v>
      </c>
      <c r="K69" t="s">
        <v>185</v>
      </c>
      <c r="P69" t="s">
        <v>108</v>
      </c>
      <c r="Q69" t="s">
        <v>244</v>
      </c>
      <c r="R69" t="s">
        <v>419</v>
      </c>
      <c r="S69" t="s">
        <v>403</v>
      </c>
      <c r="U69" t="s">
        <v>108</v>
      </c>
      <c r="V69" t="s">
        <v>519</v>
      </c>
      <c r="W69" t="s">
        <v>405</v>
      </c>
      <c r="X69" t="s">
        <v>403</v>
      </c>
    </row>
    <row r="70" spans="2:24" x14ac:dyDescent="0.45">
      <c r="B70" t="s">
        <v>179</v>
      </c>
      <c r="C70">
        <v>0.77420073022117442</v>
      </c>
      <c r="D70">
        <v>125.4</v>
      </c>
      <c r="E70">
        <v>0.99316000000000004</v>
      </c>
      <c r="H70" t="s">
        <v>209</v>
      </c>
      <c r="I70" t="s">
        <v>184</v>
      </c>
      <c r="J70">
        <v>8.1949397353194356E-2</v>
      </c>
      <c r="K70" t="s">
        <v>185</v>
      </c>
      <c r="P70" t="s">
        <v>108</v>
      </c>
      <c r="Q70" t="s">
        <v>245</v>
      </c>
      <c r="R70" t="s">
        <v>420</v>
      </c>
      <c r="S70" t="s">
        <v>403</v>
      </c>
      <c r="U70" t="s">
        <v>108</v>
      </c>
      <c r="V70" t="s">
        <v>520</v>
      </c>
      <c r="W70" t="s">
        <v>406</v>
      </c>
      <c r="X70" t="s">
        <v>468</v>
      </c>
    </row>
    <row r="71" spans="2:24" x14ac:dyDescent="0.45">
      <c r="H71" t="s">
        <v>209</v>
      </c>
      <c r="I71" t="s">
        <v>186</v>
      </c>
      <c r="J71">
        <v>8.1949397353194356E-2</v>
      </c>
      <c r="K71" t="s">
        <v>185</v>
      </c>
      <c r="P71" t="s">
        <v>108</v>
      </c>
      <c r="Q71" t="s">
        <v>246</v>
      </c>
      <c r="R71" t="s">
        <v>421</v>
      </c>
      <c r="S71" t="s">
        <v>403</v>
      </c>
      <c r="U71" t="s">
        <v>108</v>
      </c>
      <c r="V71" t="s">
        <v>521</v>
      </c>
      <c r="W71" t="s">
        <v>406</v>
      </c>
      <c r="X71" t="s">
        <v>468</v>
      </c>
    </row>
    <row r="72" spans="2:24" x14ac:dyDescent="0.45">
      <c r="H72" t="s">
        <v>209</v>
      </c>
      <c r="I72" t="s">
        <v>187</v>
      </c>
      <c r="J72">
        <v>8.1949397353194356E-2</v>
      </c>
      <c r="K72" t="s">
        <v>185</v>
      </c>
      <c r="P72" t="s">
        <v>108</v>
      </c>
      <c r="Q72" t="s">
        <v>247</v>
      </c>
      <c r="R72" t="s">
        <v>422</v>
      </c>
      <c r="S72" t="s">
        <v>403</v>
      </c>
      <c r="U72" t="s">
        <v>108</v>
      </c>
      <c r="V72" t="s">
        <v>522</v>
      </c>
      <c r="W72" t="s">
        <v>406</v>
      </c>
      <c r="X72" t="s">
        <v>468</v>
      </c>
    </row>
    <row r="73" spans="2:24" x14ac:dyDescent="0.45">
      <c r="H73" t="s">
        <v>210</v>
      </c>
      <c r="I73" t="s">
        <v>184</v>
      </c>
      <c r="J73">
        <v>2.1394757816459021E-3</v>
      </c>
      <c r="K73" t="s">
        <v>185</v>
      </c>
      <c r="P73" t="s">
        <v>108</v>
      </c>
      <c r="Q73" t="s">
        <v>248</v>
      </c>
      <c r="R73" t="s">
        <v>423</v>
      </c>
      <c r="S73" t="s">
        <v>403</v>
      </c>
      <c r="U73" t="s">
        <v>108</v>
      </c>
      <c r="V73" t="s">
        <v>523</v>
      </c>
      <c r="W73" t="s">
        <v>406</v>
      </c>
      <c r="X73" t="s">
        <v>468</v>
      </c>
    </row>
    <row r="74" spans="2:24" x14ac:dyDescent="0.45">
      <c r="H74" t="s">
        <v>210</v>
      </c>
      <c r="I74" t="s">
        <v>186</v>
      </c>
      <c r="J74">
        <v>2.1394757816459021E-3</v>
      </c>
      <c r="K74" t="s">
        <v>185</v>
      </c>
      <c r="P74" t="s">
        <v>108</v>
      </c>
      <c r="Q74" t="s">
        <v>249</v>
      </c>
      <c r="R74" t="s">
        <v>424</v>
      </c>
      <c r="S74" t="s">
        <v>403</v>
      </c>
      <c r="U74" t="s">
        <v>108</v>
      </c>
      <c r="V74" t="s">
        <v>524</v>
      </c>
      <c r="W74" t="s">
        <v>406</v>
      </c>
      <c r="X74" t="s">
        <v>468</v>
      </c>
    </row>
    <row r="75" spans="2:24" x14ac:dyDescent="0.45">
      <c r="H75" t="s">
        <v>210</v>
      </c>
      <c r="I75" t="s">
        <v>187</v>
      </c>
      <c r="J75">
        <v>2.1394757816459021E-3</v>
      </c>
      <c r="K75" t="s">
        <v>185</v>
      </c>
      <c r="P75" t="s">
        <v>108</v>
      </c>
      <c r="Q75" t="s">
        <v>250</v>
      </c>
      <c r="R75" t="s">
        <v>425</v>
      </c>
      <c r="S75" t="s">
        <v>403</v>
      </c>
      <c r="U75" t="s">
        <v>108</v>
      </c>
      <c r="V75" t="s">
        <v>525</v>
      </c>
      <c r="W75" t="s">
        <v>406</v>
      </c>
      <c r="X75" t="s">
        <v>468</v>
      </c>
    </row>
    <row r="76" spans="2:24" x14ac:dyDescent="0.45">
      <c r="H76" t="s">
        <v>211</v>
      </c>
      <c r="I76" t="s">
        <v>184</v>
      </c>
      <c r="J76">
        <v>2.6110041465990746E-2</v>
      </c>
      <c r="K76" t="s">
        <v>185</v>
      </c>
      <c r="P76" t="s">
        <v>108</v>
      </c>
      <c r="Q76" t="s">
        <v>251</v>
      </c>
      <c r="R76" t="s">
        <v>426</v>
      </c>
      <c r="S76" t="s">
        <v>403</v>
      </c>
      <c r="U76" t="s">
        <v>108</v>
      </c>
      <c r="V76" t="s">
        <v>526</v>
      </c>
      <c r="W76" t="s">
        <v>406</v>
      </c>
      <c r="X76" t="s">
        <v>468</v>
      </c>
    </row>
    <row r="77" spans="2:24" x14ac:dyDescent="0.45">
      <c r="H77" t="s">
        <v>211</v>
      </c>
      <c r="I77" t="s">
        <v>186</v>
      </c>
      <c r="J77">
        <v>2.6110041465990746E-2</v>
      </c>
      <c r="K77" t="s">
        <v>185</v>
      </c>
      <c r="P77" t="s">
        <v>108</v>
      </c>
      <c r="Q77" t="s">
        <v>252</v>
      </c>
      <c r="R77" t="s">
        <v>427</v>
      </c>
      <c r="S77" t="s">
        <v>403</v>
      </c>
      <c r="U77" t="s">
        <v>108</v>
      </c>
      <c r="V77" t="s">
        <v>527</v>
      </c>
      <c r="W77" t="s">
        <v>406</v>
      </c>
      <c r="X77" t="s">
        <v>468</v>
      </c>
    </row>
    <row r="78" spans="2:24" x14ac:dyDescent="0.45">
      <c r="H78" t="s">
        <v>211</v>
      </c>
      <c r="I78" t="s">
        <v>187</v>
      </c>
      <c r="J78">
        <v>2.6110041465990746E-2</v>
      </c>
      <c r="K78" t="s">
        <v>185</v>
      </c>
      <c r="P78" t="s">
        <v>108</v>
      </c>
      <c r="Q78" t="s">
        <v>253</v>
      </c>
      <c r="R78" t="s">
        <v>428</v>
      </c>
      <c r="S78" t="s">
        <v>403</v>
      </c>
      <c r="U78" t="s">
        <v>108</v>
      </c>
      <c r="V78" t="s">
        <v>528</v>
      </c>
      <c r="W78" t="s">
        <v>406</v>
      </c>
      <c r="X78" t="s">
        <v>468</v>
      </c>
    </row>
    <row r="79" spans="2:24" x14ac:dyDescent="0.45">
      <c r="H79" t="s">
        <v>212</v>
      </c>
      <c r="I79" t="s">
        <v>184</v>
      </c>
      <c r="J79">
        <v>2.7516846158677402E-4</v>
      </c>
      <c r="K79" t="s">
        <v>185</v>
      </c>
      <c r="P79" t="s">
        <v>108</v>
      </c>
      <c r="Q79" t="s">
        <v>254</v>
      </c>
      <c r="R79" t="s">
        <v>429</v>
      </c>
      <c r="S79" t="s">
        <v>403</v>
      </c>
      <c r="U79" t="s">
        <v>108</v>
      </c>
      <c r="V79" t="s">
        <v>529</v>
      </c>
      <c r="W79" t="s">
        <v>406</v>
      </c>
      <c r="X79" t="s">
        <v>468</v>
      </c>
    </row>
    <row r="80" spans="2:24" x14ac:dyDescent="0.45">
      <c r="H80" t="s">
        <v>212</v>
      </c>
      <c r="I80" t="s">
        <v>186</v>
      </c>
      <c r="J80">
        <v>2.7516846158677402E-4</v>
      </c>
      <c r="K80" t="s">
        <v>185</v>
      </c>
      <c r="P80" t="s">
        <v>108</v>
      </c>
      <c r="Q80" t="s">
        <v>255</v>
      </c>
      <c r="R80" t="s">
        <v>430</v>
      </c>
      <c r="S80" t="s">
        <v>403</v>
      </c>
      <c r="U80" t="s">
        <v>108</v>
      </c>
      <c r="V80" t="s">
        <v>530</v>
      </c>
      <c r="W80" t="s">
        <v>406</v>
      </c>
      <c r="X80" t="s">
        <v>468</v>
      </c>
    </row>
    <row r="81" spans="8:24" x14ac:dyDescent="0.45">
      <c r="H81" t="s">
        <v>212</v>
      </c>
      <c r="I81" t="s">
        <v>187</v>
      </c>
      <c r="J81">
        <v>2.7516846158677402E-4</v>
      </c>
      <c r="K81" t="s">
        <v>185</v>
      </c>
      <c r="P81" t="s">
        <v>108</v>
      </c>
      <c r="Q81" t="s">
        <v>256</v>
      </c>
      <c r="R81" t="s">
        <v>431</v>
      </c>
      <c r="S81" t="s">
        <v>403</v>
      </c>
      <c r="U81" t="s">
        <v>108</v>
      </c>
      <c r="V81" t="s">
        <v>530</v>
      </c>
      <c r="W81" t="s">
        <v>458</v>
      </c>
      <c r="X81" t="s">
        <v>468</v>
      </c>
    </row>
    <row r="82" spans="8:24" x14ac:dyDescent="0.45">
      <c r="H82" t="s">
        <v>213</v>
      </c>
      <c r="I82" t="s">
        <v>184</v>
      </c>
      <c r="J82">
        <v>1.3769701841159041E-3</v>
      </c>
      <c r="K82" t="s">
        <v>185</v>
      </c>
      <c r="P82" t="s">
        <v>108</v>
      </c>
      <c r="Q82" t="s">
        <v>257</v>
      </c>
      <c r="R82" t="s">
        <v>432</v>
      </c>
      <c r="S82" t="s">
        <v>403</v>
      </c>
      <c r="U82" t="s">
        <v>108</v>
      </c>
      <c r="V82" t="s">
        <v>531</v>
      </c>
      <c r="W82" t="s">
        <v>406</v>
      </c>
      <c r="X82" t="s">
        <v>468</v>
      </c>
    </row>
    <row r="83" spans="8:24" x14ac:dyDescent="0.45">
      <c r="H83" t="s">
        <v>213</v>
      </c>
      <c r="I83" t="s">
        <v>186</v>
      </c>
      <c r="J83">
        <v>1.3769701841159041E-3</v>
      </c>
      <c r="K83" t="s">
        <v>185</v>
      </c>
      <c r="P83" t="s">
        <v>108</v>
      </c>
      <c r="Q83" t="s">
        <v>258</v>
      </c>
      <c r="R83" t="s">
        <v>433</v>
      </c>
      <c r="S83" t="s">
        <v>403</v>
      </c>
      <c r="U83" t="s">
        <v>108</v>
      </c>
      <c r="V83" t="s">
        <v>531</v>
      </c>
      <c r="W83" t="s">
        <v>458</v>
      </c>
      <c r="X83" t="s">
        <v>468</v>
      </c>
    </row>
    <row r="84" spans="8:24" x14ac:dyDescent="0.45">
      <c r="H84" t="s">
        <v>213</v>
      </c>
      <c r="I84" t="s">
        <v>187</v>
      </c>
      <c r="J84">
        <v>1.3769701841159041E-3</v>
      </c>
      <c r="K84" t="s">
        <v>185</v>
      </c>
      <c r="P84" t="s">
        <v>108</v>
      </c>
      <c r="Q84" t="s">
        <v>259</v>
      </c>
      <c r="R84" t="s">
        <v>434</v>
      </c>
      <c r="S84" t="s">
        <v>403</v>
      </c>
      <c r="U84" t="s">
        <v>108</v>
      </c>
      <c r="V84" t="s">
        <v>532</v>
      </c>
      <c r="W84" t="s">
        <v>406</v>
      </c>
      <c r="X84" t="s">
        <v>468</v>
      </c>
    </row>
    <row r="85" spans="8:24" x14ac:dyDescent="0.45">
      <c r="H85" t="s">
        <v>214</v>
      </c>
      <c r="I85" t="s">
        <v>184</v>
      </c>
      <c r="J85">
        <v>1.719067771431402E-3</v>
      </c>
      <c r="K85" t="s">
        <v>185</v>
      </c>
      <c r="P85" t="s">
        <v>108</v>
      </c>
      <c r="Q85" t="s">
        <v>260</v>
      </c>
      <c r="R85" t="s">
        <v>435</v>
      </c>
      <c r="S85" t="s">
        <v>403</v>
      </c>
      <c r="U85" t="s">
        <v>108</v>
      </c>
      <c r="V85" t="s">
        <v>532</v>
      </c>
      <c r="W85" t="s">
        <v>458</v>
      </c>
      <c r="X85" t="s">
        <v>468</v>
      </c>
    </row>
    <row r="86" spans="8:24" x14ac:dyDescent="0.45">
      <c r="H86" t="s">
        <v>214</v>
      </c>
      <c r="I86" t="s">
        <v>186</v>
      </c>
      <c r="J86">
        <v>1.719067771431402E-3</v>
      </c>
      <c r="K86" t="s">
        <v>185</v>
      </c>
      <c r="P86" t="s">
        <v>108</v>
      </c>
      <c r="Q86" t="s">
        <v>261</v>
      </c>
      <c r="R86" t="s">
        <v>436</v>
      </c>
      <c r="S86" t="s">
        <v>403</v>
      </c>
      <c r="U86" t="s">
        <v>108</v>
      </c>
      <c r="V86" t="s">
        <v>533</v>
      </c>
      <c r="W86" t="s">
        <v>458</v>
      </c>
      <c r="X86" t="s">
        <v>468</v>
      </c>
    </row>
    <row r="87" spans="8:24" x14ac:dyDescent="0.45">
      <c r="H87" t="s">
        <v>214</v>
      </c>
      <c r="I87" t="s">
        <v>187</v>
      </c>
      <c r="J87">
        <v>1.719067771431402E-3</v>
      </c>
      <c r="K87" t="s">
        <v>185</v>
      </c>
      <c r="P87" t="s">
        <v>108</v>
      </c>
      <c r="Q87" t="s">
        <v>262</v>
      </c>
      <c r="R87" t="s">
        <v>437</v>
      </c>
      <c r="S87" t="s">
        <v>403</v>
      </c>
      <c r="U87" t="s">
        <v>108</v>
      </c>
      <c r="V87" t="s">
        <v>534</v>
      </c>
      <c r="W87" t="s">
        <v>458</v>
      </c>
      <c r="X87" t="s">
        <v>468</v>
      </c>
    </row>
    <row r="88" spans="8:24" x14ac:dyDescent="0.45">
      <c r="H88" t="s">
        <v>215</v>
      </c>
      <c r="I88" t="s">
        <v>184</v>
      </c>
      <c r="J88">
        <v>3.6100415389131238E-3</v>
      </c>
      <c r="K88" t="s">
        <v>185</v>
      </c>
      <c r="P88" t="s">
        <v>108</v>
      </c>
      <c r="Q88" t="s">
        <v>263</v>
      </c>
      <c r="R88" t="s">
        <v>438</v>
      </c>
      <c r="S88" t="s">
        <v>403</v>
      </c>
      <c r="U88" t="s">
        <v>108</v>
      </c>
      <c r="V88" t="s">
        <v>535</v>
      </c>
      <c r="W88" t="s">
        <v>458</v>
      </c>
      <c r="X88" t="s">
        <v>468</v>
      </c>
    </row>
    <row r="89" spans="8:24" x14ac:dyDescent="0.45">
      <c r="H89" t="s">
        <v>215</v>
      </c>
      <c r="I89" t="s">
        <v>186</v>
      </c>
      <c r="J89">
        <v>3.6100415389131238E-3</v>
      </c>
      <c r="K89" t="s">
        <v>185</v>
      </c>
      <c r="P89" t="s">
        <v>108</v>
      </c>
      <c r="Q89" t="s">
        <v>264</v>
      </c>
      <c r="R89" t="s">
        <v>439</v>
      </c>
      <c r="S89" t="s">
        <v>403</v>
      </c>
      <c r="U89" t="s">
        <v>108</v>
      </c>
      <c r="V89" t="s">
        <v>535</v>
      </c>
      <c r="W89" t="s">
        <v>406</v>
      </c>
      <c r="X89" t="s">
        <v>403</v>
      </c>
    </row>
    <row r="90" spans="8:24" x14ac:dyDescent="0.45">
      <c r="H90" t="s">
        <v>215</v>
      </c>
      <c r="I90" t="s">
        <v>187</v>
      </c>
      <c r="J90">
        <v>3.6100415389131238E-3</v>
      </c>
      <c r="K90" t="s">
        <v>185</v>
      </c>
      <c r="P90" t="s">
        <v>108</v>
      </c>
      <c r="Q90" t="s">
        <v>265</v>
      </c>
      <c r="R90" t="s">
        <v>440</v>
      </c>
      <c r="S90" t="s">
        <v>403</v>
      </c>
      <c r="U90" t="s">
        <v>108</v>
      </c>
      <c r="V90" t="s">
        <v>536</v>
      </c>
      <c r="W90" t="s">
        <v>458</v>
      </c>
      <c r="X90" t="s">
        <v>468</v>
      </c>
    </row>
    <row r="91" spans="8:24" x14ac:dyDescent="0.45">
      <c r="H91" t="s">
        <v>216</v>
      </c>
      <c r="I91" t="s">
        <v>184</v>
      </c>
      <c r="J91">
        <v>7.8980458320231995E-4</v>
      </c>
      <c r="K91" t="s">
        <v>185</v>
      </c>
      <c r="P91" t="s">
        <v>108</v>
      </c>
      <c r="Q91" t="s">
        <v>266</v>
      </c>
      <c r="R91" t="s">
        <v>441</v>
      </c>
      <c r="S91" t="s">
        <v>403</v>
      </c>
      <c r="U91" t="s">
        <v>108</v>
      </c>
      <c r="V91" t="s">
        <v>536</v>
      </c>
      <c r="W91" t="s">
        <v>406</v>
      </c>
      <c r="X91" t="s">
        <v>403</v>
      </c>
    </row>
    <row r="92" spans="8:24" x14ac:dyDescent="0.45">
      <c r="H92" t="s">
        <v>216</v>
      </c>
      <c r="I92" t="s">
        <v>186</v>
      </c>
      <c r="J92">
        <v>7.8980458320231995E-4</v>
      </c>
      <c r="K92" t="s">
        <v>185</v>
      </c>
      <c r="P92" t="s">
        <v>108</v>
      </c>
      <c r="Q92" t="s">
        <v>267</v>
      </c>
      <c r="R92" t="s">
        <v>442</v>
      </c>
      <c r="S92" t="s">
        <v>403</v>
      </c>
      <c r="U92" t="s">
        <v>108</v>
      </c>
      <c r="V92" t="s">
        <v>537</v>
      </c>
      <c r="W92" t="s">
        <v>407</v>
      </c>
      <c r="X92" t="s">
        <v>468</v>
      </c>
    </row>
    <row r="93" spans="8:24" x14ac:dyDescent="0.45">
      <c r="H93" t="s">
        <v>216</v>
      </c>
      <c r="I93" t="s">
        <v>187</v>
      </c>
      <c r="J93">
        <v>7.8980458320231995E-4</v>
      </c>
      <c r="K93" t="s">
        <v>185</v>
      </c>
      <c r="P93" t="s">
        <v>108</v>
      </c>
      <c r="Q93" t="s">
        <v>268</v>
      </c>
      <c r="R93" t="s">
        <v>443</v>
      </c>
      <c r="S93" t="s">
        <v>403</v>
      </c>
      <c r="U93" t="s">
        <v>108</v>
      </c>
      <c r="V93" t="s">
        <v>538</v>
      </c>
      <c r="W93" t="s">
        <v>407</v>
      </c>
      <c r="X93" t="s">
        <v>468</v>
      </c>
    </row>
    <row r="94" spans="8:24" x14ac:dyDescent="0.45">
      <c r="H94" t="s">
        <v>217</v>
      </c>
      <c r="I94" t="s">
        <v>184</v>
      </c>
      <c r="J94">
        <v>5.5002991205177539E-3</v>
      </c>
      <c r="K94" t="s">
        <v>185</v>
      </c>
      <c r="P94" t="s">
        <v>108</v>
      </c>
      <c r="Q94" t="s">
        <v>360</v>
      </c>
      <c r="R94" t="s">
        <v>444</v>
      </c>
      <c r="S94" t="s">
        <v>403</v>
      </c>
      <c r="U94" t="s">
        <v>108</v>
      </c>
      <c r="V94" t="s">
        <v>539</v>
      </c>
      <c r="W94" t="s">
        <v>407</v>
      </c>
      <c r="X94" t="s">
        <v>468</v>
      </c>
    </row>
    <row r="95" spans="8:24" x14ac:dyDescent="0.45">
      <c r="H95" t="s">
        <v>217</v>
      </c>
      <c r="I95" t="s">
        <v>186</v>
      </c>
      <c r="J95">
        <v>5.5002991205177539E-3</v>
      </c>
      <c r="K95" t="s">
        <v>185</v>
      </c>
      <c r="P95" t="s">
        <v>108</v>
      </c>
      <c r="Q95" t="s">
        <v>361</v>
      </c>
      <c r="R95" t="s">
        <v>445</v>
      </c>
      <c r="S95" t="s">
        <v>403</v>
      </c>
      <c r="U95" t="s">
        <v>108</v>
      </c>
      <c r="V95" t="s">
        <v>540</v>
      </c>
      <c r="W95" t="s">
        <v>407</v>
      </c>
      <c r="X95" t="s">
        <v>468</v>
      </c>
    </row>
    <row r="96" spans="8:24" x14ac:dyDescent="0.45">
      <c r="H96" t="s">
        <v>217</v>
      </c>
      <c r="I96" t="s">
        <v>187</v>
      </c>
      <c r="J96">
        <v>5.5002991205177539E-3</v>
      </c>
      <c r="K96" t="s">
        <v>185</v>
      </c>
      <c r="P96" t="s">
        <v>108</v>
      </c>
      <c r="Q96" t="s">
        <v>362</v>
      </c>
      <c r="R96" t="s">
        <v>446</v>
      </c>
      <c r="S96" t="s">
        <v>403</v>
      </c>
      <c r="U96" t="s">
        <v>108</v>
      </c>
      <c r="V96" t="s">
        <v>541</v>
      </c>
      <c r="W96" t="s">
        <v>407</v>
      </c>
      <c r="X96" t="s">
        <v>468</v>
      </c>
    </row>
    <row r="97" spans="8:24" x14ac:dyDescent="0.45">
      <c r="H97" t="s">
        <v>218</v>
      </c>
      <c r="I97" t="s">
        <v>184</v>
      </c>
      <c r="J97">
        <v>1.421550514785919E-2</v>
      </c>
      <c r="K97" t="s">
        <v>185</v>
      </c>
      <c r="P97" t="s">
        <v>108</v>
      </c>
      <c r="Q97" t="s">
        <v>363</v>
      </c>
      <c r="R97" t="s">
        <v>447</v>
      </c>
      <c r="S97" t="s">
        <v>403</v>
      </c>
      <c r="U97" t="s">
        <v>108</v>
      </c>
      <c r="V97" t="s">
        <v>542</v>
      </c>
      <c r="W97" t="s">
        <v>407</v>
      </c>
      <c r="X97" t="s">
        <v>468</v>
      </c>
    </row>
    <row r="98" spans="8:24" x14ac:dyDescent="0.45">
      <c r="H98" t="s">
        <v>218</v>
      </c>
      <c r="I98" t="s">
        <v>186</v>
      </c>
      <c r="J98">
        <v>1.421550514785919E-2</v>
      </c>
      <c r="K98" t="s">
        <v>185</v>
      </c>
      <c r="P98" t="s">
        <v>108</v>
      </c>
      <c r="Q98" t="s">
        <v>364</v>
      </c>
      <c r="R98" t="s">
        <v>448</v>
      </c>
      <c r="S98" t="s">
        <v>403</v>
      </c>
      <c r="U98" t="s">
        <v>108</v>
      </c>
      <c r="V98" t="s">
        <v>543</v>
      </c>
      <c r="W98" t="s">
        <v>407</v>
      </c>
      <c r="X98" t="s">
        <v>468</v>
      </c>
    </row>
    <row r="99" spans="8:24" x14ac:dyDescent="0.45">
      <c r="H99" t="s">
        <v>218</v>
      </c>
      <c r="I99" t="s">
        <v>187</v>
      </c>
      <c r="J99">
        <v>1.421550514785919E-2</v>
      </c>
      <c r="K99" t="s">
        <v>185</v>
      </c>
      <c r="P99" t="s">
        <v>108</v>
      </c>
      <c r="Q99" t="s">
        <v>365</v>
      </c>
      <c r="R99" t="s">
        <v>449</v>
      </c>
      <c r="S99" t="s">
        <v>403</v>
      </c>
      <c r="U99" t="s">
        <v>108</v>
      </c>
      <c r="V99" t="s">
        <v>544</v>
      </c>
      <c r="W99" t="s">
        <v>407</v>
      </c>
      <c r="X99" t="s">
        <v>468</v>
      </c>
    </row>
    <row r="100" spans="8:24" x14ac:dyDescent="0.45">
      <c r="H100" t="s">
        <v>219</v>
      </c>
      <c r="I100" t="s">
        <v>184</v>
      </c>
      <c r="J100">
        <v>8.8684804002168854E-2</v>
      </c>
      <c r="K100" t="s">
        <v>185</v>
      </c>
      <c r="P100" t="s">
        <v>108</v>
      </c>
      <c r="Q100" t="s">
        <v>366</v>
      </c>
      <c r="R100" t="s">
        <v>450</v>
      </c>
      <c r="S100" t="s">
        <v>403</v>
      </c>
      <c r="U100" t="s">
        <v>108</v>
      </c>
      <c r="V100" t="s">
        <v>545</v>
      </c>
      <c r="W100" t="s">
        <v>407</v>
      </c>
      <c r="X100" t="s">
        <v>468</v>
      </c>
    </row>
    <row r="101" spans="8:24" x14ac:dyDescent="0.45">
      <c r="H101" t="s">
        <v>219</v>
      </c>
      <c r="I101" t="s">
        <v>186</v>
      </c>
      <c r="J101">
        <v>8.8684804002168854E-2</v>
      </c>
      <c r="K101" t="s">
        <v>185</v>
      </c>
      <c r="P101" t="s">
        <v>108</v>
      </c>
      <c r="Q101" t="s">
        <v>367</v>
      </c>
      <c r="R101" t="s">
        <v>451</v>
      </c>
      <c r="S101" t="s">
        <v>403</v>
      </c>
      <c r="U101" t="s">
        <v>108</v>
      </c>
      <c r="V101" t="s">
        <v>546</v>
      </c>
      <c r="W101" t="s">
        <v>407</v>
      </c>
      <c r="X101" t="s">
        <v>468</v>
      </c>
    </row>
    <row r="102" spans="8:24" x14ac:dyDescent="0.45">
      <c r="H102" t="s">
        <v>219</v>
      </c>
      <c r="I102" t="s">
        <v>187</v>
      </c>
      <c r="J102">
        <v>8.8684804002168854E-2</v>
      </c>
      <c r="K102" t="s">
        <v>185</v>
      </c>
      <c r="P102" t="s">
        <v>108</v>
      </c>
      <c r="Q102" t="s">
        <v>269</v>
      </c>
      <c r="R102" t="s">
        <v>402</v>
      </c>
      <c r="S102" t="s">
        <v>403</v>
      </c>
      <c r="U102" t="s">
        <v>108</v>
      </c>
      <c r="V102" t="s">
        <v>547</v>
      </c>
      <c r="W102" t="s">
        <v>407</v>
      </c>
      <c r="X102" t="s">
        <v>468</v>
      </c>
    </row>
    <row r="103" spans="8:24" x14ac:dyDescent="0.45">
      <c r="H103" t="s">
        <v>220</v>
      </c>
      <c r="I103" t="s">
        <v>184</v>
      </c>
      <c r="J103">
        <v>6.8139620944732814E-3</v>
      </c>
      <c r="K103" t="s">
        <v>185</v>
      </c>
      <c r="P103" t="s">
        <v>108</v>
      </c>
      <c r="Q103" t="s">
        <v>270</v>
      </c>
      <c r="R103" t="s">
        <v>404</v>
      </c>
      <c r="S103" t="s">
        <v>403</v>
      </c>
      <c r="U103" t="s">
        <v>108</v>
      </c>
      <c r="V103" t="s">
        <v>547</v>
      </c>
      <c r="W103" t="s">
        <v>548</v>
      </c>
      <c r="X103" t="s">
        <v>468</v>
      </c>
    </row>
    <row r="104" spans="8:24" x14ac:dyDescent="0.45">
      <c r="H104" t="s">
        <v>220</v>
      </c>
      <c r="I104" t="s">
        <v>186</v>
      </c>
      <c r="J104">
        <v>6.8139620944732814E-3</v>
      </c>
      <c r="K104" t="s">
        <v>185</v>
      </c>
      <c r="P104" t="s">
        <v>108</v>
      </c>
      <c r="Q104" t="s">
        <v>271</v>
      </c>
      <c r="R104" t="s">
        <v>405</v>
      </c>
      <c r="S104" t="s">
        <v>403</v>
      </c>
      <c r="U104" t="s">
        <v>108</v>
      </c>
      <c r="V104" t="s">
        <v>549</v>
      </c>
      <c r="W104" t="s">
        <v>407</v>
      </c>
      <c r="X104" t="s">
        <v>468</v>
      </c>
    </row>
    <row r="105" spans="8:24" x14ac:dyDescent="0.45">
      <c r="H105" t="s">
        <v>220</v>
      </c>
      <c r="I105" t="s">
        <v>187</v>
      </c>
      <c r="J105">
        <v>6.8139620944732814E-3</v>
      </c>
      <c r="K105" t="s">
        <v>185</v>
      </c>
      <c r="P105" t="s">
        <v>108</v>
      </c>
      <c r="Q105" t="s">
        <v>272</v>
      </c>
      <c r="R105" t="s">
        <v>406</v>
      </c>
      <c r="S105" t="s">
        <v>403</v>
      </c>
      <c r="U105" t="s">
        <v>108</v>
      </c>
      <c r="V105" t="s">
        <v>549</v>
      </c>
      <c r="W105" t="s">
        <v>548</v>
      </c>
      <c r="X105" t="s">
        <v>468</v>
      </c>
    </row>
    <row r="106" spans="8:24" x14ac:dyDescent="0.45">
      <c r="H106" t="s">
        <v>221</v>
      </c>
      <c r="I106" t="s">
        <v>184</v>
      </c>
      <c r="J106">
        <v>8.2197613296771006E-4</v>
      </c>
      <c r="K106" t="s">
        <v>185</v>
      </c>
      <c r="P106" t="s">
        <v>108</v>
      </c>
      <c r="Q106" t="s">
        <v>273</v>
      </c>
      <c r="R106" t="s">
        <v>407</v>
      </c>
      <c r="S106" t="s">
        <v>403</v>
      </c>
      <c r="U106" t="s">
        <v>108</v>
      </c>
      <c r="V106" t="s">
        <v>550</v>
      </c>
      <c r="W106" t="s">
        <v>407</v>
      </c>
      <c r="X106" t="s">
        <v>468</v>
      </c>
    </row>
    <row r="107" spans="8:24" x14ac:dyDescent="0.45">
      <c r="H107" t="s">
        <v>221</v>
      </c>
      <c r="I107" t="s">
        <v>186</v>
      </c>
      <c r="J107">
        <v>8.2197613296771006E-4</v>
      </c>
      <c r="K107" t="s">
        <v>185</v>
      </c>
      <c r="P107" t="s">
        <v>108</v>
      </c>
      <c r="Q107" t="s">
        <v>274</v>
      </c>
      <c r="R107" t="s">
        <v>408</v>
      </c>
      <c r="S107" t="s">
        <v>403</v>
      </c>
      <c r="U107" t="s">
        <v>108</v>
      </c>
      <c r="V107" t="s">
        <v>550</v>
      </c>
      <c r="W107" t="s">
        <v>548</v>
      </c>
      <c r="X107" t="s">
        <v>468</v>
      </c>
    </row>
    <row r="108" spans="8:24" x14ac:dyDescent="0.45">
      <c r="H108" t="s">
        <v>221</v>
      </c>
      <c r="I108" t="s">
        <v>187</v>
      </c>
      <c r="J108">
        <v>8.2197613296771006E-4</v>
      </c>
      <c r="K108" t="s">
        <v>185</v>
      </c>
      <c r="P108" t="s">
        <v>108</v>
      </c>
      <c r="Q108" t="s">
        <v>275</v>
      </c>
      <c r="R108" t="s">
        <v>409</v>
      </c>
      <c r="S108" t="s">
        <v>403</v>
      </c>
      <c r="U108" t="s">
        <v>108</v>
      </c>
      <c r="V108" t="s">
        <v>551</v>
      </c>
      <c r="W108" t="s">
        <v>548</v>
      </c>
      <c r="X108" t="s">
        <v>468</v>
      </c>
    </row>
    <row r="109" spans="8:24" x14ac:dyDescent="0.45">
      <c r="H109" t="s">
        <v>222</v>
      </c>
      <c r="I109" t="s">
        <v>184</v>
      </c>
      <c r="J109">
        <v>6.0243632321120399E-2</v>
      </c>
      <c r="K109" t="s">
        <v>185</v>
      </c>
      <c r="P109" t="s">
        <v>108</v>
      </c>
      <c r="Q109" t="s">
        <v>276</v>
      </c>
      <c r="R109" t="s">
        <v>410</v>
      </c>
      <c r="S109" t="s">
        <v>403</v>
      </c>
      <c r="U109" t="s">
        <v>108</v>
      </c>
      <c r="V109" t="s">
        <v>552</v>
      </c>
      <c r="W109" t="s">
        <v>548</v>
      </c>
      <c r="X109" t="s">
        <v>468</v>
      </c>
    </row>
    <row r="110" spans="8:24" x14ac:dyDescent="0.45">
      <c r="H110" t="s">
        <v>222</v>
      </c>
      <c r="I110" t="s">
        <v>186</v>
      </c>
      <c r="J110">
        <v>6.0243632321120399E-2</v>
      </c>
      <c r="K110" t="s">
        <v>185</v>
      </c>
      <c r="P110" t="s">
        <v>108</v>
      </c>
      <c r="Q110" t="s">
        <v>277</v>
      </c>
      <c r="R110" t="s">
        <v>411</v>
      </c>
      <c r="S110" t="s">
        <v>403</v>
      </c>
      <c r="U110" t="s">
        <v>108</v>
      </c>
      <c r="V110" t="s">
        <v>553</v>
      </c>
      <c r="W110" t="s">
        <v>548</v>
      </c>
      <c r="X110" t="s">
        <v>468</v>
      </c>
    </row>
    <row r="111" spans="8:24" x14ac:dyDescent="0.45">
      <c r="H111" t="s">
        <v>222</v>
      </c>
      <c r="I111" t="s">
        <v>187</v>
      </c>
      <c r="J111">
        <v>6.0243632321120399E-2</v>
      </c>
      <c r="K111" t="s">
        <v>185</v>
      </c>
      <c r="P111" t="s">
        <v>108</v>
      </c>
      <c r="Q111" t="s">
        <v>278</v>
      </c>
      <c r="R111" t="s">
        <v>412</v>
      </c>
      <c r="S111" t="s">
        <v>403</v>
      </c>
      <c r="U111" t="s">
        <v>108</v>
      </c>
      <c r="V111" t="s">
        <v>553</v>
      </c>
      <c r="W111" t="s">
        <v>407</v>
      </c>
      <c r="X111" t="s">
        <v>403</v>
      </c>
    </row>
    <row r="112" spans="8:24" x14ac:dyDescent="0.45">
      <c r="H112" t="s">
        <v>223</v>
      </c>
      <c r="I112" t="s">
        <v>184</v>
      </c>
      <c r="J112">
        <v>2.0262038649744473E-2</v>
      </c>
      <c r="K112" t="s">
        <v>185</v>
      </c>
      <c r="P112" t="s">
        <v>108</v>
      </c>
      <c r="Q112" t="s">
        <v>279</v>
      </c>
      <c r="R112" t="s">
        <v>413</v>
      </c>
      <c r="S112" t="s">
        <v>403</v>
      </c>
      <c r="U112" t="s">
        <v>108</v>
      </c>
      <c r="V112" t="s">
        <v>554</v>
      </c>
      <c r="W112" t="s">
        <v>548</v>
      </c>
      <c r="X112" t="s">
        <v>468</v>
      </c>
    </row>
    <row r="113" spans="8:24" x14ac:dyDescent="0.45">
      <c r="H113" t="s">
        <v>223</v>
      </c>
      <c r="I113" t="s">
        <v>186</v>
      </c>
      <c r="J113">
        <v>2.0262038649744473E-2</v>
      </c>
      <c r="K113" t="s">
        <v>185</v>
      </c>
      <c r="P113" t="s">
        <v>108</v>
      </c>
      <c r="Q113" t="s">
        <v>280</v>
      </c>
      <c r="R113" t="s">
        <v>414</v>
      </c>
      <c r="S113" t="s">
        <v>403</v>
      </c>
      <c r="U113" t="s">
        <v>108</v>
      </c>
      <c r="V113" t="s">
        <v>554</v>
      </c>
      <c r="W113" t="s">
        <v>407</v>
      </c>
      <c r="X113" t="s">
        <v>403</v>
      </c>
    </row>
    <row r="114" spans="8:24" x14ac:dyDescent="0.45">
      <c r="H114" t="s">
        <v>223</v>
      </c>
      <c r="I114" t="s">
        <v>187</v>
      </c>
      <c r="J114">
        <v>2.0262038649744473E-2</v>
      </c>
      <c r="K114" t="s">
        <v>185</v>
      </c>
      <c r="P114" t="s">
        <v>108</v>
      </c>
      <c r="Q114" t="s">
        <v>281</v>
      </c>
      <c r="R114" t="s">
        <v>415</v>
      </c>
      <c r="S114" t="s">
        <v>403</v>
      </c>
      <c r="U114" t="s">
        <v>108</v>
      </c>
      <c r="V114" t="s">
        <v>555</v>
      </c>
      <c r="W114" t="s">
        <v>408</v>
      </c>
      <c r="X114" t="s">
        <v>468</v>
      </c>
    </row>
    <row r="115" spans="8:24" x14ac:dyDescent="0.45">
      <c r="H115" t="s">
        <v>224</v>
      </c>
      <c r="I115" t="s">
        <v>184</v>
      </c>
      <c r="J115">
        <v>5.0279390308648739E-2</v>
      </c>
      <c r="K115" t="s">
        <v>185</v>
      </c>
      <c r="P115" t="s">
        <v>108</v>
      </c>
      <c r="Q115" t="s">
        <v>282</v>
      </c>
      <c r="R115" t="s">
        <v>416</v>
      </c>
      <c r="S115" t="s">
        <v>403</v>
      </c>
      <c r="U115" t="s">
        <v>108</v>
      </c>
      <c r="V115" t="s">
        <v>556</v>
      </c>
      <c r="W115" t="s">
        <v>408</v>
      </c>
      <c r="X115" t="s">
        <v>468</v>
      </c>
    </row>
    <row r="116" spans="8:24" x14ac:dyDescent="0.45">
      <c r="H116" t="s">
        <v>224</v>
      </c>
      <c r="I116" t="s">
        <v>186</v>
      </c>
      <c r="J116">
        <v>5.0279390308648739E-2</v>
      </c>
      <c r="K116" t="s">
        <v>185</v>
      </c>
      <c r="P116" t="s">
        <v>108</v>
      </c>
      <c r="Q116" t="s">
        <v>283</v>
      </c>
      <c r="R116" t="s">
        <v>417</v>
      </c>
      <c r="S116" t="s">
        <v>403</v>
      </c>
      <c r="U116" t="s">
        <v>108</v>
      </c>
      <c r="V116" t="s">
        <v>557</v>
      </c>
      <c r="W116" t="s">
        <v>408</v>
      </c>
      <c r="X116" t="s">
        <v>468</v>
      </c>
    </row>
    <row r="117" spans="8:24" x14ac:dyDescent="0.45">
      <c r="H117" t="s">
        <v>224</v>
      </c>
      <c r="I117" t="s">
        <v>187</v>
      </c>
      <c r="J117">
        <v>5.0279390308648739E-2</v>
      </c>
      <c r="K117" t="s">
        <v>185</v>
      </c>
      <c r="P117" t="s">
        <v>108</v>
      </c>
      <c r="Q117" t="s">
        <v>284</v>
      </c>
      <c r="R117" t="s">
        <v>418</v>
      </c>
      <c r="S117" t="s">
        <v>403</v>
      </c>
      <c r="U117" t="s">
        <v>108</v>
      </c>
      <c r="V117" t="s">
        <v>558</v>
      </c>
      <c r="W117" t="s">
        <v>408</v>
      </c>
      <c r="X117" t="s">
        <v>468</v>
      </c>
    </row>
    <row r="118" spans="8:24" x14ac:dyDescent="0.45">
      <c r="H118" t="s">
        <v>225</v>
      </c>
      <c r="I118" t="s">
        <v>184</v>
      </c>
      <c r="J118">
        <v>9.649607985919061E-3</v>
      </c>
      <c r="K118" t="s">
        <v>185</v>
      </c>
      <c r="P118" t="s">
        <v>108</v>
      </c>
      <c r="Q118" t="s">
        <v>285</v>
      </c>
      <c r="R118" t="s">
        <v>419</v>
      </c>
      <c r="S118" t="s">
        <v>403</v>
      </c>
      <c r="U118" t="s">
        <v>108</v>
      </c>
      <c r="V118" t="s">
        <v>559</v>
      </c>
      <c r="W118" t="s">
        <v>408</v>
      </c>
      <c r="X118" t="s">
        <v>468</v>
      </c>
    </row>
    <row r="119" spans="8:24" x14ac:dyDescent="0.45">
      <c r="H119" t="s">
        <v>225</v>
      </c>
      <c r="I119" t="s">
        <v>186</v>
      </c>
      <c r="J119">
        <v>9.649607985919061E-3</v>
      </c>
      <c r="K119" t="s">
        <v>185</v>
      </c>
      <c r="P119" t="s">
        <v>108</v>
      </c>
      <c r="Q119" t="s">
        <v>286</v>
      </c>
      <c r="R119" t="s">
        <v>420</v>
      </c>
      <c r="S119" t="s">
        <v>403</v>
      </c>
      <c r="U119" t="s">
        <v>108</v>
      </c>
      <c r="V119" t="s">
        <v>560</v>
      </c>
      <c r="W119" t="s">
        <v>408</v>
      </c>
      <c r="X119" t="s">
        <v>468</v>
      </c>
    </row>
    <row r="120" spans="8:24" x14ac:dyDescent="0.45">
      <c r="H120" t="s">
        <v>225</v>
      </c>
      <c r="I120" t="s">
        <v>187</v>
      </c>
      <c r="J120">
        <v>9.649607985919061E-3</v>
      </c>
      <c r="K120" t="s">
        <v>185</v>
      </c>
      <c r="P120" t="s">
        <v>108</v>
      </c>
      <c r="Q120" t="s">
        <v>287</v>
      </c>
      <c r="R120" t="s">
        <v>421</v>
      </c>
      <c r="S120" t="s">
        <v>403</v>
      </c>
      <c r="U120" t="s">
        <v>108</v>
      </c>
      <c r="V120" t="s">
        <v>561</v>
      </c>
      <c r="W120" t="s">
        <v>408</v>
      </c>
      <c r="X120" t="s">
        <v>468</v>
      </c>
    </row>
    <row r="121" spans="8:24" x14ac:dyDescent="0.45">
      <c r="H121" t="s">
        <v>226</v>
      </c>
      <c r="I121" t="s">
        <v>184</v>
      </c>
      <c r="J121">
        <v>5.1510690027018035E-3</v>
      </c>
      <c r="K121" t="s">
        <v>185</v>
      </c>
      <c r="P121" t="s">
        <v>108</v>
      </c>
      <c r="Q121" t="s">
        <v>288</v>
      </c>
      <c r="R121" t="s">
        <v>422</v>
      </c>
      <c r="S121" t="s">
        <v>403</v>
      </c>
      <c r="U121" t="s">
        <v>108</v>
      </c>
      <c r="V121" t="s">
        <v>562</v>
      </c>
      <c r="W121" t="s">
        <v>408</v>
      </c>
      <c r="X121" t="s">
        <v>468</v>
      </c>
    </row>
    <row r="122" spans="8:24" x14ac:dyDescent="0.45">
      <c r="H122" t="s">
        <v>226</v>
      </c>
      <c r="I122" t="s">
        <v>186</v>
      </c>
      <c r="J122">
        <v>5.1510690027018035E-3</v>
      </c>
      <c r="K122" t="s">
        <v>185</v>
      </c>
      <c r="P122" t="s">
        <v>108</v>
      </c>
      <c r="Q122" t="s">
        <v>289</v>
      </c>
      <c r="R122" t="s">
        <v>423</v>
      </c>
      <c r="S122" t="s">
        <v>403</v>
      </c>
      <c r="U122" t="s">
        <v>108</v>
      </c>
      <c r="V122" t="s">
        <v>563</v>
      </c>
      <c r="W122" t="s">
        <v>408</v>
      </c>
      <c r="X122" t="s">
        <v>468</v>
      </c>
    </row>
    <row r="123" spans="8:24" x14ac:dyDescent="0.45">
      <c r="H123" t="s">
        <v>226</v>
      </c>
      <c r="I123" t="s">
        <v>187</v>
      </c>
      <c r="J123">
        <v>5.1510690027018035E-3</v>
      </c>
      <c r="K123" t="s">
        <v>185</v>
      </c>
      <c r="P123" t="s">
        <v>108</v>
      </c>
      <c r="Q123" t="s">
        <v>290</v>
      </c>
      <c r="R123" t="s">
        <v>424</v>
      </c>
      <c r="S123" t="s">
        <v>403</v>
      </c>
      <c r="U123" t="s">
        <v>108</v>
      </c>
      <c r="V123" t="s">
        <v>564</v>
      </c>
      <c r="W123" t="s">
        <v>408</v>
      </c>
      <c r="X123" t="s">
        <v>468</v>
      </c>
    </row>
    <row r="124" spans="8:24" x14ac:dyDescent="0.45">
      <c r="H124" t="s">
        <v>227</v>
      </c>
      <c r="I124" t="s">
        <v>184</v>
      </c>
      <c r="J124">
        <v>1.4317500235433219E-3</v>
      </c>
      <c r="K124" t="s">
        <v>185</v>
      </c>
      <c r="P124" t="s">
        <v>108</v>
      </c>
      <c r="Q124" t="s">
        <v>291</v>
      </c>
      <c r="R124" t="s">
        <v>425</v>
      </c>
      <c r="S124" t="s">
        <v>403</v>
      </c>
      <c r="U124" t="s">
        <v>108</v>
      </c>
      <c r="V124" t="s">
        <v>565</v>
      </c>
      <c r="W124" t="s">
        <v>408</v>
      </c>
      <c r="X124" t="s">
        <v>468</v>
      </c>
    </row>
    <row r="125" spans="8:24" x14ac:dyDescent="0.45">
      <c r="H125" t="s">
        <v>227</v>
      </c>
      <c r="I125" t="s">
        <v>186</v>
      </c>
      <c r="J125">
        <v>1.4317500235433219E-3</v>
      </c>
      <c r="K125" t="s">
        <v>185</v>
      </c>
      <c r="P125" t="s">
        <v>108</v>
      </c>
      <c r="Q125" t="s">
        <v>292</v>
      </c>
      <c r="R125" t="s">
        <v>426</v>
      </c>
      <c r="S125" t="s">
        <v>403</v>
      </c>
      <c r="U125" t="s">
        <v>108</v>
      </c>
      <c r="V125" t="s">
        <v>565</v>
      </c>
      <c r="W125" t="s">
        <v>566</v>
      </c>
      <c r="X125" t="s">
        <v>468</v>
      </c>
    </row>
    <row r="126" spans="8:24" x14ac:dyDescent="0.45">
      <c r="H126" t="s">
        <v>227</v>
      </c>
      <c r="I126" t="s">
        <v>187</v>
      </c>
      <c r="J126">
        <v>1.4317500235433219E-3</v>
      </c>
      <c r="K126" t="s">
        <v>185</v>
      </c>
      <c r="P126" t="s">
        <v>108</v>
      </c>
      <c r="Q126" t="s">
        <v>293</v>
      </c>
      <c r="R126" t="s">
        <v>427</v>
      </c>
      <c r="S126" t="s">
        <v>403</v>
      </c>
      <c r="U126" t="s">
        <v>108</v>
      </c>
      <c r="V126" t="s">
        <v>567</v>
      </c>
      <c r="W126" t="s">
        <v>408</v>
      </c>
      <c r="X126" t="s">
        <v>468</v>
      </c>
    </row>
    <row r="127" spans="8:24" x14ac:dyDescent="0.45">
      <c r="H127" t="s">
        <v>228</v>
      </c>
      <c r="I127" t="s">
        <v>184</v>
      </c>
      <c r="J127">
        <v>0.10455642257141601</v>
      </c>
      <c r="K127" t="s">
        <v>185</v>
      </c>
      <c r="P127" t="s">
        <v>108</v>
      </c>
      <c r="Q127" t="s">
        <v>294</v>
      </c>
      <c r="R127" t="s">
        <v>428</v>
      </c>
      <c r="S127" t="s">
        <v>403</v>
      </c>
      <c r="U127" t="s">
        <v>108</v>
      </c>
      <c r="V127" t="s">
        <v>567</v>
      </c>
      <c r="W127" t="s">
        <v>566</v>
      </c>
      <c r="X127" t="s">
        <v>468</v>
      </c>
    </row>
    <row r="128" spans="8:24" x14ac:dyDescent="0.45">
      <c r="H128" t="s">
        <v>228</v>
      </c>
      <c r="I128" t="s">
        <v>186</v>
      </c>
      <c r="J128">
        <v>0.10455642257141601</v>
      </c>
      <c r="K128" t="s">
        <v>185</v>
      </c>
      <c r="P128" t="s">
        <v>108</v>
      </c>
      <c r="Q128" t="s">
        <v>295</v>
      </c>
      <c r="R128" t="s">
        <v>429</v>
      </c>
      <c r="S128" t="s">
        <v>403</v>
      </c>
      <c r="U128" t="s">
        <v>108</v>
      </c>
      <c r="V128" t="s">
        <v>568</v>
      </c>
      <c r="W128" t="s">
        <v>408</v>
      </c>
      <c r="X128" t="s">
        <v>468</v>
      </c>
    </row>
    <row r="129" spans="8:24" x14ac:dyDescent="0.45">
      <c r="H129" t="s">
        <v>228</v>
      </c>
      <c r="I129" t="s">
        <v>187</v>
      </c>
      <c r="J129">
        <v>0.10455642257141601</v>
      </c>
      <c r="K129" t="s">
        <v>185</v>
      </c>
      <c r="P129" t="s">
        <v>108</v>
      </c>
      <c r="Q129" t="s">
        <v>296</v>
      </c>
      <c r="R129" t="s">
        <v>430</v>
      </c>
      <c r="S129" t="s">
        <v>403</v>
      </c>
      <c r="U129" t="s">
        <v>108</v>
      </c>
      <c r="V129" t="s">
        <v>568</v>
      </c>
      <c r="W129" t="s">
        <v>566</v>
      </c>
      <c r="X129" t="s">
        <v>468</v>
      </c>
    </row>
    <row r="130" spans="8:24" x14ac:dyDescent="0.45">
      <c r="H130" t="s">
        <v>229</v>
      </c>
      <c r="I130" t="s">
        <v>184</v>
      </c>
      <c r="J130">
        <v>0.14064063554730752</v>
      </c>
      <c r="K130" t="s">
        <v>185</v>
      </c>
      <c r="P130" t="s">
        <v>108</v>
      </c>
      <c r="Q130" t="s">
        <v>297</v>
      </c>
      <c r="R130" t="s">
        <v>431</v>
      </c>
      <c r="S130" t="s">
        <v>403</v>
      </c>
      <c r="U130" t="s">
        <v>108</v>
      </c>
      <c r="V130" t="s">
        <v>569</v>
      </c>
      <c r="W130" t="s">
        <v>566</v>
      </c>
      <c r="X130" t="s">
        <v>468</v>
      </c>
    </row>
    <row r="131" spans="8:24" x14ac:dyDescent="0.45">
      <c r="H131" t="s">
        <v>229</v>
      </c>
      <c r="I131" t="s">
        <v>186</v>
      </c>
      <c r="J131">
        <v>0.14064063554730752</v>
      </c>
      <c r="K131" t="s">
        <v>185</v>
      </c>
      <c r="P131" t="s">
        <v>108</v>
      </c>
      <c r="Q131" t="s">
        <v>298</v>
      </c>
      <c r="R131" t="s">
        <v>432</v>
      </c>
      <c r="S131" t="s">
        <v>403</v>
      </c>
      <c r="U131" t="s">
        <v>108</v>
      </c>
      <c r="V131" t="s">
        <v>570</v>
      </c>
      <c r="W131" t="s">
        <v>566</v>
      </c>
      <c r="X131" t="s">
        <v>468</v>
      </c>
    </row>
    <row r="132" spans="8:24" x14ac:dyDescent="0.45">
      <c r="H132" t="s">
        <v>229</v>
      </c>
      <c r="I132" t="s">
        <v>187</v>
      </c>
      <c r="J132">
        <v>0.14064063554730752</v>
      </c>
      <c r="K132" t="s">
        <v>185</v>
      </c>
      <c r="P132" t="s">
        <v>108</v>
      </c>
      <c r="Q132" t="s">
        <v>299</v>
      </c>
      <c r="R132" t="s">
        <v>433</v>
      </c>
      <c r="S132" t="s">
        <v>403</v>
      </c>
      <c r="U132" t="s">
        <v>108</v>
      </c>
      <c r="V132" t="s">
        <v>571</v>
      </c>
      <c r="W132" t="s">
        <v>566</v>
      </c>
      <c r="X132" t="s">
        <v>468</v>
      </c>
    </row>
    <row r="133" spans="8:24" x14ac:dyDescent="0.45">
      <c r="H133" t="s">
        <v>230</v>
      </c>
      <c r="I133" t="s">
        <v>184</v>
      </c>
      <c r="J133">
        <v>3.5964846964412517E-2</v>
      </c>
      <c r="K133" t="s">
        <v>185</v>
      </c>
      <c r="P133" t="s">
        <v>108</v>
      </c>
      <c r="Q133" t="s">
        <v>300</v>
      </c>
      <c r="R133" t="s">
        <v>434</v>
      </c>
      <c r="S133" t="s">
        <v>403</v>
      </c>
      <c r="U133" t="s">
        <v>108</v>
      </c>
      <c r="V133" t="s">
        <v>571</v>
      </c>
      <c r="W133" t="s">
        <v>408</v>
      </c>
      <c r="X133" t="s">
        <v>403</v>
      </c>
    </row>
    <row r="134" spans="8:24" x14ac:dyDescent="0.45">
      <c r="H134" t="s">
        <v>230</v>
      </c>
      <c r="I134" t="s">
        <v>186</v>
      </c>
      <c r="J134">
        <v>3.5964846964412517E-2</v>
      </c>
      <c r="K134" t="s">
        <v>185</v>
      </c>
      <c r="P134" t="s">
        <v>108</v>
      </c>
      <c r="Q134" t="s">
        <v>301</v>
      </c>
      <c r="R134" t="s">
        <v>435</v>
      </c>
      <c r="S134" t="s">
        <v>403</v>
      </c>
      <c r="U134" t="s">
        <v>108</v>
      </c>
      <c r="V134" t="s">
        <v>572</v>
      </c>
      <c r="W134" t="s">
        <v>566</v>
      </c>
      <c r="X134" t="s">
        <v>468</v>
      </c>
    </row>
    <row r="135" spans="8:24" x14ac:dyDescent="0.45">
      <c r="H135" t="s">
        <v>230</v>
      </c>
      <c r="I135" t="s">
        <v>187</v>
      </c>
      <c r="J135">
        <v>3.5964846964412517E-2</v>
      </c>
      <c r="K135" t="s">
        <v>185</v>
      </c>
      <c r="P135" t="s">
        <v>108</v>
      </c>
      <c r="Q135" t="s">
        <v>302</v>
      </c>
      <c r="R135" t="s">
        <v>436</v>
      </c>
      <c r="S135" t="s">
        <v>403</v>
      </c>
      <c r="U135" t="s">
        <v>108</v>
      </c>
      <c r="V135" t="s">
        <v>572</v>
      </c>
      <c r="W135" t="s">
        <v>408</v>
      </c>
      <c r="X135" t="s">
        <v>403</v>
      </c>
    </row>
    <row r="136" spans="8:24" x14ac:dyDescent="0.45">
      <c r="H136" t="s">
        <v>231</v>
      </c>
      <c r="I136" t="s">
        <v>184</v>
      </c>
      <c r="J136">
        <v>0.17620293965073539</v>
      </c>
      <c r="K136" t="s">
        <v>185</v>
      </c>
      <c r="P136" t="s">
        <v>108</v>
      </c>
      <c r="Q136" t="s">
        <v>303</v>
      </c>
      <c r="R136" t="s">
        <v>437</v>
      </c>
      <c r="S136" t="s">
        <v>403</v>
      </c>
      <c r="U136" t="s">
        <v>108</v>
      </c>
      <c r="V136" t="s">
        <v>573</v>
      </c>
      <c r="W136" t="s">
        <v>574</v>
      </c>
      <c r="X136" t="s">
        <v>468</v>
      </c>
    </row>
    <row r="137" spans="8:24" x14ac:dyDescent="0.45">
      <c r="H137" t="s">
        <v>231</v>
      </c>
      <c r="I137" t="s">
        <v>186</v>
      </c>
      <c r="J137">
        <v>0.17620293965073539</v>
      </c>
      <c r="K137" t="s">
        <v>185</v>
      </c>
      <c r="P137" t="s">
        <v>108</v>
      </c>
      <c r="Q137" t="s">
        <v>304</v>
      </c>
      <c r="R137" t="s">
        <v>438</v>
      </c>
      <c r="S137" t="s">
        <v>403</v>
      </c>
      <c r="U137" t="s">
        <v>108</v>
      </c>
      <c r="V137" t="s">
        <v>575</v>
      </c>
      <c r="W137" t="s">
        <v>574</v>
      </c>
      <c r="X137" t="s">
        <v>468</v>
      </c>
    </row>
    <row r="138" spans="8:24" x14ac:dyDescent="0.45">
      <c r="H138" t="s">
        <v>231</v>
      </c>
      <c r="I138" t="s">
        <v>187</v>
      </c>
      <c r="J138">
        <v>0.17620293965073539</v>
      </c>
      <c r="K138" t="s">
        <v>185</v>
      </c>
      <c r="P138" t="s">
        <v>108</v>
      </c>
      <c r="Q138" t="s">
        <v>305</v>
      </c>
      <c r="R138" t="s">
        <v>439</v>
      </c>
      <c r="S138" t="s">
        <v>403</v>
      </c>
      <c r="U138" t="s">
        <v>108</v>
      </c>
      <c r="V138" t="s">
        <v>576</v>
      </c>
      <c r="W138" t="s">
        <v>574</v>
      </c>
      <c r="X138" t="s">
        <v>468</v>
      </c>
    </row>
    <row r="139" spans="8:24" x14ac:dyDescent="0.45">
      <c r="H139" t="s">
        <v>232</v>
      </c>
      <c r="I139" t="s">
        <v>184</v>
      </c>
      <c r="J139">
        <v>2.6040636261774261E-3</v>
      </c>
      <c r="K139" t="s">
        <v>185</v>
      </c>
      <c r="P139" t="s">
        <v>108</v>
      </c>
      <c r="Q139" t="s">
        <v>306</v>
      </c>
      <c r="R139" t="s">
        <v>440</v>
      </c>
      <c r="S139" t="s">
        <v>403</v>
      </c>
      <c r="U139" t="s">
        <v>108</v>
      </c>
      <c r="V139" t="s">
        <v>577</v>
      </c>
      <c r="W139" t="s">
        <v>574</v>
      </c>
      <c r="X139" t="s">
        <v>468</v>
      </c>
    </row>
    <row r="140" spans="8:24" x14ac:dyDescent="0.45">
      <c r="H140" t="s">
        <v>232</v>
      </c>
      <c r="I140" t="s">
        <v>186</v>
      </c>
      <c r="J140">
        <v>2.6040636261774261E-3</v>
      </c>
      <c r="K140" t="s">
        <v>185</v>
      </c>
      <c r="P140" t="s">
        <v>108</v>
      </c>
      <c r="Q140" t="s">
        <v>307</v>
      </c>
      <c r="R140" t="s">
        <v>441</v>
      </c>
      <c r="S140" t="s">
        <v>403</v>
      </c>
      <c r="U140" t="s">
        <v>108</v>
      </c>
      <c r="V140" t="s">
        <v>578</v>
      </c>
      <c r="W140" t="s">
        <v>574</v>
      </c>
      <c r="X140" t="s">
        <v>468</v>
      </c>
    </row>
    <row r="141" spans="8:24" x14ac:dyDescent="0.45">
      <c r="H141" t="s">
        <v>232</v>
      </c>
      <c r="I141" t="s">
        <v>187</v>
      </c>
      <c r="J141">
        <v>2.6040636261774261E-3</v>
      </c>
      <c r="K141" t="s">
        <v>185</v>
      </c>
      <c r="P141" t="s">
        <v>108</v>
      </c>
      <c r="Q141" t="s">
        <v>308</v>
      </c>
      <c r="R141" t="s">
        <v>442</v>
      </c>
      <c r="S141" t="s">
        <v>403</v>
      </c>
      <c r="U141" t="s">
        <v>108</v>
      </c>
      <c r="V141" t="s">
        <v>579</v>
      </c>
      <c r="W141" t="s">
        <v>574</v>
      </c>
      <c r="X141" t="s">
        <v>468</v>
      </c>
    </row>
    <row r="142" spans="8:24" x14ac:dyDescent="0.45">
      <c r="H142" t="s">
        <v>233</v>
      </c>
      <c r="I142" t="s">
        <v>184</v>
      </c>
      <c r="J142">
        <v>9.5322680466405794E-6</v>
      </c>
      <c r="K142" t="s">
        <v>185</v>
      </c>
      <c r="P142" t="s">
        <v>108</v>
      </c>
      <c r="Q142" t="s">
        <v>309</v>
      </c>
      <c r="R142" t="s">
        <v>443</v>
      </c>
      <c r="S142" t="s">
        <v>403</v>
      </c>
      <c r="U142" t="s">
        <v>108</v>
      </c>
      <c r="V142" t="s">
        <v>580</v>
      </c>
      <c r="W142" t="s">
        <v>574</v>
      </c>
      <c r="X142" t="s">
        <v>468</v>
      </c>
    </row>
    <row r="143" spans="8:24" x14ac:dyDescent="0.45">
      <c r="H143" t="s">
        <v>233</v>
      </c>
      <c r="I143" t="s">
        <v>186</v>
      </c>
      <c r="J143">
        <v>9.5322680466405794E-6</v>
      </c>
      <c r="K143" t="s">
        <v>185</v>
      </c>
      <c r="P143" t="s">
        <v>108</v>
      </c>
      <c r="Q143" t="s">
        <v>368</v>
      </c>
      <c r="R143" t="s">
        <v>444</v>
      </c>
      <c r="S143" t="s">
        <v>403</v>
      </c>
      <c r="U143" t="s">
        <v>108</v>
      </c>
      <c r="V143" t="s">
        <v>581</v>
      </c>
      <c r="W143" t="s">
        <v>574</v>
      </c>
      <c r="X143" t="s">
        <v>468</v>
      </c>
    </row>
    <row r="144" spans="8:24" x14ac:dyDescent="0.45">
      <c r="H144" t="s">
        <v>233</v>
      </c>
      <c r="I144" t="s">
        <v>187</v>
      </c>
      <c r="J144">
        <v>9.5322680466405794E-6</v>
      </c>
      <c r="K144" t="s">
        <v>185</v>
      </c>
      <c r="P144" t="s">
        <v>108</v>
      </c>
      <c r="Q144" t="s">
        <v>369</v>
      </c>
      <c r="R144" t="s">
        <v>445</v>
      </c>
      <c r="S144" t="s">
        <v>403</v>
      </c>
      <c r="U144" t="s">
        <v>108</v>
      </c>
      <c r="V144" t="s">
        <v>582</v>
      </c>
      <c r="W144" t="s">
        <v>574</v>
      </c>
      <c r="X144" t="s">
        <v>468</v>
      </c>
    </row>
    <row r="145" spans="8:24" x14ac:dyDescent="0.45">
      <c r="H145" t="s">
        <v>234</v>
      </c>
      <c r="I145" t="s">
        <v>184</v>
      </c>
      <c r="J145">
        <v>9.8937960837051009E-4</v>
      </c>
      <c r="K145" t="s">
        <v>185</v>
      </c>
      <c r="P145" t="s">
        <v>108</v>
      </c>
      <c r="Q145" t="s">
        <v>370</v>
      </c>
      <c r="R145" t="s">
        <v>446</v>
      </c>
      <c r="S145" t="s">
        <v>403</v>
      </c>
      <c r="U145" t="s">
        <v>108</v>
      </c>
      <c r="V145" t="s">
        <v>583</v>
      </c>
      <c r="W145" t="s">
        <v>574</v>
      </c>
      <c r="X145" t="s">
        <v>468</v>
      </c>
    </row>
    <row r="146" spans="8:24" x14ac:dyDescent="0.45">
      <c r="H146" t="s">
        <v>234</v>
      </c>
      <c r="I146" t="s">
        <v>186</v>
      </c>
      <c r="J146">
        <v>9.8937960837051009E-4</v>
      </c>
      <c r="K146" t="s">
        <v>185</v>
      </c>
      <c r="P146" t="s">
        <v>108</v>
      </c>
      <c r="Q146" t="s">
        <v>371</v>
      </c>
      <c r="R146" t="s">
        <v>447</v>
      </c>
      <c r="S146" t="s">
        <v>403</v>
      </c>
      <c r="U146" t="s">
        <v>108</v>
      </c>
      <c r="V146" t="s">
        <v>584</v>
      </c>
      <c r="W146" t="s">
        <v>574</v>
      </c>
      <c r="X146" t="s">
        <v>468</v>
      </c>
    </row>
    <row r="147" spans="8:24" x14ac:dyDescent="0.45">
      <c r="H147" t="s">
        <v>234</v>
      </c>
      <c r="I147" t="s">
        <v>187</v>
      </c>
      <c r="J147">
        <v>9.8937960837051009E-4</v>
      </c>
      <c r="K147" t="s">
        <v>185</v>
      </c>
      <c r="P147" t="s">
        <v>108</v>
      </c>
      <c r="Q147" t="s">
        <v>372</v>
      </c>
      <c r="R147" t="s">
        <v>448</v>
      </c>
      <c r="S147" t="s">
        <v>403</v>
      </c>
      <c r="U147" t="s">
        <v>108</v>
      </c>
      <c r="V147" t="s">
        <v>584</v>
      </c>
      <c r="W147" t="s">
        <v>585</v>
      </c>
      <c r="X147" t="s">
        <v>468</v>
      </c>
    </row>
    <row r="148" spans="8:24" x14ac:dyDescent="0.45">
      <c r="H148" t="s">
        <v>235</v>
      </c>
      <c r="I148" t="s">
        <v>184</v>
      </c>
      <c r="J148">
        <v>3.5391076319364681E-5</v>
      </c>
      <c r="K148" t="s">
        <v>185</v>
      </c>
      <c r="P148" t="s">
        <v>108</v>
      </c>
      <c r="Q148" t="s">
        <v>373</v>
      </c>
      <c r="R148" t="s">
        <v>449</v>
      </c>
      <c r="S148" t="s">
        <v>403</v>
      </c>
      <c r="U148" t="s">
        <v>108</v>
      </c>
      <c r="V148" t="s">
        <v>586</v>
      </c>
      <c r="W148" t="s">
        <v>574</v>
      </c>
      <c r="X148" t="s">
        <v>468</v>
      </c>
    </row>
    <row r="149" spans="8:24" x14ac:dyDescent="0.45">
      <c r="H149" t="s">
        <v>235</v>
      </c>
      <c r="I149" t="s">
        <v>186</v>
      </c>
      <c r="J149">
        <v>3.5391076319364681E-5</v>
      </c>
      <c r="K149" t="s">
        <v>185</v>
      </c>
      <c r="P149" t="s">
        <v>108</v>
      </c>
      <c r="Q149" t="s">
        <v>374</v>
      </c>
      <c r="R149" t="s">
        <v>450</v>
      </c>
      <c r="S149" t="s">
        <v>403</v>
      </c>
      <c r="U149" t="s">
        <v>108</v>
      </c>
      <c r="V149" t="s">
        <v>586</v>
      </c>
      <c r="W149" t="s">
        <v>585</v>
      </c>
      <c r="X149" t="s">
        <v>468</v>
      </c>
    </row>
    <row r="150" spans="8:24" x14ac:dyDescent="0.45">
      <c r="H150" t="s">
        <v>235</v>
      </c>
      <c r="I150" t="s">
        <v>187</v>
      </c>
      <c r="J150">
        <v>3.5391076319364681E-5</v>
      </c>
      <c r="K150" t="s">
        <v>185</v>
      </c>
      <c r="P150" t="s">
        <v>108</v>
      </c>
      <c r="Q150" t="s">
        <v>375</v>
      </c>
      <c r="R150" t="s">
        <v>451</v>
      </c>
      <c r="S150" t="s">
        <v>403</v>
      </c>
      <c r="U150" t="s">
        <v>108</v>
      </c>
      <c r="V150" t="s">
        <v>587</v>
      </c>
      <c r="W150" t="s">
        <v>574</v>
      </c>
      <c r="X150" t="s">
        <v>468</v>
      </c>
    </row>
    <row r="151" spans="8:24" x14ac:dyDescent="0.45">
      <c r="H151" t="s">
        <v>236</v>
      </c>
      <c r="I151" t="s">
        <v>184</v>
      </c>
      <c r="J151">
        <v>9.6276259107804993E-4</v>
      </c>
      <c r="K151" t="s">
        <v>185</v>
      </c>
      <c r="P151" t="s">
        <v>108</v>
      </c>
      <c r="Q151" t="s">
        <v>310</v>
      </c>
      <c r="R151" t="s">
        <v>402</v>
      </c>
      <c r="S151" t="s">
        <v>403</v>
      </c>
      <c r="U151" t="s">
        <v>108</v>
      </c>
      <c r="V151" t="s">
        <v>587</v>
      </c>
      <c r="W151" t="s">
        <v>585</v>
      </c>
      <c r="X151" t="s">
        <v>468</v>
      </c>
    </row>
    <row r="152" spans="8:24" x14ac:dyDescent="0.45">
      <c r="H152" t="s">
        <v>236</v>
      </c>
      <c r="I152" t="s">
        <v>186</v>
      </c>
      <c r="J152">
        <v>9.6276259107804993E-4</v>
      </c>
      <c r="K152" t="s">
        <v>185</v>
      </c>
      <c r="P152" t="s">
        <v>108</v>
      </c>
      <c r="Q152" t="s">
        <v>311</v>
      </c>
      <c r="R152" t="s">
        <v>404</v>
      </c>
      <c r="S152" t="s">
        <v>403</v>
      </c>
      <c r="U152" t="s">
        <v>108</v>
      </c>
      <c r="V152" t="s">
        <v>588</v>
      </c>
      <c r="W152" t="s">
        <v>585</v>
      </c>
      <c r="X152" t="s">
        <v>468</v>
      </c>
    </row>
    <row r="153" spans="8:24" x14ac:dyDescent="0.45">
      <c r="H153" t="s">
        <v>236</v>
      </c>
      <c r="I153" t="s">
        <v>187</v>
      </c>
      <c r="J153">
        <v>9.6276259107804993E-4</v>
      </c>
      <c r="K153" t="s">
        <v>185</v>
      </c>
      <c r="P153" t="s">
        <v>108</v>
      </c>
      <c r="Q153" t="s">
        <v>312</v>
      </c>
      <c r="R153" t="s">
        <v>405</v>
      </c>
      <c r="S153" t="s">
        <v>403</v>
      </c>
      <c r="U153" t="s">
        <v>108</v>
      </c>
      <c r="V153" t="s">
        <v>589</v>
      </c>
      <c r="W153" t="s">
        <v>585</v>
      </c>
      <c r="X153" t="s">
        <v>468</v>
      </c>
    </row>
    <row r="154" spans="8:24" x14ac:dyDescent="0.45">
      <c r="H154" t="s">
        <v>237</v>
      </c>
      <c r="I154" t="s">
        <v>184</v>
      </c>
      <c r="J154">
        <v>3.384279910389182E-3</v>
      </c>
      <c r="K154" t="s">
        <v>185</v>
      </c>
      <c r="P154" t="s">
        <v>108</v>
      </c>
      <c r="Q154" t="s">
        <v>313</v>
      </c>
      <c r="R154" t="s">
        <v>406</v>
      </c>
      <c r="S154" t="s">
        <v>403</v>
      </c>
      <c r="U154" t="s">
        <v>108</v>
      </c>
      <c r="V154" t="s">
        <v>590</v>
      </c>
      <c r="W154" t="s">
        <v>585</v>
      </c>
      <c r="X154" t="s">
        <v>468</v>
      </c>
    </row>
    <row r="155" spans="8:24" x14ac:dyDescent="0.45">
      <c r="H155" t="s">
        <v>237</v>
      </c>
      <c r="I155" t="s">
        <v>186</v>
      </c>
      <c r="J155">
        <v>3.384279910389182E-3</v>
      </c>
      <c r="K155" t="s">
        <v>185</v>
      </c>
      <c r="P155" t="s">
        <v>108</v>
      </c>
      <c r="Q155" t="s">
        <v>314</v>
      </c>
      <c r="R155" t="s">
        <v>407</v>
      </c>
      <c r="S155" t="s">
        <v>403</v>
      </c>
      <c r="U155" t="s">
        <v>108</v>
      </c>
      <c r="V155" t="s">
        <v>590</v>
      </c>
      <c r="W155" t="s">
        <v>574</v>
      </c>
      <c r="X155" t="s">
        <v>403</v>
      </c>
    </row>
    <row r="156" spans="8:24" x14ac:dyDescent="0.45">
      <c r="H156" t="s">
        <v>237</v>
      </c>
      <c r="I156" t="s">
        <v>187</v>
      </c>
      <c r="J156">
        <v>3.384279910389182E-3</v>
      </c>
      <c r="K156" t="s">
        <v>185</v>
      </c>
      <c r="P156" t="s">
        <v>108</v>
      </c>
      <c r="Q156" t="s">
        <v>315</v>
      </c>
      <c r="R156" t="s">
        <v>408</v>
      </c>
      <c r="S156" t="s">
        <v>403</v>
      </c>
      <c r="U156" t="s">
        <v>108</v>
      </c>
      <c r="V156" t="s">
        <v>591</v>
      </c>
      <c r="W156" t="s">
        <v>585</v>
      </c>
      <c r="X156" t="s">
        <v>468</v>
      </c>
    </row>
    <row r="157" spans="8:24" x14ac:dyDescent="0.45">
      <c r="H157" t="s">
        <v>238</v>
      </c>
      <c r="I157" t="s">
        <v>184</v>
      </c>
      <c r="J157">
        <v>3.5690458094748798E-3</v>
      </c>
      <c r="K157" t="s">
        <v>185</v>
      </c>
      <c r="P157" t="s">
        <v>108</v>
      </c>
      <c r="Q157" t="s">
        <v>316</v>
      </c>
      <c r="R157" t="s">
        <v>409</v>
      </c>
      <c r="S157" t="s">
        <v>403</v>
      </c>
      <c r="U157" t="s">
        <v>108</v>
      </c>
      <c r="V157" t="s">
        <v>591</v>
      </c>
      <c r="W157" t="s">
        <v>574</v>
      </c>
      <c r="X157" t="s">
        <v>403</v>
      </c>
    </row>
    <row r="158" spans="8:24" x14ac:dyDescent="0.45">
      <c r="H158" t="s">
        <v>238</v>
      </c>
      <c r="I158" t="s">
        <v>186</v>
      </c>
      <c r="J158">
        <v>3.5690458094748798E-3</v>
      </c>
      <c r="K158" t="s">
        <v>185</v>
      </c>
      <c r="P158" t="s">
        <v>108</v>
      </c>
      <c r="Q158" t="s">
        <v>317</v>
      </c>
      <c r="R158" t="s">
        <v>410</v>
      </c>
      <c r="S158" t="s">
        <v>403</v>
      </c>
      <c r="U158" t="s">
        <v>108</v>
      </c>
      <c r="V158" t="s">
        <v>592</v>
      </c>
      <c r="W158" t="s">
        <v>409</v>
      </c>
      <c r="X158" t="s">
        <v>468</v>
      </c>
    </row>
    <row r="159" spans="8:24" x14ac:dyDescent="0.45">
      <c r="H159" t="s">
        <v>238</v>
      </c>
      <c r="I159" t="s">
        <v>187</v>
      </c>
      <c r="J159">
        <v>3.5690458094748798E-3</v>
      </c>
      <c r="K159" t="s">
        <v>185</v>
      </c>
      <c r="P159" t="s">
        <v>108</v>
      </c>
      <c r="Q159" t="s">
        <v>318</v>
      </c>
      <c r="R159" t="s">
        <v>411</v>
      </c>
      <c r="S159" t="s">
        <v>403</v>
      </c>
      <c r="U159" t="s">
        <v>108</v>
      </c>
      <c r="V159" t="s">
        <v>593</v>
      </c>
      <c r="W159" t="s">
        <v>409</v>
      </c>
      <c r="X159" t="s">
        <v>468</v>
      </c>
    </row>
    <row r="160" spans="8:24" x14ac:dyDescent="0.45">
      <c r="H160" t="s">
        <v>239</v>
      </c>
      <c r="I160" t="s">
        <v>184</v>
      </c>
      <c r="J160">
        <v>8.4472369340795803E-4</v>
      </c>
      <c r="K160" t="s">
        <v>185</v>
      </c>
      <c r="P160" t="s">
        <v>108</v>
      </c>
      <c r="Q160" t="s">
        <v>319</v>
      </c>
      <c r="R160" t="s">
        <v>412</v>
      </c>
      <c r="S160" t="s">
        <v>403</v>
      </c>
      <c r="U160" t="s">
        <v>108</v>
      </c>
      <c r="V160" t="s">
        <v>594</v>
      </c>
      <c r="W160" t="s">
        <v>409</v>
      </c>
      <c r="X160" t="s">
        <v>468</v>
      </c>
    </row>
    <row r="161" spans="8:24" x14ac:dyDescent="0.45">
      <c r="H161" t="s">
        <v>239</v>
      </c>
      <c r="I161" t="s">
        <v>186</v>
      </c>
      <c r="J161">
        <v>8.4472369340795803E-4</v>
      </c>
      <c r="K161" t="s">
        <v>185</v>
      </c>
      <c r="P161" t="s">
        <v>108</v>
      </c>
      <c r="Q161" t="s">
        <v>320</v>
      </c>
      <c r="R161" t="s">
        <v>413</v>
      </c>
      <c r="S161" t="s">
        <v>403</v>
      </c>
      <c r="U161" t="s">
        <v>108</v>
      </c>
      <c r="V161" t="s">
        <v>595</v>
      </c>
      <c r="W161" t="s">
        <v>409</v>
      </c>
      <c r="X161" t="s">
        <v>468</v>
      </c>
    </row>
    <row r="162" spans="8:24" x14ac:dyDescent="0.45">
      <c r="H162" t="s">
        <v>239</v>
      </c>
      <c r="I162" t="s">
        <v>187</v>
      </c>
      <c r="J162">
        <v>8.4472369340795803E-4</v>
      </c>
      <c r="K162" t="s">
        <v>185</v>
      </c>
      <c r="P162" t="s">
        <v>108</v>
      </c>
      <c r="Q162" t="s">
        <v>321</v>
      </c>
      <c r="R162" t="s">
        <v>414</v>
      </c>
      <c r="S162" t="s">
        <v>403</v>
      </c>
      <c r="U162" t="s">
        <v>108</v>
      </c>
      <c r="V162" t="s">
        <v>596</v>
      </c>
      <c r="W162" t="s">
        <v>409</v>
      </c>
      <c r="X162" t="s">
        <v>468</v>
      </c>
    </row>
    <row r="163" spans="8:24" x14ac:dyDescent="0.45">
      <c r="H163" t="s">
        <v>240</v>
      </c>
      <c r="I163" t="s">
        <v>184</v>
      </c>
      <c r="J163">
        <v>3.1814579510781901E-3</v>
      </c>
      <c r="K163" t="s">
        <v>185</v>
      </c>
      <c r="P163" t="s">
        <v>108</v>
      </c>
      <c r="Q163" t="s">
        <v>322</v>
      </c>
      <c r="R163" t="s">
        <v>415</v>
      </c>
      <c r="S163" t="s">
        <v>403</v>
      </c>
      <c r="U163" t="s">
        <v>108</v>
      </c>
      <c r="V163" t="s">
        <v>597</v>
      </c>
      <c r="W163" t="s">
        <v>409</v>
      </c>
      <c r="X163" t="s">
        <v>468</v>
      </c>
    </row>
    <row r="164" spans="8:24" x14ac:dyDescent="0.45">
      <c r="H164" t="s">
        <v>240</v>
      </c>
      <c r="I164" t="s">
        <v>186</v>
      </c>
      <c r="J164">
        <v>3.1814579510781901E-3</v>
      </c>
      <c r="K164" t="s">
        <v>185</v>
      </c>
      <c r="P164" t="s">
        <v>108</v>
      </c>
      <c r="Q164" t="s">
        <v>323</v>
      </c>
      <c r="R164" t="s">
        <v>416</v>
      </c>
      <c r="S164" t="s">
        <v>403</v>
      </c>
      <c r="U164" t="s">
        <v>108</v>
      </c>
      <c r="V164" t="s">
        <v>598</v>
      </c>
      <c r="W164" t="s">
        <v>409</v>
      </c>
      <c r="X164" t="s">
        <v>468</v>
      </c>
    </row>
    <row r="165" spans="8:24" x14ac:dyDescent="0.45">
      <c r="H165" t="s">
        <v>240</v>
      </c>
      <c r="I165" t="s">
        <v>187</v>
      </c>
      <c r="J165">
        <v>3.1814579510781901E-3</v>
      </c>
      <c r="K165" t="s">
        <v>185</v>
      </c>
      <c r="P165" t="s">
        <v>108</v>
      </c>
      <c r="Q165" t="s">
        <v>324</v>
      </c>
      <c r="R165" t="s">
        <v>417</v>
      </c>
      <c r="S165" t="s">
        <v>403</v>
      </c>
      <c r="U165" t="s">
        <v>108</v>
      </c>
      <c r="V165" t="s">
        <v>599</v>
      </c>
      <c r="W165" t="s">
        <v>409</v>
      </c>
      <c r="X165" t="s">
        <v>468</v>
      </c>
    </row>
    <row r="166" spans="8:24" x14ac:dyDescent="0.45">
      <c r="H166" t="s">
        <v>241</v>
      </c>
      <c r="I166" t="s">
        <v>184</v>
      </c>
      <c r="J166">
        <v>4.2826282146869711E-2</v>
      </c>
      <c r="K166" t="s">
        <v>185</v>
      </c>
      <c r="P166" t="s">
        <v>108</v>
      </c>
      <c r="Q166" t="s">
        <v>325</v>
      </c>
      <c r="R166" t="s">
        <v>418</v>
      </c>
      <c r="S166" t="s">
        <v>403</v>
      </c>
      <c r="U166" t="s">
        <v>108</v>
      </c>
      <c r="V166" t="s">
        <v>600</v>
      </c>
      <c r="W166" t="s">
        <v>409</v>
      </c>
      <c r="X166" t="s">
        <v>468</v>
      </c>
    </row>
    <row r="167" spans="8:24" x14ac:dyDescent="0.45">
      <c r="H167" t="s">
        <v>241</v>
      </c>
      <c r="I167" t="s">
        <v>186</v>
      </c>
      <c r="J167">
        <v>4.2826282146869711E-2</v>
      </c>
      <c r="K167" t="s">
        <v>185</v>
      </c>
      <c r="P167" t="s">
        <v>108</v>
      </c>
      <c r="Q167" t="s">
        <v>326</v>
      </c>
      <c r="R167" t="s">
        <v>419</v>
      </c>
      <c r="S167" t="s">
        <v>403</v>
      </c>
      <c r="U167" t="s">
        <v>108</v>
      </c>
      <c r="V167" t="s">
        <v>601</v>
      </c>
      <c r="W167" t="s">
        <v>409</v>
      </c>
      <c r="X167" t="s">
        <v>468</v>
      </c>
    </row>
    <row r="168" spans="8:24" x14ac:dyDescent="0.45">
      <c r="H168" t="s">
        <v>241</v>
      </c>
      <c r="I168" t="s">
        <v>187</v>
      </c>
      <c r="J168">
        <v>4.2826282146869711E-2</v>
      </c>
      <c r="K168" t="s">
        <v>185</v>
      </c>
      <c r="P168" t="s">
        <v>108</v>
      </c>
      <c r="Q168" t="s">
        <v>327</v>
      </c>
      <c r="R168" t="s">
        <v>420</v>
      </c>
      <c r="S168" t="s">
        <v>403</v>
      </c>
      <c r="U168" t="s">
        <v>108</v>
      </c>
      <c r="V168" t="s">
        <v>602</v>
      </c>
      <c r="W168" t="s">
        <v>409</v>
      </c>
      <c r="X168" t="s">
        <v>468</v>
      </c>
    </row>
    <row r="169" spans="8:24" x14ac:dyDescent="0.45">
      <c r="H169" t="s">
        <v>242</v>
      </c>
      <c r="I169" t="s">
        <v>184</v>
      </c>
      <c r="J169">
        <v>3.3394171558205499E-3</v>
      </c>
      <c r="K169" t="s">
        <v>185</v>
      </c>
      <c r="P169" t="s">
        <v>108</v>
      </c>
      <c r="Q169" t="s">
        <v>328</v>
      </c>
      <c r="R169" t="s">
        <v>421</v>
      </c>
      <c r="S169" t="s">
        <v>403</v>
      </c>
      <c r="U169" t="s">
        <v>108</v>
      </c>
      <c r="V169" t="s">
        <v>602</v>
      </c>
      <c r="W169" t="s">
        <v>603</v>
      </c>
      <c r="X169" t="s">
        <v>468</v>
      </c>
    </row>
    <row r="170" spans="8:24" x14ac:dyDescent="0.45">
      <c r="H170" t="s">
        <v>242</v>
      </c>
      <c r="I170" t="s">
        <v>186</v>
      </c>
      <c r="J170">
        <v>3.3394171558205499E-3</v>
      </c>
      <c r="K170" t="s">
        <v>185</v>
      </c>
      <c r="P170" t="s">
        <v>108</v>
      </c>
      <c r="Q170" t="s">
        <v>329</v>
      </c>
      <c r="R170" t="s">
        <v>422</v>
      </c>
      <c r="S170" t="s">
        <v>403</v>
      </c>
      <c r="U170" t="s">
        <v>108</v>
      </c>
      <c r="V170" t="s">
        <v>604</v>
      </c>
      <c r="W170" t="s">
        <v>409</v>
      </c>
      <c r="X170" t="s">
        <v>468</v>
      </c>
    </row>
    <row r="171" spans="8:24" x14ac:dyDescent="0.45">
      <c r="H171" t="s">
        <v>242</v>
      </c>
      <c r="I171" t="s">
        <v>187</v>
      </c>
      <c r="J171">
        <v>3.3394171558205499E-3</v>
      </c>
      <c r="K171" t="s">
        <v>185</v>
      </c>
      <c r="P171" t="s">
        <v>108</v>
      </c>
      <c r="Q171" t="s">
        <v>330</v>
      </c>
      <c r="R171" t="s">
        <v>423</v>
      </c>
      <c r="S171" t="s">
        <v>403</v>
      </c>
      <c r="U171" t="s">
        <v>108</v>
      </c>
      <c r="V171" t="s">
        <v>604</v>
      </c>
      <c r="W171" t="s">
        <v>603</v>
      </c>
      <c r="X171" t="s">
        <v>468</v>
      </c>
    </row>
    <row r="172" spans="8:24" x14ac:dyDescent="0.45">
      <c r="H172" t="s">
        <v>243</v>
      </c>
      <c r="I172" t="s">
        <v>184</v>
      </c>
      <c r="J172">
        <v>6.5406199804486794E-4</v>
      </c>
      <c r="K172" t="s">
        <v>185</v>
      </c>
      <c r="P172" t="s">
        <v>108</v>
      </c>
      <c r="Q172" t="s">
        <v>331</v>
      </c>
      <c r="R172" t="s">
        <v>424</v>
      </c>
      <c r="S172" t="s">
        <v>403</v>
      </c>
      <c r="U172" t="s">
        <v>108</v>
      </c>
      <c r="V172" t="s">
        <v>605</v>
      </c>
      <c r="W172" t="s">
        <v>409</v>
      </c>
      <c r="X172" t="s">
        <v>468</v>
      </c>
    </row>
    <row r="173" spans="8:24" x14ac:dyDescent="0.45">
      <c r="H173" t="s">
        <v>243</v>
      </c>
      <c r="I173" t="s">
        <v>186</v>
      </c>
      <c r="J173">
        <v>6.5406199804486794E-4</v>
      </c>
      <c r="K173" t="s">
        <v>185</v>
      </c>
      <c r="P173" t="s">
        <v>108</v>
      </c>
      <c r="Q173" t="s">
        <v>332</v>
      </c>
      <c r="R173" t="s">
        <v>425</v>
      </c>
      <c r="S173" t="s">
        <v>403</v>
      </c>
      <c r="U173" t="s">
        <v>108</v>
      </c>
      <c r="V173" t="s">
        <v>605</v>
      </c>
      <c r="W173" t="s">
        <v>603</v>
      </c>
      <c r="X173" t="s">
        <v>468</v>
      </c>
    </row>
    <row r="174" spans="8:24" x14ac:dyDescent="0.45">
      <c r="H174" t="s">
        <v>243</v>
      </c>
      <c r="I174" t="s">
        <v>187</v>
      </c>
      <c r="J174">
        <v>6.5406199804486794E-4</v>
      </c>
      <c r="K174" t="s">
        <v>185</v>
      </c>
      <c r="P174" t="s">
        <v>108</v>
      </c>
      <c r="Q174" t="s">
        <v>333</v>
      </c>
      <c r="R174" t="s">
        <v>426</v>
      </c>
      <c r="S174" t="s">
        <v>403</v>
      </c>
      <c r="U174" t="s">
        <v>108</v>
      </c>
      <c r="V174" t="s">
        <v>606</v>
      </c>
      <c r="W174" t="s">
        <v>603</v>
      </c>
      <c r="X174" t="s">
        <v>468</v>
      </c>
    </row>
    <row r="175" spans="8:24" x14ac:dyDescent="0.45">
      <c r="H175" t="s">
        <v>244</v>
      </c>
      <c r="I175" t="s">
        <v>184</v>
      </c>
      <c r="J175">
        <v>2.3066026286364038E-3</v>
      </c>
      <c r="K175" t="s">
        <v>185</v>
      </c>
      <c r="P175" t="s">
        <v>108</v>
      </c>
      <c r="Q175" t="s">
        <v>334</v>
      </c>
      <c r="R175" t="s">
        <v>427</v>
      </c>
      <c r="S175" t="s">
        <v>403</v>
      </c>
      <c r="U175" t="s">
        <v>108</v>
      </c>
      <c r="V175" t="s">
        <v>607</v>
      </c>
      <c r="W175" t="s">
        <v>603</v>
      </c>
      <c r="X175" t="s">
        <v>468</v>
      </c>
    </row>
    <row r="176" spans="8:24" x14ac:dyDescent="0.45">
      <c r="H176" t="s">
        <v>244</v>
      </c>
      <c r="I176" t="s">
        <v>186</v>
      </c>
      <c r="J176">
        <v>2.3066026286364038E-3</v>
      </c>
      <c r="K176" t="s">
        <v>185</v>
      </c>
      <c r="P176" t="s">
        <v>108</v>
      </c>
      <c r="Q176" t="s">
        <v>335</v>
      </c>
      <c r="R176" t="s">
        <v>428</v>
      </c>
      <c r="S176" t="s">
        <v>403</v>
      </c>
      <c r="U176" t="s">
        <v>108</v>
      </c>
      <c r="V176" t="s">
        <v>608</v>
      </c>
      <c r="W176" t="s">
        <v>603</v>
      </c>
      <c r="X176" t="s">
        <v>468</v>
      </c>
    </row>
    <row r="177" spans="8:24" x14ac:dyDescent="0.45">
      <c r="H177" t="s">
        <v>244</v>
      </c>
      <c r="I177" t="s">
        <v>187</v>
      </c>
      <c r="J177">
        <v>2.3066026286364038E-3</v>
      </c>
      <c r="K177" t="s">
        <v>185</v>
      </c>
      <c r="P177" t="s">
        <v>108</v>
      </c>
      <c r="Q177" t="s">
        <v>336</v>
      </c>
      <c r="R177" t="s">
        <v>429</v>
      </c>
      <c r="S177" t="s">
        <v>403</v>
      </c>
      <c r="U177" t="s">
        <v>108</v>
      </c>
      <c r="V177" t="s">
        <v>608</v>
      </c>
      <c r="W177" t="s">
        <v>409</v>
      </c>
      <c r="X177" t="s">
        <v>403</v>
      </c>
    </row>
    <row r="178" spans="8:24" x14ac:dyDescent="0.45">
      <c r="H178" t="s">
        <v>245</v>
      </c>
      <c r="I178" t="s">
        <v>184</v>
      </c>
      <c r="J178">
        <v>1.5216613792951535E-2</v>
      </c>
      <c r="K178" t="s">
        <v>185</v>
      </c>
      <c r="P178" t="s">
        <v>108</v>
      </c>
      <c r="Q178" t="s">
        <v>337</v>
      </c>
      <c r="R178" t="s">
        <v>430</v>
      </c>
      <c r="S178" t="s">
        <v>403</v>
      </c>
      <c r="U178" t="s">
        <v>108</v>
      </c>
      <c r="V178" t="s">
        <v>609</v>
      </c>
      <c r="W178" t="s">
        <v>603</v>
      </c>
      <c r="X178" t="s">
        <v>468</v>
      </c>
    </row>
    <row r="179" spans="8:24" x14ac:dyDescent="0.45">
      <c r="H179" t="s">
        <v>245</v>
      </c>
      <c r="I179" t="s">
        <v>186</v>
      </c>
      <c r="J179">
        <v>1.5216613792951535E-2</v>
      </c>
      <c r="K179" t="s">
        <v>185</v>
      </c>
      <c r="P179" t="s">
        <v>108</v>
      </c>
      <c r="Q179" t="s">
        <v>338</v>
      </c>
      <c r="R179" t="s">
        <v>431</v>
      </c>
      <c r="S179" t="s">
        <v>403</v>
      </c>
      <c r="U179" t="s">
        <v>108</v>
      </c>
      <c r="V179" t="s">
        <v>609</v>
      </c>
      <c r="W179" t="s">
        <v>409</v>
      </c>
      <c r="X179" t="s">
        <v>403</v>
      </c>
    </row>
    <row r="180" spans="8:24" x14ac:dyDescent="0.45">
      <c r="H180" t="s">
        <v>245</v>
      </c>
      <c r="I180" t="s">
        <v>187</v>
      </c>
      <c r="J180">
        <v>1.5216613792951535E-2</v>
      </c>
      <c r="K180" t="s">
        <v>185</v>
      </c>
      <c r="P180" t="s">
        <v>108</v>
      </c>
      <c r="Q180" t="s">
        <v>339</v>
      </c>
      <c r="R180" t="s">
        <v>432</v>
      </c>
      <c r="S180" t="s">
        <v>403</v>
      </c>
      <c r="U180" t="s">
        <v>108</v>
      </c>
      <c r="V180" t="s">
        <v>610</v>
      </c>
      <c r="W180" t="s">
        <v>410</v>
      </c>
      <c r="X180" t="s">
        <v>468</v>
      </c>
    </row>
    <row r="181" spans="8:24" x14ac:dyDescent="0.45">
      <c r="H181" t="s">
        <v>246</v>
      </c>
      <c r="I181" t="s">
        <v>184</v>
      </c>
      <c r="J181">
        <v>2.30957499730552E-4</v>
      </c>
      <c r="K181" t="s">
        <v>185</v>
      </c>
      <c r="P181" t="s">
        <v>108</v>
      </c>
      <c r="Q181" t="s">
        <v>340</v>
      </c>
      <c r="R181" t="s">
        <v>433</v>
      </c>
      <c r="S181" t="s">
        <v>403</v>
      </c>
      <c r="U181" t="s">
        <v>108</v>
      </c>
      <c r="V181" t="s">
        <v>611</v>
      </c>
      <c r="W181" t="s">
        <v>410</v>
      </c>
      <c r="X181" t="s">
        <v>468</v>
      </c>
    </row>
    <row r="182" spans="8:24" x14ac:dyDescent="0.45">
      <c r="H182" t="s">
        <v>246</v>
      </c>
      <c r="I182" t="s">
        <v>186</v>
      </c>
      <c r="J182">
        <v>2.30957499730552E-4</v>
      </c>
      <c r="K182" t="s">
        <v>185</v>
      </c>
      <c r="P182" t="s">
        <v>108</v>
      </c>
      <c r="Q182" t="s">
        <v>341</v>
      </c>
      <c r="R182" t="s">
        <v>434</v>
      </c>
      <c r="S182" t="s">
        <v>403</v>
      </c>
      <c r="U182" t="s">
        <v>108</v>
      </c>
      <c r="V182" t="s">
        <v>612</v>
      </c>
      <c r="W182" t="s">
        <v>410</v>
      </c>
      <c r="X182" t="s">
        <v>468</v>
      </c>
    </row>
    <row r="183" spans="8:24" x14ac:dyDescent="0.45">
      <c r="H183" t="s">
        <v>246</v>
      </c>
      <c r="I183" t="s">
        <v>187</v>
      </c>
      <c r="J183">
        <v>2.30957499730552E-4</v>
      </c>
      <c r="K183" t="s">
        <v>185</v>
      </c>
      <c r="P183" t="s">
        <v>108</v>
      </c>
      <c r="Q183" t="s">
        <v>342</v>
      </c>
      <c r="R183" t="s">
        <v>435</v>
      </c>
      <c r="S183" t="s">
        <v>403</v>
      </c>
      <c r="U183" t="s">
        <v>108</v>
      </c>
      <c r="V183" t="s">
        <v>613</v>
      </c>
      <c r="W183" t="s">
        <v>410</v>
      </c>
      <c r="X183" t="s">
        <v>468</v>
      </c>
    </row>
    <row r="184" spans="8:24" x14ac:dyDescent="0.45">
      <c r="H184" t="s">
        <v>247</v>
      </c>
      <c r="I184" t="s">
        <v>184</v>
      </c>
      <c r="J184">
        <v>2.8729760172643598E-3</v>
      </c>
      <c r="K184" t="s">
        <v>185</v>
      </c>
      <c r="P184" t="s">
        <v>108</v>
      </c>
      <c r="Q184" t="s">
        <v>343</v>
      </c>
      <c r="R184" t="s">
        <v>436</v>
      </c>
      <c r="S184" t="s">
        <v>403</v>
      </c>
      <c r="U184" t="s">
        <v>108</v>
      </c>
      <c r="V184" t="s">
        <v>614</v>
      </c>
      <c r="W184" t="s">
        <v>410</v>
      </c>
      <c r="X184" t="s">
        <v>468</v>
      </c>
    </row>
    <row r="185" spans="8:24" x14ac:dyDescent="0.45">
      <c r="H185" t="s">
        <v>247</v>
      </c>
      <c r="I185" t="s">
        <v>186</v>
      </c>
      <c r="J185">
        <v>2.8729760172643598E-3</v>
      </c>
      <c r="K185" t="s">
        <v>185</v>
      </c>
      <c r="P185" t="s">
        <v>108</v>
      </c>
      <c r="Q185" t="s">
        <v>344</v>
      </c>
      <c r="R185" t="s">
        <v>437</v>
      </c>
      <c r="S185" t="s">
        <v>403</v>
      </c>
      <c r="U185" t="s">
        <v>108</v>
      </c>
      <c r="V185" t="s">
        <v>615</v>
      </c>
      <c r="W185" t="s">
        <v>410</v>
      </c>
      <c r="X185" t="s">
        <v>468</v>
      </c>
    </row>
    <row r="186" spans="8:24" x14ac:dyDescent="0.45">
      <c r="H186" t="s">
        <v>247</v>
      </c>
      <c r="I186" t="s">
        <v>187</v>
      </c>
      <c r="J186">
        <v>2.8729760172643598E-3</v>
      </c>
      <c r="K186" t="s">
        <v>185</v>
      </c>
      <c r="P186" t="s">
        <v>108</v>
      </c>
      <c r="Q186" t="s">
        <v>345</v>
      </c>
      <c r="R186" t="s">
        <v>438</v>
      </c>
      <c r="S186" t="s">
        <v>403</v>
      </c>
      <c r="U186" t="s">
        <v>108</v>
      </c>
      <c r="V186" t="s">
        <v>616</v>
      </c>
      <c r="W186" t="s">
        <v>410</v>
      </c>
      <c r="X186" t="s">
        <v>468</v>
      </c>
    </row>
    <row r="187" spans="8:24" x14ac:dyDescent="0.45">
      <c r="H187" t="s">
        <v>248</v>
      </c>
      <c r="I187" t="s">
        <v>184</v>
      </c>
      <c r="J187">
        <v>5.4564833273287441E-2</v>
      </c>
      <c r="K187" t="s">
        <v>185</v>
      </c>
      <c r="P187" t="s">
        <v>108</v>
      </c>
      <c r="Q187" t="s">
        <v>346</v>
      </c>
      <c r="R187" t="s">
        <v>439</v>
      </c>
      <c r="S187" t="s">
        <v>403</v>
      </c>
      <c r="U187" t="s">
        <v>108</v>
      </c>
      <c r="V187" t="s">
        <v>617</v>
      </c>
      <c r="W187" t="s">
        <v>410</v>
      </c>
      <c r="X187" t="s">
        <v>468</v>
      </c>
    </row>
    <row r="188" spans="8:24" x14ac:dyDescent="0.45">
      <c r="H188" t="s">
        <v>248</v>
      </c>
      <c r="I188" t="s">
        <v>186</v>
      </c>
      <c r="J188">
        <v>5.4564833273287441E-2</v>
      </c>
      <c r="K188" t="s">
        <v>185</v>
      </c>
      <c r="P188" t="s">
        <v>108</v>
      </c>
      <c r="Q188" t="s">
        <v>347</v>
      </c>
      <c r="R188" t="s">
        <v>440</v>
      </c>
      <c r="S188" t="s">
        <v>403</v>
      </c>
      <c r="U188" t="s">
        <v>108</v>
      </c>
      <c r="V188" t="s">
        <v>618</v>
      </c>
      <c r="W188" t="s">
        <v>410</v>
      </c>
      <c r="X188" t="s">
        <v>468</v>
      </c>
    </row>
    <row r="189" spans="8:24" x14ac:dyDescent="0.45">
      <c r="H189" t="s">
        <v>248</v>
      </c>
      <c r="I189" t="s">
        <v>187</v>
      </c>
      <c r="J189">
        <v>5.4564833273287441E-2</v>
      </c>
      <c r="K189" t="s">
        <v>185</v>
      </c>
      <c r="P189" t="s">
        <v>108</v>
      </c>
      <c r="Q189" t="s">
        <v>348</v>
      </c>
      <c r="R189" t="s">
        <v>441</v>
      </c>
      <c r="S189" t="s">
        <v>403</v>
      </c>
      <c r="U189" t="s">
        <v>108</v>
      </c>
      <c r="V189" t="s">
        <v>619</v>
      </c>
      <c r="W189" t="s">
        <v>410</v>
      </c>
      <c r="X189" t="s">
        <v>468</v>
      </c>
    </row>
    <row r="190" spans="8:24" x14ac:dyDescent="0.45">
      <c r="H190" t="s">
        <v>249</v>
      </c>
      <c r="I190" t="s">
        <v>184</v>
      </c>
      <c r="J190">
        <v>4.0187722894336501E-3</v>
      </c>
      <c r="K190" t="s">
        <v>185</v>
      </c>
      <c r="P190" t="s">
        <v>108</v>
      </c>
      <c r="Q190" t="s">
        <v>349</v>
      </c>
      <c r="R190" t="s">
        <v>442</v>
      </c>
      <c r="S190" t="s">
        <v>403</v>
      </c>
      <c r="U190" t="s">
        <v>108</v>
      </c>
      <c r="V190" t="s">
        <v>620</v>
      </c>
      <c r="W190" t="s">
        <v>410</v>
      </c>
      <c r="X190" t="s">
        <v>468</v>
      </c>
    </row>
    <row r="191" spans="8:24" x14ac:dyDescent="0.45">
      <c r="H191" t="s">
        <v>249</v>
      </c>
      <c r="I191" t="s">
        <v>186</v>
      </c>
      <c r="J191">
        <v>4.0187722894336501E-3</v>
      </c>
      <c r="K191" t="s">
        <v>185</v>
      </c>
      <c r="P191" t="s">
        <v>108</v>
      </c>
      <c r="Q191" t="s">
        <v>350</v>
      </c>
      <c r="R191" t="s">
        <v>443</v>
      </c>
      <c r="S191" t="s">
        <v>403</v>
      </c>
      <c r="U191" t="s">
        <v>108</v>
      </c>
      <c r="V191" t="s">
        <v>620</v>
      </c>
      <c r="W191" t="s">
        <v>621</v>
      </c>
      <c r="X191" t="s">
        <v>468</v>
      </c>
    </row>
    <row r="192" spans="8:24" x14ac:dyDescent="0.45">
      <c r="H192" t="s">
        <v>249</v>
      </c>
      <c r="I192" t="s">
        <v>187</v>
      </c>
      <c r="J192">
        <v>4.0187722894336501E-3</v>
      </c>
      <c r="K192" t="s">
        <v>185</v>
      </c>
      <c r="P192" t="s">
        <v>108</v>
      </c>
      <c r="Q192" t="s">
        <v>376</v>
      </c>
      <c r="R192" t="s">
        <v>444</v>
      </c>
      <c r="S192" t="s">
        <v>403</v>
      </c>
      <c r="U192" t="s">
        <v>108</v>
      </c>
      <c r="V192" t="s">
        <v>622</v>
      </c>
      <c r="W192" t="s">
        <v>410</v>
      </c>
      <c r="X192" t="s">
        <v>468</v>
      </c>
    </row>
    <row r="193" spans="8:24" x14ac:dyDescent="0.45">
      <c r="H193" t="s">
        <v>250</v>
      </c>
      <c r="I193" t="s">
        <v>184</v>
      </c>
      <c r="J193">
        <v>8.1949397353194356E-2</v>
      </c>
      <c r="K193" t="s">
        <v>185</v>
      </c>
      <c r="P193" t="s">
        <v>108</v>
      </c>
      <c r="Q193" t="s">
        <v>377</v>
      </c>
      <c r="R193" t="s">
        <v>445</v>
      </c>
      <c r="S193" t="s">
        <v>403</v>
      </c>
      <c r="U193" t="s">
        <v>108</v>
      </c>
      <c r="V193" t="s">
        <v>622</v>
      </c>
      <c r="W193" t="s">
        <v>621</v>
      </c>
      <c r="X193" t="s">
        <v>468</v>
      </c>
    </row>
    <row r="194" spans="8:24" x14ac:dyDescent="0.45">
      <c r="H194" t="s">
        <v>250</v>
      </c>
      <c r="I194" t="s">
        <v>186</v>
      </c>
      <c r="J194">
        <v>8.1949397353194356E-2</v>
      </c>
      <c r="K194" t="s">
        <v>185</v>
      </c>
      <c r="P194" t="s">
        <v>108</v>
      </c>
      <c r="Q194" t="s">
        <v>378</v>
      </c>
      <c r="R194" t="s">
        <v>446</v>
      </c>
      <c r="S194" t="s">
        <v>403</v>
      </c>
      <c r="U194" t="s">
        <v>108</v>
      </c>
      <c r="V194" t="s">
        <v>623</v>
      </c>
      <c r="W194" t="s">
        <v>410</v>
      </c>
      <c r="X194" t="s">
        <v>468</v>
      </c>
    </row>
    <row r="195" spans="8:24" x14ac:dyDescent="0.45">
      <c r="H195" t="s">
        <v>250</v>
      </c>
      <c r="I195" t="s">
        <v>187</v>
      </c>
      <c r="J195">
        <v>8.1949397353194356E-2</v>
      </c>
      <c r="K195" t="s">
        <v>185</v>
      </c>
      <c r="P195" t="s">
        <v>108</v>
      </c>
      <c r="Q195" t="s">
        <v>379</v>
      </c>
      <c r="R195" t="s">
        <v>447</v>
      </c>
      <c r="S195" t="s">
        <v>403</v>
      </c>
      <c r="U195" t="s">
        <v>108</v>
      </c>
      <c r="V195" t="s">
        <v>623</v>
      </c>
      <c r="W195" t="s">
        <v>621</v>
      </c>
      <c r="X195" t="s">
        <v>468</v>
      </c>
    </row>
    <row r="196" spans="8:24" x14ac:dyDescent="0.45">
      <c r="H196" t="s">
        <v>251</v>
      </c>
      <c r="I196" t="s">
        <v>184</v>
      </c>
      <c r="J196">
        <v>2.1394757816459021E-3</v>
      </c>
      <c r="K196" t="s">
        <v>185</v>
      </c>
      <c r="P196" t="s">
        <v>108</v>
      </c>
      <c r="Q196" t="s">
        <v>380</v>
      </c>
      <c r="R196" t="s">
        <v>448</v>
      </c>
      <c r="S196" t="s">
        <v>403</v>
      </c>
      <c r="U196" t="s">
        <v>108</v>
      </c>
      <c r="V196" t="s">
        <v>624</v>
      </c>
      <c r="W196" t="s">
        <v>621</v>
      </c>
      <c r="X196" t="s">
        <v>468</v>
      </c>
    </row>
    <row r="197" spans="8:24" x14ac:dyDescent="0.45">
      <c r="H197" t="s">
        <v>251</v>
      </c>
      <c r="I197" t="s">
        <v>186</v>
      </c>
      <c r="J197">
        <v>2.1394757816459021E-3</v>
      </c>
      <c r="K197" t="s">
        <v>185</v>
      </c>
      <c r="P197" t="s">
        <v>108</v>
      </c>
      <c r="Q197" t="s">
        <v>381</v>
      </c>
      <c r="R197" t="s">
        <v>449</v>
      </c>
      <c r="S197" t="s">
        <v>403</v>
      </c>
      <c r="U197" t="s">
        <v>108</v>
      </c>
      <c r="V197" t="s">
        <v>625</v>
      </c>
      <c r="W197" t="s">
        <v>621</v>
      </c>
      <c r="X197" t="s">
        <v>468</v>
      </c>
    </row>
    <row r="198" spans="8:24" x14ac:dyDescent="0.45">
      <c r="H198" t="s">
        <v>251</v>
      </c>
      <c r="I198" t="s">
        <v>187</v>
      </c>
      <c r="J198">
        <v>2.1394757816459021E-3</v>
      </c>
      <c r="K198" t="s">
        <v>185</v>
      </c>
      <c r="P198" t="s">
        <v>108</v>
      </c>
      <c r="Q198" t="s">
        <v>382</v>
      </c>
      <c r="R198" t="s">
        <v>450</v>
      </c>
      <c r="S198" t="s">
        <v>403</v>
      </c>
      <c r="U198" t="s">
        <v>108</v>
      </c>
      <c r="V198" t="s">
        <v>626</v>
      </c>
      <c r="W198" t="s">
        <v>621</v>
      </c>
      <c r="X198" t="s">
        <v>468</v>
      </c>
    </row>
    <row r="199" spans="8:24" x14ac:dyDescent="0.45">
      <c r="H199" t="s">
        <v>252</v>
      </c>
      <c r="I199" t="s">
        <v>184</v>
      </c>
      <c r="J199">
        <v>2.6110041465990746E-2</v>
      </c>
      <c r="K199" t="s">
        <v>185</v>
      </c>
      <c r="P199" t="s">
        <v>108</v>
      </c>
      <c r="Q199" t="s">
        <v>383</v>
      </c>
      <c r="R199" t="s">
        <v>451</v>
      </c>
      <c r="S199" t="s">
        <v>403</v>
      </c>
      <c r="U199" t="s">
        <v>108</v>
      </c>
      <c r="V199" t="s">
        <v>626</v>
      </c>
      <c r="W199" t="s">
        <v>410</v>
      </c>
      <c r="X199" t="s">
        <v>403</v>
      </c>
    </row>
    <row r="200" spans="8:24" x14ac:dyDescent="0.45">
      <c r="H200" t="s">
        <v>252</v>
      </c>
      <c r="I200" t="s">
        <v>186</v>
      </c>
      <c r="J200">
        <v>2.6110041465990746E-2</v>
      </c>
      <c r="K200" t="s">
        <v>185</v>
      </c>
      <c r="P200" t="s">
        <v>108</v>
      </c>
      <c r="Q200" t="s">
        <v>384</v>
      </c>
      <c r="R200" t="s">
        <v>452</v>
      </c>
      <c r="S200" t="s">
        <v>403</v>
      </c>
      <c r="U200" t="s">
        <v>108</v>
      </c>
      <c r="V200" t="s">
        <v>627</v>
      </c>
      <c r="W200" t="s">
        <v>621</v>
      </c>
      <c r="X200" t="s">
        <v>468</v>
      </c>
    </row>
    <row r="201" spans="8:24" x14ac:dyDescent="0.45">
      <c r="H201" t="s">
        <v>252</v>
      </c>
      <c r="I201" t="s">
        <v>187</v>
      </c>
      <c r="J201">
        <v>2.6110041465990746E-2</v>
      </c>
      <c r="K201" t="s">
        <v>185</v>
      </c>
      <c r="P201" t="s">
        <v>108</v>
      </c>
      <c r="Q201" t="s">
        <v>387</v>
      </c>
      <c r="R201" t="s">
        <v>453</v>
      </c>
      <c r="S201" t="s">
        <v>403</v>
      </c>
      <c r="U201" t="s">
        <v>108</v>
      </c>
      <c r="V201" t="s">
        <v>627</v>
      </c>
      <c r="W201" t="s">
        <v>410</v>
      </c>
      <c r="X201" t="s">
        <v>403</v>
      </c>
    </row>
    <row r="202" spans="8:24" x14ac:dyDescent="0.45">
      <c r="H202" t="s">
        <v>253</v>
      </c>
      <c r="I202" t="s">
        <v>184</v>
      </c>
      <c r="J202">
        <v>2.7516846158677402E-4</v>
      </c>
      <c r="K202" t="s">
        <v>185</v>
      </c>
      <c r="P202" t="s">
        <v>108</v>
      </c>
      <c r="Q202" t="s">
        <v>388</v>
      </c>
      <c r="R202" t="s">
        <v>454</v>
      </c>
      <c r="S202" t="s">
        <v>403</v>
      </c>
      <c r="U202" t="s">
        <v>108</v>
      </c>
      <c r="V202" t="s">
        <v>628</v>
      </c>
      <c r="W202" t="s">
        <v>411</v>
      </c>
      <c r="X202" t="s">
        <v>468</v>
      </c>
    </row>
    <row r="203" spans="8:24" x14ac:dyDescent="0.45">
      <c r="H203" t="s">
        <v>253</v>
      </c>
      <c r="I203" t="s">
        <v>186</v>
      </c>
      <c r="J203">
        <v>2.7516846158677402E-4</v>
      </c>
      <c r="K203" t="s">
        <v>185</v>
      </c>
      <c r="P203" t="s">
        <v>108</v>
      </c>
      <c r="Q203" t="s">
        <v>389</v>
      </c>
      <c r="R203" t="s">
        <v>455</v>
      </c>
      <c r="S203" t="s">
        <v>403</v>
      </c>
      <c r="U203" t="s">
        <v>108</v>
      </c>
      <c r="V203" t="s">
        <v>629</v>
      </c>
      <c r="W203" t="s">
        <v>411</v>
      </c>
      <c r="X203" t="s">
        <v>468</v>
      </c>
    </row>
    <row r="204" spans="8:24" x14ac:dyDescent="0.45">
      <c r="H204" t="s">
        <v>253</v>
      </c>
      <c r="I204" t="s">
        <v>187</v>
      </c>
      <c r="J204">
        <v>2.7516846158677402E-4</v>
      </c>
      <c r="K204" t="s">
        <v>185</v>
      </c>
      <c r="P204" t="s">
        <v>108</v>
      </c>
      <c r="Q204" t="s">
        <v>390</v>
      </c>
      <c r="R204" t="s">
        <v>456</v>
      </c>
      <c r="S204" t="s">
        <v>403</v>
      </c>
      <c r="U204" t="s">
        <v>108</v>
      </c>
      <c r="V204" t="s">
        <v>630</v>
      </c>
      <c r="W204" t="s">
        <v>411</v>
      </c>
      <c r="X204" t="s">
        <v>468</v>
      </c>
    </row>
    <row r="205" spans="8:24" x14ac:dyDescent="0.45">
      <c r="H205" t="s">
        <v>254</v>
      </c>
      <c r="I205" t="s">
        <v>184</v>
      </c>
      <c r="J205">
        <v>1.3769701841159041E-3</v>
      </c>
      <c r="K205" t="s">
        <v>185</v>
      </c>
      <c r="P205" t="s">
        <v>108</v>
      </c>
      <c r="Q205" t="s">
        <v>391</v>
      </c>
      <c r="R205" t="s">
        <v>457</v>
      </c>
      <c r="S205" t="s">
        <v>403</v>
      </c>
      <c r="U205" t="s">
        <v>108</v>
      </c>
      <c r="V205" t="s">
        <v>631</v>
      </c>
      <c r="W205" t="s">
        <v>411</v>
      </c>
      <c r="X205" t="s">
        <v>468</v>
      </c>
    </row>
    <row r="206" spans="8:24" x14ac:dyDescent="0.45">
      <c r="H206" t="s">
        <v>254</v>
      </c>
      <c r="I206" t="s">
        <v>186</v>
      </c>
      <c r="J206">
        <v>1.3769701841159041E-3</v>
      </c>
      <c r="K206" t="s">
        <v>185</v>
      </c>
      <c r="P206" t="s">
        <v>108</v>
      </c>
      <c r="Q206" t="s">
        <v>392</v>
      </c>
      <c r="R206" t="s">
        <v>458</v>
      </c>
      <c r="S206" t="s">
        <v>403</v>
      </c>
      <c r="U206" t="s">
        <v>108</v>
      </c>
      <c r="V206" t="s">
        <v>632</v>
      </c>
      <c r="W206" t="s">
        <v>411</v>
      </c>
      <c r="X206" t="s">
        <v>468</v>
      </c>
    </row>
    <row r="207" spans="8:24" x14ac:dyDescent="0.45">
      <c r="H207" t="s">
        <v>254</v>
      </c>
      <c r="I207" t="s">
        <v>187</v>
      </c>
      <c r="J207">
        <v>1.3769701841159041E-3</v>
      </c>
      <c r="K207" t="s">
        <v>185</v>
      </c>
      <c r="P207" t="s">
        <v>108</v>
      </c>
      <c r="Q207" t="s">
        <v>459</v>
      </c>
      <c r="R207" t="s">
        <v>460</v>
      </c>
      <c r="S207" t="s">
        <v>403</v>
      </c>
      <c r="U207" t="s">
        <v>108</v>
      </c>
      <c r="V207" t="s">
        <v>633</v>
      </c>
      <c r="W207" t="s">
        <v>411</v>
      </c>
      <c r="X207" t="s">
        <v>468</v>
      </c>
    </row>
    <row r="208" spans="8:24" x14ac:dyDescent="0.45">
      <c r="H208" t="s">
        <v>255</v>
      </c>
      <c r="I208" t="s">
        <v>184</v>
      </c>
      <c r="J208">
        <v>1.719067771431402E-3</v>
      </c>
      <c r="K208" t="s">
        <v>185</v>
      </c>
      <c r="P208" t="s">
        <v>108</v>
      </c>
      <c r="Q208" t="s">
        <v>393</v>
      </c>
      <c r="R208" t="s">
        <v>461</v>
      </c>
      <c r="S208" t="s">
        <v>403</v>
      </c>
      <c r="U208" t="s">
        <v>108</v>
      </c>
      <c r="V208" t="s">
        <v>634</v>
      </c>
      <c r="W208" t="s">
        <v>411</v>
      </c>
      <c r="X208" t="s">
        <v>468</v>
      </c>
    </row>
    <row r="209" spans="8:24" x14ac:dyDescent="0.45">
      <c r="H209" t="s">
        <v>255</v>
      </c>
      <c r="I209" t="s">
        <v>186</v>
      </c>
      <c r="J209">
        <v>1.719067771431402E-3</v>
      </c>
      <c r="K209" t="s">
        <v>185</v>
      </c>
      <c r="P209" t="s">
        <v>108</v>
      </c>
      <c r="Q209" t="s">
        <v>394</v>
      </c>
      <c r="R209" t="s">
        <v>462</v>
      </c>
      <c r="S209" t="s">
        <v>403</v>
      </c>
      <c r="U209" t="s">
        <v>108</v>
      </c>
      <c r="V209" t="s">
        <v>635</v>
      </c>
      <c r="W209" t="s">
        <v>411</v>
      </c>
      <c r="X209" t="s">
        <v>468</v>
      </c>
    </row>
    <row r="210" spans="8:24" x14ac:dyDescent="0.45">
      <c r="H210" t="s">
        <v>255</v>
      </c>
      <c r="I210" t="s">
        <v>187</v>
      </c>
      <c r="J210">
        <v>1.719067771431402E-3</v>
      </c>
      <c r="K210" t="s">
        <v>185</v>
      </c>
      <c r="P210" t="s">
        <v>108</v>
      </c>
      <c r="Q210" t="s">
        <v>395</v>
      </c>
      <c r="R210" t="s">
        <v>463</v>
      </c>
      <c r="S210" t="s">
        <v>403</v>
      </c>
      <c r="U210" t="s">
        <v>108</v>
      </c>
      <c r="V210" t="s">
        <v>636</v>
      </c>
      <c r="W210" t="s">
        <v>411</v>
      </c>
      <c r="X210" t="s">
        <v>468</v>
      </c>
    </row>
    <row r="211" spans="8:24" x14ac:dyDescent="0.45">
      <c r="H211" t="s">
        <v>256</v>
      </c>
      <c r="I211" t="s">
        <v>184</v>
      </c>
      <c r="J211">
        <v>3.6100415389131238E-3</v>
      </c>
      <c r="K211" t="s">
        <v>185</v>
      </c>
      <c r="P211" t="s">
        <v>108</v>
      </c>
      <c r="Q211" t="s">
        <v>396</v>
      </c>
      <c r="R211" t="s">
        <v>464</v>
      </c>
      <c r="S211" t="s">
        <v>403</v>
      </c>
      <c r="U211" t="s">
        <v>108</v>
      </c>
      <c r="V211" t="s">
        <v>637</v>
      </c>
      <c r="W211" t="s">
        <v>411</v>
      </c>
      <c r="X211" t="s">
        <v>468</v>
      </c>
    </row>
    <row r="212" spans="8:24" x14ac:dyDescent="0.45">
      <c r="H212" t="s">
        <v>256</v>
      </c>
      <c r="I212" t="s">
        <v>186</v>
      </c>
      <c r="J212">
        <v>3.6100415389131238E-3</v>
      </c>
      <c r="K212" t="s">
        <v>185</v>
      </c>
      <c r="P212" t="s">
        <v>108</v>
      </c>
      <c r="Q212" t="s">
        <v>397</v>
      </c>
      <c r="R212" t="s">
        <v>465</v>
      </c>
      <c r="S212" t="s">
        <v>403</v>
      </c>
      <c r="U212" t="s">
        <v>108</v>
      </c>
      <c r="V212" t="s">
        <v>638</v>
      </c>
      <c r="W212" t="s">
        <v>411</v>
      </c>
      <c r="X212" t="s">
        <v>468</v>
      </c>
    </row>
    <row r="213" spans="8:24" x14ac:dyDescent="0.45">
      <c r="H213" t="s">
        <v>256</v>
      </c>
      <c r="I213" t="s">
        <v>187</v>
      </c>
      <c r="J213">
        <v>3.6100415389131238E-3</v>
      </c>
      <c r="K213" t="s">
        <v>185</v>
      </c>
      <c r="P213" t="s">
        <v>108</v>
      </c>
      <c r="Q213" t="s">
        <v>398</v>
      </c>
      <c r="R213" t="s">
        <v>466</v>
      </c>
      <c r="S213" t="s">
        <v>403</v>
      </c>
      <c r="U213" t="s">
        <v>108</v>
      </c>
      <c r="V213" t="s">
        <v>638</v>
      </c>
      <c r="W213" t="s">
        <v>639</v>
      </c>
      <c r="X213" t="s">
        <v>468</v>
      </c>
    </row>
    <row r="214" spans="8:24" x14ac:dyDescent="0.45">
      <c r="H214" t="s">
        <v>257</v>
      </c>
      <c r="I214" t="s">
        <v>184</v>
      </c>
      <c r="J214">
        <v>7.8980458320231995E-4</v>
      </c>
      <c r="K214" t="s">
        <v>185</v>
      </c>
      <c r="U214" t="s">
        <v>108</v>
      </c>
      <c r="V214" t="s">
        <v>640</v>
      </c>
      <c r="W214" t="s">
        <v>411</v>
      </c>
      <c r="X214" t="s">
        <v>468</v>
      </c>
    </row>
    <row r="215" spans="8:24" x14ac:dyDescent="0.45">
      <c r="H215" t="s">
        <v>257</v>
      </c>
      <c r="I215" t="s">
        <v>186</v>
      </c>
      <c r="J215">
        <v>7.8980458320231995E-4</v>
      </c>
      <c r="K215" t="s">
        <v>185</v>
      </c>
      <c r="U215" t="s">
        <v>108</v>
      </c>
      <c r="V215" t="s">
        <v>640</v>
      </c>
      <c r="W215" t="s">
        <v>639</v>
      </c>
      <c r="X215" t="s">
        <v>468</v>
      </c>
    </row>
    <row r="216" spans="8:24" x14ac:dyDescent="0.45">
      <c r="H216" t="s">
        <v>257</v>
      </c>
      <c r="I216" t="s">
        <v>187</v>
      </c>
      <c r="J216">
        <v>7.8980458320231995E-4</v>
      </c>
      <c r="K216" t="s">
        <v>185</v>
      </c>
      <c r="U216" t="s">
        <v>108</v>
      </c>
      <c r="V216" t="s">
        <v>641</v>
      </c>
      <c r="W216" t="s">
        <v>411</v>
      </c>
      <c r="X216" t="s">
        <v>468</v>
      </c>
    </row>
    <row r="217" spans="8:24" x14ac:dyDescent="0.45">
      <c r="H217" t="s">
        <v>258</v>
      </c>
      <c r="I217" t="s">
        <v>184</v>
      </c>
      <c r="J217">
        <v>5.5002991205177539E-3</v>
      </c>
      <c r="K217" t="s">
        <v>185</v>
      </c>
      <c r="U217" t="s">
        <v>108</v>
      </c>
      <c r="V217" t="s">
        <v>641</v>
      </c>
      <c r="W217" t="s">
        <v>639</v>
      </c>
      <c r="X217" t="s">
        <v>468</v>
      </c>
    </row>
    <row r="218" spans="8:24" x14ac:dyDescent="0.45">
      <c r="H218" t="s">
        <v>258</v>
      </c>
      <c r="I218" t="s">
        <v>186</v>
      </c>
      <c r="J218">
        <v>5.5002991205177539E-3</v>
      </c>
      <c r="K218" t="s">
        <v>185</v>
      </c>
      <c r="U218" t="s">
        <v>108</v>
      </c>
      <c r="V218" t="s">
        <v>642</v>
      </c>
      <c r="W218" t="s">
        <v>639</v>
      </c>
      <c r="X218" t="s">
        <v>468</v>
      </c>
    </row>
    <row r="219" spans="8:24" x14ac:dyDescent="0.45">
      <c r="H219" t="s">
        <v>258</v>
      </c>
      <c r="I219" t="s">
        <v>187</v>
      </c>
      <c r="J219">
        <v>5.5002991205177539E-3</v>
      </c>
      <c r="K219" t="s">
        <v>185</v>
      </c>
      <c r="U219" t="s">
        <v>108</v>
      </c>
      <c r="V219" t="s">
        <v>643</v>
      </c>
      <c r="W219" t="s">
        <v>639</v>
      </c>
      <c r="X219" t="s">
        <v>468</v>
      </c>
    </row>
    <row r="220" spans="8:24" x14ac:dyDescent="0.45">
      <c r="H220" t="s">
        <v>259</v>
      </c>
      <c r="I220" t="s">
        <v>184</v>
      </c>
      <c r="J220">
        <v>1.421550514785919E-2</v>
      </c>
      <c r="K220" t="s">
        <v>185</v>
      </c>
      <c r="U220" t="s">
        <v>108</v>
      </c>
      <c r="V220" t="s">
        <v>644</v>
      </c>
      <c r="W220" t="s">
        <v>639</v>
      </c>
      <c r="X220" t="s">
        <v>468</v>
      </c>
    </row>
    <row r="221" spans="8:24" x14ac:dyDescent="0.45">
      <c r="H221" t="s">
        <v>259</v>
      </c>
      <c r="I221" t="s">
        <v>186</v>
      </c>
      <c r="J221">
        <v>1.421550514785919E-2</v>
      </c>
      <c r="K221" t="s">
        <v>185</v>
      </c>
      <c r="U221" t="s">
        <v>108</v>
      </c>
      <c r="V221" t="s">
        <v>644</v>
      </c>
      <c r="W221" t="s">
        <v>411</v>
      </c>
      <c r="X221" t="s">
        <v>403</v>
      </c>
    </row>
    <row r="222" spans="8:24" x14ac:dyDescent="0.45">
      <c r="H222" t="s">
        <v>259</v>
      </c>
      <c r="I222" t="s">
        <v>187</v>
      </c>
      <c r="J222">
        <v>1.421550514785919E-2</v>
      </c>
      <c r="K222" t="s">
        <v>185</v>
      </c>
      <c r="U222" t="s">
        <v>108</v>
      </c>
      <c r="V222" t="s">
        <v>645</v>
      </c>
      <c r="W222" t="s">
        <v>639</v>
      </c>
      <c r="X222" t="s">
        <v>468</v>
      </c>
    </row>
    <row r="223" spans="8:24" x14ac:dyDescent="0.45">
      <c r="H223" t="s">
        <v>260</v>
      </c>
      <c r="I223" t="s">
        <v>184</v>
      </c>
      <c r="J223">
        <v>8.8684804002168854E-2</v>
      </c>
      <c r="K223" t="s">
        <v>185</v>
      </c>
      <c r="U223" t="s">
        <v>108</v>
      </c>
      <c r="V223" t="s">
        <v>645</v>
      </c>
      <c r="W223" t="s">
        <v>411</v>
      </c>
      <c r="X223" t="s">
        <v>403</v>
      </c>
    </row>
    <row r="224" spans="8:24" x14ac:dyDescent="0.45">
      <c r="H224" t="s">
        <v>260</v>
      </c>
      <c r="I224" t="s">
        <v>186</v>
      </c>
      <c r="J224">
        <v>8.8684804002168854E-2</v>
      </c>
      <c r="K224" t="s">
        <v>185</v>
      </c>
      <c r="U224" t="s">
        <v>108</v>
      </c>
      <c r="V224" t="s">
        <v>646</v>
      </c>
      <c r="W224" t="s">
        <v>412</v>
      </c>
      <c r="X224" t="s">
        <v>468</v>
      </c>
    </row>
    <row r="225" spans="8:24" x14ac:dyDescent="0.45">
      <c r="H225" t="s">
        <v>260</v>
      </c>
      <c r="I225" t="s">
        <v>187</v>
      </c>
      <c r="J225">
        <v>8.8684804002168854E-2</v>
      </c>
      <c r="K225" t="s">
        <v>185</v>
      </c>
      <c r="U225" t="s">
        <v>108</v>
      </c>
      <c r="V225" t="s">
        <v>647</v>
      </c>
      <c r="W225" t="s">
        <v>412</v>
      </c>
      <c r="X225" t="s">
        <v>468</v>
      </c>
    </row>
    <row r="226" spans="8:24" x14ac:dyDescent="0.45">
      <c r="H226" t="s">
        <v>261</v>
      </c>
      <c r="I226" t="s">
        <v>184</v>
      </c>
      <c r="J226">
        <v>6.8139620944732814E-3</v>
      </c>
      <c r="K226" t="s">
        <v>185</v>
      </c>
      <c r="U226" t="s">
        <v>108</v>
      </c>
      <c r="V226" t="s">
        <v>648</v>
      </c>
      <c r="W226" t="s">
        <v>412</v>
      </c>
      <c r="X226" t="s">
        <v>468</v>
      </c>
    </row>
    <row r="227" spans="8:24" x14ac:dyDescent="0.45">
      <c r="H227" t="s">
        <v>261</v>
      </c>
      <c r="I227" t="s">
        <v>186</v>
      </c>
      <c r="J227">
        <v>6.8139620944732814E-3</v>
      </c>
      <c r="K227" t="s">
        <v>185</v>
      </c>
      <c r="U227" t="s">
        <v>108</v>
      </c>
      <c r="V227" t="s">
        <v>649</v>
      </c>
      <c r="W227" t="s">
        <v>412</v>
      </c>
      <c r="X227" t="s">
        <v>468</v>
      </c>
    </row>
    <row r="228" spans="8:24" x14ac:dyDescent="0.45">
      <c r="H228" t="s">
        <v>261</v>
      </c>
      <c r="I228" t="s">
        <v>187</v>
      </c>
      <c r="J228">
        <v>6.8139620944732814E-3</v>
      </c>
      <c r="K228" t="s">
        <v>185</v>
      </c>
      <c r="U228" t="s">
        <v>108</v>
      </c>
      <c r="V228" t="s">
        <v>650</v>
      </c>
      <c r="W228" t="s">
        <v>412</v>
      </c>
      <c r="X228" t="s">
        <v>468</v>
      </c>
    </row>
    <row r="229" spans="8:24" x14ac:dyDescent="0.45">
      <c r="H229" t="s">
        <v>262</v>
      </c>
      <c r="I229" t="s">
        <v>184</v>
      </c>
      <c r="J229">
        <v>8.2197613296771006E-4</v>
      </c>
      <c r="K229" t="s">
        <v>185</v>
      </c>
      <c r="U229" t="s">
        <v>108</v>
      </c>
      <c r="V229" t="s">
        <v>651</v>
      </c>
      <c r="W229" t="s">
        <v>412</v>
      </c>
      <c r="X229" t="s">
        <v>468</v>
      </c>
    </row>
    <row r="230" spans="8:24" x14ac:dyDescent="0.45">
      <c r="H230" t="s">
        <v>262</v>
      </c>
      <c r="I230" t="s">
        <v>186</v>
      </c>
      <c r="J230">
        <v>8.2197613296771006E-4</v>
      </c>
      <c r="K230" t="s">
        <v>185</v>
      </c>
      <c r="U230" t="s">
        <v>108</v>
      </c>
      <c r="V230" t="s">
        <v>652</v>
      </c>
      <c r="W230" t="s">
        <v>412</v>
      </c>
      <c r="X230" t="s">
        <v>468</v>
      </c>
    </row>
    <row r="231" spans="8:24" x14ac:dyDescent="0.45">
      <c r="H231" t="s">
        <v>262</v>
      </c>
      <c r="I231" t="s">
        <v>187</v>
      </c>
      <c r="J231">
        <v>8.2197613296771006E-4</v>
      </c>
      <c r="K231" t="s">
        <v>185</v>
      </c>
      <c r="U231" t="s">
        <v>108</v>
      </c>
      <c r="V231" t="s">
        <v>653</v>
      </c>
      <c r="W231" t="s">
        <v>412</v>
      </c>
      <c r="X231" t="s">
        <v>468</v>
      </c>
    </row>
    <row r="232" spans="8:24" x14ac:dyDescent="0.45">
      <c r="H232" t="s">
        <v>263</v>
      </c>
      <c r="I232" t="s">
        <v>184</v>
      </c>
      <c r="J232">
        <v>6.0243632321120399E-2</v>
      </c>
      <c r="K232" t="s">
        <v>185</v>
      </c>
      <c r="U232" t="s">
        <v>108</v>
      </c>
      <c r="V232" t="s">
        <v>654</v>
      </c>
      <c r="W232" t="s">
        <v>412</v>
      </c>
      <c r="X232" t="s">
        <v>468</v>
      </c>
    </row>
    <row r="233" spans="8:24" x14ac:dyDescent="0.45">
      <c r="H233" t="s">
        <v>263</v>
      </c>
      <c r="I233" t="s">
        <v>186</v>
      </c>
      <c r="J233">
        <v>6.0243632321120399E-2</v>
      </c>
      <c r="K233" t="s">
        <v>185</v>
      </c>
      <c r="U233" t="s">
        <v>108</v>
      </c>
      <c r="V233" t="s">
        <v>655</v>
      </c>
      <c r="W233" t="s">
        <v>412</v>
      </c>
      <c r="X233" t="s">
        <v>468</v>
      </c>
    </row>
    <row r="234" spans="8:24" x14ac:dyDescent="0.45">
      <c r="H234" t="s">
        <v>263</v>
      </c>
      <c r="I234" t="s">
        <v>187</v>
      </c>
      <c r="J234">
        <v>6.0243632321120399E-2</v>
      </c>
      <c r="K234" t="s">
        <v>185</v>
      </c>
      <c r="U234" t="s">
        <v>108</v>
      </c>
      <c r="V234" t="s">
        <v>656</v>
      </c>
      <c r="W234" t="s">
        <v>412</v>
      </c>
      <c r="X234" t="s">
        <v>468</v>
      </c>
    </row>
    <row r="235" spans="8:24" x14ac:dyDescent="0.45">
      <c r="H235" t="s">
        <v>264</v>
      </c>
      <c r="I235" t="s">
        <v>184</v>
      </c>
      <c r="J235">
        <v>2.0262038649744473E-2</v>
      </c>
      <c r="K235" t="s">
        <v>185</v>
      </c>
      <c r="U235" t="s">
        <v>108</v>
      </c>
      <c r="V235" t="s">
        <v>656</v>
      </c>
      <c r="W235" t="s">
        <v>455</v>
      </c>
      <c r="X235" t="s">
        <v>468</v>
      </c>
    </row>
    <row r="236" spans="8:24" x14ac:dyDescent="0.45">
      <c r="H236" t="s">
        <v>264</v>
      </c>
      <c r="I236" t="s">
        <v>186</v>
      </c>
      <c r="J236">
        <v>2.0262038649744473E-2</v>
      </c>
      <c r="K236" t="s">
        <v>185</v>
      </c>
      <c r="U236" t="s">
        <v>108</v>
      </c>
      <c r="V236" t="s">
        <v>657</v>
      </c>
      <c r="W236" t="s">
        <v>412</v>
      </c>
      <c r="X236" t="s">
        <v>468</v>
      </c>
    </row>
    <row r="237" spans="8:24" x14ac:dyDescent="0.45">
      <c r="H237" t="s">
        <v>264</v>
      </c>
      <c r="I237" t="s">
        <v>187</v>
      </c>
      <c r="J237">
        <v>2.0262038649744473E-2</v>
      </c>
      <c r="K237" t="s">
        <v>185</v>
      </c>
      <c r="U237" t="s">
        <v>108</v>
      </c>
      <c r="V237" t="s">
        <v>657</v>
      </c>
      <c r="W237" t="s">
        <v>455</v>
      </c>
      <c r="X237" t="s">
        <v>468</v>
      </c>
    </row>
    <row r="238" spans="8:24" x14ac:dyDescent="0.45">
      <c r="H238" t="s">
        <v>265</v>
      </c>
      <c r="I238" t="s">
        <v>184</v>
      </c>
      <c r="J238">
        <v>5.0279390308648739E-2</v>
      </c>
      <c r="K238" t="s">
        <v>185</v>
      </c>
      <c r="U238" t="s">
        <v>108</v>
      </c>
      <c r="V238" t="s">
        <v>658</v>
      </c>
      <c r="W238" t="s">
        <v>412</v>
      </c>
      <c r="X238" t="s">
        <v>468</v>
      </c>
    </row>
    <row r="239" spans="8:24" x14ac:dyDescent="0.45">
      <c r="H239" t="s">
        <v>265</v>
      </c>
      <c r="I239" t="s">
        <v>186</v>
      </c>
      <c r="J239">
        <v>5.0279390308648739E-2</v>
      </c>
      <c r="K239" t="s">
        <v>185</v>
      </c>
      <c r="U239" t="s">
        <v>108</v>
      </c>
      <c r="V239" t="s">
        <v>658</v>
      </c>
      <c r="W239" t="s">
        <v>455</v>
      </c>
      <c r="X239" t="s">
        <v>468</v>
      </c>
    </row>
    <row r="240" spans="8:24" x14ac:dyDescent="0.45">
      <c r="H240" t="s">
        <v>265</v>
      </c>
      <c r="I240" t="s">
        <v>187</v>
      </c>
      <c r="J240">
        <v>5.0279390308648739E-2</v>
      </c>
      <c r="K240" t="s">
        <v>185</v>
      </c>
      <c r="U240" t="s">
        <v>108</v>
      </c>
      <c r="V240" t="s">
        <v>659</v>
      </c>
      <c r="W240" t="s">
        <v>455</v>
      </c>
      <c r="X240" t="s">
        <v>468</v>
      </c>
    </row>
    <row r="241" spans="8:24" x14ac:dyDescent="0.45">
      <c r="H241" t="s">
        <v>266</v>
      </c>
      <c r="I241" t="s">
        <v>184</v>
      </c>
      <c r="J241">
        <v>9.649607985919061E-3</v>
      </c>
      <c r="K241" t="s">
        <v>185</v>
      </c>
      <c r="U241" t="s">
        <v>108</v>
      </c>
      <c r="V241" t="s">
        <v>660</v>
      </c>
      <c r="W241" t="s">
        <v>455</v>
      </c>
      <c r="X241" t="s">
        <v>468</v>
      </c>
    </row>
    <row r="242" spans="8:24" x14ac:dyDescent="0.45">
      <c r="H242" t="s">
        <v>266</v>
      </c>
      <c r="I242" t="s">
        <v>186</v>
      </c>
      <c r="J242">
        <v>9.649607985919061E-3</v>
      </c>
      <c r="K242" t="s">
        <v>185</v>
      </c>
      <c r="U242" t="s">
        <v>108</v>
      </c>
      <c r="V242" t="s">
        <v>661</v>
      </c>
      <c r="W242" t="s">
        <v>455</v>
      </c>
      <c r="X242" t="s">
        <v>468</v>
      </c>
    </row>
    <row r="243" spans="8:24" x14ac:dyDescent="0.45">
      <c r="H243" t="s">
        <v>266</v>
      </c>
      <c r="I243" t="s">
        <v>187</v>
      </c>
      <c r="J243">
        <v>9.649607985919061E-3</v>
      </c>
      <c r="K243" t="s">
        <v>185</v>
      </c>
      <c r="U243" t="s">
        <v>108</v>
      </c>
      <c r="V243" t="s">
        <v>661</v>
      </c>
      <c r="W243" t="s">
        <v>412</v>
      </c>
      <c r="X243" t="s">
        <v>403</v>
      </c>
    </row>
    <row r="244" spans="8:24" x14ac:dyDescent="0.45">
      <c r="H244" t="s">
        <v>267</v>
      </c>
      <c r="I244" t="s">
        <v>184</v>
      </c>
      <c r="J244">
        <v>5.1510690027018035E-3</v>
      </c>
      <c r="K244" t="s">
        <v>185</v>
      </c>
      <c r="U244" t="s">
        <v>108</v>
      </c>
      <c r="V244" t="s">
        <v>662</v>
      </c>
      <c r="W244" t="s">
        <v>455</v>
      </c>
      <c r="X244" t="s">
        <v>468</v>
      </c>
    </row>
    <row r="245" spans="8:24" x14ac:dyDescent="0.45">
      <c r="H245" t="s">
        <v>267</v>
      </c>
      <c r="I245" t="s">
        <v>186</v>
      </c>
      <c r="J245">
        <v>5.1510690027018035E-3</v>
      </c>
      <c r="K245" t="s">
        <v>185</v>
      </c>
      <c r="U245" t="s">
        <v>108</v>
      </c>
      <c r="V245" t="s">
        <v>662</v>
      </c>
      <c r="W245" t="s">
        <v>412</v>
      </c>
      <c r="X245" t="s">
        <v>403</v>
      </c>
    </row>
    <row r="246" spans="8:24" x14ac:dyDescent="0.45">
      <c r="H246" t="s">
        <v>267</v>
      </c>
      <c r="I246" t="s">
        <v>187</v>
      </c>
      <c r="J246">
        <v>5.1510690027018035E-3</v>
      </c>
      <c r="K246" t="s">
        <v>185</v>
      </c>
      <c r="U246" t="s">
        <v>108</v>
      </c>
      <c r="V246" t="s">
        <v>663</v>
      </c>
      <c r="W246" t="s">
        <v>413</v>
      </c>
      <c r="X246" t="s">
        <v>468</v>
      </c>
    </row>
    <row r="247" spans="8:24" x14ac:dyDescent="0.45">
      <c r="H247" t="s">
        <v>268</v>
      </c>
      <c r="I247" t="s">
        <v>184</v>
      </c>
      <c r="J247">
        <v>1.4317500235433219E-3</v>
      </c>
      <c r="K247" t="s">
        <v>185</v>
      </c>
      <c r="U247" t="s">
        <v>108</v>
      </c>
      <c r="V247" t="s">
        <v>664</v>
      </c>
      <c r="W247" t="s">
        <v>413</v>
      </c>
      <c r="X247" t="s">
        <v>468</v>
      </c>
    </row>
    <row r="248" spans="8:24" x14ac:dyDescent="0.45">
      <c r="H248" t="s">
        <v>268</v>
      </c>
      <c r="I248" t="s">
        <v>186</v>
      </c>
      <c r="J248">
        <v>1.4317500235433219E-3</v>
      </c>
      <c r="K248" t="s">
        <v>185</v>
      </c>
      <c r="U248" t="s">
        <v>108</v>
      </c>
      <c r="V248" t="s">
        <v>665</v>
      </c>
      <c r="W248" t="s">
        <v>413</v>
      </c>
      <c r="X248" t="s">
        <v>468</v>
      </c>
    </row>
    <row r="249" spans="8:24" x14ac:dyDescent="0.45">
      <c r="H249" t="s">
        <v>268</v>
      </c>
      <c r="I249" t="s">
        <v>187</v>
      </c>
      <c r="J249">
        <v>1.4317500235433219E-3</v>
      </c>
      <c r="K249" t="s">
        <v>185</v>
      </c>
      <c r="U249" t="s">
        <v>108</v>
      </c>
      <c r="V249" t="s">
        <v>666</v>
      </c>
      <c r="W249" t="s">
        <v>413</v>
      </c>
      <c r="X249" t="s">
        <v>468</v>
      </c>
    </row>
    <row r="250" spans="8:24" x14ac:dyDescent="0.45">
      <c r="H250" t="s">
        <v>269</v>
      </c>
      <c r="I250" t="s">
        <v>184</v>
      </c>
      <c r="J250">
        <v>0.10455642257141601</v>
      </c>
      <c r="K250" t="s">
        <v>185</v>
      </c>
      <c r="U250" t="s">
        <v>108</v>
      </c>
      <c r="V250" t="s">
        <v>667</v>
      </c>
      <c r="W250" t="s">
        <v>413</v>
      </c>
      <c r="X250" t="s">
        <v>468</v>
      </c>
    </row>
    <row r="251" spans="8:24" x14ac:dyDescent="0.45">
      <c r="H251" t="s">
        <v>269</v>
      </c>
      <c r="I251" t="s">
        <v>186</v>
      </c>
      <c r="J251">
        <v>0.10455642257141601</v>
      </c>
      <c r="K251" t="s">
        <v>185</v>
      </c>
      <c r="U251" t="s">
        <v>108</v>
      </c>
      <c r="V251" t="s">
        <v>668</v>
      </c>
      <c r="W251" t="s">
        <v>413</v>
      </c>
      <c r="X251" t="s">
        <v>468</v>
      </c>
    </row>
    <row r="252" spans="8:24" x14ac:dyDescent="0.45">
      <c r="H252" t="s">
        <v>269</v>
      </c>
      <c r="I252" t="s">
        <v>187</v>
      </c>
      <c r="J252">
        <v>0.10455642257141601</v>
      </c>
      <c r="K252" t="s">
        <v>185</v>
      </c>
      <c r="U252" t="s">
        <v>108</v>
      </c>
      <c r="V252" t="s">
        <v>669</v>
      </c>
      <c r="W252" t="s">
        <v>413</v>
      </c>
      <c r="X252" t="s">
        <v>468</v>
      </c>
    </row>
    <row r="253" spans="8:24" x14ac:dyDescent="0.45">
      <c r="H253" t="s">
        <v>270</v>
      </c>
      <c r="I253" t="s">
        <v>184</v>
      </c>
      <c r="J253">
        <v>0.14064063554730752</v>
      </c>
      <c r="K253" t="s">
        <v>185</v>
      </c>
      <c r="U253" t="s">
        <v>108</v>
      </c>
      <c r="V253" t="s">
        <v>670</v>
      </c>
      <c r="W253" t="s">
        <v>413</v>
      </c>
      <c r="X253" t="s">
        <v>468</v>
      </c>
    </row>
    <row r="254" spans="8:24" x14ac:dyDescent="0.45">
      <c r="H254" t="s">
        <v>270</v>
      </c>
      <c r="I254" t="s">
        <v>186</v>
      </c>
      <c r="J254">
        <v>0.14064063554730752</v>
      </c>
      <c r="K254" t="s">
        <v>185</v>
      </c>
      <c r="U254" t="s">
        <v>108</v>
      </c>
      <c r="V254" t="s">
        <v>671</v>
      </c>
      <c r="W254" t="s">
        <v>413</v>
      </c>
      <c r="X254" t="s">
        <v>468</v>
      </c>
    </row>
    <row r="255" spans="8:24" x14ac:dyDescent="0.45">
      <c r="H255" t="s">
        <v>270</v>
      </c>
      <c r="I255" t="s">
        <v>187</v>
      </c>
      <c r="J255">
        <v>0.14064063554730752</v>
      </c>
      <c r="K255" t="s">
        <v>185</v>
      </c>
      <c r="U255" t="s">
        <v>108</v>
      </c>
      <c r="V255" t="s">
        <v>672</v>
      </c>
      <c r="W255" t="s">
        <v>413</v>
      </c>
      <c r="X255" t="s">
        <v>468</v>
      </c>
    </row>
    <row r="256" spans="8:24" x14ac:dyDescent="0.45">
      <c r="H256" t="s">
        <v>271</v>
      </c>
      <c r="I256" t="s">
        <v>184</v>
      </c>
      <c r="J256">
        <v>3.5964846964412517E-2</v>
      </c>
      <c r="K256" t="s">
        <v>185</v>
      </c>
      <c r="U256" t="s">
        <v>108</v>
      </c>
      <c r="V256" t="s">
        <v>673</v>
      </c>
      <c r="W256" t="s">
        <v>413</v>
      </c>
      <c r="X256" t="s">
        <v>468</v>
      </c>
    </row>
    <row r="257" spans="8:24" x14ac:dyDescent="0.45">
      <c r="H257" t="s">
        <v>271</v>
      </c>
      <c r="I257" t="s">
        <v>186</v>
      </c>
      <c r="J257">
        <v>3.5964846964412517E-2</v>
      </c>
      <c r="K257" t="s">
        <v>185</v>
      </c>
      <c r="U257" t="s">
        <v>108</v>
      </c>
      <c r="V257" t="s">
        <v>673</v>
      </c>
      <c r="W257" t="s">
        <v>674</v>
      </c>
      <c r="X257" t="s">
        <v>468</v>
      </c>
    </row>
    <row r="258" spans="8:24" x14ac:dyDescent="0.45">
      <c r="H258" t="s">
        <v>271</v>
      </c>
      <c r="I258" t="s">
        <v>187</v>
      </c>
      <c r="J258">
        <v>3.5964846964412517E-2</v>
      </c>
      <c r="K258" t="s">
        <v>185</v>
      </c>
      <c r="U258" t="s">
        <v>108</v>
      </c>
      <c r="V258" t="s">
        <v>675</v>
      </c>
      <c r="W258" t="s">
        <v>413</v>
      </c>
      <c r="X258" t="s">
        <v>468</v>
      </c>
    </row>
    <row r="259" spans="8:24" x14ac:dyDescent="0.45">
      <c r="H259" t="s">
        <v>272</v>
      </c>
      <c r="I259" t="s">
        <v>184</v>
      </c>
      <c r="J259">
        <v>0.17620293965073539</v>
      </c>
      <c r="K259" t="s">
        <v>185</v>
      </c>
      <c r="U259" t="s">
        <v>108</v>
      </c>
      <c r="V259" t="s">
        <v>675</v>
      </c>
      <c r="W259" t="s">
        <v>674</v>
      </c>
      <c r="X259" t="s">
        <v>468</v>
      </c>
    </row>
    <row r="260" spans="8:24" x14ac:dyDescent="0.45">
      <c r="H260" t="s">
        <v>272</v>
      </c>
      <c r="I260" t="s">
        <v>186</v>
      </c>
      <c r="J260">
        <v>0.17620293965073539</v>
      </c>
      <c r="K260" t="s">
        <v>185</v>
      </c>
      <c r="U260" t="s">
        <v>108</v>
      </c>
      <c r="V260" t="s">
        <v>676</v>
      </c>
      <c r="W260" t="s">
        <v>413</v>
      </c>
      <c r="X260" t="s">
        <v>468</v>
      </c>
    </row>
    <row r="261" spans="8:24" x14ac:dyDescent="0.45">
      <c r="H261" t="s">
        <v>272</v>
      </c>
      <c r="I261" t="s">
        <v>187</v>
      </c>
      <c r="J261">
        <v>0.17620293965073539</v>
      </c>
      <c r="K261" t="s">
        <v>185</v>
      </c>
      <c r="U261" t="s">
        <v>108</v>
      </c>
      <c r="V261" t="s">
        <v>676</v>
      </c>
      <c r="W261" t="s">
        <v>674</v>
      </c>
      <c r="X261" t="s">
        <v>468</v>
      </c>
    </row>
    <row r="262" spans="8:24" x14ac:dyDescent="0.45">
      <c r="H262" t="s">
        <v>273</v>
      </c>
      <c r="I262" t="s">
        <v>184</v>
      </c>
      <c r="J262">
        <v>2.6040636261774261E-3</v>
      </c>
      <c r="K262" t="s">
        <v>185</v>
      </c>
      <c r="U262" t="s">
        <v>108</v>
      </c>
      <c r="V262" t="s">
        <v>677</v>
      </c>
      <c r="W262" t="s">
        <v>674</v>
      </c>
      <c r="X262" t="s">
        <v>468</v>
      </c>
    </row>
    <row r="263" spans="8:24" x14ac:dyDescent="0.45">
      <c r="H263" t="s">
        <v>273</v>
      </c>
      <c r="I263" t="s">
        <v>186</v>
      </c>
      <c r="J263">
        <v>2.6040636261774261E-3</v>
      </c>
      <c r="K263" t="s">
        <v>185</v>
      </c>
      <c r="U263" t="s">
        <v>108</v>
      </c>
      <c r="V263" t="s">
        <v>678</v>
      </c>
      <c r="W263" t="s">
        <v>674</v>
      </c>
      <c r="X263" t="s">
        <v>468</v>
      </c>
    </row>
    <row r="264" spans="8:24" x14ac:dyDescent="0.45">
      <c r="H264" t="s">
        <v>273</v>
      </c>
      <c r="I264" t="s">
        <v>187</v>
      </c>
      <c r="J264">
        <v>2.6040636261774261E-3</v>
      </c>
      <c r="K264" t="s">
        <v>185</v>
      </c>
      <c r="U264" t="s">
        <v>108</v>
      </c>
      <c r="V264" t="s">
        <v>679</v>
      </c>
      <c r="W264" t="s">
        <v>674</v>
      </c>
      <c r="X264" t="s">
        <v>468</v>
      </c>
    </row>
    <row r="265" spans="8:24" x14ac:dyDescent="0.45">
      <c r="H265" t="s">
        <v>274</v>
      </c>
      <c r="I265" t="s">
        <v>184</v>
      </c>
      <c r="J265">
        <v>9.5322680466405794E-6</v>
      </c>
      <c r="K265" t="s">
        <v>185</v>
      </c>
      <c r="U265" t="s">
        <v>108</v>
      </c>
      <c r="V265" t="s">
        <v>679</v>
      </c>
      <c r="W265" t="s">
        <v>413</v>
      </c>
      <c r="X265" t="s">
        <v>403</v>
      </c>
    </row>
    <row r="266" spans="8:24" x14ac:dyDescent="0.45">
      <c r="H266" t="s">
        <v>274</v>
      </c>
      <c r="I266" t="s">
        <v>186</v>
      </c>
      <c r="J266">
        <v>9.5322680466405794E-6</v>
      </c>
      <c r="K266" t="s">
        <v>185</v>
      </c>
      <c r="U266" t="s">
        <v>108</v>
      </c>
      <c r="V266" t="s">
        <v>680</v>
      </c>
      <c r="W266" t="s">
        <v>674</v>
      </c>
      <c r="X266" t="s">
        <v>468</v>
      </c>
    </row>
    <row r="267" spans="8:24" x14ac:dyDescent="0.45">
      <c r="H267" t="s">
        <v>274</v>
      </c>
      <c r="I267" t="s">
        <v>187</v>
      </c>
      <c r="J267">
        <v>9.5322680466405794E-6</v>
      </c>
      <c r="K267" t="s">
        <v>185</v>
      </c>
      <c r="U267" t="s">
        <v>108</v>
      </c>
      <c r="V267" t="s">
        <v>680</v>
      </c>
      <c r="W267" t="s">
        <v>413</v>
      </c>
      <c r="X267" t="s">
        <v>403</v>
      </c>
    </row>
    <row r="268" spans="8:24" x14ac:dyDescent="0.45">
      <c r="H268" t="s">
        <v>275</v>
      </c>
      <c r="I268" t="s">
        <v>184</v>
      </c>
      <c r="J268">
        <v>9.8937960837051009E-4</v>
      </c>
      <c r="K268" t="s">
        <v>185</v>
      </c>
      <c r="U268" t="s">
        <v>108</v>
      </c>
      <c r="V268" t="s">
        <v>681</v>
      </c>
      <c r="W268" t="s">
        <v>414</v>
      </c>
      <c r="X268" t="s">
        <v>468</v>
      </c>
    </row>
    <row r="269" spans="8:24" x14ac:dyDescent="0.45">
      <c r="H269" t="s">
        <v>275</v>
      </c>
      <c r="I269" t="s">
        <v>186</v>
      </c>
      <c r="J269">
        <v>9.8937960837051009E-4</v>
      </c>
      <c r="K269" t="s">
        <v>185</v>
      </c>
      <c r="U269" t="s">
        <v>108</v>
      </c>
      <c r="V269" t="s">
        <v>682</v>
      </c>
      <c r="W269" t="s">
        <v>414</v>
      </c>
      <c r="X269" t="s">
        <v>468</v>
      </c>
    </row>
    <row r="270" spans="8:24" x14ac:dyDescent="0.45">
      <c r="H270" t="s">
        <v>275</v>
      </c>
      <c r="I270" t="s">
        <v>187</v>
      </c>
      <c r="J270">
        <v>9.8937960837051009E-4</v>
      </c>
      <c r="K270" t="s">
        <v>185</v>
      </c>
      <c r="U270" t="s">
        <v>108</v>
      </c>
      <c r="V270" t="s">
        <v>683</v>
      </c>
      <c r="W270" t="s">
        <v>414</v>
      </c>
      <c r="X270" t="s">
        <v>468</v>
      </c>
    </row>
    <row r="271" spans="8:24" x14ac:dyDescent="0.45">
      <c r="H271" t="s">
        <v>276</v>
      </c>
      <c r="I271" t="s">
        <v>184</v>
      </c>
      <c r="J271">
        <v>3.5391076319364681E-5</v>
      </c>
      <c r="K271" t="s">
        <v>185</v>
      </c>
      <c r="U271" t="s">
        <v>108</v>
      </c>
      <c r="V271" t="s">
        <v>684</v>
      </c>
      <c r="W271" t="s">
        <v>414</v>
      </c>
      <c r="X271" t="s">
        <v>468</v>
      </c>
    </row>
    <row r="272" spans="8:24" x14ac:dyDescent="0.45">
      <c r="H272" t="s">
        <v>276</v>
      </c>
      <c r="I272" t="s">
        <v>186</v>
      </c>
      <c r="J272">
        <v>3.5391076319364681E-5</v>
      </c>
      <c r="K272" t="s">
        <v>185</v>
      </c>
      <c r="U272" t="s">
        <v>108</v>
      </c>
      <c r="V272" t="s">
        <v>685</v>
      </c>
      <c r="W272" t="s">
        <v>414</v>
      </c>
      <c r="X272" t="s">
        <v>468</v>
      </c>
    </row>
    <row r="273" spans="8:24" x14ac:dyDescent="0.45">
      <c r="H273" t="s">
        <v>276</v>
      </c>
      <c r="I273" t="s">
        <v>187</v>
      </c>
      <c r="J273">
        <v>3.5391076319364681E-5</v>
      </c>
      <c r="K273" t="s">
        <v>185</v>
      </c>
      <c r="U273" t="s">
        <v>108</v>
      </c>
      <c r="V273" t="s">
        <v>686</v>
      </c>
      <c r="W273" t="s">
        <v>414</v>
      </c>
      <c r="X273" t="s">
        <v>468</v>
      </c>
    </row>
    <row r="274" spans="8:24" x14ac:dyDescent="0.45">
      <c r="H274" t="s">
        <v>277</v>
      </c>
      <c r="I274" t="s">
        <v>184</v>
      </c>
      <c r="J274">
        <v>9.6276259107804993E-4</v>
      </c>
      <c r="K274" t="s">
        <v>185</v>
      </c>
      <c r="U274" t="s">
        <v>108</v>
      </c>
      <c r="V274" t="s">
        <v>687</v>
      </c>
      <c r="W274" t="s">
        <v>414</v>
      </c>
      <c r="X274" t="s">
        <v>468</v>
      </c>
    </row>
    <row r="275" spans="8:24" x14ac:dyDescent="0.45">
      <c r="H275" t="s">
        <v>277</v>
      </c>
      <c r="I275" t="s">
        <v>186</v>
      </c>
      <c r="J275">
        <v>9.6276259107804993E-4</v>
      </c>
      <c r="K275" t="s">
        <v>185</v>
      </c>
      <c r="U275" t="s">
        <v>108</v>
      </c>
      <c r="V275" t="s">
        <v>688</v>
      </c>
      <c r="W275" t="s">
        <v>414</v>
      </c>
      <c r="X275" t="s">
        <v>468</v>
      </c>
    </row>
    <row r="276" spans="8:24" x14ac:dyDescent="0.45">
      <c r="H276" t="s">
        <v>277</v>
      </c>
      <c r="I276" t="s">
        <v>187</v>
      </c>
      <c r="J276">
        <v>9.6276259107804993E-4</v>
      </c>
      <c r="K276" t="s">
        <v>185</v>
      </c>
      <c r="U276" t="s">
        <v>108</v>
      </c>
      <c r="V276" t="s">
        <v>689</v>
      </c>
      <c r="W276" t="s">
        <v>414</v>
      </c>
      <c r="X276" t="s">
        <v>468</v>
      </c>
    </row>
    <row r="277" spans="8:24" x14ac:dyDescent="0.45">
      <c r="H277" t="s">
        <v>278</v>
      </c>
      <c r="I277" t="s">
        <v>184</v>
      </c>
      <c r="J277">
        <v>3.384279910389182E-3</v>
      </c>
      <c r="K277" t="s">
        <v>185</v>
      </c>
      <c r="U277" t="s">
        <v>108</v>
      </c>
      <c r="V277" t="s">
        <v>690</v>
      </c>
      <c r="W277" t="s">
        <v>414</v>
      </c>
      <c r="X277" t="s">
        <v>468</v>
      </c>
    </row>
    <row r="278" spans="8:24" x14ac:dyDescent="0.45">
      <c r="H278" t="s">
        <v>278</v>
      </c>
      <c r="I278" t="s">
        <v>186</v>
      </c>
      <c r="J278">
        <v>3.384279910389182E-3</v>
      </c>
      <c r="K278" t="s">
        <v>185</v>
      </c>
      <c r="U278" t="s">
        <v>108</v>
      </c>
      <c r="V278" t="s">
        <v>691</v>
      </c>
      <c r="W278" t="s">
        <v>414</v>
      </c>
      <c r="X278" t="s">
        <v>468</v>
      </c>
    </row>
    <row r="279" spans="8:24" x14ac:dyDescent="0.45">
      <c r="H279" t="s">
        <v>278</v>
      </c>
      <c r="I279" t="s">
        <v>187</v>
      </c>
      <c r="J279">
        <v>3.384279910389182E-3</v>
      </c>
      <c r="K279" t="s">
        <v>185</v>
      </c>
      <c r="U279" t="s">
        <v>108</v>
      </c>
      <c r="V279" t="s">
        <v>691</v>
      </c>
      <c r="W279" t="s">
        <v>692</v>
      </c>
      <c r="X279" t="s">
        <v>468</v>
      </c>
    </row>
    <row r="280" spans="8:24" x14ac:dyDescent="0.45">
      <c r="H280" t="s">
        <v>279</v>
      </c>
      <c r="I280" t="s">
        <v>184</v>
      </c>
      <c r="J280">
        <v>3.5690458094748798E-3</v>
      </c>
      <c r="K280" t="s">
        <v>185</v>
      </c>
      <c r="U280" t="s">
        <v>108</v>
      </c>
      <c r="V280" t="s">
        <v>693</v>
      </c>
      <c r="W280" t="s">
        <v>414</v>
      </c>
      <c r="X280" t="s">
        <v>468</v>
      </c>
    </row>
    <row r="281" spans="8:24" x14ac:dyDescent="0.45">
      <c r="H281" t="s">
        <v>279</v>
      </c>
      <c r="I281" t="s">
        <v>186</v>
      </c>
      <c r="J281">
        <v>3.5690458094748798E-3</v>
      </c>
      <c r="K281" t="s">
        <v>185</v>
      </c>
      <c r="U281" t="s">
        <v>108</v>
      </c>
      <c r="V281" t="s">
        <v>693</v>
      </c>
      <c r="W281" t="s">
        <v>692</v>
      </c>
      <c r="X281" t="s">
        <v>468</v>
      </c>
    </row>
    <row r="282" spans="8:24" x14ac:dyDescent="0.45">
      <c r="H282" t="s">
        <v>279</v>
      </c>
      <c r="I282" t="s">
        <v>187</v>
      </c>
      <c r="J282">
        <v>3.5690458094748798E-3</v>
      </c>
      <c r="K282" t="s">
        <v>185</v>
      </c>
      <c r="U282" t="s">
        <v>108</v>
      </c>
      <c r="V282" t="s">
        <v>694</v>
      </c>
      <c r="W282" t="s">
        <v>414</v>
      </c>
      <c r="X282" t="s">
        <v>468</v>
      </c>
    </row>
    <row r="283" spans="8:24" x14ac:dyDescent="0.45">
      <c r="H283" t="s">
        <v>280</v>
      </c>
      <c r="I283" t="s">
        <v>184</v>
      </c>
      <c r="J283">
        <v>8.4472369340795803E-4</v>
      </c>
      <c r="K283" t="s">
        <v>185</v>
      </c>
      <c r="U283" t="s">
        <v>108</v>
      </c>
      <c r="V283" t="s">
        <v>694</v>
      </c>
      <c r="W283" t="s">
        <v>692</v>
      </c>
      <c r="X283" t="s">
        <v>468</v>
      </c>
    </row>
    <row r="284" spans="8:24" x14ac:dyDescent="0.45">
      <c r="H284" t="s">
        <v>280</v>
      </c>
      <c r="I284" t="s">
        <v>186</v>
      </c>
      <c r="J284">
        <v>8.4472369340795803E-4</v>
      </c>
      <c r="K284" t="s">
        <v>185</v>
      </c>
      <c r="U284" t="s">
        <v>108</v>
      </c>
      <c r="V284" t="s">
        <v>695</v>
      </c>
      <c r="W284" t="s">
        <v>692</v>
      </c>
      <c r="X284" t="s">
        <v>468</v>
      </c>
    </row>
    <row r="285" spans="8:24" x14ac:dyDescent="0.45">
      <c r="H285" t="s">
        <v>280</v>
      </c>
      <c r="I285" t="s">
        <v>187</v>
      </c>
      <c r="J285">
        <v>8.4472369340795803E-4</v>
      </c>
      <c r="K285" t="s">
        <v>185</v>
      </c>
      <c r="U285" t="s">
        <v>108</v>
      </c>
      <c r="V285" t="s">
        <v>696</v>
      </c>
      <c r="W285" t="s">
        <v>692</v>
      </c>
      <c r="X285" t="s">
        <v>468</v>
      </c>
    </row>
    <row r="286" spans="8:24" x14ac:dyDescent="0.45">
      <c r="H286" t="s">
        <v>281</v>
      </c>
      <c r="I286" t="s">
        <v>184</v>
      </c>
      <c r="J286">
        <v>3.1814579510781901E-3</v>
      </c>
      <c r="K286" t="s">
        <v>185</v>
      </c>
      <c r="U286" t="s">
        <v>108</v>
      </c>
      <c r="V286" t="s">
        <v>697</v>
      </c>
      <c r="W286" t="s">
        <v>692</v>
      </c>
      <c r="X286" t="s">
        <v>468</v>
      </c>
    </row>
    <row r="287" spans="8:24" x14ac:dyDescent="0.45">
      <c r="H287" t="s">
        <v>281</v>
      </c>
      <c r="I287" t="s">
        <v>186</v>
      </c>
      <c r="J287">
        <v>3.1814579510781901E-3</v>
      </c>
      <c r="K287" t="s">
        <v>185</v>
      </c>
      <c r="U287" t="s">
        <v>108</v>
      </c>
      <c r="V287" t="s">
        <v>697</v>
      </c>
      <c r="W287" t="s">
        <v>414</v>
      </c>
      <c r="X287" t="s">
        <v>403</v>
      </c>
    </row>
    <row r="288" spans="8:24" x14ac:dyDescent="0.45">
      <c r="H288" t="s">
        <v>281</v>
      </c>
      <c r="I288" t="s">
        <v>187</v>
      </c>
      <c r="J288">
        <v>3.1814579510781901E-3</v>
      </c>
      <c r="K288" t="s">
        <v>185</v>
      </c>
      <c r="U288" t="s">
        <v>108</v>
      </c>
      <c r="V288" t="s">
        <v>698</v>
      </c>
      <c r="W288" t="s">
        <v>692</v>
      </c>
      <c r="X288" t="s">
        <v>468</v>
      </c>
    </row>
    <row r="289" spans="8:24" x14ac:dyDescent="0.45">
      <c r="H289" t="s">
        <v>282</v>
      </c>
      <c r="I289" t="s">
        <v>184</v>
      </c>
      <c r="J289">
        <v>4.2826282146869711E-2</v>
      </c>
      <c r="K289" t="s">
        <v>185</v>
      </c>
      <c r="U289" t="s">
        <v>108</v>
      </c>
      <c r="V289" t="s">
        <v>698</v>
      </c>
      <c r="W289" t="s">
        <v>414</v>
      </c>
      <c r="X289" t="s">
        <v>403</v>
      </c>
    </row>
    <row r="290" spans="8:24" x14ac:dyDescent="0.45">
      <c r="H290" t="s">
        <v>282</v>
      </c>
      <c r="I290" t="s">
        <v>186</v>
      </c>
      <c r="J290">
        <v>4.2826282146869711E-2</v>
      </c>
      <c r="K290" t="s">
        <v>185</v>
      </c>
      <c r="U290" t="s">
        <v>108</v>
      </c>
      <c r="V290" t="s">
        <v>699</v>
      </c>
      <c r="W290" t="s">
        <v>700</v>
      </c>
      <c r="X290" t="s">
        <v>468</v>
      </c>
    </row>
    <row r="291" spans="8:24" x14ac:dyDescent="0.45">
      <c r="H291" t="s">
        <v>282</v>
      </c>
      <c r="I291" t="s">
        <v>187</v>
      </c>
      <c r="J291">
        <v>4.2826282146869711E-2</v>
      </c>
      <c r="K291" t="s">
        <v>185</v>
      </c>
      <c r="U291" t="s">
        <v>108</v>
      </c>
      <c r="V291" t="s">
        <v>701</v>
      </c>
      <c r="W291" t="s">
        <v>700</v>
      </c>
      <c r="X291" t="s">
        <v>468</v>
      </c>
    </row>
    <row r="292" spans="8:24" x14ac:dyDescent="0.45">
      <c r="H292" t="s">
        <v>283</v>
      </c>
      <c r="I292" t="s">
        <v>184</v>
      </c>
      <c r="J292">
        <v>3.3394171558205499E-3</v>
      </c>
      <c r="K292" t="s">
        <v>185</v>
      </c>
      <c r="U292" t="s">
        <v>108</v>
      </c>
      <c r="V292" t="s">
        <v>702</v>
      </c>
      <c r="W292" t="s">
        <v>700</v>
      </c>
      <c r="X292" t="s">
        <v>468</v>
      </c>
    </row>
    <row r="293" spans="8:24" x14ac:dyDescent="0.45">
      <c r="H293" t="s">
        <v>283</v>
      </c>
      <c r="I293" t="s">
        <v>186</v>
      </c>
      <c r="J293">
        <v>3.3394171558205499E-3</v>
      </c>
      <c r="K293" t="s">
        <v>185</v>
      </c>
      <c r="U293" t="s">
        <v>108</v>
      </c>
      <c r="V293" t="s">
        <v>703</v>
      </c>
      <c r="W293" t="s">
        <v>700</v>
      </c>
      <c r="X293" t="s">
        <v>468</v>
      </c>
    </row>
    <row r="294" spans="8:24" x14ac:dyDescent="0.45">
      <c r="H294" t="s">
        <v>283</v>
      </c>
      <c r="I294" t="s">
        <v>187</v>
      </c>
      <c r="J294">
        <v>3.3394171558205499E-3</v>
      </c>
      <c r="K294" t="s">
        <v>185</v>
      </c>
      <c r="U294" t="s">
        <v>108</v>
      </c>
      <c r="V294" t="s">
        <v>704</v>
      </c>
      <c r="W294" t="s">
        <v>700</v>
      </c>
      <c r="X294" t="s">
        <v>468</v>
      </c>
    </row>
    <row r="295" spans="8:24" x14ac:dyDescent="0.45">
      <c r="H295" t="s">
        <v>284</v>
      </c>
      <c r="I295" t="s">
        <v>184</v>
      </c>
      <c r="J295">
        <v>6.5406199804486794E-4</v>
      </c>
      <c r="K295" t="s">
        <v>185</v>
      </c>
      <c r="U295" t="s">
        <v>108</v>
      </c>
      <c r="V295" t="s">
        <v>705</v>
      </c>
      <c r="W295" t="s">
        <v>700</v>
      </c>
      <c r="X295" t="s">
        <v>468</v>
      </c>
    </row>
    <row r="296" spans="8:24" x14ac:dyDescent="0.45">
      <c r="H296" t="s">
        <v>284</v>
      </c>
      <c r="I296" t="s">
        <v>186</v>
      </c>
      <c r="J296">
        <v>6.5406199804486794E-4</v>
      </c>
      <c r="K296" t="s">
        <v>185</v>
      </c>
      <c r="U296" t="s">
        <v>108</v>
      </c>
      <c r="V296" t="s">
        <v>706</v>
      </c>
      <c r="W296" t="s">
        <v>700</v>
      </c>
      <c r="X296" t="s">
        <v>468</v>
      </c>
    </row>
    <row r="297" spans="8:24" x14ac:dyDescent="0.45">
      <c r="H297" t="s">
        <v>284</v>
      </c>
      <c r="I297" t="s">
        <v>187</v>
      </c>
      <c r="J297">
        <v>6.5406199804486794E-4</v>
      </c>
      <c r="K297" t="s">
        <v>185</v>
      </c>
      <c r="U297" t="s">
        <v>108</v>
      </c>
      <c r="V297" t="s">
        <v>707</v>
      </c>
      <c r="W297" t="s">
        <v>700</v>
      </c>
      <c r="X297" t="s">
        <v>468</v>
      </c>
    </row>
    <row r="298" spans="8:24" x14ac:dyDescent="0.45">
      <c r="H298" t="s">
        <v>285</v>
      </c>
      <c r="I298" t="s">
        <v>184</v>
      </c>
      <c r="J298">
        <v>2.3066026286364038E-3</v>
      </c>
      <c r="K298" t="s">
        <v>185</v>
      </c>
      <c r="U298" t="s">
        <v>108</v>
      </c>
      <c r="V298" t="s">
        <v>708</v>
      </c>
      <c r="W298" t="s">
        <v>700</v>
      </c>
      <c r="X298" t="s">
        <v>468</v>
      </c>
    </row>
    <row r="299" spans="8:24" x14ac:dyDescent="0.45">
      <c r="H299" t="s">
        <v>285</v>
      </c>
      <c r="I299" t="s">
        <v>186</v>
      </c>
      <c r="J299">
        <v>2.3066026286364038E-3</v>
      </c>
      <c r="K299" t="s">
        <v>185</v>
      </c>
      <c r="U299" t="s">
        <v>108</v>
      </c>
      <c r="V299" t="s">
        <v>709</v>
      </c>
      <c r="W299" t="s">
        <v>700</v>
      </c>
      <c r="X299" t="s">
        <v>468</v>
      </c>
    </row>
    <row r="300" spans="8:24" x14ac:dyDescent="0.45">
      <c r="H300" t="s">
        <v>285</v>
      </c>
      <c r="I300" t="s">
        <v>187</v>
      </c>
      <c r="J300">
        <v>2.3066026286364038E-3</v>
      </c>
      <c r="K300" t="s">
        <v>185</v>
      </c>
      <c r="U300" t="s">
        <v>108</v>
      </c>
      <c r="V300" t="s">
        <v>710</v>
      </c>
      <c r="W300" t="s">
        <v>700</v>
      </c>
      <c r="X300" t="s">
        <v>468</v>
      </c>
    </row>
    <row r="301" spans="8:24" x14ac:dyDescent="0.45">
      <c r="H301" t="s">
        <v>286</v>
      </c>
      <c r="I301" t="s">
        <v>184</v>
      </c>
      <c r="J301">
        <v>1.5216613792951535E-2</v>
      </c>
      <c r="K301" t="s">
        <v>185</v>
      </c>
      <c r="U301" t="s">
        <v>108</v>
      </c>
      <c r="V301" t="s">
        <v>710</v>
      </c>
      <c r="W301" t="s">
        <v>711</v>
      </c>
      <c r="X301" t="s">
        <v>468</v>
      </c>
    </row>
    <row r="302" spans="8:24" x14ac:dyDescent="0.45">
      <c r="H302" t="s">
        <v>286</v>
      </c>
      <c r="I302" t="s">
        <v>186</v>
      </c>
      <c r="J302">
        <v>1.5216613792951535E-2</v>
      </c>
      <c r="K302" t="s">
        <v>185</v>
      </c>
      <c r="U302" t="s">
        <v>108</v>
      </c>
      <c r="V302" t="s">
        <v>712</v>
      </c>
      <c r="W302" t="s">
        <v>700</v>
      </c>
      <c r="X302" t="s">
        <v>468</v>
      </c>
    </row>
    <row r="303" spans="8:24" x14ac:dyDescent="0.45">
      <c r="H303" t="s">
        <v>286</v>
      </c>
      <c r="I303" t="s">
        <v>187</v>
      </c>
      <c r="J303">
        <v>1.5216613792951535E-2</v>
      </c>
      <c r="K303" t="s">
        <v>185</v>
      </c>
      <c r="U303" t="s">
        <v>108</v>
      </c>
      <c r="V303" t="s">
        <v>712</v>
      </c>
      <c r="W303" t="s">
        <v>711</v>
      </c>
      <c r="X303" t="s">
        <v>468</v>
      </c>
    </row>
    <row r="304" spans="8:24" x14ac:dyDescent="0.45">
      <c r="H304" t="s">
        <v>287</v>
      </c>
      <c r="I304" t="s">
        <v>184</v>
      </c>
      <c r="J304">
        <v>2.30957499730552E-4</v>
      </c>
      <c r="K304" t="s">
        <v>185</v>
      </c>
      <c r="U304" t="s">
        <v>108</v>
      </c>
      <c r="V304" t="s">
        <v>713</v>
      </c>
      <c r="W304" t="s">
        <v>700</v>
      </c>
      <c r="X304" t="s">
        <v>468</v>
      </c>
    </row>
    <row r="305" spans="8:24" x14ac:dyDescent="0.45">
      <c r="H305" t="s">
        <v>287</v>
      </c>
      <c r="I305" t="s">
        <v>186</v>
      </c>
      <c r="J305">
        <v>2.30957499730552E-4</v>
      </c>
      <c r="K305" t="s">
        <v>185</v>
      </c>
      <c r="U305" t="s">
        <v>108</v>
      </c>
      <c r="V305" t="s">
        <v>713</v>
      </c>
      <c r="W305" t="s">
        <v>711</v>
      </c>
      <c r="X305" t="s">
        <v>468</v>
      </c>
    </row>
    <row r="306" spans="8:24" x14ac:dyDescent="0.45">
      <c r="H306" t="s">
        <v>287</v>
      </c>
      <c r="I306" t="s">
        <v>187</v>
      </c>
      <c r="J306">
        <v>2.30957499730552E-4</v>
      </c>
      <c r="K306" t="s">
        <v>185</v>
      </c>
      <c r="U306" t="s">
        <v>108</v>
      </c>
      <c r="V306" t="s">
        <v>714</v>
      </c>
      <c r="W306" t="s">
        <v>711</v>
      </c>
      <c r="X306" t="s">
        <v>468</v>
      </c>
    </row>
    <row r="307" spans="8:24" x14ac:dyDescent="0.45">
      <c r="H307" t="s">
        <v>288</v>
      </c>
      <c r="I307" t="s">
        <v>184</v>
      </c>
      <c r="J307">
        <v>2.8729760172643598E-3</v>
      </c>
      <c r="K307" t="s">
        <v>185</v>
      </c>
      <c r="U307" t="s">
        <v>108</v>
      </c>
      <c r="V307" t="s">
        <v>715</v>
      </c>
      <c r="W307" t="s">
        <v>711</v>
      </c>
      <c r="X307" t="s">
        <v>468</v>
      </c>
    </row>
    <row r="308" spans="8:24" x14ac:dyDescent="0.45">
      <c r="H308" t="s">
        <v>288</v>
      </c>
      <c r="I308" t="s">
        <v>186</v>
      </c>
      <c r="J308">
        <v>2.8729760172643598E-3</v>
      </c>
      <c r="K308" t="s">
        <v>185</v>
      </c>
      <c r="U308" t="s">
        <v>108</v>
      </c>
      <c r="V308" t="s">
        <v>716</v>
      </c>
      <c r="W308" t="s">
        <v>711</v>
      </c>
      <c r="X308" t="s">
        <v>468</v>
      </c>
    </row>
    <row r="309" spans="8:24" x14ac:dyDescent="0.45">
      <c r="H309" t="s">
        <v>288</v>
      </c>
      <c r="I309" t="s">
        <v>187</v>
      </c>
      <c r="J309">
        <v>2.8729760172643598E-3</v>
      </c>
      <c r="K309" t="s">
        <v>185</v>
      </c>
      <c r="U309" t="s">
        <v>108</v>
      </c>
      <c r="V309" t="s">
        <v>716</v>
      </c>
      <c r="W309" t="s">
        <v>700</v>
      </c>
      <c r="X309" t="s">
        <v>403</v>
      </c>
    </row>
    <row r="310" spans="8:24" x14ac:dyDescent="0.45">
      <c r="H310" t="s">
        <v>289</v>
      </c>
      <c r="I310" t="s">
        <v>184</v>
      </c>
      <c r="J310">
        <v>5.4564833273287441E-2</v>
      </c>
      <c r="K310" t="s">
        <v>185</v>
      </c>
      <c r="U310" t="s">
        <v>108</v>
      </c>
      <c r="V310" t="s">
        <v>717</v>
      </c>
      <c r="W310" t="s">
        <v>711</v>
      </c>
      <c r="X310" t="s">
        <v>468</v>
      </c>
    </row>
    <row r="311" spans="8:24" x14ac:dyDescent="0.45">
      <c r="H311" t="s">
        <v>289</v>
      </c>
      <c r="I311" t="s">
        <v>186</v>
      </c>
      <c r="J311">
        <v>5.4564833273287441E-2</v>
      </c>
      <c r="K311" t="s">
        <v>185</v>
      </c>
      <c r="U311" t="s">
        <v>108</v>
      </c>
      <c r="V311" t="s">
        <v>717</v>
      </c>
      <c r="W311" t="s">
        <v>700</v>
      </c>
      <c r="X311" t="s">
        <v>403</v>
      </c>
    </row>
    <row r="312" spans="8:24" x14ac:dyDescent="0.45">
      <c r="H312" t="s">
        <v>289</v>
      </c>
      <c r="I312" t="s">
        <v>187</v>
      </c>
      <c r="J312">
        <v>5.4564833273287441E-2</v>
      </c>
      <c r="K312" t="s">
        <v>185</v>
      </c>
      <c r="U312" t="s">
        <v>108</v>
      </c>
      <c r="V312" t="s">
        <v>718</v>
      </c>
      <c r="W312" t="s">
        <v>415</v>
      </c>
      <c r="X312" t="s">
        <v>468</v>
      </c>
    </row>
    <row r="313" spans="8:24" x14ac:dyDescent="0.45">
      <c r="H313" t="s">
        <v>290</v>
      </c>
      <c r="I313" t="s">
        <v>184</v>
      </c>
      <c r="J313">
        <v>4.0187722894336501E-3</v>
      </c>
      <c r="K313" t="s">
        <v>185</v>
      </c>
      <c r="U313" t="s">
        <v>108</v>
      </c>
      <c r="V313" t="s">
        <v>719</v>
      </c>
      <c r="W313" t="s">
        <v>415</v>
      </c>
      <c r="X313" t="s">
        <v>468</v>
      </c>
    </row>
    <row r="314" spans="8:24" x14ac:dyDescent="0.45">
      <c r="H314" t="s">
        <v>290</v>
      </c>
      <c r="I314" t="s">
        <v>186</v>
      </c>
      <c r="J314">
        <v>4.0187722894336501E-3</v>
      </c>
      <c r="K314" t="s">
        <v>185</v>
      </c>
      <c r="U314" t="s">
        <v>108</v>
      </c>
      <c r="V314" t="s">
        <v>720</v>
      </c>
      <c r="W314" t="s">
        <v>415</v>
      </c>
      <c r="X314" t="s">
        <v>468</v>
      </c>
    </row>
    <row r="315" spans="8:24" x14ac:dyDescent="0.45">
      <c r="H315" t="s">
        <v>290</v>
      </c>
      <c r="I315" t="s">
        <v>187</v>
      </c>
      <c r="J315">
        <v>4.0187722894336501E-3</v>
      </c>
      <c r="K315" t="s">
        <v>185</v>
      </c>
      <c r="U315" t="s">
        <v>108</v>
      </c>
      <c r="V315" t="s">
        <v>721</v>
      </c>
      <c r="W315" t="s">
        <v>415</v>
      </c>
      <c r="X315" t="s">
        <v>468</v>
      </c>
    </row>
    <row r="316" spans="8:24" x14ac:dyDescent="0.45">
      <c r="H316" t="s">
        <v>291</v>
      </c>
      <c r="I316" t="s">
        <v>184</v>
      </c>
      <c r="J316">
        <v>8.1949397353194356E-2</v>
      </c>
      <c r="K316" t="s">
        <v>185</v>
      </c>
      <c r="U316" t="s">
        <v>108</v>
      </c>
      <c r="V316" t="s">
        <v>722</v>
      </c>
      <c r="W316" t="s">
        <v>415</v>
      </c>
      <c r="X316" t="s">
        <v>468</v>
      </c>
    </row>
    <row r="317" spans="8:24" x14ac:dyDescent="0.45">
      <c r="H317" t="s">
        <v>291</v>
      </c>
      <c r="I317" t="s">
        <v>186</v>
      </c>
      <c r="J317">
        <v>8.1949397353194356E-2</v>
      </c>
      <c r="K317" t="s">
        <v>185</v>
      </c>
      <c r="U317" t="s">
        <v>108</v>
      </c>
      <c r="V317" t="s">
        <v>723</v>
      </c>
      <c r="W317" t="s">
        <v>415</v>
      </c>
      <c r="X317" t="s">
        <v>468</v>
      </c>
    </row>
    <row r="318" spans="8:24" x14ac:dyDescent="0.45">
      <c r="H318" t="s">
        <v>291</v>
      </c>
      <c r="I318" t="s">
        <v>187</v>
      </c>
      <c r="J318">
        <v>8.1949397353194356E-2</v>
      </c>
      <c r="K318" t="s">
        <v>185</v>
      </c>
      <c r="U318" t="s">
        <v>108</v>
      </c>
      <c r="V318" t="s">
        <v>724</v>
      </c>
      <c r="W318" t="s">
        <v>415</v>
      </c>
      <c r="X318" t="s">
        <v>468</v>
      </c>
    </row>
    <row r="319" spans="8:24" x14ac:dyDescent="0.45">
      <c r="H319" t="s">
        <v>292</v>
      </c>
      <c r="I319" t="s">
        <v>184</v>
      </c>
      <c r="J319">
        <v>2.1394757816459021E-3</v>
      </c>
      <c r="K319" t="s">
        <v>185</v>
      </c>
      <c r="U319" t="s">
        <v>108</v>
      </c>
      <c r="V319" t="s">
        <v>725</v>
      </c>
      <c r="W319" t="s">
        <v>415</v>
      </c>
      <c r="X319" t="s">
        <v>468</v>
      </c>
    </row>
    <row r="320" spans="8:24" x14ac:dyDescent="0.45">
      <c r="H320" t="s">
        <v>292</v>
      </c>
      <c r="I320" t="s">
        <v>186</v>
      </c>
      <c r="J320">
        <v>2.1394757816459021E-3</v>
      </c>
      <c r="K320" t="s">
        <v>185</v>
      </c>
      <c r="U320" t="s">
        <v>108</v>
      </c>
      <c r="V320" t="s">
        <v>726</v>
      </c>
      <c r="W320" t="s">
        <v>415</v>
      </c>
      <c r="X320" t="s">
        <v>468</v>
      </c>
    </row>
    <row r="321" spans="8:24" x14ac:dyDescent="0.45">
      <c r="H321" t="s">
        <v>292</v>
      </c>
      <c r="I321" t="s">
        <v>187</v>
      </c>
      <c r="J321">
        <v>2.1394757816459021E-3</v>
      </c>
      <c r="K321" t="s">
        <v>185</v>
      </c>
      <c r="U321" t="s">
        <v>108</v>
      </c>
      <c r="V321" t="s">
        <v>727</v>
      </c>
      <c r="W321" t="s">
        <v>415</v>
      </c>
      <c r="X321" t="s">
        <v>468</v>
      </c>
    </row>
    <row r="322" spans="8:24" x14ac:dyDescent="0.45">
      <c r="H322" t="s">
        <v>293</v>
      </c>
      <c r="I322" t="s">
        <v>184</v>
      </c>
      <c r="J322">
        <v>2.6110041465990746E-2</v>
      </c>
      <c r="K322" t="s">
        <v>185</v>
      </c>
      <c r="U322" t="s">
        <v>108</v>
      </c>
      <c r="V322" t="s">
        <v>728</v>
      </c>
      <c r="W322" t="s">
        <v>415</v>
      </c>
      <c r="X322" t="s">
        <v>468</v>
      </c>
    </row>
    <row r="323" spans="8:24" x14ac:dyDescent="0.45">
      <c r="H323" t="s">
        <v>293</v>
      </c>
      <c r="I323" t="s">
        <v>186</v>
      </c>
      <c r="J323">
        <v>2.6110041465990746E-2</v>
      </c>
      <c r="K323" t="s">
        <v>185</v>
      </c>
      <c r="U323" t="s">
        <v>108</v>
      </c>
      <c r="V323" t="s">
        <v>728</v>
      </c>
      <c r="W323" t="s">
        <v>456</v>
      </c>
      <c r="X323" t="s">
        <v>468</v>
      </c>
    </row>
    <row r="324" spans="8:24" x14ac:dyDescent="0.45">
      <c r="H324" t="s">
        <v>293</v>
      </c>
      <c r="I324" t="s">
        <v>187</v>
      </c>
      <c r="J324">
        <v>2.6110041465990746E-2</v>
      </c>
      <c r="K324" t="s">
        <v>185</v>
      </c>
      <c r="U324" t="s">
        <v>108</v>
      </c>
      <c r="V324" t="s">
        <v>729</v>
      </c>
      <c r="W324" t="s">
        <v>415</v>
      </c>
      <c r="X324" t="s">
        <v>468</v>
      </c>
    </row>
    <row r="325" spans="8:24" x14ac:dyDescent="0.45">
      <c r="H325" t="s">
        <v>294</v>
      </c>
      <c r="I325" t="s">
        <v>184</v>
      </c>
      <c r="J325">
        <v>2.7516846158677402E-4</v>
      </c>
      <c r="K325" t="s">
        <v>185</v>
      </c>
      <c r="U325" t="s">
        <v>108</v>
      </c>
      <c r="V325" t="s">
        <v>729</v>
      </c>
      <c r="W325" t="s">
        <v>456</v>
      </c>
      <c r="X325" t="s">
        <v>468</v>
      </c>
    </row>
    <row r="326" spans="8:24" x14ac:dyDescent="0.45">
      <c r="H326" t="s">
        <v>294</v>
      </c>
      <c r="I326" t="s">
        <v>186</v>
      </c>
      <c r="J326">
        <v>2.7516846158677402E-4</v>
      </c>
      <c r="K326" t="s">
        <v>185</v>
      </c>
      <c r="U326" t="s">
        <v>108</v>
      </c>
      <c r="V326" t="s">
        <v>730</v>
      </c>
      <c r="W326" t="s">
        <v>415</v>
      </c>
      <c r="X326" t="s">
        <v>468</v>
      </c>
    </row>
    <row r="327" spans="8:24" x14ac:dyDescent="0.45">
      <c r="H327" t="s">
        <v>294</v>
      </c>
      <c r="I327" t="s">
        <v>187</v>
      </c>
      <c r="J327">
        <v>2.7516846158677402E-4</v>
      </c>
      <c r="K327" t="s">
        <v>185</v>
      </c>
      <c r="U327" t="s">
        <v>108</v>
      </c>
      <c r="V327" t="s">
        <v>730</v>
      </c>
      <c r="W327" t="s">
        <v>456</v>
      </c>
      <c r="X327" t="s">
        <v>468</v>
      </c>
    </row>
    <row r="328" spans="8:24" x14ac:dyDescent="0.45">
      <c r="H328" t="s">
        <v>295</v>
      </c>
      <c r="I328" t="s">
        <v>184</v>
      </c>
      <c r="J328">
        <v>1.3769701841159041E-3</v>
      </c>
      <c r="K328" t="s">
        <v>185</v>
      </c>
      <c r="U328" t="s">
        <v>108</v>
      </c>
      <c r="V328" t="s">
        <v>731</v>
      </c>
      <c r="W328" t="s">
        <v>456</v>
      </c>
      <c r="X328" t="s">
        <v>468</v>
      </c>
    </row>
    <row r="329" spans="8:24" x14ac:dyDescent="0.45">
      <c r="H329" t="s">
        <v>295</v>
      </c>
      <c r="I329" t="s">
        <v>186</v>
      </c>
      <c r="J329">
        <v>1.3769701841159041E-3</v>
      </c>
      <c r="K329" t="s">
        <v>185</v>
      </c>
      <c r="U329" t="s">
        <v>108</v>
      </c>
      <c r="V329" t="s">
        <v>732</v>
      </c>
      <c r="W329" t="s">
        <v>456</v>
      </c>
      <c r="X329" t="s">
        <v>468</v>
      </c>
    </row>
    <row r="330" spans="8:24" x14ac:dyDescent="0.45">
      <c r="H330" t="s">
        <v>295</v>
      </c>
      <c r="I330" t="s">
        <v>187</v>
      </c>
      <c r="J330">
        <v>1.3769701841159041E-3</v>
      </c>
      <c r="K330" t="s">
        <v>185</v>
      </c>
      <c r="U330" t="s">
        <v>108</v>
      </c>
      <c r="V330" t="s">
        <v>733</v>
      </c>
      <c r="W330" t="s">
        <v>456</v>
      </c>
      <c r="X330" t="s">
        <v>468</v>
      </c>
    </row>
    <row r="331" spans="8:24" x14ac:dyDescent="0.45">
      <c r="H331" t="s">
        <v>296</v>
      </c>
      <c r="I331" t="s">
        <v>184</v>
      </c>
      <c r="J331">
        <v>1.719067771431402E-3</v>
      </c>
      <c r="K331" t="s">
        <v>185</v>
      </c>
      <c r="U331" t="s">
        <v>108</v>
      </c>
      <c r="V331" t="s">
        <v>733</v>
      </c>
      <c r="W331" t="s">
        <v>415</v>
      </c>
      <c r="X331" t="s">
        <v>403</v>
      </c>
    </row>
    <row r="332" spans="8:24" x14ac:dyDescent="0.45">
      <c r="H332" t="s">
        <v>296</v>
      </c>
      <c r="I332" t="s">
        <v>186</v>
      </c>
      <c r="J332">
        <v>1.719067771431402E-3</v>
      </c>
      <c r="K332" t="s">
        <v>185</v>
      </c>
      <c r="U332" t="s">
        <v>108</v>
      </c>
      <c r="V332" t="s">
        <v>734</v>
      </c>
      <c r="W332" t="s">
        <v>456</v>
      </c>
      <c r="X332" t="s">
        <v>468</v>
      </c>
    </row>
    <row r="333" spans="8:24" x14ac:dyDescent="0.45">
      <c r="H333" t="s">
        <v>296</v>
      </c>
      <c r="I333" t="s">
        <v>187</v>
      </c>
      <c r="J333">
        <v>1.719067771431402E-3</v>
      </c>
      <c r="K333" t="s">
        <v>185</v>
      </c>
      <c r="U333" t="s">
        <v>108</v>
      </c>
      <c r="V333" t="s">
        <v>734</v>
      </c>
      <c r="W333" t="s">
        <v>415</v>
      </c>
      <c r="X333" t="s">
        <v>403</v>
      </c>
    </row>
    <row r="334" spans="8:24" x14ac:dyDescent="0.45">
      <c r="H334" t="s">
        <v>297</v>
      </c>
      <c r="I334" t="s">
        <v>184</v>
      </c>
      <c r="J334">
        <v>3.6100415389131238E-3</v>
      </c>
      <c r="K334" t="s">
        <v>185</v>
      </c>
      <c r="U334" t="s">
        <v>108</v>
      </c>
      <c r="V334" t="s">
        <v>735</v>
      </c>
      <c r="W334" t="s">
        <v>416</v>
      </c>
      <c r="X334" t="s">
        <v>468</v>
      </c>
    </row>
    <row r="335" spans="8:24" x14ac:dyDescent="0.45">
      <c r="H335" t="s">
        <v>297</v>
      </c>
      <c r="I335" t="s">
        <v>186</v>
      </c>
      <c r="J335">
        <v>3.6100415389131238E-3</v>
      </c>
      <c r="K335" t="s">
        <v>185</v>
      </c>
      <c r="U335" t="s">
        <v>108</v>
      </c>
      <c r="V335" t="s">
        <v>736</v>
      </c>
      <c r="W335" t="s">
        <v>416</v>
      </c>
      <c r="X335" t="s">
        <v>468</v>
      </c>
    </row>
    <row r="336" spans="8:24" x14ac:dyDescent="0.45">
      <c r="H336" t="s">
        <v>297</v>
      </c>
      <c r="I336" t="s">
        <v>187</v>
      </c>
      <c r="J336">
        <v>3.6100415389131238E-3</v>
      </c>
      <c r="K336" t="s">
        <v>185</v>
      </c>
      <c r="U336" t="s">
        <v>108</v>
      </c>
      <c r="V336" t="s">
        <v>737</v>
      </c>
      <c r="W336" t="s">
        <v>416</v>
      </c>
      <c r="X336" t="s">
        <v>468</v>
      </c>
    </row>
    <row r="337" spans="8:24" x14ac:dyDescent="0.45">
      <c r="H337" t="s">
        <v>298</v>
      </c>
      <c r="I337" t="s">
        <v>184</v>
      </c>
      <c r="J337">
        <v>7.8980458320231995E-4</v>
      </c>
      <c r="K337" t="s">
        <v>185</v>
      </c>
      <c r="U337" t="s">
        <v>108</v>
      </c>
      <c r="V337" t="s">
        <v>738</v>
      </c>
      <c r="W337" t="s">
        <v>416</v>
      </c>
      <c r="X337" t="s">
        <v>468</v>
      </c>
    </row>
    <row r="338" spans="8:24" x14ac:dyDescent="0.45">
      <c r="H338" t="s">
        <v>298</v>
      </c>
      <c r="I338" t="s">
        <v>186</v>
      </c>
      <c r="J338">
        <v>7.8980458320231995E-4</v>
      </c>
      <c r="K338" t="s">
        <v>185</v>
      </c>
      <c r="U338" t="s">
        <v>108</v>
      </c>
      <c r="V338" t="s">
        <v>739</v>
      </c>
      <c r="W338" t="s">
        <v>416</v>
      </c>
      <c r="X338" t="s">
        <v>468</v>
      </c>
    </row>
    <row r="339" spans="8:24" x14ac:dyDescent="0.45">
      <c r="H339" t="s">
        <v>298</v>
      </c>
      <c r="I339" t="s">
        <v>187</v>
      </c>
      <c r="J339">
        <v>7.8980458320231995E-4</v>
      </c>
      <c r="K339" t="s">
        <v>185</v>
      </c>
      <c r="U339" t="s">
        <v>108</v>
      </c>
      <c r="V339" t="s">
        <v>740</v>
      </c>
      <c r="W339" t="s">
        <v>416</v>
      </c>
      <c r="X339" t="s">
        <v>468</v>
      </c>
    </row>
    <row r="340" spans="8:24" x14ac:dyDescent="0.45">
      <c r="H340" t="s">
        <v>299</v>
      </c>
      <c r="I340" t="s">
        <v>184</v>
      </c>
      <c r="J340">
        <v>5.5002991205177539E-3</v>
      </c>
      <c r="K340" t="s">
        <v>185</v>
      </c>
      <c r="U340" t="s">
        <v>108</v>
      </c>
      <c r="V340" t="s">
        <v>741</v>
      </c>
      <c r="W340" t="s">
        <v>416</v>
      </c>
      <c r="X340" t="s">
        <v>468</v>
      </c>
    </row>
    <row r="341" spans="8:24" x14ac:dyDescent="0.45">
      <c r="H341" t="s">
        <v>299</v>
      </c>
      <c r="I341" t="s">
        <v>186</v>
      </c>
      <c r="J341">
        <v>5.5002991205177539E-3</v>
      </c>
      <c r="K341" t="s">
        <v>185</v>
      </c>
      <c r="U341" t="s">
        <v>108</v>
      </c>
      <c r="V341" t="s">
        <v>742</v>
      </c>
      <c r="W341" t="s">
        <v>416</v>
      </c>
      <c r="X341" t="s">
        <v>468</v>
      </c>
    </row>
    <row r="342" spans="8:24" x14ac:dyDescent="0.45">
      <c r="H342" t="s">
        <v>299</v>
      </c>
      <c r="I342" t="s">
        <v>187</v>
      </c>
      <c r="J342">
        <v>5.5002991205177539E-3</v>
      </c>
      <c r="K342" t="s">
        <v>185</v>
      </c>
      <c r="U342" t="s">
        <v>108</v>
      </c>
      <c r="V342" t="s">
        <v>743</v>
      </c>
      <c r="W342" t="s">
        <v>416</v>
      </c>
      <c r="X342" t="s">
        <v>468</v>
      </c>
    </row>
    <row r="343" spans="8:24" x14ac:dyDescent="0.45">
      <c r="H343" t="s">
        <v>300</v>
      </c>
      <c r="I343" t="s">
        <v>184</v>
      </c>
      <c r="J343">
        <v>1.421550514785919E-2</v>
      </c>
      <c r="K343" t="s">
        <v>185</v>
      </c>
      <c r="U343" t="s">
        <v>108</v>
      </c>
      <c r="V343" t="s">
        <v>744</v>
      </c>
      <c r="W343" t="s">
        <v>416</v>
      </c>
      <c r="X343" t="s">
        <v>468</v>
      </c>
    </row>
    <row r="344" spans="8:24" x14ac:dyDescent="0.45">
      <c r="H344" t="s">
        <v>300</v>
      </c>
      <c r="I344" t="s">
        <v>186</v>
      </c>
      <c r="J344">
        <v>1.421550514785919E-2</v>
      </c>
      <c r="K344" t="s">
        <v>185</v>
      </c>
      <c r="U344" t="s">
        <v>108</v>
      </c>
      <c r="V344" t="s">
        <v>745</v>
      </c>
      <c r="W344" t="s">
        <v>416</v>
      </c>
      <c r="X344" t="s">
        <v>468</v>
      </c>
    </row>
    <row r="345" spans="8:24" x14ac:dyDescent="0.45">
      <c r="H345" t="s">
        <v>300</v>
      </c>
      <c r="I345" t="s">
        <v>187</v>
      </c>
      <c r="J345">
        <v>1.421550514785919E-2</v>
      </c>
      <c r="K345" t="s">
        <v>185</v>
      </c>
      <c r="U345" t="s">
        <v>108</v>
      </c>
      <c r="V345" t="s">
        <v>745</v>
      </c>
      <c r="W345" t="s">
        <v>453</v>
      </c>
      <c r="X345" t="s">
        <v>468</v>
      </c>
    </row>
    <row r="346" spans="8:24" x14ac:dyDescent="0.45">
      <c r="H346" t="s">
        <v>301</v>
      </c>
      <c r="I346" t="s">
        <v>184</v>
      </c>
      <c r="J346">
        <v>8.8684804002168854E-2</v>
      </c>
      <c r="K346" t="s">
        <v>185</v>
      </c>
      <c r="U346" t="s">
        <v>108</v>
      </c>
      <c r="V346" t="s">
        <v>746</v>
      </c>
      <c r="W346" t="s">
        <v>416</v>
      </c>
      <c r="X346" t="s">
        <v>468</v>
      </c>
    </row>
    <row r="347" spans="8:24" x14ac:dyDescent="0.45">
      <c r="H347" t="s">
        <v>301</v>
      </c>
      <c r="I347" t="s">
        <v>186</v>
      </c>
      <c r="J347">
        <v>8.8684804002168854E-2</v>
      </c>
      <c r="K347" t="s">
        <v>185</v>
      </c>
      <c r="U347" t="s">
        <v>108</v>
      </c>
      <c r="V347" t="s">
        <v>746</v>
      </c>
      <c r="W347" t="s">
        <v>453</v>
      </c>
      <c r="X347" t="s">
        <v>468</v>
      </c>
    </row>
    <row r="348" spans="8:24" x14ac:dyDescent="0.45">
      <c r="H348" t="s">
        <v>301</v>
      </c>
      <c r="I348" t="s">
        <v>187</v>
      </c>
      <c r="J348">
        <v>8.8684804002168854E-2</v>
      </c>
      <c r="K348" t="s">
        <v>185</v>
      </c>
      <c r="U348" t="s">
        <v>108</v>
      </c>
      <c r="V348" t="s">
        <v>747</v>
      </c>
      <c r="W348" t="s">
        <v>416</v>
      </c>
      <c r="X348" t="s">
        <v>468</v>
      </c>
    </row>
    <row r="349" spans="8:24" x14ac:dyDescent="0.45">
      <c r="H349" t="s">
        <v>302</v>
      </c>
      <c r="I349" t="s">
        <v>184</v>
      </c>
      <c r="J349">
        <v>6.8139620944732814E-3</v>
      </c>
      <c r="K349" t="s">
        <v>185</v>
      </c>
      <c r="U349" t="s">
        <v>108</v>
      </c>
      <c r="V349" t="s">
        <v>747</v>
      </c>
      <c r="W349" t="s">
        <v>453</v>
      </c>
      <c r="X349" t="s">
        <v>468</v>
      </c>
    </row>
    <row r="350" spans="8:24" x14ac:dyDescent="0.45">
      <c r="H350" t="s">
        <v>302</v>
      </c>
      <c r="I350" t="s">
        <v>186</v>
      </c>
      <c r="J350">
        <v>6.8139620944732814E-3</v>
      </c>
      <c r="K350" t="s">
        <v>185</v>
      </c>
      <c r="U350" t="s">
        <v>108</v>
      </c>
      <c r="V350" t="s">
        <v>748</v>
      </c>
      <c r="W350" t="s">
        <v>453</v>
      </c>
      <c r="X350" t="s">
        <v>468</v>
      </c>
    </row>
    <row r="351" spans="8:24" x14ac:dyDescent="0.45">
      <c r="H351" t="s">
        <v>302</v>
      </c>
      <c r="I351" t="s">
        <v>187</v>
      </c>
      <c r="J351">
        <v>6.8139620944732814E-3</v>
      </c>
      <c r="K351" t="s">
        <v>185</v>
      </c>
      <c r="U351" t="s">
        <v>108</v>
      </c>
      <c r="V351" t="s">
        <v>749</v>
      </c>
      <c r="W351" t="s">
        <v>453</v>
      </c>
      <c r="X351" t="s">
        <v>468</v>
      </c>
    </row>
    <row r="352" spans="8:24" x14ac:dyDescent="0.45">
      <c r="H352" t="s">
        <v>303</v>
      </c>
      <c r="I352" t="s">
        <v>184</v>
      </c>
      <c r="J352">
        <v>8.2197613296771006E-4</v>
      </c>
      <c r="K352" t="s">
        <v>185</v>
      </c>
      <c r="U352" t="s">
        <v>108</v>
      </c>
      <c r="V352" t="s">
        <v>750</v>
      </c>
      <c r="W352" t="s">
        <v>453</v>
      </c>
      <c r="X352" t="s">
        <v>468</v>
      </c>
    </row>
    <row r="353" spans="8:24" x14ac:dyDescent="0.45">
      <c r="H353" t="s">
        <v>303</v>
      </c>
      <c r="I353" t="s">
        <v>186</v>
      </c>
      <c r="J353">
        <v>8.2197613296771006E-4</v>
      </c>
      <c r="K353" t="s">
        <v>185</v>
      </c>
      <c r="U353" t="s">
        <v>108</v>
      </c>
      <c r="V353" t="s">
        <v>750</v>
      </c>
      <c r="W353" t="s">
        <v>416</v>
      </c>
      <c r="X353" t="s">
        <v>403</v>
      </c>
    </row>
    <row r="354" spans="8:24" x14ac:dyDescent="0.45">
      <c r="H354" t="s">
        <v>303</v>
      </c>
      <c r="I354" t="s">
        <v>187</v>
      </c>
      <c r="J354">
        <v>8.2197613296771006E-4</v>
      </c>
      <c r="K354" t="s">
        <v>185</v>
      </c>
      <c r="U354" t="s">
        <v>108</v>
      </c>
      <c r="V354" t="s">
        <v>751</v>
      </c>
      <c r="W354" t="s">
        <v>453</v>
      </c>
      <c r="X354" t="s">
        <v>468</v>
      </c>
    </row>
    <row r="355" spans="8:24" x14ac:dyDescent="0.45">
      <c r="H355" t="s">
        <v>304</v>
      </c>
      <c r="I355" t="s">
        <v>184</v>
      </c>
      <c r="J355">
        <v>6.0243632321120399E-2</v>
      </c>
      <c r="K355" t="s">
        <v>185</v>
      </c>
      <c r="U355" t="s">
        <v>108</v>
      </c>
      <c r="V355" t="s">
        <v>751</v>
      </c>
      <c r="W355" t="s">
        <v>416</v>
      </c>
      <c r="X355" t="s">
        <v>403</v>
      </c>
    </row>
    <row r="356" spans="8:24" x14ac:dyDescent="0.45">
      <c r="H356" t="s">
        <v>304</v>
      </c>
      <c r="I356" t="s">
        <v>186</v>
      </c>
      <c r="J356">
        <v>6.0243632321120399E-2</v>
      </c>
      <c r="K356" t="s">
        <v>185</v>
      </c>
      <c r="U356" t="s">
        <v>108</v>
      </c>
      <c r="V356" t="s">
        <v>752</v>
      </c>
      <c r="W356" t="s">
        <v>417</v>
      </c>
      <c r="X356" t="s">
        <v>468</v>
      </c>
    </row>
    <row r="357" spans="8:24" x14ac:dyDescent="0.45">
      <c r="H357" t="s">
        <v>304</v>
      </c>
      <c r="I357" t="s">
        <v>187</v>
      </c>
      <c r="J357">
        <v>6.0243632321120399E-2</v>
      </c>
      <c r="K357" t="s">
        <v>185</v>
      </c>
      <c r="U357" t="s">
        <v>108</v>
      </c>
      <c r="V357" t="s">
        <v>753</v>
      </c>
      <c r="W357" t="s">
        <v>417</v>
      </c>
      <c r="X357" t="s">
        <v>468</v>
      </c>
    </row>
    <row r="358" spans="8:24" x14ac:dyDescent="0.45">
      <c r="H358" t="s">
        <v>305</v>
      </c>
      <c r="I358" t="s">
        <v>184</v>
      </c>
      <c r="J358">
        <v>2.0262038649744473E-2</v>
      </c>
      <c r="K358" t="s">
        <v>185</v>
      </c>
      <c r="U358" t="s">
        <v>108</v>
      </c>
      <c r="V358" t="s">
        <v>754</v>
      </c>
      <c r="W358" t="s">
        <v>417</v>
      </c>
      <c r="X358" t="s">
        <v>468</v>
      </c>
    </row>
    <row r="359" spans="8:24" x14ac:dyDescent="0.45">
      <c r="H359" t="s">
        <v>305</v>
      </c>
      <c r="I359" t="s">
        <v>186</v>
      </c>
      <c r="J359">
        <v>2.0262038649744473E-2</v>
      </c>
      <c r="K359" t="s">
        <v>185</v>
      </c>
      <c r="U359" t="s">
        <v>108</v>
      </c>
      <c r="V359" t="s">
        <v>755</v>
      </c>
      <c r="W359" t="s">
        <v>417</v>
      </c>
      <c r="X359" t="s">
        <v>468</v>
      </c>
    </row>
    <row r="360" spans="8:24" x14ac:dyDescent="0.45">
      <c r="H360" t="s">
        <v>305</v>
      </c>
      <c r="I360" t="s">
        <v>187</v>
      </c>
      <c r="J360">
        <v>2.0262038649744473E-2</v>
      </c>
      <c r="K360" t="s">
        <v>185</v>
      </c>
      <c r="U360" t="s">
        <v>108</v>
      </c>
      <c r="V360" t="s">
        <v>756</v>
      </c>
      <c r="W360" t="s">
        <v>417</v>
      </c>
      <c r="X360" t="s">
        <v>468</v>
      </c>
    </row>
    <row r="361" spans="8:24" x14ac:dyDescent="0.45">
      <c r="H361" t="s">
        <v>306</v>
      </c>
      <c r="I361" t="s">
        <v>184</v>
      </c>
      <c r="J361">
        <v>5.0279390308648739E-2</v>
      </c>
      <c r="K361" t="s">
        <v>185</v>
      </c>
      <c r="U361" t="s">
        <v>108</v>
      </c>
      <c r="V361" t="s">
        <v>757</v>
      </c>
      <c r="W361" t="s">
        <v>417</v>
      </c>
      <c r="X361" t="s">
        <v>468</v>
      </c>
    </row>
    <row r="362" spans="8:24" x14ac:dyDescent="0.45">
      <c r="H362" t="s">
        <v>306</v>
      </c>
      <c r="I362" t="s">
        <v>186</v>
      </c>
      <c r="J362">
        <v>5.0279390308648739E-2</v>
      </c>
      <c r="K362" t="s">
        <v>185</v>
      </c>
      <c r="U362" t="s">
        <v>108</v>
      </c>
      <c r="V362" t="s">
        <v>758</v>
      </c>
      <c r="W362" t="s">
        <v>417</v>
      </c>
      <c r="X362" t="s">
        <v>468</v>
      </c>
    </row>
    <row r="363" spans="8:24" x14ac:dyDescent="0.45">
      <c r="H363" t="s">
        <v>306</v>
      </c>
      <c r="I363" t="s">
        <v>187</v>
      </c>
      <c r="J363">
        <v>5.0279390308648739E-2</v>
      </c>
      <c r="K363" t="s">
        <v>185</v>
      </c>
      <c r="U363" t="s">
        <v>108</v>
      </c>
      <c r="V363" t="s">
        <v>759</v>
      </c>
      <c r="W363" t="s">
        <v>417</v>
      </c>
      <c r="X363" t="s">
        <v>468</v>
      </c>
    </row>
    <row r="364" spans="8:24" x14ac:dyDescent="0.45">
      <c r="H364" t="s">
        <v>307</v>
      </c>
      <c r="I364" t="s">
        <v>184</v>
      </c>
      <c r="J364">
        <v>9.649607985919061E-3</v>
      </c>
      <c r="K364" t="s">
        <v>185</v>
      </c>
      <c r="U364" t="s">
        <v>108</v>
      </c>
      <c r="V364" t="s">
        <v>760</v>
      </c>
      <c r="W364" t="s">
        <v>417</v>
      </c>
      <c r="X364" t="s">
        <v>468</v>
      </c>
    </row>
    <row r="365" spans="8:24" x14ac:dyDescent="0.45">
      <c r="H365" t="s">
        <v>307</v>
      </c>
      <c r="I365" t="s">
        <v>186</v>
      </c>
      <c r="J365">
        <v>9.649607985919061E-3</v>
      </c>
      <c r="K365" t="s">
        <v>185</v>
      </c>
      <c r="U365" t="s">
        <v>108</v>
      </c>
      <c r="V365" t="s">
        <v>761</v>
      </c>
      <c r="W365" t="s">
        <v>417</v>
      </c>
      <c r="X365" t="s">
        <v>468</v>
      </c>
    </row>
    <row r="366" spans="8:24" x14ac:dyDescent="0.45">
      <c r="H366" t="s">
        <v>307</v>
      </c>
      <c r="I366" t="s">
        <v>187</v>
      </c>
      <c r="J366">
        <v>9.649607985919061E-3</v>
      </c>
      <c r="K366" t="s">
        <v>185</v>
      </c>
      <c r="U366" t="s">
        <v>108</v>
      </c>
      <c r="V366" t="s">
        <v>762</v>
      </c>
      <c r="W366" t="s">
        <v>417</v>
      </c>
      <c r="X366" t="s">
        <v>468</v>
      </c>
    </row>
    <row r="367" spans="8:24" x14ac:dyDescent="0.45">
      <c r="H367" t="s">
        <v>308</v>
      </c>
      <c r="I367" t="s">
        <v>184</v>
      </c>
      <c r="J367">
        <v>5.1510690027018035E-3</v>
      </c>
      <c r="K367" t="s">
        <v>185</v>
      </c>
      <c r="U367" t="s">
        <v>108</v>
      </c>
      <c r="V367" t="s">
        <v>762</v>
      </c>
      <c r="W367" t="s">
        <v>763</v>
      </c>
      <c r="X367" t="s">
        <v>468</v>
      </c>
    </row>
    <row r="368" spans="8:24" x14ac:dyDescent="0.45">
      <c r="H368" t="s">
        <v>308</v>
      </c>
      <c r="I368" t="s">
        <v>186</v>
      </c>
      <c r="J368">
        <v>5.1510690027018035E-3</v>
      </c>
      <c r="K368" t="s">
        <v>185</v>
      </c>
      <c r="U368" t="s">
        <v>108</v>
      </c>
      <c r="V368" t="s">
        <v>764</v>
      </c>
      <c r="W368" t="s">
        <v>417</v>
      </c>
      <c r="X368" t="s">
        <v>468</v>
      </c>
    </row>
    <row r="369" spans="8:24" x14ac:dyDescent="0.45">
      <c r="H369" t="s">
        <v>308</v>
      </c>
      <c r="I369" t="s">
        <v>187</v>
      </c>
      <c r="J369">
        <v>5.1510690027018035E-3</v>
      </c>
      <c r="K369" t="s">
        <v>185</v>
      </c>
      <c r="U369" t="s">
        <v>108</v>
      </c>
      <c r="V369" t="s">
        <v>764</v>
      </c>
      <c r="W369" t="s">
        <v>763</v>
      </c>
      <c r="X369" t="s">
        <v>468</v>
      </c>
    </row>
    <row r="370" spans="8:24" x14ac:dyDescent="0.45">
      <c r="H370" t="s">
        <v>309</v>
      </c>
      <c r="I370" t="s">
        <v>184</v>
      </c>
      <c r="J370">
        <v>1.4317500235433219E-3</v>
      </c>
      <c r="K370" t="s">
        <v>185</v>
      </c>
      <c r="U370" t="s">
        <v>108</v>
      </c>
      <c r="V370" t="s">
        <v>765</v>
      </c>
      <c r="W370" t="s">
        <v>417</v>
      </c>
      <c r="X370" t="s">
        <v>468</v>
      </c>
    </row>
    <row r="371" spans="8:24" x14ac:dyDescent="0.45">
      <c r="H371" t="s">
        <v>309</v>
      </c>
      <c r="I371" t="s">
        <v>186</v>
      </c>
      <c r="J371">
        <v>1.4317500235433219E-3</v>
      </c>
      <c r="K371" t="s">
        <v>185</v>
      </c>
      <c r="U371" t="s">
        <v>108</v>
      </c>
      <c r="V371" t="s">
        <v>765</v>
      </c>
      <c r="W371" t="s">
        <v>763</v>
      </c>
      <c r="X371" t="s">
        <v>468</v>
      </c>
    </row>
    <row r="372" spans="8:24" x14ac:dyDescent="0.45">
      <c r="H372" t="s">
        <v>309</v>
      </c>
      <c r="I372" t="s">
        <v>187</v>
      </c>
      <c r="J372">
        <v>1.4317500235433219E-3</v>
      </c>
      <c r="K372" t="s">
        <v>185</v>
      </c>
      <c r="U372" t="s">
        <v>108</v>
      </c>
      <c r="V372" t="s">
        <v>766</v>
      </c>
      <c r="W372" t="s">
        <v>763</v>
      </c>
      <c r="X372" t="s">
        <v>468</v>
      </c>
    </row>
    <row r="373" spans="8:24" x14ac:dyDescent="0.45">
      <c r="H373" t="s">
        <v>310</v>
      </c>
      <c r="I373" t="s">
        <v>184</v>
      </c>
      <c r="J373">
        <v>0.10455642257141601</v>
      </c>
      <c r="K373" t="s">
        <v>185</v>
      </c>
      <c r="U373" t="s">
        <v>108</v>
      </c>
      <c r="V373" t="s">
        <v>767</v>
      </c>
      <c r="W373" t="s">
        <v>763</v>
      </c>
      <c r="X373" t="s">
        <v>468</v>
      </c>
    </row>
    <row r="374" spans="8:24" x14ac:dyDescent="0.45">
      <c r="H374" t="s">
        <v>310</v>
      </c>
      <c r="I374" t="s">
        <v>186</v>
      </c>
      <c r="J374">
        <v>0.10455642257141601</v>
      </c>
      <c r="K374" t="s">
        <v>185</v>
      </c>
      <c r="U374" t="s">
        <v>108</v>
      </c>
      <c r="V374" t="s">
        <v>768</v>
      </c>
      <c r="W374" t="s">
        <v>763</v>
      </c>
      <c r="X374" t="s">
        <v>468</v>
      </c>
    </row>
    <row r="375" spans="8:24" x14ac:dyDescent="0.45">
      <c r="H375" t="s">
        <v>310</v>
      </c>
      <c r="I375" t="s">
        <v>187</v>
      </c>
      <c r="J375">
        <v>0.10455642257141601</v>
      </c>
      <c r="K375" t="s">
        <v>185</v>
      </c>
      <c r="U375" t="s">
        <v>108</v>
      </c>
      <c r="V375" t="s">
        <v>768</v>
      </c>
      <c r="W375" t="s">
        <v>417</v>
      </c>
      <c r="X375" t="s">
        <v>403</v>
      </c>
    </row>
    <row r="376" spans="8:24" x14ac:dyDescent="0.45">
      <c r="H376" t="s">
        <v>311</v>
      </c>
      <c r="I376" t="s">
        <v>184</v>
      </c>
      <c r="J376">
        <v>0.14064063554730752</v>
      </c>
      <c r="K376" t="s">
        <v>185</v>
      </c>
      <c r="U376" t="s">
        <v>108</v>
      </c>
      <c r="V376" t="s">
        <v>769</v>
      </c>
      <c r="W376" t="s">
        <v>763</v>
      </c>
      <c r="X376" t="s">
        <v>468</v>
      </c>
    </row>
    <row r="377" spans="8:24" x14ac:dyDescent="0.45">
      <c r="H377" t="s">
        <v>311</v>
      </c>
      <c r="I377" t="s">
        <v>186</v>
      </c>
      <c r="J377">
        <v>0.14064063554730752</v>
      </c>
      <c r="K377" t="s">
        <v>185</v>
      </c>
      <c r="U377" t="s">
        <v>108</v>
      </c>
      <c r="V377" t="s">
        <v>769</v>
      </c>
      <c r="W377" t="s">
        <v>417</v>
      </c>
      <c r="X377" t="s">
        <v>403</v>
      </c>
    </row>
    <row r="378" spans="8:24" x14ac:dyDescent="0.45">
      <c r="H378" t="s">
        <v>311</v>
      </c>
      <c r="I378" t="s">
        <v>187</v>
      </c>
      <c r="J378">
        <v>0.14064063554730752</v>
      </c>
      <c r="K378" t="s">
        <v>185</v>
      </c>
      <c r="U378" t="s">
        <v>108</v>
      </c>
      <c r="V378" t="s">
        <v>770</v>
      </c>
      <c r="W378" t="s">
        <v>444</v>
      </c>
      <c r="X378" t="s">
        <v>468</v>
      </c>
    </row>
    <row r="379" spans="8:24" x14ac:dyDescent="0.45">
      <c r="H379" t="s">
        <v>312</v>
      </c>
      <c r="I379" t="s">
        <v>184</v>
      </c>
      <c r="J379">
        <v>3.5964846964412517E-2</v>
      </c>
      <c r="K379" t="s">
        <v>185</v>
      </c>
      <c r="U379" t="s">
        <v>108</v>
      </c>
      <c r="V379" t="s">
        <v>771</v>
      </c>
      <c r="W379" t="s">
        <v>444</v>
      </c>
      <c r="X379" t="s">
        <v>468</v>
      </c>
    </row>
    <row r="380" spans="8:24" x14ac:dyDescent="0.45">
      <c r="H380" t="s">
        <v>312</v>
      </c>
      <c r="I380" t="s">
        <v>186</v>
      </c>
      <c r="J380">
        <v>3.5964846964412517E-2</v>
      </c>
      <c r="K380" t="s">
        <v>185</v>
      </c>
      <c r="U380" t="s">
        <v>108</v>
      </c>
      <c r="V380" t="s">
        <v>772</v>
      </c>
      <c r="W380" t="s">
        <v>444</v>
      </c>
      <c r="X380" t="s">
        <v>468</v>
      </c>
    </row>
    <row r="381" spans="8:24" x14ac:dyDescent="0.45">
      <c r="H381" t="s">
        <v>312</v>
      </c>
      <c r="I381" t="s">
        <v>187</v>
      </c>
      <c r="J381">
        <v>3.5964846964412517E-2</v>
      </c>
      <c r="K381" t="s">
        <v>185</v>
      </c>
      <c r="U381" t="s">
        <v>108</v>
      </c>
      <c r="V381" t="s">
        <v>773</v>
      </c>
      <c r="W381" t="s">
        <v>444</v>
      </c>
      <c r="X381" t="s">
        <v>468</v>
      </c>
    </row>
    <row r="382" spans="8:24" x14ac:dyDescent="0.45">
      <c r="H382" t="s">
        <v>313</v>
      </c>
      <c r="I382" t="s">
        <v>184</v>
      </c>
      <c r="J382">
        <v>0.17620293965073539</v>
      </c>
      <c r="K382" t="s">
        <v>185</v>
      </c>
      <c r="U382" t="s">
        <v>108</v>
      </c>
      <c r="V382" t="s">
        <v>774</v>
      </c>
      <c r="W382" t="s">
        <v>444</v>
      </c>
      <c r="X382" t="s">
        <v>468</v>
      </c>
    </row>
    <row r="383" spans="8:24" x14ac:dyDescent="0.45">
      <c r="H383" t="s">
        <v>313</v>
      </c>
      <c r="I383" t="s">
        <v>186</v>
      </c>
      <c r="J383">
        <v>0.17620293965073539</v>
      </c>
      <c r="K383" t="s">
        <v>185</v>
      </c>
      <c r="U383" t="s">
        <v>108</v>
      </c>
      <c r="V383" t="s">
        <v>775</v>
      </c>
      <c r="W383" t="s">
        <v>444</v>
      </c>
      <c r="X383" t="s">
        <v>468</v>
      </c>
    </row>
    <row r="384" spans="8:24" x14ac:dyDescent="0.45">
      <c r="H384" t="s">
        <v>313</v>
      </c>
      <c r="I384" t="s">
        <v>187</v>
      </c>
      <c r="J384">
        <v>0.17620293965073539</v>
      </c>
      <c r="K384" t="s">
        <v>185</v>
      </c>
      <c r="U384" t="s">
        <v>108</v>
      </c>
      <c r="V384" t="s">
        <v>776</v>
      </c>
      <c r="W384" t="s">
        <v>444</v>
      </c>
      <c r="X384" t="s">
        <v>468</v>
      </c>
    </row>
    <row r="385" spans="8:24" x14ac:dyDescent="0.45">
      <c r="H385" t="s">
        <v>314</v>
      </c>
      <c r="I385" t="s">
        <v>184</v>
      </c>
      <c r="J385">
        <v>2.6040636261774261E-3</v>
      </c>
      <c r="K385" t="s">
        <v>185</v>
      </c>
      <c r="U385" t="s">
        <v>108</v>
      </c>
      <c r="V385" t="s">
        <v>777</v>
      </c>
      <c r="W385" t="s">
        <v>444</v>
      </c>
      <c r="X385" t="s">
        <v>468</v>
      </c>
    </row>
    <row r="386" spans="8:24" x14ac:dyDescent="0.45">
      <c r="H386" t="s">
        <v>314</v>
      </c>
      <c r="I386" t="s">
        <v>186</v>
      </c>
      <c r="J386">
        <v>2.6040636261774261E-3</v>
      </c>
      <c r="K386" t="s">
        <v>185</v>
      </c>
      <c r="U386" t="s">
        <v>108</v>
      </c>
      <c r="V386" t="s">
        <v>778</v>
      </c>
      <c r="W386" t="s">
        <v>444</v>
      </c>
      <c r="X386" t="s">
        <v>468</v>
      </c>
    </row>
    <row r="387" spans="8:24" x14ac:dyDescent="0.45">
      <c r="H387" t="s">
        <v>314</v>
      </c>
      <c r="I387" t="s">
        <v>187</v>
      </c>
      <c r="J387">
        <v>2.6040636261774261E-3</v>
      </c>
      <c r="K387" t="s">
        <v>185</v>
      </c>
      <c r="U387" t="s">
        <v>108</v>
      </c>
      <c r="V387" t="s">
        <v>779</v>
      </c>
      <c r="W387" t="s">
        <v>444</v>
      </c>
      <c r="X387" t="s">
        <v>468</v>
      </c>
    </row>
    <row r="388" spans="8:24" x14ac:dyDescent="0.45">
      <c r="H388" t="s">
        <v>315</v>
      </c>
      <c r="I388" t="s">
        <v>184</v>
      </c>
      <c r="J388">
        <v>9.5322680466405794E-6</v>
      </c>
      <c r="K388" t="s">
        <v>185</v>
      </c>
      <c r="U388" t="s">
        <v>108</v>
      </c>
      <c r="V388" t="s">
        <v>780</v>
      </c>
      <c r="W388" t="s">
        <v>444</v>
      </c>
      <c r="X388" t="s">
        <v>468</v>
      </c>
    </row>
    <row r="389" spans="8:24" x14ac:dyDescent="0.45">
      <c r="H389" t="s">
        <v>315</v>
      </c>
      <c r="I389" t="s">
        <v>186</v>
      </c>
      <c r="J389">
        <v>9.5322680466405794E-6</v>
      </c>
      <c r="K389" t="s">
        <v>185</v>
      </c>
      <c r="U389" t="s">
        <v>108</v>
      </c>
      <c r="V389" t="s">
        <v>780</v>
      </c>
      <c r="W389" t="s">
        <v>454</v>
      </c>
      <c r="X389" t="s">
        <v>468</v>
      </c>
    </row>
    <row r="390" spans="8:24" x14ac:dyDescent="0.45">
      <c r="H390" t="s">
        <v>315</v>
      </c>
      <c r="I390" t="s">
        <v>187</v>
      </c>
      <c r="J390">
        <v>9.5322680466405794E-6</v>
      </c>
      <c r="K390" t="s">
        <v>185</v>
      </c>
      <c r="U390" t="s">
        <v>108</v>
      </c>
      <c r="V390" t="s">
        <v>781</v>
      </c>
      <c r="W390" t="s">
        <v>444</v>
      </c>
      <c r="X390" t="s">
        <v>468</v>
      </c>
    </row>
    <row r="391" spans="8:24" x14ac:dyDescent="0.45">
      <c r="H391" t="s">
        <v>316</v>
      </c>
      <c r="I391" t="s">
        <v>184</v>
      </c>
      <c r="J391">
        <v>9.8937960837051009E-4</v>
      </c>
      <c r="K391" t="s">
        <v>185</v>
      </c>
      <c r="U391" t="s">
        <v>108</v>
      </c>
      <c r="V391" t="s">
        <v>781</v>
      </c>
      <c r="W391" t="s">
        <v>454</v>
      </c>
      <c r="X391" t="s">
        <v>468</v>
      </c>
    </row>
    <row r="392" spans="8:24" x14ac:dyDescent="0.45">
      <c r="H392" t="s">
        <v>316</v>
      </c>
      <c r="I392" t="s">
        <v>186</v>
      </c>
      <c r="J392">
        <v>9.8937960837051009E-4</v>
      </c>
      <c r="K392" t="s">
        <v>185</v>
      </c>
      <c r="U392" t="s">
        <v>108</v>
      </c>
      <c r="V392" t="s">
        <v>782</v>
      </c>
      <c r="W392" t="s">
        <v>444</v>
      </c>
      <c r="X392" t="s">
        <v>468</v>
      </c>
    </row>
    <row r="393" spans="8:24" x14ac:dyDescent="0.45">
      <c r="H393" t="s">
        <v>316</v>
      </c>
      <c r="I393" t="s">
        <v>187</v>
      </c>
      <c r="J393">
        <v>9.8937960837051009E-4</v>
      </c>
      <c r="K393" t="s">
        <v>185</v>
      </c>
      <c r="U393" t="s">
        <v>108</v>
      </c>
      <c r="V393" t="s">
        <v>782</v>
      </c>
      <c r="W393" t="s">
        <v>454</v>
      </c>
      <c r="X393" t="s">
        <v>468</v>
      </c>
    </row>
    <row r="394" spans="8:24" x14ac:dyDescent="0.45">
      <c r="H394" t="s">
        <v>317</v>
      </c>
      <c r="I394" t="s">
        <v>184</v>
      </c>
      <c r="J394">
        <v>3.5391076319364681E-5</v>
      </c>
      <c r="K394" t="s">
        <v>185</v>
      </c>
      <c r="U394" t="s">
        <v>108</v>
      </c>
      <c r="V394" t="s">
        <v>783</v>
      </c>
      <c r="W394" t="s">
        <v>454</v>
      </c>
      <c r="X394" t="s">
        <v>468</v>
      </c>
    </row>
    <row r="395" spans="8:24" x14ac:dyDescent="0.45">
      <c r="H395" t="s">
        <v>317</v>
      </c>
      <c r="I395" t="s">
        <v>186</v>
      </c>
      <c r="J395">
        <v>3.5391076319364681E-5</v>
      </c>
      <c r="K395" t="s">
        <v>185</v>
      </c>
      <c r="U395" t="s">
        <v>108</v>
      </c>
      <c r="V395" t="s">
        <v>784</v>
      </c>
      <c r="W395" t="s">
        <v>454</v>
      </c>
      <c r="X395" t="s">
        <v>468</v>
      </c>
    </row>
    <row r="396" spans="8:24" x14ac:dyDescent="0.45">
      <c r="H396" t="s">
        <v>317</v>
      </c>
      <c r="I396" t="s">
        <v>187</v>
      </c>
      <c r="J396">
        <v>3.5391076319364681E-5</v>
      </c>
      <c r="K396" t="s">
        <v>185</v>
      </c>
      <c r="U396" t="s">
        <v>108</v>
      </c>
      <c r="V396" t="s">
        <v>785</v>
      </c>
      <c r="W396" t="s">
        <v>454</v>
      </c>
      <c r="X396" t="s">
        <v>468</v>
      </c>
    </row>
    <row r="397" spans="8:24" x14ac:dyDescent="0.45">
      <c r="H397" t="s">
        <v>318</v>
      </c>
      <c r="I397" t="s">
        <v>184</v>
      </c>
      <c r="J397">
        <v>9.6276259107804993E-4</v>
      </c>
      <c r="K397" t="s">
        <v>185</v>
      </c>
      <c r="U397" t="s">
        <v>108</v>
      </c>
      <c r="V397" t="s">
        <v>785</v>
      </c>
      <c r="W397" t="s">
        <v>444</v>
      </c>
      <c r="X397" t="s">
        <v>403</v>
      </c>
    </row>
    <row r="398" spans="8:24" x14ac:dyDescent="0.45">
      <c r="H398" t="s">
        <v>318</v>
      </c>
      <c r="I398" t="s">
        <v>186</v>
      </c>
      <c r="J398">
        <v>9.6276259107804993E-4</v>
      </c>
      <c r="K398" t="s">
        <v>185</v>
      </c>
      <c r="U398" t="s">
        <v>108</v>
      </c>
      <c r="V398" t="s">
        <v>786</v>
      </c>
      <c r="W398" t="s">
        <v>454</v>
      </c>
      <c r="X398" t="s">
        <v>468</v>
      </c>
    </row>
    <row r="399" spans="8:24" x14ac:dyDescent="0.45">
      <c r="H399" t="s">
        <v>318</v>
      </c>
      <c r="I399" t="s">
        <v>187</v>
      </c>
      <c r="J399">
        <v>9.6276259107804993E-4</v>
      </c>
      <c r="K399" t="s">
        <v>185</v>
      </c>
      <c r="U399" t="s">
        <v>108</v>
      </c>
      <c r="V399" t="s">
        <v>786</v>
      </c>
      <c r="W399" t="s">
        <v>444</v>
      </c>
      <c r="X399" t="s">
        <v>403</v>
      </c>
    </row>
    <row r="400" spans="8:24" x14ac:dyDescent="0.45">
      <c r="H400" t="s">
        <v>319</v>
      </c>
      <c r="I400" t="s">
        <v>184</v>
      </c>
      <c r="J400">
        <v>3.384279910389182E-3</v>
      </c>
      <c r="K400" t="s">
        <v>185</v>
      </c>
      <c r="U400" t="s">
        <v>108</v>
      </c>
      <c r="V400" t="s">
        <v>787</v>
      </c>
      <c r="W400" t="s">
        <v>418</v>
      </c>
      <c r="X400" t="s">
        <v>468</v>
      </c>
    </row>
    <row r="401" spans="8:24" x14ac:dyDescent="0.45">
      <c r="H401" t="s">
        <v>319</v>
      </c>
      <c r="I401" t="s">
        <v>186</v>
      </c>
      <c r="J401">
        <v>3.384279910389182E-3</v>
      </c>
      <c r="K401" t="s">
        <v>185</v>
      </c>
      <c r="U401" t="s">
        <v>108</v>
      </c>
      <c r="V401" t="s">
        <v>788</v>
      </c>
      <c r="W401" t="s">
        <v>418</v>
      </c>
      <c r="X401" t="s">
        <v>468</v>
      </c>
    </row>
    <row r="402" spans="8:24" x14ac:dyDescent="0.45">
      <c r="H402" t="s">
        <v>319</v>
      </c>
      <c r="I402" t="s">
        <v>187</v>
      </c>
      <c r="J402">
        <v>3.384279910389182E-3</v>
      </c>
      <c r="K402" t="s">
        <v>185</v>
      </c>
      <c r="U402" t="s">
        <v>108</v>
      </c>
      <c r="V402" t="s">
        <v>789</v>
      </c>
      <c r="W402" t="s">
        <v>418</v>
      </c>
      <c r="X402" t="s">
        <v>468</v>
      </c>
    </row>
    <row r="403" spans="8:24" x14ac:dyDescent="0.45">
      <c r="H403" t="s">
        <v>320</v>
      </c>
      <c r="I403" t="s">
        <v>184</v>
      </c>
      <c r="J403">
        <v>3.5690458094748798E-3</v>
      </c>
      <c r="K403" t="s">
        <v>185</v>
      </c>
      <c r="U403" t="s">
        <v>108</v>
      </c>
      <c r="V403" t="s">
        <v>790</v>
      </c>
      <c r="W403" t="s">
        <v>418</v>
      </c>
      <c r="X403" t="s">
        <v>468</v>
      </c>
    </row>
    <row r="404" spans="8:24" x14ac:dyDescent="0.45">
      <c r="H404" t="s">
        <v>320</v>
      </c>
      <c r="I404" t="s">
        <v>186</v>
      </c>
      <c r="J404">
        <v>3.5690458094748798E-3</v>
      </c>
      <c r="K404" t="s">
        <v>185</v>
      </c>
      <c r="U404" t="s">
        <v>108</v>
      </c>
      <c r="V404" t="s">
        <v>791</v>
      </c>
      <c r="W404" t="s">
        <v>418</v>
      </c>
      <c r="X404" t="s">
        <v>468</v>
      </c>
    </row>
    <row r="405" spans="8:24" x14ac:dyDescent="0.45">
      <c r="H405" t="s">
        <v>320</v>
      </c>
      <c r="I405" t="s">
        <v>187</v>
      </c>
      <c r="J405">
        <v>3.5690458094748798E-3</v>
      </c>
      <c r="K405" t="s">
        <v>185</v>
      </c>
      <c r="U405" t="s">
        <v>108</v>
      </c>
      <c r="V405" t="s">
        <v>792</v>
      </c>
      <c r="W405" t="s">
        <v>418</v>
      </c>
      <c r="X405" t="s">
        <v>468</v>
      </c>
    </row>
    <row r="406" spans="8:24" x14ac:dyDescent="0.45">
      <c r="H406" t="s">
        <v>321</v>
      </c>
      <c r="I406" t="s">
        <v>184</v>
      </c>
      <c r="J406">
        <v>8.4472369340795803E-4</v>
      </c>
      <c r="K406" t="s">
        <v>185</v>
      </c>
      <c r="U406" t="s">
        <v>108</v>
      </c>
      <c r="V406" t="s">
        <v>793</v>
      </c>
      <c r="W406" t="s">
        <v>418</v>
      </c>
      <c r="X406" t="s">
        <v>468</v>
      </c>
    </row>
    <row r="407" spans="8:24" x14ac:dyDescent="0.45">
      <c r="H407" t="s">
        <v>321</v>
      </c>
      <c r="I407" t="s">
        <v>186</v>
      </c>
      <c r="J407">
        <v>8.4472369340795803E-4</v>
      </c>
      <c r="K407" t="s">
        <v>185</v>
      </c>
      <c r="U407" t="s">
        <v>108</v>
      </c>
      <c r="V407" t="s">
        <v>794</v>
      </c>
      <c r="W407" t="s">
        <v>418</v>
      </c>
      <c r="X407" t="s">
        <v>468</v>
      </c>
    </row>
    <row r="408" spans="8:24" x14ac:dyDescent="0.45">
      <c r="H408" t="s">
        <v>321</v>
      </c>
      <c r="I408" t="s">
        <v>187</v>
      </c>
      <c r="J408">
        <v>8.4472369340795803E-4</v>
      </c>
      <c r="K408" t="s">
        <v>185</v>
      </c>
      <c r="U408" t="s">
        <v>108</v>
      </c>
      <c r="V408" t="s">
        <v>795</v>
      </c>
      <c r="W408" t="s">
        <v>418</v>
      </c>
      <c r="X408" t="s">
        <v>468</v>
      </c>
    </row>
    <row r="409" spans="8:24" x14ac:dyDescent="0.45">
      <c r="H409" t="s">
        <v>322</v>
      </c>
      <c r="I409" t="s">
        <v>184</v>
      </c>
      <c r="J409">
        <v>3.1814579510781901E-3</v>
      </c>
      <c r="K409" t="s">
        <v>185</v>
      </c>
      <c r="U409" t="s">
        <v>108</v>
      </c>
      <c r="V409" t="s">
        <v>796</v>
      </c>
      <c r="W409" t="s">
        <v>418</v>
      </c>
      <c r="X409" t="s">
        <v>468</v>
      </c>
    </row>
    <row r="410" spans="8:24" x14ac:dyDescent="0.45">
      <c r="H410" t="s">
        <v>322</v>
      </c>
      <c r="I410" t="s">
        <v>186</v>
      </c>
      <c r="J410">
        <v>3.1814579510781901E-3</v>
      </c>
      <c r="K410" t="s">
        <v>185</v>
      </c>
      <c r="U410" t="s">
        <v>108</v>
      </c>
      <c r="V410" t="s">
        <v>797</v>
      </c>
      <c r="W410" t="s">
        <v>418</v>
      </c>
      <c r="X410" t="s">
        <v>468</v>
      </c>
    </row>
    <row r="411" spans="8:24" x14ac:dyDescent="0.45">
      <c r="H411" t="s">
        <v>322</v>
      </c>
      <c r="I411" t="s">
        <v>187</v>
      </c>
      <c r="J411">
        <v>3.1814579510781901E-3</v>
      </c>
      <c r="K411" t="s">
        <v>185</v>
      </c>
      <c r="U411" t="s">
        <v>108</v>
      </c>
      <c r="V411" t="s">
        <v>797</v>
      </c>
      <c r="W411" t="s">
        <v>798</v>
      </c>
      <c r="X411" t="s">
        <v>468</v>
      </c>
    </row>
    <row r="412" spans="8:24" x14ac:dyDescent="0.45">
      <c r="H412" t="s">
        <v>323</v>
      </c>
      <c r="I412" t="s">
        <v>184</v>
      </c>
      <c r="J412">
        <v>4.2826282146869711E-2</v>
      </c>
      <c r="K412" t="s">
        <v>185</v>
      </c>
      <c r="U412" t="s">
        <v>108</v>
      </c>
      <c r="V412" t="s">
        <v>799</v>
      </c>
      <c r="W412" t="s">
        <v>418</v>
      </c>
      <c r="X412" t="s">
        <v>468</v>
      </c>
    </row>
    <row r="413" spans="8:24" x14ac:dyDescent="0.45">
      <c r="H413" t="s">
        <v>323</v>
      </c>
      <c r="I413" t="s">
        <v>186</v>
      </c>
      <c r="J413">
        <v>4.2826282146869711E-2</v>
      </c>
      <c r="K413" t="s">
        <v>185</v>
      </c>
      <c r="U413" t="s">
        <v>108</v>
      </c>
      <c r="V413" t="s">
        <v>799</v>
      </c>
      <c r="W413" t="s">
        <v>798</v>
      </c>
      <c r="X413" t="s">
        <v>468</v>
      </c>
    </row>
    <row r="414" spans="8:24" x14ac:dyDescent="0.45">
      <c r="H414" t="s">
        <v>323</v>
      </c>
      <c r="I414" t="s">
        <v>187</v>
      </c>
      <c r="J414">
        <v>4.2826282146869711E-2</v>
      </c>
      <c r="K414" t="s">
        <v>185</v>
      </c>
      <c r="U414" t="s">
        <v>108</v>
      </c>
      <c r="V414" t="s">
        <v>800</v>
      </c>
      <c r="W414" t="s">
        <v>418</v>
      </c>
      <c r="X414" t="s">
        <v>468</v>
      </c>
    </row>
    <row r="415" spans="8:24" x14ac:dyDescent="0.45">
      <c r="H415" t="s">
        <v>324</v>
      </c>
      <c r="I415" t="s">
        <v>184</v>
      </c>
      <c r="J415">
        <v>3.3394171558205499E-3</v>
      </c>
      <c r="K415" t="s">
        <v>185</v>
      </c>
      <c r="U415" t="s">
        <v>108</v>
      </c>
      <c r="V415" t="s">
        <v>800</v>
      </c>
      <c r="W415" t="s">
        <v>798</v>
      </c>
      <c r="X415" t="s">
        <v>468</v>
      </c>
    </row>
    <row r="416" spans="8:24" x14ac:dyDescent="0.45">
      <c r="H416" t="s">
        <v>324</v>
      </c>
      <c r="I416" t="s">
        <v>186</v>
      </c>
      <c r="J416">
        <v>3.3394171558205499E-3</v>
      </c>
      <c r="K416" t="s">
        <v>185</v>
      </c>
      <c r="U416" t="s">
        <v>108</v>
      </c>
      <c r="V416" t="s">
        <v>801</v>
      </c>
      <c r="W416" t="s">
        <v>798</v>
      </c>
      <c r="X416" t="s">
        <v>468</v>
      </c>
    </row>
    <row r="417" spans="8:24" x14ac:dyDescent="0.45">
      <c r="H417" t="s">
        <v>324</v>
      </c>
      <c r="I417" t="s">
        <v>187</v>
      </c>
      <c r="J417">
        <v>3.3394171558205499E-3</v>
      </c>
      <c r="K417" t="s">
        <v>185</v>
      </c>
      <c r="U417" t="s">
        <v>108</v>
      </c>
      <c r="V417" t="s">
        <v>802</v>
      </c>
      <c r="W417" t="s">
        <v>798</v>
      </c>
      <c r="X417" t="s">
        <v>468</v>
      </c>
    </row>
    <row r="418" spans="8:24" x14ac:dyDescent="0.45">
      <c r="H418" t="s">
        <v>325</v>
      </c>
      <c r="I418" t="s">
        <v>184</v>
      </c>
      <c r="J418">
        <v>6.5406199804486794E-4</v>
      </c>
      <c r="K418" t="s">
        <v>185</v>
      </c>
      <c r="U418" t="s">
        <v>108</v>
      </c>
      <c r="V418" t="s">
        <v>803</v>
      </c>
      <c r="W418" t="s">
        <v>798</v>
      </c>
      <c r="X418" t="s">
        <v>468</v>
      </c>
    </row>
    <row r="419" spans="8:24" x14ac:dyDescent="0.45">
      <c r="H419" t="s">
        <v>325</v>
      </c>
      <c r="I419" t="s">
        <v>186</v>
      </c>
      <c r="J419">
        <v>6.5406199804486794E-4</v>
      </c>
      <c r="K419" t="s">
        <v>185</v>
      </c>
      <c r="U419" t="s">
        <v>108</v>
      </c>
      <c r="V419" t="s">
        <v>803</v>
      </c>
      <c r="W419" t="s">
        <v>418</v>
      </c>
      <c r="X419" t="s">
        <v>403</v>
      </c>
    </row>
    <row r="420" spans="8:24" x14ac:dyDescent="0.45">
      <c r="H420" t="s">
        <v>325</v>
      </c>
      <c r="I420" t="s">
        <v>187</v>
      </c>
      <c r="J420">
        <v>6.5406199804486794E-4</v>
      </c>
      <c r="K420" t="s">
        <v>185</v>
      </c>
      <c r="U420" t="s">
        <v>108</v>
      </c>
      <c r="V420" t="s">
        <v>804</v>
      </c>
      <c r="W420" t="s">
        <v>798</v>
      </c>
      <c r="X420" t="s">
        <v>468</v>
      </c>
    </row>
    <row r="421" spans="8:24" x14ac:dyDescent="0.45">
      <c r="H421" t="s">
        <v>326</v>
      </c>
      <c r="I421" t="s">
        <v>184</v>
      </c>
      <c r="J421">
        <v>2.3066026286364038E-3</v>
      </c>
      <c r="K421" t="s">
        <v>185</v>
      </c>
      <c r="U421" t="s">
        <v>108</v>
      </c>
      <c r="V421" t="s">
        <v>804</v>
      </c>
      <c r="W421" t="s">
        <v>418</v>
      </c>
      <c r="X421" t="s">
        <v>403</v>
      </c>
    </row>
    <row r="422" spans="8:24" x14ac:dyDescent="0.45">
      <c r="H422" t="s">
        <v>326</v>
      </c>
      <c r="I422" t="s">
        <v>186</v>
      </c>
      <c r="J422">
        <v>2.3066026286364038E-3</v>
      </c>
      <c r="K422" t="s">
        <v>185</v>
      </c>
      <c r="U422" t="s">
        <v>108</v>
      </c>
      <c r="V422" t="s">
        <v>805</v>
      </c>
      <c r="W422" t="s">
        <v>419</v>
      </c>
      <c r="X422" t="s">
        <v>468</v>
      </c>
    </row>
    <row r="423" spans="8:24" x14ac:dyDescent="0.45">
      <c r="H423" t="s">
        <v>326</v>
      </c>
      <c r="I423" t="s">
        <v>187</v>
      </c>
      <c r="J423">
        <v>2.3066026286364038E-3</v>
      </c>
      <c r="K423" t="s">
        <v>185</v>
      </c>
      <c r="U423" t="s">
        <v>108</v>
      </c>
      <c r="V423" t="s">
        <v>806</v>
      </c>
      <c r="W423" t="s">
        <v>419</v>
      </c>
      <c r="X423" t="s">
        <v>468</v>
      </c>
    </row>
    <row r="424" spans="8:24" x14ac:dyDescent="0.45">
      <c r="H424" t="s">
        <v>327</v>
      </c>
      <c r="I424" t="s">
        <v>184</v>
      </c>
      <c r="J424">
        <v>1.5216613792951535E-2</v>
      </c>
      <c r="K424" t="s">
        <v>185</v>
      </c>
      <c r="U424" t="s">
        <v>108</v>
      </c>
      <c r="V424" t="s">
        <v>807</v>
      </c>
      <c r="W424" t="s">
        <v>419</v>
      </c>
      <c r="X424" t="s">
        <v>468</v>
      </c>
    </row>
    <row r="425" spans="8:24" x14ac:dyDescent="0.45">
      <c r="H425" t="s">
        <v>327</v>
      </c>
      <c r="I425" t="s">
        <v>186</v>
      </c>
      <c r="J425">
        <v>1.5216613792951535E-2</v>
      </c>
      <c r="K425" t="s">
        <v>185</v>
      </c>
      <c r="U425" t="s">
        <v>108</v>
      </c>
      <c r="V425" t="s">
        <v>808</v>
      </c>
      <c r="W425" t="s">
        <v>419</v>
      </c>
      <c r="X425" t="s">
        <v>468</v>
      </c>
    </row>
    <row r="426" spans="8:24" x14ac:dyDescent="0.45">
      <c r="H426" t="s">
        <v>327</v>
      </c>
      <c r="I426" t="s">
        <v>187</v>
      </c>
      <c r="J426">
        <v>1.5216613792951535E-2</v>
      </c>
      <c r="K426" t="s">
        <v>185</v>
      </c>
      <c r="U426" t="s">
        <v>108</v>
      </c>
      <c r="V426" t="s">
        <v>809</v>
      </c>
      <c r="W426" t="s">
        <v>419</v>
      </c>
      <c r="X426" t="s">
        <v>468</v>
      </c>
    </row>
    <row r="427" spans="8:24" x14ac:dyDescent="0.45">
      <c r="H427" t="s">
        <v>328</v>
      </c>
      <c r="I427" t="s">
        <v>184</v>
      </c>
      <c r="J427">
        <v>2.30957499730552E-4</v>
      </c>
      <c r="K427" t="s">
        <v>185</v>
      </c>
      <c r="U427" t="s">
        <v>108</v>
      </c>
      <c r="V427" t="s">
        <v>810</v>
      </c>
      <c r="W427" t="s">
        <v>419</v>
      </c>
      <c r="X427" t="s">
        <v>468</v>
      </c>
    </row>
    <row r="428" spans="8:24" x14ac:dyDescent="0.45">
      <c r="H428" t="s">
        <v>328</v>
      </c>
      <c r="I428" t="s">
        <v>186</v>
      </c>
      <c r="J428">
        <v>2.30957499730552E-4</v>
      </c>
      <c r="K428" t="s">
        <v>185</v>
      </c>
      <c r="U428" t="s">
        <v>108</v>
      </c>
      <c r="V428" t="s">
        <v>811</v>
      </c>
      <c r="W428" t="s">
        <v>419</v>
      </c>
      <c r="X428" t="s">
        <v>468</v>
      </c>
    </row>
    <row r="429" spans="8:24" x14ac:dyDescent="0.45">
      <c r="H429" t="s">
        <v>328</v>
      </c>
      <c r="I429" t="s">
        <v>187</v>
      </c>
      <c r="J429">
        <v>2.30957499730552E-4</v>
      </c>
      <c r="K429" t="s">
        <v>185</v>
      </c>
      <c r="U429" t="s">
        <v>108</v>
      </c>
      <c r="V429" t="s">
        <v>812</v>
      </c>
      <c r="W429" t="s">
        <v>419</v>
      </c>
      <c r="X429" t="s">
        <v>468</v>
      </c>
    </row>
    <row r="430" spans="8:24" x14ac:dyDescent="0.45">
      <c r="H430" t="s">
        <v>329</v>
      </c>
      <c r="I430" t="s">
        <v>184</v>
      </c>
      <c r="J430">
        <v>2.8729760172643598E-3</v>
      </c>
      <c r="K430" t="s">
        <v>185</v>
      </c>
      <c r="U430" t="s">
        <v>108</v>
      </c>
      <c r="V430" t="s">
        <v>813</v>
      </c>
      <c r="W430" t="s">
        <v>419</v>
      </c>
      <c r="X430" t="s">
        <v>468</v>
      </c>
    </row>
    <row r="431" spans="8:24" x14ac:dyDescent="0.45">
      <c r="H431" t="s">
        <v>329</v>
      </c>
      <c r="I431" t="s">
        <v>186</v>
      </c>
      <c r="J431">
        <v>2.8729760172643598E-3</v>
      </c>
      <c r="K431" t="s">
        <v>185</v>
      </c>
      <c r="U431" t="s">
        <v>108</v>
      </c>
      <c r="V431" t="s">
        <v>814</v>
      </c>
      <c r="W431" t="s">
        <v>419</v>
      </c>
      <c r="X431" t="s">
        <v>468</v>
      </c>
    </row>
    <row r="432" spans="8:24" x14ac:dyDescent="0.45">
      <c r="H432" t="s">
        <v>329</v>
      </c>
      <c r="I432" t="s">
        <v>187</v>
      </c>
      <c r="J432">
        <v>2.8729760172643598E-3</v>
      </c>
      <c r="K432" t="s">
        <v>185</v>
      </c>
      <c r="U432" t="s">
        <v>108</v>
      </c>
      <c r="V432" t="s">
        <v>815</v>
      </c>
      <c r="W432" t="s">
        <v>419</v>
      </c>
      <c r="X432" t="s">
        <v>468</v>
      </c>
    </row>
    <row r="433" spans="8:24" x14ac:dyDescent="0.45">
      <c r="H433" t="s">
        <v>330</v>
      </c>
      <c r="I433" t="s">
        <v>184</v>
      </c>
      <c r="J433">
        <v>5.4564833273287441E-2</v>
      </c>
      <c r="K433" t="s">
        <v>185</v>
      </c>
      <c r="U433" t="s">
        <v>108</v>
      </c>
      <c r="V433" t="s">
        <v>815</v>
      </c>
      <c r="W433" t="s">
        <v>816</v>
      </c>
      <c r="X433" t="s">
        <v>468</v>
      </c>
    </row>
    <row r="434" spans="8:24" x14ac:dyDescent="0.45">
      <c r="H434" t="s">
        <v>330</v>
      </c>
      <c r="I434" t="s">
        <v>186</v>
      </c>
      <c r="J434">
        <v>5.4564833273287441E-2</v>
      </c>
      <c r="K434" t="s">
        <v>185</v>
      </c>
      <c r="U434" t="s">
        <v>108</v>
      </c>
      <c r="V434" t="s">
        <v>817</v>
      </c>
      <c r="W434" t="s">
        <v>419</v>
      </c>
      <c r="X434" t="s">
        <v>468</v>
      </c>
    </row>
    <row r="435" spans="8:24" x14ac:dyDescent="0.45">
      <c r="H435" t="s">
        <v>330</v>
      </c>
      <c r="I435" t="s">
        <v>187</v>
      </c>
      <c r="J435">
        <v>5.4564833273287441E-2</v>
      </c>
      <c r="K435" t="s">
        <v>185</v>
      </c>
      <c r="U435" t="s">
        <v>108</v>
      </c>
      <c r="V435" t="s">
        <v>817</v>
      </c>
      <c r="W435" t="s">
        <v>816</v>
      </c>
      <c r="X435" t="s">
        <v>468</v>
      </c>
    </row>
    <row r="436" spans="8:24" x14ac:dyDescent="0.45">
      <c r="H436" t="s">
        <v>331</v>
      </c>
      <c r="I436" t="s">
        <v>184</v>
      </c>
      <c r="J436">
        <v>4.0187722894336501E-3</v>
      </c>
      <c r="K436" t="s">
        <v>185</v>
      </c>
      <c r="U436" t="s">
        <v>108</v>
      </c>
      <c r="V436" t="s">
        <v>818</v>
      </c>
      <c r="W436" t="s">
        <v>419</v>
      </c>
      <c r="X436" t="s">
        <v>468</v>
      </c>
    </row>
    <row r="437" spans="8:24" x14ac:dyDescent="0.45">
      <c r="H437" t="s">
        <v>331</v>
      </c>
      <c r="I437" t="s">
        <v>186</v>
      </c>
      <c r="J437">
        <v>4.0187722894336501E-3</v>
      </c>
      <c r="K437" t="s">
        <v>185</v>
      </c>
      <c r="U437" t="s">
        <v>108</v>
      </c>
      <c r="V437" t="s">
        <v>818</v>
      </c>
      <c r="W437" t="s">
        <v>816</v>
      </c>
      <c r="X437" t="s">
        <v>468</v>
      </c>
    </row>
    <row r="438" spans="8:24" x14ac:dyDescent="0.45">
      <c r="H438" t="s">
        <v>331</v>
      </c>
      <c r="I438" t="s">
        <v>187</v>
      </c>
      <c r="J438">
        <v>4.0187722894336501E-3</v>
      </c>
      <c r="K438" t="s">
        <v>185</v>
      </c>
      <c r="U438" t="s">
        <v>108</v>
      </c>
      <c r="V438" t="s">
        <v>819</v>
      </c>
      <c r="W438" t="s">
        <v>816</v>
      </c>
      <c r="X438" t="s">
        <v>468</v>
      </c>
    </row>
    <row r="439" spans="8:24" x14ac:dyDescent="0.45">
      <c r="H439" t="s">
        <v>332</v>
      </c>
      <c r="I439" t="s">
        <v>184</v>
      </c>
      <c r="J439">
        <v>8.1949397353194356E-2</v>
      </c>
      <c r="K439" t="s">
        <v>185</v>
      </c>
      <c r="U439" t="s">
        <v>108</v>
      </c>
      <c r="V439" t="s">
        <v>820</v>
      </c>
      <c r="W439" t="s">
        <v>816</v>
      </c>
      <c r="X439" t="s">
        <v>468</v>
      </c>
    </row>
    <row r="440" spans="8:24" x14ac:dyDescent="0.45">
      <c r="H440" t="s">
        <v>332</v>
      </c>
      <c r="I440" t="s">
        <v>186</v>
      </c>
      <c r="J440">
        <v>8.1949397353194356E-2</v>
      </c>
      <c r="K440" t="s">
        <v>185</v>
      </c>
      <c r="U440" t="s">
        <v>108</v>
      </c>
      <c r="V440" t="s">
        <v>821</v>
      </c>
      <c r="W440" t="s">
        <v>816</v>
      </c>
      <c r="X440" t="s">
        <v>468</v>
      </c>
    </row>
    <row r="441" spans="8:24" x14ac:dyDescent="0.45">
      <c r="H441" t="s">
        <v>332</v>
      </c>
      <c r="I441" t="s">
        <v>187</v>
      </c>
      <c r="J441">
        <v>8.1949397353194356E-2</v>
      </c>
      <c r="K441" t="s">
        <v>185</v>
      </c>
      <c r="U441" t="s">
        <v>108</v>
      </c>
      <c r="V441" t="s">
        <v>821</v>
      </c>
      <c r="W441" t="s">
        <v>419</v>
      </c>
      <c r="X441" t="s">
        <v>403</v>
      </c>
    </row>
    <row r="442" spans="8:24" x14ac:dyDescent="0.45">
      <c r="H442" t="s">
        <v>333</v>
      </c>
      <c r="I442" t="s">
        <v>184</v>
      </c>
      <c r="J442">
        <v>2.1394757816459021E-3</v>
      </c>
      <c r="K442" t="s">
        <v>185</v>
      </c>
      <c r="U442" t="s">
        <v>108</v>
      </c>
      <c r="V442" t="s">
        <v>822</v>
      </c>
      <c r="W442" t="s">
        <v>816</v>
      </c>
      <c r="X442" t="s">
        <v>468</v>
      </c>
    </row>
    <row r="443" spans="8:24" x14ac:dyDescent="0.45">
      <c r="H443" t="s">
        <v>333</v>
      </c>
      <c r="I443" t="s">
        <v>186</v>
      </c>
      <c r="J443">
        <v>2.1394757816459021E-3</v>
      </c>
      <c r="K443" t="s">
        <v>185</v>
      </c>
      <c r="U443" t="s">
        <v>108</v>
      </c>
      <c r="V443" t="s">
        <v>822</v>
      </c>
      <c r="W443" t="s">
        <v>419</v>
      </c>
      <c r="X443" t="s">
        <v>403</v>
      </c>
    </row>
    <row r="444" spans="8:24" x14ac:dyDescent="0.45">
      <c r="H444" t="s">
        <v>333</v>
      </c>
      <c r="I444" t="s">
        <v>187</v>
      </c>
      <c r="J444">
        <v>2.1394757816459021E-3</v>
      </c>
      <c r="K444" t="s">
        <v>185</v>
      </c>
      <c r="U444" t="s">
        <v>108</v>
      </c>
      <c r="V444" t="s">
        <v>823</v>
      </c>
      <c r="W444" t="s">
        <v>420</v>
      </c>
      <c r="X444" t="s">
        <v>468</v>
      </c>
    </row>
    <row r="445" spans="8:24" x14ac:dyDescent="0.45">
      <c r="H445" t="s">
        <v>334</v>
      </c>
      <c r="I445" t="s">
        <v>184</v>
      </c>
      <c r="J445">
        <v>2.6110041465990746E-2</v>
      </c>
      <c r="K445" t="s">
        <v>185</v>
      </c>
      <c r="U445" t="s">
        <v>108</v>
      </c>
      <c r="V445" t="s">
        <v>824</v>
      </c>
      <c r="W445" t="s">
        <v>420</v>
      </c>
      <c r="X445" t="s">
        <v>468</v>
      </c>
    </row>
    <row r="446" spans="8:24" x14ac:dyDescent="0.45">
      <c r="H446" t="s">
        <v>334</v>
      </c>
      <c r="I446" t="s">
        <v>186</v>
      </c>
      <c r="J446">
        <v>2.6110041465990746E-2</v>
      </c>
      <c r="K446" t="s">
        <v>185</v>
      </c>
      <c r="U446" t="s">
        <v>108</v>
      </c>
      <c r="V446" t="s">
        <v>825</v>
      </c>
      <c r="W446" t="s">
        <v>420</v>
      </c>
      <c r="X446" t="s">
        <v>468</v>
      </c>
    </row>
    <row r="447" spans="8:24" x14ac:dyDescent="0.45">
      <c r="H447" t="s">
        <v>334</v>
      </c>
      <c r="I447" t="s">
        <v>187</v>
      </c>
      <c r="J447">
        <v>2.6110041465990746E-2</v>
      </c>
      <c r="K447" t="s">
        <v>185</v>
      </c>
      <c r="U447" t="s">
        <v>108</v>
      </c>
      <c r="V447" t="s">
        <v>826</v>
      </c>
      <c r="W447" t="s">
        <v>420</v>
      </c>
      <c r="X447" t="s">
        <v>468</v>
      </c>
    </row>
    <row r="448" spans="8:24" x14ac:dyDescent="0.45">
      <c r="H448" t="s">
        <v>335</v>
      </c>
      <c r="I448" t="s">
        <v>184</v>
      </c>
      <c r="J448">
        <v>2.7516846158677402E-4</v>
      </c>
      <c r="K448" t="s">
        <v>185</v>
      </c>
      <c r="U448" t="s">
        <v>108</v>
      </c>
      <c r="V448" t="s">
        <v>827</v>
      </c>
      <c r="W448" t="s">
        <v>420</v>
      </c>
      <c r="X448" t="s">
        <v>468</v>
      </c>
    </row>
    <row r="449" spans="8:24" x14ac:dyDescent="0.45">
      <c r="H449" t="s">
        <v>335</v>
      </c>
      <c r="I449" t="s">
        <v>186</v>
      </c>
      <c r="J449">
        <v>2.7516846158677402E-4</v>
      </c>
      <c r="K449" t="s">
        <v>185</v>
      </c>
      <c r="U449" t="s">
        <v>108</v>
      </c>
      <c r="V449" t="s">
        <v>828</v>
      </c>
      <c r="W449" t="s">
        <v>420</v>
      </c>
      <c r="X449" t="s">
        <v>468</v>
      </c>
    </row>
    <row r="450" spans="8:24" x14ac:dyDescent="0.45">
      <c r="H450" t="s">
        <v>335</v>
      </c>
      <c r="I450" t="s">
        <v>187</v>
      </c>
      <c r="J450">
        <v>2.7516846158677402E-4</v>
      </c>
      <c r="K450" t="s">
        <v>185</v>
      </c>
      <c r="U450" t="s">
        <v>108</v>
      </c>
      <c r="V450" t="s">
        <v>829</v>
      </c>
      <c r="W450" t="s">
        <v>420</v>
      </c>
      <c r="X450" t="s">
        <v>468</v>
      </c>
    </row>
    <row r="451" spans="8:24" x14ac:dyDescent="0.45">
      <c r="H451" t="s">
        <v>336</v>
      </c>
      <c r="I451" t="s">
        <v>184</v>
      </c>
      <c r="J451">
        <v>1.3769701841159041E-3</v>
      </c>
      <c r="K451" t="s">
        <v>185</v>
      </c>
      <c r="U451" t="s">
        <v>108</v>
      </c>
      <c r="V451" t="s">
        <v>830</v>
      </c>
      <c r="W451" t="s">
        <v>420</v>
      </c>
      <c r="X451" t="s">
        <v>468</v>
      </c>
    </row>
    <row r="452" spans="8:24" x14ac:dyDescent="0.45">
      <c r="H452" t="s">
        <v>336</v>
      </c>
      <c r="I452" t="s">
        <v>186</v>
      </c>
      <c r="J452">
        <v>1.3769701841159041E-3</v>
      </c>
      <c r="K452" t="s">
        <v>185</v>
      </c>
      <c r="U452" t="s">
        <v>108</v>
      </c>
      <c r="V452" t="s">
        <v>831</v>
      </c>
      <c r="W452" t="s">
        <v>420</v>
      </c>
      <c r="X452" t="s">
        <v>468</v>
      </c>
    </row>
    <row r="453" spans="8:24" x14ac:dyDescent="0.45">
      <c r="H453" t="s">
        <v>336</v>
      </c>
      <c r="I453" t="s">
        <v>187</v>
      </c>
      <c r="J453">
        <v>1.3769701841159041E-3</v>
      </c>
      <c r="K453" t="s">
        <v>185</v>
      </c>
      <c r="U453" t="s">
        <v>108</v>
      </c>
      <c r="V453" t="s">
        <v>832</v>
      </c>
      <c r="W453" t="s">
        <v>420</v>
      </c>
      <c r="X453" t="s">
        <v>468</v>
      </c>
    </row>
    <row r="454" spans="8:24" x14ac:dyDescent="0.45">
      <c r="H454" t="s">
        <v>337</v>
      </c>
      <c r="I454" t="s">
        <v>184</v>
      </c>
      <c r="J454">
        <v>1.719067771431402E-3</v>
      </c>
      <c r="K454" t="s">
        <v>185</v>
      </c>
      <c r="U454" t="s">
        <v>108</v>
      </c>
      <c r="V454" t="s">
        <v>833</v>
      </c>
      <c r="W454" t="s">
        <v>420</v>
      </c>
      <c r="X454" t="s">
        <v>468</v>
      </c>
    </row>
    <row r="455" spans="8:24" x14ac:dyDescent="0.45">
      <c r="H455" t="s">
        <v>337</v>
      </c>
      <c r="I455" t="s">
        <v>186</v>
      </c>
      <c r="J455">
        <v>1.719067771431402E-3</v>
      </c>
      <c r="K455" t="s">
        <v>185</v>
      </c>
      <c r="U455" t="s">
        <v>108</v>
      </c>
      <c r="V455" t="s">
        <v>833</v>
      </c>
      <c r="W455" t="s">
        <v>834</v>
      </c>
      <c r="X455" t="s">
        <v>468</v>
      </c>
    </row>
    <row r="456" spans="8:24" x14ac:dyDescent="0.45">
      <c r="H456" t="s">
        <v>337</v>
      </c>
      <c r="I456" t="s">
        <v>187</v>
      </c>
      <c r="J456">
        <v>1.719067771431402E-3</v>
      </c>
      <c r="K456" t="s">
        <v>185</v>
      </c>
      <c r="U456" t="s">
        <v>108</v>
      </c>
      <c r="V456" t="s">
        <v>835</v>
      </c>
      <c r="W456" t="s">
        <v>420</v>
      </c>
      <c r="X456" t="s">
        <v>468</v>
      </c>
    </row>
    <row r="457" spans="8:24" x14ac:dyDescent="0.45">
      <c r="H457" t="s">
        <v>338</v>
      </c>
      <c r="I457" t="s">
        <v>184</v>
      </c>
      <c r="J457">
        <v>3.6100415389131238E-3</v>
      </c>
      <c r="K457" t="s">
        <v>185</v>
      </c>
      <c r="U457" t="s">
        <v>108</v>
      </c>
      <c r="V457" t="s">
        <v>835</v>
      </c>
      <c r="W457" t="s">
        <v>834</v>
      </c>
      <c r="X457" t="s">
        <v>468</v>
      </c>
    </row>
    <row r="458" spans="8:24" x14ac:dyDescent="0.45">
      <c r="H458" t="s">
        <v>338</v>
      </c>
      <c r="I458" t="s">
        <v>186</v>
      </c>
      <c r="J458">
        <v>3.6100415389131238E-3</v>
      </c>
      <c r="K458" t="s">
        <v>185</v>
      </c>
      <c r="U458" t="s">
        <v>108</v>
      </c>
      <c r="V458" t="s">
        <v>836</v>
      </c>
      <c r="W458" t="s">
        <v>420</v>
      </c>
      <c r="X458" t="s">
        <v>468</v>
      </c>
    </row>
    <row r="459" spans="8:24" x14ac:dyDescent="0.45">
      <c r="H459" t="s">
        <v>338</v>
      </c>
      <c r="I459" t="s">
        <v>187</v>
      </c>
      <c r="J459">
        <v>3.6100415389131238E-3</v>
      </c>
      <c r="K459" t="s">
        <v>185</v>
      </c>
      <c r="U459" t="s">
        <v>108</v>
      </c>
      <c r="V459" t="s">
        <v>836</v>
      </c>
      <c r="W459" t="s">
        <v>834</v>
      </c>
      <c r="X459" t="s">
        <v>468</v>
      </c>
    </row>
    <row r="460" spans="8:24" x14ac:dyDescent="0.45">
      <c r="H460" t="s">
        <v>339</v>
      </c>
      <c r="I460" t="s">
        <v>184</v>
      </c>
      <c r="J460">
        <v>7.8980458320231995E-4</v>
      </c>
      <c r="K460" t="s">
        <v>185</v>
      </c>
      <c r="U460" t="s">
        <v>108</v>
      </c>
      <c r="V460" t="s">
        <v>837</v>
      </c>
      <c r="W460" t="s">
        <v>834</v>
      </c>
      <c r="X460" t="s">
        <v>468</v>
      </c>
    </row>
    <row r="461" spans="8:24" x14ac:dyDescent="0.45">
      <c r="H461" t="s">
        <v>339</v>
      </c>
      <c r="I461" t="s">
        <v>186</v>
      </c>
      <c r="J461">
        <v>7.8980458320231995E-4</v>
      </c>
      <c r="K461" t="s">
        <v>185</v>
      </c>
      <c r="U461" t="s">
        <v>108</v>
      </c>
      <c r="V461" t="s">
        <v>838</v>
      </c>
      <c r="W461" t="s">
        <v>834</v>
      </c>
      <c r="X461" t="s">
        <v>468</v>
      </c>
    </row>
    <row r="462" spans="8:24" x14ac:dyDescent="0.45">
      <c r="H462" t="s">
        <v>339</v>
      </c>
      <c r="I462" t="s">
        <v>187</v>
      </c>
      <c r="J462">
        <v>7.8980458320231995E-4</v>
      </c>
      <c r="K462" t="s">
        <v>185</v>
      </c>
      <c r="U462" t="s">
        <v>108</v>
      </c>
      <c r="V462" t="s">
        <v>839</v>
      </c>
      <c r="W462" t="s">
        <v>834</v>
      </c>
      <c r="X462" t="s">
        <v>468</v>
      </c>
    </row>
    <row r="463" spans="8:24" x14ac:dyDescent="0.45">
      <c r="H463" t="s">
        <v>340</v>
      </c>
      <c r="I463" t="s">
        <v>184</v>
      </c>
      <c r="J463">
        <v>5.5002991205177539E-3</v>
      </c>
      <c r="K463" t="s">
        <v>185</v>
      </c>
      <c r="U463" t="s">
        <v>108</v>
      </c>
      <c r="V463" t="s">
        <v>839</v>
      </c>
      <c r="W463" t="s">
        <v>420</v>
      </c>
      <c r="X463" t="s">
        <v>403</v>
      </c>
    </row>
    <row r="464" spans="8:24" x14ac:dyDescent="0.45">
      <c r="H464" t="s">
        <v>340</v>
      </c>
      <c r="I464" t="s">
        <v>186</v>
      </c>
      <c r="J464">
        <v>5.5002991205177539E-3</v>
      </c>
      <c r="K464" t="s">
        <v>185</v>
      </c>
      <c r="U464" t="s">
        <v>108</v>
      </c>
      <c r="V464" t="s">
        <v>840</v>
      </c>
      <c r="W464" t="s">
        <v>834</v>
      </c>
      <c r="X464" t="s">
        <v>468</v>
      </c>
    </row>
    <row r="465" spans="8:24" x14ac:dyDescent="0.45">
      <c r="H465" t="s">
        <v>340</v>
      </c>
      <c r="I465" t="s">
        <v>187</v>
      </c>
      <c r="J465">
        <v>5.5002991205177539E-3</v>
      </c>
      <c r="K465" t="s">
        <v>185</v>
      </c>
      <c r="U465" t="s">
        <v>108</v>
      </c>
      <c r="V465" t="s">
        <v>840</v>
      </c>
      <c r="W465" t="s">
        <v>420</v>
      </c>
      <c r="X465" t="s">
        <v>403</v>
      </c>
    </row>
    <row r="466" spans="8:24" x14ac:dyDescent="0.45">
      <c r="H466" t="s">
        <v>341</v>
      </c>
      <c r="I466" t="s">
        <v>184</v>
      </c>
      <c r="J466">
        <v>1.421550514785919E-2</v>
      </c>
      <c r="K466" t="s">
        <v>185</v>
      </c>
      <c r="U466" t="s">
        <v>108</v>
      </c>
      <c r="V466" t="s">
        <v>841</v>
      </c>
      <c r="W466" t="s">
        <v>421</v>
      </c>
      <c r="X466" t="s">
        <v>468</v>
      </c>
    </row>
    <row r="467" spans="8:24" x14ac:dyDescent="0.45">
      <c r="H467" t="s">
        <v>341</v>
      </c>
      <c r="I467" t="s">
        <v>186</v>
      </c>
      <c r="J467">
        <v>1.421550514785919E-2</v>
      </c>
      <c r="K467" t="s">
        <v>185</v>
      </c>
      <c r="U467" t="s">
        <v>108</v>
      </c>
      <c r="V467" t="s">
        <v>842</v>
      </c>
      <c r="W467" t="s">
        <v>421</v>
      </c>
      <c r="X467" t="s">
        <v>468</v>
      </c>
    </row>
    <row r="468" spans="8:24" x14ac:dyDescent="0.45">
      <c r="H468" t="s">
        <v>341</v>
      </c>
      <c r="I468" t="s">
        <v>187</v>
      </c>
      <c r="J468">
        <v>1.421550514785919E-2</v>
      </c>
      <c r="K468" t="s">
        <v>185</v>
      </c>
      <c r="U468" t="s">
        <v>108</v>
      </c>
      <c r="V468" t="s">
        <v>843</v>
      </c>
      <c r="W468" t="s">
        <v>421</v>
      </c>
      <c r="X468" t="s">
        <v>468</v>
      </c>
    </row>
    <row r="469" spans="8:24" x14ac:dyDescent="0.45">
      <c r="H469" t="s">
        <v>342</v>
      </c>
      <c r="I469" t="s">
        <v>184</v>
      </c>
      <c r="J469">
        <v>8.8684804002168854E-2</v>
      </c>
      <c r="K469" t="s">
        <v>185</v>
      </c>
      <c r="U469" t="s">
        <v>108</v>
      </c>
      <c r="V469" t="s">
        <v>844</v>
      </c>
      <c r="W469" t="s">
        <v>421</v>
      </c>
      <c r="X469" t="s">
        <v>468</v>
      </c>
    </row>
    <row r="470" spans="8:24" x14ac:dyDescent="0.45">
      <c r="H470" t="s">
        <v>342</v>
      </c>
      <c r="I470" t="s">
        <v>186</v>
      </c>
      <c r="J470">
        <v>8.8684804002168854E-2</v>
      </c>
      <c r="K470" t="s">
        <v>185</v>
      </c>
      <c r="U470" t="s">
        <v>108</v>
      </c>
      <c r="V470" t="s">
        <v>845</v>
      </c>
      <c r="W470" t="s">
        <v>421</v>
      </c>
      <c r="X470" t="s">
        <v>468</v>
      </c>
    </row>
    <row r="471" spans="8:24" x14ac:dyDescent="0.45">
      <c r="H471" t="s">
        <v>342</v>
      </c>
      <c r="I471" t="s">
        <v>187</v>
      </c>
      <c r="J471">
        <v>8.8684804002168854E-2</v>
      </c>
      <c r="K471" t="s">
        <v>185</v>
      </c>
      <c r="U471" t="s">
        <v>108</v>
      </c>
      <c r="V471" t="s">
        <v>846</v>
      </c>
      <c r="W471" t="s">
        <v>421</v>
      </c>
      <c r="X471" t="s">
        <v>468</v>
      </c>
    </row>
    <row r="472" spans="8:24" x14ac:dyDescent="0.45">
      <c r="H472" t="s">
        <v>343</v>
      </c>
      <c r="I472" t="s">
        <v>184</v>
      </c>
      <c r="J472">
        <v>6.8139620944732814E-3</v>
      </c>
      <c r="K472" t="s">
        <v>185</v>
      </c>
      <c r="U472" t="s">
        <v>108</v>
      </c>
      <c r="V472" t="s">
        <v>847</v>
      </c>
      <c r="W472" t="s">
        <v>421</v>
      </c>
      <c r="X472" t="s">
        <v>468</v>
      </c>
    </row>
    <row r="473" spans="8:24" x14ac:dyDescent="0.45">
      <c r="H473" t="s">
        <v>343</v>
      </c>
      <c r="I473" t="s">
        <v>186</v>
      </c>
      <c r="J473">
        <v>6.8139620944732814E-3</v>
      </c>
      <c r="K473" t="s">
        <v>185</v>
      </c>
      <c r="U473" t="s">
        <v>108</v>
      </c>
      <c r="V473" t="s">
        <v>848</v>
      </c>
      <c r="W473" t="s">
        <v>421</v>
      </c>
      <c r="X473" t="s">
        <v>468</v>
      </c>
    </row>
    <row r="474" spans="8:24" x14ac:dyDescent="0.45">
      <c r="H474" t="s">
        <v>343</v>
      </c>
      <c r="I474" t="s">
        <v>187</v>
      </c>
      <c r="J474">
        <v>6.8139620944732814E-3</v>
      </c>
      <c r="K474" t="s">
        <v>185</v>
      </c>
      <c r="U474" t="s">
        <v>108</v>
      </c>
      <c r="V474" t="s">
        <v>849</v>
      </c>
      <c r="W474" t="s">
        <v>421</v>
      </c>
      <c r="X474" t="s">
        <v>468</v>
      </c>
    </row>
    <row r="475" spans="8:24" x14ac:dyDescent="0.45">
      <c r="H475" t="s">
        <v>344</v>
      </c>
      <c r="I475" t="s">
        <v>184</v>
      </c>
      <c r="J475">
        <v>8.2197613296771006E-4</v>
      </c>
      <c r="K475" t="s">
        <v>185</v>
      </c>
      <c r="U475" t="s">
        <v>108</v>
      </c>
      <c r="V475" t="s">
        <v>850</v>
      </c>
      <c r="W475" t="s">
        <v>421</v>
      </c>
      <c r="X475" t="s">
        <v>468</v>
      </c>
    </row>
    <row r="476" spans="8:24" x14ac:dyDescent="0.45">
      <c r="H476" t="s">
        <v>344</v>
      </c>
      <c r="I476" t="s">
        <v>186</v>
      </c>
      <c r="J476">
        <v>8.2197613296771006E-4</v>
      </c>
      <c r="K476" t="s">
        <v>185</v>
      </c>
      <c r="U476" t="s">
        <v>108</v>
      </c>
      <c r="V476" t="s">
        <v>851</v>
      </c>
      <c r="W476" t="s">
        <v>421</v>
      </c>
      <c r="X476" t="s">
        <v>468</v>
      </c>
    </row>
    <row r="477" spans="8:24" x14ac:dyDescent="0.45">
      <c r="H477" t="s">
        <v>344</v>
      </c>
      <c r="I477" t="s">
        <v>187</v>
      </c>
      <c r="J477">
        <v>8.2197613296771006E-4</v>
      </c>
      <c r="K477" t="s">
        <v>185</v>
      </c>
      <c r="U477" t="s">
        <v>108</v>
      </c>
      <c r="V477" t="s">
        <v>851</v>
      </c>
      <c r="W477" t="s">
        <v>852</v>
      </c>
      <c r="X477" t="s">
        <v>468</v>
      </c>
    </row>
    <row r="478" spans="8:24" x14ac:dyDescent="0.45">
      <c r="H478" t="s">
        <v>345</v>
      </c>
      <c r="I478" t="s">
        <v>184</v>
      </c>
      <c r="J478">
        <v>6.0243632321120399E-2</v>
      </c>
      <c r="K478" t="s">
        <v>185</v>
      </c>
      <c r="U478" t="s">
        <v>108</v>
      </c>
      <c r="V478" t="s">
        <v>853</v>
      </c>
      <c r="W478" t="s">
        <v>421</v>
      </c>
      <c r="X478" t="s">
        <v>468</v>
      </c>
    </row>
    <row r="479" spans="8:24" x14ac:dyDescent="0.45">
      <c r="H479" t="s">
        <v>345</v>
      </c>
      <c r="I479" t="s">
        <v>186</v>
      </c>
      <c r="J479">
        <v>6.0243632321120399E-2</v>
      </c>
      <c r="K479" t="s">
        <v>185</v>
      </c>
      <c r="U479" t="s">
        <v>108</v>
      </c>
      <c r="V479" t="s">
        <v>853</v>
      </c>
      <c r="W479" t="s">
        <v>852</v>
      </c>
      <c r="X479" t="s">
        <v>468</v>
      </c>
    </row>
    <row r="480" spans="8:24" x14ac:dyDescent="0.45">
      <c r="H480" t="s">
        <v>345</v>
      </c>
      <c r="I480" t="s">
        <v>187</v>
      </c>
      <c r="J480">
        <v>6.0243632321120399E-2</v>
      </c>
      <c r="K480" t="s">
        <v>185</v>
      </c>
      <c r="U480" t="s">
        <v>108</v>
      </c>
      <c r="V480" t="s">
        <v>854</v>
      </c>
      <c r="W480" t="s">
        <v>421</v>
      </c>
      <c r="X480" t="s">
        <v>468</v>
      </c>
    </row>
    <row r="481" spans="8:24" x14ac:dyDescent="0.45">
      <c r="H481" t="s">
        <v>346</v>
      </c>
      <c r="I481" t="s">
        <v>184</v>
      </c>
      <c r="J481">
        <v>2.0262038649744473E-2</v>
      </c>
      <c r="K481" t="s">
        <v>185</v>
      </c>
      <c r="U481" t="s">
        <v>108</v>
      </c>
      <c r="V481" t="s">
        <v>854</v>
      </c>
      <c r="W481" t="s">
        <v>852</v>
      </c>
      <c r="X481" t="s">
        <v>468</v>
      </c>
    </row>
    <row r="482" spans="8:24" x14ac:dyDescent="0.45">
      <c r="H482" t="s">
        <v>346</v>
      </c>
      <c r="I482" t="s">
        <v>186</v>
      </c>
      <c r="J482">
        <v>2.0262038649744473E-2</v>
      </c>
      <c r="K482" t="s">
        <v>185</v>
      </c>
      <c r="U482" t="s">
        <v>108</v>
      </c>
      <c r="V482" t="s">
        <v>855</v>
      </c>
      <c r="W482" t="s">
        <v>852</v>
      </c>
      <c r="X482" t="s">
        <v>468</v>
      </c>
    </row>
    <row r="483" spans="8:24" x14ac:dyDescent="0.45">
      <c r="H483" t="s">
        <v>346</v>
      </c>
      <c r="I483" t="s">
        <v>187</v>
      </c>
      <c r="J483">
        <v>2.0262038649744473E-2</v>
      </c>
      <c r="K483" t="s">
        <v>185</v>
      </c>
      <c r="U483" t="s">
        <v>108</v>
      </c>
      <c r="V483" t="s">
        <v>856</v>
      </c>
      <c r="W483" t="s">
        <v>852</v>
      </c>
      <c r="X483" t="s">
        <v>468</v>
      </c>
    </row>
    <row r="484" spans="8:24" x14ac:dyDescent="0.45">
      <c r="H484" t="s">
        <v>347</v>
      </c>
      <c r="I484" t="s">
        <v>184</v>
      </c>
      <c r="J484">
        <v>5.0279390308648739E-2</v>
      </c>
      <c r="K484" t="s">
        <v>185</v>
      </c>
      <c r="U484" t="s">
        <v>108</v>
      </c>
      <c r="V484" t="s">
        <v>857</v>
      </c>
      <c r="W484" t="s">
        <v>852</v>
      </c>
      <c r="X484" t="s">
        <v>468</v>
      </c>
    </row>
    <row r="485" spans="8:24" x14ac:dyDescent="0.45">
      <c r="H485" t="s">
        <v>347</v>
      </c>
      <c r="I485" t="s">
        <v>186</v>
      </c>
      <c r="J485">
        <v>5.0279390308648739E-2</v>
      </c>
      <c r="K485" t="s">
        <v>185</v>
      </c>
      <c r="U485" t="s">
        <v>108</v>
      </c>
      <c r="V485" t="s">
        <v>857</v>
      </c>
      <c r="W485" t="s">
        <v>421</v>
      </c>
      <c r="X485" t="s">
        <v>403</v>
      </c>
    </row>
    <row r="486" spans="8:24" x14ac:dyDescent="0.45">
      <c r="H486" t="s">
        <v>347</v>
      </c>
      <c r="I486" t="s">
        <v>187</v>
      </c>
      <c r="J486">
        <v>5.0279390308648739E-2</v>
      </c>
      <c r="K486" t="s">
        <v>185</v>
      </c>
      <c r="U486" t="s">
        <v>108</v>
      </c>
      <c r="V486" t="s">
        <v>858</v>
      </c>
      <c r="W486" t="s">
        <v>852</v>
      </c>
      <c r="X486" t="s">
        <v>468</v>
      </c>
    </row>
    <row r="487" spans="8:24" x14ac:dyDescent="0.45">
      <c r="H487" t="s">
        <v>348</v>
      </c>
      <c r="I487" t="s">
        <v>184</v>
      </c>
      <c r="J487">
        <v>9.649607985919061E-3</v>
      </c>
      <c r="K487" t="s">
        <v>185</v>
      </c>
      <c r="U487" t="s">
        <v>108</v>
      </c>
      <c r="V487" t="s">
        <v>858</v>
      </c>
      <c r="W487" t="s">
        <v>421</v>
      </c>
      <c r="X487" t="s">
        <v>403</v>
      </c>
    </row>
    <row r="488" spans="8:24" x14ac:dyDescent="0.45">
      <c r="H488" t="s">
        <v>348</v>
      </c>
      <c r="I488" t="s">
        <v>186</v>
      </c>
      <c r="J488">
        <v>9.649607985919061E-3</v>
      </c>
      <c r="K488" t="s">
        <v>185</v>
      </c>
      <c r="U488" t="s">
        <v>108</v>
      </c>
      <c r="V488" t="s">
        <v>859</v>
      </c>
      <c r="W488" t="s">
        <v>422</v>
      </c>
      <c r="X488" t="s">
        <v>468</v>
      </c>
    </row>
    <row r="489" spans="8:24" x14ac:dyDescent="0.45">
      <c r="H489" t="s">
        <v>348</v>
      </c>
      <c r="I489" t="s">
        <v>187</v>
      </c>
      <c r="J489">
        <v>9.649607985919061E-3</v>
      </c>
      <c r="K489" t="s">
        <v>185</v>
      </c>
      <c r="U489" t="s">
        <v>108</v>
      </c>
      <c r="V489" t="s">
        <v>860</v>
      </c>
      <c r="W489" t="s">
        <v>422</v>
      </c>
      <c r="X489" t="s">
        <v>468</v>
      </c>
    </row>
    <row r="490" spans="8:24" x14ac:dyDescent="0.45">
      <c r="H490" t="s">
        <v>349</v>
      </c>
      <c r="I490" t="s">
        <v>184</v>
      </c>
      <c r="J490">
        <v>5.1510690027018035E-3</v>
      </c>
      <c r="K490" t="s">
        <v>185</v>
      </c>
      <c r="U490" t="s">
        <v>108</v>
      </c>
      <c r="V490" t="s">
        <v>861</v>
      </c>
      <c r="W490" t="s">
        <v>422</v>
      </c>
      <c r="X490" t="s">
        <v>468</v>
      </c>
    </row>
    <row r="491" spans="8:24" x14ac:dyDescent="0.45">
      <c r="H491" t="s">
        <v>349</v>
      </c>
      <c r="I491" t="s">
        <v>186</v>
      </c>
      <c r="J491">
        <v>5.1510690027018035E-3</v>
      </c>
      <c r="K491" t="s">
        <v>185</v>
      </c>
      <c r="U491" t="s">
        <v>108</v>
      </c>
      <c r="V491" t="s">
        <v>862</v>
      </c>
      <c r="W491" t="s">
        <v>422</v>
      </c>
      <c r="X491" t="s">
        <v>468</v>
      </c>
    </row>
    <row r="492" spans="8:24" x14ac:dyDescent="0.45">
      <c r="H492" t="s">
        <v>349</v>
      </c>
      <c r="I492" t="s">
        <v>187</v>
      </c>
      <c r="J492">
        <v>5.1510690027018035E-3</v>
      </c>
      <c r="K492" t="s">
        <v>185</v>
      </c>
      <c r="U492" t="s">
        <v>108</v>
      </c>
      <c r="V492" t="s">
        <v>863</v>
      </c>
      <c r="W492" t="s">
        <v>422</v>
      </c>
      <c r="X492" t="s">
        <v>468</v>
      </c>
    </row>
    <row r="493" spans="8:24" x14ac:dyDescent="0.45">
      <c r="H493" t="s">
        <v>350</v>
      </c>
      <c r="I493" t="s">
        <v>184</v>
      </c>
      <c r="J493">
        <v>1.4317500235433219E-3</v>
      </c>
      <c r="K493" t="s">
        <v>185</v>
      </c>
      <c r="U493" t="s">
        <v>108</v>
      </c>
      <c r="V493" t="s">
        <v>864</v>
      </c>
      <c r="W493" t="s">
        <v>422</v>
      </c>
      <c r="X493" t="s">
        <v>468</v>
      </c>
    </row>
    <row r="494" spans="8:24" x14ac:dyDescent="0.45">
      <c r="H494" t="s">
        <v>350</v>
      </c>
      <c r="I494" t="s">
        <v>186</v>
      </c>
      <c r="J494">
        <v>1.4317500235433219E-3</v>
      </c>
      <c r="K494" t="s">
        <v>185</v>
      </c>
      <c r="U494" t="s">
        <v>108</v>
      </c>
      <c r="V494" t="s">
        <v>865</v>
      </c>
      <c r="W494" t="s">
        <v>422</v>
      </c>
      <c r="X494" t="s">
        <v>468</v>
      </c>
    </row>
    <row r="495" spans="8:24" x14ac:dyDescent="0.45">
      <c r="H495" t="s">
        <v>350</v>
      </c>
      <c r="I495" t="s">
        <v>187</v>
      </c>
      <c r="J495">
        <v>1.4317500235433219E-3</v>
      </c>
      <c r="K495" t="s">
        <v>185</v>
      </c>
      <c r="U495" t="s">
        <v>108</v>
      </c>
      <c r="V495" t="s">
        <v>866</v>
      </c>
      <c r="W495" t="s">
        <v>422</v>
      </c>
      <c r="X495" t="s">
        <v>468</v>
      </c>
    </row>
    <row r="496" spans="8:24" x14ac:dyDescent="0.45">
      <c r="H496" t="s">
        <v>183</v>
      </c>
      <c r="I496" t="s">
        <v>351</v>
      </c>
      <c r="J496">
        <v>7.2356368840150787E-2</v>
      </c>
      <c r="K496" t="s">
        <v>185</v>
      </c>
      <c r="U496" t="s">
        <v>108</v>
      </c>
      <c r="V496" t="s">
        <v>867</v>
      </c>
      <c r="W496" t="s">
        <v>422</v>
      </c>
      <c r="X496" t="s">
        <v>468</v>
      </c>
    </row>
    <row r="497" spans="8:24" x14ac:dyDescent="0.45">
      <c r="H497" t="s">
        <v>188</v>
      </c>
      <c r="I497" t="s">
        <v>351</v>
      </c>
      <c r="J497">
        <v>8.4156827324751604E-2</v>
      </c>
      <c r="K497" t="s">
        <v>185</v>
      </c>
      <c r="U497" t="s">
        <v>108</v>
      </c>
      <c r="V497" t="s">
        <v>868</v>
      </c>
      <c r="W497" t="s">
        <v>422</v>
      </c>
      <c r="X497" t="s">
        <v>468</v>
      </c>
    </row>
    <row r="498" spans="8:24" x14ac:dyDescent="0.45">
      <c r="H498" t="s">
        <v>189</v>
      </c>
      <c r="I498" t="s">
        <v>351</v>
      </c>
      <c r="J498">
        <v>3.4241063041388013E-2</v>
      </c>
      <c r="K498" t="s">
        <v>185</v>
      </c>
      <c r="U498" t="s">
        <v>108</v>
      </c>
      <c r="V498" t="s">
        <v>869</v>
      </c>
      <c r="W498" t="s">
        <v>422</v>
      </c>
      <c r="X498" t="s">
        <v>468</v>
      </c>
    </row>
    <row r="499" spans="8:24" x14ac:dyDescent="0.45">
      <c r="H499" t="s">
        <v>190</v>
      </c>
      <c r="I499" t="s">
        <v>351</v>
      </c>
      <c r="J499">
        <v>0.12224366207243494</v>
      </c>
      <c r="K499" t="s">
        <v>185</v>
      </c>
      <c r="U499" t="s">
        <v>108</v>
      </c>
      <c r="V499" t="s">
        <v>869</v>
      </c>
      <c r="W499" t="s">
        <v>870</v>
      </c>
      <c r="X499" t="s">
        <v>468</v>
      </c>
    </row>
    <row r="500" spans="8:24" x14ac:dyDescent="0.45">
      <c r="H500" t="s">
        <v>191</v>
      </c>
      <c r="I500" t="s">
        <v>351</v>
      </c>
      <c r="J500">
        <v>4.2693333549794618E-3</v>
      </c>
      <c r="K500" t="s">
        <v>185</v>
      </c>
      <c r="U500" t="s">
        <v>108</v>
      </c>
      <c r="V500" t="s">
        <v>871</v>
      </c>
      <c r="W500" t="s">
        <v>422</v>
      </c>
      <c r="X500" t="s">
        <v>468</v>
      </c>
    </row>
    <row r="501" spans="8:24" x14ac:dyDescent="0.45">
      <c r="H501" t="s">
        <v>192</v>
      </c>
      <c r="I501" t="s">
        <v>351</v>
      </c>
      <c r="J501">
        <v>2.1104374873763998E-3</v>
      </c>
      <c r="K501" t="s">
        <v>185</v>
      </c>
      <c r="U501" t="s">
        <v>108</v>
      </c>
      <c r="V501" t="s">
        <v>871</v>
      </c>
      <c r="W501" t="s">
        <v>870</v>
      </c>
      <c r="X501" t="s">
        <v>468</v>
      </c>
    </row>
    <row r="502" spans="8:24" x14ac:dyDescent="0.45">
      <c r="H502" t="s">
        <v>193</v>
      </c>
      <c r="I502" t="s">
        <v>351</v>
      </c>
      <c r="J502">
        <v>3.774117961905998E-3</v>
      </c>
      <c r="K502" t="s">
        <v>185</v>
      </c>
      <c r="U502" t="s">
        <v>108</v>
      </c>
      <c r="V502" t="s">
        <v>872</v>
      </c>
      <c r="W502" t="s">
        <v>422</v>
      </c>
      <c r="X502" t="s">
        <v>468</v>
      </c>
    </row>
    <row r="503" spans="8:24" x14ac:dyDescent="0.45">
      <c r="H503" t="s">
        <v>194</v>
      </c>
      <c r="I503" t="s">
        <v>351</v>
      </c>
      <c r="J503">
        <v>1.9680967084938817E-5</v>
      </c>
      <c r="K503" t="s">
        <v>185</v>
      </c>
      <c r="U503" t="s">
        <v>108</v>
      </c>
      <c r="V503" t="s">
        <v>872</v>
      </c>
      <c r="W503" t="s">
        <v>870</v>
      </c>
      <c r="X503" t="s">
        <v>468</v>
      </c>
    </row>
    <row r="504" spans="8:24" x14ac:dyDescent="0.45">
      <c r="H504" t="s">
        <v>195</v>
      </c>
      <c r="I504" t="s">
        <v>351</v>
      </c>
      <c r="J504">
        <v>7.1489276402681486E-3</v>
      </c>
      <c r="K504" t="s">
        <v>185</v>
      </c>
      <c r="U504" t="s">
        <v>108</v>
      </c>
      <c r="V504" t="s">
        <v>873</v>
      </c>
      <c r="W504" t="s">
        <v>870</v>
      </c>
      <c r="X504" t="s">
        <v>468</v>
      </c>
    </row>
    <row r="505" spans="8:24" x14ac:dyDescent="0.45">
      <c r="H505" t="s">
        <v>196</v>
      </c>
      <c r="I505" t="s">
        <v>351</v>
      </c>
      <c r="J505">
        <v>1.3636649659583637E-2</v>
      </c>
      <c r="K505" t="s">
        <v>185</v>
      </c>
      <c r="U505" t="s">
        <v>108</v>
      </c>
      <c r="V505" t="s">
        <v>874</v>
      </c>
      <c r="W505" t="s">
        <v>870</v>
      </c>
      <c r="X505" t="s">
        <v>468</v>
      </c>
    </row>
    <row r="506" spans="8:24" x14ac:dyDescent="0.45">
      <c r="H506" t="s">
        <v>197</v>
      </c>
      <c r="I506" t="s">
        <v>351</v>
      </c>
      <c r="J506">
        <v>6.8863001514679403E-3</v>
      </c>
      <c r="K506" t="s">
        <v>185</v>
      </c>
      <c r="U506" t="s">
        <v>108</v>
      </c>
      <c r="V506" t="s">
        <v>875</v>
      </c>
      <c r="W506" t="s">
        <v>870</v>
      </c>
      <c r="X506" t="s">
        <v>468</v>
      </c>
    </row>
    <row r="507" spans="8:24" x14ac:dyDescent="0.45">
      <c r="H507" t="s">
        <v>198</v>
      </c>
      <c r="I507" t="s">
        <v>351</v>
      </c>
      <c r="J507">
        <v>4.6975059633129598E-4</v>
      </c>
      <c r="K507" t="s">
        <v>185</v>
      </c>
      <c r="U507" t="s">
        <v>108</v>
      </c>
      <c r="V507" t="s">
        <v>875</v>
      </c>
      <c r="W507" t="s">
        <v>422</v>
      </c>
      <c r="X507" t="s">
        <v>403</v>
      </c>
    </row>
    <row r="508" spans="8:24" x14ac:dyDescent="0.45">
      <c r="H508" t="s">
        <v>199</v>
      </c>
      <c r="I508" t="s">
        <v>351</v>
      </c>
      <c r="J508">
        <v>2.7810087980815979E-3</v>
      </c>
      <c r="K508" t="s">
        <v>185</v>
      </c>
      <c r="U508" t="s">
        <v>108</v>
      </c>
      <c r="V508" t="s">
        <v>876</v>
      </c>
      <c r="W508" t="s">
        <v>870</v>
      </c>
      <c r="X508" t="s">
        <v>468</v>
      </c>
    </row>
    <row r="509" spans="8:24" x14ac:dyDescent="0.45">
      <c r="H509" t="s">
        <v>200</v>
      </c>
      <c r="I509" t="s">
        <v>351</v>
      </c>
      <c r="J509">
        <v>2.3815682848889803E-2</v>
      </c>
      <c r="K509" t="s">
        <v>185</v>
      </c>
      <c r="U509" t="s">
        <v>108</v>
      </c>
      <c r="V509" t="s">
        <v>876</v>
      </c>
      <c r="W509" t="s">
        <v>422</v>
      </c>
      <c r="X509" t="s">
        <v>403</v>
      </c>
    </row>
    <row r="510" spans="8:24" x14ac:dyDescent="0.45">
      <c r="H510" t="s">
        <v>201</v>
      </c>
      <c r="I510" t="s">
        <v>351</v>
      </c>
      <c r="J510">
        <v>1.8570488937241221E-3</v>
      </c>
      <c r="K510" t="s">
        <v>185</v>
      </c>
      <c r="U510" t="s">
        <v>108</v>
      </c>
      <c r="V510" t="s">
        <v>877</v>
      </c>
      <c r="W510" t="s">
        <v>878</v>
      </c>
      <c r="X510" t="s">
        <v>468</v>
      </c>
    </row>
    <row r="511" spans="8:24" x14ac:dyDescent="0.45">
      <c r="H511" t="s">
        <v>202</v>
      </c>
      <c r="I511" t="s">
        <v>351</v>
      </c>
      <c r="J511">
        <v>1.3368390661849285E-2</v>
      </c>
      <c r="K511" t="s">
        <v>185</v>
      </c>
      <c r="U511" t="s">
        <v>108</v>
      </c>
      <c r="V511" t="s">
        <v>879</v>
      </c>
      <c r="W511" t="s">
        <v>878</v>
      </c>
      <c r="X511" t="s">
        <v>468</v>
      </c>
    </row>
    <row r="512" spans="8:24" x14ac:dyDescent="0.45">
      <c r="H512" t="s">
        <v>203</v>
      </c>
      <c r="I512" t="s">
        <v>351</v>
      </c>
      <c r="J512">
        <v>1.2827010403010581E-3</v>
      </c>
      <c r="K512" t="s">
        <v>185</v>
      </c>
      <c r="U512" t="s">
        <v>108</v>
      </c>
      <c r="V512" t="s">
        <v>880</v>
      </c>
      <c r="W512" t="s">
        <v>878</v>
      </c>
      <c r="X512" t="s">
        <v>468</v>
      </c>
    </row>
    <row r="513" spans="8:24" x14ac:dyDescent="0.45">
      <c r="H513" t="s">
        <v>204</v>
      </c>
      <c r="I513" t="s">
        <v>351</v>
      </c>
      <c r="J513">
        <v>2.6531828179476687E-2</v>
      </c>
      <c r="K513" t="s">
        <v>185</v>
      </c>
      <c r="U513" t="s">
        <v>108</v>
      </c>
      <c r="V513" t="s">
        <v>881</v>
      </c>
      <c r="W513" t="s">
        <v>878</v>
      </c>
      <c r="X513" t="s">
        <v>468</v>
      </c>
    </row>
    <row r="514" spans="8:24" x14ac:dyDescent="0.45">
      <c r="H514" t="s">
        <v>205</v>
      </c>
      <c r="I514" t="s">
        <v>351</v>
      </c>
      <c r="J514">
        <v>8.0902938632406807E-4</v>
      </c>
      <c r="K514" t="s">
        <v>185</v>
      </c>
      <c r="U514" t="s">
        <v>108</v>
      </c>
      <c r="V514" t="s">
        <v>882</v>
      </c>
      <c r="W514" t="s">
        <v>878</v>
      </c>
      <c r="X514" t="s">
        <v>468</v>
      </c>
    </row>
    <row r="515" spans="8:24" x14ac:dyDescent="0.45">
      <c r="H515" t="s">
        <v>206</v>
      </c>
      <c r="I515" t="s">
        <v>351</v>
      </c>
      <c r="J515">
        <v>1.7078430779507579E-3</v>
      </c>
      <c r="K515" t="s">
        <v>185</v>
      </c>
      <c r="U515" t="s">
        <v>108</v>
      </c>
      <c r="V515" t="s">
        <v>883</v>
      </c>
      <c r="W515" t="s">
        <v>878</v>
      </c>
      <c r="X515" t="s">
        <v>468</v>
      </c>
    </row>
    <row r="516" spans="8:24" x14ac:dyDescent="0.45">
      <c r="H516" t="s">
        <v>207</v>
      </c>
      <c r="I516" t="s">
        <v>351</v>
      </c>
      <c r="J516">
        <v>3.0343487662146906E-2</v>
      </c>
      <c r="K516" t="s">
        <v>185</v>
      </c>
      <c r="U516" t="s">
        <v>108</v>
      </c>
      <c r="V516" t="s">
        <v>884</v>
      </c>
      <c r="W516" t="s">
        <v>878</v>
      </c>
      <c r="X516" t="s">
        <v>468</v>
      </c>
    </row>
    <row r="517" spans="8:24" x14ac:dyDescent="0.45">
      <c r="H517" t="s">
        <v>208</v>
      </c>
      <c r="I517" t="s">
        <v>351</v>
      </c>
      <c r="J517">
        <v>2.2348380828115578E-3</v>
      </c>
      <c r="K517" t="s">
        <v>185</v>
      </c>
      <c r="U517" t="s">
        <v>108</v>
      </c>
      <c r="V517" t="s">
        <v>885</v>
      </c>
      <c r="W517" t="s">
        <v>878</v>
      </c>
      <c r="X517" t="s">
        <v>468</v>
      </c>
    </row>
    <row r="518" spans="8:24" x14ac:dyDescent="0.45">
      <c r="H518" t="s">
        <v>209</v>
      </c>
      <c r="I518" t="s">
        <v>351</v>
      </c>
      <c r="J518">
        <v>4.5572035656239705E-2</v>
      </c>
      <c r="K518" t="s">
        <v>185</v>
      </c>
      <c r="U518" t="s">
        <v>108</v>
      </c>
      <c r="V518" t="s">
        <v>886</v>
      </c>
      <c r="W518" t="s">
        <v>878</v>
      </c>
      <c r="X518" t="s">
        <v>468</v>
      </c>
    </row>
    <row r="519" spans="8:24" x14ac:dyDescent="0.45">
      <c r="H519" t="s">
        <v>210</v>
      </c>
      <c r="I519" t="s">
        <v>351</v>
      </c>
      <c r="J519">
        <v>3.8927670541745018E-3</v>
      </c>
      <c r="K519" t="s">
        <v>185</v>
      </c>
      <c r="U519" t="s">
        <v>108</v>
      </c>
      <c r="V519" t="s">
        <v>887</v>
      </c>
      <c r="W519" t="s">
        <v>878</v>
      </c>
      <c r="X519" t="s">
        <v>468</v>
      </c>
    </row>
    <row r="520" spans="8:24" x14ac:dyDescent="0.45">
      <c r="H520" t="s">
        <v>211</v>
      </c>
      <c r="I520" t="s">
        <v>351</v>
      </c>
      <c r="J520">
        <v>2.6029354280225268E-2</v>
      </c>
      <c r="K520" t="s">
        <v>185</v>
      </c>
      <c r="U520" t="s">
        <v>108</v>
      </c>
      <c r="V520" t="s">
        <v>888</v>
      </c>
      <c r="W520" t="s">
        <v>878</v>
      </c>
      <c r="X520" t="s">
        <v>468</v>
      </c>
    </row>
    <row r="521" spans="8:24" x14ac:dyDescent="0.45">
      <c r="H521" t="s">
        <v>212</v>
      </c>
      <c r="I521" t="s">
        <v>351</v>
      </c>
      <c r="J521">
        <v>7.5213552709157798E-4</v>
      </c>
      <c r="K521" t="s">
        <v>185</v>
      </c>
      <c r="U521" t="s">
        <v>108</v>
      </c>
      <c r="V521" t="s">
        <v>888</v>
      </c>
      <c r="W521" t="s">
        <v>889</v>
      </c>
      <c r="X521" t="s">
        <v>468</v>
      </c>
    </row>
    <row r="522" spans="8:24" x14ac:dyDescent="0.45">
      <c r="H522" t="s">
        <v>213</v>
      </c>
      <c r="I522" t="s">
        <v>351</v>
      </c>
      <c r="J522">
        <v>7.65732712562244E-4</v>
      </c>
      <c r="K522" t="s">
        <v>185</v>
      </c>
      <c r="U522" t="s">
        <v>108</v>
      </c>
      <c r="V522" t="s">
        <v>890</v>
      </c>
      <c r="W522" t="s">
        <v>878</v>
      </c>
      <c r="X522" t="s">
        <v>468</v>
      </c>
    </row>
    <row r="523" spans="8:24" x14ac:dyDescent="0.45">
      <c r="H523" t="s">
        <v>214</v>
      </c>
      <c r="I523" t="s">
        <v>351</v>
      </c>
      <c r="J523">
        <v>3.8391786308438641E-3</v>
      </c>
      <c r="K523" t="s">
        <v>185</v>
      </c>
      <c r="U523" t="s">
        <v>108</v>
      </c>
      <c r="V523" t="s">
        <v>890</v>
      </c>
      <c r="W523" t="s">
        <v>889</v>
      </c>
      <c r="X523" t="s">
        <v>468</v>
      </c>
    </row>
    <row r="524" spans="8:24" x14ac:dyDescent="0.45">
      <c r="H524" t="s">
        <v>215</v>
      </c>
      <c r="I524" t="s">
        <v>351</v>
      </c>
      <c r="J524">
        <v>4.6144482912273193E-3</v>
      </c>
      <c r="K524" t="s">
        <v>185</v>
      </c>
      <c r="U524" t="s">
        <v>108</v>
      </c>
      <c r="V524" t="s">
        <v>891</v>
      </c>
      <c r="W524" t="s">
        <v>878</v>
      </c>
      <c r="X524" t="s">
        <v>468</v>
      </c>
    </row>
    <row r="525" spans="8:24" x14ac:dyDescent="0.45">
      <c r="H525" t="s">
        <v>216</v>
      </c>
      <c r="I525" t="s">
        <v>351</v>
      </c>
      <c r="J525">
        <v>2.8346748248708427E-2</v>
      </c>
      <c r="K525" t="s">
        <v>185</v>
      </c>
      <c r="U525" t="s">
        <v>108</v>
      </c>
      <c r="V525" t="s">
        <v>891</v>
      </c>
      <c r="W525" t="s">
        <v>889</v>
      </c>
      <c r="X525" t="s">
        <v>468</v>
      </c>
    </row>
    <row r="526" spans="8:24" x14ac:dyDescent="0.45">
      <c r="H526" t="s">
        <v>217</v>
      </c>
      <c r="I526" t="s">
        <v>351</v>
      </c>
      <c r="J526">
        <v>3.5092155832129337E-3</v>
      </c>
      <c r="K526" t="s">
        <v>185</v>
      </c>
      <c r="U526" t="s">
        <v>108</v>
      </c>
      <c r="V526" t="s">
        <v>892</v>
      </c>
      <c r="W526" t="s">
        <v>889</v>
      </c>
      <c r="X526" t="s">
        <v>468</v>
      </c>
    </row>
    <row r="527" spans="8:24" x14ac:dyDescent="0.45">
      <c r="H527" t="s">
        <v>218</v>
      </c>
      <c r="I527" t="s">
        <v>351</v>
      </c>
      <c r="J527">
        <v>7.9052382127669154E-3</v>
      </c>
      <c r="K527" t="s">
        <v>185</v>
      </c>
      <c r="U527" t="s">
        <v>108</v>
      </c>
      <c r="V527" t="s">
        <v>893</v>
      </c>
      <c r="W527" t="s">
        <v>889</v>
      </c>
      <c r="X527" t="s">
        <v>468</v>
      </c>
    </row>
    <row r="528" spans="8:24" x14ac:dyDescent="0.45">
      <c r="H528" t="s">
        <v>219</v>
      </c>
      <c r="I528" t="s">
        <v>351</v>
      </c>
      <c r="J528">
        <v>4.955999362361474E-2</v>
      </c>
      <c r="K528" t="s">
        <v>185</v>
      </c>
      <c r="U528" t="s">
        <v>108</v>
      </c>
      <c r="V528" t="s">
        <v>894</v>
      </c>
      <c r="W528" t="s">
        <v>889</v>
      </c>
      <c r="X528" t="s">
        <v>468</v>
      </c>
    </row>
    <row r="529" spans="8:24" x14ac:dyDescent="0.45">
      <c r="H529" t="s">
        <v>220</v>
      </c>
      <c r="I529" t="s">
        <v>351</v>
      </c>
      <c r="J529">
        <v>3.7892423075579522E-3</v>
      </c>
      <c r="K529" t="s">
        <v>185</v>
      </c>
      <c r="U529" t="s">
        <v>108</v>
      </c>
      <c r="V529" t="s">
        <v>894</v>
      </c>
      <c r="W529" t="s">
        <v>878</v>
      </c>
      <c r="X529" t="s">
        <v>403</v>
      </c>
    </row>
    <row r="530" spans="8:24" x14ac:dyDescent="0.45">
      <c r="H530" t="s">
        <v>221</v>
      </c>
      <c r="I530" t="s">
        <v>351</v>
      </c>
      <c r="J530">
        <v>4.57100684691238E-4</v>
      </c>
      <c r="K530" t="s">
        <v>185</v>
      </c>
      <c r="U530" t="s">
        <v>108</v>
      </c>
      <c r="V530" t="s">
        <v>895</v>
      </c>
      <c r="W530" t="s">
        <v>889</v>
      </c>
      <c r="X530" t="s">
        <v>468</v>
      </c>
    </row>
    <row r="531" spans="8:24" x14ac:dyDescent="0.45">
      <c r="H531" t="s">
        <v>222</v>
      </c>
      <c r="I531" t="s">
        <v>351</v>
      </c>
      <c r="J531">
        <v>3.638467168589881E-2</v>
      </c>
      <c r="K531" t="s">
        <v>185</v>
      </c>
      <c r="U531" t="s">
        <v>108</v>
      </c>
      <c r="V531" t="s">
        <v>895</v>
      </c>
      <c r="W531" t="s">
        <v>878</v>
      </c>
      <c r="X531" t="s">
        <v>403</v>
      </c>
    </row>
    <row r="532" spans="8:24" x14ac:dyDescent="0.45">
      <c r="H532" t="s">
        <v>223</v>
      </c>
      <c r="I532" t="s">
        <v>351</v>
      </c>
      <c r="J532">
        <v>3.9008737604931371E-2</v>
      </c>
      <c r="K532" t="s">
        <v>185</v>
      </c>
      <c r="U532" t="s">
        <v>108</v>
      </c>
      <c r="V532" t="s">
        <v>896</v>
      </c>
      <c r="W532" t="s">
        <v>423</v>
      </c>
      <c r="X532" t="s">
        <v>468</v>
      </c>
    </row>
    <row r="533" spans="8:24" x14ac:dyDescent="0.45">
      <c r="H533" t="s">
        <v>224</v>
      </c>
      <c r="I533" t="s">
        <v>351</v>
      </c>
      <c r="J533">
        <v>2.9640117439892821E-2</v>
      </c>
      <c r="K533" t="s">
        <v>185</v>
      </c>
      <c r="U533" t="s">
        <v>108</v>
      </c>
      <c r="V533" t="s">
        <v>897</v>
      </c>
      <c r="W533" t="s">
        <v>423</v>
      </c>
      <c r="X533" t="s">
        <v>468</v>
      </c>
    </row>
    <row r="534" spans="8:24" x14ac:dyDescent="0.45">
      <c r="H534" t="s">
        <v>225</v>
      </c>
      <c r="I534" t="s">
        <v>351</v>
      </c>
      <c r="J534">
        <v>5.3661441500019924E-3</v>
      </c>
      <c r="K534" t="s">
        <v>185</v>
      </c>
      <c r="U534" t="s">
        <v>108</v>
      </c>
      <c r="V534" t="s">
        <v>898</v>
      </c>
      <c r="W534" t="s">
        <v>423</v>
      </c>
      <c r="X534" t="s">
        <v>468</v>
      </c>
    </row>
    <row r="535" spans="8:24" x14ac:dyDescent="0.45">
      <c r="H535" t="s">
        <v>226</v>
      </c>
      <c r="I535" t="s">
        <v>351</v>
      </c>
      <c r="J535">
        <v>3.1840356448714097E-3</v>
      </c>
      <c r="K535" t="s">
        <v>185</v>
      </c>
      <c r="U535" t="s">
        <v>108</v>
      </c>
      <c r="V535" t="s">
        <v>899</v>
      </c>
      <c r="W535" t="s">
        <v>423</v>
      </c>
      <c r="X535" t="s">
        <v>468</v>
      </c>
    </row>
    <row r="536" spans="8:24" x14ac:dyDescent="0.45">
      <c r="H536" t="s">
        <v>227</v>
      </c>
      <c r="I536" t="s">
        <v>351</v>
      </c>
      <c r="J536">
        <v>3.1388002753095943E-3</v>
      </c>
      <c r="K536" t="s">
        <v>185</v>
      </c>
      <c r="U536" t="s">
        <v>108</v>
      </c>
      <c r="V536" t="s">
        <v>900</v>
      </c>
      <c r="W536" t="s">
        <v>423</v>
      </c>
      <c r="X536" t="s">
        <v>468</v>
      </c>
    </row>
    <row r="537" spans="8:24" x14ac:dyDescent="0.45">
      <c r="H537" t="s">
        <v>352</v>
      </c>
      <c r="I537" t="s">
        <v>351</v>
      </c>
      <c r="J537">
        <v>3.63291970276718E-3</v>
      </c>
      <c r="K537" t="s">
        <v>185</v>
      </c>
      <c r="U537" t="s">
        <v>108</v>
      </c>
      <c r="V537" t="s">
        <v>901</v>
      </c>
      <c r="W537" t="s">
        <v>423</v>
      </c>
      <c r="X537" t="s">
        <v>468</v>
      </c>
    </row>
    <row r="538" spans="8:24" x14ac:dyDescent="0.45">
      <c r="H538" t="s">
        <v>353</v>
      </c>
      <c r="I538" t="s">
        <v>351</v>
      </c>
      <c r="J538">
        <v>1.239547090140968E-3</v>
      </c>
      <c r="K538" t="s">
        <v>185</v>
      </c>
      <c r="U538" t="s">
        <v>108</v>
      </c>
      <c r="V538" t="s">
        <v>902</v>
      </c>
      <c r="W538" t="s">
        <v>423</v>
      </c>
      <c r="X538" t="s">
        <v>468</v>
      </c>
    </row>
    <row r="539" spans="8:24" x14ac:dyDescent="0.45">
      <c r="H539" t="s">
        <v>354</v>
      </c>
      <c r="I539" t="s">
        <v>351</v>
      </c>
      <c r="J539">
        <v>7.7685859325501469E-2</v>
      </c>
      <c r="K539" t="s">
        <v>185</v>
      </c>
      <c r="U539" t="s">
        <v>108</v>
      </c>
      <c r="V539" t="s">
        <v>903</v>
      </c>
      <c r="W539" t="s">
        <v>423</v>
      </c>
      <c r="X539" t="s">
        <v>468</v>
      </c>
    </row>
    <row r="540" spans="8:24" x14ac:dyDescent="0.45">
      <c r="H540" t="s">
        <v>355</v>
      </c>
      <c r="I540" t="s">
        <v>351</v>
      </c>
      <c r="J540">
        <v>4.03265986659214E-4</v>
      </c>
      <c r="K540" t="s">
        <v>185</v>
      </c>
      <c r="U540" t="s">
        <v>108</v>
      </c>
      <c r="V540" t="s">
        <v>904</v>
      </c>
      <c r="W540" t="s">
        <v>423</v>
      </c>
      <c r="X540" t="s">
        <v>468</v>
      </c>
    </row>
    <row r="541" spans="8:24" x14ac:dyDescent="0.45">
      <c r="H541" t="s">
        <v>356</v>
      </c>
      <c r="I541" t="s">
        <v>351</v>
      </c>
      <c r="J541">
        <v>3.282504331299368E-3</v>
      </c>
      <c r="K541" t="s">
        <v>185</v>
      </c>
      <c r="U541" t="s">
        <v>108</v>
      </c>
      <c r="V541" t="s">
        <v>905</v>
      </c>
      <c r="W541" t="s">
        <v>423</v>
      </c>
      <c r="X541" t="s">
        <v>468</v>
      </c>
    </row>
    <row r="542" spans="8:24" x14ac:dyDescent="0.45">
      <c r="H542" t="s">
        <v>357</v>
      </c>
      <c r="I542" t="s">
        <v>351</v>
      </c>
      <c r="J542">
        <v>3.3072952731022539E-3</v>
      </c>
      <c r="K542" t="s">
        <v>185</v>
      </c>
      <c r="U542" t="s">
        <v>108</v>
      </c>
      <c r="V542" t="s">
        <v>906</v>
      </c>
      <c r="W542" t="s">
        <v>423</v>
      </c>
      <c r="X542" t="s">
        <v>468</v>
      </c>
    </row>
    <row r="543" spans="8:24" x14ac:dyDescent="0.45">
      <c r="H543" t="s">
        <v>358</v>
      </c>
      <c r="I543" t="s">
        <v>351</v>
      </c>
      <c r="J543">
        <v>5.7083209412812468E-2</v>
      </c>
      <c r="K543" t="s">
        <v>185</v>
      </c>
      <c r="U543" t="s">
        <v>108</v>
      </c>
      <c r="V543" t="s">
        <v>906</v>
      </c>
      <c r="W543" t="s">
        <v>907</v>
      </c>
      <c r="X543" t="s">
        <v>468</v>
      </c>
    </row>
    <row r="544" spans="8:24" x14ac:dyDescent="0.45">
      <c r="H544" t="s">
        <v>359</v>
      </c>
      <c r="I544" t="s">
        <v>351</v>
      </c>
      <c r="J544">
        <v>8.1564723534613262E-2</v>
      </c>
      <c r="K544" t="s">
        <v>185</v>
      </c>
      <c r="U544" t="s">
        <v>108</v>
      </c>
      <c r="V544" t="s">
        <v>908</v>
      </c>
      <c r="W544" t="s">
        <v>423</v>
      </c>
      <c r="X544" t="s">
        <v>468</v>
      </c>
    </row>
    <row r="545" spans="8:24" x14ac:dyDescent="0.45">
      <c r="H545" t="s">
        <v>228</v>
      </c>
      <c r="I545" t="s">
        <v>351</v>
      </c>
      <c r="J545">
        <v>7.2356368840150787E-2</v>
      </c>
      <c r="K545" t="s">
        <v>185</v>
      </c>
      <c r="U545" t="s">
        <v>108</v>
      </c>
      <c r="V545" t="s">
        <v>908</v>
      </c>
      <c r="W545" t="s">
        <v>907</v>
      </c>
      <c r="X545" t="s">
        <v>468</v>
      </c>
    </row>
    <row r="546" spans="8:24" x14ac:dyDescent="0.45">
      <c r="H546" t="s">
        <v>229</v>
      </c>
      <c r="I546" t="s">
        <v>351</v>
      </c>
      <c r="J546">
        <v>8.4156827324751604E-2</v>
      </c>
      <c r="K546" t="s">
        <v>185</v>
      </c>
      <c r="U546" t="s">
        <v>108</v>
      </c>
      <c r="V546" t="s">
        <v>909</v>
      </c>
      <c r="W546" t="s">
        <v>423</v>
      </c>
      <c r="X546" t="s">
        <v>468</v>
      </c>
    </row>
    <row r="547" spans="8:24" x14ac:dyDescent="0.45">
      <c r="H547" t="s">
        <v>230</v>
      </c>
      <c r="I547" t="s">
        <v>351</v>
      </c>
      <c r="J547">
        <v>3.4241063041388013E-2</v>
      </c>
      <c r="K547" t="s">
        <v>185</v>
      </c>
      <c r="U547" t="s">
        <v>108</v>
      </c>
      <c r="V547" t="s">
        <v>909</v>
      </c>
      <c r="W547" t="s">
        <v>907</v>
      </c>
      <c r="X547" t="s">
        <v>468</v>
      </c>
    </row>
    <row r="548" spans="8:24" x14ac:dyDescent="0.45">
      <c r="H548" t="s">
        <v>231</v>
      </c>
      <c r="I548" t="s">
        <v>351</v>
      </c>
      <c r="J548">
        <v>0.12224366207243494</v>
      </c>
      <c r="K548" t="s">
        <v>185</v>
      </c>
      <c r="U548" t="s">
        <v>108</v>
      </c>
      <c r="V548" t="s">
        <v>910</v>
      </c>
      <c r="W548" t="s">
        <v>907</v>
      </c>
      <c r="X548" t="s">
        <v>468</v>
      </c>
    </row>
    <row r="549" spans="8:24" x14ac:dyDescent="0.45">
      <c r="H549" t="s">
        <v>232</v>
      </c>
      <c r="I549" t="s">
        <v>351</v>
      </c>
      <c r="J549">
        <v>4.2693333549794618E-3</v>
      </c>
      <c r="K549" t="s">
        <v>185</v>
      </c>
      <c r="U549" t="s">
        <v>108</v>
      </c>
      <c r="V549" t="s">
        <v>911</v>
      </c>
      <c r="W549" t="s">
        <v>907</v>
      </c>
      <c r="X549" t="s">
        <v>468</v>
      </c>
    </row>
    <row r="550" spans="8:24" x14ac:dyDescent="0.45">
      <c r="H550" t="s">
        <v>233</v>
      </c>
      <c r="I550" t="s">
        <v>351</v>
      </c>
      <c r="J550">
        <v>2.1104374873763998E-3</v>
      </c>
      <c r="K550" t="s">
        <v>185</v>
      </c>
      <c r="U550" t="s">
        <v>108</v>
      </c>
      <c r="V550" t="s">
        <v>912</v>
      </c>
      <c r="W550" t="s">
        <v>907</v>
      </c>
      <c r="X550" t="s">
        <v>468</v>
      </c>
    </row>
    <row r="551" spans="8:24" x14ac:dyDescent="0.45">
      <c r="H551" t="s">
        <v>234</v>
      </c>
      <c r="I551" t="s">
        <v>351</v>
      </c>
      <c r="J551">
        <v>3.774117961905998E-3</v>
      </c>
      <c r="K551" t="s">
        <v>185</v>
      </c>
      <c r="U551" t="s">
        <v>108</v>
      </c>
      <c r="V551" t="s">
        <v>912</v>
      </c>
      <c r="W551" t="s">
        <v>423</v>
      </c>
      <c r="X551" t="s">
        <v>403</v>
      </c>
    </row>
    <row r="552" spans="8:24" x14ac:dyDescent="0.45">
      <c r="H552" t="s">
        <v>235</v>
      </c>
      <c r="I552" t="s">
        <v>351</v>
      </c>
      <c r="J552">
        <v>1.9680967084938817E-5</v>
      </c>
      <c r="K552" t="s">
        <v>185</v>
      </c>
      <c r="U552" t="s">
        <v>108</v>
      </c>
      <c r="V552" t="s">
        <v>913</v>
      </c>
      <c r="W552" t="s">
        <v>907</v>
      </c>
      <c r="X552" t="s">
        <v>468</v>
      </c>
    </row>
    <row r="553" spans="8:24" x14ac:dyDescent="0.45">
      <c r="H553" t="s">
        <v>236</v>
      </c>
      <c r="I553" t="s">
        <v>351</v>
      </c>
      <c r="J553">
        <v>7.1489276402681486E-3</v>
      </c>
      <c r="K553" t="s">
        <v>185</v>
      </c>
      <c r="U553" t="s">
        <v>108</v>
      </c>
      <c r="V553" t="s">
        <v>913</v>
      </c>
      <c r="W553" t="s">
        <v>423</v>
      </c>
      <c r="X553" t="s">
        <v>403</v>
      </c>
    </row>
    <row r="554" spans="8:24" x14ac:dyDescent="0.45">
      <c r="H554" t="s">
        <v>237</v>
      </c>
      <c r="I554" t="s">
        <v>351</v>
      </c>
      <c r="J554">
        <v>1.3636649659583637E-2</v>
      </c>
      <c r="K554" t="s">
        <v>185</v>
      </c>
      <c r="U554" t="s">
        <v>108</v>
      </c>
      <c r="V554" t="s">
        <v>914</v>
      </c>
      <c r="W554" t="s">
        <v>445</v>
      </c>
      <c r="X554" t="s">
        <v>468</v>
      </c>
    </row>
    <row r="555" spans="8:24" x14ac:dyDescent="0.45">
      <c r="H555" t="s">
        <v>238</v>
      </c>
      <c r="I555" t="s">
        <v>351</v>
      </c>
      <c r="J555">
        <v>6.8863001514679403E-3</v>
      </c>
      <c r="K555" t="s">
        <v>185</v>
      </c>
      <c r="U555" t="s">
        <v>108</v>
      </c>
      <c r="V555" t="s">
        <v>915</v>
      </c>
      <c r="W555" t="s">
        <v>445</v>
      </c>
      <c r="X555" t="s">
        <v>468</v>
      </c>
    </row>
    <row r="556" spans="8:24" x14ac:dyDescent="0.45">
      <c r="H556" t="s">
        <v>239</v>
      </c>
      <c r="I556" t="s">
        <v>351</v>
      </c>
      <c r="J556">
        <v>4.6975059633129598E-4</v>
      </c>
      <c r="K556" t="s">
        <v>185</v>
      </c>
      <c r="U556" t="s">
        <v>108</v>
      </c>
      <c r="V556" t="s">
        <v>916</v>
      </c>
      <c r="W556" t="s">
        <v>445</v>
      </c>
      <c r="X556" t="s">
        <v>468</v>
      </c>
    </row>
    <row r="557" spans="8:24" x14ac:dyDescent="0.45">
      <c r="H557" t="s">
        <v>240</v>
      </c>
      <c r="I557" t="s">
        <v>351</v>
      </c>
      <c r="J557">
        <v>2.7810087980815979E-3</v>
      </c>
      <c r="K557" t="s">
        <v>185</v>
      </c>
      <c r="U557" t="s">
        <v>108</v>
      </c>
      <c r="V557" t="s">
        <v>917</v>
      </c>
      <c r="W557" t="s">
        <v>445</v>
      </c>
      <c r="X557" t="s">
        <v>468</v>
      </c>
    </row>
    <row r="558" spans="8:24" x14ac:dyDescent="0.45">
      <c r="H558" t="s">
        <v>241</v>
      </c>
      <c r="I558" t="s">
        <v>351</v>
      </c>
      <c r="J558">
        <v>2.3815682848889803E-2</v>
      </c>
      <c r="K558" t="s">
        <v>185</v>
      </c>
      <c r="U558" t="s">
        <v>108</v>
      </c>
      <c r="V558" t="s">
        <v>918</v>
      </c>
      <c r="W558" t="s">
        <v>445</v>
      </c>
      <c r="X558" t="s">
        <v>468</v>
      </c>
    </row>
    <row r="559" spans="8:24" x14ac:dyDescent="0.45">
      <c r="H559" t="s">
        <v>242</v>
      </c>
      <c r="I559" t="s">
        <v>351</v>
      </c>
      <c r="J559">
        <v>1.8570488937241221E-3</v>
      </c>
      <c r="K559" t="s">
        <v>185</v>
      </c>
      <c r="U559" t="s">
        <v>108</v>
      </c>
      <c r="V559" t="s">
        <v>919</v>
      </c>
      <c r="W559" t="s">
        <v>445</v>
      </c>
      <c r="X559" t="s">
        <v>468</v>
      </c>
    </row>
    <row r="560" spans="8:24" x14ac:dyDescent="0.45">
      <c r="H560" t="s">
        <v>243</v>
      </c>
      <c r="I560" t="s">
        <v>351</v>
      </c>
      <c r="J560">
        <v>1.3368390661849285E-2</v>
      </c>
      <c r="K560" t="s">
        <v>185</v>
      </c>
      <c r="U560" t="s">
        <v>108</v>
      </c>
      <c r="V560" t="s">
        <v>920</v>
      </c>
      <c r="W560" t="s">
        <v>445</v>
      </c>
      <c r="X560" t="s">
        <v>468</v>
      </c>
    </row>
    <row r="561" spans="8:24" x14ac:dyDescent="0.45">
      <c r="H561" t="s">
        <v>244</v>
      </c>
      <c r="I561" t="s">
        <v>351</v>
      </c>
      <c r="J561">
        <v>1.2827010403010581E-3</v>
      </c>
      <c r="K561" t="s">
        <v>185</v>
      </c>
      <c r="U561" t="s">
        <v>108</v>
      </c>
      <c r="V561" t="s">
        <v>921</v>
      </c>
      <c r="W561" t="s">
        <v>445</v>
      </c>
      <c r="X561" t="s">
        <v>468</v>
      </c>
    </row>
    <row r="562" spans="8:24" x14ac:dyDescent="0.45">
      <c r="H562" t="s">
        <v>245</v>
      </c>
      <c r="I562" t="s">
        <v>351</v>
      </c>
      <c r="J562">
        <v>2.6531828179476687E-2</v>
      </c>
      <c r="K562" t="s">
        <v>185</v>
      </c>
      <c r="U562" t="s">
        <v>108</v>
      </c>
      <c r="V562" t="s">
        <v>922</v>
      </c>
      <c r="W562" t="s">
        <v>445</v>
      </c>
      <c r="X562" t="s">
        <v>468</v>
      </c>
    </row>
    <row r="563" spans="8:24" x14ac:dyDescent="0.45">
      <c r="H563" t="s">
        <v>246</v>
      </c>
      <c r="I563" t="s">
        <v>351</v>
      </c>
      <c r="J563">
        <v>8.0902938632406807E-4</v>
      </c>
      <c r="K563" t="s">
        <v>185</v>
      </c>
      <c r="U563" t="s">
        <v>108</v>
      </c>
      <c r="V563" t="s">
        <v>923</v>
      </c>
      <c r="W563" t="s">
        <v>445</v>
      </c>
      <c r="X563" t="s">
        <v>468</v>
      </c>
    </row>
    <row r="564" spans="8:24" x14ac:dyDescent="0.45">
      <c r="H564" t="s">
        <v>247</v>
      </c>
      <c r="I564" t="s">
        <v>351</v>
      </c>
      <c r="J564">
        <v>1.7078430779507579E-3</v>
      </c>
      <c r="K564" t="s">
        <v>185</v>
      </c>
      <c r="U564" t="s">
        <v>108</v>
      </c>
      <c r="V564" t="s">
        <v>924</v>
      </c>
      <c r="W564" t="s">
        <v>445</v>
      </c>
      <c r="X564" t="s">
        <v>468</v>
      </c>
    </row>
    <row r="565" spans="8:24" x14ac:dyDescent="0.45">
      <c r="H565" t="s">
        <v>248</v>
      </c>
      <c r="I565" t="s">
        <v>351</v>
      </c>
      <c r="J565">
        <v>3.0343487662146906E-2</v>
      </c>
      <c r="K565" t="s">
        <v>185</v>
      </c>
      <c r="U565" t="s">
        <v>108</v>
      </c>
      <c r="V565" t="s">
        <v>924</v>
      </c>
      <c r="W565" t="s">
        <v>925</v>
      </c>
      <c r="X565" t="s">
        <v>468</v>
      </c>
    </row>
    <row r="566" spans="8:24" x14ac:dyDescent="0.45">
      <c r="H566" t="s">
        <v>249</v>
      </c>
      <c r="I566" t="s">
        <v>351</v>
      </c>
      <c r="J566">
        <v>2.2348380828115578E-3</v>
      </c>
      <c r="K566" t="s">
        <v>185</v>
      </c>
      <c r="U566" t="s">
        <v>108</v>
      </c>
      <c r="V566" t="s">
        <v>926</v>
      </c>
      <c r="W566" t="s">
        <v>445</v>
      </c>
      <c r="X566" t="s">
        <v>468</v>
      </c>
    </row>
    <row r="567" spans="8:24" x14ac:dyDescent="0.45">
      <c r="H567" t="s">
        <v>250</v>
      </c>
      <c r="I567" t="s">
        <v>351</v>
      </c>
      <c r="J567">
        <v>4.5572035656239705E-2</v>
      </c>
      <c r="K567" t="s">
        <v>185</v>
      </c>
      <c r="U567" t="s">
        <v>108</v>
      </c>
      <c r="V567" t="s">
        <v>926</v>
      </c>
      <c r="W567" t="s">
        <v>925</v>
      </c>
      <c r="X567" t="s">
        <v>468</v>
      </c>
    </row>
    <row r="568" spans="8:24" x14ac:dyDescent="0.45">
      <c r="H568" t="s">
        <v>251</v>
      </c>
      <c r="I568" t="s">
        <v>351</v>
      </c>
      <c r="J568">
        <v>3.8927670541745018E-3</v>
      </c>
      <c r="K568" t="s">
        <v>185</v>
      </c>
      <c r="U568" t="s">
        <v>108</v>
      </c>
      <c r="V568" t="s">
        <v>927</v>
      </c>
      <c r="W568" t="s">
        <v>445</v>
      </c>
      <c r="X568" t="s">
        <v>468</v>
      </c>
    </row>
    <row r="569" spans="8:24" x14ac:dyDescent="0.45">
      <c r="H569" t="s">
        <v>252</v>
      </c>
      <c r="I569" t="s">
        <v>351</v>
      </c>
      <c r="J569">
        <v>2.6029354280225268E-2</v>
      </c>
      <c r="K569" t="s">
        <v>185</v>
      </c>
      <c r="U569" t="s">
        <v>108</v>
      </c>
      <c r="V569" t="s">
        <v>927</v>
      </c>
      <c r="W569" t="s">
        <v>925</v>
      </c>
      <c r="X569" t="s">
        <v>468</v>
      </c>
    </row>
    <row r="570" spans="8:24" x14ac:dyDescent="0.45">
      <c r="H570" t="s">
        <v>253</v>
      </c>
      <c r="I570" t="s">
        <v>351</v>
      </c>
      <c r="J570">
        <v>7.5213552709157798E-4</v>
      </c>
      <c r="K570" t="s">
        <v>185</v>
      </c>
      <c r="U570" t="s">
        <v>108</v>
      </c>
      <c r="V570" t="s">
        <v>928</v>
      </c>
      <c r="W570" t="s">
        <v>925</v>
      </c>
      <c r="X570" t="s">
        <v>468</v>
      </c>
    </row>
    <row r="571" spans="8:24" x14ac:dyDescent="0.45">
      <c r="H571" t="s">
        <v>254</v>
      </c>
      <c r="I571" t="s">
        <v>351</v>
      </c>
      <c r="J571">
        <v>7.65732712562244E-4</v>
      </c>
      <c r="K571" t="s">
        <v>185</v>
      </c>
      <c r="U571" t="s">
        <v>108</v>
      </c>
      <c r="V571" t="s">
        <v>929</v>
      </c>
      <c r="W571" t="s">
        <v>925</v>
      </c>
      <c r="X571" t="s">
        <v>468</v>
      </c>
    </row>
    <row r="572" spans="8:24" x14ac:dyDescent="0.45">
      <c r="H572" t="s">
        <v>255</v>
      </c>
      <c r="I572" t="s">
        <v>351</v>
      </c>
      <c r="J572">
        <v>3.8391786308438641E-3</v>
      </c>
      <c r="K572" t="s">
        <v>185</v>
      </c>
      <c r="U572" t="s">
        <v>108</v>
      </c>
      <c r="V572" t="s">
        <v>930</v>
      </c>
      <c r="W572" t="s">
        <v>925</v>
      </c>
      <c r="X572" t="s">
        <v>468</v>
      </c>
    </row>
    <row r="573" spans="8:24" x14ac:dyDescent="0.45">
      <c r="H573" t="s">
        <v>256</v>
      </c>
      <c r="I573" t="s">
        <v>351</v>
      </c>
      <c r="J573">
        <v>4.6144482912273193E-3</v>
      </c>
      <c r="K573" t="s">
        <v>185</v>
      </c>
      <c r="U573" t="s">
        <v>108</v>
      </c>
      <c r="V573" t="s">
        <v>930</v>
      </c>
      <c r="W573" t="s">
        <v>445</v>
      </c>
      <c r="X573" t="s">
        <v>403</v>
      </c>
    </row>
    <row r="574" spans="8:24" x14ac:dyDescent="0.45">
      <c r="H574" t="s">
        <v>257</v>
      </c>
      <c r="I574" t="s">
        <v>351</v>
      </c>
      <c r="J574">
        <v>2.8346748248708427E-2</v>
      </c>
      <c r="K574" t="s">
        <v>185</v>
      </c>
      <c r="U574" t="s">
        <v>108</v>
      </c>
      <c r="V574" t="s">
        <v>931</v>
      </c>
      <c r="W574" t="s">
        <v>925</v>
      </c>
      <c r="X574" t="s">
        <v>468</v>
      </c>
    </row>
    <row r="575" spans="8:24" x14ac:dyDescent="0.45">
      <c r="H575" t="s">
        <v>258</v>
      </c>
      <c r="I575" t="s">
        <v>351</v>
      </c>
      <c r="J575">
        <v>3.5092155832129337E-3</v>
      </c>
      <c r="K575" t="s">
        <v>185</v>
      </c>
      <c r="U575" t="s">
        <v>108</v>
      </c>
      <c r="V575" t="s">
        <v>931</v>
      </c>
      <c r="W575" t="s">
        <v>445</v>
      </c>
      <c r="X575" t="s">
        <v>403</v>
      </c>
    </row>
    <row r="576" spans="8:24" x14ac:dyDescent="0.45">
      <c r="H576" t="s">
        <v>259</v>
      </c>
      <c r="I576" t="s">
        <v>351</v>
      </c>
      <c r="J576">
        <v>7.9052382127669154E-3</v>
      </c>
      <c r="K576" t="s">
        <v>185</v>
      </c>
      <c r="U576" t="s">
        <v>108</v>
      </c>
      <c r="V576" t="s">
        <v>932</v>
      </c>
      <c r="W576" t="s">
        <v>424</v>
      </c>
      <c r="X576" t="s">
        <v>468</v>
      </c>
    </row>
    <row r="577" spans="8:24" x14ac:dyDescent="0.45">
      <c r="H577" t="s">
        <v>260</v>
      </c>
      <c r="I577" t="s">
        <v>351</v>
      </c>
      <c r="J577">
        <v>4.955999362361474E-2</v>
      </c>
      <c r="K577" t="s">
        <v>185</v>
      </c>
      <c r="U577" t="s">
        <v>108</v>
      </c>
      <c r="V577" t="s">
        <v>933</v>
      </c>
      <c r="W577" t="s">
        <v>424</v>
      </c>
      <c r="X577" t="s">
        <v>468</v>
      </c>
    </row>
    <row r="578" spans="8:24" x14ac:dyDescent="0.45">
      <c r="H578" t="s">
        <v>261</v>
      </c>
      <c r="I578" t="s">
        <v>351</v>
      </c>
      <c r="J578">
        <v>3.7892423075579522E-3</v>
      </c>
      <c r="K578" t="s">
        <v>185</v>
      </c>
      <c r="U578" t="s">
        <v>108</v>
      </c>
      <c r="V578" t="s">
        <v>934</v>
      </c>
      <c r="W578" t="s">
        <v>424</v>
      </c>
      <c r="X578" t="s">
        <v>468</v>
      </c>
    </row>
    <row r="579" spans="8:24" x14ac:dyDescent="0.45">
      <c r="H579" t="s">
        <v>262</v>
      </c>
      <c r="I579" t="s">
        <v>351</v>
      </c>
      <c r="J579">
        <v>4.57100684691238E-4</v>
      </c>
      <c r="K579" t="s">
        <v>185</v>
      </c>
      <c r="U579" t="s">
        <v>108</v>
      </c>
      <c r="V579" t="s">
        <v>935</v>
      </c>
      <c r="W579" t="s">
        <v>424</v>
      </c>
      <c r="X579" t="s">
        <v>468</v>
      </c>
    </row>
    <row r="580" spans="8:24" x14ac:dyDescent="0.45">
      <c r="H580" t="s">
        <v>263</v>
      </c>
      <c r="I580" t="s">
        <v>351</v>
      </c>
      <c r="J580">
        <v>3.638467168589881E-2</v>
      </c>
      <c r="K580" t="s">
        <v>185</v>
      </c>
      <c r="U580" t="s">
        <v>108</v>
      </c>
      <c r="V580" t="s">
        <v>936</v>
      </c>
      <c r="W580" t="s">
        <v>424</v>
      </c>
      <c r="X580" t="s">
        <v>468</v>
      </c>
    </row>
    <row r="581" spans="8:24" x14ac:dyDescent="0.45">
      <c r="H581" t="s">
        <v>264</v>
      </c>
      <c r="I581" t="s">
        <v>351</v>
      </c>
      <c r="J581">
        <v>3.9008737604931371E-2</v>
      </c>
      <c r="K581" t="s">
        <v>185</v>
      </c>
      <c r="U581" t="s">
        <v>108</v>
      </c>
      <c r="V581" t="s">
        <v>937</v>
      </c>
      <c r="W581" t="s">
        <v>424</v>
      </c>
      <c r="X581" t="s">
        <v>468</v>
      </c>
    </row>
    <row r="582" spans="8:24" x14ac:dyDescent="0.45">
      <c r="H582" t="s">
        <v>265</v>
      </c>
      <c r="I582" t="s">
        <v>351</v>
      </c>
      <c r="J582">
        <v>2.9640117439892821E-2</v>
      </c>
      <c r="K582" t="s">
        <v>185</v>
      </c>
      <c r="U582" t="s">
        <v>108</v>
      </c>
      <c r="V582" t="s">
        <v>938</v>
      </c>
      <c r="W582" t="s">
        <v>424</v>
      </c>
      <c r="X582" t="s">
        <v>468</v>
      </c>
    </row>
    <row r="583" spans="8:24" x14ac:dyDescent="0.45">
      <c r="H583" t="s">
        <v>266</v>
      </c>
      <c r="I583" t="s">
        <v>351</v>
      </c>
      <c r="J583">
        <v>5.3661441500019924E-3</v>
      </c>
      <c r="K583" t="s">
        <v>185</v>
      </c>
      <c r="U583" t="s">
        <v>108</v>
      </c>
      <c r="V583" t="s">
        <v>939</v>
      </c>
      <c r="W583" t="s">
        <v>424</v>
      </c>
      <c r="X583" t="s">
        <v>468</v>
      </c>
    </row>
    <row r="584" spans="8:24" x14ac:dyDescent="0.45">
      <c r="H584" t="s">
        <v>267</v>
      </c>
      <c r="I584" t="s">
        <v>351</v>
      </c>
      <c r="J584">
        <v>3.1840356448714097E-3</v>
      </c>
      <c r="K584" t="s">
        <v>185</v>
      </c>
      <c r="U584" t="s">
        <v>108</v>
      </c>
      <c r="V584" t="s">
        <v>940</v>
      </c>
      <c r="W584" t="s">
        <v>424</v>
      </c>
      <c r="X584" t="s">
        <v>468</v>
      </c>
    </row>
    <row r="585" spans="8:24" x14ac:dyDescent="0.45">
      <c r="H585" t="s">
        <v>268</v>
      </c>
      <c r="I585" t="s">
        <v>351</v>
      </c>
      <c r="J585">
        <v>3.1388002753095943E-3</v>
      </c>
      <c r="K585" t="s">
        <v>185</v>
      </c>
      <c r="U585" t="s">
        <v>108</v>
      </c>
      <c r="V585" t="s">
        <v>941</v>
      </c>
      <c r="W585" t="s">
        <v>424</v>
      </c>
      <c r="X585" t="s">
        <v>468</v>
      </c>
    </row>
    <row r="586" spans="8:24" x14ac:dyDescent="0.45">
      <c r="H586" t="s">
        <v>360</v>
      </c>
      <c r="I586" t="s">
        <v>351</v>
      </c>
      <c r="J586">
        <v>3.63291970276718E-3</v>
      </c>
      <c r="K586" t="s">
        <v>185</v>
      </c>
      <c r="U586" t="s">
        <v>108</v>
      </c>
      <c r="V586" t="s">
        <v>942</v>
      </c>
      <c r="W586" t="s">
        <v>424</v>
      </c>
      <c r="X586" t="s">
        <v>468</v>
      </c>
    </row>
    <row r="587" spans="8:24" x14ac:dyDescent="0.45">
      <c r="H587" t="s">
        <v>361</v>
      </c>
      <c r="I587" t="s">
        <v>351</v>
      </c>
      <c r="J587">
        <v>1.239547090140968E-3</v>
      </c>
      <c r="K587" t="s">
        <v>185</v>
      </c>
      <c r="U587" t="s">
        <v>108</v>
      </c>
      <c r="V587" t="s">
        <v>942</v>
      </c>
      <c r="W587" t="s">
        <v>943</v>
      </c>
      <c r="X587" t="s">
        <v>468</v>
      </c>
    </row>
    <row r="588" spans="8:24" x14ac:dyDescent="0.45">
      <c r="H588" t="s">
        <v>362</v>
      </c>
      <c r="I588" t="s">
        <v>351</v>
      </c>
      <c r="J588">
        <v>7.7685859325501469E-2</v>
      </c>
      <c r="K588" t="s">
        <v>185</v>
      </c>
      <c r="U588" t="s">
        <v>108</v>
      </c>
      <c r="V588" t="s">
        <v>944</v>
      </c>
      <c r="W588" t="s">
        <v>424</v>
      </c>
      <c r="X588" t="s">
        <v>468</v>
      </c>
    </row>
    <row r="589" spans="8:24" x14ac:dyDescent="0.45">
      <c r="H589" t="s">
        <v>363</v>
      </c>
      <c r="I589" t="s">
        <v>351</v>
      </c>
      <c r="J589">
        <v>4.03265986659214E-4</v>
      </c>
      <c r="K589" t="s">
        <v>185</v>
      </c>
      <c r="U589" t="s">
        <v>108</v>
      </c>
      <c r="V589" t="s">
        <v>944</v>
      </c>
      <c r="W589" t="s">
        <v>943</v>
      </c>
      <c r="X589" t="s">
        <v>468</v>
      </c>
    </row>
    <row r="590" spans="8:24" x14ac:dyDescent="0.45">
      <c r="H590" t="s">
        <v>364</v>
      </c>
      <c r="I590" t="s">
        <v>351</v>
      </c>
      <c r="J590">
        <v>3.282504331299368E-3</v>
      </c>
      <c r="K590" t="s">
        <v>185</v>
      </c>
      <c r="U590" t="s">
        <v>108</v>
      </c>
      <c r="V590" t="s">
        <v>945</v>
      </c>
      <c r="W590" t="s">
        <v>424</v>
      </c>
      <c r="X590" t="s">
        <v>468</v>
      </c>
    </row>
    <row r="591" spans="8:24" x14ac:dyDescent="0.45">
      <c r="H591" t="s">
        <v>365</v>
      </c>
      <c r="I591" t="s">
        <v>351</v>
      </c>
      <c r="J591">
        <v>3.3072952731022539E-3</v>
      </c>
      <c r="K591" t="s">
        <v>185</v>
      </c>
      <c r="U591" t="s">
        <v>108</v>
      </c>
      <c r="V591" t="s">
        <v>945</v>
      </c>
      <c r="W591" t="s">
        <v>943</v>
      </c>
      <c r="X591" t="s">
        <v>468</v>
      </c>
    </row>
    <row r="592" spans="8:24" x14ac:dyDescent="0.45">
      <c r="H592" t="s">
        <v>366</v>
      </c>
      <c r="I592" t="s">
        <v>351</v>
      </c>
      <c r="J592">
        <v>5.7083209412812468E-2</v>
      </c>
      <c r="K592" t="s">
        <v>185</v>
      </c>
      <c r="U592" t="s">
        <v>108</v>
      </c>
      <c r="V592" t="s">
        <v>946</v>
      </c>
      <c r="W592" t="s">
        <v>943</v>
      </c>
      <c r="X592" t="s">
        <v>468</v>
      </c>
    </row>
    <row r="593" spans="8:24" x14ac:dyDescent="0.45">
      <c r="H593" t="s">
        <v>367</v>
      </c>
      <c r="I593" t="s">
        <v>351</v>
      </c>
      <c r="J593">
        <v>8.1564723534613262E-2</v>
      </c>
      <c r="K593" t="s">
        <v>185</v>
      </c>
      <c r="U593" t="s">
        <v>108</v>
      </c>
      <c r="V593" t="s">
        <v>947</v>
      </c>
      <c r="W593" t="s">
        <v>943</v>
      </c>
      <c r="X593" t="s">
        <v>468</v>
      </c>
    </row>
    <row r="594" spans="8:24" x14ac:dyDescent="0.45">
      <c r="H594" t="s">
        <v>269</v>
      </c>
      <c r="I594" t="s">
        <v>351</v>
      </c>
      <c r="J594">
        <v>7.2356368840150787E-2</v>
      </c>
      <c r="K594" t="s">
        <v>185</v>
      </c>
      <c r="U594" t="s">
        <v>108</v>
      </c>
      <c r="V594" t="s">
        <v>948</v>
      </c>
      <c r="W594" t="s">
        <v>943</v>
      </c>
      <c r="X594" t="s">
        <v>468</v>
      </c>
    </row>
    <row r="595" spans="8:24" x14ac:dyDescent="0.45">
      <c r="H595" t="s">
        <v>270</v>
      </c>
      <c r="I595" t="s">
        <v>351</v>
      </c>
      <c r="J595">
        <v>8.4156827324751604E-2</v>
      </c>
      <c r="K595" t="s">
        <v>185</v>
      </c>
      <c r="U595" t="s">
        <v>108</v>
      </c>
      <c r="V595" t="s">
        <v>948</v>
      </c>
      <c r="W595" t="s">
        <v>424</v>
      </c>
      <c r="X595" t="s">
        <v>403</v>
      </c>
    </row>
    <row r="596" spans="8:24" x14ac:dyDescent="0.45">
      <c r="H596" t="s">
        <v>271</v>
      </c>
      <c r="I596" t="s">
        <v>351</v>
      </c>
      <c r="J596">
        <v>3.4241063041388013E-2</v>
      </c>
      <c r="K596" t="s">
        <v>185</v>
      </c>
      <c r="U596" t="s">
        <v>108</v>
      </c>
      <c r="V596" t="s">
        <v>949</v>
      </c>
      <c r="W596" t="s">
        <v>943</v>
      </c>
      <c r="X596" t="s">
        <v>468</v>
      </c>
    </row>
    <row r="597" spans="8:24" x14ac:dyDescent="0.45">
      <c r="H597" t="s">
        <v>272</v>
      </c>
      <c r="I597" t="s">
        <v>351</v>
      </c>
      <c r="J597">
        <v>0.12224366207243494</v>
      </c>
      <c r="K597" t="s">
        <v>185</v>
      </c>
      <c r="U597" t="s">
        <v>108</v>
      </c>
      <c r="V597" t="s">
        <v>949</v>
      </c>
      <c r="W597" t="s">
        <v>424</v>
      </c>
      <c r="X597" t="s">
        <v>403</v>
      </c>
    </row>
    <row r="598" spans="8:24" x14ac:dyDescent="0.45">
      <c r="H598" t="s">
        <v>273</v>
      </c>
      <c r="I598" t="s">
        <v>351</v>
      </c>
      <c r="J598">
        <v>4.2693333549794618E-3</v>
      </c>
      <c r="K598" t="s">
        <v>185</v>
      </c>
      <c r="U598" t="s">
        <v>108</v>
      </c>
      <c r="V598" t="s">
        <v>950</v>
      </c>
      <c r="W598" t="s">
        <v>951</v>
      </c>
      <c r="X598" t="s">
        <v>468</v>
      </c>
    </row>
    <row r="599" spans="8:24" x14ac:dyDescent="0.45">
      <c r="H599" t="s">
        <v>274</v>
      </c>
      <c r="I599" t="s">
        <v>351</v>
      </c>
      <c r="J599">
        <v>2.1104374873763998E-3</v>
      </c>
      <c r="K599" t="s">
        <v>185</v>
      </c>
      <c r="U599" t="s">
        <v>108</v>
      </c>
      <c r="V599" t="s">
        <v>952</v>
      </c>
      <c r="W599" t="s">
        <v>951</v>
      </c>
      <c r="X599" t="s">
        <v>468</v>
      </c>
    </row>
    <row r="600" spans="8:24" x14ac:dyDescent="0.45">
      <c r="H600" t="s">
        <v>275</v>
      </c>
      <c r="I600" t="s">
        <v>351</v>
      </c>
      <c r="J600">
        <v>3.774117961905998E-3</v>
      </c>
      <c r="K600" t="s">
        <v>185</v>
      </c>
      <c r="U600" t="s">
        <v>108</v>
      </c>
      <c r="V600" t="s">
        <v>953</v>
      </c>
      <c r="W600" t="s">
        <v>951</v>
      </c>
      <c r="X600" t="s">
        <v>468</v>
      </c>
    </row>
    <row r="601" spans="8:24" x14ac:dyDescent="0.45">
      <c r="H601" t="s">
        <v>276</v>
      </c>
      <c r="I601" t="s">
        <v>351</v>
      </c>
      <c r="J601">
        <v>1.9680967084938817E-5</v>
      </c>
      <c r="K601" t="s">
        <v>185</v>
      </c>
      <c r="U601" t="s">
        <v>108</v>
      </c>
      <c r="V601" t="s">
        <v>954</v>
      </c>
      <c r="W601" t="s">
        <v>951</v>
      </c>
      <c r="X601" t="s">
        <v>468</v>
      </c>
    </row>
    <row r="602" spans="8:24" x14ac:dyDescent="0.45">
      <c r="H602" t="s">
        <v>277</v>
      </c>
      <c r="I602" t="s">
        <v>351</v>
      </c>
      <c r="J602">
        <v>7.1489276402681486E-3</v>
      </c>
      <c r="K602" t="s">
        <v>185</v>
      </c>
      <c r="U602" t="s">
        <v>108</v>
      </c>
      <c r="V602" t="s">
        <v>955</v>
      </c>
      <c r="W602" t="s">
        <v>951</v>
      </c>
      <c r="X602" t="s">
        <v>468</v>
      </c>
    </row>
    <row r="603" spans="8:24" x14ac:dyDescent="0.45">
      <c r="H603" t="s">
        <v>278</v>
      </c>
      <c r="I603" t="s">
        <v>351</v>
      </c>
      <c r="J603">
        <v>1.3636649659583637E-2</v>
      </c>
      <c r="K603" t="s">
        <v>185</v>
      </c>
      <c r="U603" t="s">
        <v>108</v>
      </c>
      <c r="V603" t="s">
        <v>956</v>
      </c>
      <c r="W603" t="s">
        <v>951</v>
      </c>
      <c r="X603" t="s">
        <v>468</v>
      </c>
    </row>
    <row r="604" spans="8:24" x14ac:dyDescent="0.45">
      <c r="H604" t="s">
        <v>279</v>
      </c>
      <c r="I604" t="s">
        <v>351</v>
      </c>
      <c r="J604">
        <v>6.8863001514679403E-3</v>
      </c>
      <c r="K604" t="s">
        <v>185</v>
      </c>
      <c r="U604" t="s">
        <v>108</v>
      </c>
      <c r="V604" t="s">
        <v>957</v>
      </c>
      <c r="W604" t="s">
        <v>951</v>
      </c>
      <c r="X604" t="s">
        <v>468</v>
      </c>
    </row>
    <row r="605" spans="8:24" x14ac:dyDescent="0.45">
      <c r="H605" t="s">
        <v>280</v>
      </c>
      <c r="I605" t="s">
        <v>351</v>
      </c>
      <c r="J605">
        <v>4.6975059633129598E-4</v>
      </c>
      <c r="K605" t="s">
        <v>185</v>
      </c>
      <c r="U605" t="s">
        <v>108</v>
      </c>
      <c r="V605" t="s">
        <v>958</v>
      </c>
      <c r="W605" t="s">
        <v>951</v>
      </c>
      <c r="X605" t="s">
        <v>468</v>
      </c>
    </row>
    <row r="606" spans="8:24" x14ac:dyDescent="0.45">
      <c r="H606" t="s">
        <v>281</v>
      </c>
      <c r="I606" t="s">
        <v>351</v>
      </c>
      <c r="J606">
        <v>2.7810087980815979E-3</v>
      </c>
      <c r="K606" t="s">
        <v>185</v>
      </c>
      <c r="U606" t="s">
        <v>108</v>
      </c>
      <c r="V606" t="s">
        <v>959</v>
      </c>
      <c r="W606" t="s">
        <v>951</v>
      </c>
      <c r="X606" t="s">
        <v>468</v>
      </c>
    </row>
    <row r="607" spans="8:24" x14ac:dyDescent="0.45">
      <c r="H607" t="s">
        <v>282</v>
      </c>
      <c r="I607" t="s">
        <v>351</v>
      </c>
      <c r="J607">
        <v>2.3815682848889803E-2</v>
      </c>
      <c r="K607" t="s">
        <v>185</v>
      </c>
      <c r="U607" t="s">
        <v>108</v>
      </c>
      <c r="V607" t="s">
        <v>960</v>
      </c>
      <c r="W607" t="s">
        <v>951</v>
      </c>
      <c r="X607" t="s">
        <v>468</v>
      </c>
    </row>
    <row r="608" spans="8:24" x14ac:dyDescent="0.45">
      <c r="H608" t="s">
        <v>283</v>
      </c>
      <c r="I608" t="s">
        <v>351</v>
      </c>
      <c r="J608">
        <v>1.8570488937241221E-3</v>
      </c>
      <c r="K608" t="s">
        <v>185</v>
      </c>
      <c r="U608" t="s">
        <v>108</v>
      </c>
      <c r="V608" t="s">
        <v>961</v>
      </c>
      <c r="W608" t="s">
        <v>951</v>
      </c>
      <c r="X608" t="s">
        <v>468</v>
      </c>
    </row>
    <row r="609" spans="8:24" x14ac:dyDescent="0.45">
      <c r="H609" t="s">
        <v>284</v>
      </c>
      <c r="I609" t="s">
        <v>351</v>
      </c>
      <c r="J609">
        <v>1.3368390661849285E-2</v>
      </c>
      <c r="K609" t="s">
        <v>185</v>
      </c>
      <c r="U609" t="s">
        <v>108</v>
      </c>
      <c r="V609" t="s">
        <v>961</v>
      </c>
      <c r="W609" t="s">
        <v>962</v>
      </c>
      <c r="X609" t="s">
        <v>468</v>
      </c>
    </row>
    <row r="610" spans="8:24" x14ac:dyDescent="0.45">
      <c r="H610" t="s">
        <v>285</v>
      </c>
      <c r="I610" t="s">
        <v>351</v>
      </c>
      <c r="J610">
        <v>1.2827010403010581E-3</v>
      </c>
      <c r="K610" t="s">
        <v>185</v>
      </c>
      <c r="U610" t="s">
        <v>108</v>
      </c>
      <c r="V610" t="s">
        <v>963</v>
      </c>
      <c r="W610" t="s">
        <v>951</v>
      </c>
      <c r="X610" t="s">
        <v>468</v>
      </c>
    </row>
    <row r="611" spans="8:24" x14ac:dyDescent="0.45">
      <c r="H611" t="s">
        <v>286</v>
      </c>
      <c r="I611" t="s">
        <v>351</v>
      </c>
      <c r="J611">
        <v>2.6531828179476687E-2</v>
      </c>
      <c r="K611" t="s">
        <v>185</v>
      </c>
      <c r="U611" t="s">
        <v>108</v>
      </c>
      <c r="V611" t="s">
        <v>963</v>
      </c>
      <c r="W611" t="s">
        <v>962</v>
      </c>
      <c r="X611" t="s">
        <v>468</v>
      </c>
    </row>
    <row r="612" spans="8:24" x14ac:dyDescent="0.45">
      <c r="H612" t="s">
        <v>287</v>
      </c>
      <c r="I612" t="s">
        <v>351</v>
      </c>
      <c r="J612">
        <v>8.0902938632406807E-4</v>
      </c>
      <c r="K612" t="s">
        <v>185</v>
      </c>
      <c r="U612" t="s">
        <v>108</v>
      </c>
      <c r="V612" t="s">
        <v>964</v>
      </c>
      <c r="W612" t="s">
        <v>951</v>
      </c>
      <c r="X612" t="s">
        <v>468</v>
      </c>
    </row>
    <row r="613" spans="8:24" x14ac:dyDescent="0.45">
      <c r="H613" t="s">
        <v>288</v>
      </c>
      <c r="I613" t="s">
        <v>351</v>
      </c>
      <c r="J613">
        <v>1.7078430779507579E-3</v>
      </c>
      <c r="K613" t="s">
        <v>185</v>
      </c>
      <c r="U613" t="s">
        <v>108</v>
      </c>
      <c r="V613" t="s">
        <v>964</v>
      </c>
      <c r="W613" t="s">
        <v>962</v>
      </c>
      <c r="X613" t="s">
        <v>468</v>
      </c>
    </row>
    <row r="614" spans="8:24" x14ac:dyDescent="0.45">
      <c r="H614" t="s">
        <v>289</v>
      </c>
      <c r="I614" t="s">
        <v>351</v>
      </c>
      <c r="J614">
        <v>3.0343487662146906E-2</v>
      </c>
      <c r="K614" t="s">
        <v>185</v>
      </c>
      <c r="U614" t="s">
        <v>108</v>
      </c>
      <c r="V614" t="s">
        <v>965</v>
      </c>
      <c r="W614" t="s">
        <v>962</v>
      </c>
      <c r="X614" t="s">
        <v>468</v>
      </c>
    </row>
    <row r="615" spans="8:24" x14ac:dyDescent="0.45">
      <c r="H615" t="s">
        <v>290</v>
      </c>
      <c r="I615" t="s">
        <v>351</v>
      </c>
      <c r="J615">
        <v>2.2348380828115578E-3</v>
      </c>
      <c r="K615" t="s">
        <v>185</v>
      </c>
      <c r="U615" t="s">
        <v>108</v>
      </c>
      <c r="V615" t="s">
        <v>966</v>
      </c>
      <c r="W615" t="s">
        <v>962</v>
      </c>
      <c r="X615" t="s">
        <v>468</v>
      </c>
    </row>
    <row r="616" spans="8:24" x14ac:dyDescent="0.45">
      <c r="H616" t="s">
        <v>291</v>
      </c>
      <c r="I616" t="s">
        <v>351</v>
      </c>
      <c r="J616">
        <v>4.5572035656239705E-2</v>
      </c>
      <c r="K616" t="s">
        <v>185</v>
      </c>
      <c r="U616" t="s">
        <v>108</v>
      </c>
      <c r="V616" t="s">
        <v>967</v>
      </c>
      <c r="W616" t="s">
        <v>962</v>
      </c>
      <c r="X616" t="s">
        <v>468</v>
      </c>
    </row>
    <row r="617" spans="8:24" x14ac:dyDescent="0.45">
      <c r="H617" t="s">
        <v>292</v>
      </c>
      <c r="I617" t="s">
        <v>351</v>
      </c>
      <c r="J617">
        <v>3.8927670541745018E-3</v>
      </c>
      <c r="K617" t="s">
        <v>185</v>
      </c>
      <c r="U617" t="s">
        <v>108</v>
      </c>
      <c r="V617" t="s">
        <v>967</v>
      </c>
      <c r="W617" t="s">
        <v>951</v>
      </c>
      <c r="X617" t="s">
        <v>403</v>
      </c>
    </row>
    <row r="618" spans="8:24" x14ac:dyDescent="0.45">
      <c r="H618" t="s">
        <v>293</v>
      </c>
      <c r="I618" t="s">
        <v>351</v>
      </c>
      <c r="J618">
        <v>2.6029354280225268E-2</v>
      </c>
      <c r="K618" t="s">
        <v>185</v>
      </c>
      <c r="U618" t="s">
        <v>108</v>
      </c>
      <c r="V618" t="s">
        <v>968</v>
      </c>
      <c r="W618" t="s">
        <v>962</v>
      </c>
      <c r="X618" t="s">
        <v>468</v>
      </c>
    </row>
    <row r="619" spans="8:24" x14ac:dyDescent="0.45">
      <c r="H619" t="s">
        <v>294</v>
      </c>
      <c r="I619" t="s">
        <v>351</v>
      </c>
      <c r="J619">
        <v>7.5213552709157798E-4</v>
      </c>
      <c r="K619" t="s">
        <v>185</v>
      </c>
      <c r="U619" t="s">
        <v>108</v>
      </c>
      <c r="V619" t="s">
        <v>968</v>
      </c>
      <c r="W619" t="s">
        <v>951</v>
      </c>
      <c r="X619" t="s">
        <v>403</v>
      </c>
    </row>
    <row r="620" spans="8:24" x14ac:dyDescent="0.45">
      <c r="H620" t="s">
        <v>295</v>
      </c>
      <c r="I620" t="s">
        <v>351</v>
      </c>
      <c r="J620">
        <v>7.65732712562244E-4</v>
      </c>
      <c r="K620" t="s">
        <v>185</v>
      </c>
      <c r="U620" t="s">
        <v>108</v>
      </c>
      <c r="V620" t="s">
        <v>969</v>
      </c>
      <c r="W620" t="s">
        <v>970</v>
      </c>
      <c r="X620" t="s">
        <v>468</v>
      </c>
    </row>
    <row r="621" spans="8:24" x14ac:dyDescent="0.45">
      <c r="H621" t="s">
        <v>296</v>
      </c>
      <c r="I621" t="s">
        <v>351</v>
      </c>
      <c r="J621">
        <v>3.8391786308438641E-3</v>
      </c>
      <c r="K621" t="s">
        <v>185</v>
      </c>
      <c r="U621" t="s">
        <v>108</v>
      </c>
      <c r="V621" t="s">
        <v>971</v>
      </c>
      <c r="W621" t="s">
        <v>970</v>
      </c>
      <c r="X621" t="s">
        <v>468</v>
      </c>
    </row>
    <row r="622" spans="8:24" x14ac:dyDescent="0.45">
      <c r="H622" t="s">
        <v>297</v>
      </c>
      <c r="I622" t="s">
        <v>351</v>
      </c>
      <c r="J622">
        <v>4.6144482912273193E-3</v>
      </c>
      <c r="K622" t="s">
        <v>185</v>
      </c>
      <c r="U622" t="s">
        <v>108</v>
      </c>
      <c r="V622" t="s">
        <v>972</v>
      </c>
      <c r="W622" t="s">
        <v>970</v>
      </c>
      <c r="X622" t="s">
        <v>468</v>
      </c>
    </row>
    <row r="623" spans="8:24" x14ac:dyDescent="0.45">
      <c r="H623" t="s">
        <v>298</v>
      </c>
      <c r="I623" t="s">
        <v>351</v>
      </c>
      <c r="J623">
        <v>2.8346748248708427E-2</v>
      </c>
      <c r="K623" t="s">
        <v>185</v>
      </c>
      <c r="U623" t="s">
        <v>108</v>
      </c>
      <c r="V623" t="s">
        <v>973</v>
      </c>
      <c r="W623" t="s">
        <v>970</v>
      </c>
      <c r="X623" t="s">
        <v>468</v>
      </c>
    </row>
    <row r="624" spans="8:24" x14ac:dyDescent="0.45">
      <c r="H624" t="s">
        <v>299</v>
      </c>
      <c r="I624" t="s">
        <v>351</v>
      </c>
      <c r="J624">
        <v>3.5092155832129337E-3</v>
      </c>
      <c r="K624" t="s">
        <v>185</v>
      </c>
      <c r="U624" t="s">
        <v>108</v>
      </c>
      <c r="V624" t="s">
        <v>974</v>
      </c>
      <c r="W624" t="s">
        <v>970</v>
      </c>
      <c r="X624" t="s">
        <v>468</v>
      </c>
    </row>
    <row r="625" spans="8:24" x14ac:dyDescent="0.45">
      <c r="H625" t="s">
        <v>300</v>
      </c>
      <c r="I625" t="s">
        <v>351</v>
      </c>
      <c r="J625">
        <v>7.9052382127669154E-3</v>
      </c>
      <c r="K625" t="s">
        <v>185</v>
      </c>
      <c r="U625" t="s">
        <v>108</v>
      </c>
      <c r="V625" t="s">
        <v>975</v>
      </c>
      <c r="W625" t="s">
        <v>970</v>
      </c>
      <c r="X625" t="s">
        <v>468</v>
      </c>
    </row>
    <row r="626" spans="8:24" x14ac:dyDescent="0.45">
      <c r="H626" t="s">
        <v>301</v>
      </c>
      <c r="I626" t="s">
        <v>351</v>
      </c>
      <c r="J626">
        <v>4.955999362361474E-2</v>
      </c>
      <c r="K626" t="s">
        <v>185</v>
      </c>
      <c r="U626" t="s">
        <v>108</v>
      </c>
      <c r="V626" t="s">
        <v>976</v>
      </c>
      <c r="W626" t="s">
        <v>970</v>
      </c>
      <c r="X626" t="s">
        <v>468</v>
      </c>
    </row>
    <row r="627" spans="8:24" x14ac:dyDescent="0.45">
      <c r="H627" t="s">
        <v>302</v>
      </c>
      <c r="I627" t="s">
        <v>351</v>
      </c>
      <c r="J627">
        <v>3.7892423075579522E-3</v>
      </c>
      <c r="K627" t="s">
        <v>185</v>
      </c>
      <c r="U627" t="s">
        <v>108</v>
      </c>
      <c r="V627" t="s">
        <v>977</v>
      </c>
      <c r="W627" t="s">
        <v>970</v>
      </c>
      <c r="X627" t="s">
        <v>468</v>
      </c>
    </row>
    <row r="628" spans="8:24" x14ac:dyDescent="0.45">
      <c r="H628" t="s">
        <v>303</v>
      </c>
      <c r="I628" t="s">
        <v>351</v>
      </c>
      <c r="J628">
        <v>4.57100684691238E-4</v>
      </c>
      <c r="K628" t="s">
        <v>185</v>
      </c>
      <c r="U628" t="s">
        <v>108</v>
      </c>
      <c r="V628" t="s">
        <v>978</v>
      </c>
      <c r="W628" t="s">
        <v>970</v>
      </c>
      <c r="X628" t="s">
        <v>468</v>
      </c>
    </row>
    <row r="629" spans="8:24" x14ac:dyDescent="0.45">
      <c r="H629" t="s">
        <v>304</v>
      </c>
      <c r="I629" t="s">
        <v>351</v>
      </c>
      <c r="J629">
        <v>3.638467168589881E-2</v>
      </c>
      <c r="K629" t="s">
        <v>185</v>
      </c>
      <c r="U629" t="s">
        <v>108</v>
      </c>
      <c r="V629" t="s">
        <v>979</v>
      </c>
      <c r="W629" t="s">
        <v>970</v>
      </c>
      <c r="X629" t="s">
        <v>468</v>
      </c>
    </row>
    <row r="630" spans="8:24" x14ac:dyDescent="0.45">
      <c r="H630" t="s">
        <v>305</v>
      </c>
      <c r="I630" t="s">
        <v>351</v>
      </c>
      <c r="J630">
        <v>3.9008737604931371E-2</v>
      </c>
      <c r="K630" t="s">
        <v>185</v>
      </c>
      <c r="U630" t="s">
        <v>108</v>
      </c>
      <c r="V630" t="s">
        <v>980</v>
      </c>
      <c r="W630" t="s">
        <v>970</v>
      </c>
      <c r="X630" t="s">
        <v>468</v>
      </c>
    </row>
    <row r="631" spans="8:24" x14ac:dyDescent="0.45">
      <c r="H631" t="s">
        <v>306</v>
      </c>
      <c r="I631" t="s">
        <v>351</v>
      </c>
      <c r="J631">
        <v>2.9640117439892821E-2</v>
      </c>
      <c r="K631" t="s">
        <v>185</v>
      </c>
      <c r="U631" t="s">
        <v>108</v>
      </c>
      <c r="V631" t="s">
        <v>980</v>
      </c>
      <c r="W631" t="s">
        <v>460</v>
      </c>
      <c r="X631" t="s">
        <v>468</v>
      </c>
    </row>
    <row r="632" spans="8:24" x14ac:dyDescent="0.45">
      <c r="H632" t="s">
        <v>307</v>
      </c>
      <c r="I632" t="s">
        <v>351</v>
      </c>
      <c r="J632">
        <v>5.3661441500019924E-3</v>
      </c>
      <c r="K632" t="s">
        <v>185</v>
      </c>
      <c r="U632" t="s">
        <v>108</v>
      </c>
      <c r="V632" t="s">
        <v>981</v>
      </c>
      <c r="W632" t="s">
        <v>970</v>
      </c>
      <c r="X632" t="s">
        <v>468</v>
      </c>
    </row>
    <row r="633" spans="8:24" x14ac:dyDescent="0.45">
      <c r="H633" t="s">
        <v>308</v>
      </c>
      <c r="I633" t="s">
        <v>351</v>
      </c>
      <c r="J633">
        <v>3.1840356448714097E-3</v>
      </c>
      <c r="K633" t="s">
        <v>185</v>
      </c>
      <c r="U633" t="s">
        <v>108</v>
      </c>
      <c r="V633" t="s">
        <v>981</v>
      </c>
      <c r="W633" t="s">
        <v>460</v>
      </c>
      <c r="X633" t="s">
        <v>468</v>
      </c>
    </row>
    <row r="634" spans="8:24" x14ac:dyDescent="0.45">
      <c r="H634" t="s">
        <v>309</v>
      </c>
      <c r="I634" t="s">
        <v>351</v>
      </c>
      <c r="J634">
        <v>3.1388002753095943E-3</v>
      </c>
      <c r="K634" t="s">
        <v>185</v>
      </c>
      <c r="U634" t="s">
        <v>108</v>
      </c>
      <c r="V634" t="s">
        <v>982</v>
      </c>
      <c r="W634" t="s">
        <v>970</v>
      </c>
      <c r="X634" t="s">
        <v>468</v>
      </c>
    </row>
    <row r="635" spans="8:24" x14ac:dyDescent="0.45">
      <c r="H635" t="s">
        <v>368</v>
      </c>
      <c r="I635" t="s">
        <v>351</v>
      </c>
      <c r="J635">
        <v>3.63291970276718E-3</v>
      </c>
      <c r="K635" t="s">
        <v>185</v>
      </c>
      <c r="U635" t="s">
        <v>108</v>
      </c>
      <c r="V635" t="s">
        <v>982</v>
      </c>
      <c r="W635" t="s">
        <v>460</v>
      </c>
      <c r="X635" t="s">
        <v>468</v>
      </c>
    </row>
    <row r="636" spans="8:24" x14ac:dyDescent="0.45">
      <c r="H636" t="s">
        <v>369</v>
      </c>
      <c r="I636" t="s">
        <v>351</v>
      </c>
      <c r="J636">
        <v>1.239547090140968E-3</v>
      </c>
      <c r="K636" t="s">
        <v>185</v>
      </c>
      <c r="U636" t="s">
        <v>108</v>
      </c>
      <c r="V636" t="s">
        <v>983</v>
      </c>
      <c r="W636" t="s">
        <v>460</v>
      </c>
      <c r="X636" t="s">
        <v>468</v>
      </c>
    </row>
    <row r="637" spans="8:24" x14ac:dyDescent="0.45">
      <c r="H637" t="s">
        <v>370</v>
      </c>
      <c r="I637" t="s">
        <v>351</v>
      </c>
      <c r="J637">
        <v>7.7685859325501469E-2</v>
      </c>
      <c r="K637" t="s">
        <v>185</v>
      </c>
      <c r="U637" t="s">
        <v>108</v>
      </c>
      <c r="V637" t="s">
        <v>984</v>
      </c>
      <c r="W637" t="s">
        <v>460</v>
      </c>
      <c r="X637" t="s">
        <v>468</v>
      </c>
    </row>
    <row r="638" spans="8:24" x14ac:dyDescent="0.45">
      <c r="H638" t="s">
        <v>371</v>
      </c>
      <c r="I638" t="s">
        <v>351</v>
      </c>
      <c r="J638">
        <v>4.03265986659214E-4</v>
      </c>
      <c r="K638" t="s">
        <v>185</v>
      </c>
      <c r="U638" t="s">
        <v>108</v>
      </c>
      <c r="V638" t="s">
        <v>985</v>
      </c>
      <c r="W638" t="s">
        <v>460</v>
      </c>
      <c r="X638" t="s">
        <v>468</v>
      </c>
    </row>
    <row r="639" spans="8:24" x14ac:dyDescent="0.45">
      <c r="H639" t="s">
        <v>372</v>
      </c>
      <c r="I639" t="s">
        <v>351</v>
      </c>
      <c r="J639">
        <v>3.282504331299368E-3</v>
      </c>
      <c r="K639" t="s">
        <v>185</v>
      </c>
      <c r="U639" t="s">
        <v>108</v>
      </c>
      <c r="V639" t="s">
        <v>985</v>
      </c>
      <c r="W639" t="s">
        <v>970</v>
      </c>
      <c r="X639" t="s">
        <v>403</v>
      </c>
    </row>
    <row r="640" spans="8:24" x14ac:dyDescent="0.45">
      <c r="H640" t="s">
        <v>373</v>
      </c>
      <c r="I640" t="s">
        <v>351</v>
      </c>
      <c r="J640">
        <v>3.3072952731022539E-3</v>
      </c>
      <c r="K640" t="s">
        <v>185</v>
      </c>
      <c r="U640" t="s">
        <v>108</v>
      </c>
      <c r="V640" t="s">
        <v>986</v>
      </c>
      <c r="W640" t="s">
        <v>460</v>
      </c>
      <c r="X640" t="s">
        <v>468</v>
      </c>
    </row>
    <row r="641" spans="8:24" x14ac:dyDescent="0.45">
      <c r="H641" t="s">
        <v>374</v>
      </c>
      <c r="I641" t="s">
        <v>351</v>
      </c>
      <c r="J641">
        <v>5.7083209412812468E-2</v>
      </c>
      <c r="K641" t="s">
        <v>185</v>
      </c>
      <c r="U641" t="s">
        <v>108</v>
      </c>
      <c r="V641" t="s">
        <v>986</v>
      </c>
      <c r="W641" t="s">
        <v>970</v>
      </c>
      <c r="X641" t="s">
        <v>403</v>
      </c>
    </row>
    <row r="642" spans="8:24" x14ac:dyDescent="0.45">
      <c r="H642" t="s">
        <v>375</v>
      </c>
      <c r="I642" t="s">
        <v>351</v>
      </c>
      <c r="J642">
        <v>8.1564723534613262E-2</v>
      </c>
      <c r="K642" t="s">
        <v>185</v>
      </c>
      <c r="U642" t="s">
        <v>108</v>
      </c>
      <c r="V642" t="s">
        <v>987</v>
      </c>
      <c r="W642" t="s">
        <v>425</v>
      </c>
      <c r="X642" t="s">
        <v>468</v>
      </c>
    </row>
    <row r="643" spans="8:24" x14ac:dyDescent="0.45">
      <c r="H643" t="s">
        <v>310</v>
      </c>
      <c r="I643" t="s">
        <v>351</v>
      </c>
      <c r="J643">
        <v>7.2356368840150787E-2</v>
      </c>
      <c r="K643" t="s">
        <v>185</v>
      </c>
      <c r="U643" t="s">
        <v>108</v>
      </c>
      <c r="V643" t="s">
        <v>988</v>
      </c>
      <c r="W643" t="s">
        <v>425</v>
      </c>
      <c r="X643" t="s">
        <v>468</v>
      </c>
    </row>
    <row r="644" spans="8:24" x14ac:dyDescent="0.45">
      <c r="H644" t="s">
        <v>311</v>
      </c>
      <c r="I644" t="s">
        <v>351</v>
      </c>
      <c r="J644">
        <v>8.4156827324751604E-2</v>
      </c>
      <c r="K644" t="s">
        <v>185</v>
      </c>
      <c r="U644" t="s">
        <v>108</v>
      </c>
      <c r="V644" t="s">
        <v>989</v>
      </c>
      <c r="W644" t="s">
        <v>425</v>
      </c>
      <c r="X644" t="s">
        <v>468</v>
      </c>
    </row>
    <row r="645" spans="8:24" x14ac:dyDescent="0.45">
      <c r="H645" t="s">
        <v>312</v>
      </c>
      <c r="I645" t="s">
        <v>351</v>
      </c>
      <c r="J645">
        <v>3.4241063041388013E-2</v>
      </c>
      <c r="K645" t="s">
        <v>185</v>
      </c>
      <c r="U645" t="s">
        <v>108</v>
      </c>
      <c r="V645" t="s">
        <v>990</v>
      </c>
      <c r="W645" t="s">
        <v>425</v>
      </c>
      <c r="X645" t="s">
        <v>468</v>
      </c>
    </row>
    <row r="646" spans="8:24" x14ac:dyDescent="0.45">
      <c r="H646" t="s">
        <v>313</v>
      </c>
      <c r="I646" t="s">
        <v>351</v>
      </c>
      <c r="J646">
        <v>0.12224366207243494</v>
      </c>
      <c r="K646" t="s">
        <v>185</v>
      </c>
      <c r="U646" t="s">
        <v>108</v>
      </c>
      <c r="V646" t="s">
        <v>991</v>
      </c>
      <c r="W646" t="s">
        <v>425</v>
      </c>
      <c r="X646" t="s">
        <v>468</v>
      </c>
    </row>
    <row r="647" spans="8:24" x14ac:dyDescent="0.45">
      <c r="H647" t="s">
        <v>314</v>
      </c>
      <c r="I647" t="s">
        <v>351</v>
      </c>
      <c r="J647">
        <v>4.2693333549794618E-3</v>
      </c>
      <c r="K647" t="s">
        <v>185</v>
      </c>
      <c r="U647" t="s">
        <v>108</v>
      </c>
      <c r="V647" t="s">
        <v>992</v>
      </c>
      <c r="W647" t="s">
        <v>425</v>
      </c>
      <c r="X647" t="s">
        <v>468</v>
      </c>
    </row>
    <row r="648" spans="8:24" x14ac:dyDescent="0.45">
      <c r="H648" t="s">
        <v>315</v>
      </c>
      <c r="I648" t="s">
        <v>351</v>
      </c>
      <c r="J648">
        <v>2.1104374873763998E-3</v>
      </c>
      <c r="K648" t="s">
        <v>185</v>
      </c>
      <c r="U648" t="s">
        <v>108</v>
      </c>
      <c r="V648" t="s">
        <v>993</v>
      </c>
      <c r="W648" t="s">
        <v>425</v>
      </c>
      <c r="X648" t="s">
        <v>468</v>
      </c>
    </row>
    <row r="649" spans="8:24" x14ac:dyDescent="0.45">
      <c r="H649" t="s">
        <v>316</v>
      </c>
      <c r="I649" t="s">
        <v>351</v>
      </c>
      <c r="J649">
        <v>3.774117961905998E-3</v>
      </c>
      <c r="K649" t="s">
        <v>185</v>
      </c>
      <c r="U649" t="s">
        <v>108</v>
      </c>
      <c r="V649" t="s">
        <v>994</v>
      </c>
      <c r="W649" t="s">
        <v>425</v>
      </c>
      <c r="X649" t="s">
        <v>468</v>
      </c>
    </row>
    <row r="650" spans="8:24" x14ac:dyDescent="0.45">
      <c r="H650" t="s">
        <v>317</v>
      </c>
      <c r="I650" t="s">
        <v>351</v>
      </c>
      <c r="J650">
        <v>1.9680967084938817E-5</v>
      </c>
      <c r="K650" t="s">
        <v>185</v>
      </c>
      <c r="U650" t="s">
        <v>108</v>
      </c>
      <c r="V650" t="s">
        <v>995</v>
      </c>
      <c r="W650" t="s">
        <v>425</v>
      </c>
      <c r="X650" t="s">
        <v>468</v>
      </c>
    </row>
    <row r="651" spans="8:24" x14ac:dyDescent="0.45">
      <c r="H651" t="s">
        <v>318</v>
      </c>
      <c r="I651" t="s">
        <v>351</v>
      </c>
      <c r="J651">
        <v>7.1489276402681486E-3</v>
      </c>
      <c r="K651" t="s">
        <v>185</v>
      </c>
      <c r="U651" t="s">
        <v>108</v>
      </c>
      <c r="V651" t="s">
        <v>996</v>
      </c>
      <c r="W651" t="s">
        <v>425</v>
      </c>
      <c r="X651" t="s">
        <v>468</v>
      </c>
    </row>
    <row r="652" spans="8:24" x14ac:dyDescent="0.45">
      <c r="H652" t="s">
        <v>319</v>
      </c>
      <c r="I652" t="s">
        <v>351</v>
      </c>
      <c r="J652">
        <v>1.3636649659583637E-2</v>
      </c>
      <c r="K652" t="s">
        <v>185</v>
      </c>
      <c r="U652" t="s">
        <v>108</v>
      </c>
      <c r="V652" t="s">
        <v>997</v>
      </c>
      <c r="W652" t="s">
        <v>425</v>
      </c>
      <c r="X652" t="s">
        <v>468</v>
      </c>
    </row>
    <row r="653" spans="8:24" x14ac:dyDescent="0.45">
      <c r="H653" t="s">
        <v>320</v>
      </c>
      <c r="I653" t="s">
        <v>351</v>
      </c>
      <c r="J653">
        <v>6.8863001514679403E-3</v>
      </c>
      <c r="K653" t="s">
        <v>185</v>
      </c>
      <c r="U653" t="s">
        <v>108</v>
      </c>
      <c r="V653" t="s">
        <v>997</v>
      </c>
      <c r="W653" t="s">
        <v>998</v>
      </c>
      <c r="X653" t="s">
        <v>468</v>
      </c>
    </row>
    <row r="654" spans="8:24" x14ac:dyDescent="0.45">
      <c r="H654" t="s">
        <v>321</v>
      </c>
      <c r="I654" t="s">
        <v>351</v>
      </c>
      <c r="J654">
        <v>4.6975059633129598E-4</v>
      </c>
      <c r="K654" t="s">
        <v>185</v>
      </c>
      <c r="U654" t="s">
        <v>108</v>
      </c>
      <c r="V654" t="s">
        <v>999</v>
      </c>
      <c r="W654" t="s">
        <v>425</v>
      </c>
      <c r="X654" t="s">
        <v>468</v>
      </c>
    </row>
    <row r="655" spans="8:24" x14ac:dyDescent="0.45">
      <c r="H655" t="s">
        <v>322</v>
      </c>
      <c r="I655" t="s">
        <v>351</v>
      </c>
      <c r="J655">
        <v>2.7810087980815979E-3</v>
      </c>
      <c r="K655" t="s">
        <v>185</v>
      </c>
      <c r="U655" t="s">
        <v>108</v>
      </c>
      <c r="V655" t="s">
        <v>999</v>
      </c>
      <c r="W655" t="s">
        <v>998</v>
      </c>
      <c r="X655" t="s">
        <v>468</v>
      </c>
    </row>
    <row r="656" spans="8:24" x14ac:dyDescent="0.45">
      <c r="H656" t="s">
        <v>323</v>
      </c>
      <c r="I656" t="s">
        <v>351</v>
      </c>
      <c r="J656">
        <v>2.3815682848889803E-2</v>
      </c>
      <c r="K656" t="s">
        <v>185</v>
      </c>
      <c r="U656" t="s">
        <v>108</v>
      </c>
      <c r="V656" t="s">
        <v>1000</v>
      </c>
      <c r="W656" t="s">
        <v>425</v>
      </c>
      <c r="X656" t="s">
        <v>468</v>
      </c>
    </row>
    <row r="657" spans="8:24" x14ac:dyDescent="0.45">
      <c r="H657" t="s">
        <v>324</v>
      </c>
      <c r="I657" t="s">
        <v>351</v>
      </c>
      <c r="J657">
        <v>1.8570488937241221E-3</v>
      </c>
      <c r="K657" t="s">
        <v>185</v>
      </c>
      <c r="U657" t="s">
        <v>108</v>
      </c>
      <c r="V657" t="s">
        <v>1000</v>
      </c>
      <c r="W657" t="s">
        <v>998</v>
      </c>
      <c r="X657" t="s">
        <v>468</v>
      </c>
    </row>
    <row r="658" spans="8:24" x14ac:dyDescent="0.45">
      <c r="H658" t="s">
        <v>325</v>
      </c>
      <c r="I658" t="s">
        <v>351</v>
      </c>
      <c r="J658">
        <v>1.3368390661849285E-2</v>
      </c>
      <c r="K658" t="s">
        <v>185</v>
      </c>
      <c r="U658" t="s">
        <v>108</v>
      </c>
      <c r="V658" t="s">
        <v>1001</v>
      </c>
      <c r="W658" t="s">
        <v>998</v>
      </c>
      <c r="X658" t="s">
        <v>468</v>
      </c>
    </row>
    <row r="659" spans="8:24" x14ac:dyDescent="0.45">
      <c r="H659" t="s">
        <v>326</v>
      </c>
      <c r="I659" t="s">
        <v>351</v>
      </c>
      <c r="J659">
        <v>1.2827010403010581E-3</v>
      </c>
      <c r="K659" t="s">
        <v>185</v>
      </c>
      <c r="U659" t="s">
        <v>108</v>
      </c>
      <c r="V659" t="s">
        <v>1002</v>
      </c>
      <c r="W659" t="s">
        <v>998</v>
      </c>
      <c r="X659" t="s">
        <v>468</v>
      </c>
    </row>
    <row r="660" spans="8:24" x14ac:dyDescent="0.45">
      <c r="H660" t="s">
        <v>327</v>
      </c>
      <c r="I660" t="s">
        <v>351</v>
      </c>
      <c r="J660">
        <v>2.6531828179476687E-2</v>
      </c>
      <c r="K660" t="s">
        <v>185</v>
      </c>
      <c r="U660" t="s">
        <v>108</v>
      </c>
      <c r="V660" t="s">
        <v>1003</v>
      </c>
      <c r="W660" t="s">
        <v>998</v>
      </c>
      <c r="X660" t="s">
        <v>468</v>
      </c>
    </row>
    <row r="661" spans="8:24" x14ac:dyDescent="0.45">
      <c r="H661" t="s">
        <v>328</v>
      </c>
      <c r="I661" t="s">
        <v>351</v>
      </c>
      <c r="J661">
        <v>8.0902938632406807E-4</v>
      </c>
      <c r="K661" t="s">
        <v>185</v>
      </c>
      <c r="U661" t="s">
        <v>108</v>
      </c>
      <c r="V661" t="s">
        <v>1003</v>
      </c>
      <c r="W661" t="s">
        <v>425</v>
      </c>
      <c r="X661" t="s">
        <v>403</v>
      </c>
    </row>
    <row r="662" spans="8:24" x14ac:dyDescent="0.45">
      <c r="H662" t="s">
        <v>329</v>
      </c>
      <c r="I662" t="s">
        <v>351</v>
      </c>
      <c r="J662">
        <v>1.7078430779507579E-3</v>
      </c>
      <c r="K662" t="s">
        <v>185</v>
      </c>
      <c r="U662" t="s">
        <v>108</v>
      </c>
      <c r="V662" t="s">
        <v>1004</v>
      </c>
      <c r="W662" t="s">
        <v>998</v>
      </c>
      <c r="X662" t="s">
        <v>468</v>
      </c>
    </row>
    <row r="663" spans="8:24" x14ac:dyDescent="0.45">
      <c r="H663" t="s">
        <v>330</v>
      </c>
      <c r="I663" t="s">
        <v>351</v>
      </c>
      <c r="J663">
        <v>3.0343487662146906E-2</v>
      </c>
      <c r="K663" t="s">
        <v>185</v>
      </c>
      <c r="U663" t="s">
        <v>108</v>
      </c>
      <c r="V663" t="s">
        <v>1004</v>
      </c>
      <c r="W663" t="s">
        <v>425</v>
      </c>
      <c r="X663" t="s">
        <v>403</v>
      </c>
    </row>
    <row r="664" spans="8:24" x14ac:dyDescent="0.45">
      <c r="H664" t="s">
        <v>331</v>
      </c>
      <c r="I664" t="s">
        <v>351</v>
      </c>
      <c r="J664">
        <v>2.2348380828115578E-3</v>
      </c>
      <c r="K664" t="s">
        <v>185</v>
      </c>
      <c r="U664" t="s">
        <v>108</v>
      </c>
      <c r="V664" t="s">
        <v>1005</v>
      </c>
      <c r="W664" t="s">
        <v>426</v>
      </c>
      <c r="X664" t="s">
        <v>468</v>
      </c>
    </row>
    <row r="665" spans="8:24" x14ac:dyDescent="0.45">
      <c r="H665" t="s">
        <v>332</v>
      </c>
      <c r="I665" t="s">
        <v>351</v>
      </c>
      <c r="J665">
        <v>4.5572035656239705E-2</v>
      </c>
      <c r="K665" t="s">
        <v>185</v>
      </c>
      <c r="U665" t="s">
        <v>108</v>
      </c>
      <c r="V665" t="s">
        <v>1006</v>
      </c>
      <c r="W665" t="s">
        <v>426</v>
      </c>
      <c r="X665" t="s">
        <v>468</v>
      </c>
    </row>
    <row r="666" spans="8:24" x14ac:dyDescent="0.45">
      <c r="H666" t="s">
        <v>333</v>
      </c>
      <c r="I666" t="s">
        <v>351</v>
      </c>
      <c r="J666">
        <v>3.8927670541745018E-3</v>
      </c>
      <c r="K666" t="s">
        <v>185</v>
      </c>
      <c r="U666" t="s">
        <v>108</v>
      </c>
      <c r="V666" t="s">
        <v>1007</v>
      </c>
      <c r="W666" t="s">
        <v>426</v>
      </c>
      <c r="X666" t="s">
        <v>468</v>
      </c>
    </row>
    <row r="667" spans="8:24" x14ac:dyDescent="0.45">
      <c r="H667" t="s">
        <v>334</v>
      </c>
      <c r="I667" t="s">
        <v>351</v>
      </c>
      <c r="J667">
        <v>2.6029354280225268E-2</v>
      </c>
      <c r="K667" t="s">
        <v>185</v>
      </c>
      <c r="U667" t="s">
        <v>108</v>
      </c>
      <c r="V667" t="s">
        <v>1008</v>
      </c>
      <c r="W667" t="s">
        <v>426</v>
      </c>
      <c r="X667" t="s">
        <v>468</v>
      </c>
    </row>
    <row r="668" spans="8:24" x14ac:dyDescent="0.45">
      <c r="H668" t="s">
        <v>335</v>
      </c>
      <c r="I668" t="s">
        <v>351</v>
      </c>
      <c r="J668">
        <v>7.5213552709157798E-4</v>
      </c>
      <c r="K668" t="s">
        <v>185</v>
      </c>
      <c r="U668" t="s">
        <v>108</v>
      </c>
      <c r="V668" t="s">
        <v>1009</v>
      </c>
      <c r="W668" t="s">
        <v>426</v>
      </c>
      <c r="X668" t="s">
        <v>468</v>
      </c>
    </row>
    <row r="669" spans="8:24" x14ac:dyDescent="0.45">
      <c r="H669" t="s">
        <v>336</v>
      </c>
      <c r="I669" t="s">
        <v>351</v>
      </c>
      <c r="J669">
        <v>7.65732712562244E-4</v>
      </c>
      <c r="K669" t="s">
        <v>185</v>
      </c>
      <c r="U669" t="s">
        <v>108</v>
      </c>
      <c r="V669" t="s">
        <v>1010</v>
      </c>
      <c r="W669" t="s">
        <v>426</v>
      </c>
      <c r="X669" t="s">
        <v>468</v>
      </c>
    </row>
    <row r="670" spans="8:24" x14ac:dyDescent="0.45">
      <c r="H670" t="s">
        <v>337</v>
      </c>
      <c r="I670" t="s">
        <v>351</v>
      </c>
      <c r="J670">
        <v>3.8391786308438641E-3</v>
      </c>
      <c r="K670" t="s">
        <v>185</v>
      </c>
      <c r="U670" t="s">
        <v>108</v>
      </c>
      <c r="V670" t="s">
        <v>1011</v>
      </c>
      <c r="W670" t="s">
        <v>426</v>
      </c>
      <c r="X670" t="s">
        <v>468</v>
      </c>
    </row>
    <row r="671" spans="8:24" x14ac:dyDescent="0.45">
      <c r="H671" t="s">
        <v>338</v>
      </c>
      <c r="I671" t="s">
        <v>351</v>
      </c>
      <c r="J671">
        <v>4.6144482912273193E-3</v>
      </c>
      <c r="K671" t="s">
        <v>185</v>
      </c>
      <c r="U671" t="s">
        <v>108</v>
      </c>
      <c r="V671" t="s">
        <v>1012</v>
      </c>
      <c r="W671" t="s">
        <v>426</v>
      </c>
      <c r="X671" t="s">
        <v>468</v>
      </c>
    </row>
    <row r="672" spans="8:24" x14ac:dyDescent="0.45">
      <c r="H672" t="s">
        <v>339</v>
      </c>
      <c r="I672" t="s">
        <v>351</v>
      </c>
      <c r="J672">
        <v>2.8346748248708427E-2</v>
      </c>
      <c r="K672" t="s">
        <v>185</v>
      </c>
      <c r="U672" t="s">
        <v>108</v>
      </c>
      <c r="V672" t="s">
        <v>1013</v>
      </c>
      <c r="W672" t="s">
        <v>426</v>
      </c>
      <c r="X672" t="s">
        <v>468</v>
      </c>
    </row>
    <row r="673" spans="8:24" x14ac:dyDescent="0.45">
      <c r="H673" t="s">
        <v>340</v>
      </c>
      <c r="I673" t="s">
        <v>351</v>
      </c>
      <c r="J673">
        <v>3.5092155832129337E-3</v>
      </c>
      <c r="K673" t="s">
        <v>185</v>
      </c>
      <c r="U673" t="s">
        <v>108</v>
      </c>
      <c r="V673" t="s">
        <v>1014</v>
      </c>
      <c r="W673" t="s">
        <v>426</v>
      </c>
      <c r="X673" t="s">
        <v>468</v>
      </c>
    </row>
    <row r="674" spans="8:24" x14ac:dyDescent="0.45">
      <c r="H674" t="s">
        <v>341</v>
      </c>
      <c r="I674" t="s">
        <v>351</v>
      </c>
      <c r="J674">
        <v>7.9052382127669154E-3</v>
      </c>
      <c r="K674" t="s">
        <v>185</v>
      </c>
      <c r="U674" t="s">
        <v>108</v>
      </c>
      <c r="V674" t="s">
        <v>1015</v>
      </c>
      <c r="W674" t="s">
        <v>426</v>
      </c>
      <c r="X674" t="s">
        <v>468</v>
      </c>
    </row>
    <row r="675" spans="8:24" x14ac:dyDescent="0.45">
      <c r="H675" t="s">
        <v>342</v>
      </c>
      <c r="I675" t="s">
        <v>351</v>
      </c>
      <c r="J675">
        <v>4.955999362361474E-2</v>
      </c>
      <c r="K675" t="s">
        <v>185</v>
      </c>
      <c r="U675" t="s">
        <v>108</v>
      </c>
      <c r="V675" t="s">
        <v>1015</v>
      </c>
      <c r="W675" t="s">
        <v>1016</v>
      </c>
      <c r="X675" t="s">
        <v>468</v>
      </c>
    </row>
    <row r="676" spans="8:24" x14ac:dyDescent="0.45">
      <c r="H676" t="s">
        <v>343</v>
      </c>
      <c r="I676" t="s">
        <v>351</v>
      </c>
      <c r="J676">
        <v>3.7892423075579522E-3</v>
      </c>
      <c r="K676" t="s">
        <v>185</v>
      </c>
      <c r="U676" t="s">
        <v>108</v>
      </c>
      <c r="V676" t="s">
        <v>1017</v>
      </c>
      <c r="W676" t="s">
        <v>426</v>
      </c>
      <c r="X676" t="s">
        <v>468</v>
      </c>
    </row>
    <row r="677" spans="8:24" x14ac:dyDescent="0.45">
      <c r="H677" t="s">
        <v>344</v>
      </c>
      <c r="I677" t="s">
        <v>351</v>
      </c>
      <c r="J677">
        <v>4.57100684691238E-4</v>
      </c>
      <c r="K677" t="s">
        <v>185</v>
      </c>
      <c r="U677" t="s">
        <v>108</v>
      </c>
      <c r="V677" t="s">
        <v>1017</v>
      </c>
      <c r="W677" t="s">
        <v>1016</v>
      </c>
      <c r="X677" t="s">
        <v>468</v>
      </c>
    </row>
    <row r="678" spans="8:24" x14ac:dyDescent="0.45">
      <c r="H678" t="s">
        <v>345</v>
      </c>
      <c r="I678" t="s">
        <v>351</v>
      </c>
      <c r="J678">
        <v>3.638467168589881E-2</v>
      </c>
      <c r="K678" t="s">
        <v>185</v>
      </c>
      <c r="U678" t="s">
        <v>108</v>
      </c>
      <c r="V678" t="s">
        <v>1018</v>
      </c>
      <c r="W678" t="s">
        <v>426</v>
      </c>
      <c r="X678" t="s">
        <v>468</v>
      </c>
    </row>
    <row r="679" spans="8:24" x14ac:dyDescent="0.45">
      <c r="H679" t="s">
        <v>346</v>
      </c>
      <c r="I679" t="s">
        <v>351</v>
      </c>
      <c r="J679">
        <v>3.9008737604931371E-2</v>
      </c>
      <c r="K679" t="s">
        <v>185</v>
      </c>
      <c r="U679" t="s">
        <v>108</v>
      </c>
      <c r="V679" t="s">
        <v>1018</v>
      </c>
      <c r="W679" t="s">
        <v>1016</v>
      </c>
      <c r="X679" t="s">
        <v>468</v>
      </c>
    </row>
    <row r="680" spans="8:24" x14ac:dyDescent="0.45">
      <c r="H680" t="s">
        <v>347</v>
      </c>
      <c r="I680" t="s">
        <v>351</v>
      </c>
      <c r="J680">
        <v>2.9640117439892821E-2</v>
      </c>
      <c r="K680" t="s">
        <v>185</v>
      </c>
      <c r="U680" t="s">
        <v>108</v>
      </c>
      <c r="V680" t="s">
        <v>1019</v>
      </c>
      <c r="W680" t="s">
        <v>1016</v>
      </c>
      <c r="X680" t="s">
        <v>468</v>
      </c>
    </row>
    <row r="681" spans="8:24" x14ac:dyDescent="0.45">
      <c r="H681" t="s">
        <v>348</v>
      </c>
      <c r="I681" t="s">
        <v>351</v>
      </c>
      <c r="J681">
        <v>5.3661441500019924E-3</v>
      </c>
      <c r="K681" t="s">
        <v>185</v>
      </c>
      <c r="U681" t="s">
        <v>108</v>
      </c>
      <c r="V681" t="s">
        <v>1020</v>
      </c>
      <c r="W681" t="s">
        <v>1016</v>
      </c>
      <c r="X681" t="s">
        <v>468</v>
      </c>
    </row>
    <row r="682" spans="8:24" x14ac:dyDescent="0.45">
      <c r="H682" t="s">
        <v>349</v>
      </c>
      <c r="I682" t="s">
        <v>351</v>
      </c>
      <c r="J682">
        <v>3.1840356448714097E-3</v>
      </c>
      <c r="K682" t="s">
        <v>185</v>
      </c>
      <c r="U682" t="s">
        <v>108</v>
      </c>
      <c r="V682" t="s">
        <v>1021</v>
      </c>
      <c r="W682" t="s">
        <v>1016</v>
      </c>
      <c r="X682" t="s">
        <v>468</v>
      </c>
    </row>
    <row r="683" spans="8:24" x14ac:dyDescent="0.45">
      <c r="H683" t="s">
        <v>350</v>
      </c>
      <c r="I683" t="s">
        <v>351</v>
      </c>
      <c r="J683">
        <v>3.1388002753095943E-3</v>
      </c>
      <c r="K683" t="s">
        <v>185</v>
      </c>
      <c r="U683" t="s">
        <v>108</v>
      </c>
      <c r="V683" t="s">
        <v>1021</v>
      </c>
      <c r="W683" t="s">
        <v>426</v>
      </c>
      <c r="X683" t="s">
        <v>403</v>
      </c>
    </row>
    <row r="684" spans="8:24" x14ac:dyDescent="0.45">
      <c r="H684" t="s">
        <v>376</v>
      </c>
      <c r="I684" t="s">
        <v>351</v>
      </c>
      <c r="J684">
        <v>3.63291970276718E-3</v>
      </c>
      <c r="K684" t="s">
        <v>185</v>
      </c>
      <c r="U684" t="s">
        <v>108</v>
      </c>
      <c r="V684" t="s">
        <v>1022</v>
      </c>
      <c r="W684" t="s">
        <v>1016</v>
      </c>
      <c r="X684" t="s">
        <v>468</v>
      </c>
    </row>
    <row r="685" spans="8:24" x14ac:dyDescent="0.45">
      <c r="H685" t="s">
        <v>377</v>
      </c>
      <c r="I685" t="s">
        <v>351</v>
      </c>
      <c r="J685">
        <v>1.239547090140968E-3</v>
      </c>
      <c r="K685" t="s">
        <v>185</v>
      </c>
      <c r="U685" t="s">
        <v>108</v>
      </c>
      <c r="V685" t="s">
        <v>1022</v>
      </c>
      <c r="W685" t="s">
        <v>426</v>
      </c>
      <c r="X685" t="s">
        <v>403</v>
      </c>
    </row>
    <row r="686" spans="8:24" x14ac:dyDescent="0.45">
      <c r="H686" t="s">
        <v>378</v>
      </c>
      <c r="I686" t="s">
        <v>351</v>
      </c>
      <c r="J686">
        <v>7.7685859325501469E-2</v>
      </c>
      <c r="K686" t="s">
        <v>185</v>
      </c>
      <c r="U686" t="s">
        <v>108</v>
      </c>
      <c r="V686" t="s">
        <v>1023</v>
      </c>
      <c r="W686" t="s">
        <v>427</v>
      </c>
      <c r="X686" t="s">
        <v>468</v>
      </c>
    </row>
    <row r="687" spans="8:24" x14ac:dyDescent="0.45">
      <c r="H687" t="s">
        <v>379</v>
      </c>
      <c r="I687" t="s">
        <v>351</v>
      </c>
      <c r="J687">
        <v>4.03265986659214E-4</v>
      </c>
      <c r="K687" t="s">
        <v>185</v>
      </c>
      <c r="U687" t="s">
        <v>108</v>
      </c>
      <c r="V687" t="s">
        <v>1024</v>
      </c>
      <c r="W687" t="s">
        <v>427</v>
      </c>
      <c r="X687" t="s">
        <v>468</v>
      </c>
    </row>
    <row r="688" spans="8:24" x14ac:dyDescent="0.45">
      <c r="H688" t="s">
        <v>380</v>
      </c>
      <c r="I688" t="s">
        <v>351</v>
      </c>
      <c r="J688">
        <v>3.282504331299368E-3</v>
      </c>
      <c r="K688" t="s">
        <v>185</v>
      </c>
      <c r="U688" t="s">
        <v>108</v>
      </c>
      <c r="V688" t="s">
        <v>1025</v>
      </c>
      <c r="W688" t="s">
        <v>427</v>
      </c>
      <c r="X688" t="s">
        <v>468</v>
      </c>
    </row>
    <row r="689" spans="8:24" x14ac:dyDescent="0.45">
      <c r="H689" t="s">
        <v>381</v>
      </c>
      <c r="I689" t="s">
        <v>351</v>
      </c>
      <c r="J689">
        <v>3.3072952731022539E-3</v>
      </c>
      <c r="K689" t="s">
        <v>185</v>
      </c>
      <c r="U689" t="s">
        <v>108</v>
      </c>
      <c r="V689" t="s">
        <v>1026</v>
      </c>
      <c r="W689" t="s">
        <v>427</v>
      </c>
      <c r="X689" t="s">
        <v>468</v>
      </c>
    </row>
    <row r="690" spans="8:24" x14ac:dyDescent="0.45">
      <c r="H690" t="s">
        <v>382</v>
      </c>
      <c r="I690" t="s">
        <v>351</v>
      </c>
      <c r="J690">
        <v>5.7083209412812468E-2</v>
      </c>
      <c r="K690" t="s">
        <v>185</v>
      </c>
      <c r="U690" t="s">
        <v>108</v>
      </c>
      <c r="V690" t="s">
        <v>1027</v>
      </c>
      <c r="W690" t="s">
        <v>427</v>
      </c>
      <c r="X690" t="s">
        <v>468</v>
      </c>
    </row>
    <row r="691" spans="8:24" x14ac:dyDescent="0.45">
      <c r="H691" t="s">
        <v>383</v>
      </c>
      <c r="I691" t="s">
        <v>351</v>
      </c>
      <c r="J691">
        <v>8.1564723534613262E-2</v>
      </c>
      <c r="K691" t="s">
        <v>185</v>
      </c>
      <c r="U691" t="s">
        <v>108</v>
      </c>
      <c r="V691" t="s">
        <v>1028</v>
      </c>
      <c r="W691" t="s">
        <v>427</v>
      </c>
      <c r="X691" t="s">
        <v>468</v>
      </c>
    </row>
    <row r="692" spans="8:24" x14ac:dyDescent="0.45">
      <c r="H692" t="s">
        <v>384</v>
      </c>
      <c r="I692" t="s">
        <v>385</v>
      </c>
      <c r="J692">
        <v>0.66195751014314919</v>
      </c>
      <c r="K692" t="s">
        <v>185</v>
      </c>
      <c r="U692" t="s">
        <v>108</v>
      </c>
      <c r="V692" t="s">
        <v>1029</v>
      </c>
      <c r="W692" t="s">
        <v>427</v>
      </c>
      <c r="X692" t="s">
        <v>468</v>
      </c>
    </row>
    <row r="693" spans="8:24" x14ac:dyDescent="0.45">
      <c r="H693" t="s">
        <v>384</v>
      </c>
      <c r="I693" t="s">
        <v>386</v>
      </c>
      <c r="J693">
        <v>0.53549055688512781</v>
      </c>
      <c r="K693" t="s">
        <v>185</v>
      </c>
      <c r="U693" t="s">
        <v>108</v>
      </c>
      <c r="V693" t="s">
        <v>1030</v>
      </c>
      <c r="W693" t="s">
        <v>427</v>
      </c>
      <c r="X693" t="s">
        <v>468</v>
      </c>
    </row>
    <row r="694" spans="8:24" x14ac:dyDescent="0.45">
      <c r="H694" t="s">
        <v>387</v>
      </c>
      <c r="I694" t="s">
        <v>385</v>
      </c>
      <c r="J694">
        <v>0.1073312583914777</v>
      </c>
      <c r="K694" t="s">
        <v>185</v>
      </c>
      <c r="U694" t="s">
        <v>108</v>
      </c>
      <c r="V694" t="s">
        <v>1031</v>
      </c>
      <c r="W694" t="s">
        <v>427</v>
      </c>
      <c r="X694" t="s">
        <v>468</v>
      </c>
    </row>
    <row r="695" spans="8:24" x14ac:dyDescent="0.45">
      <c r="H695" t="s">
        <v>387</v>
      </c>
      <c r="I695" t="s">
        <v>386</v>
      </c>
      <c r="J695">
        <v>6.9770934494489498E-2</v>
      </c>
      <c r="K695" t="s">
        <v>185</v>
      </c>
      <c r="U695" t="s">
        <v>108</v>
      </c>
      <c r="V695" t="s">
        <v>1032</v>
      </c>
      <c r="W695" t="s">
        <v>427</v>
      </c>
      <c r="X695" t="s">
        <v>468</v>
      </c>
    </row>
    <row r="696" spans="8:24" x14ac:dyDescent="0.45">
      <c r="H696" t="s">
        <v>388</v>
      </c>
      <c r="I696" t="s">
        <v>386</v>
      </c>
      <c r="J696">
        <v>3.2495861652537802E-2</v>
      </c>
      <c r="K696" t="s">
        <v>185</v>
      </c>
      <c r="U696" t="s">
        <v>108</v>
      </c>
      <c r="V696" t="s">
        <v>1033</v>
      </c>
      <c r="W696" t="s">
        <v>427</v>
      </c>
      <c r="X696" t="s">
        <v>468</v>
      </c>
    </row>
    <row r="697" spans="8:24" x14ac:dyDescent="0.45">
      <c r="H697" t="s">
        <v>389</v>
      </c>
      <c r="I697" t="s">
        <v>385</v>
      </c>
      <c r="J697">
        <v>7.3904297814211999E-3</v>
      </c>
      <c r="K697" t="s">
        <v>185</v>
      </c>
      <c r="U697" t="s">
        <v>108</v>
      </c>
      <c r="V697" t="s">
        <v>1033</v>
      </c>
      <c r="W697" t="s">
        <v>1034</v>
      </c>
      <c r="X697" t="s">
        <v>468</v>
      </c>
    </row>
    <row r="698" spans="8:24" x14ac:dyDescent="0.45">
      <c r="H698" t="s">
        <v>389</v>
      </c>
      <c r="I698" t="s">
        <v>386</v>
      </c>
      <c r="J698">
        <v>3.4810219077299497E-2</v>
      </c>
      <c r="K698" t="s">
        <v>185</v>
      </c>
      <c r="U698" t="s">
        <v>108</v>
      </c>
      <c r="V698" t="s">
        <v>1035</v>
      </c>
      <c r="W698" t="s">
        <v>427</v>
      </c>
      <c r="X698" t="s">
        <v>468</v>
      </c>
    </row>
    <row r="699" spans="8:24" x14ac:dyDescent="0.45">
      <c r="H699" t="s">
        <v>390</v>
      </c>
      <c r="I699" t="s">
        <v>385</v>
      </c>
      <c r="J699">
        <v>1.9526625676379999E-3</v>
      </c>
      <c r="K699" t="s">
        <v>185</v>
      </c>
      <c r="U699" t="s">
        <v>108</v>
      </c>
      <c r="V699" t="s">
        <v>1035</v>
      </c>
      <c r="W699" t="s">
        <v>1034</v>
      </c>
      <c r="X699" t="s">
        <v>468</v>
      </c>
    </row>
    <row r="700" spans="8:24" x14ac:dyDescent="0.45">
      <c r="H700" t="s">
        <v>390</v>
      </c>
      <c r="I700" t="s">
        <v>386</v>
      </c>
      <c r="J700">
        <v>1.9952578606635E-3</v>
      </c>
      <c r="K700" t="s">
        <v>185</v>
      </c>
      <c r="U700" t="s">
        <v>108</v>
      </c>
      <c r="V700" t="s">
        <v>1036</v>
      </c>
      <c r="W700" t="s">
        <v>427</v>
      </c>
      <c r="X700" t="s">
        <v>468</v>
      </c>
    </row>
    <row r="701" spans="8:24" x14ac:dyDescent="0.45">
      <c r="H701" t="s">
        <v>391</v>
      </c>
      <c r="I701" t="s">
        <v>385</v>
      </c>
      <c r="J701">
        <v>4.9488902760331001E-3</v>
      </c>
      <c r="K701" t="s">
        <v>185</v>
      </c>
      <c r="U701" t="s">
        <v>108</v>
      </c>
      <c r="V701" t="s">
        <v>1036</v>
      </c>
      <c r="W701" t="s">
        <v>1034</v>
      </c>
      <c r="X701" t="s">
        <v>468</v>
      </c>
    </row>
    <row r="702" spans="8:24" x14ac:dyDescent="0.45">
      <c r="H702" t="s">
        <v>391</v>
      </c>
      <c r="I702" t="s">
        <v>386</v>
      </c>
      <c r="J702">
        <v>3.217037650021E-3</v>
      </c>
      <c r="K702" t="s">
        <v>185</v>
      </c>
      <c r="U702" t="s">
        <v>108</v>
      </c>
      <c r="V702" t="s">
        <v>1037</v>
      </c>
      <c r="W702" t="s">
        <v>1034</v>
      </c>
      <c r="X702" t="s">
        <v>468</v>
      </c>
    </row>
    <row r="703" spans="8:24" x14ac:dyDescent="0.45">
      <c r="H703" t="s">
        <v>392</v>
      </c>
      <c r="I703" t="s">
        <v>385</v>
      </c>
      <c r="J703">
        <v>4.0014361103044599E-2</v>
      </c>
      <c r="K703" t="s">
        <v>185</v>
      </c>
      <c r="U703" t="s">
        <v>108</v>
      </c>
      <c r="V703" t="s">
        <v>1038</v>
      </c>
      <c r="W703" t="s">
        <v>1034</v>
      </c>
      <c r="X703" t="s">
        <v>468</v>
      </c>
    </row>
    <row r="704" spans="8:24" x14ac:dyDescent="0.45">
      <c r="H704" t="s">
        <v>392</v>
      </c>
      <c r="I704" t="s">
        <v>386</v>
      </c>
      <c r="J704">
        <v>3.24507503531795E-2</v>
      </c>
      <c r="K704" t="s">
        <v>185</v>
      </c>
      <c r="U704" t="s">
        <v>108</v>
      </c>
      <c r="V704" t="s">
        <v>1039</v>
      </c>
      <c r="W704" t="s">
        <v>1034</v>
      </c>
      <c r="X704" t="s">
        <v>468</v>
      </c>
    </row>
    <row r="705" spans="8:24" x14ac:dyDescent="0.45">
      <c r="H705" t="s">
        <v>393</v>
      </c>
      <c r="I705" t="s">
        <v>385</v>
      </c>
      <c r="J705">
        <v>2.7034996713283702E-2</v>
      </c>
      <c r="K705" t="s">
        <v>185</v>
      </c>
      <c r="U705" t="s">
        <v>108</v>
      </c>
      <c r="V705" t="s">
        <v>1039</v>
      </c>
      <c r="W705" t="s">
        <v>427</v>
      </c>
      <c r="X705" t="s">
        <v>403</v>
      </c>
    </row>
    <row r="706" spans="8:24" x14ac:dyDescent="0.45">
      <c r="H706" t="s">
        <v>393</v>
      </c>
      <c r="I706" t="s">
        <v>386</v>
      </c>
      <c r="J706">
        <v>6.0841614767628699E-2</v>
      </c>
      <c r="K706" t="s">
        <v>185</v>
      </c>
      <c r="U706" t="s">
        <v>108</v>
      </c>
      <c r="V706" t="s">
        <v>1040</v>
      </c>
      <c r="W706" t="s">
        <v>1034</v>
      </c>
      <c r="X706" t="s">
        <v>468</v>
      </c>
    </row>
    <row r="707" spans="8:24" x14ac:dyDescent="0.45">
      <c r="H707" t="s">
        <v>394</v>
      </c>
      <c r="I707" t="s">
        <v>385</v>
      </c>
      <c r="J707">
        <v>6.0285878556634198E-2</v>
      </c>
      <c r="K707" t="s">
        <v>185</v>
      </c>
      <c r="U707" t="s">
        <v>108</v>
      </c>
      <c r="V707" t="s">
        <v>1040</v>
      </c>
      <c r="W707" t="s">
        <v>427</v>
      </c>
      <c r="X707" t="s">
        <v>403</v>
      </c>
    </row>
    <row r="708" spans="8:24" x14ac:dyDescent="0.45">
      <c r="H708" t="s">
        <v>394</v>
      </c>
      <c r="I708" t="s">
        <v>386</v>
      </c>
      <c r="J708">
        <v>4.25616601704688E-2</v>
      </c>
      <c r="K708" t="s">
        <v>185</v>
      </c>
      <c r="U708" t="s">
        <v>108</v>
      </c>
      <c r="V708" t="s">
        <v>1041</v>
      </c>
      <c r="W708" t="s">
        <v>428</v>
      </c>
      <c r="X708" t="s">
        <v>468</v>
      </c>
    </row>
    <row r="709" spans="8:24" x14ac:dyDescent="0.45">
      <c r="H709" t="s">
        <v>395</v>
      </c>
      <c r="I709" t="s">
        <v>385</v>
      </c>
      <c r="J709">
        <v>3.19911711512769E-2</v>
      </c>
      <c r="K709" t="s">
        <v>185</v>
      </c>
      <c r="U709" t="s">
        <v>108</v>
      </c>
      <c r="V709" t="s">
        <v>1042</v>
      </c>
      <c r="W709" t="s">
        <v>428</v>
      </c>
      <c r="X709" t="s">
        <v>468</v>
      </c>
    </row>
    <row r="710" spans="8:24" x14ac:dyDescent="0.45">
      <c r="H710" t="s">
        <v>395</v>
      </c>
      <c r="I710" t="s">
        <v>386</v>
      </c>
      <c r="J710">
        <v>3.5603674026351999E-2</v>
      </c>
      <c r="K710" t="s">
        <v>185</v>
      </c>
      <c r="U710" t="s">
        <v>108</v>
      </c>
      <c r="V710" t="s">
        <v>1043</v>
      </c>
      <c r="W710" t="s">
        <v>428</v>
      </c>
      <c r="X710" t="s">
        <v>468</v>
      </c>
    </row>
    <row r="711" spans="8:24" x14ac:dyDescent="0.45">
      <c r="H711" t="s">
        <v>396</v>
      </c>
      <c r="I711" t="s">
        <v>385</v>
      </c>
      <c r="J711">
        <v>3.5372568037252999E-2</v>
      </c>
      <c r="K711" t="s">
        <v>185</v>
      </c>
      <c r="U711" t="s">
        <v>108</v>
      </c>
      <c r="V711" t="s">
        <v>1044</v>
      </c>
      <c r="W711" t="s">
        <v>428</v>
      </c>
      <c r="X711" t="s">
        <v>468</v>
      </c>
    </row>
    <row r="712" spans="8:24" x14ac:dyDescent="0.45">
      <c r="H712" t="s">
        <v>396</v>
      </c>
      <c r="I712" t="s">
        <v>386</v>
      </c>
      <c r="J712">
        <v>2.5558937630988401E-2</v>
      </c>
      <c r="K712" t="s">
        <v>185</v>
      </c>
      <c r="U712" t="s">
        <v>108</v>
      </c>
      <c r="V712" t="s">
        <v>1045</v>
      </c>
      <c r="W712" t="s">
        <v>428</v>
      </c>
      <c r="X712" t="s">
        <v>468</v>
      </c>
    </row>
    <row r="713" spans="8:24" x14ac:dyDescent="0.45">
      <c r="H713" t="s">
        <v>397</v>
      </c>
      <c r="I713" t="s">
        <v>386</v>
      </c>
      <c r="J713">
        <v>0.1007125433723564</v>
      </c>
      <c r="K713" t="s">
        <v>185</v>
      </c>
      <c r="U713" t="s">
        <v>108</v>
      </c>
      <c r="V713" t="s">
        <v>1046</v>
      </c>
      <c r="W713" t="s">
        <v>428</v>
      </c>
      <c r="X713" t="s">
        <v>468</v>
      </c>
    </row>
    <row r="714" spans="8:24" x14ac:dyDescent="0.45">
      <c r="H714" t="s">
        <v>398</v>
      </c>
      <c r="I714" t="s">
        <v>385</v>
      </c>
      <c r="J714">
        <v>1.7202732787877E-3</v>
      </c>
      <c r="K714" t="s">
        <v>185</v>
      </c>
      <c r="U714" t="s">
        <v>108</v>
      </c>
      <c r="V714" t="s">
        <v>1047</v>
      </c>
      <c r="W714" t="s">
        <v>428</v>
      </c>
      <c r="X714" t="s">
        <v>468</v>
      </c>
    </row>
    <row r="715" spans="8:24" x14ac:dyDescent="0.45">
      <c r="H715" t="s">
        <v>398</v>
      </c>
      <c r="I715" t="s">
        <v>386</v>
      </c>
      <c r="J715">
        <v>4.4909520588865999E-3</v>
      </c>
      <c r="K715" t="s">
        <v>185</v>
      </c>
      <c r="U715" t="s">
        <v>108</v>
      </c>
      <c r="V715" t="s">
        <v>1048</v>
      </c>
      <c r="W715" t="s">
        <v>428</v>
      </c>
      <c r="X715" t="s">
        <v>468</v>
      </c>
    </row>
    <row r="716" spans="8:24" x14ac:dyDescent="0.45">
      <c r="U716" t="s">
        <v>108</v>
      </c>
      <c r="V716" t="s">
        <v>1049</v>
      </c>
      <c r="W716" t="s">
        <v>428</v>
      </c>
      <c r="X716" t="s">
        <v>468</v>
      </c>
    </row>
    <row r="717" spans="8:24" x14ac:dyDescent="0.45">
      <c r="U717" t="s">
        <v>108</v>
      </c>
      <c r="V717" t="s">
        <v>1050</v>
      </c>
      <c r="W717" t="s">
        <v>428</v>
      </c>
      <c r="X717" t="s">
        <v>468</v>
      </c>
    </row>
    <row r="718" spans="8:24" x14ac:dyDescent="0.45">
      <c r="U718" t="s">
        <v>108</v>
      </c>
      <c r="V718" t="s">
        <v>1051</v>
      </c>
      <c r="W718" t="s">
        <v>428</v>
      </c>
      <c r="X718" t="s">
        <v>468</v>
      </c>
    </row>
    <row r="719" spans="8:24" x14ac:dyDescent="0.45">
      <c r="U719" t="s">
        <v>108</v>
      </c>
      <c r="V719" t="s">
        <v>1051</v>
      </c>
      <c r="W719" t="s">
        <v>1052</v>
      </c>
      <c r="X719" t="s">
        <v>468</v>
      </c>
    </row>
    <row r="720" spans="8:24" x14ac:dyDescent="0.45">
      <c r="U720" t="s">
        <v>108</v>
      </c>
      <c r="V720" t="s">
        <v>1053</v>
      </c>
      <c r="W720" t="s">
        <v>428</v>
      </c>
      <c r="X720" t="s">
        <v>468</v>
      </c>
    </row>
    <row r="721" spans="21:24" x14ac:dyDescent="0.45">
      <c r="U721" t="s">
        <v>108</v>
      </c>
      <c r="V721" t="s">
        <v>1053</v>
      </c>
      <c r="W721" t="s">
        <v>1052</v>
      </c>
      <c r="X721" t="s">
        <v>468</v>
      </c>
    </row>
    <row r="722" spans="21:24" x14ac:dyDescent="0.45">
      <c r="U722" t="s">
        <v>108</v>
      </c>
      <c r="V722" t="s">
        <v>1054</v>
      </c>
      <c r="W722" t="s">
        <v>428</v>
      </c>
      <c r="X722" t="s">
        <v>468</v>
      </c>
    </row>
    <row r="723" spans="21:24" x14ac:dyDescent="0.45">
      <c r="U723" t="s">
        <v>108</v>
      </c>
      <c r="V723" t="s">
        <v>1054</v>
      </c>
      <c r="W723" t="s">
        <v>1052</v>
      </c>
      <c r="X723" t="s">
        <v>468</v>
      </c>
    </row>
    <row r="724" spans="21:24" x14ac:dyDescent="0.45">
      <c r="U724" t="s">
        <v>108</v>
      </c>
      <c r="V724" t="s">
        <v>1055</v>
      </c>
      <c r="W724" t="s">
        <v>1052</v>
      </c>
      <c r="X724" t="s">
        <v>468</v>
      </c>
    </row>
    <row r="725" spans="21:24" x14ac:dyDescent="0.45">
      <c r="U725" t="s">
        <v>108</v>
      </c>
      <c r="V725" t="s">
        <v>1056</v>
      </c>
      <c r="W725" t="s">
        <v>1052</v>
      </c>
      <c r="X725" t="s">
        <v>468</v>
      </c>
    </row>
    <row r="726" spans="21:24" x14ac:dyDescent="0.45">
      <c r="U726" t="s">
        <v>108</v>
      </c>
      <c r="V726" t="s">
        <v>1057</v>
      </c>
      <c r="W726" t="s">
        <v>1052</v>
      </c>
      <c r="X726" t="s">
        <v>468</v>
      </c>
    </row>
    <row r="727" spans="21:24" x14ac:dyDescent="0.45">
      <c r="U727" t="s">
        <v>108</v>
      </c>
      <c r="V727" t="s">
        <v>1057</v>
      </c>
      <c r="W727" t="s">
        <v>428</v>
      </c>
      <c r="X727" t="s">
        <v>403</v>
      </c>
    </row>
    <row r="728" spans="21:24" x14ac:dyDescent="0.45">
      <c r="U728" t="s">
        <v>108</v>
      </c>
      <c r="V728" t="s">
        <v>1058</v>
      </c>
      <c r="W728" t="s">
        <v>1052</v>
      </c>
      <c r="X728" t="s">
        <v>468</v>
      </c>
    </row>
    <row r="729" spans="21:24" x14ac:dyDescent="0.45">
      <c r="U729" t="s">
        <v>108</v>
      </c>
      <c r="V729" t="s">
        <v>1058</v>
      </c>
      <c r="W729" t="s">
        <v>428</v>
      </c>
      <c r="X729" t="s">
        <v>403</v>
      </c>
    </row>
    <row r="730" spans="21:24" x14ac:dyDescent="0.45">
      <c r="U730" t="s">
        <v>108</v>
      </c>
      <c r="V730" t="s">
        <v>1059</v>
      </c>
      <c r="W730" t="s">
        <v>429</v>
      </c>
      <c r="X730" t="s">
        <v>468</v>
      </c>
    </row>
    <row r="731" spans="21:24" x14ac:dyDescent="0.45">
      <c r="U731" t="s">
        <v>108</v>
      </c>
      <c r="V731" t="s">
        <v>1060</v>
      </c>
      <c r="W731" t="s">
        <v>429</v>
      </c>
      <c r="X731" t="s">
        <v>468</v>
      </c>
    </row>
    <row r="732" spans="21:24" x14ac:dyDescent="0.45">
      <c r="U732" t="s">
        <v>108</v>
      </c>
      <c r="V732" t="s">
        <v>1061</v>
      </c>
      <c r="W732" t="s">
        <v>429</v>
      </c>
      <c r="X732" t="s">
        <v>468</v>
      </c>
    </row>
    <row r="733" spans="21:24" x14ac:dyDescent="0.45">
      <c r="U733" t="s">
        <v>108</v>
      </c>
      <c r="V733" t="s">
        <v>1062</v>
      </c>
      <c r="W733" t="s">
        <v>429</v>
      </c>
      <c r="X733" t="s">
        <v>468</v>
      </c>
    </row>
    <row r="734" spans="21:24" x14ac:dyDescent="0.45">
      <c r="U734" t="s">
        <v>108</v>
      </c>
      <c r="V734" t="s">
        <v>1063</v>
      </c>
      <c r="W734" t="s">
        <v>429</v>
      </c>
      <c r="X734" t="s">
        <v>468</v>
      </c>
    </row>
    <row r="735" spans="21:24" x14ac:dyDescent="0.45">
      <c r="U735" t="s">
        <v>108</v>
      </c>
      <c r="V735" t="s">
        <v>1064</v>
      </c>
      <c r="W735" t="s">
        <v>429</v>
      </c>
      <c r="X735" t="s">
        <v>468</v>
      </c>
    </row>
    <row r="736" spans="21:24" x14ac:dyDescent="0.45">
      <c r="U736" t="s">
        <v>108</v>
      </c>
      <c r="V736" t="s">
        <v>1065</v>
      </c>
      <c r="W736" t="s">
        <v>429</v>
      </c>
      <c r="X736" t="s">
        <v>468</v>
      </c>
    </row>
    <row r="737" spans="21:24" x14ac:dyDescent="0.45">
      <c r="U737" t="s">
        <v>108</v>
      </c>
      <c r="V737" t="s">
        <v>1066</v>
      </c>
      <c r="W737" t="s">
        <v>429</v>
      </c>
      <c r="X737" t="s">
        <v>468</v>
      </c>
    </row>
    <row r="738" spans="21:24" x14ac:dyDescent="0.45">
      <c r="U738" t="s">
        <v>108</v>
      </c>
      <c r="V738" t="s">
        <v>1067</v>
      </c>
      <c r="W738" t="s">
        <v>429</v>
      </c>
      <c r="X738" t="s">
        <v>468</v>
      </c>
    </row>
    <row r="739" spans="21:24" x14ac:dyDescent="0.45">
      <c r="U739" t="s">
        <v>108</v>
      </c>
      <c r="V739" t="s">
        <v>1068</v>
      </c>
      <c r="W739" t="s">
        <v>429</v>
      </c>
      <c r="X739" t="s">
        <v>468</v>
      </c>
    </row>
    <row r="740" spans="21:24" x14ac:dyDescent="0.45">
      <c r="U740" t="s">
        <v>108</v>
      </c>
      <c r="V740" t="s">
        <v>1069</v>
      </c>
      <c r="W740" t="s">
        <v>429</v>
      </c>
      <c r="X740" t="s">
        <v>468</v>
      </c>
    </row>
    <row r="741" spans="21:24" x14ac:dyDescent="0.45">
      <c r="U741" t="s">
        <v>108</v>
      </c>
      <c r="V741" t="s">
        <v>1069</v>
      </c>
      <c r="W741" t="s">
        <v>1070</v>
      </c>
      <c r="X741" t="s">
        <v>468</v>
      </c>
    </row>
    <row r="742" spans="21:24" x14ac:dyDescent="0.45">
      <c r="U742" t="s">
        <v>108</v>
      </c>
      <c r="V742" t="s">
        <v>1071</v>
      </c>
      <c r="W742" t="s">
        <v>429</v>
      </c>
      <c r="X742" t="s">
        <v>468</v>
      </c>
    </row>
    <row r="743" spans="21:24" x14ac:dyDescent="0.45">
      <c r="U743" t="s">
        <v>108</v>
      </c>
      <c r="V743" t="s">
        <v>1071</v>
      </c>
      <c r="W743" t="s">
        <v>1070</v>
      </c>
      <c r="X743" t="s">
        <v>468</v>
      </c>
    </row>
    <row r="744" spans="21:24" x14ac:dyDescent="0.45">
      <c r="U744" t="s">
        <v>108</v>
      </c>
      <c r="V744" t="s">
        <v>1072</v>
      </c>
      <c r="W744" t="s">
        <v>429</v>
      </c>
      <c r="X744" t="s">
        <v>468</v>
      </c>
    </row>
    <row r="745" spans="21:24" x14ac:dyDescent="0.45">
      <c r="U745" t="s">
        <v>108</v>
      </c>
      <c r="V745" t="s">
        <v>1072</v>
      </c>
      <c r="W745" t="s">
        <v>1070</v>
      </c>
      <c r="X745" t="s">
        <v>468</v>
      </c>
    </row>
    <row r="746" spans="21:24" x14ac:dyDescent="0.45">
      <c r="U746" t="s">
        <v>108</v>
      </c>
      <c r="V746" t="s">
        <v>1073</v>
      </c>
      <c r="W746" t="s">
        <v>1070</v>
      </c>
      <c r="X746" t="s">
        <v>468</v>
      </c>
    </row>
    <row r="747" spans="21:24" x14ac:dyDescent="0.45">
      <c r="U747" t="s">
        <v>108</v>
      </c>
      <c r="V747" t="s">
        <v>1074</v>
      </c>
      <c r="W747" t="s">
        <v>1070</v>
      </c>
      <c r="X747" t="s">
        <v>468</v>
      </c>
    </row>
    <row r="748" spans="21:24" x14ac:dyDescent="0.45">
      <c r="U748" t="s">
        <v>108</v>
      </c>
      <c r="V748" t="s">
        <v>1075</v>
      </c>
      <c r="W748" t="s">
        <v>1070</v>
      </c>
      <c r="X748" t="s">
        <v>468</v>
      </c>
    </row>
    <row r="749" spans="21:24" x14ac:dyDescent="0.45">
      <c r="U749" t="s">
        <v>108</v>
      </c>
      <c r="V749" t="s">
        <v>1075</v>
      </c>
      <c r="W749" t="s">
        <v>429</v>
      </c>
      <c r="X749" t="s">
        <v>403</v>
      </c>
    </row>
    <row r="750" spans="21:24" x14ac:dyDescent="0.45">
      <c r="U750" t="s">
        <v>108</v>
      </c>
      <c r="V750" t="s">
        <v>1076</v>
      </c>
      <c r="W750" t="s">
        <v>1070</v>
      </c>
      <c r="X750" t="s">
        <v>468</v>
      </c>
    </row>
    <row r="751" spans="21:24" x14ac:dyDescent="0.45">
      <c r="U751" t="s">
        <v>108</v>
      </c>
      <c r="V751" t="s">
        <v>1076</v>
      </c>
      <c r="W751" t="s">
        <v>429</v>
      </c>
      <c r="X751" t="s">
        <v>403</v>
      </c>
    </row>
    <row r="752" spans="21:24" x14ac:dyDescent="0.45">
      <c r="U752" t="s">
        <v>108</v>
      </c>
      <c r="V752" t="s">
        <v>1077</v>
      </c>
      <c r="W752" t="s">
        <v>446</v>
      </c>
      <c r="X752" t="s">
        <v>468</v>
      </c>
    </row>
    <row r="753" spans="21:24" x14ac:dyDescent="0.45">
      <c r="U753" t="s">
        <v>108</v>
      </c>
      <c r="V753" t="s">
        <v>1078</v>
      </c>
      <c r="W753" t="s">
        <v>446</v>
      </c>
      <c r="X753" t="s">
        <v>468</v>
      </c>
    </row>
    <row r="754" spans="21:24" x14ac:dyDescent="0.45">
      <c r="U754" t="s">
        <v>108</v>
      </c>
      <c r="V754" t="s">
        <v>1079</v>
      </c>
      <c r="W754" t="s">
        <v>446</v>
      </c>
      <c r="X754" t="s">
        <v>468</v>
      </c>
    </row>
    <row r="755" spans="21:24" x14ac:dyDescent="0.45">
      <c r="U755" t="s">
        <v>108</v>
      </c>
      <c r="V755" t="s">
        <v>1080</v>
      </c>
      <c r="W755" t="s">
        <v>446</v>
      </c>
      <c r="X755" t="s">
        <v>468</v>
      </c>
    </row>
    <row r="756" spans="21:24" x14ac:dyDescent="0.45">
      <c r="U756" t="s">
        <v>108</v>
      </c>
      <c r="V756" t="s">
        <v>1081</v>
      </c>
      <c r="W756" t="s">
        <v>446</v>
      </c>
      <c r="X756" t="s">
        <v>468</v>
      </c>
    </row>
    <row r="757" spans="21:24" x14ac:dyDescent="0.45">
      <c r="U757" t="s">
        <v>108</v>
      </c>
      <c r="V757" t="s">
        <v>1082</v>
      </c>
      <c r="W757" t="s">
        <v>446</v>
      </c>
      <c r="X757" t="s">
        <v>468</v>
      </c>
    </row>
    <row r="758" spans="21:24" x14ac:dyDescent="0.45">
      <c r="U758" t="s">
        <v>108</v>
      </c>
      <c r="V758" t="s">
        <v>1083</v>
      </c>
      <c r="W758" t="s">
        <v>446</v>
      </c>
      <c r="X758" t="s">
        <v>468</v>
      </c>
    </row>
    <row r="759" spans="21:24" x14ac:dyDescent="0.45">
      <c r="U759" t="s">
        <v>108</v>
      </c>
      <c r="V759" t="s">
        <v>1084</v>
      </c>
      <c r="W759" t="s">
        <v>446</v>
      </c>
      <c r="X759" t="s">
        <v>468</v>
      </c>
    </row>
    <row r="760" spans="21:24" x14ac:dyDescent="0.45">
      <c r="U760" t="s">
        <v>108</v>
      </c>
      <c r="V760" t="s">
        <v>1085</v>
      </c>
      <c r="W760" t="s">
        <v>446</v>
      </c>
      <c r="X760" t="s">
        <v>468</v>
      </c>
    </row>
    <row r="761" spans="21:24" x14ac:dyDescent="0.45">
      <c r="U761" t="s">
        <v>108</v>
      </c>
      <c r="V761" t="s">
        <v>1086</v>
      </c>
      <c r="W761" t="s">
        <v>446</v>
      </c>
      <c r="X761" t="s">
        <v>468</v>
      </c>
    </row>
    <row r="762" spans="21:24" x14ac:dyDescent="0.45">
      <c r="U762" t="s">
        <v>108</v>
      </c>
      <c r="V762" t="s">
        <v>1087</v>
      </c>
      <c r="W762" t="s">
        <v>446</v>
      </c>
      <c r="X762" t="s">
        <v>468</v>
      </c>
    </row>
    <row r="763" spans="21:24" x14ac:dyDescent="0.45">
      <c r="U763" t="s">
        <v>108</v>
      </c>
      <c r="V763" t="s">
        <v>1087</v>
      </c>
      <c r="W763" t="s">
        <v>1088</v>
      </c>
      <c r="X763" t="s">
        <v>468</v>
      </c>
    </row>
    <row r="764" spans="21:24" x14ac:dyDescent="0.45">
      <c r="U764" t="s">
        <v>108</v>
      </c>
      <c r="V764" t="s">
        <v>1089</v>
      </c>
      <c r="W764" t="s">
        <v>446</v>
      </c>
      <c r="X764" t="s">
        <v>468</v>
      </c>
    </row>
    <row r="765" spans="21:24" x14ac:dyDescent="0.45">
      <c r="U765" t="s">
        <v>108</v>
      </c>
      <c r="V765" t="s">
        <v>1089</v>
      </c>
      <c r="W765" t="s">
        <v>1088</v>
      </c>
      <c r="X765" t="s">
        <v>468</v>
      </c>
    </row>
    <row r="766" spans="21:24" x14ac:dyDescent="0.45">
      <c r="U766" t="s">
        <v>108</v>
      </c>
      <c r="V766" t="s">
        <v>1090</v>
      </c>
      <c r="W766" t="s">
        <v>446</v>
      </c>
      <c r="X766" t="s">
        <v>468</v>
      </c>
    </row>
    <row r="767" spans="21:24" x14ac:dyDescent="0.45">
      <c r="U767" t="s">
        <v>108</v>
      </c>
      <c r="V767" t="s">
        <v>1090</v>
      </c>
      <c r="W767" t="s">
        <v>1088</v>
      </c>
      <c r="X767" t="s">
        <v>468</v>
      </c>
    </row>
    <row r="768" spans="21:24" x14ac:dyDescent="0.45">
      <c r="U768" t="s">
        <v>108</v>
      </c>
      <c r="V768" t="s">
        <v>1091</v>
      </c>
      <c r="W768" t="s">
        <v>1088</v>
      </c>
      <c r="X768" t="s">
        <v>468</v>
      </c>
    </row>
    <row r="769" spans="21:24" x14ac:dyDescent="0.45">
      <c r="U769" t="s">
        <v>108</v>
      </c>
      <c r="V769" t="s">
        <v>1092</v>
      </c>
      <c r="W769" t="s">
        <v>1088</v>
      </c>
      <c r="X769" t="s">
        <v>468</v>
      </c>
    </row>
    <row r="770" spans="21:24" x14ac:dyDescent="0.45">
      <c r="U770" t="s">
        <v>108</v>
      </c>
      <c r="V770" t="s">
        <v>1093</v>
      </c>
      <c r="W770" t="s">
        <v>1088</v>
      </c>
      <c r="X770" t="s">
        <v>468</v>
      </c>
    </row>
    <row r="771" spans="21:24" x14ac:dyDescent="0.45">
      <c r="U771" t="s">
        <v>108</v>
      </c>
      <c r="V771" t="s">
        <v>1093</v>
      </c>
      <c r="W771" t="s">
        <v>446</v>
      </c>
      <c r="X771" t="s">
        <v>403</v>
      </c>
    </row>
    <row r="772" spans="21:24" x14ac:dyDescent="0.45">
      <c r="U772" t="s">
        <v>108</v>
      </c>
      <c r="V772" t="s">
        <v>1094</v>
      </c>
      <c r="W772" t="s">
        <v>1088</v>
      </c>
      <c r="X772" t="s">
        <v>468</v>
      </c>
    </row>
    <row r="773" spans="21:24" x14ac:dyDescent="0.45">
      <c r="U773" t="s">
        <v>108</v>
      </c>
      <c r="V773" t="s">
        <v>1094</v>
      </c>
      <c r="W773" t="s">
        <v>446</v>
      </c>
      <c r="X773" t="s">
        <v>403</v>
      </c>
    </row>
    <row r="774" spans="21:24" x14ac:dyDescent="0.45">
      <c r="U774" t="s">
        <v>108</v>
      </c>
      <c r="V774" t="s">
        <v>1095</v>
      </c>
      <c r="W774" t="s">
        <v>430</v>
      </c>
      <c r="X774" t="s">
        <v>468</v>
      </c>
    </row>
    <row r="775" spans="21:24" x14ac:dyDescent="0.45">
      <c r="U775" t="s">
        <v>108</v>
      </c>
      <c r="V775" t="s">
        <v>1096</v>
      </c>
      <c r="W775" t="s">
        <v>430</v>
      </c>
      <c r="X775" t="s">
        <v>468</v>
      </c>
    </row>
    <row r="776" spans="21:24" x14ac:dyDescent="0.45">
      <c r="U776" t="s">
        <v>108</v>
      </c>
      <c r="V776" t="s">
        <v>1097</v>
      </c>
      <c r="W776" t="s">
        <v>430</v>
      </c>
      <c r="X776" t="s">
        <v>468</v>
      </c>
    </row>
    <row r="777" spans="21:24" x14ac:dyDescent="0.45">
      <c r="U777" t="s">
        <v>108</v>
      </c>
      <c r="V777" t="s">
        <v>1098</v>
      </c>
      <c r="W777" t="s">
        <v>430</v>
      </c>
      <c r="X777" t="s">
        <v>468</v>
      </c>
    </row>
    <row r="778" spans="21:24" x14ac:dyDescent="0.45">
      <c r="U778" t="s">
        <v>108</v>
      </c>
      <c r="V778" t="s">
        <v>1099</v>
      </c>
      <c r="W778" t="s">
        <v>430</v>
      </c>
      <c r="X778" t="s">
        <v>468</v>
      </c>
    </row>
    <row r="779" spans="21:24" x14ac:dyDescent="0.45">
      <c r="U779" t="s">
        <v>108</v>
      </c>
      <c r="V779" t="s">
        <v>1100</v>
      </c>
      <c r="W779" t="s">
        <v>430</v>
      </c>
      <c r="X779" t="s">
        <v>468</v>
      </c>
    </row>
    <row r="780" spans="21:24" x14ac:dyDescent="0.45">
      <c r="U780" t="s">
        <v>108</v>
      </c>
      <c r="V780" t="s">
        <v>1101</v>
      </c>
      <c r="W780" t="s">
        <v>430</v>
      </c>
      <c r="X780" t="s">
        <v>468</v>
      </c>
    </row>
    <row r="781" spans="21:24" x14ac:dyDescent="0.45">
      <c r="U781" t="s">
        <v>108</v>
      </c>
      <c r="V781" t="s">
        <v>1102</v>
      </c>
      <c r="W781" t="s">
        <v>430</v>
      </c>
      <c r="X781" t="s">
        <v>468</v>
      </c>
    </row>
    <row r="782" spans="21:24" x14ac:dyDescent="0.45">
      <c r="U782" t="s">
        <v>108</v>
      </c>
      <c r="V782" t="s">
        <v>1103</v>
      </c>
      <c r="W782" t="s">
        <v>430</v>
      </c>
      <c r="X782" t="s">
        <v>468</v>
      </c>
    </row>
    <row r="783" spans="21:24" x14ac:dyDescent="0.45">
      <c r="U783" t="s">
        <v>108</v>
      </c>
      <c r="V783" t="s">
        <v>1104</v>
      </c>
      <c r="W783" t="s">
        <v>430</v>
      </c>
      <c r="X783" t="s">
        <v>468</v>
      </c>
    </row>
    <row r="784" spans="21:24" x14ac:dyDescent="0.45">
      <c r="U784" t="s">
        <v>108</v>
      </c>
      <c r="V784" t="s">
        <v>1105</v>
      </c>
      <c r="W784" t="s">
        <v>430</v>
      </c>
      <c r="X784" t="s">
        <v>468</v>
      </c>
    </row>
    <row r="785" spans="21:24" x14ac:dyDescent="0.45">
      <c r="U785" t="s">
        <v>108</v>
      </c>
      <c r="V785" t="s">
        <v>1105</v>
      </c>
      <c r="W785" t="s">
        <v>466</v>
      </c>
      <c r="X785" t="s">
        <v>468</v>
      </c>
    </row>
    <row r="786" spans="21:24" x14ac:dyDescent="0.45">
      <c r="U786" t="s">
        <v>108</v>
      </c>
      <c r="V786" t="s">
        <v>1106</v>
      </c>
      <c r="W786" t="s">
        <v>430</v>
      </c>
      <c r="X786" t="s">
        <v>468</v>
      </c>
    </row>
    <row r="787" spans="21:24" x14ac:dyDescent="0.45">
      <c r="U787" t="s">
        <v>108</v>
      </c>
      <c r="V787" t="s">
        <v>1106</v>
      </c>
      <c r="W787" t="s">
        <v>466</v>
      </c>
      <c r="X787" t="s">
        <v>468</v>
      </c>
    </row>
    <row r="788" spans="21:24" x14ac:dyDescent="0.45">
      <c r="U788" t="s">
        <v>108</v>
      </c>
      <c r="V788" t="s">
        <v>1107</v>
      </c>
      <c r="W788" t="s">
        <v>430</v>
      </c>
      <c r="X788" t="s">
        <v>468</v>
      </c>
    </row>
    <row r="789" spans="21:24" x14ac:dyDescent="0.45">
      <c r="U789" t="s">
        <v>108</v>
      </c>
      <c r="V789" t="s">
        <v>1107</v>
      </c>
      <c r="W789" t="s">
        <v>466</v>
      </c>
      <c r="X789" t="s">
        <v>468</v>
      </c>
    </row>
    <row r="790" spans="21:24" x14ac:dyDescent="0.45">
      <c r="U790" t="s">
        <v>108</v>
      </c>
      <c r="V790" t="s">
        <v>1108</v>
      </c>
      <c r="W790" t="s">
        <v>466</v>
      </c>
      <c r="X790" t="s">
        <v>468</v>
      </c>
    </row>
    <row r="791" spans="21:24" x14ac:dyDescent="0.45">
      <c r="U791" t="s">
        <v>108</v>
      </c>
      <c r="V791" t="s">
        <v>1109</v>
      </c>
      <c r="W791" t="s">
        <v>466</v>
      </c>
      <c r="X791" t="s">
        <v>468</v>
      </c>
    </row>
    <row r="792" spans="21:24" x14ac:dyDescent="0.45">
      <c r="U792" t="s">
        <v>108</v>
      </c>
      <c r="V792" t="s">
        <v>1110</v>
      </c>
      <c r="W792" t="s">
        <v>466</v>
      </c>
      <c r="X792" t="s">
        <v>468</v>
      </c>
    </row>
    <row r="793" spans="21:24" x14ac:dyDescent="0.45">
      <c r="U793" t="s">
        <v>108</v>
      </c>
      <c r="V793" t="s">
        <v>1110</v>
      </c>
      <c r="W793" t="s">
        <v>430</v>
      </c>
      <c r="X793" t="s">
        <v>403</v>
      </c>
    </row>
    <row r="794" spans="21:24" x14ac:dyDescent="0.45">
      <c r="U794" t="s">
        <v>108</v>
      </c>
      <c r="V794" t="s">
        <v>1111</v>
      </c>
      <c r="W794" t="s">
        <v>466</v>
      </c>
      <c r="X794" t="s">
        <v>468</v>
      </c>
    </row>
    <row r="795" spans="21:24" x14ac:dyDescent="0.45">
      <c r="U795" t="s">
        <v>108</v>
      </c>
      <c r="V795" t="s">
        <v>1111</v>
      </c>
      <c r="W795" t="s">
        <v>430</v>
      </c>
      <c r="X795" t="s">
        <v>403</v>
      </c>
    </row>
    <row r="796" spans="21:24" x14ac:dyDescent="0.45">
      <c r="U796" t="s">
        <v>108</v>
      </c>
      <c r="V796" t="s">
        <v>1112</v>
      </c>
      <c r="W796" t="s">
        <v>431</v>
      </c>
      <c r="X796" t="s">
        <v>468</v>
      </c>
    </row>
    <row r="797" spans="21:24" x14ac:dyDescent="0.45">
      <c r="U797" t="s">
        <v>108</v>
      </c>
      <c r="V797" t="s">
        <v>1113</v>
      </c>
      <c r="W797" t="s">
        <v>431</v>
      </c>
      <c r="X797" t="s">
        <v>468</v>
      </c>
    </row>
    <row r="798" spans="21:24" x14ac:dyDescent="0.45">
      <c r="U798" t="s">
        <v>108</v>
      </c>
      <c r="V798" t="s">
        <v>1114</v>
      </c>
      <c r="W798" t="s">
        <v>431</v>
      </c>
      <c r="X798" t="s">
        <v>468</v>
      </c>
    </row>
    <row r="799" spans="21:24" x14ac:dyDescent="0.45">
      <c r="U799" t="s">
        <v>108</v>
      </c>
      <c r="V799" t="s">
        <v>1115</v>
      </c>
      <c r="W799" t="s">
        <v>431</v>
      </c>
      <c r="X799" t="s">
        <v>468</v>
      </c>
    </row>
    <row r="800" spans="21:24" x14ac:dyDescent="0.45">
      <c r="U800" t="s">
        <v>108</v>
      </c>
      <c r="V800" t="s">
        <v>1116</v>
      </c>
      <c r="W800" t="s">
        <v>431</v>
      </c>
      <c r="X800" t="s">
        <v>468</v>
      </c>
    </row>
    <row r="801" spans="21:24" x14ac:dyDescent="0.45">
      <c r="U801" t="s">
        <v>108</v>
      </c>
      <c r="V801" t="s">
        <v>1117</v>
      </c>
      <c r="W801" t="s">
        <v>431</v>
      </c>
      <c r="X801" t="s">
        <v>468</v>
      </c>
    </row>
    <row r="802" spans="21:24" x14ac:dyDescent="0.45">
      <c r="U802" t="s">
        <v>108</v>
      </c>
      <c r="V802" t="s">
        <v>1118</v>
      </c>
      <c r="W802" t="s">
        <v>431</v>
      </c>
      <c r="X802" t="s">
        <v>468</v>
      </c>
    </row>
    <row r="803" spans="21:24" x14ac:dyDescent="0.45">
      <c r="U803" t="s">
        <v>108</v>
      </c>
      <c r="V803" t="s">
        <v>1119</v>
      </c>
      <c r="W803" t="s">
        <v>431</v>
      </c>
      <c r="X803" t="s">
        <v>468</v>
      </c>
    </row>
    <row r="804" spans="21:24" x14ac:dyDescent="0.45">
      <c r="U804" t="s">
        <v>108</v>
      </c>
      <c r="V804" t="s">
        <v>1120</v>
      </c>
      <c r="W804" t="s">
        <v>431</v>
      </c>
      <c r="X804" t="s">
        <v>468</v>
      </c>
    </row>
    <row r="805" spans="21:24" x14ac:dyDescent="0.45">
      <c r="U805" t="s">
        <v>108</v>
      </c>
      <c r="V805" t="s">
        <v>1121</v>
      </c>
      <c r="W805" t="s">
        <v>431</v>
      </c>
      <c r="X805" t="s">
        <v>468</v>
      </c>
    </row>
    <row r="806" spans="21:24" x14ac:dyDescent="0.45">
      <c r="U806" t="s">
        <v>108</v>
      </c>
      <c r="V806" t="s">
        <v>1122</v>
      </c>
      <c r="W806" t="s">
        <v>431</v>
      </c>
      <c r="X806" t="s">
        <v>468</v>
      </c>
    </row>
    <row r="807" spans="21:24" x14ac:dyDescent="0.45">
      <c r="U807" t="s">
        <v>108</v>
      </c>
      <c r="V807" t="s">
        <v>1122</v>
      </c>
      <c r="W807" t="s">
        <v>1123</v>
      </c>
      <c r="X807" t="s">
        <v>468</v>
      </c>
    </row>
    <row r="808" spans="21:24" x14ac:dyDescent="0.45">
      <c r="U808" t="s">
        <v>108</v>
      </c>
      <c r="V808" t="s">
        <v>1124</v>
      </c>
      <c r="W808" t="s">
        <v>431</v>
      </c>
      <c r="X808" t="s">
        <v>468</v>
      </c>
    </row>
    <row r="809" spans="21:24" x14ac:dyDescent="0.45">
      <c r="U809" t="s">
        <v>108</v>
      </c>
      <c r="V809" t="s">
        <v>1124</v>
      </c>
      <c r="W809" t="s">
        <v>1123</v>
      </c>
      <c r="X809" t="s">
        <v>468</v>
      </c>
    </row>
    <row r="810" spans="21:24" x14ac:dyDescent="0.45">
      <c r="U810" t="s">
        <v>108</v>
      </c>
      <c r="V810" t="s">
        <v>1125</v>
      </c>
      <c r="W810" t="s">
        <v>431</v>
      </c>
      <c r="X810" t="s">
        <v>468</v>
      </c>
    </row>
    <row r="811" spans="21:24" x14ac:dyDescent="0.45">
      <c r="U811" t="s">
        <v>108</v>
      </c>
      <c r="V811" t="s">
        <v>1125</v>
      </c>
      <c r="W811" t="s">
        <v>1123</v>
      </c>
      <c r="X811" t="s">
        <v>468</v>
      </c>
    </row>
    <row r="812" spans="21:24" x14ac:dyDescent="0.45">
      <c r="U812" t="s">
        <v>108</v>
      </c>
      <c r="V812" t="s">
        <v>1126</v>
      </c>
      <c r="W812" t="s">
        <v>1123</v>
      </c>
      <c r="X812" t="s">
        <v>468</v>
      </c>
    </row>
    <row r="813" spans="21:24" x14ac:dyDescent="0.45">
      <c r="U813" t="s">
        <v>108</v>
      </c>
      <c r="V813" t="s">
        <v>1127</v>
      </c>
      <c r="W813" t="s">
        <v>1123</v>
      </c>
      <c r="X813" t="s">
        <v>468</v>
      </c>
    </row>
    <row r="814" spans="21:24" x14ac:dyDescent="0.45">
      <c r="U814" t="s">
        <v>108</v>
      </c>
      <c r="V814" t="s">
        <v>1128</v>
      </c>
      <c r="W814" t="s">
        <v>1123</v>
      </c>
      <c r="X814" t="s">
        <v>468</v>
      </c>
    </row>
    <row r="815" spans="21:24" x14ac:dyDescent="0.45">
      <c r="U815" t="s">
        <v>108</v>
      </c>
      <c r="V815" t="s">
        <v>1128</v>
      </c>
      <c r="W815" t="s">
        <v>431</v>
      </c>
      <c r="X815" t="s">
        <v>403</v>
      </c>
    </row>
    <row r="816" spans="21:24" x14ac:dyDescent="0.45">
      <c r="U816" t="s">
        <v>108</v>
      </c>
      <c r="V816" t="s">
        <v>1129</v>
      </c>
      <c r="W816" t="s">
        <v>1123</v>
      </c>
      <c r="X816" t="s">
        <v>468</v>
      </c>
    </row>
    <row r="817" spans="21:24" x14ac:dyDescent="0.45">
      <c r="U817" t="s">
        <v>108</v>
      </c>
      <c r="V817" t="s">
        <v>1129</v>
      </c>
      <c r="W817" t="s">
        <v>431</v>
      </c>
      <c r="X817" t="s">
        <v>403</v>
      </c>
    </row>
    <row r="818" spans="21:24" x14ac:dyDescent="0.45">
      <c r="U818" t="s">
        <v>108</v>
      </c>
      <c r="V818" t="s">
        <v>1130</v>
      </c>
      <c r="W818" t="s">
        <v>447</v>
      </c>
      <c r="X818" t="s">
        <v>468</v>
      </c>
    </row>
    <row r="819" spans="21:24" x14ac:dyDescent="0.45">
      <c r="U819" t="s">
        <v>108</v>
      </c>
      <c r="V819" t="s">
        <v>1131</v>
      </c>
      <c r="W819" t="s">
        <v>447</v>
      </c>
      <c r="X819" t="s">
        <v>468</v>
      </c>
    </row>
    <row r="820" spans="21:24" x14ac:dyDescent="0.45">
      <c r="U820" t="s">
        <v>108</v>
      </c>
      <c r="V820" t="s">
        <v>1132</v>
      </c>
      <c r="W820" t="s">
        <v>447</v>
      </c>
      <c r="X820" t="s">
        <v>468</v>
      </c>
    </row>
    <row r="821" spans="21:24" x14ac:dyDescent="0.45">
      <c r="U821" t="s">
        <v>108</v>
      </c>
      <c r="V821" t="s">
        <v>1133</v>
      </c>
      <c r="W821" t="s">
        <v>447</v>
      </c>
      <c r="X821" t="s">
        <v>468</v>
      </c>
    </row>
    <row r="822" spans="21:24" x14ac:dyDescent="0.45">
      <c r="U822" t="s">
        <v>108</v>
      </c>
      <c r="V822" t="s">
        <v>1134</v>
      </c>
      <c r="W822" t="s">
        <v>447</v>
      </c>
      <c r="X822" t="s">
        <v>468</v>
      </c>
    </row>
    <row r="823" spans="21:24" x14ac:dyDescent="0.45">
      <c r="U823" t="s">
        <v>108</v>
      </c>
      <c r="V823" t="s">
        <v>1135</v>
      </c>
      <c r="W823" t="s">
        <v>447</v>
      </c>
      <c r="X823" t="s">
        <v>468</v>
      </c>
    </row>
    <row r="824" spans="21:24" x14ac:dyDescent="0.45">
      <c r="U824" t="s">
        <v>108</v>
      </c>
      <c r="V824" t="s">
        <v>1136</v>
      </c>
      <c r="W824" t="s">
        <v>447</v>
      </c>
      <c r="X824" t="s">
        <v>468</v>
      </c>
    </row>
    <row r="825" spans="21:24" x14ac:dyDescent="0.45">
      <c r="U825" t="s">
        <v>108</v>
      </c>
      <c r="V825" t="s">
        <v>1137</v>
      </c>
      <c r="W825" t="s">
        <v>447</v>
      </c>
      <c r="X825" t="s">
        <v>468</v>
      </c>
    </row>
    <row r="826" spans="21:24" x14ac:dyDescent="0.45">
      <c r="U826" t="s">
        <v>108</v>
      </c>
      <c r="V826" t="s">
        <v>1138</v>
      </c>
      <c r="W826" t="s">
        <v>447</v>
      </c>
      <c r="X826" t="s">
        <v>468</v>
      </c>
    </row>
    <row r="827" spans="21:24" x14ac:dyDescent="0.45">
      <c r="U827" t="s">
        <v>108</v>
      </c>
      <c r="V827" t="s">
        <v>1139</v>
      </c>
      <c r="W827" t="s">
        <v>447</v>
      </c>
      <c r="X827" t="s">
        <v>468</v>
      </c>
    </row>
    <row r="828" spans="21:24" x14ac:dyDescent="0.45">
      <c r="U828" t="s">
        <v>108</v>
      </c>
      <c r="V828" t="s">
        <v>1140</v>
      </c>
      <c r="W828" t="s">
        <v>447</v>
      </c>
      <c r="X828" t="s">
        <v>468</v>
      </c>
    </row>
    <row r="829" spans="21:24" x14ac:dyDescent="0.45">
      <c r="U829" t="s">
        <v>108</v>
      </c>
      <c r="V829" t="s">
        <v>1140</v>
      </c>
      <c r="W829" t="s">
        <v>1141</v>
      </c>
      <c r="X829" t="s">
        <v>468</v>
      </c>
    </row>
    <row r="830" spans="21:24" x14ac:dyDescent="0.45">
      <c r="U830" t="s">
        <v>108</v>
      </c>
      <c r="V830" t="s">
        <v>1142</v>
      </c>
      <c r="W830" t="s">
        <v>447</v>
      </c>
      <c r="X830" t="s">
        <v>468</v>
      </c>
    </row>
    <row r="831" spans="21:24" x14ac:dyDescent="0.45">
      <c r="U831" t="s">
        <v>108</v>
      </c>
      <c r="V831" t="s">
        <v>1142</v>
      </c>
      <c r="W831" t="s">
        <v>1141</v>
      </c>
      <c r="X831" t="s">
        <v>468</v>
      </c>
    </row>
    <row r="832" spans="21:24" x14ac:dyDescent="0.45">
      <c r="U832" t="s">
        <v>108</v>
      </c>
      <c r="V832" t="s">
        <v>1143</v>
      </c>
      <c r="W832" t="s">
        <v>447</v>
      </c>
      <c r="X832" t="s">
        <v>468</v>
      </c>
    </row>
    <row r="833" spans="21:24" x14ac:dyDescent="0.45">
      <c r="U833" t="s">
        <v>108</v>
      </c>
      <c r="V833" t="s">
        <v>1143</v>
      </c>
      <c r="W833" t="s">
        <v>1141</v>
      </c>
      <c r="X833" t="s">
        <v>468</v>
      </c>
    </row>
    <row r="834" spans="21:24" x14ac:dyDescent="0.45">
      <c r="U834" t="s">
        <v>108</v>
      </c>
      <c r="V834" t="s">
        <v>1144</v>
      </c>
      <c r="W834" t="s">
        <v>1141</v>
      </c>
      <c r="X834" t="s">
        <v>468</v>
      </c>
    </row>
    <row r="835" spans="21:24" x14ac:dyDescent="0.45">
      <c r="U835" t="s">
        <v>108</v>
      </c>
      <c r="V835" t="s">
        <v>1145</v>
      </c>
      <c r="W835" t="s">
        <v>1141</v>
      </c>
      <c r="X835" t="s">
        <v>468</v>
      </c>
    </row>
    <row r="836" spans="21:24" x14ac:dyDescent="0.45">
      <c r="U836" t="s">
        <v>108</v>
      </c>
      <c r="V836" t="s">
        <v>1146</v>
      </c>
      <c r="W836" t="s">
        <v>1141</v>
      </c>
      <c r="X836" t="s">
        <v>468</v>
      </c>
    </row>
    <row r="837" spans="21:24" x14ac:dyDescent="0.45">
      <c r="U837" t="s">
        <v>108</v>
      </c>
      <c r="V837" t="s">
        <v>1146</v>
      </c>
      <c r="W837" t="s">
        <v>447</v>
      </c>
      <c r="X837" t="s">
        <v>403</v>
      </c>
    </row>
    <row r="838" spans="21:24" x14ac:dyDescent="0.45">
      <c r="U838" t="s">
        <v>108</v>
      </c>
      <c r="V838" t="s">
        <v>1147</v>
      </c>
      <c r="W838" t="s">
        <v>1141</v>
      </c>
      <c r="X838" t="s">
        <v>468</v>
      </c>
    </row>
    <row r="839" spans="21:24" x14ac:dyDescent="0.45">
      <c r="U839" t="s">
        <v>108</v>
      </c>
      <c r="V839" t="s">
        <v>1147</v>
      </c>
      <c r="W839" t="s">
        <v>447</v>
      </c>
      <c r="X839" t="s">
        <v>403</v>
      </c>
    </row>
    <row r="840" spans="21:24" x14ac:dyDescent="0.45">
      <c r="U840" t="s">
        <v>108</v>
      </c>
      <c r="V840" t="s">
        <v>1148</v>
      </c>
      <c r="W840" t="s">
        <v>432</v>
      </c>
      <c r="X840" t="s">
        <v>468</v>
      </c>
    </row>
    <row r="841" spans="21:24" x14ac:dyDescent="0.45">
      <c r="U841" t="s">
        <v>108</v>
      </c>
      <c r="V841" t="s">
        <v>1149</v>
      </c>
      <c r="W841" t="s">
        <v>432</v>
      </c>
      <c r="X841" t="s">
        <v>468</v>
      </c>
    </row>
    <row r="842" spans="21:24" x14ac:dyDescent="0.45">
      <c r="U842" t="s">
        <v>108</v>
      </c>
      <c r="V842" t="s">
        <v>1150</v>
      </c>
      <c r="W842" t="s">
        <v>432</v>
      </c>
      <c r="X842" t="s">
        <v>468</v>
      </c>
    </row>
    <row r="843" spans="21:24" x14ac:dyDescent="0.45">
      <c r="U843" t="s">
        <v>108</v>
      </c>
      <c r="V843" t="s">
        <v>1151</v>
      </c>
      <c r="W843" t="s">
        <v>432</v>
      </c>
      <c r="X843" t="s">
        <v>468</v>
      </c>
    </row>
    <row r="844" spans="21:24" x14ac:dyDescent="0.45">
      <c r="U844" t="s">
        <v>108</v>
      </c>
      <c r="V844" t="s">
        <v>1152</v>
      </c>
      <c r="W844" t="s">
        <v>432</v>
      </c>
      <c r="X844" t="s">
        <v>468</v>
      </c>
    </row>
    <row r="845" spans="21:24" x14ac:dyDescent="0.45">
      <c r="U845" t="s">
        <v>108</v>
      </c>
      <c r="V845" t="s">
        <v>1153</v>
      </c>
      <c r="W845" t="s">
        <v>432</v>
      </c>
      <c r="X845" t="s">
        <v>468</v>
      </c>
    </row>
    <row r="846" spans="21:24" x14ac:dyDescent="0.45">
      <c r="U846" t="s">
        <v>108</v>
      </c>
      <c r="V846" t="s">
        <v>1154</v>
      </c>
      <c r="W846" t="s">
        <v>432</v>
      </c>
      <c r="X846" t="s">
        <v>468</v>
      </c>
    </row>
    <row r="847" spans="21:24" x14ac:dyDescent="0.45">
      <c r="U847" t="s">
        <v>108</v>
      </c>
      <c r="V847" t="s">
        <v>1155</v>
      </c>
      <c r="W847" t="s">
        <v>432</v>
      </c>
      <c r="X847" t="s">
        <v>468</v>
      </c>
    </row>
    <row r="848" spans="21:24" x14ac:dyDescent="0.45">
      <c r="U848" t="s">
        <v>108</v>
      </c>
      <c r="V848" t="s">
        <v>1156</v>
      </c>
      <c r="W848" t="s">
        <v>432</v>
      </c>
      <c r="X848" t="s">
        <v>468</v>
      </c>
    </row>
    <row r="849" spans="21:24" x14ac:dyDescent="0.45">
      <c r="U849" t="s">
        <v>108</v>
      </c>
      <c r="V849" t="s">
        <v>1157</v>
      </c>
      <c r="W849" t="s">
        <v>432</v>
      </c>
      <c r="X849" t="s">
        <v>468</v>
      </c>
    </row>
    <row r="850" spans="21:24" x14ac:dyDescent="0.45">
      <c r="U850" t="s">
        <v>108</v>
      </c>
      <c r="V850" t="s">
        <v>1158</v>
      </c>
      <c r="W850" t="s">
        <v>432</v>
      </c>
      <c r="X850" t="s">
        <v>468</v>
      </c>
    </row>
    <row r="851" spans="21:24" x14ac:dyDescent="0.45">
      <c r="U851" t="s">
        <v>108</v>
      </c>
      <c r="V851" t="s">
        <v>1158</v>
      </c>
      <c r="W851" t="s">
        <v>1159</v>
      </c>
      <c r="X851" t="s">
        <v>468</v>
      </c>
    </row>
    <row r="852" spans="21:24" x14ac:dyDescent="0.45">
      <c r="U852" t="s">
        <v>108</v>
      </c>
      <c r="V852" t="s">
        <v>1160</v>
      </c>
      <c r="W852" t="s">
        <v>432</v>
      </c>
      <c r="X852" t="s">
        <v>468</v>
      </c>
    </row>
    <row r="853" spans="21:24" x14ac:dyDescent="0.45">
      <c r="U853" t="s">
        <v>108</v>
      </c>
      <c r="V853" t="s">
        <v>1160</v>
      </c>
      <c r="W853" t="s">
        <v>1159</v>
      </c>
      <c r="X853" t="s">
        <v>468</v>
      </c>
    </row>
    <row r="854" spans="21:24" x14ac:dyDescent="0.45">
      <c r="U854" t="s">
        <v>108</v>
      </c>
      <c r="V854" t="s">
        <v>1161</v>
      </c>
      <c r="W854" t="s">
        <v>432</v>
      </c>
      <c r="X854" t="s">
        <v>468</v>
      </c>
    </row>
    <row r="855" spans="21:24" x14ac:dyDescent="0.45">
      <c r="U855" t="s">
        <v>108</v>
      </c>
      <c r="V855" t="s">
        <v>1161</v>
      </c>
      <c r="W855" t="s">
        <v>1159</v>
      </c>
      <c r="X855" t="s">
        <v>468</v>
      </c>
    </row>
    <row r="856" spans="21:24" x14ac:dyDescent="0.45">
      <c r="U856" t="s">
        <v>108</v>
      </c>
      <c r="V856" t="s">
        <v>1162</v>
      </c>
      <c r="W856" t="s">
        <v>1159</v>
      </c>
      <c r="X856" t="s">
        <v>468</v>
      </c>
    </row>
    <row r="857" spans="21:24" x14ac:dyDescent="0.45">
      <c r="U857" t="s">
        <v>108</v>
      </c>
      <c r="V857" t="s">
        <v>1163</v>
      </c>
      <c r="W857" t="s">
        <v>1159</v>
      </c>
      <c r="X857" t="s">
        <v>468</v>
      </c>
    </row>
    <row r="858" spans="21:24" x14ac:dyDescent="0.45">
      <c r="U858" t="s">
        <v>108</v>
      </c>
      <c r="V858" t="s">
        <v>1164</v>
      </c>
      <c r="W858" t="s">
        <v>1159</v>
      </c>
      <c r="X858" t="s">
        <v>468</v>
      </c>
    </row>
    <row r="859" spans="21:24" x14ac:dyDescent="0.45">
      <c r="U859" t="s">
        <v>108</v>
      </c>
      <c r="V859" t="s">
        <v>1164</v>
      </c>
      <c r="W859" t="s">
        <v>432</v>
      </c>
      <c r="X859" t="s">
        <v>403</v>
      </c>
    </row>
    <row r="860" spans="21:24" x14ac:dyDescent="0.45">
      <c r="U860" t="s">
        <v>108</v>
      </c>
      <c r="V860" t="s">
        <v>1165</v>
      </c>
      <c r="W860" t="s">
        <v>1159</v>
      </c>
      <c r="X860" t="s">
        <v>468</v>
      </c>
    </row>
    <row r="861" spans="21:24" x14ac:dyDescent="0.45">
      <c r="U861" t="s">
        <v>108</v>
      </c>
      <c r="V861" t="s">
        <v>1165</v>
      </c>
      <c r="W861" t="s">
        <v>432</v>
      </c>
      <c r="X861" t="s">
        <v>403</v>
      </c>
    </row>
    <row r="862" spans="21:24" x14ac:dyDescent="0.45">
      <c r="U862" t="s">
        <v>108</v>
      </c>
      <c r="V862" t="s">
        <v>1166</v>
      </c>
      <c r="W862" t="s">
        <v>448</v>
      </c>
      <c r="X862" t="s">
        <v>468</v>
      </c>
    </row>
    <row r="863" spans="21:24" x14ac:dyDescent="0.45">
      <c r="U863" t="s">
        <v>108</v>
      </c>
      <c r="V863" t="s">
        <v>1167</v>
      </c>
      <c r="W863" t="s">
        <v>448</v>
      </c>
      <c r="X863" t="s">
        <v>468</v>
      </c>
    </row>
    <row r="864" spans="21:24" x14ac:dyDescent="0.45">
      <c r="U864" t="s">
        <v>108</v>
      </c>
      <c r="V864" t="s">
        <v>1168</v>
      </c>
      <c r="W864" t="s">
        <v>448</v>
      </c>
      <c r="X864" t="s">
        <v>468</v>
      </c>
    </row>
    <row r="865" spans="21:24" x14ac:dyDescent="0.45">
      <c r="U865" t="s">
        <v>108</v>
      </c>
      <c r="V865" t="s">
        <v>1169</v>
      </c>
      <c r="W865" t="s">
        <v>448</v>
      </c>
      <c r="X865" t="s">
        <v>468</v>
      </c>
    </row>
    <row r="866" spans="21:24" x14ac:dyDescent="0.45">
      <c r="U866" t="s">
        <v>108</v>
      </c>
      <c r="V866" t="s">
        <v>1170</v>
      </c>
      <c r="W866" t="s">
        <v>448</v>
      </c>
      <c r="X866" t="s">
        <v>468</v>
      </c>
    </row>
    <row r="867" spans="21:24" x14ac:dyDescent="0.45">
      <c r="U867" t="s">
        <v>108</v>
      </c>
      <c r="V867" t="s">
        <v>1171</v>
      </c>
      <c r="W867" t="s">
        <v>448</v>
      </c>
      <c r="X867" t="s">
        <v>468</v>
      </c>
    </row>
    <row r="868" spans="21:24" x14ac:dyDescent="0.45">
      <c r="U868" t="s">
        <v>108</v>
      </c>
      <c r="V868" t="s">
        <v>1172</v>
      </c>
      <c r="W868" t="s">
        <v>448</v>
      </c>
      <c r="X868" t="s">
        <v>468</v>
      </c>
    </row>
    <row r="869" spans="21:24" x14ac:dyDescent="0.45">
      <c r="U869" t="s">
        <v>108</v>
      </c>
      <c r="V869" t="s">
        <v>1173</v>
      </c>
      <c r="W869" t="s">
        <v>448</v>
      </c>
      <c r="X869" t="s">
        <v>468</v>
      </c>
    </row>
    <row r="870" spans="21:24" x14ac:dyDescent="0.45">
      <c r="U870" t="s">
        <v>108</v>
      </c>
      <c r="V870" t="s">
        <v>1174</v>
      </c>
      <c r="W870" t="s">
        <v>448</v>
      </c>
      <c r="X870" t="s">
        <v>468</v>
      </c>
    </row>
    <row r="871" spans="21:24" x14ac:dyDescent="0.45">
      <c r="U871" t="s">
        <v>108</v>
      </c>
      <c r="V871" t="s">
        <v>1175</v>
      </c>
      <c r="W871" t="s">
        <v>448</v>
      </c>
      <c r="X871" t="s">
        <v>468</v>
      </c>
    </row>
    <row r="872" spans="21:24" x14ac:dyDescent="0.45">
      <c r="U872" t="s">
        <v>108</v>
      </c>
      <c r="V872" t="s">
        <v>1176</v>
      </c>
      <c r="W872" t="s">
        <v>448</v>
      </c>
      <c r="X872" t="s">
        <v>468</v>
      </c>
    </row>
    <row r="873" spans="21:24" x14ac:dyDescent="0.45">
      <c r="U873" t="s">
        <v>108</v>
      </c>
      <c r="V873" t="s">
        <v>1176</v>
      </c>
      <c r="W873" t="s">
        <v>1177</v>
      </c>
      <c r="X873" t="s">
        <v>468</v>
      </c>
    </row>
    <row r="874" spans="21:24" x14ac:dyDescent="0.45">
      <c r="U874" t="s">
        <v>108</v>
      </c>
      <c r="V874" t="s">
        <v>1178</v>
      </c>
      <c r="W874" t="s">
        <v>448</v>
      </c>
      <c r="X874" t="s">
        <v>468</v>
      </c>
    </row>
    <row r="875" spans="21:24" x14ac:dyDescent="0.45">
      <c r="U875" t="s">
        <v>108</v>
      </c>
      <c r="V875" t="s">
        <v>1178</v>
      </c>
      <c r="W875" t="s">
        <v>1177</v>
      </c>
      <c r="X875" t="s">
        <v>468</v>
      </c>
    </row>
    <row r="876" spans="21:24" x14ac:dyDescent="0.45">
      <c r="U876" t="s">
        <v>108</v>
      </c>
      <c r="V876" t="s">
        <v>1179</v>
      </c>
      <c r="W876" t="s">
        <v>448</v>
      </c>
      <c r="X876" t="s">
        <v>468</v>
      </c>
    </row>
    <row r="877" spans="21:24" x14ac:dyDescent="0.45">
      <c r="U877" t="s">
        <v>108</v>
      </c>
      <c r="V877" t="s">
        <v>1179</v>
      </c>
      <c r="W877" t="s">
        <v>1177</v>
      </c>
      <c r="X877" t="s">
        <v>468</v>
      </c>
    </row>
    <row r="878" spans="21:24" x14ac:dyDescent="0.45">
      <c r="U878" t="s">
        <v>108</v>
      </c>
      <c r="V878" t="s">
        <v>1180</v>
      </c>
      <c r="W878" t="s">
        <v>1177</v>
      </c>
      <c r="X878" t="s">
        <v>468</v>
      </c>
    </row>
    <row r="879" spans="21:24" x14ac:dyDescent="0.45">
      <c r="U879" t="s">
        <v>108</v>
      </c>
      <c r="V879" t="s">
        <v>1181</v>
      </c>
      <c r="W879" t="s">
        <v>1177</v>
      </c>
      <c r="X879" t="s">
        <v>468</v>
      </c>
    </row>
    <row r="880" spans="21:24" x14ac:dyDescent="0.45">
      <c r="U880" t="s">
        <v>108</v>
      </c>
      <c r="V880" t="s">
        <v>1182</v>
      </c>
      <c r="W880" t="s">
        <v>1177</v>
      </c>
      <c r="X880" t="s">
        <v>468</v>
      </c>
    </row>
    <row r="881" spans="21:24" x14ac:dyDescent="0.45">
      <c r="U881" t="s">
        <v>108</v>
      </c>
      <c r="V881" t="s">
        <v>1182</v>
      </c>
      <c r="W881" t="s">
        <v>448</v>
      </c>
      <c r="X881" t="s">
        <v>403</v>
      </c>
    </row>
    <row r="882" spans="21:24" x14ac:dyDescent="0.45">
      <c r="U882" t="s">
        <v>108</v>
      </c>
      <c r="V882" t="s">
        <v>1183</v>
      </c>
      <c r="W882" t="s">
        <v>1177</v>
      </c>
      <c r="X882" t="s">
        <v>468</v>
      </c>
    </row>
    <row r="883" spans="21:24" x14ac:dyDescent="0.45">
      <c r="U883" t="s">
        <v>108</v>
      </c>
      <c r="V883" t="s">
        <v>1183</v>
      </c>
      <c r="W883" t="s">
        <v>448</v>
      </c>
      <c r="X883" t="s">
        <v>403</v>
      </c>
    </row>
    <row r="884" spans="21:24" x14ac:dyDescent="0.45">
      <c r="U884" t="s">
        <v>108</v>
      </c>
      <c r="V884" t="s">
        <v>1184</v>
      </c>
      <c r="W884" t="s">
        <v>433</v>
      </c>
      <c r="X884" t="s">
        <v>468</v>
      </c>
    </row>
    <row r="885" spans="21:24" x14ac:dyDescent="0.45">
      <c r="U885" t="s">
        <v>108</v>
      </c>
      <c r="V885" t="s">
        <v>1185</v>
      </c>
      <c r="W885" t="s">
        <v>433</v>
      </c>
      <c r="X885" t="s">
        <v>468</v>
      </c>
    </row>
    <row r="886" spans="21:24" x14ac:dyDescent="0.45">
      <c r="U886" t="s">
        <v>108</v>
      </c>
      <c r="V886" t="s">
        <v>1186</v>
      </c>
      <c r="W886" t="s">
        <v>433</v>
      </c>
      <c r="X886" t="s">
        <v>468</v>
      </c>
    </row>
    <row r="887" spans="21:24" x14ac:dyDescent="0.45">
      <c r="U887" t="s">
        <v>108</v>
      </c>
      <c r="V887" t="s">
        <v>1187</v>
      </c>
      <c r="W887" t="s">
        <v>433</v>
      </c>
      <c r="X887" t="s">
        <v>468</v>
      </c>
    </row>
    <row r="888" spans="21:24" x14ac:dyDescent="0.45">
      <c r="U888" t="s">
        <v>108</v>
      </c>
      <c r="V888" t="s">
        <v>1188</v>
      </c>
      <c r="W888" t="s">
        <v>433</v>
      </c>
      <c r="X888" t="s">
        <v>468</v>
      </c>
    </row>
    <row r="889" spans="21:24" x14ac:dyDescent="0.45">
      <c r="U889" t="s">
        <v>108</v>
      </c>
      <c r="V889" t="s">
        <v>1189</v>
      </c>
      <c r="W889" t="s">
        <v>433</v>
      </c>
      <c r="X889" t="s">
        <v>468</v>
      </c>
    </row>
    <row r="890" spans="21:24" x14ac:dyDescent="0.45">
      <c r="U890" t="s">
        <v>108</v>
      </c>
      <c r="V890" t="s">
        <v>1190</v>
      </c>
      <c r="W890" t="s">
        <v>433</v>
      </c>
      <c r="X890" t="s">
        <v>468</v>
      </c>
    </row>
    <row r="891" spans="21:24" x14ac:dyDescent="0.45">
      <c r="U891" t="s">
        <v>108</v>
      </c>
      <c r="V891" t="s">
        <v>1191</v>
      </c>
      <c r="W891" t="s">
        <v>433</v>
      </c>
      <c r="X891" t="s">
        <v>468</v>
      </c>
    </row>
    <row r="892" spans="21:24" x14ac:dyDescent="0.45">
      <c r="U892" t="s">
        <v>108</v>
      </c>
      <c r="V892" t="s">
        <v>1192</v>
      </c>
      <c r="W892" t="s">
        <v>433</v>
      </c>
      <c r="X892" t="s">
        <v>468</v>
      </c>
    </row>
    <row r="893" spans="21:24" x14ac:dyDescent="0.45">
      <c r="U893" t="s">
        <v>108</v>
      </c>
      <c r="V893" t="s">
        <v>1193</v>
      </c>
      <c r="W893" t="s">
        <v>433</v>
      </c>
      <c r="X893" t="s">
        <v>468</v>
      </c>
    </row>
    <row r="894" spans="21:24" x14ac:dyDescent="0.45">
      <c r="U894" t="s">
        <v>108</v>
      </c>
      <c r="V894" t="s">
        <v>1194</v>
      </c>
      <c r="W894" t="s">
        <v>433</v>
      </c>
      <c r="X894" t="s">
        <v>468</v>
      </c>
    </row>
    <row r="895" spans="21:24" x14ac:dyDescent="0.45">
      <c r="U895" t="s">
        <v>108</v>
      </c>
      <c r="V895" t="s">
        <v>1194</v>
      </c>
      <c r="W895" t="s">
        <v>1195</v>
      </c>
      <c r="X895" t="s">
        <v>468</v>
      </c>
    </row>
    <row r="896" spans="21:24" x14ac:dyDescent="0.45">
      <c r="U896" t="s">
        <v>108</v>
      </c>
      <c r="V896" t="s">
        <v>1196</v>
      </c>
      <c r="W896" t="s">
        <v>433</v>
      </c>
      <c r="X896" t="s">
        <v>468</v>
      </c>
    </row>
    <row r="897" spans="21:24" x14ac:dyDescent="0.45">
      <c r="U897" t="s">
        <v>108</v>
      </c>
      <c r="V897" t="s">
        <v>1196</v>
      </c>
      <c r="W897" t="s">
        <v>1195</v>
      </c>
      <c r="X897" t="s">
        <v>468</v>
      </c>
    </row>
    <row r="898" spans="21:24" x14ac:dyDescent="0.45">
      <c r="U898" t="s">
        <v>108</v>
      </c>
      <c r="V898" t="s">
        <v>1197</v>
      </c>
      <c r="W898" t="s">
        <v>433</v>
      </c>
      <c r="X898" t="s">
        <v>468</v>
      </c>
    </row>
    <row r="899" spans="21:24" x14ac:dyDescent="0.45">
      <c r="U899" t="s">
        <v>108</v>
      </c>
      <c r="V899" t="s">
        <v>1197</v>
      </c>
      <c r="W899" t="s">
        <v>1195</v>
      </c>
      <c r="X899" t="s">
        <v>468</v>
      </c>
    </row>
    <row r="900" spans="21:24" x14ac:dyDescent="0.45">
      <c r="U900" t="s">
        <v>108</v>
      </c>
      <c r="V900" t="s">
        <v>1198</v>
      </c>
      <c r="W900" t="s">
        <v>1195</v>
      </c>
      <c r="X900" t="s">
        <v>468</v>
      </c>
    </row>
    <row r="901" spans="21:24" x14ac:dyDescent="0.45">
      <c r="U901" t="s">
        <v>108</v>
      </c>
      <c r="V901" t="s">
        <v>1199</v>
      </c>
      <c r="W901" t="s">
        <v>1195</v>
      </c>
      <c r="X901" t="s">
        <v>468</v>
      </c>
    </row>
    <row r="902" spans="21:24" x14ac:dyDescent="0.45">
      <c r="U902" t="s">
        <v>108</v>
      </c>
      <c r="V902" t="s">
        <v>1200</v>
      </c>
      <c r="W902" t="s">
        <v>1195</v>
      </c>
      <c r="X902" t="s">
        <v>468</v>
      </c>
    </row>
    <row r="903" spans="21:24" x14ac:dyDescent="0.45">
      <c r="U903" t="s">
        <v>108</v>
      </c>
      <c r="V903" t="s">
        <v>1200</v>
      </c>
      <c r="W903" t="s">
        <v>433</v>
      </c>
      <c r="X903" t="s">
        <v>403</v>
      </c>
    </row>
    <row r="904" spans="21:24" x14ac:dyDescent="0.45">
      <c r="U904" t="s">
        <v>108</v>
      </c>
      <c r="V904" t="s">
        <v>1201</v>
      </c>
      <c r="W904" t="s">
        <v>1195</v>
      </c>
      <c r="X904" t="s">
        <v>468</v>
      </c>
    </row>
    <row r="905" spans="21:24" x14ac:dyDescent="0.45">
      <c r="U905" t="s">
        <v>108</v>
      </c>
      <c r="V905" t="s">
        <v>1201</v>
      </c>
      <c r="W905" t="s">
        <v>433</v>
      </c>
      <c r="X905" t="s">
        <v>403</v>
      </c>
    </row>
    <row r="906" spans="21:24" x14ac:dyDescent="0.45">
      <c r="U906" t="s">
        <v>108</v>
      </c>
      <c r="V906" t="s">
        <v>1202</v>
      </c>
      <c r="W906" t="s">
        <v>434</v>
      </c>
      <c r="X906" t="s">
        <v>468</v>
      </c>
    </row>
    <row r="907" spans="21:24" x14ac:dyDescent="0.45">
      <c r="U907" t="s">
        <v>108</v>
      </c>
      <c r="V907" t="s">
        <v>1203</v>
      </c>
      <c r="W907" t="s">
        <v>434</v>
      </c>
      <c r="X907" t="s">
        <v>468</v>
      </c>
    </row>
    <row r="908" spans="21:24" x14ac:dyDescent="0.45">
      <c r="U908" t="s">
        <v>108</v>
      </c>
      <c r="V908" t="s">
        <v>1204</v>
      </c>
      <c r="W908" t="s">
        <v>434</v>
      </c>
      <c r="X908" t="s">
        <v>468</v>
      </c>
    </row>
    <row r="909" spans="21:24" x14ac:dyDescent="0.45">
      <c r="U909" t="s">
        <v>108</v>
      </c>
      <c r="V909" t="s">
        <v>1205</v>
      </c>
      <c r="W909" t="s">
        <v>434</v>
      </c>
      <c r="X909" t="s">
        <v>468</v>
      </c>
    </row>
    <row r="910" spans="21:24" x14ac:dyDescent="0.45">
      <c r="U910" t="s">
        <v>108</v>
      </c>
      <c r="V910" t="s">
        <v>1206</v>
      </c>
      <c r="W910" t="s">
        <v>434</v>
      </c>
      <c r="X910" t="s">
        <v>468</v>
      </c>
    </row>
    <row r="911" spans="21:24" x14ac:dyDescent="0.45">
      <c r="U911" t="s">
        <v>108</v>
      </c>
      <c r="V911" t="s">
        <v>1207</v>
      </c>
      <c r="W911" t="s">
        <v>434</v>
      </c>
      <c r="X911" t="s">
        <v>468</v>
      </c>
    </row>
    <row r="912" spans="21:24" x14ac:dyDescent="0.45">
      <c r="U912" t="s">
        <v>108</v>
      </c>
      <c r="V912" t="s">
        <v>1208</v>
      </c>
      <c r="W912" t="s">
        <v>434</v>
      </c>
      <c r="X912" t="s">
        <v>468</v>
      </c>
    </row>
    <row r="913" spans="21:24" x14ac:dyDescent="0.45">
      <c r="U913" t="s">
        <v>108</v>
      </c>
      <c r="V913" t="s">
        <v>1209</v>
      </c>
      <c r="W913" t="s">
        <v>434</v>
      </c>
      <c r="X913" t="s">
        <v>468</v>
      </c>
    </row>
    <row r="914" spans="21:24" x14ac:dyDescent="0.45">
      <c r="U914" t="s">
        <v>108</v>
      </c>
      <c r="V914" t="s">
        <v>1210</v>
      </c>
      <c r="W914" t="s">
        <v>434</v>
      </c>
      <c r="X914" t="s">
        <v>468</v>
      </c>
    </row>
    <row r="915" spans="21:24" x14ac:dyDescent="0.45">
      <c r="U915" t="s">
        <v>108</v>
      </c>
      <c r="V915" t="s">
        <v>1211</v>
      </c>
      <c r="W915" t="s">
        <v>434</v>
      </c>
      <c r="X915" t="s">
        <v>468</v>
      </c>
    </row>
    <row r="916" spans="21:24" x14ac:dyDescent="0.45">
      <c r="U916" t="s">
        <v>108</v>
      </c>
      <c r="V916" t="s">
        <v>1212</v>
      </c>
      <c r="W916" t="s">
        <v>434</v>
      </c>
      <c r="X916" t="s">
        <v>468</v>
      </c>
    </row>
    <row r="917" spans="21:24" x14ac:dyDescent="0.45">
      <c r="U917" t="s">
        <v>108</v>
      </c>
      <c r="V917" t="s">
        <v>1212</v>
      </c>
      <c r="W917" t="s">
        <v>1213</v>
      </c>
      <c r="X917" t="s">
        <v>468</v>
      </c>
    </row>
    <row r="918" spans="21:24" x14ac:dyDescent="0.45">
      <c r="U918" t="s">
        <v>108</v>
      </c>
      <c r="V918" t="s">
        <v>1214</v>
      </c>
      <c r="W918" t="s">
        <v>434</v>
      </c>
      <c r="X918" t="s">
        <v>468</v>
      </c>
    </row>
    <row r="919" spans="21:24" x14ac:dyDescent="0.45">
      <c r="U919" t="s">
        <v>108</v>
      </c>
      <c r="V919" t="s">
        <v>1214</v>
      </c>
      <c r="W919" t="s">
        <v>1213</v>
      </c>
      <c r="X919" t="s">
        <v>468</v>
      </c>
    </row>
    <row r="920" spans="21:24" x14ac:dyDescent="0.45">
      <c r="U920" t="s">
        <v>108</v>
      </c>
      <c r="V920" t="s">
        <v>1215</v>
      </c>
      <c r="W920" t="s">
        <v>434</v>
      </c>
      <c r="X920" t="s">
        <v>468</v>
      </c>
    </row>
    <row r="921" spans="21:24" x14ac:dyDescent="0.45">
      <c r="U921" t="s">
        <v>108</v>
      </c>
      <c r="V921" t="s">
        <v>1215</v>
      </c>
      <c r="W921" t="s">
        <v>1213</v>
      </c>
      <c r="X921" t="s">
        <v>468</v>
      </c>
    </row>
    <row r="922" spans="21:24" x14ac:dyDescent="0.45">
      <c r="U922" t="s">
        <v>108</v>
      </c>
      <c r="V922" t="s">
        <v>1216</v>
      </c>
      <c r="W922" t="s">
        <v>1213</v>
      </c>
      <c r="X922" t="s">
        <v>468</v>
      </c>
    </row>
    <row r="923" spans="21:24" x14ac:dyDescent="0.45">
      <c r="U923" t="s">
        <v>108</v>
      </c>
      <c r="V923" t="s">
        <v>1217</v>
      </c>
      <c r="W923" t="s">
        <v>1213</v>
      </c>
      <c r="X923" t="s">
        <v>468</v>
      </c>
    </row>
    <row r="924" spans="21:24" x14ac:dyDescent="0.45">
      <c r="U924" t="s">
        <v>108</v>
      </c>
      <c r="V924" t="s">
        <v>1218</v>
      </c>
      <c r="W924" t="s">
        <v>1213</v>
      </c>
      <c r="X924" t="s">
        <v>468</v>
      </c>
    </row>
    <row r="925" spans="21:24" x14ac:dyDescent="0.45">
      <c r="U925" t="s">
        <v>108</v>
      </c>
      <c r="V925" t="s">
        <v>1218</v>
      </c>
      <c r="W925" t="s">
        <v>434</v>
      </c>
      <c r="X925" t="s">
        <v>403</v>
      </c>
    </row>
    <row r="926" spans="21:24" x14ac:dyDescent="0.45">
      <c r="U926" t="s">
        <v>108</v>
      </c>
      <c r="V926" t="s">
        <v>1219</v>
      </c>
      <c r="W926" t="s">
        <v>1213</v>
      </c>
      <c r="X926" t="s">
        <v>468</v>
      </c>
    </row>
    <row r="927" spans="21:24" x14ac:dyDescent="0.45">
      <c r="U927" t="s">
        <v>108</v>
      </c>
      <c r="V927" t="s">
        <v>1219</v>
      </c>
      <c r="W927" t="s">
        <v>434</v>
      </c>
      <c r="X927" t="s">
        <v>403</v>
      </c>
    </row>
    <row r="928" spans="21:24" x14ac:dyDescent="0.45">
      <c r="U928" t="s">
        <v>108</v>
      </c>
      <c r="V928" t="s">
        <v>1220</v>
      </c>
      <c r="W928" t="s">
        <v>435</v>
      </c>
      <c r="X928" t="s">
        <v>468</v>
      </c>
    </row>
    <row r="929" spans="21:24" x14ac:dyDescent="0.45">
      <c r="U929" t="s">
        <v>108</v>
      </c>
      <c r="V929" t="s">
        <v>1221</v>
      </c>
      <c r="W929" t="s">
        <v>435</v>
      </c>
      <c r="X929" t="s">
        <v>468</v>
      </c>
    </row>
    <row r="930" spans="21:24" x14ac:dyDescent="0.45">
      <c r="U930" t="s">
        <v>108</v>
      </c>
      <c r="V930" t="s">
        <v>1222</v>
      </c>
      <c r="W930" t="s">
        <v>435</v>
      </c>
      <c r="X930" t="s">
        <v>468</v>
      </c>
    </row>
    <row r="931" spans="21:24" x14ac:dyDescent="0.45">
      <c r="U931" t="s">
        <v>108</v>
      </c>
      <c r="V931" t="s">
        <v>1223</v>
      </c>
      <c r="W931" t="s">
        <v>435</v>
      </c>
      <c r="X931" t="s">
        <v>468</v>
      </c>
    </row>
    <row r="932" spans="21:24" x14ac:dyDescent="0.45">
      <c r="U932" t="s">
        <v>108</v>
      </c>
      <c r="V932" t="s">
        <v>1224</v>
      </c>
      <c r="W932" t="s">
        <v>435</v>
      </c>
      <c r="X932" t="s">
        <v>468</v>
      </c>
    </row>
    <row r="933" spans="21:24" x14ac:dyDescent="0.45">
      <c r="U933" t="s">
        <v>108</v>
      </c>
      <c r="V933" t="s">
        <v>1225</v>
      </c>
      <c r="W933" t="s">
        <v>435</v>
      </c>
      <c r="X933" t="s">
        <v>468</v>
      </c>
    </row>
    <row r="934" spans="21:24" x14ac:dyDescent="0.45">
      <c r="U934" t="s">
        <v>108</v>
      </c>
      <c r="V934" t="s">
        <v>1226</v>
      </c>
      <c r="W934" t="s">
        <v>435</v>
      </c>
      <c r="X934" t="s">
        <v>468</v>
      </c>
    </row>
    <row r="935" spans="21:24" x14ac:dyDescent="0.45">
      <c r="U935" t="s">
        <v>108</v>
      </c>
      <c r="V935" t="s">
        <v>1227</v>
      </c>
      <c r="W935" t="s">
        <v>435</v>
      </c>
      <c r="X935" t="s">
        <v>468</v>
      </c>
    </row>
    <row r="936" spans="21:24" x14ac:dyDescent="0.45">
      <c r="U936" t="s">
        <v>108</v>
      </c>
      <c r="V936" t="s">
        <v>1228</v>
      </c>
      <c r="W936" t="s">
        <v>435</v>
      </c>
      <c r="X936" t="s">
        <v>468</v>
      </c>
    </row>
    <row r="937" spans="21:24" x14ac:dyDescent="0.45">
      <c r="U937" t="s">
        <v>108</v>
      </c>
      <c r="V937" t="s">
        <v>1229</v>
      </c>
      <c r="W937" t="s">
        <v>435</v>
      </c>
      <c r="X937" t="s">
        <v>468</v>
      </c>
    </row>
    <row r="938" spans="21:24" x14ac:dyDescent="0.45">
      <c r="U938" t="s">
        <v>108</v>
      </c>
      <c r="V938" t="s">
        <v>1230</v>
      </c>
      <c r="W938" t="s">
        <v>435</v>
      </c>
      <c r="X938" t="s">
        <v>468</v>
      </c>
    </row>
    <row r="939" spans="21:24" x14ac:dyDescent="0.45">
      <c r="U939" t="s">
        <v>108</v>
      </c>
      <c r="V939" t="s">
        <v>1230</v>
      </c>
      <c r="W939" t="s">
        <v>1231</v>
      </c>
      <c r="X939" t="s">
        <v>468</v>
      </c>
    </row>
    <row r="940" spans="21:24" x14ac:dyDescent="0.45">
      <c r="U940" t="s">
        <v>108</v>
      </c>
      <c r="V940" t="s">
        <v>1232</v>
      </c>
      <c r="W940" t="s">
        <v>435</v>
      </c>
      <c r="X940" t="s">
        <v>468</v>
      </c>
    </row>
    <row r="941" spans="21:24" x14ac:dyDescent="0.45">
      <c r="U941" t="s">
        <v>108</v>
      </c>
      <c r="V941" t="s">
        <v>1232</v>
      </c>
      <c r="W941" t="s">
        <v>1231</v>
      </c>
      <c r="X941" t="s">
        <v>468</v>
      </c>
    </row>
    <row r="942" spans="21:24" x14ac:dyDescent="0.45">
      <c r="U942" t="s">
        <v>108</v>
      </c>
      <c r="V942" t="s">
        <v>1233</v>
      </c>
      <c r="W942" t="s">
        <v>435</v>
      </c>
      <c r="X942" t="s">
        <v>468</v>
      </c>
    </row>
    <row r="943" spans="21:24" x14ac:dyDescent="0.45">
      <c r="U943" t="s">
        <v>108</v>
      </c>
      <c r="V943" t="s">
        <v>1233</v>
      </c>
      <c r="W943" t="s">
        <v>1231</v>
      </c>
      <c r="X943" t="s">
        <v>468</v>
      </c>
    </row>
    <row r="944" spans="21:24" x14ac:dyDescent="0.45">
      <c r="U944" t="s">
        <v>108</v>
      </c>
      <c r="V944" t="s">
        <v>1234</v>
      </c>
      <c r="W944" t="s">
        <v>1231</v>
      </c>
      <c r="X944" t="s">
        <v>468</v>
      </c>
    </row>
    <row r="945" spans="21:24" x14ac:dyDescent="0.45">
      <c r="U945" t="s">
        <v>108</v>
      </c>
      <c r="V945" t="s">
        <v>1235</v>
      </c>
      <c r="W945" t="s">
        <v>1231</v>
      </c>
      <c r="X945" t="s">
        <v>468</v>
      </c>
    </row>
    <row r="946" spans="21:24" x14ac:dyDescent="0.45">
      <c r="U946" t="s">
        <v>108</v>
      </c>
      <c r="V946" t="s">
        <v>1236</v>
      </c>
      <c r="W946" t="s">
        <v>1231</v>
      </c>
      <c r="X946" t="s">
        <v>468</v>
      </c>
    </row>
    <row r="947" spans="21:24" x14ac:dyDescent="0.45">
      <c r="U947" t="s">
        <v>108</v>
      </c>
      <c r="V947" t="s">
        <v>1236</v>
      </c>
      <c r="W947" t="s">
        <v>435</v>
      </c>
      <c r="X947" t="s">
        <v>403</v>
      </c>
    </row>
    <row r="948" spans="21:24" x14ac:dyDescent="0.45">
      <c r="U948" t="s">
        <v>108</v>
      </c>
      <c r="V948" t="s">
        <v>1237</v>
      </c>
      <c r="W948" t="s">
        <v>1231</v>
      </c>
      <c r="X948" t="s">
        <v>468</v>
      </c>
    </row>
    <row r="949" spans="21:24" x14ac:dyDescent="0.45">
      <c r="U949" t="s">
        <v>108</v>
      </c>
      <c r="V949" t="s">
        <v>1237</v>
      </c>
      <c r="W949" t="s">
        <v>435</v>
      </c>
      <c r="X949" t="s">
        <v>403</v>
      </c>
    </row>
    <row r="950" spans="21:24" x14ac:dyDescent="0.45">
      <c r="U950" t="s">
        <v>108</v>
      </c>
      <c r="V950" t="s">
        <v>1238</v>
      </c>
      <c r="W950" t="s">
        <v>1239</v>
      </c>
      <c r="X950" t="s">
        <v>468</v>
      </c>
    </row>
    <row r="951" spans="21:24" x14ac:dyDescent="0.45">
      <c r="U951" t="s">
        <v>108</v>
      </c>
      <c r="V951" t="s">
        <v>1240</v>
      </c>
      <c r="W951" t="s">
        <v>1239</v>
      </c>
      <c r="X951" t="s">
        <v>468</v>
      </c>
    </row>
    <row r="952" spans="21:24" x14ac:dyDescent="0.45">
      <c r="U952" t="s">
        <v>108</v>
      </c>
      <c r="V952" t="s">
        <v>1241</v>
      </c>
      <c r="W952" t="s">
        <v>1239</v>
      </c>
      <c r="X952" t="s">
        <v>468</v>
      </c>
    </row>
    <row r="953" spans="21:24" x14ac:dyDescent="0.45">
      <c r="U953" t="s">
        <v>108</v>
      </c>
      <c r="V953" t="s">
        <v>1242</v>
      </c>
      <c r="W953" t="s">
        <v>1239</v>
      </c>
      <c r="X953" t="s">
        <v>468</v>
      </c>
    </row>
    <row r="954" spans="21:24" x14ac:dyDescent="0.45">
      <c r="U954" t="s">
        <v>108</v>
      </c>
      <c r="V954" t="s">
        <v>1243</v>
      </c>
      <c r="W954" t="s">
        <v>1239</v>
      </c>
      <c r="X954" t="s">
        <v>468</v>
      </c>
    </row>
    <row r="955" spans="21:24" x14ac:dyDescent="0.45">
      <c r="U955" t="s">
        <v>108</v>
      </c>
      <c r="V955" t="s">
        <v>1244</v>
      </c>
      <c r="W955" t="s">
        <v>1239</v>
      </c>
      <c r="X955" t="s">
        <v>468</v>
      </c>
    </row>
    <row r="956" spans="21:24" x14ac:dyDescent="0.45">
      <c r="U956" t="s">
        <v>108</v>
      </c>
      <c r="V956" t="s">
        <v>1245</v>
      </c>
      <c r="W956" t="s">
        <v>1239</v>
      </c>
      <c r="X956" t="s">
        <v>468</v>
      </c>
    </row>
    <row r="957" spans="21:24" x14ac:dyDescent="0.45">
      <c r="U957" t="s">
        <v>108</v>
      </c>
      <c r="V957" t="s">
        <v>1246</v>
      </c>
      <c r="W957" t="s">
        <v>1239</v>
      </c>
      <c r="X957" t="s">
        <v>468</v>
      </c>
    </row>
    <row r="958" spans="21:24" x14ac:dyDescent="0.45">
      <c r="U958" t="s">
        <v>108</v>
      </c>
      <c r="V958" t="s">
        <v>1247</v>
      </c>
      <c r="W958" t="s">
        <v>1239</v>
      </c>
      <c r="X958" t="s">
        <v>468</v>
      </c>
    </row>
    <row r="959" spans="21:24" x14ac:dyDescent="0.45">
      <c r="U959" t="s">
        <v>108</v>
      </c>
      <c r="V959" t="s">
        <v>1248</v>
      </c>
      <c r="W959" t="s">
        <v>1239</v>
      </c>
      <c r="X959" t="s">
        <v>468</v>
      </c>
    </row>
    <row r="960" spans="21:24" x14ac:dyDescent="0.45">
      <c r="U960" t="s">
        <v>108</v>
      </c>
      <c r="V960" t="s">
        <v>1249</v>
      </c>
      <c r="W960" t="s">
        <v>1239</v>
      </c>
      <c r="X960" t="s">
        <v>468</v>
      </c>
    </row>
    <row r="961" spans="21:24" x14ac:dyDescent="0.45">
      <c r="U961" t="s">
        <v>108</v>
      </c>
      <c r="V961" t="s">
        <v>1249</v>
      </c>
      <c r="W961" t="s">
        <v>1250</v>
      </c>
      <c r="X961" t="s">
        <v>468</v>
      </c>
    </row>
    <row r="962" spans="21:24" x14ac:dyDescent="0.45">
      <c r="U962" t="s">
        <v>108</v>
      </c>
      <c r="V962" t="s">
        <v>1251</v>
      </c>
      <c r="W962" t="s">
        <v>1239</v>
      </c>
      <c r="X962" t="s">
        <v>468</v>
      </c>
    </row>
    <row r="963" spans="21:24" x14ac:dyDescent="0.45">
      <c r="U963" t="s">
        <v>108</v>
      </c>
      <c r="V963" t="s">
        <v>1251</v>
      </c>
      <c r="W963" t="s">
        <v>1250</v>
      </c>
      <c r="X963" t="s">
        <v>468</v>
      </c>
    </row>
    <row r="964" spans="21:24" x14ac:dyDescent="0.45">
      <c r="U964" t="s">
        <v>108</v>
      </c>
      <c r="V964" t="s">
        <v>1252</v>
      </c>
      <c r="W964" t="s">
        <v>1239</v>
      </c>
      <c r="X964" t="s">
        <v>468</v>
      </c>
    </row>
    <row r="965" spans="21:24" x14ac:dyDescent="0.45">
      <c r="U965" t="s">
        <v>108</v>
      </c>
      <c r="V965" t="s">
        <v>1252</v>
      </c>
      <c r="W965" t="s">
        <v>1250</v>
      </c>
      <c r="X965" t="s">
        <v>468</v>
      </c>
    </row>
    <row r="966" spans="21:24" x14ac:dyDescent="0.45">
      <c r="U966" t="s">
        <v>108</v>
      </c>
      <c r="V966" t="s">
        <v>1253</v>
      </c>
      <c r="W966" t="s">
        <v>1250</v>
      </c>
      <c r="X966" t="s">
        <v>468</v>
      </c>
    </row>
    <row r="967" spans="21:24" x14ac:dyDescent="0.45">
      <c r="U967" t="s">
        <v>108</v>
      </c>
      <c r="V967" t="s">
        <v>1254</v>
      </c>
      <c r="W967" t="s">
        <v>1250</v>
      </c>
      <c r="X967" t="s">
        <v>468</v>
      </c>
    </row>
    <row r="968" spans="21:24" x14ac:dyDescent="0.45">
      <c r="U968" t="s">
        <v>108</v>
      </c>
      <c r="V968" t="s">
        <v>1255</v>
      </c>
      <c r="W968" t="s">
        <v>1250</v>
      </c>
      <c r="X968" t="s">
        <v>468</v>
      </c>
    </row>
    <row r="969" spans="21:24" x14ac:dyDescent="0.45">
      <c r="U969" t="s">
        <v>108</v>
      </c>
      <c r="V969" t="s">
        <v>1255</v>
      </c>
      <c r="W969" t="s">
        <v>1239</v>
      </c>
      <c r="X969" t="s">
        <v>403</v>
      </c>
    </row>
    <row r="970" spans="21:24" x14ac:dyDescent="0.45">
      <c r="U970" t="s">
        <v>108</v>
      </c>
      <c r="V970" t="s">
        <v>1256</v>
      </c>
      <c r="W970" t="s">
        <v>1250</v>
      </c>
      <c r="X970" t="s">
        <v>468</v>
      </c>
    </row>
    <row r="971" spans="21:24" x14ac:dyDescent="0.45">
      <c r="U971" t="s">
        <v>108</v>
      </c>
      <c r="V971" t="s">
        <v>1256</v>
      </c>
      <c r="W971" t="s">
        <v>1239</v>
      </c>
      <c r="X971" t="s">
        <v>403</v>
      </c>
    </row>
    <row r="972" spans="21:24" x14ac:dyDescent="0.45">
      <c r="U972" t="s">
        <v>108</v>
      </c>
      <c r="V972" t="s">
        <v>1257</v>
      </c>
      <c r="W972" t="s">
        <v>436</v>
      </c>
      <c r="X972" t="s">
        <v>468</v>
      </c>
    </row>
    <row r="973" spans="21:24" x14ac:dyDescent="0.45">
      <c r="U973" t="s">
        <v>108</v>
      </c>
      <c r="V973" t="s">
        <v>1258</v>
      </c>
      <c r="W973" t="s">
        <v>436</v>
      </c>
      <c r="X973" t="s">
        <v>468</v>
      </c>
    </row>
    <row r="974" spans="21:24" x14ac:dyDescent="0.45">
      <c r="U974" t="s">
        <v>108</v>
      </c>
      <c r="V974" t="s">
        <v>1259</v>
      </c>
      <c r="W974" t="s">
        <v>436</v>
      </c>
      <c r="X974" t="s">
        <v>468</v>
      </c>
    </row>
    <row r="975" spans="21:24" x14ac:dyDescent="0.45">
      <c r="U975" t="s">
        <v>108</v>
      </c>
      <c r="V975" t="s">
        <v>1260</v>
      </c>
      <c r="W975" t="s">
        <v>436</v>
      </c>
      <c r="X975" t="s">
        <v>468</v>
      </c>
    </row>
    <row r="976" spans="21:24" x14ac:dyDescent="0.45">
      <c r="U976" t="s">
        <v>108</v>
      </c>
      <c r="V976" t="s">
        <v>1261</v>
      </c>
      <c r="W976" t="s">
        <v>436</v>
      </c>
      <c r="X976" t="s">
        <v>468</v>
      </c>
    </row>
    <row r="977" spans="21:24" x14ac:dyDescent="0.45">
      <c r="U977" t="s">
        <v>108</v>
      </c>
      <c r="V977" t="s">
        <v>1262</v>
      </c>
      <c r="W977" t="s">
        <v>436</v>
      </c>
      <c r="X977" t="s">
        <v>468</v>
      </c>
    </row>
    <row r="978" spans="21:24" x14ac:dyDescent="0.45">
      <c r="U978" t="s">
        <v>108</v>
      </c>
      <c r="V978" t="s">
        <v>1263</v>
      </c>
      <c r="W978" t="s">
        <v>436</v>
      </c>
      <c r="X978" t="s">
        <v>468</v>
      </c>
    </row>
    <row r="979" spans="21:24" x14ac:dyDescent="0.45">
      <c r="U979" t="s">
        <v>108</v>
      </c>
      <c r="V979" t="s">
        <v>1264</v>
      </c>
      <c r="W979" t="s">
        <v>436</v>
      </c>
      <c r="X979" t="s">
        <v>468</v>
      </c>
    </row>
    <row r="980" spans="21:24" x14ac:dyDescent="0.45">
      <c r="U980" t="s">
        <v>108</v>
      </c>
      <c r="V980" t="s">
        <v>1265</v>
      </c>
      <c r="W980" t="s">
        <v>436</v>
      </c>
      <c r="X980" t="s">
        <v>468</v>
      </c>
    </row>
    <row r="981" spans="21:24" x14ac:dyDescent="0.45">
      <c r="U981" t="s">
        <v>108</v>
      </c>
      <c r="V981" t="s">
        <v>1266</v>
      </c>
      <c r="W981" t="s">
        <v>436</v>
      </c>
      <c r="X981" t="s">
        <v>468</v>
      </c>
    </row>
    <row r="982" spans="21:24" x14ac:dyDescent="0.45">
      <c r="U982" t="s">
        <v>108</v>
      </c>
      <c r="V982" t="s">
        <v>1267</v>
      </c>
      <c r="W982" t="s">
        <v>436</v>
      </c>
      <c r="X982" t="s">
        <v>468</v>
      </c>
    </row>
    <row r="983" spans="21:24" x14ac:dyDescent="0.45">
      <c r="U983" t="s">
        <v>108</v>
      </c>
      <c r="V983" t="s">
        <v>1267</v>
      </c>
      <c r="W983" t="s">
        <v>457</v>
      </c>
      <c r="X983" t="s">
        <v>468</v>
      </c>
    </row>
    <row r="984" spans="21:24" x14ac:dyDescent="0.45">
      <c r="U984" t="s">
        <v>108</v>
      </c>
      <c r="V984" t="s">
        <v>1268</v>
      </c>
      <c r="W984" t="s">
        <v>436</v>
      </c>
      <c r="X984" t="s">
        <v>468</v>
      </c>
    </row>
    <row r="985" spans="21:24" x14ac:dyDescent="0.45">
      <c r="U985" t="s">
        <v>108</v>
      </c>
      <c r="V985" t="s">
        <v>1268</v>
      </c>
      <c r="W985" t="s">
        <v>457</v>
      </c>
      <c r="X985" t="s">
        <v>468</v>
      </c>
    </row>
    <row r="986" spans="21:24" x14ac:dyDescent="0.45">
      <c r="U986" t="s">
        <v>108</v>
      </c>
      <c r="V986" t="s">
        <v>1269</v>
      </c>
      <c r="W986" t="s">
        <v>436</v>
      </c>
      <c r="X986" t="s">
        <v>468</v>
      </c>
    </row>
    <row r="987" spans="21:24" x14ac:dyDescent="0.45">
      <c r="U987" t="s">
        <v>108</v>
      </c>
      <c r="V987" t="s">
        <v>1269</v>
      </c>
      <c r="W987" t="s">
        <v>457</v>
      </c>
      <c r="X987" t="s">
        <v>468</v>
      </c>
    </row>
    <row r="988" spans="21:24" x14ac:dyDescent="0.45">
      <c r="U988" t="s">
        <v>108</v>
      </c>
      <c r="V988" t="s">
        <v>1270</v>
      </c>
      <c r="W988" t="s">
        <v>457</v>
      </c>
      <c r="X988" t="s">
        <v>468</v>
      </c>
    </row>
    <row r="989" spans="21:24" x14ac:dyDescent="0.45">
      <c r="U989" t="s">
        <v>108</v>
      </c>
      <c r="V989" t="s">
        <v>1271</v>
      </c>
      <c r="W989" t="s">
        <v>457</v>
      </c>
      <c r="X989" t="s">
        <v>468</v>
      </c>
    </row>
    <row r="990" spans="21:24" x14ac:dyDescent="0.45">
      <c r="U990" t="s">
        <v>108</v>
      </c>
      <c r="V990" t="s">
        <v>1272</v>
      </c>
      <c r="W990" t="s">
        <v>457</v>
      </c>
      <c r="X990" t="s">
        <v>468</v>
      </c>
    </row>
    <row r="991" spans="21:24" x14ac:dyDescent="0.45">
      <c r="U991" t="s">
        <v>108</v>
      </c>
      <c r="V991" t="s">
        <v>1272</v>
      </c>
      <c r="W991" t="s">
        <v>436</v>
      </c>
      <c r="X991" t="s">
        <v>403</v>
      </c>
    </row>
    <row r="992" spans="21:24" x14ac:dyDescent="0.45">
      <c r="U992" t="s">
        <v>108</v>
      </c>
      <c r="V992" t="s">
        <v>1273</v>
      </c>
      <c r="W992" t="s">
        <v>457</v>
      </c>
      <c r="X992" t="s">
        <v>468</v>
      </c>
    </row>
    <row r="993" spans="21:24" x14ac:dyDescent="0.45">
      <c r="U993" t="s">
        <v>108</v>
      </c>
      <c r="V993" t="s">
        <v>1273</v>
      </c>
      <c r="W993" t="s">
        <v>436</v>
      </c>
      <c r="X993" t="s">
        <v>403</v>
      </c>
    </row>
    <row r="994" spans="21:24" x14ac:dyDescent="0.45">
      <c r="U994" t="s">
        <v>108</v>
      </c>
      <c r="V994" t="s">
        <v>1274</v>
      </c>
      <c r="W994" t="s">
        <v>437</v>
      </c>
      <c r="X994" t="s">
        <v>468</v>
      </c>
    </row>
    <row r="995" spans="21:24" x14ac:dyDescent="0.45">
      <c r="U995" t="s">
        <v>108</v>
      </c>
      <c r="V995" t="s">
        <v>1275</v>
      </c>
      <c r="W995" t="s">
        <v>437</v>
      </c>
      <c r="X995" t="s">
        <v>468</v>
      </c>
    </row>
    <row r="996" spans="21:24" x14ac:dyDescent="0.45">
      <c r="U996" t="s">
        <v>108</v>
      </c>
      <c r="V996" t="s">
        <v>1276</v>
      </c>
      <c r="W996" t="s">
        <v>437</v>
      </c>
      <c r="X996" t="s">
        <v>468</v>
      </c>
    </row>
    <row r="997" spans="21:24" x14ac:dyDescent="0.45">
      <c r="U997" t="s">
        <v>108</v>
      </c>
      <c r="V997" t="s">
        <v>1277</v>
      </c>
      <c r="W997" t="s">
        <v>437</v>
      </c>
      <c r="X997" t="s">
        <v>468</v>
      </c>
    </row>
    <row r="998" spans="21:24" x14ac:dyDescent="0.45">
      <c r="U998" t="s">
        <v>108</v>
      </c>
      <c r="V998" t="s">
        <v>1278</v>
      </c>
      <c r="W998" t="s">
        <v>437</v>
      </c>
      <c r="X998" t="s">
        <v>468</v>
      </c>
    </row>
    <row r="999" spans="21:24" x14ac:dyDescent="0.45">
      <c r="U999" t="s">
        <v>108</v>
      </c>
      <c r="V999" t="s">
        <v>1279</v>
      </c>
      <c r="W999" t="s">
        <v>437</v>
      </c>
      <c r="X999" t="s">
        <v>468</v>
      </c>
    </row>
    <row r="1000" spans="21:24" x14ac:dyDescent="0.45">
      <c r="U1000" t="s">
        <v>108</v>
      </c>
      <c r="V1000" t="s">
        <v>1280</v>
      </c>
      <c r="W1000" t="s">
        <v>437</v>
      </c>
      <c r="X1000" t="s">
        <v>468</v>
      </c>
    </row>
    <row r="1001" spans="21:24" x14ac:dyDescent="0.45">
      <c r="U1001" t="s">
        <v>108</v>
      </c>
      <c r="V1001" t="s">
        <v>1281</v>
      </c>
      <c r="W1001" t="s">
        <v>437</v>
      </c>
      <c r="X1001" t="s">
        <v>468</v>
      </c>
    </row>
    <row r="1002" spans="21:24" x14ac:dyDescent="0.45">
      <c r="U1002" t="s">
        <v>108</v>
      </c>
      <c r="V1002" t="s">
        <v>1282</v>
      </c>
      <c r="W1002" t="s">
        <v>437</v>
      </c>
      <c r="X1002" t="s">
        <v>468</v>
      </c>
    </row>
    <row r="1003" spans="21:24" x14ac:dyDescent="0.45">
      <c r="U1003" t="s">
        <v>108</v>
      </c>
      <c r="V1003" t="s">
        <v>1283</v>
      </c>
      <c r="W1003" t="s">
        <v>437</v>
      </c>
      <c r="X1003" t="s">
        <v>468</v>
      </c>
    </row>
    <row r="1004" spans="21:24" x14ac:dyDescent="0.45">
      <c r="U1004" t="s">
        <v>108</v>
      </c>
      <c r="V1004" t="s">
        <v>1284</v>
      </c>
      <c r="W1004" t="s">
        <v>437</v>
      </c>
      <c r="X1004" t="s">
        <v>468</v>
      </c>
    </row>
    <row r="1005" spans="21:24" x14ac:dyDescent="0.45">
      <c r="U1005" t="s">
        <v>108</v>
      </c>
      <c r="V1005" t="s">
        <v>1284</v>
      </c>
      <c r="W1005" t="s">
        <v>1285</v>
      </c>
      <c r="X1005" t="s">
        <v>468</v>
      </c>
    </row>
    <row r="1006" spans="21:24" x14ac:dyDescent="0.45">
      <c r="U1006" t="s">
        <v>108</v>
      </c>
      <c r="V1006" t="s">
        <v>1286</v>
      </c>
      <c r="W1006" t="s">
        <v>437</v>
      </c>
      <c r="X1006" t="s">
        <v>468</v>
      </c>
    </row>
    <row r="1007" spans="21:24" x14ac:dyDescent="0.45">
      <c r="U1007" t="s">
        <v>108</v>
      </c>
      <c r="V1007" t="s">
        <v>1286</v>
      </c>
      <c r="W1007" t="s">
        <v>1285</v>
      </c>
      <c r="X1007" t="s">
        <v>468</v>
      </c>
    </row>
    <row r="1008" spans="21:24" x14ac:dyDescent="0.45">
      <c r="U1008" t="s">
        <v>108</v>
      </c>
      <c r="V1008" t="s">
        <v>1287</v>
      </c>
      <c r="W1008" t="s">
        <v>437</v>
      </c>
      <c r="X1008" t="s">
        <v>468</v>
      </c>
    </row>
    <row r="1009" spans="21:24" x14ac:dyDescent="0.45">
      <c r="U1009" t="s">
        <v>108</v>
      </c>
      <c r="V1009" t="s">
        <v>1287</v>
      </c>
      <c r="W1009" t="s">
        <v>1285</v>
      </c>
      <c r="X1009" t="s">
        <v>468</v>
      </c>
    </row>
    <row r="1010" spans="21:24" x14ac:dyDescent="0.45">
      <c r="U1010" t="s">
        <v>108</v>
      </c>
      <c r="V1010" t="s">
        <v>1288</v>
      </c>
      <c r="W1010" t="s">
        <v>1285</v>
      </c>
      <c r="X1010" t="s">
        <v>468</v>
      </c>
    </row>
    <row r="1011" spans="21:24" x14ac:dyDescent="0.45">
      <c r="U1011" t="s">
        <v>108</v>
      </c>
      <c r="V1011" t="s">
        <v>1289</v>
      </c>
      <c r="W1011" t="s">
        <v>1285</v>
      </c>
      <c r="X1011" t="s">
        <v>468</v>
      </c>
    </row>
    <row r="1012" spans="21:24" x14ac:dyDescent="0.45">
      <c r="U1012" t="s">
        <v>108</v>
      </c>
      <c r="V1012" t="s">
        <v>1290</v>
      </c>
      <c r="W1012" t="s">
        <v>1285</v>
      </c>
      <c r="X1012" t="s">
        <v>468</v>
      </c>
    </row>
    <row r="1013" spans="21:24" x14ac:dyDescent="0.45">
      <c r="U1013" t="s">
        <v>108</v>
      </c>
      <c r="V1013" t="s">
        <v>1290</v>
      </c>
      <c r="W1013" t="s">
        <v>437</v>
      </c>
      <c r="X1013" t="s">
        <v>403</v>
      </c>
    </row>
    <row r="1014" spans="21:24" x14ac:dyDescent="0.45">
      <c r="U1014" t="s">
        <v>108</v>
      </c>
      <c r="V1014" t="s">
        <v>1291</v>
      </c>
      <c r="W1014" t="s">
        <v>1285</v>
      </c>
      <c r="X1014" t="s">
        <v>468</v>
      </c>
    </row>
    <row r="1015" spans="21:24" x14ac:dyDescent="0.45">
      <c r="U1015" t="s">
        <v>108</v>
      </c>
      <c r="V1015" t="s">
        <v>1291</v>
      </c>
      <c r="W1015" t="s">
        <v>437</v>
      </c>
      <c r="X1015" t="s">
        <v>403</v>
      </c>
    </row>
    <row r="1016" spans="21:24" x14ac:dyDescent="0.45">
      <c r="U1016" t="s">
        <v>108</v>
      </c>
      <c r="V1016" t="s">
        <v>1292</v>
      </c>
      <c r="W1016" t="s">
        <v>1293</v>
      </c>
      <c r="X1016" t="s">
        <v>468</v>
      </c>
    </row>
    <row r="1017" spans="21:24" x14ac:dyDescent="0.45">
      <c r="U1017" t="s">
        <v>108</v>
      </c>
      <c r="V1017" t="s">
        <v>1294</v>
      </c>
      <c r="W1017" t="s">
        <v>1293</v>
      </c>
      <c r="X1017" t="s">
        <v>468</v>
      </c>
    </row>
    <row r="1018" spans="21:24" x14ac:dyDescent="0.45">
      <c r="U1018" t="s">
        <v>108</v>
      </c>
      <c r="V1018" t="s">
        <v>1295</v>
      </c>
      <c r="W1018" t="s">
        <v>1293</v>
      </c>
      <c r="X1018" t="s">
        <v>468</v>
      </c>
    </row>
    <row r="1019" spans="21:24" x14ac:dyDescent="0.45">
      <c r="U1019" t="s">
        <v>108</v>
      </c>
      <c r="V1019" t="s">
        <v>1296</v>
      </c>
      <c r="W1019" t="s">
        <v>1293</v>
      </c>
      <c r="X1019" t="s">
        <v>468</v>
      </c>
    </row>
    <row r="1020" spans="21:24" x14ac:dyDescent="0.45">
      <c r="U1020" t="s">
        <v>108</v>
      </c>
      <c r="V1020" t="s">
        <v>1297</v>
      </c>
      <c r="W1020" t="s">
        <v>1293</v>
      </c>
      <c r="X1020" t="s">
        <v>468</v>
      </c>
    </row>
    <row r="1021" spans="21:24" x14ac:dyDescent="0.45">
      <c r="U1021" t="s">
        <v>108</v>
      </c>
      <c r="V1021" t="s">
        <v>1298</v>
      </c>
      <c r="W1021" t="s">
        <v>1293</v>
      </c>
      <c r="X1021" t="s">
        <v>468</v>
      </c>
    </row>
    <row r="1022" spans="21:24" x14ac:dyDescent="0.45">
      <c r="U1022" t="s">
        <v>108</v>
      </c>
      <c r="V1022" t="s">
        <v>1299</v>
      </c>
      <c r="W1022" t="s">
        <v>1293</v>
      </c>
      <c r="X1022" t="s">
        <v>468</v>
      </c>
    </row>
    <row r="1023" spans="21:24" x14ac:dyDescent="0.45">
      <c r="U1023" t="s">
        <v>108</v>
      </c>
      <c r="V1023" t="s">
        <v>1300</v>
      </c>
      <c r="W1023" t="s">
        <v>1293</v>
      </c>
      <c r="X1023" t="s">
        <v>468</v>
      </c>
    </row>
    <row r="1024" spans="21:24" x14ac:dyDescent="0.45">
      <c r="U1024" t="s">
        <v>108</v>
      </c>
      <c r="V1024" t="s">
        <v>1301</v>
      </c>
      <c r="W1024" t="s">
        <v>1293</v>
      </c>
      <c r="X1024" t="s">
        <v>468</v>
      </c>
    </row>
    <row r="1025" spans="21:24" x14ac:dyDescent="0.45">
      <c r="U1025" t="s">
        <v>108</v>
      </c>
      <c r="V1025" t="s">
        <v>1302</v>
      </c>
      <c r="W1025" t="s">
        <v>1293</v>
      </c>
      <c r="X1025" t="s">
        <v>468</v>
      </c>
    </row>
    <row r="1026" spans="21:24" x14ac:dyDescent="0.45">
      <c r="U1026" t="s">
        <v>108</v>
      </c>
      <c r="V1026" t="s">
        <v>1303</v>
      </c>
      <c r="W1026" t="s">
        <v>1293</v>
      </c>
      <c r="X1026" t="s">
        <v>468</v>
      </c>
    </row>
    <row r="1027" spans="21:24" x14ac:dyDescent="0.45">
      <c r="U1027" t="s">
        <v>108</v>
      </c>
      <c r="V1027" t="s">
        <v>1303</v>
      </c>
      <c r="W1027" t="s">
        <v>1304</v>
      </c>
      <c r="X1027" t="s">
        <v>468</v>
      </c>
    </row>
    <row r="1028" spans="21:24" x14ac:dyDescent="0.45">
      <c r="U1028" t="s">
        <v>108</v>
      </c>
      <c r="V1028" t="s">
        <v>1305</v>
      </c>
      <c r="W1028" t="s">
        <v>1293</v>
      </c>
      <c r="X1028" t="s">
        <v>468</v>
      </c>
    </row>
    <row r="1029" spans="21:24" x14ac:dyDescent="0.45">
      <c r="U1029" t="s">
        <v>108</v>
      </c>
      <c r="V1029" t="s">
        <v>1305</v>
      </c>
      <c r="W1029" t="s">
        <v>1304</v>
      </c>
      <c r="X1029" t="s">
        <v>468</v>
      </c>
    </row>
    <row r="1030" spans="21:24" x14ac:dyDescent="0.45">
      <c r="U1030" t="s">
        <v>108</v>
      </c>
      <c r="V1030" t="s">
        <v>1306</v>
      </c>
      <c r="W1030" t="s">
        <v>1293</v>
      </c>
      <c r="X1030" t="s">
        <v>468</v>
      </c>
    </row>
    <row r="1031" spans="21:24" x14ac:dyDescent="0.45">
      <c r="U1031" t="s">
        <v>108</v>
      </c>
      <c r="V1031" t="s">
        <v>1306</v>
      </c>
      <c r="W1031" t="s">
        <v>1304</v>
      </c>
      <c r="X1031" t="s">
        <v>468</v>
      </c>
    </row>
    <row r="1032" spans="21:24" x14ac:dyDescent="0.45">
      <c r="U1032" t="s">
        <v>108</v>
      </c>
      <c r="V1032" t="s">
        <v>1307</v>
      </c>
      <c r="W1032" t="s">
        <v>1304</v>
      </c>
      <c r="X1032" t="s">
        <v>468</v>
      </c>
    </row>
    <row r="1033" spans="21:24" x14ac:dyDescent="0.45">
      <c r="U1033" t="s">
        <v>108</v>
      </c>
      <c r="V1033" t="s">
        <v>1308</v>
      </c>
      <c r="W1033" t="s">
        <v>1304</v>
      </c>
      <c r="X1033" t="s">
        <v>468</v>
      </c>
    </row>
    <row r="1034" spans="21:24" x14ac:dyDescent="0.45">
      <c r="U1034" t="s">
        <v>108</v>
      </c>
      <c r="V1034" t="s">
        <v>1309</v>
      </c>
      <c r="W1034" t="s">
        <v>1304</v>
      </c>
      <c r="X1034" t="s">
        <v>468</v>
      </c>
    </row>
    <row r="1035" spans="21:24" x14ac:dyDescent="0.45">
      <c r="U1035" t="s">
        <v>108</v>
      </c>
      <c r="V1035" t="s">
        <v>1309</v>
      </c>
      <c r="W1035" t="s">
        <v>1293</v>
      </c>
      <c r="X1035" t="s">
        <v>403</v>
      </c>
    </row>
    <row r="1036" spans="21:24" x14ac:dyDescent="0.45">
      <c r="U1036" t="s">
        <v>108</v>
      </c>
      <c r="V1036" t="s">
        <v>1310</v>
      </c>
      <c r="W1036" t="s">
        <v>1304</v>
      </c>
      <c r="X1036" t="s">
        <v>468</v>
      </c>
    </row>
    <row r="1037" spans="21:24" x14ac:dyDescent="0.45">
      <c r="U1037" t="s">
        <v>108</v>
      </c>
      <c r="V1037" t="s">
        <v>1310</v>
      </c>
      <c r="W1037" t="s">
        <v>1293</v>
      </c>
      <c r="X1037" t="s">
        <v>403</v>
      </c>
    </row>
    <row r="1038" spans="21:24" x14ac:dyDescent="0.45">
      <c r="U1038" t="s">
        <v>108</v>
      </c>
      <c r="V1038" t="s">
        <v>1311</v>
      </c>
      <c r="W1038" t="s">
        <v>438</v>
      </c>
      <c r="X1038" t="s">
        <v>468</v>
      </c>
    </row>
    <row r="1039" spans="21:24" x14ac:dyDescent="0.45">
      <c r="U1039" t="s">
        <v>108</v>
      </c>
      <c r="V1039" t="s">
        <v>1312</v>
      </c>
      <c r="W1039" t="s">
        <v>438</v>
      </c>
      <c r="X1039" t="s">
        <v>468</v>
      </c>
    </row>
    <row r="1040" spans="21:24" x14ac:dyDescent="0.45">
      <c r="U1040" t="s">
        <v>108</v>
      </c>
      <c r="V1040" t="s">
        <v>1313</v>
      </c>
      <c r="W1040" t="s">
        <v>438</v>
      </c>
      <c r="X1040" t="s">
        <v>468</v>
      </c>
    </row>
    <row r="1041" spans="21:24" x14ac:dyDescent="0.45">
      <c r="U1041" t="s">
        <v>108</v>
      </c>
      <c r="V1041" t="s">
        <v>1314</v>
      </c>
      <c r="W1041" t="s">
        <v>438</v>
      </c>
      <c r="X1041" t="s">
        <v>468</v>
      </c>
    </row>
    <row r="1042" spans="21:24" x14ac:dyDescent="0.45">
      <c r="U1042" t="s">
        <v>108</v>
      </c>
      <c r="V1042" t="s">
        <v>1315</v>
      </c>
      <c r="W1042" t="s">
        <v>438</v>
      </c>
      <c r="X1042" t="s">
        <v>468</v>
      </c>
    </row>
    <row r="1043" spans="21:24" x14ac:dyDescent="0.45">
      <c r="U1043" t="s">
        <v>108</v>
      </c>
      <c r="V1043" t="s">
        <v>1316</v>
      </c>
      <c r="W1043" t="s">
        <v>438</v>
      </c>
      <c r="X1043" t="s">
        <v>468</v>
      </c>
    </row>
    <row r="1044" spans="21:24" x14ac:dyDescent="0.45">
      <c r="U1044" t="s">
        <v>108</v>
      </c>
      <c r="V1044" t="s">
        <v>1317</v>
      </c>
      <c r="W1044" t="s">
        <v>438</v>
      </c>
      <c r="X1044" t="s">
        <v>468</v>
      </c>
    </row>
    <row r="1045" spans="21:24" x14ac:dyDescent="0.45">
      <c r="U1045" t="s">
        <v>108</v>
      </c>
      <c r="V1045" t="s">
        <v>1318</v>
      </c>
      <c r="W1045" t="s">
        <v>438</v>
      </c>
      <c r="X1045" t="s">
        <v>468</v>
      </c>
    </row>
    <row r="1046" spans="21:24" x14ac:dyDescent="0.45">
      <c r="U1046" t="s">
        <v>108</v>
      </c>
      <c r="V1046" t="s">
        <v>1319</v>
      </c>
      <c r="W1046" t="s">
        <v>438</v>
      </c>
      <c r="X1046" t="s">
        <v>468</v>
      </c>
    </row>
    <row r="1047" spans="21:24" x14ac:dyDescent="0.45">
      <c r="U1047" t="s">
        <v>108</v>
      </c>
      <c r="V1047" t="s">
        <v>1320</v>
      </c>
      <c r="W1047" t="s">
        <v>438</v>
      </c>
      <c r="X1047" t="s">
        <v>468</v>
      </c>
    </row>
    <row r="1048" spans="21:24" x14ac:dyDescent="0.45">
      <c r="U1048" t="s">
        <v>108</v>
      </c>
      <c r="V1048" t="s">
        <v>1321</v>
      </c>
      <c r="W1048" t="s">
        <v>438</v>
      </c>
      <c r="X1048" t="s">
        <v>468</v>
      </c>
    </row>
    <row r="1049" spans="21:24" x14ac:dyDescent="0.45">
      <c r="U1049" t="s">
        <v>108</v>
      </c>
      <c r="V1049" t="s">
        <v>1321</v>
      </c>
      <c r="W1049" t="s">
        <v>462</v>
      </c>
      <c r="X1049" t="s">
        <v>468</v>
      </c>
    </row>
    <row r="1050" spans="21:24" x14ac:dyDescent="0.45">
      <c r="U1050" t="s">
        <v>108</v>
      </c>
      <c r="V1050" t="s">
        <v>1322</v>
      </c>
      <c r="W1050" t="s">
        <v>438</v>
      </c>
      <c r="X1050" t="s">
        <v>468</v>
      </c>
    </row>
    <row r="1051" spans="21:24" x14ac:dyDescent="0.45">
      <c r="U1051" t="s">
        <v>108</v>
      </c>
      <c r="V1051" t="s">
        <v>1322</v>
      </c>
      <c r="W1051" t="s">
        <v>462</v>
      </c>
      <c r="X1051" t="s">
        <v>468</v>
      </c>
    </row>
    <row r="1052" spans="21:24" x14ac:dyDescent="0.45">
      <c r="U1052" t="s">
        <v>108</v>
      </c>
      <c r="V1052" t="s">
        <v>1323</v>
      </c>
      <c r="W1052" t="s">
        <v>438</v>
      </c>
      <c r="X1052" t="s">
        <v>468</v>
      </c>
    </row>
    <row r="1053" spans="21:24" x14ac:dyDescent="0.45">
      <c r="U1053" t="s">
        <v>108</v>
      </c>
      <c r="V1053" t="s">
        <v>1323</v>
      </c>
      <c r="W1053" t="s">
        <v>462</v>
      </c>
      <c r="X1053" t="s">
        <v>468</v>
      </c>
    </row>
    <row r="1054" spans="21:24" x14ac:dyDescent="0.45">
      <c r="U1054" t="s">
        <v>108</v>
      </c>
      <c r="V1054" t="s">
        <v>1324</v>
      </c>
      <c r="W1054" t="s">
        <v>462</v>
      </c>
      <c r="X1054" t="s">
        <v>468</v>
      </c>
    </row>
    <row r="1055" spans="21:24" x14ac:dyDescent="0.45">
      <c r="U1055" t="s">
        <v>108</v>
      </c>
      <c r="V1055" t="s">
        <v>1325</v>
      </c>
      <c r="W1055" t="s">
        <v>462</v>
      </c>
      <c r="X1055" t="s">
        <v>468</v>
      </c>
    </row>
    <row r="1056" spans="21:24" x14ac:dyDescent="0.45">
      <c r="U1056" t="s">
        <v>108</v>
      </c>
      <c r="V1056" t="s">
        <v>1326</v>
      </c>
      <c r="W1056" t="s">
        <v>462</v>
      </c>
      <c r="X1056" t="s">
        <v>468</v>
      </c>
    </row>
    <row r="1057" spans="21:24" x14ac:dyDescent="0.45">
      <c r="U1057" t="s">
        <v>108</v>
      </c>
      <c r="V1057" t="s">
        <v>1326</v>
      </c>
      <c r="W1057" t="s">
        <v>438</v>
      </c>
      <c r="X1057" t="s">
        <v>403</v>
      </c>
    </row>
    <row r="1058" spans="21:24" x14ac:dyDescent="0.45">
      <c r="U1058" t="s">
        <v>108</v>
      </c>
      <c r="V1058" t="s">
        <v>1327</v>
      </c>
      <c r="W1058" t="s">
        <v>462</v>
      </c>
      <c r="X1058" t="s">
        <v>468</v>
      </c>
    </row>
    <row r="1059" spans="21:24" x14ac:dyDescent="0.45">
      <c r="U1059" t="s">
        <v>108</v>
      </c>
      <c r="V1059" t="s">
        <v>1327</v>
      </c>
      <c r="W1059" t="s">
        <v>438</v>
      </c>
      <c r="X1059" t="s">
        <v>403</v>
      </c>
    </row>
    <row r="1060" spans="21:24" x14ac:dyDescent="0.45">
      <c r="U1060" t="s">
        <v>108</v>
      </c>
      <c r="V1060" t="s">
        <v>1328</v>
      </c>
      <c r="W1060" t="s">
        <v>439</v>
      </c>
      <c r="X1060" t="s">
        <v>468</v>
      </c>
    </row>
    <row r="1061" spans="21:24" x14ac:dyDescent="0.45">
      <c r="U1061" t="s">
        <v>108</v>
      </c>
      <c r="V1061" t="s">
        <v>1329</v>
      </c>
      <c r="W1061" t="s">
        <v>439</v>
      </c>
      <c r="X1061" t="s">
        <v>468</v>
      </c>
    </row>
    <row r="1062" spans="21:24" x14ac:dyDescent="0.45">
      <c r="U1062" t="s">
        <v>108</v>
      </c>
      <c r="V1062" t="s">
        <v>1330</v>
      </c>
      <c r="W1062" t="s">
        <v>439</v>
      </c>
      <c r="X1062" t="s">
        <v>468</v>
      </c>
    </row>
    <row r="1063" spans="21:24" x14ac:dyDescent="0.45">
      <c r="U1063" t="s">
        <v>108</v>
      </c>
      <c r="V1063" t="s">
        <v>1331</v>
      </c>
      <c r="W1063" t="s">
        <v>439</v>
      </c>
      <c r="X1063" t="s">
        <v>468</v>
      </c>
    </row>
    <row r="1064" spans="21:24" x14ac:dyDescent="0.45">
      <c r="U1064" t="s">
        <v>108</v>
      </c>
      <c r="V1064" t="s">
        <v>1332</v>
      </c>
      <c r="W1064" t="s">
        <v>439</v>
      </c>
      <c r="X1064" t="s">
        <v>468</v>
      </c>
    </row>
    <row r="1065" spans="21:24" x14ac:dyDescent="0.45">
      <c r="U1065" t="s">
        <v>108</v>
      </c>
      <c r="V1065" t="s">
        <v>1333</v>
      </c>
      <c r="W1065" t="s">
        <v>439</v>
      </c>
      <c r="X1065" t="s">
        <v>468</v>
      </c>
    </row>
    <row r="1066" spans="21:24" x14ac:dyDescent="0.45">
      <c r="U1066" t="s">
        <v>108</v>
      </c>
      <c r="V1066" t="s">
        <v>1334</v>
      </c>
      <c r="W1066" t="s">
        <v>439</v>
      </c>
      <c r="X1066" t="s">
        <v>468</v>
      </c>
    </row>
    <row r="1067" spans="21:24" x14ac:dyDescent="0.45">
      <c r="U1067" t="s">
        <v>108</v>
      </c>
      <c r="V1067" t="s">
        <v>1335</v>
      </c>
      <c r="W1067" t="s">
        <v>439</v>
      </c>
      <c r="X1067" t="s">
        <v>468</v>
      </c>
    </row>
    <row r="1068" spans="21:24" x14ac:dyDescent="0.45">
      <c r="U1068" t="s">
        <v>108</v>
      </c>
      <c r="V1068" t="s">
        <v>1336</v>
      </c>
      <c r="W1068" t="s">
        <v>439</v>
      </c>
      <c r="X1068" t="s">
        <v>468</v>
      </c>
    </row>
    <row r="1069" spans="21:24" x14ac:dyDescent="0.45">
      <c r="U1069" t="s">
        <v>108</v>
      </c>
      <c r="V1069" t="s">
        <v>1337</v>
      </c>
      <c r="W1069" t="s">
        <v>439</v>
      </c>
      <c r="X1069" t="s">
        <v>468</v>
      </c>
    </row>
    <row r="1070" spans="21:24" x14ac:dyDescent="0.45">
      <c r="U1070" t="s">
        <v>108</v>
      </c>
      <c r="V1070" t="s">
        <v>1338</v>
      </c>
      <c r="W1070" t="s">
        <v>439</v>
      </c>
      <c r="X1070" t="s">
        <v>468</v>
      </c>
    </row>
    <row r="1071" spans="21:24" x14ac:dyDescent="0.45">
      <c r="U1071" t="s">
        <v>108</v>
      </c>
      <c r="V1071" t="s">
        <v>1338</v>
      </c>
      <c r="W1071" t="s">
        <v>461</v>
      </c>
      <c r="X1071" t="s">
        <v>468</v>
      </c>
    </row>
    <row r="1072" spans="21:24" x14ac:dyDescent="0.45">
      <c r="U1072" t="s">
        <v>108</v>
      </c>
      <c r="V1072" t="s">
        <v>1339</v>
      </c>
      <c r="W1072" t="s">
        <v>439</v>
      </c>
      <c r="X1072" t="s">
        <v>468</v>
      </c>
    </row>
    <row r="1073" spans="21:24" x14ac:dyDescent="0.45">
      <c r="U1073" t="s">
        <v>108</v>
      </c>
      <c r="V1073" t="s">
        <v>1339</v>
      </c>
      <c r="W1073" t="s">
        <v>461</v>
      </c>
      <c r="X1073" t="s">
        <v>468</v>
      </c>
    </row>
    <row r="1074" spans="21:24" x14ac:dyDescent="0.45">
      <c r="U1074" t="s">
        <v>108</v>
      </c>
      <c r="V1074" t="s">
        <v>1340</v>
      </c>
      <c r="W1074" t="s">
        <v>439</v>
      </c>
      <c r="X1074" t="s">
        <v>468</v>
      </c>
    </row>
    <row r="1075" spans="21:24" x14ac:dyDescent="0.45">
      <c r="U1075" t="s">
        <v>108</v>
      </c>
      <c r="V1075" t="s">
        <v>1340</v>
      </c>
      <c r="W1075" t="s">
        <v>461</v>
      </c>
      <c r="X1075" t="s">
        <v>468</v>
      </c>
    </row>
    <row r="1076" spans="21:24" x14ac:dyDescent="0.45">
      <c r="U1076" t="s">
        <v>108</v>
      </c>
      <c r="V1076" t="s">
        <v>1341</v>
      </c>
      <c r="W1076" t="s">
        <v>461</v>
      </c>
      <c r="X1076" t="s">
        <v>468</v>
      </c>
    </row>
    <row r="1077" spans="21:24" x14ac:dyDescent="0.45">
      <c r="U1077" t="s">
        <v>108</v>
      </c>
      <c r="V1077" t="s">
        <v>1342</v>
      </c>
      <c r="W1077" t="s">
        <v>461</v>
      </c>
      <c r="X1077" t="s">
        <v>468</v>
      </c>
    </row>
    <row r="1078" spans="21:24" x14ac:dyDescent="0.45">
      <c r="U1078" t="s">
        <v>108</v>
      </c>
      <c r="V1078" t="s">
        <v>1343</v>
      </c>
      <c r="W1078" t="s">
        <v>461</v>
      </c>
      <c r="X1078" t="s">
        <v>468</v>
      </c>
    </row>
    <row r="1079" spans="21:24" x14ac:dyDescent="0.45">
      <c r="U1079" t="s">
        <v>108</v>
      </c>
      <c r="V1079" t="s">
        <v>1343</v>
      </c>
      <c r="W1079" t="s">
        <v>439</v>
      </c>
      <c r="X1079" t="s">
        <v>403</v>
      </c>
    </row>
    <row r="1080" spans="21:24" x14ac:dyDescent="0.45">
      <c r="U1080" t="s">
        <v>108</v>
      </c>
      <c r="V1080" t="s">
        <v>1344</v>
      </c>
      <c r="W1080" t="s">
        <v>461</v>
      </c>
      <c r="X1080" t="s">
        <v>468</v>
      </c>
    </row>
    <row r="1081" spans="21:24" x14ac:dyDescent="0.45">
      <c r="U1081" t="s">
        <v>108</v>
      </c>
      <c r="V1081" t="s">
        <v>1344</v>
      </c>
      <c r="W1081" t="s">
        <v>439</v>
      </c>
      <c r="X1081" t="s">
        <v>403</v>
      </c>
    </row>
    <row r="1082" spans="21:24" x14ac:dyDescent="0.45">
      <c r="U1082" t="s">
        <v>108</v>
      </c>
      <c r="V1082" t="s">
        <v>1345</v>
      </c>
      <c r="W1082" t="s">
        <v>440</v>
      </c>
      <c r="X1082" t="s">
        <v>468</v>
      </c>
    </row>
    <row r="1083" spans="21:24" x14ac:dyDescent="0.45">
      <c r="U1083" t="s">
        <v>108</v>
      </c>
      <c r="V1083" t="s">
        <v>1346</v>
      </c>
      <c r="W1083" t="s">
        <v>440</v>
      </c>
      <c r="X1083" t="s">
        <v>468</v>
      </c>
    </row>
    <row r="1084" spans="21:24" x14ac:dyDescent="0.45">
      <c r="U1084" t="s">
        <v>108</v>
      </c>
      <c r="V1084" t="s">
        <v>1347</v>
      </c>
      <c r="W1084" t="s">
        <v>440</v>
      </c>
      <c r="X1084" t="s">
        <v>468</v>
      </c>
    </row>
    <row r="1085" spans="21:24" x14ac:dyDescent="0.45">
      <c r="U1085" t="s">
        <v>108</v>
      </c>
      <c r="V1085" t="s">
        <v>1348</v>
      </c>
      <c r="W1085" t="s">
        <v>440</v>
      </c>
      <c r="X1085" t="s">
        <v>468</v>
      </c>
    </row>
    <row r="1086" spans="21:24" x14ac:dyDescent="0.45">
      <c r="U1086" t="s">
        <v>108</v>
      </c>
      <c r="V1086" t="s">
        <v>1349</v>
      </c>
      <c r="W1086" t="s">
        <v>440</v>
      </c>
      <c r="X1086" t="s">
        <v>468</v>
      </c>
    </row>
    <row r="1087" spans="21:24" x14ac:dyDescent="0.45">
      <c r="U1087" t="s">
        <v>108</v>
      </c>
      <c r="V1087" t="s">
        <v>1350</v>
      </c>
      <c r="W1087" t="s">
        <v>440</v>
      </c>
      <c r="X1087" t="s">
        <v>468</v>
      </c>
    </row>
    <row r="1088" spans="21:24" x14ac:dyDescent="0.45">
      <c r="U1088" t="s">
        <v>108</v>
      </c>
      <c r="V1088" t="s">
        <v>1351</v>
      </c>
      <c r="W1088" t="s">
        <v>440</v>
      </c>
      <c r="X1088" t="s">
        <v>468</v>
      </c>
    </row>
    <row r="1089" spans="21:24" x14ac:dyDescent="0.45">
      <c r="U1089" t="s">
        <v>108</v>
      </c>
      <c r="V1089" t="s">
        <v>1352</v>
      </c>
      <c r="W1089" t="s">
        <v>440</v>
      </c>
      <c r="X1089" t="s">
        <v>468</v>
      </c>
    </row>
    <row r="1090" spans="21:24" x14ac:dyDescent="0.45">
      <c r="U1090" t="s">
        <v>108</v>
      </c>
      <c r="V1090" t="s">
        <v>1353</v>
      </c>
      <c r="W1090" t="s">
        <v>440</v>
      </c>
      <c r="X1090" t="s">
        <v>468</v>
      </c>
    </row>
    <row r="1091" spans="21:24" x14ac:dyDescent="0.45">
      <c r="U1091" t="s">
        <v>108</v>
      </c>
      <c r="V1091" t="s">
        <v>1354</v>
      </c>
      <c r="W1091" t="s">
        <v>440</v>
      </c>
      <c r="X1091" t="s">
        <v>468</v>
      </c>
    </row>
    <row r="1092" spans="21:24" x14ac:dyDescent="0.45">
      <c r="U1092" t="s">
        <v>108</v>
      </c>
      <c r="V1092" t="s">
        <v>1355</v>
      </c>
      <c r="W1092" t="s">
        <v>440</v>
      </c>
      <c r="X1092" t="s">
        <v>468</v>
      </c>
    </row>
    <row r="1093" spans="21:24" x14ac:dyDescent="0.45">
      <c r="U1093" t="s">
        <v>108</v>
      </c>
      <c r="V1093" t="s">
        <v>1355</v>
      </c>
      <c r="W1093" t="s">
        <v>1356</v>
      </c>
      <c r="X1093" t="s">
        <v>468</v>
      </c>
    </row>
    <row r="1094" spans="21:24" x14ac:dyDescent="0.45">
      <c r="U1094" t="s">
        <v>108</v>
      </c>
      <c r="V1094" t="s">
        <v>1357</v>
      </c>
      <c r="W1094" t="s">
        <v>440</v>
      </c>
      <c r="X1094" t="s">
        <v>468</v>
      </c>
    </row>
    <row r="1095" spans="21:24" x14ac:dyDescent="0.45">
      <c r="U1095" t="s">
        <v>108</v>
      </c>
      <c r="V1095" t="s">
        <v>1357</v>
      </c>
      <c r="W1095" t="s">
        <v>1356</v>
      </c>
      <c r="X1095" t="s">
        <v>468</v>
      </c>
    </row>
    <row r="1096" spans="21:24" x14ac:dyDescent="0.45">
      <c r="U1096" t="s">
        <v>108</v>
      </c>
      <c r="V1096" t="s">
        <v>1358</v>
      </c>
      <c r="W1096" t="s">
        <v>440</v>
      </c>
      <c r="X1096" t="s">
        <v>468</v>
      </c>
    </row>
    <row r="1097" spans="21:24" x14ac:dyDescent="0.45">
      <c r="U1097" t="s">
        <v>108</v>
      </c>
      <c r="V1097" t="s">
        <v>1358</v>
      </c>
      <c r="W1097" t="s">
        <v>1356</v>
      </c>
      <c r="X1097" t="s">
        <v>468</v>
      </c>
    </row>
    <row r="1098" spans="21:24" x14ac:dyDescent="0.45">
      <c r="U1098" t="s">
        <v>108</v>
      </c>
      <c r="V1098" t="s">
        <v>1359</v>
      </c>
      <c r="W1098" t="s">
        <v>1356</v>
      </c>
      <c r="X1098" t="s">
        <v>468</v>
      </c>
    </row>
    <row r="1099" spans="21:24" x14ac:dyDescent="0.45">
      <c r="U1099" t="s">
        <v>108</v>
      </c>
      <c r="V1099" t="s">
        <v>1360</v>
      </c>
      <c r="W1099" t="s">
        <v>1356</v>
      </c>
      <c r="X1099" t="s">
        <v>468</v>
      </c>
    </row>
    <row r="1100" spans="21:24" x14ac:dyDescent="0.45">
      <c r="U1100" t="s">
        <v>108</v>
      </c>
      <c r="V1100" t="s">
        <v>1361</v>
      </c>
      <c r="W1100" t="s">
        <v>1356</v>
      </c>
      <c r="X1100" t="s">
        <v>468</v>
      </c>
    </row>
    <row r="1101" spans="21:24" x14ac:dyDescent="0.45">
      <c r="U1101" t="s">
        <v>108</v>
      </c>
      <c r="V1101" t="s">
        <v>1361</v>
      </c>
      <c r="W1101" t="s">
        <v>440</v>
      </c>
      <c r="X1101" t="s">
        <v>403</v>
      </c>
    </row>
    <row r="1102" spans="21:24" x14ac:dyDescent="0.45">
      <c r="U1102" t="s">
        <v>108</v>
      </c>
      <c r="V1102" t="s">
        <v>1362</v>
      </c>
      <c r="W1102" t="s">
        <v>1356</v>
      </c>
      <c r="X1102" t="s">
        <v>468</v>
      </c>
    </row>
    <row r="1103" spans="21:24" x14ac:dyDescent="0.45">
      <c r="U1103" t="s">
        <v>108</v>
      </c>
      <c r="V1103" t="s">
        <v>1362</v>
      </c>
      <c r="W1103" t="s">
        <v>440</v>
      </c>
      <c r="X1103" t="s">
        <v>403</v>
      </c>
    </row>
    <row r="1104" spans="21:24" x14ac:dyDescent="0.45">
      <c r="U1104" t="s">
        <v>108</v>
      </c>
      <c r="V1104" t="s">
        <v>1363</v>
      </c>
      <c r="W1104" t="s">
        <v>449</v>
      </c>
      <c r="X1104" t="s">
        <v>468</v>
      </c>
    </row>
    <row r="1105" spans="21:24" x14ac:dyDescent="0.45">
      <c r="U1105" t="s">
        <v>108</v>
      </c>
      <c r="V1105" t="s">
        <v>1364</v>
      </c>
      <c r="W1105" t="s">
        <v>449</v>
      </c>
      <c r="X1105" t="s">
        <v>468</v>
      </c>
    </row>
    <row r="1106" spans="21:24" x14ac:dyDescent="0.45">
      <c r="U1106" t="s">
        <v>108</v>
      </c>
      <c r="V1106" t="s">
        <v>1365</v>
      </c>
      <c r="W1106" t="s">
        <v>449</v>
      </c>
      <c r="X1106" t="s">
        <v>468</v>
      </c>
    </row>
    <row r="1107" spans="21:24" x14ac:dyDescent="0.45">
      <c r="U1107" t="s">
        <v>108</v>
      </c>
      <c r="V1107" t="s">
        <v>1366</v>
      </c>
      <c r="W1107" t="s">
        <v>449</v>
      </c>
      <c r="X1107" t="s">
        <v>468</v>
      </c>
    </row>
    <row r="1108" spans="21:24" x14ac:dyDescent="0.45">
      <c r="U1108" t="s">
        <v>108</v>
      </c>
      <c r="V1108" t="s">
        <v>1367</v>
      </c>
      <c r="W1108" t="s">
        <v>449</v>
      </c>
      <c r="X1108" t="s">
        <v>468</v>
      </c>
    </row>
    <row r="1109" spans="21:24" x14ac:dyDescent="0.45">
      <c r="U1109" t="s">
        <v>108</v>
      </c>
      <c r="V1109" t="s">
        <v>1368</v>
      </c>
      <c r="W1109" t="s">
        <v>449</v>
      </c>
      <c r="X1109" t="s">
        <v>468</v>
      </c>
    </row>
    <row r="1110" spans="21:24" x14ac:dyDescent="0.45">
      <c r="U1110" t="s">
        <v>108</v>
      </c>
      <c r="V1110" t="s">
        <v>1369</v>
      </c>
      <c r="W1110" t="s">
        <v>449</v>
      </c>
      <c r="X1110" t="s">
        <v>468</v>
      </c>
    </row>
    <row r="1111" spans="21:24" x14ac:dyDescent="0.45">
      <c r="U1111" t="s">
        <v>108</v>
      </c>
      <c r="V1111" t="s">
        <v>1370</v>
      </c>
      <c r="W1111" t="s">
        <v>449</v>
      </c>
      <c r="X1111" t="s">
        <v>468</v>
      </c>
    </row>
    <row r="1112" spans="21:24" x14ac:dyDescent="0.45">
      <c r="U1112" t="s">
        <v>108</v>
      </c>
      <c r="V1112" t="s">
        <v>1371</v>
      </c>
      <c r="W1112" t="s">
        <v>449</v>
      </c>
      <c r="X1112" t="s">
        <v>468</v>
      </c>
    </row>
    <row r="1113" spans="21:24" x14ac:dyDescent="0.45">
      <c r="U1113" t="s">
        <v>108</v>
      </c>
      <c r="V1113" t="s">
        <v>1372</v>
      </c>
      <c r="W1113" t="s">
        <v>449</v>
      </c>
      <c r="X1113" t="s">
        <v>468</v>
      </c>
    </row>
    <row r="1114" spans="21:24" x14ac:dyDescent="0.45">
      <c r="U1114" t="s">
        <v>108</v>
      </c>
      <c r="V1114" t="s">
        <v>1373</v>
      </c>
      <c r="W1114" t="s">
        <v>449</v>
      </c>
      <c r="X1114" t="s">
        <v>468</v>
      </c>
    </row>
    <row r="1115" spans="21:24" x14ac:dyDescent="0.45">
      <c r="U1115" t="s">
        <v>108</v>
      </c>
      <c r="V1115" t="s">
        <v>1373</v>
      </c>
      <c r="W1115" t="s">
        <v>1374</v>
      </c>
      <c r="X1115" t="s">
        <v>468</v>
      </c>
    </row>
    <row r="1116" spans="21:24" x14ac:dyDescent="0.45">
      <c r="U1116" t="s">
        <v>108</v>
      </c>
      <c r="V1116" t="s">
        <v>1375</v>
      </c>
      <c r="W1116" t="s">
        <v>449</v>
      </c>
      <c r="X1116" t="s">
        <v>468</v>
      </c>
    </row>
    <row r="1117" spans="21:24" x14ac:dyDescent="0.45">
      <c r="U1117" t="s">
        <v>108</v>
      </c>
      <c r="V1117" t="s">
        <v>1375</v>
      </c>
      <c r="W1117" t="s">
        <v>1374</v>
      </c>
      <c r="X1117" t="s">
        <v>468</v>
      </c>
    </row>
    <row r="1118" spans="21:24" x14ac:dyDescent="0.45">
      <c r="U1118" t="s">
        <v>108</v>
      </c>
      <c r="V1118" t="s">
        <v>1376</v>
      </c>
      <c r="W1118" t="s">
        <v>449</v>
      </c>
      <c r="X1118" t="s">
        <v>468</v>
      </c>
    </row>
    <row r="1119" spans="21:24" x14ac:dyDescent="0.45">
      <c r="U1119" t="s">
        <v>108</v>
      </c>
      <c r="V1119" t="s">
        <v>1376</v>
      </c>
      <c r="W1119" t="s">
        <v>1374</v>
      </c>
      <c r="X1119" t="s">
        <v>468</v>
      </c>
    </row>
    <row r="1120" spans="21:24" x14ac:dyDescent="0.45">
      <c r="U1120" t="s">
        <v>108</v>
      </c>
      <c r="V1120" t="s">
        <v>1377</v>
      </c>
      <c r="W1120" t="s">
        <v>1374</v>
      </c>
      <c r="X1120" t="s">
        <v>468</v>
      </c>
    </row>
    <row r="1121" spans="21:24" x14ac:dyDescent="0.45">
      <c r="U1121" t="s">
        <v>108</v>
      </c>
      <c r="V1121" t="s">
        <v>1378</v>
      </c>
      <c r="W1121" t="s">
        <v>1374</v>
      </c>
      <c r="X1121" t="s">
        <v>468</v>
      </c>
    </row>
    <row r="1122" spans="21:24" x14ac:dyDescent="0.45">
      <c r="U1122" t="s">
        <v>108</v>
      </c>
      <c r="V1122" t="s">
        <v>1379</v>
      </c>
      <c r="W1122" t="s">
        <v>1374</v>
      </c>
      <c r="X1122" t="s">
        <v>468</v>
      </c>
    </row>
    <row r="1123" spans="21:24" x14ac:dyDescent="0.45">
      <c r="U1123" t="s">
        <v>108</v>
      </c>
      <c r="V1123" t="s">
        <v>1379</v>
      </c>
      <c r="W1123" t="s">
        <v>449</v>
      </c>
      <c r="X1123" t="s">
        <v>403</v>
      </c>
    </row>
    <row r="1124" spans="21:24" x14ac:dyDescent="0.45">
      <c r="U1124" t="s">
        <v>108</v>
      </c>
      <c r="V1124" t="s">
        <v>1380</v>
      </c>
      <c r="W1124" t="s">
        <v>1374</v>
      </c>
      <c r="X1124" t="s">
        <v>468</v>
      </c>
    </row>
    <row r="1125" spans="21:24" x14ac:dyDescent="0.45">
      <c r="U1125" t="s">
        <v>108</v>
      </c>
      <c r="V1125" t="s">
        <v>1380</v>
      </c>
      <c r="W1125" t="s">
        <v>449</v>
      </c>
      <c r="X1125" t="s">
        <v>403</v>
      </c>
    </row>
    <row r="1126" spans="21:24" x14ac:dyDescent="0.45">
      <c r="U1126" t="s">
        <v>108</v>
      </c>
      <c r="V1126" t="s">
        <v>1381</v>
      </c>
      <c r="W1126" t="s">
        <v>441</v>
      </c>
      <c r="X1126" t="s">
        <v>468</v>
      </c>
    </row>
    <row r="1127" spans="21:24" x14ac:dyDescent="0.45">
      <c r="U1127" t="s">
        <v>108</v>
      </c>
      <c r="V1127" t="s">
        <v>1382</v>
      </c>
      <c r="W1127" t="s">
        <v>441</v>
      </c>
      <c r="X1127" t="s">
        <v>468</v>
      </c>
    </row>
    <row r="1128" spans="21:24" x14ac:dyDescent="0.45">
      <c r="U1128" t="s">
        <v>108</v>
      </c>
      <c r="V1128" t="s">
        <v>1383</v>
      </c>
      <c r="W1128" t="s">
        <v>441</v>
      </c>
      <c r="X1128" t="s">
        <v>468</v>
      </c>
    </row>
    <row r="1129" spans="21:24" x14ac:dyDescent="0.45">
      <c r="U1129" t="s">
        <v>108</v>
      </c>
      <c r="V1129" t="s">
        <v>1384</v>
      </c>
      <c r="W1129" t="s">
        <v>441</v>
      </c>
      <c r="X1129" t="s">
        <v>468</v>
      </c>
    </row>
    <row r="1130" spans="21:24" x14ac:dyDescent="0.45">
      <c r="U1130" t="s">
        <v>108</v>
      </c>
      <c r="V1130" t="s">
        <v>1385</v>
      </c>
      <c r="W1130" t="s">
        <v>441</v>
      </c>
      <c r="X1130" t="s">
        <v>468</v>
      </c>
    </row>
    <row r="1131" spans="21:24" x14ac:dyDescent="0.45">
      <c r="U1131" t="s">
        <v>108</v>
      </c>
      <c r="V1131" t="s">
        <v>1386</v>
      </c>
      <c r="W1131" t="s">
        <v>441</v>
      </c>
      <c r="X1131" t="s">
        <v>468</v>
      </c>
    </row>
    <row r="1132" spans="21:24" x14ac:dyDescent="0.45">
      <c r="U1132" t="s">
        <v>108</v>
      </c>
      <c r="V1132" t="s">
        <v>1387</v>
      </c>
      <c r="W1132" t="s">
        <v>441</v>
      </c>
      <c r="X1132" t="s">
        <v>468</v>
      </c>
    </row>
    <row r="1133" spans="21:24" x14ac:dyDescent="0.45">
      <c r="U1133" t="s">
        <v>108</v>
      </c>
      <c r="V1133" t="s">
        <v>1388</v>
      </c>
      <c r="W1133" t="s">
        <v>441</v>
      </c>
      <c r="X1133" t="s">
        <v>468</v>
      </c>
    </row>
    <row r="1134" spans="21:24" x14ac:dyDescent="0.45">
      <c r="U1134" t="s">
        <v>108</v>
      </c>
      <c r="V1134" t="s">
        <v>1389</v>
      </c>
      <c r="W1134" t="s">
        <v>441</v>
      </c>
      <c r="X1134" t="s">
        <v>468</v>
      </c>
    </row>
    <row r="1135" spans="21:24" x14ac:dyDescent="0.45">
      <c r="U1135" t="s">
        <v>108</v>
      </c>
      <c r="V1135" t="s">
        <v>1390</v>
      </c>
      <c r="W1135" t="s">
        <v>441</v>
      </c>
      <c r="X1135" t="s">
        <v>468</v>
      </c>
    </row>
    <row r="1136" spans="21:24" x14ac:dyDescent="0.45">
      <c r="U1136" t="s">
        <v>108</v>
      </c>
      <c r="V1136" t="s">
        <v>1391</v>
      </c>
      <c r="W1136" t="s">
        <v>441</v>
      </c>
      <c r="X1136" t="s">
        <v>468</v>
      </c>
    </row>
    <row r="1137" spans="21:24" x14ac:dyDescent="0.45">
      <c r="U1137" t="s">
        <v>108</v>
      </c>
      <c r="V1137" t="s">
        <v>1391</v>
      </c>
      <c r="W1137" t="s">
        <v>1392</v>
      </c>
      <c r="X1137" t="s">
        <v>468</v>
      </c>
    </row>
    <row r="1138" spans="21:24" x14ac:dyDescent="0.45">
      <c r="U1138" t="s">
        <v>108</v>
      </c>
      <c r="V1138" t="s">
        <v>1393</v>
      </c>
      <c r="W1138" t="s">
        <v>441</v>
      </c>
      <c r="X1138" t="s">
        <v>468</v>
      </c>
    </row>
    <row r="1139" spans="21:24" x14ac:dyDescent="0.45">
      <c r="U1139" t="s">
        <v>108</v>
      </c>
      <c r="V1139" t="s">
        <v>1393</v>
      </c>
      <c r="W1139" t="s">
        <v>1392</v>
      </c>
      <c r="X1139" t="s">
        <v>468</v>
      </c>
    </row>
    <row r="1140" spans="21:24" x14ac:dyDescent="0.45">
      <c r="U1140" t="s">
        <v>108</v>
      </c>
      <c r="V1140" t="s">
        <v>1394</v>
      </c>
      <c r="W1140" t="s">
        <v>441</v>
      </c>
      <c r="X1140" t="s">
        <v>468</v>
      </c>
    </row>
    <row r="1141" spans="21:24" x14ac:dyDescent="0.45">
      <c r="U1141" t="s">
        <v>108</v>
      </c>
      <c r="V1141" t="s">
        <v>1394</v>
      </c>
      <c r="W1141" t="s">
        <v>1392</v>
      </c>
      <c r="X1141" t="s">
        <v>468</v>
      </c>
    </row>
    <row r="1142" spans="21:24" x14ac:dyDescent="0.45">
      <c r="U1142" t="s">
        <v>108</v>
      </c>
      <c r="V1142" t="s">
        <v>1395</v>
      </c>
      <c r="W1142" t="s">
        <v>1392</v>
      </c>
      <c r="X1142" t="s">
        <v>468</v>
      </c>
    </row>
    <row r="1143" spans="21:24" x14ac:dyDescent="0.45">
      <c r="U1143" t="s">
        <v>108</v>
      </c>
      <c r="V1143" t="s">
        <v>1396</v>
      </c>
      <c r="W1143" t="s">
        <v>1392</v>
      </c>
      <c r="X1143" t="s">
        <v>468</v>
      </c>
    </row>
    <row r="1144" spans="21:24" x14ac:dyDescent="0.45">
      <c r="U1144" t="s">
        <v>108</v>
      </c>
      <c r="V1144" t="s">
        <v>1397</v>
      </c>
      <c r="W1144" t="s">
        <v>1392</v>
      </c>
      <c r="X1144" t="s">
        <v>468</v>
      </c>
    </row>
    <row r="1145" spans="21:24" x14ac:dyDescent="0.45">
      <c r="U1145" t="s">
        <v>108</v>
      </c>
      <c r="V1145" t="s">
        <v>1397</v>
      </c>
      <c r="W1145" t="s">
        <v>441</v>
      </c>
      <c r="X1145" t="s">
        <v>403</v>
      </c>
    </row>
    <row r="1146" spans="21:24" x14ac:dyDescent="0.45">
      <c r="U1146" t="s">
        <v>108</v>
      </c>
      <c r="V1146" t="s">
        <v>1398</v>
      </c>
      <c r="W1146" t="s">
        <v>1392</v>
      </c>
      <c r="X1146" t="s">
        <v>468</v>
      </c>
    </row>
    <row r="1147" spans="21:24" x14ac:dyDescent="0.45">
      <c r="U1147" t="s">
        <v>108</v>
      </c>
      <c r="V1147" t="s">
        <v>1398</v>
      </c>
      <c r="W1147" t="s">
        <v>441</v>
      </c>
      <c r="X1147" t="s">
        <v>403</v>
      </c>
    </row>
    <row r="1148" spans="21:24" x14ac:dyDescent="0.45">
      <c r="U1148" t="s">
        <v>108</v>
      </c>
      <c r="V1148" t="s">
        <v>1399</v>
      </c>
      <c r="W1148" t="s">
        <v>450</v>
      </c>
      <c r="X1148" t="s">
        <v>468</v>
      </c>
    </row>
    <row r="1149" spans="21:24" x14ac:dyDescent="0.45">
      <c r="U1149" t="s">
        <v>108</v>
      </c>
      <c r="V1149" t="s">
        <v>1400</v>
      </c>
      <c r="W1149" t="s">
        <v>450</v>
      </c>
      <c r="X1149" t="s">
        <v>468</v>
      </c>
    </row>
    <row r="1150" spans="21:24" x14ac:dyDescent="0.45">
      <c r="U1150" t="s">
        <v>108</v>
      </c>
      <c r="V1150" t="s">
        <v>1401</v>
      </c>
      <c r="W1150" t="s">
        <v>450</v>
      </c>
      <c r="X1150" t="s">
        <v>468</v>
      </c>
    </row>
    <row r="1151" spans="21:24" x14ac:dyDescent="0.45">
      <c r="U1151" t="s">
        <v>108</v>
      </c>
      <c r="V1151" t="s">
        <v>1402</v>
      </c>
      <c r="W1151" t="s">
        <v>450</v>
      </c>
      <c r="X1151" t="s">
        <v>468</v>
      </c>
    </row>
    <row r="1152" spans="21:24" x14ac:dyDescent="0.45">
      <c r="U1152" t="s">
        <v>108</v>
      </c>
      <c r="V1152" t="s">
        <v>1403</v>
      </c>
      <c r="W1152" t="s">
        <v>450</v>
      </c>
      <c r="X1152" t="s">
        <v>468</v>
      </c>
    </row>
    <row r="1153" spans="21:24" x14ac:dyDescent="0.45">
      <c r="U1153" t="s">
        <v>108</v>
      </c>
      <c r="V1153" t="s">
        <v>1404</v>
      </c>
      <c r="W1153" t="s">
        <v>450</v>
      </c>
      <c r="X1153" t="s">
        <v>468</v>
      </c>
    </row>
    <row r="1154" spans="21:24" x14ac:dyDescent="0.45">
      <c r="U1154" t="s">
        <v>108</v>
      </c>
      <c r="V1154" t="s">
        <v>1405</v>
      </c>
      <c r="W1154" t="s">
        <v>450</v>
      </c>
      <c r="X1154" t="s">
        <v>468</v>
      </c>
    </row>
    <row r="1155" spans="21:24" x14ac:dyDescent="0.45">
      <c r="U1155" t="s">
        <v>108</v>
      </c>
      <c r="V1155" t="s">
        <v>1406</v>
      </c>
      <c r="W1155" t="s">
        <v>450</v>
      </c>
      <c r="X1155" t="s">
        <v>468</v>
      </c>
    </row>
    <row r="1156" spans="21:24" x14ac:dyDescent="0.45">
      <c r="U1156" t="s">
        <v>108</v>
      </c>
      <c r="V1156" t="s">
        <v>1407</v>
      </c>
      <c r="W1156" t="s">
        <v>450</v>
      </c>
      <c r="X1156" t="s">
        <v>468</v>
      </c>
    </row>
    <row r="1157" spans="21:24" x14ac:dyDescent="0.45">
      <c r="U1157" t="s">
        <v>108</v>
      </c>
      <c r="V1157" t="s">
        <v>1408</v>
      </c>
      <c r="W1157" t="s">
        <v>450</v>
      </c>
      <c r="X1157" t="s">
        <v>468</v>
      </c>
    </row>
    <row r="1158" spans="21:24" x14ac:dyDescent="0.45">
      <c r="U1158" t="s">
        <v>108</v>
      </c>
      <c r="V1158" t="s">
        <v>1409</v>
      </c>
      <c r="W1158" t="s">
        <v>450</v>
      </c>
      <c r="X1158" t="s">
        <v>468</v>
      </c>
    </row>
    <row r="1159" spans="21:24" x14ac:dyDescent="0.45">
      <c r="U1159" t="s">
        <v>108</v>
      </c>
      <c r="V1159" t="s">
        <v>1409</v>
      </c>
      <c r="W1159" t="s">
        <v>1410</v>
      </c>
      <c r="X1159" t="s">
        <v>468</v>
      </c>
    </row>
    <row r="1160" spans="21:24" x14ac:dyDescent="0.45">
      <c r="U1160" t="s">
        <v>108</v>
      </c>
      <c r="V1160" t="s">
        <v>1411</v>
      </c>
      <c r="W1160" t="s">
        <v>450</v>
      </c>
      <c r="X1160" t="s">
        <v>468</v>
      </c>
    </row>
    <row r="1161" spans="21:24" x14ac:dyDescent="0.45">
      <c r="U1161" t="s">
        <v>108</v>
      </c>
      <c r="V1161" t="s">
        <v>1411</v>
      </c>
      <c r="W1161" t="s">
        <v>1410</v>
      </c>
      <c r="X1161" t="s">
        <v>468</v>
      </c>
    </row>
    <row r="1162" spans="21:24" x14ac:dyDescent="0.45">
      <c r="U1162" t="s">
        <v>108</v>
      </c>
      <c r="V1162" t="s">
        <v>1412</v>
      </c>
      <c r="W1162" t="s">
        <v>450</v>
      </c>
      <c r="X1162" t="s">
        <v>468</v>
      </c>
    </row>
    <row r="1163" spans="21:24" x14ac:dyDescent="0.45">
      <c r="U1163" t="s">
        <v>108</v>
      </c>
      <c r="V1163" t="s">
        <v>1412</v>
      </c>
      <c r="W1163" t="s">
        <v>1410</v>
      </c>
      <c r="X1163" t="s">
        <v>468</v>
      </c>
    </row>
    <row r="1164" spans="21:24" x14ac:dyDescent="0.45">
      <c r="U1164" t="s">
        <v>108</v>
      </c>
      <c r="V1164" t="s">
        <v>1413</v>
      </c>
      <c r="W1164" t="s">
        <v>1410</v>
      </c>
      <c r="X1164" t="s">
        <v>468</v>
      </c>
    </row>
    <row r="1165" spans="21:24" x14ac:dyDescent="0.45">
      <c r="U1165" t="s">
        <v>108</v>
      </c>
      <c r="V1165" t="s">
        <v>1414</v>
      </c>
      <c r="W1165" t="s">
        <v>1410</v>
      </c>
      <c r="X1165" t="s">
        <v>468</v>
      </c>
    </row>
    <row r="1166" spans="21:24" x14ac:dyDescent="0.45">
      <c r="U1166" t="s">
        <v>108</v>
      </c>
      <c r="V1166" t="s">
        <v>1415</v>
      </c>
      <c r="W1166" t="s">
        <v>1410</v>
      </c>
      <c r="X1166" t="s">
        <v>468</v>
      </c>
    </row>
    <row r="1167" spans="21:24" x14ac:dyDescent="0.45">
      <c r="U1167" t="s">
        <v>108</v>
      </c>
      <c r="V1167" t="s">
        <v>1415</v>
      </c>
      <c r="W1167" t="s">
        <v>450</v>
      </c>
      <c r="X1167" t="s">
        <v>403</v>
      </c>
    </row>
    <row r="1168" spans="21:24" x14ac:dyDescent="0.45">
      <c r="U1168" t="s">
        <v>108</v>
      </c>
      <c r="V1168" t="s">
        <v>1416</v>
      </c>
      <c r="W1168" t="s">
        <v>1410</v>
      </c>
      <c r="X1168" t="s">
        <v>468</v>
      </c>
    </row>
    <row r="1169" spans="21:24" x14ac:dyDescent="0.45">
      <c r="U1169" t="s">
        <v>108</v>
      </c>
      <c r="V1169" t="s">
        <v>1416</v>
      </c>
      <c r="W1169" t="s">
        <v>450</v>
      </c>
      <c r="X1169" t="s">
        <v>403</v>
      </c>
    </row>
    <row r="1170" spans="21:24" x14ac:dyDescent="0.45">
      <c r="U1170" t="s">
        <v>108</v>
      </c>
      <c r="V1170" t="s">
        <v>1417</v>
      </c>
      <c r="W1170" t="s">
        <v>442</v>
      </c>
      <c r="X1170" t="s">
        <v>468</v>
      </c>
    </row>
    <row r="1171" spans="21:24" x14ac:dyDescent="0.45">
      <c r="U1171" t="s">
        <v>108</v>
      </c>
      <c r="V1171" t="s">
        <v>1418</v>
      </c>
      <c r="W1171" t="s">
        <v>442</v>
      </c>
      <c r="X1171" t="s">
        <v>468</v>
      </c>
    </row>
    <row r="1172" spans="21:24" x14ac:dyDescent="0.45">
      <c r="U1172" t="s">
        <v>108</v>
      </c>
      <c r="V1172" t="s">
        <v>1419</v>
      </c>
      <c r="W1172" t="s">
        <v>442</v>
      </c>
      <c r="X1172" t="s">
        <v>468</v>
      </c>
    </row>
    <row r="1173" spans="21:24" x14ac:dyDescent="0.45">
      <c r="U1173" t="s">
        <v>108</v>
      </c>
      <c r="V1173" t="s">
        <v>1420</v>
      </c>
      <c r="W1173" t="s">
        <v>442</v>
      </c>
      <c r="X1173" t="s">
        <v>468</v>
      </c>
    </row>
    <row r="1174" spans="21:24" x14ac:dyDescent="0.45">
      <c r="U1174" t="s">
        <v>108</v>
      </c>
      <c r="V1174" t="s">
        <v>1421</v>
      </c>
      <c r="W1174" t="s">
        <v>442</v>
      </c>
      <c r="X1174" t="s">
        <v>468</v>
      </c>
    </row>
    <row r="1175" spans="21:24" x14ac:dyDescent="0.45">
      <c r="U1175" t="s">
        <v>108</v>
      </c>
      <c r="V1175" t="s">
        <v>1422</v>
      </c>
      <c r="W1175" t="s">
        <v>442</v>
      </c>
      <c r="X1175" t="s">
        <v>468</v>
      </c>
    </row>
    <row r="1176" spans="21:24" x14ac:dyDescent="0.45">
      <c r="U1176" t="s">
        <v>108</v>
      </c>
      <c r="V1176" t="s">
        <v>1423</v>
      </c>
      <c r="W1176" t="s">
        <v>442</v>
      </c>
      <c r="X1176" t="s">
        <v>468</v>
      </c>
    </row>
    <row r="1177" spans="21:24" x14ac:dyDescent="0.45">
      <c r="U1177" t="s">
        <v>108</v>
      </c>
      <c r="V1177" t="s">
        <v>1424</v>
      </c>
      <c r="W1177" t="s">
        <v>442</v>
      </c>
      <c r="X1177" t="s">
        <v>468</v>
      </c>
    </row>
    <row r="1178" spans="21:24" x14ac:dyDescent="0.45">
      <c r="U1178" t="s">
        <v>108</v>
      </c>
      <c r="V1178" t="s">
        <v>1425</v>
      </c>
      <c r="W1178" t="s">
        <v>442</v>
      </c>
      <c r="X1178" t="s">
        <v>468</v>
      </c>
    </row>
    <row r="1179" spans="21:24" x14ac:dyDescent="0.45">
      <c r="U1179" t="s">
        <v>108</v>
      </c>
      <c r="V1179" t="s">
        <v>1426</v>
      </c>
      <c r="W1179" t="s">
        <v>442</v>
      </c>
      <c r="X1179" t="s">
        <v>468</v>
      </c>
    </row>
    <row r="1180" spans="21:24" x14ac:dyDescent="0.45">
      <c r="U1180" t="s">
        <v>108</v>
      </c>
      <c r="V1180" t="s">
        <v>1427</v>
      </c>
      <c r="W1180" t="s">
        <v>442</v>
      </c>
      <c r="X1180" t="s">
        <v>468</v>
      </c>
    </row>
    <row r="1181" spans="21:24" x14ac:dyDescent="0.45">
      <c r="U1181" t="s">
        <v>108</v>
      </c>
      <c r="V1181" t="s">
        <v>1427</v>
      </c>
      <c r="W1181" t="s">
        <v>464</v>
      </c>
      <c r="X1181" t="s">
        <v>468</v>
      </c>
    </row>
    <row r="1182" spans="21:24" x14ac:dyDescent="0.45">
      <c r="U1182" t="s">
        <v>108</v>
      </c>
      <c r="V1182" t="s">
        <v>1428</v>
      </c>
      <c r="W1182" t="s">
        <v>442</v>
      </c>
      <c r="X1182" t="s">
        <v>468</v>
      </c>
    </row>
    <row r="1183" spans="21:24" x14ac:dyDescent="0.45">
      <c r="U1183" t="s">
        <v>108</v>
      </c>
      <c r="V1183" t="s">
        <v>1428</v>
      </c>
      <c r="W1183" t="s">
        <v>464</v>
      </c>
      <c r="X1183" t="s">
        <v>468</v>
      </c>
    </row>
    <row r="1184" spans="21:24" x14ac:dyDescent="0.45">
      <c r="U1184" t="s">
        <v>108</v>
      </c>
      <c r="V1184" t="s">
        <v>1429</v>
      </c>
      <c r="W1184" t="s">
        <v>442</v>
      </c>
      <c r="X1184" t="s">
        <v>468</v>
      </c>
    </row>
    <row r="1185" spans="21:24" x14ac:dyDescent="0.45">
      <c r="U1185" t="s">
        <v>108</v>
      </c>
      <c r="V1185" t="s">
        <v>1429</v>
      </c>
      <c r="W1185" t="s">
        <v>464</v>
      </c>
      <c r="X1185" t="s">
        <v>468</v>
      </c>
    </row>
    <row r="1186" spans="21:24" x14ac:dyDescent="0.45">
      <c r="U1186" t="s">
        <v>108</v>
      </c>
      <c r="V1186" t="s">
        <v>1430</v>
      </c>
      <c r="W1186" t="s">
        <v>464</v>
      </c>
      <c r="X1186" t="s">
        <v>468</v>
      </c>
    </row>
    <row r="1187" spans="21:24" x14ac:dyDescent="0.45">
      <c r="U1187" t="s">
        <v>108</v>
      </c>
      <c r="V1187" t="s">
        <v>1431</v>
      </c>
      <c r="W1187" t="s">
        <v>464</v>
      </c>
      <c r="X1187" t="s">
        <v>468</v>
      </c>
    </row>
    <row r="1188" spans="21:24" x14ac:dyDescent="0.45">
      <c r="U1188" t="s">
        <v>108</v>
      </c>
      <c r="V1188" t="s">
        <v>1432</v>
      </c>
      <c r="W1188" t="s">
        <v>464</v>
      </c>
      <c r="X1188" t="s">
        <v>468</v>
      </c>
    </row>
    <row r="1189" spans="21:24" x14ac:dyDescent="0.45">
      <c r="U1189" t="s">
        <v>108</v>
      </c>
      <c r="V1189" t="s">
        <v>1432</v>
      </c>
      <c r="W1189" t="s">
        <v>442</v>
      </c>
      <c r="X1189" t="s">
        <v>403</v>
      </c>
    </row>
    <row r="1190" spans="21:24" x14ac:dyDescent="0.45">
      <c r="U1190" t="s">
        <v>108</v>
      </c>
      <c r="V1190" t="s">
        <v>1433</v>
      </c>
      <c r="W1190" t="s">
        <v>464</v>
      </c>
      <c r="X1190" t="s">
        <v>468</v>
      </c>
    </row>
    <row r="1191" spans="21:24" x14ac:dyDescent="0.45">
      <c r="U1191" t="s">
        <v>108</v>
      </c>
      <c r="V1191" t="s">
        <v>1433</v>
      </c>
      <c r="W1191" t="s">
        <v>442</v>
      </c>
      <c r="X1191" t="s">
        <v>403</v>
      </c>
    </row>
    <row r="1192" spans="21:24" x14ac:dyDescent="0.45">
      <c r="U1192" t="s">
        <v>108</v>
      </c>
      <c r="V1192" t="s">
        <v>1434</v>
      </c>
      <c r="W1192" t="s">
        <v>443</v>
      </c>
      <c r="X1192" t="s">
        <v>468</v>
      </c>
    </row>
    <row r="1193" spans="21:24" x14ac:dyDescent="0.45">
      <c r="U1193" t="s">
        <v>108</v>
      </c>
      <c r="V1193" t="s">
        <v>1435</v>
      </c>
      <c r="W1193" t="s">
        <v>443</v>
      </c>
      <c r="X1193" t="s">
        <v>468</v>
      </c>
    </row>
    <row r="1194" spans="21:24" x14ac:dyDescent="0.45">
      <c r="U1194" t="s">
        <v>108</v>
      </c>
      <c r="V1194" t="s">
        <v>1436</v>
      </c>
      <c r="W1194" t="s">
        <v>443</v>
      </c>
      <c r="X1194" t="s">
        <v>468</v>
      </c>
    </row>
    <row r="1195" spans="21:24" x14ac:dyDescent="0.45">
      <c r="U1195" t="s">
        <v>108</v>
      </c>
      <c r="V1195" t="s">
        <v>1437</v>
      </c>
      <c r="W1195" t="s">
        <v>443</v>
      </c>
      <c r="X1195" t="s">
        <v>468</v>
      </c>
    </row>
    <row r="1196" spans="21:24" x14ac:dyDescent="0.45">
      <c r="U1196" t="s">
        <v>108</v>
      </c>
      <c r="V1196" t="s">
        <v>1438</v>
      </c>
      <c r="W1196" t="s">
        <v>443</v>
      </c>
      <c r="X1196" t="s">
        <v>468</v>
      </c>
    </row>
    <row r="1197" spans="21:24" x14ac:dyDescent="0.45">
      <c r="U1197" t="s">
        <v>108</v>
      </c>
      <c r="V1197" t="s">
        <v>1439</v>
      </c>
      <c r="W1197" t="s">
        <v>443</v>
      </c>
      <c r="X1197" t="s">
        <v>468</v>
      </c>
    </row>
    <row r="1198" spans="21:24" x14ac:dyDescent="0.45">
      <c r="U1198" t="s">
        <v>108</v>
      </c>
      <c r="V1198" t="s">
        <v>1440</v>
      </c>
      <c r="W1198" t="s">
        <v>443</v>
      </c>
      <c r="X1198" t="s">
        <v>468</v>
      </c>
    </row>
    <row r="1199" spans="21:24" x14ac:dyDescent="0.45">
      <c r="U1199" t="s">
        <v>108</v>
      </c>
      <c r="V1199" t="s">
        <v>1441</v>
      </c>
      <c r="W1199" t="s">
        <v>443</v>
      </c>
      <c r="X1199" t="s">
        <v>468</v>
      </c>
    </row>
    <row r="1200" spans="21:24" x14ac:dyDescent="0.45">
      <c r="U1200" t="s">
        <v>108</v>
      </c>
      <c r="V1200" t="s">
        <v>1442</v>
      </c>
      <c r="W1200" t="s">
        <v>443</v>
      </c>
      <c r="X1200" t="s">
        <v>468</v>
      </c>
    </row>
    <row r="1201" spans="21:24" x14ac:dyDescent="0.45">
      <c r="U1201" t="s">
        <v>108</v>
      </c>
      <c r="V1201" t="s">
        <v>1443</v>
      </c>
      <c r="W1201" t="s">
        <v>443</v>
      </c>
      <c r="X1201" t="s">
        <v>468</v>
      </c>
    </row>
    <row r="1202" spans="21:24" x14ac:dyDescent="0.45">
      <c r="U1202" t="s">
        <v>108</v>
      </c>
      <c r="V1202" t="s">
        <v>1444</v>
      </c>
      <c r="W1202" t="s">
        <v>443</v>
      </c>
      <c r="X1202" t="s">
        <v>468</v>
      </c>
    </row>
    <row r="1203" spans="21:24" x14ac:dyDescent="0.45">
      <c r="U1203" t="s">
        <v>108</v>
      </c>
      <c r="V1203" t="s">
        <v>1444</v>
      </c>
      <c r="W1203" t="s">
        <v>1445</v>
      </c>
      <c r="X1203" t="s">
        <v>468</v>
      </c>
    </row>
    <row r="1204" spans="21:24" x14ac:dyDescent="0.45">
      <c r="U1204" t="s">
        <v>108</v>
      </c>
      <c r="V1204" t="s">
        <v>1446</v>
      </c>
      <c r="W1204" t="s">
        <v>443</v>
      </c>
      <c r="X1204" t="s">
        <v>468</v>
      </c>
    </row>
    <row r="1205" spans="21:24" x14ac:dyDescent="0.45">
      <c r="U1205" t="s">
        <v>108</v>
      </c>
      <c r="V1205" t="s">
        <v>1446</v>
      </c>
      <c r="W1205" t="s">
        <v>1445</v>
      </c>
      <c r="X1205" t="s">
        <v>468</v>
      </c>
    </row>
    <row r="1206" spans="21:24" x14ac:dyDescent="0.45">
      <c r="U1206" t="s">
        <v>108</v>
      </c>
      <c r="V1206" t="s">
        <v>1447</v>
      </c>
      <c r="W1206" t="s">
        <v>443</v>
      </c>
      <c r="X1206" t="s">
        <v>468</v>
      </c>
    </row>
    <row r="1207" spans="21:24" x14ac:dyDescent="0.45">
      <c r="U1207" t="s">
        <v>108</v>
      </c>
      <c r="V1207" t="s">
        <v>1447</v>
      </c>
      <c r="W1207" t="s">
        <v>1445</v>
      </c>
      <c r="X1207" t="s">
        <v>468</v>
      </c>
    </row>
    <row r="1208" spans="21:24" x14ac:dyDescent="0.45">
      <c r="U1208" t="s">
        <v>108</v>
      </c>
      <c r="V1208" t="s">
        <v>1448</v>
      </c>
      <c r="W1208" t="s">
        <v>1445</v>
      </c>
      <c r="X1208" t="s">
        <v>468</v>
      </c>
    </row>
    <row r="1209" spans="21:24" x14ac:dyDescent="0.45">
      <c r="U1209" t="s">
        <v>108</v>
      </c>
      <c r="V1209" t="s">
        <v>1449</v>
      </c>
      <c r="W1209" t="s">
        <v>1445</v>
      </c>
      <c r="X1209" t="s">
        <v>468</v>
      </c>
    </row>
    <row r="1210" spans="21:24" x14ac:dyDescent="0.45">
      <c r="U1210" t="s">
        <v>108</v>
      </c>
      <c r="V1210" t="s">
        <v>1450</v>
      </c>
      <c r="W1210" t="s">
        <v>1445</v>
      </c>
      <c r="X1210" t="s">
        <v>468</v>
      </c>
    </row>
    <row r="1211" spans="21:24" x14ac:dyDescent="0.45">
      <c r="U1211" t="s">
        <v>108</v>
      </c>
      <c r="V1211" t="s">
        <v>1450</v>
      </c>
      <c r="W1211" t="s">
        <v>443</v>
      </c>
      <c r="X1211" t="s">
        <v>403</v>
      </c>
    </row>
    <row r="1212" spans="21:24" x14ac:dyDescent="0.45">
      <c r="U1212" t="s">
        <v>108</v>
      </c>
      <c r="V1212" t="s">
        <v>1451</v>
      </c>
      <c r="W1212" t="s">
        <v>1445</v>
      </c>
      <c r="X1212" t="s">
        <v>468</v>
      </c>
    </row>
    <row r="1213" spans="21:24" x14ac:dyDescent="0.45">
      <c r="U1213" t="s">
        <v>108</v>
      </c>
      <c r="V1213" t="s">
        <v>1451</v>
      </c>
      <c r="W1213" t="s">
        <v>443</v>
      </c>
      <c r="X1213" t="s">
        <v>403</v>
      </c>
    </row>
    <row r="1214" spans="21:24" x14ac:dyDescent="0.45">
      <c r="U1214" t="s">
        <v>108</v>
      </c>
      <c r="V1214" t="s">
        <v>1452</v>
      </c>
      <c r="W1214" t="s">
        <v>451</v>
      </c>
      <c r="X1214" t="s">
        <v>468</v>
      </c>
    </row>
    <row r="1215" spans="21:24" x14ac:dyDescent="0.45">
      <c r="U1215" t="s">
        <v>108</v>
      </c>
      <c r="V1215" t="s">
        <v>1453</v>
      </c>
      <c r="W1215" t="s">
        <v>451</v>
      </c>
      <c r="X1215" t="s">
        <v>468</v>
      </c>
    </row>
    <row r="1216" spans="21:24" x14ac:dyDescent="0.45">
      <c r="U1216" t="s">
        <v>108</v>
      </c>
      <c r="V1216" t="s">
        <v>1454</v>
      </c>
      <c r="W1216" t="s">
        <v>451</v>
      </c>
      <c r="X1216" t="s">
        <v>468</v>
      </c>
    </row>
    <row r="1217" spans="21:24" x14ac:dyDescent="0.45">
      <c r="U1217" t="s">
        <v>108</v>
      </c>
      <c r="V1217" t="s">
        <v>1455</v>
      </c>
      <c r="W1217" t="s">
        <v>451</v>
      </c>
      <c r="X1217" t="s">
        <v>468</v>
      </c>
    </row>
    <row r="1218" spans="21:24" x14ac:dyDescent="0.45">
      <c r="U1218" t="s">
        <v>108</v>
      </c>
      <c r="V1218" t="s">
        <v>1456</v>
      </c>
      <c r="W1218" t="s">
        <v>451</v>
      </c>
      <c r="X1218" t="s">
        <v>468</v>
      </c>
    </row>
    <row r="1219" spans="21:24" x14ac:dyDescent="0.45">
      <c r="U1219" t="s">
        <v>108</v>
      </c>
      <c r="V1219" t="s">
        <v>1457</v>
      </c>
      <c r="W1219" t="s">
        <v>451</v>
      </c>
      <c r="X1219" t="s">
        <v>468</v>
      </c>
    </row>
    <row r="1220" spans="21:24" x14ac:dyDescent="0.45">
      <c r="U1220" t="s">
        <v>108</v>
      </c>
      <c r="V1220" t="s">
        <v>1458</v>
      </c>
      <c r="W1220" t="s">
        <v>451</v>
      </c>
      <c r="X1220" t="s">
        <v>468</v>
      </c>
    </row>
    <row r="1221" spans="21:24" x14ac:dyDescent="0.45">
      <c r="U1221" t="s">
        <v>108</v>
      </c>
      <c r="V1221" t="s">
        <v>1459</v>
      </c>
      <c r="W1221" t="s">
        <v>451</v>
      </c>
      <c r="X1221" t="s">
        <v>468</v>
      </c>
    </row>
    <row r="1222" spans="21:24" x14ac:dyDescent="0.45">
      <c r="U1222" t="s">
        <v>108</v>
      </c>
      <c r="V1222" t="s">
        <v>1460</v>
      </c>
      <c r="W1222" t="s">
        <v>451</v>
      </c>
      <c r="X1222" t="s">
        <v>468</v>
      </c>
    </row>
    <row r="1223" spans="21:24" x14ac:dyDescent="0.45">
      <c r="U1223" t="s">
        <v>108</v>
      </c>
      <c r="V1223" t="s">
        <v>1461</v>
      </c>
      <c r="W1223" t="s">
        <v>451</v>
      </c>
      <c r="X1223" t="s">
        <v>468</v>
      </c>
    </row>
    <row r="1224" spans="21:24" x14ac:dyDescent="0.45">
      <c r="U1224" t="s">
        <v>108</v>
      </c>
      <c r="V1224" t="s">
        <v>1462</v>
      </c>
      <c r="W1224" t="s">
        <v>451</v>
      </c>
      <c r="X1224" t="s">
        <v>468</v>
      </c>
    </row>
    <row r="1225" spans="21:24" x14ac:dyDescent="0.45">
      <c r="U1225" t="s">
        <v>108</v>
      </c>
      <c r="V1225" t="s">
        <v>1462</v>
      </c>
      <c r="W1225" t="s">
        <v>465</v>
      </c>
      <c r="X1225" t="s">
        <v>468</v>
      </c>
    </row>
    <row r="1226" spans="21:24" x14ac:dyDescent="0.45">
      <c r="U1226" t="s">
        <v>108</v>
      </c>
      <c r="V1226" t="s">
        <v>1463</v>
      </c>
      <c r="W1226" t="s">
        <v>451</v>
      </c>
      <c r="X1226" t="s">
        <v>468</v>
      </c>
    </row>
    <row r="1227" spans="21:24" x14ac:dyDescent="0.45">
      <c r="U1227" t="s">
        <v>108</v>
      </c>
      <c r="V1227" t="s">
        <v>1463</v>
      </c>
      <c r="W1227" t="s">
        <v>465</v>
      </c>
      <c r="X1227" t="s">
        <v>468</v>
      </c>
    </row>
    <row r="1228" spans="21:24" x14ac:dyDescent="0.45">
      <c r="U1228" t="s">
        <v>108</v>
      </c>
      <c r="V1228" t="s">
        <v>1464</v>
      </c>
      <c r="W1228" t="s">
        <v>451</v>
      </c>
      <c r="X1228" t="s">
        <v>468</v>
      </c>
    </row>
    <row r="1229" spans="21:24" x14ac:dyDescent="0.45">
      <c r="U1229" t="s">
        <v>108</v>
      </c>
      <c r="V1229" t="s">
        <v>1464</v>
      </c>
      <c r="W1229" t="s">
        <v>465</v>
      </c>
      <c r="X1229" t="s">
        <v>468</v>
      </c>
    </row>
    <row r="1230" spans="21:24" x14ac:dyDescent="0.45">
      <c r="U1230" t="s">
        <v>108</v>
      </c>
      <c r="V1230" t="s">
        <v>1465</v>
      </c>
      <c r="W1230" t="s">
        <v>465</v>
      </c>
      <c r="X1230" t="s">
        <v>468</v>
      </c>
    </row>
    <row r="1231" spans="21:24" x14ac:dyDescent="0.45">
      <c r="U1231" t="s">
        <v>108</v>
      </c>
      <c r="V1231" t="s">
        <v>1466</v>
      </c>
      <c r="W1231" t="s">
        <v>465</v>
      </c>
      <c r="X1231" t="s">
        <v>468</v>
      </c>
    </row>
    <row r="1232" spans="21:24" x14ac:dyDescent="0.45">
      <c r="U1232" t="s">
        <v>108</v>
      </c>
      <c r="V1232" t="s">
        <v>1467</v>
      </c>
      <c r="W1232" t="s">
        <v>465</v>
      </c>
      <c r="X1232" t="s">
        <v>468</v>
      </c>
    </row>
    <row r="1233" spans="21:24" x14ac:dyDescent="0.45">
      <c r="U1233" t="s">
        <v>108</v>
      </c>
      <c r="V1233" t="s">
        <v>1467</v>
      </c>
      <c r="W1233" t="s">
        <v>451</v>
      </c>
      <c r="X1233" t="s">
        <v>403</v>
      </c>
    </row>
    <row r="1234" spans="21:24" x14ac:dyDescent="0.45">
      <c r="U1234" t="s">
        <v>108</v>
      </c>
      <c r="V1234" t="s">
        <v>1468</v>
      </c>
      <c r="W1234" t="s">
        <v>465</v>
      </c>
      <c r="X1234" t="s">
        <v>468</v>
      </c>
    </row>
    <row r="1235" spans="21:24" x14ac:dyDescent="0.45">
      <c r="U1235" t="s">
        <v>108</v>
      </c>
      <c r="V1235" t="s">
        <v>1468</v>
      </c>
      <c r="W1235" t="s">
        <v>451</v>
      </c>
      <c r="X1235" t="s">
        <v>403</v>
      </c>
    </row>
    <row r="1236" spans="21:24" x14ac:dyDescent="0.45">
      <c r="U1236" t="s">
        <v>108</v>
      </c>
      <c r="V1236" t="s">
        <v>1469</v>
      </c>
      <c r="W1236" t="s">
        <v>402</v>
      </c>
      <c r="X1236" t="s">
        <v>468</v>
      </c>
    </row>
    <row r="1237" spans="21:24" x14ac:dyDescent="0.45">
      <c r="U1237" t="s">
        <v>108</v>
      </c>
      <c r="V1237" t="s">
        <v>1469</v>
      </c>
      <c r="W1237" t="s">
        <v>402</v>
      </c>
      <c r="X1237" t="s">
        <v>403</v>
      </c>
    </row>
    <row r="1238" spans="21:24" x14ac:dyDescent="0.45">
      <c r="U1238" t="s">
        <v>108</v>
      </c>
      <c r="V1238" t="s">
        <v>1470</v>
      </c>
      <c r="W1238" t="s">
        <v>402</v>
      </c>
      <c r="X1238" t="s">
        <v>468</v>
      </c>
    </row>
    <row r="1239" spans="21:24" x14ac:dyDescent="0.45">
      <c r="U1239" t="s">
        <v>108</v>
      </c>
      <c r="V1239" t="s">
        <v>1470</v>
      </c>
      <c r="W1239" t="s">
        <v>402</v>
      </c>
      <c r="X1239" t="s">
        <v>403</v>
      </c>
    </row>
    <row r="1240" spans="21:24" x14ac:dyDescent="0.45">
      <c r="U1240" t="s">
        <v>108</v>
      </c>
      <c r="V1240" t="s">
        <v>1471</v>
      </c>
      <c r="W1240" t="s">
        <v>404</v>
      </c>
      <c r="X1240" t="s">
        <v>468</v>
      </c>
    </row>
    <row r="1241" spans="21:24" x14ac:dyDescent="0.45">
      <c r="U1241" t="s">
        <v>108</v>
      </c>
      <c r="V1241" t="s">
        <v>1471</v>
      </c>
      <c r="W1241" t="s">
        <v>404</v>
      </c>
      <c r="X1241" t="s">
        <v>403</v>
      </c>
    </row>
    <row r="1242" spans="21:24" x14ac:dyDescent="0.45">
      <c r="U1242" t="s">
        <v>108</v>
      </c>
      <c r="V1242" t="s">
        <v>1472</v>
      </c>
      <c r="W1242" t="s">
        <v>404</v>
      </c>
      <c r="X1242" t="s">
        <v>468</v>
      </c>
    </row>
    <row r="1243" spans="21:24" x14ac:dyDescent="0.45">
      <c r="U1243" t="s">
        <v>108</v>
      </c>
      <c r="V1243" t="s">
        <v>1472</v>
      </c>
      <c r="W1243" t="s">
        <v>404</v>
      </c>
      <c r="X1243" t="s">
        <v>403</v>
      </c>
    </row>
    <row r="1244" spans="21:24" x14ac:dyDescent="0.45">
      <c r="U1244" t="s">
        <v>108</v>
      </c>
      <c r="V1244" t="s">
        <v>1473</v>
      </c>
      <c r="W1244" t="s">
        <v>405</v>
      </c>
      <c r="X1244" t="s">
        <v>468</v>
      </c>
    </row>
    <row r="1245" spans="21:24" x14ac:dyDescent="0.45">
      <c r="U1245" t="s">
        <v>108</v>
      </c>
      <c r="V1245" t="s">
        <v>1473</v>
      </c>
      <c r="W1245" t="s">
        <v>405</v>
      </c>
      <c r="X1245" t="s">
        <v>403</v>
      </c>
    </row>
    <row r="1246" spans="21:24" x14ac:dyDescent="0.45">
      <c r="U1246" t="s">
        <v>108</v>
      </c>
      <c r="V1246" t="s">
        <v>1474</v>
      </c>
      <c r="W1246" t="s">
        <v>405</v>
      </c>
      <c r="X1246" t="s">
        <v>468</v>
      </c>
    </row>
    <row r="1247" spans="21:24" x14ac:dyDescent="0.45">
      <c r="U1247" t="s">
        <v>108</v>
      </c>
      <c r="V1247" t="s">
        <v>1474</v>
      </c>
      <c r="W1247" t="s">
        <v>405</v>
      </c>
      <c r="X1247" t="s">
        <v>403</v>
      </c>
    </row>
    <row r="1248" spans="21:24" x14ac:dyDescent="0.45">
      <c r="U1248" t="s">
        <v>108</v>
      </c>
      <c r="V1248" t="s">
        <v>1475</v>
      </c>
      <c r="W1248" t="s">
        <v>406</v>
      </c>
      <c r="X1248" t="s">
        <v>468</v>
      </c>
    </row>
    <row r="1249" spans="21:24" x14ac:dyDescent="0.45">
      <c r="U1249" t="s">
        <v>108</v>
      </c>
      <c r="V1249" t="s">
        <v>1475</v>
      </c>
      <c r="W1249" t="s">
        <v>406</v>
      </c>
      <c r="X1249" t="s">
        <v>403</v>
      </c>
    </row>
    <row r="1250" spans="21:24" x14ac:dyDescent="0.45">
      <c r="U1250" t="s">
        <v>108</v>
      </c>
      <c r="V1250" t="s">
        <v>1476</v>
      </c>
      <c r="W1250" t="s">
        <v>406</v>
      </c>
      <c r="X1250" t="s">
        <v>468</v>
      </c>
    </row>
    <row r="1251" spans="21:24" x14ac:dyDescent="0.45">
      <c r="U1251" t="s">
        <v>108</v>
      </c>
      <c r="V1251" t="s">
        <v>1476</v>
      </c>
      <c r="W1251" t="s">
        <v>406</v>
      </c>
      <c r="X1251" t="s">
        <v>403</v>
      </c>
    </row>
    <row r="1252" spans="21:24" x14ac:dyDescent="0.45">
      <c r="U1252" t="s">
        <v>108</v>
      </c>
      <c r="V1252" t="s">
        <v>1477</v>
      </c>
      <c r="W1252" t="s">
        <v>407</v>
      </c>
      <c r="X1252" t="s">
        <v>468</v>
      </c>
    </row>
    <row r="1253" spans="21:24" x14ac:dyDescent="0.45">
      <c r="U1253" t="s">
        <v>108</v>
      </c>
      <c r="V1253" t="s">
        <v>1477</v>
      </c>
      <c r="W1253" t="s">
        <v>407</v>
      </c>
      <c r="X1253" t="s">
        <v>403</v>
      </c>
    </row>
    <row r="1254" spans="21:24" x14ac:dyDescent="0.45">
      <c r="U1254" t="s">
        <v>108</v>
      </c>
      <c r="V1254" t="s">
        <v>1478</v>
      </c>
      <c r="W1254" t="s">
        <v>407</v>
      </c>
      <c r="X1254" t="s">
        <v>468</v>
      </c>
    </row>
    <row r="1255" spans="21:24" x14ac:dyDescent="0.45">
      <c r="U1255" t="s">
        <v>108</v>
      </c>
      <c r="V1255" t="s">
        <v>1478</v>
      </c>
      <c r="W1255" t="s">
        <v>407</v>
      </c>
      <c r="X1255" t="s">
        <v>403</v>
      </c>
    </row>
    <row r="1256" spans="21:24" x14ac:dyDescent="0.45">
      <c r="U1256" t="s">
        <v>108</v>
      </c>
      <c r="V1256" t="s">
        <v>1479</v>
      </c>
      <c r="W1256" t="s">
        <v>408</v>
      </c>
      <c r="X1256" t="s">
        <v>468</v>
      </c>
    </row>
    <row r="1257" spans="21:24" x14ac:dyDescent="0.45">
      <c r="U1257" t="s">
        <v>108</v>
      </c>
      <c r="V1257" t="s">
        <v>1479</v>
      </c>
      <c r="W1257" t="s">
        <v>408</v>
      </c>
      <c r="X1257" t="s">
        <v>403</v>
      </c>
    </row>
    <row r="1258" spans="21:24" x14ac:dyDescent="0.45">
      <c r="U1258" t="s">
        <v>108</v>
      </c>
      <c r="V1258" t="s">
        <v>1480</v>
      </c>
      <c r="W1258" t="s">
        <v>408</v>
      </c>
      <c r="X1258" t="s">
        <v>468</v>
      </c>
    </row>
    <row r="1259" spans="21:24" x14ac:dyDescent="0.45">
      <c r="U1259" t="s">
        <v>108</v>
      </c>
      <c r="V1259" t="s">
        <v>1480</v>
      </c>
      <c r="W1259" t="s">
        <v>408</v>
      </c>
      <c r="X1259" t="s">
        <v>403</v>
      </c>
    </row>
    <row r="1260" spans="21:24" x14ac:dyDescent="0.45">
      <c r="U1260" t="s">
        <v>108</v>
      </c>
      <c r="V1260" t="s">
        <v>1481</v>
      </c>
      <c r="W1260" t="s">
        <v>574</v>
      </c>
      <c r="X1260" t="s">
        <v>468</v>
      </c>
    </row>
    <row r="1261" spans="21:24" x14ac:dyDescent="0.45">
      <c r="U1261" t="s">
        <v>108</v>
      </c>
      <c r="V1261" t="s">
        <v>1481</v>
      </c>
      <c r="W1261" t="s">
        <v>574</v>
      </c>
      <c r="X1261" t="s">
        <v>403</v>
      </c>
    </row>
    <row r="1262" spans="21:24" x14ac:dyDescent="0.45">
      <c r="U1262" t="s">
        <v>108</v>
      </c>
      <c r="V1262" t="s">
        <v>1482</v>
      </c>
      <c r="W1262" t="s">
        <v>574</v>
      </c>
      <c r="X1262" t="s">
        <v>468</v>
      </c>
    </row>
    <row r="1263" spans="21:24" x14ac:dyDescent="0.45">
      <c r="U1263" t="s">
        <v>108</v>
      </c>
      <c r="V1263" t="s">
        <v>1482</v>
      </c>
      <c r="W1263" t="s">
        <v>574</v>
      </c>
      <c r="X1263" t="s">
        <v>403</v>
      </c>
    </row>
    <row r="1264" spans="21:24" x14ac:dyDescent="0.45">
      <c r="U1264" t="s">
        <v>108</v>
      </c>
      <c r="V1264" t="s">
        <v>1483</v>
      </c>
      <c r="W1264" t="s">
        <v>409</v>
      </c>
      <c r="X1264" t="s">
        <v>468</v>
      </c>
    </row>
    <row r="1265" spans="21:24" x14ac:dyDescent="0.45">
      <c r="U1265" t="s">
        <v>108</v>
      </c>
      <c r="V1265" t="s">
        <v>1483</v>
      </c>
      <c r="W1265" t="s">
        <v>409</v>
      </c>
      <c r="X1265" t="s">
        <v>403</v>
      </c>
    </row>
    <row r="1266" spans="21:24" x14ac:dyDescent="0.45">
      <c r="U1266" t="s">
        <v>108</v>
      </c>
      <c r="V1266" t="s">
        <v>1484</v>
      </c>
      <c r="W1266" t="s">
        <v>409</v>
      </c>
      <c r="X1266" t="s">
        <v>468</v>
      </c>
    </row>
    <row r="1267" spans="21:24" x14ac:dyDescent="0.45">
      <c r="U1267" t="s">
        <v>108</v>
      </c>
      <c r="V1267" t="s">
        <v>1484</v>
      </c>
      <c r="W1267" t="s">
        <v>409</v>
      </c>
      <c r="X1267" t="s">
        <v>403</v>
      </c>
    </row>
    <row r="1268" spans="21:24" x14ac:dyDescent="0.45">
      <c r="U1268" t="s">
        <v>108</v>
      </c>
      <c r="V1268" t="s">
        <v>1485</v>
      </c>
      <c r="W1268" t="s">
        <v>410</v>
      </c>
      <c r="X1268" t="s">
        <v>468</v>
      </c>
    </row>
    <row r="1269" spans="21:24" x14ac:dyDescent="0.45">
      <c r="U1269" t="s">
        <v>108</v>
      </c>
      <c r="V1269" t="s">
        <v>1485</v>
      </c>
      <c r="W1269" t="s">
        <v>410</v>
      </c>
      <c r="X1269" t="s">
        <v>403</v>
      </c>
    </row>
    <row r="1270" spans="21:24" x14ac:dyDescent="0.45">
      <c r="U1270" t="s">
        <v>108</v>
      </c>
      <c r="V1270" t="s">
        <v>1486</v>
      </c>
      <c r="W1270" t="s">
        <v>410</v>
      </c>
      <c r="X1270" t="s">
        <v>468</v>
      </c>
    </row>
    <row r="1271" spans="21:24" x14ac:dyDescent="0.45">
      <c r="U1271" t="s">
        <v>108</v>
      </c>
      <c r="V1271" t="s">
        <v>1486</v>
      </c>
      <c r="W1271" t="s">
        <v>410</v>
      </c>
      <c r="X1271" t="s">
        <v>403</v>
      </c>
    </row>
    <row r="1272" spans="21:24" x14ac:dyDescent="0.45">
      <c r="U1272" t="s">
        <v>108</v>
      </c>
      <c r="V1272" t="s">
        <v>1487</v>
      </c>
      <c r="W1272" t="s">
        <v>411</v>
      </c>
      <c r="X1272" t="s">
        <v>468</v>
      </c>
    </row>
    <row r="1273" spans="21:24" x14ac:dyDescent="0.45">
      <c r="U1273" t="s">
        <v>108</v>
      </c>
      <c r="V1273" t="s">
        <v>1487</v>
      </c>
      <c r="W1273" t="s">
        <v>411</v>
      </c>
      <c r="X1273" t="s">
        <v>403</v>
      </c>
    </row>
    <row r="1274" spans="21:24" x14ac:dyDescent="0.45">
      <c r="U1274" t="s">
        <v>108</v>
      </c>
      <c r="V1274" t="s">
        <v>1488</v>
      </c>
      <c r="W1274" t="s">
        <v>411</v>
      </c>
      <c r="X1274" t="s">
        <v>468</v>
      </c>
    </row>
    <row r="1275" spans="21:24" x14ac:dyDescent="0.45">
      <c r="U1275" t="s">
        <v>108</v>
      </c>
      <c r="V1275" t="s">
        <v>1488</v>
      </c>
      <c r="W1275" t="s">
        <v>411</v>
      </c>
      <c r="X1275" t="s">
        <v>403</v>
      </c>
    </row>
    <row r="1276" spans="21:24" x14ac:dyDescent="0.45">
      <c r="U1276" t="s">
        <v>108</v>
      </c>
      <c r="V1276" t="s">
        <v>1489</v>
      </c>
      <c r="W1276" t="s">
        <v>412</v>
      </c>
      <c r="X1276" t="s">
        <v>468</v>
      </c>
    </row>
    <row r="1277" spans="21:24" x14ac:dyDescent="0.45">
      <c r="U1277" t="s">
        <v>108</v>
      </c>
      <c r="V1277" t="s">
        <v>1489</v>
      </c>
      <c r="W1277" t="s">
        <v>412</v>
      </c>
      <c r="X1277" t="s">
        <v>403</v>
      </c>
    </row>
    <row r="1278" spans="21:24" x14ac:dyDescent="0.45">
      <c r="U1278" t="s">
        <v>108</v>
      </c>
      <c r="V1278" t="s">
        <v>1490</v>
      </c>
      <c r="W1278" t="s">
        <v>412</v>
      </c>
      <c r="X1278" t="s">
        <v>468</v>
      </c>
    </row>
    <row r="1279" spans="21:24" x14ac:dyDescent="0.45">
      <c r="U1279" t="s">
        <v>108</v>
      </c>
      <c r="V1279" t="s">
        <v>1490</v>
      </c>
      <c r="W1279" t="s">
        <v>412</v>
      </c>
      <c r="X1279" t="s">
        <v>403</v>
      </c>
    </row>
    <row r="1280" spans="21:24" x14ac:dyDescent="0.45">
      <c r="U1280" t="s">
        <v>108</v>
      </c>
      <c r="V1280" t="s">
        <v>1491</v>
      </c>
      <c r="W1280" t="s">
        <v>413</v>
      </c>
      <c r="X1280" t="s">
        <v>468</v>
      </c>
    </row>
    <row r="1281" spans="21:24" x14ac:dyDescent="0.45">
      <c r="U1281" t="s">
        <v>108</v>
      </c>
      <c r="V1281" t="s">
        <v>1491</v>
      </c>
      <c r="W1281" t="s">
        <v>413</v>
      </c>
      <c r="X1281" t="s">
        <v>403</v>
      </c>
    </row>
    <row r="1282" spans="21:24" x14ac:dyDescent="0.45">
      <c r="U1282" t="s">
        <v>108</v>
      </c>
      <c r="V1282" t="s">
        <v>1492</v>
      </c>
      <c r="W1282" t="s">
        <v>413</v>
      </c>
      <c r="X1282" t="s">
        <v>468</v>
      </c>
    </row>
    <row r="1283" spans="21:24" x14ac:dyDescent="0.45">
      <c r="U1283" t="s">
        <v>108</v>
      </c>
      <c r="V1283" t="s">
        <v>1492</v>
      </c>
      <c r="W1283" t="s">
        <v>413</v>
      </c>
      <c r="X1283" t="s">
        <v>403</v>
      </c>
    </row>
    <row r="1284" spans="21:24" x14ac:dyDescent="0.45">
      <c r="U1284" t="s">
        <v>108</v>
      </c>
      <c r="V1284" t="s">
        <v>1493</v>
      </c>
      <c r="W1284" t="s">
        <v>414</v>
      </c>
      <c r="X1284" t="s">
        <v>468</v>
      </c>
    </row>
    <row r="1285" spans="21:24" x14ac:dyDescent="0.45">
      <c r="U1285" t="s">
        <v>108</v>
      </c>
      <c r="V1285" t="s">
        <v>1493</v>
      </c>
      <c r="W1285" t="s">
        <v>414</v>
      </c>
      <c r="X1285" t="s">
        <v>403</v>
      </c>
    </row>
    <row r="1286" spans="21:24" x14ac:dyDescent="0.45">
      <c r="U1286" t="s">
        <v>108</v>
      </c>
      <c r="V1286" t="s">
        <v>1494</v>
      </c>
      <c r="W1286" t="s">
        <v>414</v>
      </c>
      <c r="X1286" t="s">
        <v>468</v>
      </c>
    </row>
    <row r="1287" spans="21:24" x14ac:dyDescent="0.45">
      <c r="U1287" t="s">
        <v>108</v>
      </c>
      <c r="V1287" t="s">
        <v>1494</v>
      </c>
      <c r="W1287" t="s">
        <v>414</v>
      </c>
      <c r="X1287" t="s">
        <v>403</v>
      </c>
    </row>
    <row r="1288" spans="21:24" x14ac:dyDescent="0.45">
      <c r="U1288" t="s">
        <v>108</v>
      </c>
      <c r="V1288" t="s">
        <v>1495</v>
      </c>
      <c r="W1288" t="s">
        <v>700</v>
      </c>
      <c r="X1288" t="s">
        <v>468</v>
      </c>
    </row>
    <row r="1289" spans="21:24" x14ac:dyDescent="0.45">
      <c r="U1289" t="s">
        <v>108</v>
      </c>
      <c r="V1289" t="s">
        <v>1495</v>
      </c>
      <c r="W1289" t="s">
        <v>700</v>
      </c>
      <c r="X1289" t="s">
        <v>403</v>
      </c>
    </row>
    <row r="1290" spans="21:24" x14ac:dyDescent="0.45">
      <c r="U1290" t="s">
        <v>108</v>
      </c>
      <c r="V1290" t="s">
        <v>1496</v>
      </c>
      <c r="W1290" t="s">
        <v>700</v>
      </c>
      <c r="X1290" t="s">
        <v>468</v>
      </c>
    </row>
    <row r="1291" spans="21:24" x14ac:dyDescent="0.45">
      <c r="U1291" t="s">
        <v>108</v>
      </c>
      <c r="V1291" t="s">
        <v>1496</v>
      </c>
      <c r="W1291" t="s">
        <v>700</v>
      </c>
      <c r="X1291" t="s">
        <v>403</v>
      </c>
    </row>
    <row r="1292" spans="21:24" x14ac:dyDescent="0.45">
      <c r="U1292" t="s">
        <v>108</v>
      </c>
      <c r="V1292" t="s">
        <v>1497</v>
      </c>
      <c r="W1292" t="s">
        <v>415</v>
      </c>
      <c r="X1292" t="s">
        <v>468</v>
      </c>
    </row>
    <row r="1293" spans="21:24" x14ac:dyDescent="0.45">
      <c r="U1293" t="s">
        <v>108</v>
      </c>
      <c r="V1293" t="s">
        <v>1497</v>
      </c>
      <c r="W1293" t="s">
        <v>415</v>
      </c>
      <c r="X1293" t="s">
        <v>403</v>
      </c>
    </row>
    <row r="1294" spans="21:24" x14ac:dyDescent="0.45">
      <c r="U1294" t="s">
        <v>108</v>
      </c>
      <c r="V1294" t="s">
        <v>1498</v>
      </c>
      <c r="W1294" t="s">
        <v>415</v>
      </c>
      <c r="X1294" t="s">
        <v>468</v>
      </c>
    </row>
    <row r="1295" spans="21:24" x14ac:dyDescent="0.45">
      <c r="U1295" t="s">
        <v>108</v>
      </c>
      <c r="V1295" t="s">
        <v>1498</v>
      </c>
      <c r="W1295" t="s">
        <v>415</v>
      </c>
      <c r="X1295" t="s">
        <v>403</v>
      </c>
    </row>
    <row r="1296" spans="21:24" x14ac:dyDescent="0.45">
      <c r="U1296" t="s">
        <v>108</v>
      </c>
      <c r="V1296" t="s">
        <v>1499</v>
      </c>
      <c r="W1296" t="s">
        <v>416</v>
      </c>
      <c r="X1296" t="s">
        <v>468</v>
      </c>
    </row>
    <row r="1297" spans="21:24" x14ac:dyDescent="0.45">
      <c r="U1297" t="s">
        <v>108</v>
      </c>
      <c r="V1297" t="s">
        <v>1499</v>
      </c>
      <c r="W1297" t="s">
        <v>416</v>
      </c>
      <c r="X1297" t="s">
        <v>403</v>
      </c>
    </row>
    <row r="1298" spans="21:24" x14ac:dyDescent="0.45">
      <c r="U1298" t="s">
        <v>108</v>
      </c>
      <c r="V1298" t="s">
        <v>1500</v>
      </c>
      <c r="W1298" t="s">
        <v>416</v>
      </c>
      <c r="X1298" t="s">
        <v>468</v>
      </c>
    </row>
    <row r="1299" spans="21:24" x14ac:dyDescent="0.45">
      <c r="U1299" t="s">
        <v>108</v>
      </c>
      <c r="V1299" t="s">
        <v>1500</v>
      </c>
      <c r="W1299" t="s">
        <v>416</v>
      </c>
      <c r="X1299" t="s">
        <v>403</v>
      </c>
    </row>
    <row r="1300" spans="21:24" x14ac:dyDescent="0.45">
      <c r="U1300" t="s">
        <v>108</v>
      </c>
      <c r="V1300" t="s">
        <v>1501</v>
      </c>
      <c r="W1300" t="s">
        <v>417</v>
      </c>
      <c r="X1300" t="s">
        <v>468</v>
      </c>
    </row>
    <row r="1301" spans="21:24" x14ac:dyDescent="0.45">
      <c r="U1301" t="s">
        <v>108</v>
      </c>
      <c r="V1301" t="s">
        <v>1501</v>
      </c>
      <c r="W1301" t="s">
        <v>417</v>
      </c>
      <c r="X1301" t="s">
        <v>403</v>
      </c>
    </row>
    <row r="1302" spans="21:24" x14ac:dyDescent="0.45">
      <c r="U1302" t="s">
        <v>108</v>
      </c>
      <c r="V1302" t="s">
        <v>1502</v>
      </c>
      <c r="W1302" t="s">
        <v>417</v>
      </c>
      <c r="X1302" t="s">
        <v>468</v>
      </c>
    </row>
    <row r="1303" spans="21:24" x14ac:dyDescent="0.45">
      <c r="U1303" t="s">
        <v>108</v>
      </c>
      <c r="V1303" t="s">
        <v>1502</v>
      </c>
      <c r="W1303" t="s">
        <v>417</v>
      </c>
      <c r="X1303" t="s">
        <v>403</v>
      </c>
    </row>
    <row r="1304" spans="21:24" x14ac:dyDescent="0.45">
      <c r="U1304" t="s">
        <v>108</v>
      </c>
      <c r="V1304" t="s">
        <v>1503</v>
      </c>
      <c r="W1304" t="s">
        <v>444</v>
      </c>
      <c r="X1304" t="s">
        <v>468</v>
      </c>
    </row>
    <row r="1305" spans="21:24" x14ac:dyDescent="0.45">
      <c r="U1305" t="s">
        <v>108</v>
      </c>
      <c r="V1305" t="s">
        <v>1503</v>
      </c>
      <c r="W1305" t="s">
        <v>444</v>
      </c>
      <c r="X1305" t="s">
        <v>403</v>
      </c>
    </row>
    <row r="1306" spans="21:24" x14ac:dyDescent="0.45">
      <c r="U1306" t="s">
        <v>108</v>
      </c>
      <c r="V1306" t="s">
        <v>1504</v>
      </c>
      <c r="W1306" t="s">
        <v>444</v>
      </c>
      <c r="X1306" t="s">
        <v>468</v>
      </c>
    </row>
    <row r="1307" spans="21:24" x14ac:dyDescent="0.45">
      <c r="U1307" t="s">
        <v>108</v>
      </c>
      <c r="V1307" t="s">
        <v>1504</v>
      </c>
      <c r="W1307" t="s">
        <v>444</v>
      </c>
      <c r="X1307" t="s">
        <v>403</v>
      </c>
    </row>
    <row r="1308" spans="21:24" x14ac:dyDescent="0.45">
      <c r="U1308" t="s">
        <v>108</v>
      </c>
      <c r="V1308" t="s">
        <v>1505</v>
      </c>
      <c r="W1308" t="s">
        <v>418</v>
      </c>
      <c r="X1308" t="s">
        <v>468</v>
      </c>
    </row>
    <row r="1309" spans="21:24" x14ac:dyDescent="0.45">
      <c r="U1309" t="s">
        <v>108</v>
      </c>
      <c r="V1309" t="s">
        <v>1505</v>
      </c>
      <c r="W1309" t="s">
        <v>418</v>
      </c>
      <c r="X1309" t="s">
        <v>403</v>
      </c>
    </row>
    <row r="1310" spans="21:24" x14ac:dyDescent="0.45">
      <c r="U1310" t="s">
        <v>108</v>
      </c>
      <c r="V1310" t="s">
        <v>1506</v>
      </c>
      <c r="W1310" t="s">
        <v>418</v>
      </c>
      <c r="X1310" t="s">
        <v>468</v>
      </c>
    </row>
    <row r="1311" spans="21:24" x14ac:dyDescent="0.45">
      <c r="U1311" t="s">
        <v>108</v>
      </c>
      <c r="V1311" t="s">
        <v>1506</v>
      </c>
      <c r="W1311" t="s">
        <v>418</v>
      </c>
      <c r="X1311" t="s">
        <v>403</v>
      </c>
    </row>
    <row r="1312" spans="21:24" x14ac:dyDescent="0.45">
      <c r="U1312" t="s">
        <v>108</v>
      </c>
      <c r="V1312" t="s">
        <v>1507</v>
      </c>
      <c r="W1312" t="s">
        <v>419</v>
      </c>
      <c r="X1312" t="s">
        <v>468</v>
      </c>
    </row>
    <row r="1313" spans="21:24" x14ac:dyDescent="0.45">
      <c r="U1313" t="s">
        <v>108</v>
      </c>
      <c r="V1313" t="s">
        <v>1507</v>
      </c>
      <c r="W1313" t="s">
        <v>419</v>
      </c>
      <c r="X1313" t="s">
        <v>403</v>
      </c>
    </row>
    <row r="1314" spans="21:24" x14ac:dyDescent="0.45">
      <c r="U1314" t="s">
        <v>108</v>
      </c>
      <c r="V1314" t="s">
        <v>1508</v>
      </c>
      <c r="W1314" t="s">
        <v>419</v>
      </c>
      <c r="X1314" t="s">
        <v>468</v>
      </c>
    </row>
    <row r="1315" spans="21:24" x14ac:dyDescent="0.45">
      <c r="U1315" t="s">
        <v>108</v>
      </c>
      <c r="V1315" t="s">
        <v>1508</v>
      </c>
      <c r="W1315" t="s">
        <v>419</v>
      </c>
      <c r="X1315" t="s">
        <v>403</v>
      </c>
    </row>
    <row r="1316" spans="21:24" x14ac:dyDescent="0.45">
      <c r="U1316" t="s">
        <v>108</v>
      </c>
      <c r="V1316" t="s">
        <v>1509</v>
      </c>
      <c r="W1316" t="s">
        <v>420</v>
      </c>
      <c r="X1316" t="s">
        <v>468</v>
      </c>
    </row>
    <row r="1317" spans="21:24" x14ac:dyDescent="0.45">
      <c r="U1317" t="s">
        <v>108</v>
      </c>
      <c r="V1317" t="s">
        <v>1509</v>
      </c>
      <c r="W1317" t="s">
        <v>420</v>
      </c>
      <c r="X1317" t="s">
        <v>403</v>
      </c>
    </row>
    <row r="1318" spans="21:24" x14ac:dyDescent="0.45">
      <c r="U1318" t="s">
        <v>108</v>
      </c>
      <c r="V1318" t="s">
        <v>1510</v>
      </c>
      <c r="W1318" t="s">
        <v>420</v>
      </c>
      <c r="X1318" t="s">
        <v>468</v>
      </c>
    </row>
    <row r="1319" spans="21:24" x14ac:dyDescent="0.45">
      <c r="U1319" t="s">
        <v>108</v>
      </c>
      <c r="V1319" t="s">
        <v>1510</v>
      </c>
      <c r="W1319" t="s">
        <v>420</v>
      </c>
      <c r="X1319" t="s">
        <v>403</v>
      </c>
    </row>
    <row r="1320" spans="21:24" x14ac:dyDescent="0.45">
      <c r="U1320" t="s">
        <v>108</v>
      </c>
      <c r="V1320" t="s">
        <v>1511</v>
      </c>
      <c r="W1320" t="s">
        <v>421</v>
      </c>
      <c r="X1320" t="s">
        <v>468</v>
      </c>
    </row>
    <row r="1321" spans="21:24" x14ac:dyDescent="0.45">
      <c r="U1321" t="s">
        <v>108</v>
      </c>
      <c r="V1321" t="s">
        <v>1511</v>
      </c>
      <c r="W1321" t="s">
        <v>421</v>
      </c>
      <c r="X1321" t="s">
        <v>403</v>
      </c>
    </row>
    <row r="1322" spans="21:24" x14ac:dyDescent="0.45">
      <c r="U1322" t="s">
        <v>108</v>
      </c>
      <c r="V1322" t="s">
        <v>1512</v>
      </c>
      <c r="W1322" t="s">
        <v>421</v>
      </c>
      <c r="X1322" t="s">
        <v>468</v>
      </c>
    </row>
    <row r="1323" spans="21:24" x14ac:dyDescent="0.45">
      <c r="U1323" t="s">
        <v>108</v>
      </c>
      <c r="V1323" t="s">
        <v>1512</v>
      </c>
      <c r="W1323" t="s">
        <v>421</v>
      </c>
      <c r="X1323" t="s">
        <v>403</v>
      </c>
    </row>
    <row r="1324" spans="21:24" x14ac:dyDescent="0.45">
      <c r="U1324" t="s">
        <v>108</v>
      </c>
      <c r="V1324" t="s">
        <v>1513</v>
      </c>
      <c r="W1324" t="s">
        <v>422</v>
      </c>
      <c r="X1324" t="s">
        <v>468</v>
      </c>
    </row>
    <row r="1325" spans="21:24" x14ac:dyDescent="0.45">
      <c r="U1325" t="s">
        <v>108</v>
      </c>
      <c r="V1325" t="s">
        <v>1513</v>
      </c>
      <c r="W1325" t="s">
        <v>422</v>
      </c>
      <c r="X1325" t="s">
        <v>403</v>
      </c>
    </row>
    <row r="1326" spans="21:24" x14ac:dyDescent="0.45">
      <c r="U1326" t="s">
        <v>108</v>
      </c>
      <c r="V1326" t="s">
        <v>1514</v>
      </c>
      <c r="W1326" t="s">
        <v>422</v>
      </c>
      <c r="X1326" t="s">
        <v>468</v>
      </c>
    </row>
    <row r="1327" spans="21:24" x14ac:dyDescent="0.45">
      <c r="U1327" t="s">
        <v>108</v>
      </c>
      <c r="V1327" t="s">
        <v>1514</v>
      </c>
      <c r="W1327" t="s">
        <v>422</v>
      </c>
      <c r="X1327" t="s">
        <v>403</v>
      </c>
    </row>
    <row r="1328" spans="21:24" x14ac:dyDescent="0.45">
      <c r="U1328" t="s">
        <v>108</v>
      </c>
      <c r="V1328" t="s">
        <v>1515</v>
      </c>
      <c r="W1328" t="s">
        <v>878</v>
      </c>
      <c r="X1328" t="s">
        <v>468</v>
      </c>
    </row>
    <row r="1329" spans="21:24" x14ac:dyDescent="0.45">
      <c r="U1329" t="s">
        <v>108</v>
      </c>
      <c r="V1329" t="s">
        <v>1515</v>
      </c>
      <c r="W1329" t="s">
        <v>878</v>
      </c>
      <c r="X1329" t="s">
        <v>403</v>
      </c>
    </row>
    <row r="1330" spans="21:24" x14ac:dyDescent="0.45">
      <c r="U1330" t="s">
        <v>108</v>
      </c>
      <c r="V1330" t="s">
        <v>1516</v>
      </c>
      <c r="W1330" t="s">
        <v>878</v>
      </c>
      <c r="X1330" t="s">
        <v>468</v>
      </c>
    </row>
    <row r="1331" spans="21:24" x14ac:dyDescent="0.45">
      <c r="U1331" t="s">
        <v>108</v>
      </c>
      <c r="V1331" t="s">
        <v>1516</v>
      </c>
      <c r="W1331" t="s">
        <v>878</v>
      </c>
      <c r="X1331" t="s">
        <v>403</v>
      </c>
    </row>
    <row r="1332" spans="21:24" x14ac:dyDescent="0.45">
      <c r="U1332" t="s">
        <v>108</v>
      </c>
      <c r="V1332" t="s">
        <v>1517</v>
      </c>
      <c r="W1332" t="s">
        <v>423</v>
      </c>
      <c r="X1332" t="s">
        <v>468</v>
      </c>
    </row>
    <row r="1333" spans="21:24" x14ac:dyDescent="0.45">
      <c r="U1333" t="s">
        <v>108</v>
      </c>
      <c r="V1333" t="s">
        <v>1517</v>
      </c>
      <c r="W1333" t="s">
        <v>423</v>
      </c>
      <c r="X1333" t="s">
        <v>403</v>
      </c>
    </row>
    <row r="1334" spans="21:24" x14ac:dyDescent="0.45">
      <c r="U1334" t="s">
        <v>108</v>
      </c>
      <c r="V1334" t="s">
        <v>1518</v>
      </c>
      <c r="W1334" t="s">
        <v>423</v>
      </c>
      <c r="X1334" t="s">
        <v>468</v>
      </c>
    </row>
    <row r="1335" spans="21:24" x14ac:dyDescent="0.45">
      <c r="U1335" t="s">
        <v>108</v>
      </c>
      <c r="V1335" t="s">
        <v>1518</v>
      </c>
      <c r="W1335" t="s">
        <v>423</v>
      </c>
      <c r="X1335" t="s">
        <v>403</v>
      </c>
    </row>
    <row r="1336" spans="21:24" x14ac:dyDescent="0.45">
      <c r="U1336" t="s">
        <v>108</v>
      </c>
      <c r="V1336" t="s">
        <v>1519</v>
      </c>
      <c r="W1336" t="s">
        <v>445</v>
      </c>
      <c r="X1336" t="s">
        <v>468</v>
      </c>
    </row>
    <row r="1337" spans="21:24" x14ac:dyDescent="0.45">
      <c r="U1337" t="s">
        <v>108</v>
      </c>
      <c r="V1337" t="s">
        <v>1519</v>
      </c>
      <c r="W1337" t="s">
        <v>445</v>
      </c>
      <c r="X1337" t="s">
        <v>403</v>
      </c>
    </row>
    <row r="1338" spans="21:24" x14ac:dyDescent="0.45">
      <c r="U1338" t="s">
        <v>108</v>
      </c>
      <c r="V1338" t="s">
        <v>1520</v>
      </c>
      <c r="W1338" t="s">
        <v>445</v>
      </c>
      <c r="X1338" t="s">
        <v>468</v>
      </c>
    </row>
    <row r="1339" spans="21:24" x14ac:dyDescent="0.45">
      <c r="U1339" t="s">
        <v>108</v>
      </c>
      <c r="V1339" t="s">
        <v>1520</v>
      </c>
      <c r="W1339" t="s">
        <v>445</v>
      </c>
      <c r="X1339" t="s">
        <v>403</v>
      </c>
    </row>
    <row r="1340" spans="21:24" x14ac:dyDescent="0.45">
      <c r="U1340" t="s">
        <v>108</v>
      </c>
      <c r="V1340" t="s">
        <v>1521</v>
      </c>
      <c r="W1340" t="s">
        <v>424</v>
      </c>
      <c r="X1340" t="s">
        <v>468</v>
      </c>
    </row>
    <row r="1341" spans="21:24" x14ac:dyDescent="0.45">
      <c r="U1341" t="s">
        <v>108</v>
      </c>
      <c r="V1341" t="s">
        <v>1521</v>
      </c>
      <c r="W1341" t="s">
        <v>424</v>
      </c>
      <c r="X1341" t="s">
        <v>403</v>
      </c>
    </row>
    <row r="1342" spans="21:24" x14ac:dyDescent="0.45">
      <c r="U1342" t="s">
        <v>108</v>
      </c>
      <c r="V1342" t="s">
        <v>1522</v>
      </c>
      <c r="W1342" t="s">
        <v>424</v>
      </c>
      <c r="X1342" t="s">
        <v>468</v>
      </c>
    </row>
    <row r="1343" spans="21:24" x14ac:dyDescent="0.45">
      <c r="U1343" t="s">
        <v>108</v>
      </c>
      <c r="V1343" t="s">
        <v>1522</v>
      </c>
      <c r="W1343" t="s">
        <v>424</v>
      </c>
      <c r="X1343" t="s">
        <v>403</v>
      </c>
    </row>
    <row r="1344" spans="21:24" x14ac:dyDescent="0.45">
      <c r="U1344" t="s">
        <v>108</v>
      </c>
      <c r="V1344" t="s">
        <v>1523</v>
      </c>
      <c r="W1344" t="s">
        <v>951</v>
      </c>
      <c r="X1344" t="s">
        <v>468</v>
      </c>
    </row>
    <row r="1345" spans="21:24" x14ac:dyDescent="0.45">
      <c r="U1345" t="s">
        <v>108</v>
      </c>
      <c r="V1345" t="s">
        <v>1523</v>
      </c>
      <c r="W1345" t="s">
        <v>951</v>
      </c>
      <c r="X1345" t="s">
        <v>403</v>
      </c>
    </row>
    <row r="1346" spans="21:24" x14ac:dyDescent="0.45">
      <c r="U1346" t="s">
        <v>108</v>
      </c>
      <c r="V1346" t="s">
        <v>1524</v>
      </c>
      <c r="W1346" t="s">
        <v>951</v>
      </c>
      <c r="X1346" t="s">
        <v>468</v>
      </c>
    </row>
    <row r="1347" spans="21:24" x14ac:dyDescent="0.45">
      <c r="U1347" t="s">
        <v>108</v>
      </c>
      <c r="V1347" t="s">
        <v>1524</v>
      </c>
      <c r="W1347" t="s">
        <v>951</v>
      </c>
      <c r="X1347" t="s">
        <v>403</v>
      </c>
    </row>
    <row r="1348" spans="21:24" x14ac:dyDescent="0.45">
      <c r="U1348" t="s">
        <v>108</v>
      </c>
      <c r="V1348" t="s">
        <v>1525</v>
      </c>
      <c r="W1348" t="s">
        <v>970</v>
      </c>
      <c r="X1348" t="s">
        <v>468</v>
      </c>
    </row>
    <row r="1349" spans="21:24" x14ac:dyDescent="0.45">
      <c r="U1349" t="s">
        <v>108</v>
      </c>
      <c r="V1349" t="s">
        <v>1525</v>
      </c>
      <c r="W1349" t="s">
        <v>970</v>
      </c>
      <c r="X1349" t="s">
        <v>403</v>
      </c>
    </row>
    <row r="1350" spans="21:24" x14ac:dyDescent="0.45">
      <c r="U1350" t="s">
        <v>108</v>
      </c>
      <c r="V1350" t="s">
        <v>1526</v>
      </c>
      <c r="W1350" t="s">
        <v>970</v>
      </c>
      <c r="X1350" t="s">
        <v>468</v>
      </c>
    </row>
    <row r="1351" spans="21:24" x14ac:dyDescent="0.45">
      <c r="U1351" t="s">
        <v>108</v>
      </c>
      <c r="V1351" t="s">
        <v>1526</v>
      </c>
      <c r="W1351" t="s">
        <v>970</v>
      </c>
      <c r="X1351" t="s">
        <v>403</v>
      </c>
    </row>
    <row r="1352" spans="21:24" x14ac:dyDescent="0.45">
      <c r="U1352" t="s">
        <v>108</v>
      </c>
      <c r="V1352" t="s">
        <v>1527</v>
      </c>
      <c r="W1352" t="s">
        <v>425</v>
      </c>
      <c r="X1352" t="s">
        <v>468</v>
      </c>
    </row>
    <row r="1353" spans="21:24" x14ac:dyDescent="0.45">
      <c r="U1353" t="s">
        <v>108</v>
      </c>
      <c r="V1353" t="s">
        <v>1527</v>
      </c>
      <c r="W1353" t="s">
        <v>425</v>
      </c>
      <c r="X1353" t="s">
        <v>403</v>
      </c>
    </row>
    <row r="1354" spans="21:24" x14ac:dyDescent="0.45">
      <c r="U1354" t="s">
        <v>108</v>
      </c>
      <c r="V1354" t="s">
        <v>1528</v>
      </c>
      <c r="W1354" t="s">
        <v>425</v>
      </c>
      <c r="X1354" t="s">
        <v>468</v>
      </c>
    </row>
    <row r="1355" spans="21:24" x14ac:dyDescent="0.45">
      <c r="U1355" t="s">
        <v>108</v>
      </c>
      <c r="V1355" t="s">
        <v>1528</v>
      </c>
      <c r="W1355" t="s">
        <v>425</v>
      </c>
      <c r="X1355" t="s">
        <v>403</v>
      </c>
    </row>
    <row r="1356" spans="21:24" x14ac:dyDescent="0.45">
      <c r="U1356" t="s">
        <v>108</v>
      </c>
      <c r="V1356" t="s">
        <v>1529</v>
      </c>
      <c r="W1356" t="s">
        <v>426</v>
      </c>
      <c r="X1356" t="s">
        <v>468</v>
      </c>
    </row>
    <row r="1357" spans="21:24" x14ac:dyDescent="0.45">
      <c r="U1357" t="s">
        <v>108</v>
      </c>
      <c r="V1357" t="s">
        <v>1529</v>
      </c>
      <c r="W1357" t="s">
        <v>426</v>
      </c>
      <c r="X1357" t="s">
        <v>403</v>
      </c>
    </row>
    <row r="1358" spans="21:24" x14ac:dyDescent="0.45">
      <c r="U1358" t="s">
        <v>108</v>
      </c>
      <c r="V1358" t="s">
        <v>1530</v>
      </c>
      <c r="W1358" t="s">
        <v>426</v>
      </c>
      <c r="X1358" t="s">
        <v>468</v>
      </c>
    </row>
    <row r="1359" spans="21:24" x14ac:dyDescent="0.45">
      <c r="U1359" t="s">
        <v>108</v>
      </c>
      <c r="V1359" t="s">
        <v>1530</v>
      </c>
      <c r="W1359" t="s">
        <v>426</v>
      </c>
      <c r="X1359" t="s">
        <v>403</v>
      </c>
    </row>
    <row r="1360" spans="21:24" x14ac:dyDescent="0.45">
      <c r="U1360" t="s">
        <v>108</v>
      </c>
      <c r="V1360" t="s">
        <v>1531</v>
      </c>
      <c r="W1360" t="s">
        <v>427</v>
      </c>
      <c r="X1360" t="s">
        <v>468</v>
      </c>
    </row>
    <row r="1361" spans="21:24" x14ac:dyDescent="0.45">
      <c r="U1361" t="s">
        <v>108</v>
      </c>
      <c r="V1361" t="s">
        <v>1531</v>
      </c>
      <c r="W1361" t="s">
        <v>427</v>
      </c>
      <c r="X1361" t="s">
        <v>403</v>
      </c>
    </row>
    <row r="1362" spans="21:24" x14ac:dyDescent="0.45">
      <c r="U1362" t="s">
        <v>108</v>
      </c>
      <c r="V1362" t="s">
        <v>1532</v>
      </c>
      <c r="W1362" t="s">
        <v>427</v>
      </c>
      <c r="X1362" t="s">
        <v>468</v>
      </c>
    </row>
    <row r="1363" spans="21:24" x14ac:dyDescent="0.45">
      <c r="U1363" t="s">
        <v>108</v>
      </c>
      <c r="V1363" t="s">
        <v>1532</v>
      </c>
      <c r="W1363" t="s">
        <v>427</v>
      </c>
      <c r="X1363" t="s">
        <v>403</v>
      </c>
    </row>
    <row r="1364" spans="21:24" x14ac:dyDescent="0.45">
      <c r="U1364" t="s">
        <v>108</v>
      </c>
      <c r="V1364" t="s">
        <v>1533</v>
      </c>
      <c r="W1364" t="s">
        <v>428</v>
      </c>
      <c r="X1364" t="s">
        <v>468</v>
      </c>
    </row>
    <row r="1365" spans="21:24" x14ac:dyDescent="0.45">
      <c r="U1365" t="s">
        <v>108</v>
      </c>
      <c r="V1365" t="s">
        <v>1533</v>
      </c>
      <c r="W1365" t="s">
        <v>428</v>
      </c>
      <c r="X1365" t="s">
        <v>403</v>
      </c>
    </row>
    <row r="1366" spans="21:24" x14ac:dyDescent="0.45">
      <c r="U1366" t="s">
        <v>108</v>
      </c>
      <c r="V1366" t="s">
        <v>1534</v>
      </c>
      <c r="W1366" t="s">
        <v>428</v>
      </c>
      <c r="X1366" t="s">
        <v>468</v>
      </c>
    </row>
    <row r="1367" spans="21:24" x14ac:dyDescent="0.45">
      <c r="U1367" t="s">
        <v>108</v>
      </c>
      <c r="V1367" t="s">
        <v>1534</v>
      </c>
      <c r="W1367" t="s">
        <v>428</v>
      </c>
      <c r="X1367" t="s">
        <v>403</v>
      </c>
    </row>
    <row r="1368" spans="21:24" x14ac:dyDescent="0.45">
      <c r="U1368" t="s">
        <v>108</v>
      </c>
      <c r="V1368" t="s">
        <v>1535</v>
      </c>
      <c r="W1368" t="s">
        <v>429</v>
      </c>
      <c r="X1368" t="s">
        <v>468</v>
      </c>
    </row>
    <row r="1369" spans="21:24" x14ac:dyDescent="0.45">
      <c r="U1369" t="s">
        <v>108</v>
      </c>
      <c r="V1369" t="s">
        <v>1535</v>
      </c>
      <c r="W1369" t="s">
        <v>429</v>
      </c>
      <c r="X1369" t="s">
        <v>403</v>
      </c>
    </row>
    <row r="1370" spans="21:24" x14ac:dyDescent="0.45">
      <c r="U1370" t="s">
        <v>108</v>
      </c>
      <c r="V1370" t="s">
        <v>1536</v>
      </c>
      <c r="W1370" t="s">
        <v>429</v>
      </c>
      <c r="X1370" t="s">
        <v>468</v>
      </c>
    </row>
    <row r="1371" spans="21:24" x14ac:dyDescent="0.45">
      <c r="U1371" t="s">
        <v>108</v>
      </c>
      <c r="V1371" t="s">
        <v>1536</v>
      </c>
      <c r="W1371" t="s">
        <v>429</v>
      </c>
      <c r="X1371" t="s">
        <v>403</v>
      </c>
    </row>
    <row r="1372" spans="21:24" x14ac:dyDescent="0.45">
      <c r="U1372" t="s">
        <v>108</v>
      </c>
      <c r="V1372" t="s">
        <v>1537</v>
      </c>
      <c r="W1372" t="s">
        <v>446</v>
      </c>
      <c r="X1372" t="s">
        <v>468</v>
      </c>
    </row>
    <row r="1373" spans="21:24" x14ac:dyDescent="0.45">
      <c r="U1373" t="s">
        <v>108</v>
      </c>
      <c r="V1373" t="s">
        <v>1537</v>
      </c>
      <c r="W1373" t="s">
        <v>446</v>
      </c>
      <c r="X1373" t="s">
        <v>403</v>
      </c>
    </row>
    <row r="1374" spans="21:24" x14ac:dyDescent="0.45">
      <c r="U1374" t="s">
        <v>108</v>
      </c>
      <c r="V1374" t="s">
        <v>1538</v>
      </c>
      <c r="W1374" t="s">
        <v>446</v>
      </c>
      <c r="X1374" t="s">
        <v>468</v>
      </c>
    </row>
    <row r="1375" spans="21:24" x14ac:dyDescent="0.45">
      <c r="U1375" t="s">
        <v>108</v>
      </c>
      <c r="V1375" t="s">
        <v>1538</v>
      </c>
      <c r="W1375" t="s">
        <v>446</v>
      </c>
      <c r="X1375" t="s">
        <v>403</v>
      </c>
    </row>
    <row r="1376" spans="21:24" x14ac:dyDescent="0.45">
      <c r="U1376" t="s">
        <v>108</v>
      </c>
      <c r="V1376" t="s">
        <v>1539</v>
      </c>
      <c r="W1376" t="s">
        <v>430</v>
      </c>
      <c r="X1376" t="s">
        <v>468</v>
      </c>
    </row>
    <row r="1377" spans="21:24" x14ac:dyDescent="0.45">
      <c r="U1377" t="s">
        <v>108</v>
      </c>
      <c r="V1377" t="s">
        <v>1539</v>
      </c>
      <c r="W1377" t="s">
        <v>430</v>
      </c>
      <c r="X1377" t="s">
        <v>403</v>
      </c>
    </row>
    <row r="1378" spans="21:24" x14ac:dyDescent="0.45">
      <c r="U1378" t="s">
        <v>108</v>
      </c>
      <c r="V1378" t="s">
        <v>1540</v>
      </c>
      <c r="W1378" t="s">
        <v>430</v>
      </c>
      <c r="X1378" t="s">
        <v>468</v>
      </c>
    </row>
    <row r="1379" spans="21:24" x14ac:dyDescent="0.45">
      <c r="U1379" t="s">
        <v>108</v>
      </c>
      <c r="V1379" t="s">
        <v>1540</v>
      </c>
      <c r="W1379" t="s">
        <v>430</v>
      </c>
      <c r="X1379" t="s">
        <v>403</v>
      </c>
    </row>
    <row r="1380" spans="21:24" x14ac:dyDescent="0.45">
      <c r="U1380" t="s">
        <v>108</v>
      </c>
      <c r="V1380" t="s">
        <v>1541</v>
      </c>
      <c r="W1380" t="s">
        <v>431</v>
      </c>
      <c r="X1380" t="s">
        <v>468</v>
      </c>
    </row>
    <row r="1381" spans="21:24" x14ac:dyDescent="0.45">
      <c r="U1381" t="s">
        <v>108</v>
      </c>
      <c r="V1381" t="s">
        <v>1541</v>
      </c>
      <c r="W1381" t="s">
        <v>431</v>
      </c>
      <c r="X1381" t="s">
        <v>403</v>
      </c>
    </row>
    <row r="1382" spans="21:24" x14ac:dyDescent="0.45">
      <c r="U1382" t="s">
        <v>108</v>
      </c>
      <c r="V1382" t="s">
        <v>1542</v>
      </c>
      <c r="W1382" t="s">
        <v>431</v>
      </c>
      <c r="X1382" t="s">
        <v>468</v>
      </c>
    </row>
    <row r="1383" spans="21:24" x14ac:dyDescent="0.45">
      <c r="U1383" t="s">
        <v>108</v>
      </c>
      <c r="V1383" t="s">
        <v>1542</v>
      </c>
      <c r="W1383" t="s">
        <v>431</v>
      </c>
      <c r="X1383" t="s">
        <v>403</v>
      </c>
    </row>
    <row r="1384" spans="21:24" x14ac:dyDescent="0.45">
      <c r="U1384" t="s">
        <v>108</v>
      </c>
      <c r="V1384" t="s">
        <v>1543</v>
      </c>
      <c r="W1384" t="s">
        <v>447</v>
      </c>
      <c r="X1384" t="s">
        <v>468</v>
      </c>
    </row>
    <row r="1385" spans="21:24" x14ac:dyDescent="0.45">
      <c r="U1385" t="s">
        <v>108</v>
      </c>
      <c r="V1385" t="s">
        <v>1543</v>
      </c>
      <c r="W1385" t="s">
        <v>447</v>
      </c>
      <c r="X1385" t="s">
        <v>403</v>
      </c>
    </row>
    <row r="1386" spans="21:24" x14ac:dyDescent="0.45">
      <c r="U1386" t="s">
        <v>108</v>
      </c>
      <c r="V1386" t="s">
        <v>1544</v>
      </c>
      <c r="W1386" t="s">
        <v>447</v>
      </c>
      <c r="X1386" t="s">
        <v>468</v>
      </c>
    </row>
    <row r="1387" spans="21:24" x14ac:dyDescent="0.45">
      <c r="U1387" t="s">
        <v>108</v>
      </c>
      <c r="V1387" t="s">
        <v>1544</v>
      </c>
      <c r="W1387" t="s">
        <v>447</v>
      </c>
      <c r="X1387" t="s">
        <v>403</v>
      </c>
    </row>
    <row r="1388" spans="21:24" x14ac:dyDescent="0.45">
      <c r="U1388" t="s">
        <v>108</v>
      </c>
      <c r="V1388" t="s">
        <v>1545</v>
      </c>
      <c r="W1388" t="s">
        <v>432</v>
      </c>
      <c r="X1388" t="s">
        <v>468</v>
      </c>
    </row>
    <row r="1389" spans="21:24" x14ac:dyDescent="0.45">
      <c r="U1389" t="s">
        <v>108</v>
      </c>
      <c r="V1389" t="s">
        <v>1545</v>
      </c>
      <c r="W1389" t="s">
        <v>432</v>
      </c>
      <c r="X1389" t="s">
        <v>403</v>
      </c>
    </row>
    <row r="1390" spans="21:24" x14ac:dyDescent="0.45">
      <c r="U1390" t="s">
        <v>108</v>
      </c>
      <c r="V1390" t="s">
        <v>1546</v>
      </c>
      <c r="W1390" t="s">
        <v>432</v>
      </c>
      <c r="X1390" t="s">
        <v>468</v>
      </c>
    </row>
    <row r="1391" spans="21:24" x14ac:dyDescent="0.45">
      <c r="U1391" t="s">
        <v>108</v>
      </c>
      <c r="V1391" t="s">
        <v>1546</v>
      </c>
      <c r="W1391" t="s">
        <v>432</v>
      </c>
      <c r="X1391" t="s">
        <v>403</v>
      </c>
    </row>
    <row r="1392" spans="21:24" x14ac:dyDescent="0.45">
      <c r="U1392" t="s">
        <v>108</v>
      </c>
      <c r="V1392" t="s">
        <v>1547</v>
      </c>
      <c r="W1392" t="s">
        <v>448</v>
      </c>
      <c r="X1392" t="s">
        <v>468</v>
      </c>
    </row>
    <row r="1393" spans="21:24" x14ac:dyDescent="0.45">
      <c r="U1393" t="s">
        <v>108</v>
      </c>
      <c r="V1393" t="s">
        <v>1547</v>
      </c>
      <c r="W1393" t="s">
        <v>448</v>
      </c>
      <c r="X1393" t="s">
        <v>403</v>
      </c>
    </row>
    <row r="1394" spans="21:24" x14ac:dyDescent="0.45">
      <c r="U1394" t="s">
        <v>108</v>
      </c>
      <c r="V1394" t="s">
        <v>1548</v>
      </c>
      <c r="W1394" t="s">
        <v>448</v>
      </c>
      <c r="X1394" t="s">
        <v>468</v>
      </c>
    </row>
    <row r="1395" spans="21:24" x14ac:dyDescent="0.45">
      <c r="U1395" t="s">
        <v>108</v>
      </c>
      <c r="V1395" t="s">
        <v>1548</v>
      </c>
      <c r="W1395" t="s">
        <v>448</v>
      </c>
      <c r="X1395" t="s">
        <v>403</v>
      </c>
    </row>
    <row r="1396" spans="21:24" x14ac:dyDescent="0.45">
      <c r="U1396" t="s">
        <v>108</v>
      </c>
      <c r="V1396" t="s">
        <v>1549</v>
      </c>
      <c r="W1396" t="s">
        <v>433</v>
      </c>
      <c r="X1396" t="s">
        <v>468</v>
      </c>
    </row>
    <row r="1397" spans="21:24" x14ac:dyDescent="0.45">
      <c r="U1397" t="s">
        <v>108</v>
      </c>
      <c r="V1397" t="s">
        <v>1549</v>
      </c>
      <c r="W1397" t="s">
        <v>433</v>
      </c>
      <c r="X1397" t="s">
        <v>403</v>
      </c>
    </row>
    <row r="1398" spans="21:24" x14ac:dyDescent="0.45">
      <c r="U1398" t="s">
        <v>108</v>
      </c>
      <c r="V1398" t="s">
        <v>1550</v>
      </c>
      <c r="W1398" t="s">
        <v>433</v>
      </c>
      <c r="X1398" t="s">
        <v>468</v>
      </c>
    </row>
    <row r="1399" spans="21:24" x14ac:dyDescent="0.45">
      <c r="U1399" t="s">
        <v>108</v>
      </c>
      <c r="V1399" t="s">
        <v>1550</v>
      </c>
      <c r="W1399" t="s">
        <v>433</v>
      </c>
      <c r="X1399" t="s">
        <v>403</v>
      </c>
    </row>
    <row r="1400" spans="21:24" x14ac:dyDescent="0.45">
      <c r="U1400" t="s">
        <v>108</v>
      </c>
      <c r="V1400" t="s">
        <v>1551</v>
      </c>
      <c r="W1400" t="s">
        <v>434</v>
      </c>
      <c r="X1400" t="s">
        <v>468</v>
      </c>
    </row>
    <row r="1401" spans="21:24" x14ac:dyDescent="0.45">
      <c r="U1401" t="s">
        <v>108</v>
      </c>
      <c r="V1401" t="s">
        <v>1551</v>
      </c>
      <c r="W1401" t="s">
        <v>434</v>
      </c>
      <c r="X1401" t="s">
        <v>403</v>
      </c>
    </row>
    <row r="1402" spans="21:24" x14ac:dyDescent="0.45">
      <c r="U1402" t="s">
        <v>108</v>
      </c>
      <c r="V1402" t="s">
        <v>1552</v>
      </c>
      <c r="W1402" t="s">
        <v>434</v>
      </c>
      <c r="X1402" t="s">
        <v>468</v>
      </c>
    </row>
    <row r="1403" spans="21:24" x14ac:dyDescent="0.45">
      <c r="U1403" t="s">
        <v>108</v>
      </c>
      <c r="V1403" t="s">
        <v>1552</v>
      </c>
      <c r="W1403" t="s">
        <v>434</v>
      </c>
      <c r="X1403" t="s">
        <v>403</v>
      </c>
    </row>
    <row r="1404" spans="21:24" x14ac:dyDescent="0.45">
      <c r="U1404" t="s">
        <v>108</v>
      </c>
      <c r="V1404" t="s">
        <v>1553</v>
      </c>
      <c r="W1404" t="s">
        <v>435</v>
      </c>
      <c r="X1404" t="s">
        <v>468</v>
      </c>
    </row>
    <row r="1405" spans="21:24" x14ac:dyDescent="0.45">
      <c r="U1405" t="s">
        <v>108</v>
      </c>
      <c r="V1405" t="s">
        <v>1553</v>
      </c>
      <c r="W1405" t="s">
        <v>435</v>
      </c>
      <c r="X1405" t="s">
        <v>403</v>
      </c>
    </row>
    <row r="1406" spans="21:24" x14ac:dyDescent="0.45">
      <c r="U1406" t="s">
        <v>108</v>
      </c>
      <c r="V1406" t="s">
        <v>1554</v>
      </c>
      <c r="W1406" t="s">
        <v>435</v>
      </c>
      <c r="X1406" t="s">
        <v>468</v>
      </c>
    </row>
    <row r="1407" spans="21:24" x14ac:dyDescent="0.45">
      <c r="U1407" t="s">
        <v>108</v>
      </c>
      <c r="V1407" t="s">
        <v>1554</v>
      </c>
      <c r="W1407" t="s">
        <v>435</v>
      </c>
      <c r="X1407" t="s">
        <v>403</v>
      </c>
    </row>
    <row r="1408" spans="21:24" x14ac:dyDescent="0.45">
      <c r="U1408" t="s">
        <v>108</v>
      </c>
      <c r="V1408" t="s">
        <v>1555</v>
      </c>
      <c r="W1408" t="s">
        <v>1239</v>
      </c>
      <c r="X1408" t="s">
        <v>468</v>
      </c>
    </row>
    <row r="1409" spans="21:24" x14ac:dyDescent="0.45">
      <c r="U1409" t="s">
        <v>108</v>
      </c>
      <c r="V1409" t="s">
        <v>1555</v>
      </c>
      <c r="W1409" t="s">
        <v>1239</v>
      </c>
      <c r="X1409" t="s">
        <v>403</v>
      </c>
    </row>
    <row r="1410" spans="21:24" x14ac:dyDescent="0.45">
      <c r="U1410" t="s">
        <v>108</v>
      </c>
      <c r="V1410" t="s">
        <v>1556</v>
      </c>
      <c r="W1410" t="s">
        <v>1239</v>
      </c>
      <c r="X1410" t="s">
        <v>468</v>
      </c>
    </row>
    <row r="1411" spans="21:24" x14ac:dyDescent="0.45">
      <c r="U1411" t="s">
        <v>108</v>
      </c>
      <c r="V1411" t="s">
        <v>1556</v>
      </c>
      <c r="W1411" t="s">
        <v>1239</v>
      </c>
      <c r="X1411" t="s">
        <v>403</v>
      </c>
    </row>
    <row r="1412" spans="21:24" x14ac:dyDescent="0.45">
      <c r="U1412" t="s">
        <v>108</v>
      </c>
      <c r="V1412" t="s">
        <v>1557</v>
      </c>
      <c r="W1412" t="s">
        <v>436</v>
      </c>
      <c r="X1412" t="s">
        <v>468</v>
      </c>
    </row>
    <row r="1413" spans="21:24" x14ac:dyDescent="0.45">
      <c r="U1413" t="s">
        <v>108</v>
      </c>
      <c r="V1413" t="s">
        <v>1557</v>
      </c>
      <c r="W1413" t="s">
        <v>436</v>
      </c>
      <c r="X1413" t="s">
        <v>403</v>
      </c>
    </row>
    <row r="1414" spans="21:24" x14ac:dyDescent="0.45">
      <c r="U1414" t="s">
        <v>108</v>
      </c>
      <c r="V1414" t="s">
        <v>1558</v>
      </c>
      <c r="W1414" t="s">
        <v>436</v>
      </c>
      <c r="X1414" t="s">
        <v>468</v>
      </c>
    </row>
    <row r="1415" spans="21:24" x14ac:dyDescent="0.45">
      <c r="U1415" t="s">
        <v>108</v>
      </c>
      <c r="V1415" t="s">
        <v>1558</v>
      </c>
      <c r="W1415" t="s">
        <v>436</v>
      </c>
      <c r="X1415" t="s">
        <v>403</v>
      </c>
    </row>
    <row r="1416" spans="21:24" x14ac:dyDescent="0.45">
      <c r="U1416" t="s">
        <v>108</v>
      </c>
      <c r="V1416" t="s">
        <v>1559</v>
      </c>
      <c r="W1416" t="s">
        <v>437</v>
      </c>
      <c r="X1416" t="s">
        <v>468</v>
      </c>
    </row>
    <row r="1417" spans="21:24" x14ac:dyDescent="0.45">
      <c r="U1417" t="s">
        <v>108</v>
      </c>
      <c r="V1417" t="s">
        <v>1559</v>
      </c>
      <c r="W1417" t="s">
        <v>437</v>
      </c>
      <c r="X1417" t="s">
        <v>403</v>
      </c>
    </row>
    <row r="1418" spans="21:24" x14ac:dyDescent="0.45">
      <c r="U1418" t="s">
        <v>108</v>
      </c>
      <c r="V1418" t="s">
        <v>1560</v>
      </c>
      <c r="W1418" t="s">
        <v>437</v>
      </c>
      <c r="X1418" t="s">
        <v>468</v>
      </c>
    </row>
    <row r="1419" spans="21:24" x14ac:dyDescent="0.45">
      <c r="U1419" t="s">
        <v>108</v>
      </c>
      <c r="V1419" t="s">
        <v>1560</v>
      </c>
      <c r="W1419" t="s">
        <v>437</v>
      </c>
      <c r="X1419" t="s">
        <v>403</v>
      </c>
    </row>
    <row r="1420" spans="21:24" x14ac:dyDescent="0.45">
      <c r="U1420" t="s">
        <v>108</v>
      </c>
      <c r="V1420" t="s">
        <v>1561</v>
      </c>
      <c r="W1420" t="s">
        <v>1293</v>
      </c>
      <c r="X1420" t="s">
        <v>468</v>
      </c>
    </row>
    <row r="1421" spans="21:24" x14ac:dyDescent="0.45">
      <c r="U1421" t="s">
        <v>108</v>
      </c>
      <c r="V1421" t="s">
        <v>1561</v>
      </c>
      <c r="W1421" t="s">
        <v>1293</v>
      </c>
      <c r="X1421" t="s">
        <v>403</v>
      </c>
    </row>
    <row r="1422" spans="21:24" x14ac:dyDescent="0.45">
      <c r="U1422" t="s">
        <v>108</v>
      </c>
      <c r="V1422" t="s">
        <v>1562</v>
      </c>
      <c r="W1422" t="s">
        <v>1293</v>
      </c>
      <c r="X1422" t="s">
        <v>468</v>
      </c>
    </row>
    <row r="1423" spans="21:24" x14ac:dyDescent="0.45">
      <c r="U1423" t="s">
        <v>108</v>
      </c>
      <c r="V1423" t="s">
        <v>1562</v>
      </c>
      <c r="W1423" t="s">
        <v>1293</v>
      </c>
      <c r="X1423" t="s">
        <v>403</v>
      </c>
    </row>
    <row r="1424" spans="21:24" x14ac:dyDescent="0.45">
      <c r="U1424" t="s">
        <v>108</v>
      </c>
      <c r="V1424" t="s">
        <v>1563</v>
      </c>
      <c r="W1424" t="s">
        <v>438</v>
      </c>
      <c r="X1424" t="s">
        <v>468</v>
      </c>
    </row>
    <row r="1425" spans="21:24" x14ac:dyDescent="0.45">
      <c r="U1425" t="s">
        <v>108</v>
      </c>
      <c r="V1425" t="s">
        <v>1563</v>
      </c>
      <c r="W1425" t="s">
        <v>438</v>
      </c>
      <c r="X1425" t="s">
        <v>403</v>
      </c>
    </row>
    <row r="1426" spans="21:24" x14ac:dyDescent="0.45">
      <c r="U1426" t="s">
        <v>108</v>
      </c>
      <c r="V1426" t="s">
        <v>1564</v>
      </c>
      <c r="W1426" t="s">
        <v>438</v>
      </c>
      <c r="X1426" t="s">
        <v>468</v>
      </c>
    </row>
    <row r="1427" spans="21:24" x14ac:dyDescent="0.45">
      <c r="U1427" t="s">
        <v>108</v>
      </c>
      <c r="V1427" t="s">
        <v>1564</v>
      </c>
      <c r="W1427" t="s">
        <v>438</v>
      </c>
      <c r="X1427" t="s">
        <v>403</v>
      </c>
    </row>
    <row r="1428" spans="21:24" x14ac:dyDescent="0.45">
      <c r="U1428" t="s">
        <v>108</v>
      </c>
      <c r="V1428" t="s">
        <v>1565</v>
      </c>
      <c r="W1428" t="s">
        <v>439</v>
      </c>
      <c r="X1428" t="s">
        <v>468</v>
      </c>
    </row>
    <row r="1429" spans="21:24" x14ac:dyDescent="0.45">
      <c r="U1429" t="s">
        <v>108</v>
      </c>
      <c r="V1429" t="s">
        <v>1565</v>
      </c>
      <c r="W1429" t="s">
        <v>439</v>
      </c>
      <c r="X1429" t="s">
        <v>403</v>
      </c>
    </row>
    <row r="1430" spans="21:24" x14ac:dyDescent="0.45">
      <c r="U1430" t="s">
        <v>108</v>
      </c>
      <c r="V1430" t="s">
        <v>1566</v>
      </c>
      <c r="W1430" t="s">
        <v>439</v>
      </c>
      <c r="X1430" t="s">
        <v>468</v>
      </c>
    </row>
    <row r="1431" spans="21:24" x14ac:dyDescent="0.45">
      <c r="U1431" t="s">
        <v>108</v>
      </c>
      <c r="V1431" t="s">
        <v>1566</v>
      </c>
      <c r="W1431" t="s">
        <v>439</v>
      </c>
      <c r="X1431" t="s">
        <v>403</v>
      </c>
    </row>
    <row r="1432" spans="21:24" x14ac:dyDescent="0.45">
      <c r="U1432" t="s">
        <v>108</v>
      </c>
      <c r="V1432" t="s">
        <v>1567</v>
      </c>
      <c r="W1432" t="s">
        <v>440</v>
      </c>
      <c r="X1432" t="s">
        <v>468</v>
      </c>
    </row>
    <row r="1433" spans="21:24" x14ac:dyDescent="0.45">
      <c r="U1433" t="s">
        <v>108</v>
      </c>
      <c r="V1433" t="s">
        <v>1567</v>
      </c>
      <c r="W1433" t="s">
        <v>440</v>
      </c>
      <c r="X1433" t="s">
        <v>403</v>
      </c>
    </row>
    <row r="1434" spans="21:24" x14ac:dyDescent="0.45">
      <c r="U1434" t="s">
        <v>108</v>
      </c>
      <c r="V1434" t="s">
        <v>1568</v>
      </c>
      <c r="W1434" t="s">
        <v>440</v>
      </c>
      <c r="X1434" t="s">
        <v>468</v>
      </c>
    </row>
    <row r="1435" spans="21:24" x14ac:dyDescent="0.45">
      <c r="U1435" t="s">
        <v>108</v>
      </c>
      <c r="V1435" t="s">
        <v>1568</v>
      </c>
      <c r="W1435" t="s">
        <v>440</v>
      </c>
      <c r="X1435" t="s">
        <v>403</v>
      </c>
    </row>
    <row r="1436" spans="21:24" x14ac:dyDescent="0.45">
      <c r="U1436" t="s">
        <v>108</v>
      </c>
      <c r="V1436" t="s">
        <v>1569</v>
      </c>
      <c r="W1436" t="s">
        <v>449</v>
      </c>
      <c r="X1436" t="s">
        <v>468</v>
      </c>
    </row>
    <row r="1437" spans="21:24" x14ac:dyDescent="0.45">
      <c r="U1437" t="s">
        <v>108</v>
      </c>
      <c r="V1437" t="s">
        <v>1569</v>
      </c>
      <c r="W1437" t="s">
        <v>449</v>
      </c>
      <c r="X1437" t="s">
        <v>403</v>
      </c>
    </row>
    <row r="1438" spans="21:24" x14ac:dyDescent="0.45">
      <c r="U1438" t="s">
        <v>108</v>
      </c>
      <c r="V1438" t="s">
        <v>1570</v>
      </c>
      <c r="W1438" t="s">
        <v>449</v>
      </c>
      <c r="X1438" t="s">
        <v>468</v>
      </c>
    </row>
    <row r="1439" spans="21:24" x14ac:dyDescent="0.45">
      <c r="U1439" t="s">
        <v>108</v>
      </c>
      <c r="V1439" t="s">
        <v>1570</v>
      </c>
      <c r="W1439" t="s">
        <v>449</v>
      </c>
      <c r="X1439" t="s">
        <v>403</v>
      </c>
    </row>
    <row r="1440" spans="21:24" x14ac:dyDescent="0.45">
      <c r="U1440" t="s">
        <v>108</v>
      </c>
      <c r="V1440" t="s">
        <v>1571</v>
      </c>
      <c r="W1440" t="s">
        <v>441</v>
      </c>
      <c r="X1440" t="s">
        <v>468</v>
      </c>
    </row>
    <row r="1441" spans="21:24" x14ac:dyDescent="0.45">
      <c r="U1441" t="s">
        <v>108</v>
      </c>
      <c r="V1441" t="s">
        <v>1571</v>
      </c>
      <c r="W1441" t="s">
        <v>441</v>
      </c>
      <c r="X1441" t="s">
        <v>403</v>
      </c>
    </row>
    <row r="1442" spans="21:24" x14ac:dyDescent="0.45">
      <c r="U1442" t="s">
        <v>108</v>
      </c>
      <c r="V1442" t="s">
        <v>1572</v>
      </c>
      <c r="W1442" t="s">
        <v>441</v>
      </c>
      <c r="X1442" t="s">
        <v>468</v>
      </c>
    </row>
    <row r="1443" spans="21:24" x14ac:dyDescent="0.45">
      <c r="U1443" t="s">
        <v>108</v>
      </c>
      <c r="V1443" t="s">
        <v>1572</v>
      </c>
      <c r="W1443" t="s">
        <v>441</v>
      </c>
      <c r="X1443" t="s">
        <v>403</v>
      </c>
    </row>
    <row r="1444" spans="21:24" x14ac:dyDescent="0.45">
      <c r="U1444" t="s">
        <v>108</v>
      </c>
      <c r="V1444" t="s">
        <v>1573</v>
      </c>
      <c r="W1444" t="s">
        <v>450</v>
      </c>
      <c r="X1444" t="s">
        <v>468</v>
      </c>
    </row>
    <row r="1445" spans="21:24" x14ac:dyDescent="0.45">
      <c r="U1445" t="s">
        <v>108</v>
      </c>
      <c r="V1445" t="s">
        <v>1573</v>
      </c>
      <c r="W1445" t="s">
        <v>450</v>
      </c>
      <c r="X1445" t="s">
        <v>403</v>
      </c>
    </row>
    <row r="1446" spans="21:24" x14ac:dyDescent="0.45">
      <c r="U1446" t="s">
        <v>108</v>
      </c>
      <c r="V1446" t="s">
        <v>1574</v>
      </c>
      <c r="W1446" t="s">
        <v>450</v>
      </c>
      <c r="X1446" t="s">
        <v>468</v>
      </c>
    </row>
    <row r="1447" spans="21:24" x14ac:dyDescent="0.45">
      <c r="U1447" t="s">
        <v>108</v>
      </c>
      <c r="V1447" t="s">
        <v>1574</v>
      </c>
      <c r="W1447" t="s">
        <v>450</v>
      </c>
      <c r="X1447" t="s">
        <v>403</v>
      </c>
    </row>
    <row r="1448" spans="21:24" x14ac:dyDescent="0.45">
      <c r="U1448" t="s">
        <v>108</v>
      </c>
      <c r="V1448" t="s">
        <v>1575</v>
      </c>
      <c r="W1448" t="s">
        <v>442</v>
      </c>
      <c r="X1448" t="s">
        <v>468</v>
      </c>
    </row>
    <row r="1449" spans="21:24" x14ac:dyDescent="0.45">
      <c r="U1449" t="s">
        <v>108</v>
      </c>
      <c r="V1449" t="s">
        <v>1575</v>
      </c>
      <c r="W1449" t="s">
        <v>442</v>
      </c>
      <c r="X1449" t="s">
        <v>403</v>
      </c>
    </row>
    <row r="1450" spans="21:24" x14ac:dyDescent="0.45">
      <c r="U1450" t="s">
        <v>108</v>
      </c>
      <c r="V1450" t="s">
        <v>1576</v>
      </c>
      <c r="W1450" t="s">
        <v>442</v>
      </c>
      <c r="X1450" t="s">
        <v>468</v>
      </c>
    </row>
    <row r="1451" spans="21:24" x14ac:dyDescent="0.45">
      <c r="U1451" t="s">
        <v>108</v>
      </c>
      <c r="V1451" t="s">
        <v>1576</v>
      </c>
      <c r="W1451" t="s">
        <v>442</v>
      </c>
      <c r="X1451" t="s">
        <v>403</v>
      </c>
    </row>
    <row r="1452" spans="21:24" x14ac:dyDescent="0.45">
      <c r="U1452" t="s">
        <v>108</v>
      </c>
      <c r="V1452" t="s">
        <v>1577</v>
      </c>
      <c r="W1452" t="s">
        <v>443</v>
      </c>
      <c r="X1452" t="s">
        <v>468</v>
      </c>
    </row>
    <row r="1453" spans="21:24" x14ac:dyDescent="0.45">
      <c r="U1453" t="s">
        <v>108</v>
      </c>
      <c r="V1453" t="s">
        <v>1577</v>
      </c>
      <c r="W1453" t="s">
        <v>443</v>
      </c>
      <c r="X1453" t="s">
        <v>403</v>
      </c>
    </row>
    <row r="1454" spans="21:24" x14ac:dyDescent="0.45">
      <c r="U1454" t="s">
        <v>108</v>
      </c>
      <c r="V1454" t="s">
        <v>1578</v>
      </c>
      <c r="W1454" t="s">
        <v>443</v>
      </c>
      <c r="X1454" t="s">
        <v>468</v>
      </c>
    </row>
    <row r="1455" spans="21:24" x14ac:dyDescent="0.45">
      <c r="U1455" t="s">
        <v>108</v>
      </c>
      <c r="V1455" t="s">
        <v>1578</v>
      </c>
      <c r="W1455" t="s">
        <v>443</v>
      </c>
      <c r="X1455" t="s">
        <v>403</v>
      </c>
    </row>
    <row r="1456" spans="21:24" x14ac:dyDescent="0.45">
      <c r="U1456" t="s">
        <v>108</v>
      </c>
      <c r="V1456" t="s">
        <v>1579</v>
      </c>
      <c r="W1456" t="s">
        <v>451</v>
      </c>
      <c r="X1456" t="s">
        <v>468</v>
      </c>
    </row>
    <row r="1457" spans="21:24" x14ac:dyDescent="0.45">
      <c r="U1457" t="s">
        <v>108</v>
      </c>
      <c r="V1457" t="s">
        <v>1579</v>
      </c>
      <c r="W1457" t="s">
        <v>451</v>
      </c>
      <c r="X1457" t="s">
        <v>403</v>
      </c>
    </row>
    <row r="1458" spans="21:24" x14ac:dyDescent="0.45">
      <c r="U1458" t="s">
        <v>108</v>
      </c>
      <c r="V1458" t="s">
        <v>1580</v>
      </c>
      <c r="W1458" t="s">
        <v>451</v>
      </c>
      <c r="X1458" t="s">
        <v>468</v>
      </c>
    </row>
    <row r="1459" spans="21:24" x14ac:dyDescent="0.45">
      <c r="U1459" t="s">
        <v>108</v>
      </c>
      <c r="V1459" t="s">
        <v>1580</v>
      </c>
      <c r="W1459" t="s">
        <v>451</v>
      </c>
      <c r="X1459" t="s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48E3-6C3B-4BFB-B6F4-6F2C9D9E4B16}">
  <dimension ref="B9:L51"/>
  <sheetViews>
    <sheetView workbookViewId="0"/>
  </sheetViews>
  <sheetFormatPr defaultRowHeight="14.25" x14ac:dyDescent="0.45"/>
  <sheetData>
    <row r="9" spans="2:12" x14ac:dyDescent="0.45">
      <c r="B9" t="s">
        <v>74</v>
      </c>
    </row>
    <row r="10" spans="2:12" x14ac:dyDescent="0.45"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</row>
    <row r="11" spans="2:12" ht="409.5" x14ac:dyDescent="0.45">
      <c r="B11">
        <v>2030</v>
      </c>
      <c r="C11" t="s">
        <v>86</v>
      </c>
      <c r="D11" t="s">
        <v>87</v>
      </c>
      <c r="E11">
        <v>7.1</v>
      </c>
      <c r="F11" t="s">
        <v>88</v>
      </c>
      <c r="G11" t="s">
        <v>89</v>
      </c>
      <c r="H11" t="s">
        <v>90</v>
      </c>
      <c r="I11" s="10">
        <v>44742</v>
      </c>
      <c r="J11" t="s">
        <v>91</v>
      </c>
      <c r="K11" t="s">
        <v>92</v>
      </c>
      <c r="L11" s="11" t="s">
        <v>93</v>
      </c>
    </row>
    <row r="12" spans="2:12" x14ac:dyDescent="0.45">
      <c r="B12">
        <v>2030</v>
      </c>
      <c r="C12" t="s">
        <v>86</v>
      </c>
      <c r="D12" t="s">
        <v>87</v>
      </c>
      <c r="E12">
        <v>5.0999999999999996</v>
      </c>
      <c r="F12" t="s">
        <v>88</v>
      </c>
      <c r="G12" t="s">
        <v>94</v>
      </c>
      <c r="H12" t="s">
        <v>90</v>
      </c>
      <c r="I12" s="10">
        <v>45469</v>
      </c>
      <c r="J12" t="s">
        <v>95</v>
      </c>
      <c r="K12" t="s">
        <v>92</v>
      </c>
      <c r="L12" t="s">
        <v>96</v>
      </c>
    </row>
    <row r="13" spans="2:12" x14ac:dyDescent="0.45">
      <c r="B13">
        <v>2030</v>
      </c>
      <c r="C13" t="s">
        <v>97</v>
      </c>
      <c r="D13" t="s">
        <v>87</v>
      </c>
      <c r="E13">
        <v>12.9</v>
      </c>
      <c r="F13" t="s">
        <v>88</v>
      </c>
      <c r="G13" t="s">
        <v>94</v>
      </c>
      <c r="H13" t="s">
        <v>90</v>
      </c>
      <c r="I13" s="10">
        <v>45469</v>
      </c>
      <c r="J13" t="s">
        <v>95</v>
      </c>
      <c r="K13" t="s">
        <v>92</v>
      </c>
      <c r="L13" t="s">
        <v>96</v>
      </c>
    </row>
    <row r="14" spans="2:12" ht="409.5" x14ac:dyDescent="0.45">
      <c r="B14">
        <v>2030</v>
      </c>
      <c r="C14" t="s">
        <v>97</v>
      </c>
      <c r="D14" t="s">
        <v>87</v>
      </c>
      <c r="E14">
        <v>11.2</v>
      </c>
      <c r="F14" t="s">
        <v>88</v>
      </c>
      <c r="G14" t="s">
        <v>89</v>
      </c>
      <c r="H14" t="s">
        <v>90</v>
      </c>
      <c r="I14" s="10">
        <v>44742</v>
      </c>
      <c r="J14" t="s">
        <v>91</v>
      </c>
      <c r="K14" t="s">
        <v>92</v>
      </c>
      <c r="L14" s="11" t="s">
        <v>93</v>
      </c>
    </row>
    <row r="15" spans="2:12" ht="409.5" x14ac:dyDescent="0.45">
      <c r="B15">
        <v>2030</v>
      </c>
      <c r="C15" t="s">
        <v>98</v>
      </c>
      <c r="D15" t="s">
        <v>87</v>
      </c>
      <c r="E15">
        <v>7.2</v>
      </c>
      <c r="F15" t="s">
        <v>88</v>
      </c>
      <c r="G15" t="s">
        <v>89</v>
      </c>
      <c r="H15" t="s">
        <v>90</v>
      </c>
      <c r="I15" s="10">
        <v>44742</v>
      </c>
      <c r="J15" t="s">
        <v>91</v>
      </c>
      <c r="K15" t="s">
        <v>92</v>
      </c>
      <c r="L15" s="11" t="s">
        <v>93</v>
      </c>
    </row>
    <row r="16" spans="2:12" x14ac:dyDescent="0.45">
      <c r="B16">
        <v>2030</v>
      </c>
      <c r="C16" t="s">
        <v>98</v>
      </c>
      <c r="D16" t="s">
        <v>87</v>
      </c>
      <c r="E16">
        <v>6.8</v>
      </c>
      <c r="F16" t="s">
        <v>88</v>
      </c>
      <c r="G16" t="s">
        <v>94</v>
      </c>
      <c r="H16" t="s">
        <v>90</v>
      </c>
      <c r="I16" s="10">
        <v>45469</v>
      </c>
      <c r="J16" t="s">
        <v>95</v>
      </c>
      <c r="K16" t="s">
        <v>92</v>
      </c>
      <c r="L16" t="s">
        <v>96</v>
      </c>
    </row>
    <row r="17" spans="2:12" ht="409.5" x14ac:dyDescent="0.45">
      <c r="B17">
        <v>2030</v>
      </c>
      <c r="C17" t="s">
        <v>99</v>
      </c>
      <c r="D17" t="s">
        <v>87</v>
      </c>
      <c r="E17">
        <v>0</v>
      </c>
      <c r="F17" t="s">
        <v>88</v>
      </c>
      <c r="G17" t="s">
        <v>89</v>
      </c>
      <c r="H17" t="s">
        <v>90</v>
      </c>
      <c r="I17" s="10">
        <v>44742</v>
      </c>
      <c r="J17" t="s">
        <v>91</v>
      </c>
      <c r="K17" t="s">
        <v>92</v>
      </c>
      <c r="L17" s="11" t="s">
        <v>93</v>
      </c>
    </row>
    <row r="18" spans="2:12" x14ac:dyDescent="0.45">
      <c r="B18">
        <v>2030</v>
      </c>
      <c r="C18" t="s">
        <v>99</v>
      </c>
      <c r="D18" t="s">
        <v>87</v>
      </c>
      <c r="E18">
        <v>1</v>
      </c>
      <c r="F18" t="s">
        <v>88</v>
      </c>
      <c r="G18" t="s">
        <v>94</v>
      </c>
      <c r="H18" t="s">
        <v>90</v>
      </c>
      <c r="I18" s="10">
        <v>45469</v>
      </c>
      <c r="J18" t="s">
        <v>95</v>
      </c>
      <c r="K18" t="s">
        <v>92</v>
      </c>
      <c r="L18" t="s">
        <v>96</v>
      </c>
    </row>
    <row r="19" spans="2:12" ht="409.5" x14ac:dyDescent="0.45">
      <c r="B19">
        <v>2030</v>
      </c>
      <c r="C19" t="s">
        <v>100</v>
      </c>
      <c r="D19" t="s">
        <v>87</v>
      </c>
      <c r="E19">
        <v>50.8</v>
      </c>
      <c r="F19" t="s">
        <v>88</v>
      </c>
      <c r="G19" t="s">
        <v>89</v>
      </c>
      <c r="H19" t="s">
        <v>90</v>
      </c>
      <c r="I19" s="10">
        <v>44742</v>
      </c>
      <c r="J19" t="s">
        <v>91</v>
      </c>
      <c r="K19" t="s">
        <v>92</v>
      </c>
      <c r="L19" s="11" t="s">
        <v>93</v>
      </c>
    </row>
    <row r="20" spans="2:12" x14ac:dyDescent="0.45">
      <c r="B20">
        <v>2030</v>
      </c>
      <c r="C20" t="s">
        <v>100</v>
      </c>
      <c r="D20" t="s">
        <v>87</v>
      </c>
      <c r="E20">
        <v>62.7</v>
      </c>
      <c r="F20" t="s">
        <v>88</v>
      </c>
      <c r="G20" t="s">
        <v>94</v>
      </c>
      <c r="H20" t="s">
        <v>90</v>
      </c>
      <c r="I20" s="10">
        <v>45469</v>
      </c>
      <c r="J20" t="s">
        <v>95</v>
      </c>
      <c r="K20" t="s">
        <v>92</v>
      </c>
      <c r="L20" t="s">
        <v>96</v>
      </c>
    </row>
    <row r="21" spans="2:12" ht="409.5" x14ac:dyDescent="0.45">
      <c r="B21">
        <v>2030</v>
      </c>
      <c r="C21" t="s">
        <v>101</v>
      </c>
      <c r="D21" t="s">
        <v>87</v>
      </c>
      <c r="E21">
        <v>18.600000000000001</v>
      </c>
      <c r="F21" t="s">
        <v>88</v>
      </c>
      <c r="G21" t="s">
        <v>89</v>
      </c>
      <c r="H21" t="s">
        <v>90</v>
      </c>
      <c r="I21" s="10">
        <v>44742</v>
      </c>
      <c r="J21" t="s">
        <v>91</v>
      </c>
      <c r="K21" t="s">
        <v>92</v>
      </c>
      <c r="L21" s="11" t="s">
        <v>93</v>
      </c>
    </row>
    <row r="22" spans="2:12" x14ac:dyDescent="0.45">
      <c r="B22">
        <v>2030</v>
      </c>
      <c r="C22" t="s">
        <v>101</v>
      </c>
      <c r="D22" t="s">
        <v>87</v>
      </c>
      <c r="E22">
        <v>29.7</v>
      </c>
      <c r="F22" t="s">
        <v>88</v>
      </c>
      <c r="G22" t="s">
        <v>94</v>
      </c>
      <c r="H22" t="s">
        <v>90</v>
      </c>
      <c r="I22" s="10">
        <v>45469</v>
      </c>
      <c r="J22" t="s">
        <v>95</v>
      </c>
      <c r="K22" t="s">
        <v>92</v>
      </c>
      <c r="L22" t="s">
        <v>96</v>
      </c>
    </row>
    <row r="23" spans="2:12" ht="409.5" x14ac:dyDescent="0.45">
      <c r="B23">
        <v>2030</v>
      </c>
      <c r="C23" t="s">
        <v>102</v>
      </c>
      <c r="D23" t="s">
        <v>87</v>
      </c>
      <c r="E23">
        <v>34.4</v>
      </c>
      <c r="F23" t="s">
        <v>88</v>
      </c>
      <c r="G23" t="s">
        <v>89</v>
      </c>
      <c r="H23" t="s">
        <v>90</v>
      </c>
      <c r="I23" s="10">
        <v>44742</v>
      </c>
      <c r="J23" t="s">
        <v>91</v>
      </c>
      <c r="K23" t="s">
        <v>92</v>
      </c>
      <c r="L23" s="11" t="s">
        <v>93</v>
      </c>
    </row>
    <row r="24" spans="2:12" x14ac:dyDescent="0.45">
      <c r="B24">
        <v>2030</v>
      </c>
      <c r="C24" t="s">
        <v>102</v>
      </c>
      <c r="D24" t="s">
        <v>87</v>
      </c>
      <c r="E24">
        <v>39.9</v>
      </c>
      <c r="F24" t="s">
        <v>88</v>
      </c>
      <c r="G24" t="s">
        <v>94</v>
      </c>
      <c r="H24" t="s">
        <v>90</v>
      </c>
      <c r="I24" s="10">
        <v>45469</v>
      </c>
      <c r="J24" t="s">
        <v>95</v>
      </c>
      <c r="K24" t="s">
        <v>92</v>
      </c>
      <c r="L24" t="s">
        <v>96</v>
      </c>
    </row>
    <row r="25" spans="2:12" ht="409.5" x14ac:dyDescent="0.45">
      <c r="B25">
        <v>2030</v>
      </c>
      <c r="C25" t="s">
        <v>86</v>
      </c>
      <c r="D25" t="s">
        <v>103</v>
      </c>
      <c r="E25">
        <v>40.700000000000003</v>
      </c>
      <c r="F25" t="s">
        <v>88</v>
      </c>
      <c r="G25" t="s">
        <v>89</v>
      </c>
      <c r="H25" t="s">
        <v>90</v>
      </c>
      <c r="I25" s="10">
        <v>44742</v>
      </c>
      <c r="J25" t="s">
        <v>91</v>
      </c>
      <c r="K25" t="s">
        <v>92</v>
      </c>
      <c r="L25" s="11" t="s">
        <v>93</v>
      </c>
    </row>
    <row r="26" spans="2:12" x14ac:dyDescent="0.45">
      <c r="B26">
        <v>2030</v>
      </c>
      <c r="C26" t="s">
        <v>86</v>
      </c>
      <c r="D26" t="s">
        <v>103</v>
      </c>
      <c r="E26">
        <v>23.9</v>
      </c>
      <c r="F26" t="s">
        <v>88</v>
      </c>
      <c r="G26" t="s">
        <v>94</v>
      </c>
      <c r="H26" t="s">
        <v>90</v>
      </c>
      <c r="I26" s="10">
        <v>45469</v>
      </c>
      <c r="J26" t="s">
        <v>95</v>
      </c>
      <c r="K26" t="s">
        <v>92</v>
      </c>
      <c r="L26" t="s">
        <v>96</v>
      </c>
    </row>
    <row r="27" spans="2:12" x14ac:dyDescent="0.45">
      <c r="B27">
        <v>2030</v>
      </c>
      <c r="C27" t="s">
        <v>97</v>
      </c>
      <c r="D27" t="s">
        <v>103</v>
      </c>
      <c r="E27">
        <v>16.100000000000001</v>
      </c>
      <c r="F27" t="s">
        <v>88</v>
      </c>
      <c r="G27" t="s">
        <v>94</v>
      </c>
      <c r="H27" t="s">
        <v>90</v>
      </c>
      <c r="I27" s="10">
        <v>45469</v>
      </c>
      <c r="J27" t="s">
        <v>95</v>
      </c>
      <c r="K27" t="s">
        <v>92</v>
      </c>
      <c r="L27" t="s">
        <v>96</v>
      </c>
    </row>
    <row r="28" spans="2:12" ht="409.5" x14ac:dyDescent="0.45">
      <c r="B28">
        <v>2030</v>
      </c>
      <c r="C28" t="s">
        <v>97</v>
      </c>
      <c r="D28" t="s">
        <v>103</v>
      </c>
      <c r="E28">
        <v>5.5</v>
      </c>
      <c r="F28" t="s">
        <v>88</v>
      </c>
      <c r="G28" t="s">
        <v>89</v>
      </c>
      <c r="H28" t="s">
        <v>90</v>
      </c>
      <c r="I28" s="10">
        <v>44742</v>
      </c>
      <c r="J28" t="s">
        <v>91</v>
      </c>
      <c r="K28" t="s">
        <v>92</v>
      </c>
      <c r="L28" s="11" t="s">
        <v>93</v>
      </c>
    </row>
    <row r="29" spans="2:12" x14ac:dyDescent="0.45">
      <c r="B29">
        <v>2030</v>
      </c>
      <c r="C29" t="s">
        <v>98</v>
      </c>
      <c r="D29" t="s">
        <v>103</v>
      </c>
      <c r="E29">
        <v>14.8</v>
      </c>
      <c r="F29" t="s">
        <v>88</v>
      </c>
      <c r="G29" t="s">
        <v>94</v>
      </c>
      <c r="H29" t="s">
        <v>90</v>
      </c>
      <c r="I29" s="10">
        <v>45469</v>
      </c>
      <c r="J29" t="s">
        <v>95</v>
      </c>
      <c r="K29" t="s">
        <v>92</v>
      </c>
      <c r="L29" t="s">
        <v>96</v>
      </c>
    </row>
    <row r="30" spans="2:12" ht="409.5" x14ac:dyDescent="0.45">
      <c r="B30">
        <v>2030</v>
      </c>
      <c r="C30" t="s">
        <v>98</v>
      </c>
      <c r="D30" t="s">
        <v>103</v>
      </c>
      <c r="E30">
        <v>15.3</v>
      </c>
      <c r="F30" t="s">
        <v>88</v>
      </c>
      <c r="G30" t="s">
        <v>89</v>
      </c>
      <c r="H30" t="s">
        <v>90</v>
      </c>
      <c r="I30" s="10">
        <v>44742</v>
      </c>
      <c r="J30" t="s">
        <v>91</v>
      </c>
      <c r="K30" t="s">
        <v>92</v>
      </c>
      <c r="L30" s="11" t="s">
        <v>93</v>
      </c>
    </row>
    <row r="31" spans="2:12" x14ac:dyDescent="0.45">
      <c r="B31">
        <v>2030</v>
      </c>
      <c r="C31" t="s">
        <v>99</v>
      </c>
      <c r="D31" t="s">
        <v>103</v>
      </c>
      <c r="E31">
        <v>3.9</v>
      </c>
      <c r="F31" t="s">
        <v>88</v>
      </c>
      <c r="G31" t="s">
        <v>94</v>
      </c>
      <c r="H31" t="s">
        <v>90</v>
      </c>
      <c r="I31" s="10">
        <v>45469</v>
      </c>
      <c r="J31" t="s">
        <v>95</v>
      </c>
      <c r="K31" t="s">
        <v>92</v>
      </c>
      <c r="L31" t="s">
        <v>96</v>
      </c>
    </row>
    <row r="32" spans="2:12" ht="409.5" x14ac:dyDescent="0.45">
      <c r="B32">
        <v>2030</v>
      </c>
      <c r="C32" t="s">
        <v>99</v>
      </c>
      <c r="D32" t="s">
        <v>103</v>
      </c>
      <c r="E32">
        <v>0</v>
      </c>
      <c r="F32" t="s">
        <v>88</v>
      </c>
      <c r="G32" t="s">
        <v>89</v>
      </c>
      <c r="H32" t="s">
        <v>90</v>
      </c>
      <c r="I32" s="10">
        <v>44742</v>
      </c>
      <c r="J32" t="s">
        <v>91</v>
      </c>
      <c r="K32" t="s">
        <v>92</v>
      </c>
      <c r="L32" s="11" t="s">
        <v>93</v>
      </c>
    </row>
    <row r="33" spans="2:12" x14ac:dyDescent="0.45">
      <c r="B33">
        <v>2030</v>
      </c>
      <c r="C33" t="s">
        <v>100</v>
      </c>
      <c r="D33" t="s">
        <v>103</v>
      </c>
      <c r="E33">
        <v>93.4</v>
      </c>
      <c r="F33" t="s">
        <v>88</v>
      </c>
      <c r="G33" t="s">
        <v>94</v>
      </c>
      <c r="H33" t="s">
        <v>90</v>
      </c>
      <c r="I33" s="10">
        <v>45469</v>
      </c>
      <c r="J33" t="s">
        <v>95</v>
      </c>
      <c r="K33" t="s">
        <v>92</v>
      </c>
      <c r="L33" t="s">
        <v>96</v>
      </c>
    </row>
    <row r="34" spans="2:12" ht="409.5" x14ac:dyDescent="0.45">
      <c r="B34">
        <v>2030</v>
      </c>
      <c r="C34" t="s">
        <v>100</v>
      </c>
      <c r="D34" t="s">
        <v>103</v>
      </c>
      <c r="E34">
        <v>77</v>
      </c>
      <c r="F34" t="s">
        <v>88</v>
      </c>
      <c r="G34" t="s">
        <v>89</v>
      </c>
      <c r="H34" t="s">
        <v>90</v>
      </c>
      <c r="I34" s="10">
        <v>44742</v>
      </c>
      <c r="J34" t="s">
        <v>91</v>
      </c>
      <c r="K34" t="s">
        <v>92</v>
      </c>
      <c r="L34" s="11" t="s">
        <v>93</v>
      </c>
    </row>
    <row r="35" spans="2:12" x14ac:dyDescent="0.45">
      <c r="B35">
        <v>2030</v>
      </c>
      <c r="C35" t="s">
        <v>101</v>
      </c>
      <c r="D35" t="s">
        <v>103</v>
      </c>
      <c r="E35">
        <v>31.3</v>
      </c>
      <c r="F35" t="s">
        <v>88</v>
      </c>
      <c r="G35" t="s">
        <v>94</v>
      </c>
      <c r="H35" t="s">
        <v>90</v>
      </c>
      <c r="I35" s="10">
        <v>45469</v>
      </c>
      <c r="J35" t="s">
        <v>95</v>
      </c>
      <c r="K35" t="s">
        <v>92</v>
      </c>
      <c r="L35" t="s">
        <v>96</v>
      </c>
    </row>
    <row r="36" spans="2:12" ht="409.5" x14ac:dyDescent="0.45">
      <c r="B36">
        <v>2030</v>
      </c>
      <c r="C36" t="s">
        <v>101</v>
      </c>
      <c r="D36" t="s">
        <v>103</v>
      </c>
      <c r="E36">
        <v>21.1</v>
      </c>
      <c r="F36" t="s">
        <v>88</v>
      </c>
      <c r="G36" t="s">
        <v>89</v>
      </c>
      <c r="H36" t="s">
        <v>90</v>
      </c>
      <c r="I36" s="10">
        <v>44742</v>
      </c>
      <c r="J36" t="s">
        <v>91</v>
      </c>
      <c r="K36" t="s">
        <v>92</v>
      </c>
      <c r="L36" s="11" t="s">
        <v>93</v>
      </c>
    </row>
    <row r="37" spans="2:12" x14ac:dyDescent="0.45">
      <c r="B37">
        <v>2030</v>
      </c>
      <c r="C37" t="s">
        <v>102</v>
      </c>
      <c r="D37" t="s">
        <v>103</v>
      </c>
      <c r="E37">
        <v>114</v>
      </c>
      <c r="F37" t="s">
        <v>88</v>
      </c>
      <c r="G37" t="s">
        <v>94</v>
      </c>
      <c r="H37" t="s">
        <v>90</v>
      </c>
      <c r="I37" s="10">
        <v>45469</v>
      </c>
      <c r="J37" t="s">
        <v>95</v>
      </c>
      <c r="K37" t="s">
        <v>92</v>
      </c>
      <c r="L37" t="s">
        <v>96</v>
      </c>
    </row>
    <row r="38" spans="2:12" ht="409.5" x14ac:dyDescent="0.45">
      <c r="B38">
        <v>2030</v>
      </c>
      <c r="C38" t="s">
        <v>102</v>
      </c>
      <c r="D38" t="s">
        <v>103</v>
      </c>
      <c r="E38">
        <v>106.5</v>
      </c>
      <c r="F38" t="s">
        <v>88</v>
      </c>
      <c r="G38" t="s">
        <v>89</v>
      </c>
      <c r="H38" t="s">
        <v>90</v>
      </c>
      <c r="I38" s="10">
        <v>44742</v>
      </c>
      <c r="J38" t="s">
        <v>91</v>
      </c>
      <c r="K38" t="s">
        <v>92</v>
      </c>
      <c r="L38" s="11" t="s">
        <v>93</v>
      </c>
    </row>
    <row r="39" spans="2:12" ht="409.5" x14ac:dyDescent="0.45">
      <c r="B39">
        <v>2030</v>
      </c>
      <c r="C39" t="s">
        <v>86</v>
      </c>
      <c r="D39" t="s">
        <v>104</v>
      </c>
      <c r="E39">
        <v>16.600000000000001</v>
      </c>
      <c r="F39" t="s">
        <v>88</v>
      </c>
      <c r="G39" t="s">
        <v>89</v>
      </c>
      <c r="H39" t="s">
        <v>90</v>
      </c>
      <c r="I39" s="10">
        <v>44742</v>
      </c>
      <c r="J39" t="s">
        <v>91</v>
      </c>
      <c r="K39" t="s">
        <v>92</v>
      </c>
      <c r="L39" s="11" t="s">
        <v>93</v>
      </c>
    </row>
    <row r="40" spans="2:12" x14ac:dyDescent="0.45">
      <c r="B40">
        <v>2030</v>
      </c>
      <c r="C40" t="s">
        <v>86</v>
      </c>
      <c r="D40" t="s">
        <v>104</v>
      </c>
      <c r="E40">
        <v>8.9</v>
      </c>
      <c r="F40" t="s">
        <v>88</v>
      </c>
      <c r="G40" t="s">
        <v>94</v>
      </c>
      <c r="H40" t="s">
        <v>90</v>
      </c>
      <c r="I40" s="10">
        <v>45469</v>
      </c>
      <c r="J40" t="s">
        <v>95</v>
      </c>
      <c r="K40" t="s">
        <v>92</v>
      </c>
      <c r="L40" t="s">
        <v>96</v>
      </c>
    </row>
    <row r="41" spans="2:12" ht="409.5" x14ac:dyDescent="0.45">
      <c r="B41">
        <v>2030</v>
      </c>
      <c r="C41" t="s">
        <v>97</v>
      </c>
      <c r="D41" t="s">
        <v>104</v>
      </c>
      <c r="E41">
        <v>2.2000000000000002</v>
      </c>
      <c r="F41" t="s">
        <v>88</v>
      </c>
      <c r="G41" t="s">
        <v>89</v>
      </c>
      <c r="H41" t="s">
        <v>90</v>
      </c>
      <c r="I41" s="10">
        <v>44742</v>
      </c>
      <c r="J41" t="s">
        <v>91</v>
      </c>
      <c r="K41" t="s">
        <v>92</v>
      </c>
      <c r="L41" s="11" t="s">
        <v>93</v>
      </c>
    </row>
    <row r="42" spans="2:12" x14ac:dyDescent="0.45">
      <c r="B42">
        <v>2030</v>
      </c>
      <c r="C42" t="s">
        <v>97</v>
      </c>
      <c r="D42" t="s">
        <v>104</v>
      </c>
      <c r="E42">
        <v>6</v>
      </c>
      <c r="F42" t="s">
        <v>88</v>
      </c>
      <c r="G42" t="s">
        <v>94</v>
      </c>
      <c r="H42" t="s">
        <v>90</v>
      </c>
      <c r="I42" s="10">
        <v>45469</v>
      </c>
      <c r="J42" t="s">
        <v>95</v>
      </c>
      <c r="K42" t="s">
        <v>92</v>
      </c>
      <c r="L42" t="s">
        <v>96</v>
      </c>
    </row>
    <row r="43" spans="2:12" ht="409.5" x14ac:dyDescent="0.45">
      <c r="B43">
        <v>2030</v>
      </c>
      <c r="C43" t="s">
        <v>98</v>
      </c>
      <c r="D43" t="s">
        <v>104</v>
      </c>
      <c r="E43">
        <v>6.2</v>
      </c>
      <c r="F43" t="s">
        <v>88</v>
      </c>
      <c r="G43" t="s">
        <v>89</v>
      </c>
      <c r="H43" t="s">
        <v>90</v>
      </c>
      <c r="I43" s="10">
        <v>44742</v>
      </c>
      <c r="J43" t="s">
        <v>91</v>
      </c>
      <c r="K43" t="s">
        <v>92</v>
      </c>
      <c r="L43" s="11" t="s">
        <v>93</v>
      </c>
    </row>
    <row r="44" spans="2:12" x14ac:dyDescent="0.45">
      <c r="B44">
        <v>2030</v>
      </c>
      <c r="C44" t="s">
        <v>98</v>
      </c>
      <c r="D44" t="s">
        <v>104</v>
      </c>
      <c r="E44">
        <v>5.5</v>
      </c>
      <c r="F44" t="s">
        <v>88</v>
      </c>
      <c r="G44" t="s">
        <v>94</v>
      </c>
      <c r="H44" t="s">
        <v>90</v>
      </c>
      <c r="I44" s="10">
        <v>45469</v>
      </c>
      <c r="J44" t="s">
        <v>95</v>
      </c>
      <c r="K44" t="s">
        <v>92</v>
      </c>
      <c r="L44" t="s">
        <v>96</v>
      </c>
    </row>
    <row r="45" spans="2:12" ht="409.5" x14ac:dyDescent="0.45">
      <c r="B45">
        <v>2030</v>
      </c>
      <c r="C45" t="s">
        <v>99</v>
      </c>
      <c r="D45" t="s">
        <v>104</v>
      </c>
      <c r="E45">
        <v>0</v>
      </c>
      <c r="F45" t="s">
        <v>88</v>
      </c>
      <c r="G45" t="s">
        <v>89</v>
      </c>
      <c r="H45" t="s">
        <v>90</v>
      </c>
      <c r="I45" s="10">
        <v>44742</v>
      </c>
      <c r="J45" t="s">
        <v>91</v>
      </c>
      <c r="K45" t="s">
        <v>92</v>
      </c>
      <c r="L45" s="11" t="s">
        <v>93</v>
      </c>
    </row>
    <row r="46" spans="2:12" x14ac:dyDescent="0.45">
      <c r="B46">
        <v>2030</v>
      </c>
      <c r="C46" t="s">
        <v>99</v>
      </c>
      <c r="D46" t="s">
        <v>104</v>
      </c>
      <c r="E46">
        <v>1.4</v>
      </c>
      <c r="F46" t="s">
        <v>88</v>
      </c>
      <c r="G46" t="s">
        <v>94</v>
      </c>
      <c r="H46" t="s">
        <v>90</v>
      </c>
      <c r="I46" s="10">
        <v>45469</v>
      </c>
      <c r="J46" t="s">
        <v>95</v>
      </c>
      <c r="K46" t="s">
        <v>92</v>
      </c>
      <c r="L46" t="s">
        <v>96</v>
      </c>
    </row>
    <row r="47" spans="2:12" x14ac:dyDescent="0.45">
      <c r="B47">
        <v>2030</v>
      </c>
      <c r="C47" t="s">
        <v>105</v>
      </c>
      <c r="D47" t="s">
        <v>104</v>
      </c>
      <c r="E47">
        <v>1.1000000000000001</v>
      </c>
      <c r="F47" t="s">
        <v>88</v>
      </c>
      <c r="G47" t="s">
        <v>94</v>
      </c>
      <c r="H47" t="s">
        <v>90</v>
      </c>
      <c r="I47" s="10">
        <v>45469</v>
      </c>
      <c r="J47" t="s">
        <v>95</v>
      </c>
      <c r="K47" t="s">
        <v>92</v>
      </c>
      <c r="L47" t="s">
        <v>96</v>
      </c>
    </row>
    <row r="48" spans="2:12" ht="409.5" x14ac:dyDescent="0.45">
      <c r="B48">
        <v>2030</v>
      </c>
      <c r="C48" t="s">
        <v>100</v>
      </c>
      <c r="D48" t="s">
        <v>104</v>
      </c>
      <c r="E48">
        <v>31.4</v>
      </c>
      <c r="F48" t="s">
        <v>88</v>
      </c>
      <c r="G48" t="s">
        <v>89</v>
      </c>
      <c r="H48" t="s">
        <v>90</v>
      </c>
      <c r="I48" s="10">
        <v>44742</v>
      </c>
      <c r="J48" t="s">
        <v>91</v>
      </c>
      <c r="K48" t="s">
        <v>92</v>
      </c>
      <c r="L48" s="11" t="s">
        <v>93</v>
      </c>
    </row>
    <row r="49" spans="2:12" x14ac:dyDescent="0.45">
      <c r="B49">
        <v>2030</v>
      </c>
      <c r="C49" t="s">
        <v>100</v>
      </c>
      <c r="D49" t="s">
        <v>104</v>
      </c>
      <c r="E49">
        <v>34.700000000000003</v>
      </c>
      <c r="F49" t="s">
        <v>88</v>
      </c>
      <c r="G49" t="s">
        <v>94</v>
      </c>
      <c r="H49" t="s">
        <v>90</v>
      </c>
      <c r="I49" s="10">
        <v>45469</v>
      </c>
      <c r="J49" t="s">
        <v>95</v>
      </c>
      <c r="K49" t="s">
        <v>92</v>
      </c>
      <c r="L49" t="s">
        <v>96</v>
      </c>
    </row>
    <row r="50" spans="2:12" ht="409.5" x14ac:dyDescent="0.45">
      <c r="B50">
        <v>2030</v>
      </c>
      <c r="C50" t="s">
        <v>102</v>
      </c>
      <c r="D50" t="s">
        <v>104</v>
      </c>
      <c r="E50">
        <v>43.5</v>
      </c>
      <c r="F50" t="s">
        <v>88</v>
      </c>
      <c r="G50" t="s">
        <v>89</v>
      </c>
      <c r="H50" t="s">
        <v>90</v>
      </c>
      <c r="I50" s="10">
        <v>44742</v>
      </c>
      <c r="J50" t="s">
        <v>91</v>
      </c>
      <c r="K50" t="s">
        <v>92</v>
      </c>
      <c r="L50" s="11" t="s">
        <v>93</v>
      </c>
    </row>
    <row r="51" spans="2:12" x14ac:dyDescent="0.45">
      <c r="B51">
        <v>2030</v>
      </c>
      <c r="C51" t="s">
        <v>102</v>
      </c>
      <c r="D51" t="s">
        <v>104</v>
      </c>
      <c r="E51">
        <v>42.4</v>
      </c>
      <c r="F51" t="s">
        <v>88</v>
      </c>
      <c r="G51" t="s">
        <v>94</v>
      </c>
      <c r="H51" t="s">
        <v>90</v>
      </c>
      <c r="I51" s="10">
        <v>45469</v>
      </c>
      <c r="J51" t="s">
        <v>95</v>
      </c>
      <c r="K51" t="s">
        <v>92</v>
      </c>
      <c r="L5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E15"/>
  <sheetViews>
    <sheetView topLeftCell="F1" workbookViewId="0">
      <selection activeCell="P9" sqref="P9"/>
    </sheetView>
  </sheetViews>
  <sheetFormatPr defaultRowHeight="14.25" x14ac:dyDescent="0.45"/>
  <cols>
    <col min="2" max="2" width="10.9296875" bestFit="1" customWidth="1"/>
    <col min="3" max="3" width="17.0664062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2" max="12" width="4.19921875" bestFit="1" customWidth="1"/>
    <col min="13" max="13" width="4.73046875" bestFit="1" customWidth="1"/>
    <col min="14" max="14" width="32.19921875" bestFit="1" customWidth="1"/>
    <col min="15" max="15" width="21.265625" bestFit="1" customWidth="1"/>
    <col min="16" max="16" width="18.46484375" bestFit="1" customWidth="1"/>
    <col min="17" max="17" width="7" bestFit="1" customWidth="1"/>
    <col min="18" max="18" width="7.1328125" bestFit="1" customWidth="1"/>
    <col min="19" max="20" width="4.73046875" bestFit="1" customWidth="1"/>
    <col min="21" max="21" width="9.19921875" bestFit="1" customWidth="1"/>
    <col min="22" max="22" width="11.19921875" bestFit="1" customWidth="1"/>
    <col min="25" max="25" width="23.73046875" bestFit="1" customWidth="1"/>
    <col min="26" max="26" width="6.33203125" bestFit="1" customWidth="1"/>
    <col min="27" max="27" width="7" bestFit="1" customWidth="1"/>
    <col min="28" max="28" width="7.86328125" bestFit="1" customWidth="1"/>
    <col min="29" max="29" width="5.265625" bestFit="1" customWidth="1"/>
    <col min="30" max="30" width="9.19921875" bestFit="1" customWidth="1"/>
    <col min="31" max="31" width="11.19921875" bestFit="1" customWidth="1"/>
  </cols>
  <sheetData>
    <row r="1" spans="6:31" x14ac:dyDescent="0.45">
      <c r="U1">
        <v>1.5</v>
      </c>
      <c r="W1">
        <v>0.2</v>
      </c>
    </row>
    <row r="2" spans="6:31" x14ac:dyDescent="0.45"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spans="6:31" x14ac:dyDescent="0.45">
      <c r="F3" t="s">
        <v>40</v>
      </c>
      <c r="G3" s="3">
        <v>0.15745551881593453</v>
      </c>
      <c r="H3" s="3">
        <v>0.58164818438791044</v>
      </c>
      <c r="I3" s="3">
        <v>0.26702402223545763</v>
      </c>
      <c r="J3" s="3">
        <v>0.66835354681092407</v>
      </c>
      <c r="O3" t="s">
        <v>0</v>
      </c>
    </row>
    <row r="4" spans="6:31" x14ac:dyDescent="0.45">
      <c r="F4" t="s">
        <v>3</v>
      </c>
      <c r="G4" s="3">
        <v>0.59971050320900099</v>
      </c>
      <c r="H4" s="3">
        <v>0.74153605660454969</v>
      </c>
      <c r="I4" s="3">
        <v>0.59625945156583871</v>
      </c>
      <c r="J4" s="3">
        <v>0.77481217479027298</v>
      </c>
    </row>
    <row r="5" spans="6:31" x14ac:dyDescent="0.45">
      <c r="F5" t="s">
        <v>5</v>
      </c>
      <c r="G5" s="3">
        <v>0.213050557961525</v>
      </c>
      <c r="H5" s="3">
        <v>0.47808609452445072</v>
      </c>
      <c r="I5" s="3">
        <v>0.22489342925425831</v>
      </c>
      <c r="J5" s="3">
        <v>0.4361929333720449</v>
      </c>
    </row>
    <row r="6" spans="6:31" x14ac:dyDescent="0.45">
      <c r="F6" t="s">
        <v>72</v>
      </c>
      <c r="G6" s="3"/>
      <c r="H6" s="3"/>
      <c r="I6" s="3">
        <v>5.7077625570776253E-2</v>
      </c>
      <c r="J6" s="3">
        <v>1.1415525114155252</v>
      </c>
      <c r="N6" t="s">
        <v>68</v>
      </c>
      <c r="Y6" t="s">
        <v>7</v>
      </c>
    </row>
    <row r="7" spans="6:31" x14ac:dyDescent="0.45">
      <c r="F7" t="s">
        <v>4</v>
      </c>
      <c r="G7" s="3">
        <v>0.18087333357817034</v>
      </c>
      <c r="H7" s="3">
        <v>0.29946625534050708</v>
      </c>
      <c r="I7" s="3">
        <v>0.16381437260296053</v>
      </c>
      <c r="J7" s="3">
        <v>0.25424421246264522</v>
      </c>
      <c r="N7" t="s">
        <v>9</v>
      </c>
      <c r="O7" t="s">
        <v>1</v>
      </c>
      <c r="P7" t="s">
        <v>10</v>
      </c>
      <c r="Q7" t="s">
        <v>11</v>
      </c>
      <c r="R7" t="s">
        <v>14</v>
      </c>
      <c r="S7">
        <v>2022</v>
      </c>
      <c r="T7">
        <v>2030</v>
      </c>
      <c r="U7" t="s">
        <v>12</v>
      </c>
      <c r="V7" t="s">
        <v>13</v>
      </c>
      <c r="Y7" t="s">
        <v>9</v>
      </c>
      <c r="Z7" t="s">
        <v>1</v>
      </c>
      <c r="AA7" t="s">
        <v>11</v>
      </c>
      <c r="AB7" t="s">
        <v>14</v>
      </c>
      <c r="AC7">
        <v>2050</v>
      </c>
      <c r="AD7" t="s">
        <v>12</v>
      </c>
      <c r="AE7" t="s">
        <v>13</v>
      </c>
    </row>
    <row r="8" spans="6:31" x14ac:dyDescent="0.45">
      <c r="F8" t="s">
        <v>15</v>
      </c>
      <c r="G8" s="3"/>
      <c r="H8" s="3"/>
      <c r="I8" s="3"/>
      <c r="J8" s="3"/>
      <c r="N8" t="s">
        <v>16</v>
      </c>
      <c r="O8" t="s">
        <v>3</v>
      </c>
      <c r="P8" s="1" t="s">
        <v>71</v>
      </c>
      <c r="Q8" s="2">
        <f>-1/8.76</f>
        <v>-0.11415525114155252</v>
      </c>
      <c r="S8" s="2">
        <f>VLOOKUP(O8,$F$3:$J$11,3,FALSE)</f>
        <v>0.74153605660454969</v>
      </c>
      <c r="T8" s="2">
        <f>MIN(S8*$U$1,0.95)</f>
        <v>0.95</v>
      </c>
      <c r="U8">
        <v>0</v>
      </c>
      <c r="V8">
        <v>3</v>
      </c>
      <c r="Y8" t="s">
        <v>17</v>
      </c>
      <c r="Z8" t="s">
        <v>3</v>
      </c>
      <c r="AA8">
        <f>-1/8.76</f>
        <v>-0.11415525114155252</v>
      </c>
      <c r="AB8" s="2">
        <f>VLOOKUP(Z8,$F$3:$J$11,2,FALSE)</f>
        <v>0.59971050320900099</v>
      </c>
      <c r="AC8">
        <f>AB8*$W$1</f>
        <v>0.11994210064180021</v>
      </c>
      <c r="AD8">
        <v>0</v>
      </c>
      <c r="AE8">
        <v>3</v>
      </c>
    </row>
    <row r="9" spans="6:31" x14ac:dyDescent="0.45">
      <c r="F9" t="s">
        <v>18</v>
      </c>
      <c r="G9" s="3">
        <v>0.13426550263799181</v>
      </c>
      <c r="H9" s="3">
        <v>0.60918362992361197</v>
      </c>
      <c r="I9" s="3">
        <v>4.7438380628122452E-2</v>
      </c>
      <c r="J9" s="3">
        <v>0.23039520145382605</v>
      </c>
      <c r="N9" t="s">
        <v>19</v>
      </c>
      <c r="O9" t="s">
        <v>5</v>
      </c>
      <c r="P9" s="1" t="str">
        <f>P8</f>
        <v>-CO2Captured,-co2[_]*</v>
      </c>
      <c r="Q9" s="2">
        <f>-1/8.76</f>
        <v>-0.11415525114155252</v>
      </c>
      <c r="S9" s="2">
        <f>VLOOKUP(O9,$F$3:$J$11,3,FALSE)</f>
        <v>0.47808609452445072</v>
      </c>
      <c r="T9" s="2">
        <f>MIN(S9*$U$1,0.95)</f>
        <v>0.71712914178667608</v>
      </c>
      <c r="U9">
        <v>0</v>
      </c>
      <c r="V9">
        <v>3</v>
      </c>
      <c r="Y9" t="s">
        <v>20</v>
      </c>
      <c r="Z9" t="s">
        <v>5</v>
      </c>
      <c r="AA9">
        <f>-1/8.76</f>
        <v>-0.11415525114155252</v>
      </c>
      <c r="AB9" s="2">
        <f>VLOOKUP(Z9,$F$3:$J$11,2,FALSE)</f>
        <v>0.213050557961525</v>
      </c>
      <c r="AC9">
        <f>AB9*$W$1</f>
        <v>4.2610111592305003E-2</v>
      </c>
      <c r="AD9">
        <v>0</v>
      </c>
      <c r="AE9">
        <v>3</v>
      </c>
    </row>
    <row r="10" spans="6:31" ht="14.65" customHeight="1" x14ac:dyDescent="0.45">
      <c r="F10" t="s">
        <v>6</v>
      </c>
      <c r="G10" s="3">
        <v>0.10031825100318251</v>
      </c>
      <c r="H10" s="3">
        <v>0.22831050228310504</v>
      </c>
      <c r="I10" s="3">
        <v>4.070246809721717E-2</v>
      </c>
      <c r="J10" s="3">
        <v>0.17351598173515981</v>
      </c>
      <c r="N10" t="s">
        <v>19</v>
      </c>
      <c r="O10" t="s">
        <v>15</v>
      </c>
      <c r="P10" s="1" t="str">
        <f>P9</f>
        <v>-CO2Captured,-co2[_]*</v>
      </c>
      <c r="Q10" s="2">
        <f>-1/8.76</f>
        <v>-0.11415525114155252</v>
      </c>
      <c r="S10" s="2">
        <f>VLOOKUP(O10,$F$3:$J$11,3,FALSE)</f>
        <v>0</v>
      </c>
      <c r="T10" s="2">
        <f>MIN(S10*$U$1,0.95)</f>
        <v>0</v>
      </c>
      <c r="U10">
        <v>0</v>
      </c>
      <c r="V10">
        <v>3</v>
      </c>
      <c r="Y10" t="s">
        <v>66</v>
      </c>
      <c r="Z10" t="s">
        <v>18</v>
      </c>
      <c r="AA10">
        <f>-1/8.76</f>
        <v>-0.11415525114155252</v>
      </c>
      <c r="AB10" s="2">
        <f>VLOOKUP(Z10,$F$3:$J$11,2,FALSE)</f>
        <v>0.13426550263799181</v>
      </c>
      <c r="AC10" s="9">
        <f>AB10*$W$1</f>
        <v>2.6853100527598362E-2</v>
      </c>
      <c r="AD10">
        <v>0</v>
      </c>
      <c r="AE10">
        <v>3</v>
      </c>
    </row>
    <row r="11" spans="6:31" ht="14.65" customHeight="1" x14ac:dyDescent="0.45">
      <c r="F11" t="s">
        <v>73</v>
      </c>
      <c r="G11" s="3">
        <v>0.20054300876218684</v>
      </c>
      <c r="H11" s="3">
        <v>0.55002075550020757</v>
      </c>
      <c r="I11" s="3">
        <v>0.13652350981118105</v>
      </c>
      <c r="J11" s="3">
        <v>0.4223744292237443</v>
      </c>
    </row>
    <row r="13" spans="6:31" x14ac:dyDescent="0.45">
      <c r="N13" t="s">
        <v>65</v>
      </c>
    </row>
    <row r="14" spans="6:31" x14ac:dyDescent="0.45">
      <c r="N14" t="s">
        <v>9</v>
      </c>
      <c r="O14" t="s">
        <v>1</v>
      </c>
      <c r="P14" t="s">
        <v>10</v>
      </c>
      <c r="Q14" t="s">
        <v>11</v>
      </c>
      <c r="R14" t="s">
        <v>14</v>
      </c>
      <c r="S14">
        <v>2022</v>
      </c>
      <c r="T14">
        <v>2050</v>
      </c>
      <c r="U14" t="s">
        <v>12</v>
      </c>
      <c r="V14" t="s">
        <v>13</v>
      </c>
    </row>
    <row r="15" spans="6:31" x14ac:dyDescent="0.45">
      <c r="N15" t="s">
        <v>49</v>
      </c>
      <c r="O15" t="s">
        <v>15</v>
      </c>
      <c r="R15">
        <v>1</v>
      </c>
      <c r="U15">
        <f>SUMIFS(historical_data_long!$D$3:$D$626,historical_data_long!$A$3:$A$626,Veda!$O15,historical_data_long!$C$3:$C$626,"GW",historical_data_long!$B$3:$B$626,2022)*X15</f>
        <v>0</v>
      </c>
      <c r="V15">
        <v>3</v>
      </c>
      <c r="X15" s="8">
        <v>2.5</v>
      </c>
      <c r="Y15" s="7" t="s">
        <v>70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/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106</v>
      </c>
    </row>
    <row r="10" spans="2:10" x14ac:dyDescent="0.45">
      <c r="B10" t="s">
        <v>107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2:10" x14ac:dyDescent="0.45">
      <c r="B11" t="s">
        <v>108</v>
      </c>
      <c r="C11">
        <v>20</v>
      </c>
      <c r="D11">
        <v>35</v>
      </c>
      <c r="E11">
        <v>12</v>
      </c>
      <c r="F11">
        <v>20</v>
      </c>
      <c r="G11">
        <v>0.2</v>
      </c>
      <c r="H11">
        <v>0.5</v>
      </c>
      <c r="I11">
        <v>0</v>
      </c>
      <c r="J11">
        <v>1</v>
      </c>
    </row>
    <row r="14" spans="2:10" x14ac:dyDescent="0.45">
      <c r="B14" t="s">
        <v>0</v>
      </c>
    </row>
    <row r="18" spans="1:8" ht="14.65" thickBot="1" x14ac:dyDescent="0.5">
      <c r="B18" s="6" t="s">
        <v>64</v>
      </c>
    </row>
    <row r="19" spans="1:8" ht="15" thickTop="1" thickBot="1" x14ac:dyDescent="0.5">
      <c r="A19" s="5" t="s">
        <v>33</v>
      </c>
      <c r="B19" s="5" t="s">
        <v>60</v>
      </c>
      <c r="C19" s="5" t="s">
        <v>1</v>
      </c>
      <c r="D19" s="5" t="s">
        <v>61</v>
      </c>
      <c r="E19" s="5" t="s">
        <v>62</v>
      </c>
      <c r="F19" s="5">
        <v>2025</v>
      </c>
      <c r="G19" s="5">
        <v>2040</v>
      </c>
      <c r="H19" s="5">
        <v>0</v>
      </c>
    </row>
    <row r="20" spans="1:8" x14ac:dyDescent="0.45">
      <c r="A20" t="s">
        <v>6</v>
      </c>
      <c r="B20" t="str">
        <f>"uce_buildrate_"&amp;A20</f>
        <v>uce_buildrate_solar</v>
      </c>
      <c r="C20" t="str">
        <f>A20</f>
        <v>solar</v>
      </c>
      <c r="D20" t="s">
        <v>63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8</v>
      </c>
      <c r="B21" t="str">
        <f t="shared" ref="B21:B23" si="0">"uce_buildrate_"&amp;A21</f>
        <v>uce_buildrate_wind</v>
      </c>
      <c r="C21" t="str">
        <f>A21&amp;"*"</f>
        <v>wind*</v>
      </c>
      <c r="D21" t="s">
        <v>63</v>
      </c>
      <c r="E21">
        <v>1</v>
      </c>
      <c r="F21">
        <f>E11</f>
        <v>12</v>
      </c>
      <c r="G21">
        <f>F11</f>
        <v>20</v>
      </c>
      <c r="H21">
        <v>4</v>
      </c>
    </row>
    <row r="22" spans="1:8" x14ac:dyDescent="0.45">
      <c r="A22" t="s">
        <v>4</v>
      </c>
      <c r="B22" t="str">
        <f t="shared" si="0"/>
        <v>uce_buildrate_hydro</v>
      </c>
      <c r="C22" t="str">
        <f t="shared" ref="C22:C23" si="1">A22</f>
        <v>hydro</v>
      </c>
      <c r="D22" t="s">
        <v>63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15</v>
      </c>
      <c r="B23" t="str">
        <f t="shared" si="0"/>
        <v>uce_buildrate_nuclear</v>
      </c>
      <c r="C23" t="str">
        <f t="shared" si="1"/>
        <v>nuclear</v>
      </c>
      <c r="D23" t="s">
        <v>63</v>
      </c>
      <c r="E23">
        <v>1</v>
      </c>
      <c r="F23">
        <f>I11</f>
        <v>0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8"/>
  <sheetViews>
    <sheetView workbookViewId="0">
      <selection sqref="A1:D728"/>
    </sheetView>
  </sheetViews>
  <sheetFormatPr defaultRowHeight="14.25" x14ac:dyDescent="0.45"/>
  <sheetData>
    <row r="1" spans="1:4" x14ac:dyDescent="0.45">
      <c r="A1" t="s">
        <v>35</v>
      </c>
      <c r="B1" t="s">
        <v>41</v>
      </c>
      <c r="C1" t="s">
        <v>42</v>
      </c>
      <c r="D1" t="s">
        <v>43</v>
      </c>
    </row>
    <row r="2" spans="1:4" x14ac:dyDescent="0.45">
      <c r="A2" t="s">
        <v>3</v>
      </c>
      <c r="B2">
        <v>2000</v>
      </c>
      <c r="C2" t="s">
        <v>44</v>
      </c>
      <c r="D2">
        <v>180.26</v>
      </c>
    </row>
    <row r="3" spans="1:4" x14ac:dyDescent="0.45">
      <c r="A3" t="s">
        <v>5</v>
      </c>
      <c r="B3">
        <v>2000</v>
      </c>
      <c r="C3" t="s">
        <v>44</v>
      </c>
      <c r="D3">
        <v>16.760000000000002</v>
      </c>
    </row>
    <row r="4" spans="1:4" x14ac:dyDescent="0.45">
      <c r="A4" t="s">
        <v>4</v>
      </c>
      <c r="B4">
        <v>2000</v>
      </c>
      <c r="C4" t="s">
        <v>44</v>
      </c>
      <c r="D4">
        <v>16.47</v>
      </c>
    </row>
    <row r="5" spans="1:4" x14ac:dyDescent="0.45">
      <c r="A5" t="s">
        <v>18</v>
      </c>
      <c r="B5">
        <v>2000</v>
      </c>
      <c r="C5" t="s">
        <v>44</v>
      </c>
      <c r="D5">
        <v>2.27</v>
      </c>
    </row>
    <row r="6" spans="1:4" x14ac:dyDescent="0.45">
      <c r="A6" t="s">
        <v>3</v>
      </c>
      <c r="B6">
        <v>2001</v>
      </c>
      <c r="C6" t="s">
        <v>44</v>
      </c>
      <c r="D6">
        <v>179.88</v>
      </c>
    </row>
    <row r="7" spans="1:4" x14ac:dyDescent="0.45">
      <c r="A7" t="s">
        <v>5</v>
      </c>
      <c r="B7">
        <v>2001</v>
      </c>
      <c r="C7" t="s">
        <v>44</v>
      </c>
      <c r="D7">
        <v>24.5</v>
      </c>
    </row>
    <row r="8" spans="1:4" x14ac:dyDescent="0.45">
      <c r="A8" t="s">
        <v>4</v>
      </c>
      <c r="B8">
        <v>2001</v>
      </c>
      <c r="C8" t="s">
        <v>44</v>
      </c>
      <c r="D8">
        <v>16.12</v>
      </c>
    </row>
    <row r="9" spans="1:4" x14ac:dyDescent="0.45">
      <c r="A9" t="s">
        <v>18</v>
      </c>
      <c r="B9">
        <v>2001</v>
      </c>
      <c r="C9" t="s">
        <v>44</v>
      </c>
      <c r="D9">
        <v>2.62</v>
      </c>
    </row>
    <row r="10" spans="1:4" x14ac:dyDescent="0.45">
      <c r="A10" t="s">
        <v>3</v>
      </c>
      <c r="B10">
        <v>2002</v>
      </c>
      <c r="C10" t="s">
        <v>44</v>
      </c>
      <c r="D10">
        <v>171.86</v>
      </c>
    </row>
    <row r="11" spans="1:4" x14ac:dyDescent="0.45">
      <c r="A11" t="s">
        <v>5</v>
      </c>
      <c r="B11">
        <v>2002</v>
      </c>
      <c r="C11" t="s">
        <v>44</v>
      </c>
      <c r="D11">
        <v>30.55</v>
      </c>
    </row>
    <row r="12" spans="1:4" x14ac:dyDescent="0.45">
      <c r="A12" t="s">
        <v>4</v>
      </c>
      <c r="B12">
        <v>2002</v>
      </c>
      <c r="C12" t="s">
        <v>44</v>
      </c>
      <c r="D12">
        <v>16.09</v>
      </c>
    </row>
    <row r="13" spans="1:4" x14ac:dyDescent="0.45">
      <c r="A13" t="s">
        <v>18</v>
      </c>
      <c r="B13">
        <v>2002</v>
      </c>
      <c r="C13" t="s">
        <v>44</v>
      </c>
      <c r="D13">
        <v>3.13</v>
      </c>
    </row>
    <row r="14" spans="1:4" x14ac:dyDescent="0.45">
      <c r="A14" t="s">
        <v>3</v>
      </c>
      <c r="B14">
        <v>2003</v>
      </c>
      <c r="C14" t="s">
        <v>44</v>
      </c>
      <c r="D14">
        <v>173.61</v>
      </c>
    </row>
    <row r="15" spans="1:4" x14ac:dyDescent="0.45">
      <c r="A15" t="s">
        <v>5</v>
      </c>
      <c r="B15">
        <v>2003</v>
      </c>
      <c r="C15" t="s">
        <v>44</v>
      </c>
      <c r="D15">
        <v>30.15</v>
      </c>
    </row>
    <row r="16" spans="1:4" x14ac:dyDescent="0.45">
      <c r="A16" t="s">
        <v>4</v>
      </c>
      <c r="B16">
        <v>2003</v>
      </c>
      <c r="C16" t="s">
        <v>44</v>
      </c>
      <c r="D16">
        <v>16.21</v>
      </c>
    </row>
    <row r="17" spans="1:4" x14ac:dyDescent="0.45">
      <c r="A17" t="s">
        <v>18</v>
      </c>
      <c r="B17">
        <v>2003</v>
      </c>
      <c r="C17" t="s">
        <v>44</v>
      </c>
      <c r="D17">
        <v>3.53</v>
      </c>
    </row>
    <row r="18" spans="1:4" x14ac:dyDescent="0.45">
      <c r="A18" t="s">
        <v>3</v>
      </c>
      <c r="B18">
        <v>2004</v>
      </c>
      <c r="C18" t="s">
        <v>44</v>
      </c>
      <c r="D18">
        <v>178.96</v>
      </c>
    </row>
    <row r="19" spans="1:4" x14ac:dyDescent="0.45">
      <c r="A19" t="s">
        <v>5</v>
      </c>
      <c r="B19">
        <v>2004</v>
      </c>
      <c r="C19" t="s">
        <v>44</v>
      </c>
      <c r="D19">
        <v>27.36</v>
      </c>
    </row>
    <row r="20" spans="1:4" x14ac:dyDescent="0.45">
      <c r="A20" t="s">
        <v>4</v>
      </c>
      <c r="B20">
        <v>2004</v>
      </c>
      <c r="C20" t="s">
        <v>44</v>
      </c>
      <c r="D20">
        <v>15.69</v>
      </c>
    </row>
    <row r="21" spans="1:4" x14ac:dyDescent="0.45">
      <c r="A21" t="s">
        <v>18</v>
      </c>
      <c r="B21">
        <v>2004</v>
      </c>
      <c r="C21" t="s">
        <v>44</v>
      </c>
      <c r="D21">
        <v>3.53</v>
      </c>
    </row>
    <row r="22" spans="1:4" x14ac:dyDescent="0.45">
      <c r="A22" t="s">
        <v>3</v>
      </c>
      <c r="B22">
        <v>2005</v>
      </c>
      <c r="C22" t="s">
        <v>44</v>
      </c>
      <c r="D22">
        <v>182.98</v>
      </c>
    </row>
    <row r="23" spans="1:4" x14ac:dyDescent="0.45">
      <c r="A23" t="s">
        <v>5</v>
      </c>
      <c r="B23">
        <v>2005</v>
      </c>
      <c r="C23" t="s">
        <v>44</v>
      </c>
      <c r="D23">
        <v>23.26</v>
      </c>
    </row>
    <row r="24" spans="1:4" x14ac:dyDescent="0.45">
      <c r="A24" t="s">
        <v>4</v>
      </c>
      <c r="B24">
        <v>2005</v>
      </c>
      <c r="C24" t="s">
        <v>44</v>
      </c>
      <c r="D24">
        <v>15.47</v>
      </c>
    </row>
    <row r="25" spans="1:4" x14ac:dyDescent="0.45">
      <c r="A25" t="s">
        <v>18</v>
      </c>
      <c r="B25">
        <v>2005</v>
      </c>
      <c r="C25" t="s">
        <v>44</v>
      </c>
      <c r="D25">
        <v>3.78</v>
      </c>
    </row>
    <row r="26" spans="1:4" x14ac:dyDescent="0.45">
      <c r="A26" t="s">
        <v>3</v>
      </c>
      <c r="B26">
        <v>2006</v>
      </c>
      <c r="C26" t="s">
        <v>44</v>
      </c>
      <c r="D26">
        <v>185.76</v>
      </c>
    </row>
    <row r="27" spans="1:4" x14ac:dyDescent="0.45">
      <c r="A27" t="s">
        <v>5</v>
      </c>
      <c r="B27">
        <v>2006</v>
      </c>
      <c r="C27" t="s">
        <v>44</v>
      </c>
      <c r="D27">
        <v>27.29</v>
      </c>
    </row>
    <row r="28" spans="1:4" x14ac:dyDescent="0.45">
      <c r="A28" t="s">
        <v>4</v>
      </c>
      <c r="B28">
        <v>2006</v>
      </c>
      <c r="C28" t="s">
        <v>44</v>
      </c>
      <c r="D28">
        <v>14.95</v>
      </c>
    </row>
    <row r="29" spans="1:4" x14ac:dyDescent="0.45">
      <c r="A29" t="s">
        <v>15</v>
      </c>
      <c r="B29">
        <v>2006</v>
      </c>
      <c r="C29" t="s">
        <v>44</v>
      </c>
      <c r="D29">
        <v>0</v>
      </c>
    </row>
    <row r="30" spans="1:4" x14ac:dyDescent="0.45">
      <c r="A30" t="s">
        <v>18</v>
      </c>
      <c r="B30">
        <v>2006</v>
      </c>
      <c r="C30" t="s">
        <v>44</v>
      </c>
      <c r="D30">
        <v>3.8</v>
      </c>
    </row>
    <row r="31" spans="1:4" x14ac:dyDescent="0.45">
      <c r="A31" t="s">
        <v>3</v>
      </c>
      <c r="B31">
        <v>2007</v>
      </c>
      <c r="C31" t="s">
        <v>44</v>
      </c>
      <c r="D31">
        <v>185.49</v>
      </c>
    </row>
    <row r="32" spans="1:4" x14ac:dyDescent="0.45">
      <c r="A32" t="s">
        <v>5</v>
      </c>
      <c r="B32">
        <v>2007</v>
      </c>
      <c r="C32" t="s">
        <v>44</v>
      </c>
      <c r="D32">
        <v>33.4</v>
      </c>
    </row>
    <row r="33" spans="1:4" x14ac:dyDescent="0.45">
      <c r="A33" t="s">
        <v>4</v>
      </c>
      <c r="B33">
        <v>2007</v>
      </c>
      <c r="C33" t="s">
        <v>44</v>
      </c>
      <c r="D33">
        <v>13.05</v>
      </c>
    </row>
    <row r="34" spans="1:4" x14ac:dyDescent="0.45">
      <c r="A34" t="s">
        <v>18</v>
      </c>
      <c r="B34">
        <v>2007</v>
      </c>
      <c r="C34" t="s">
        <v>44</v>
      </c>
      <c r="D34">
        <v>4.01</v>
      </c>
    </row>
    <row r="35" spans="1:4" x14ac:dyDescent="0.45">
      <c r="A35" t="s">
        <v>3</v>
      </c>
      <c r="B35">
        <v>2008</v>
      </c>
      <c r="C35" t="s">
        <v>44</v>
      </c>
      <c r="D35">
        <v>184.24</v>
      </c>
    </row>
    <row r="36" spans="1:4" x14ac:dyDescent="0.45">
      <c r="A36" t="s">
        <v>5</v>
      </c>
      <c r="B36">
        <v>2008</v>
      </c>
      <c r="C36" t="s">
        <v>44</v>
      </c>
      <c r="D36">
        <v>36.31</v>
      </c>
    </row>
    <row r="37" spans="1:4" x14ac:dyDescent="0.45">
      <c r="A37" t="s">
        <v>4</v>
      </c>
      <c r="B37">
        <v>2008</v>
      </c>
      <c r="C37" t="s">
        <v>44</v>
      </c>
      <c r="D37">
        <v>11.82</v>
      </c>
    </row>
    <row r="38" spans="1:4" x14ac:dyDescent="0.45">
      <c r="A38" t="s">
        <v>18</v>
      </c>
      <c r="B38">
        <v>2008</v>
      </c>
      <c r="C38" t="s">
        <v>44</v>
      </c>
      <c r="D38">
        <v>5.71</v>
      </c>
    </row>
    <row r="39" spans="1:4" x14ac:dyDescent="0.45">
      <c r="A39" t="s">
        <v>3</v>
      </c>
      <c r="B39">
        <v>2009</v>
      </c>
      <c r="C39" t="s">
        <v>44</v>
      </c>
      <c r="D39">
        <v>182.02</v>
      </c>
    </row>
    <row r="40" spans="1:4" x14ac:dyDescent="0.45">
      <c r="A40" t="s">
        <v>5</v>
      </c>
      <c r="B40">
        <v>2009</v>
      </c>
      <c r="C40" t="s">
        <v>44</v>
      </c>
      <c r="D40">
        <v>41.12</v>
      </c>
    </row>
    <row r="41" spans="1:4" x14ac:dyDescent="0.45">
      <c r="A41" t="s">
        <v>4</v>
      </c>
      <c r="B41">
        <v>2009</v>
      </c>
      <c r="C41" t="s">
        <v>44</v>
      </c>
      <c r="D41">
        <v>12.64</v>
      </c>
    </row>
    <row r="42" spans="1:4" x14ac:dyDescent="0.45">
      <c r="A42" t="s">
        <v>18</v>
      </c>
      <c r="B42">
        <v>2009</v>
      </c>
      <c r="C42" t="s">
        <v>44</v>
      </c>
      <c r="D42">
        <v>6.6</v>
      </c>
    </row>
    <row r="43" spans="1:4" x14ac:dyDescent="0.45">
      <c r="A43" t="s">
        <v>3</v>
      </c>
      <c r="B43">
        <v>2010</v>
      </c>
      <c r="C43" t="s">
        <v>44</v>
      </c>
      <c r="D43">
        <v>176.02</v>
      </c>
    </row>
    <row r="44" spans="1:4" x14ac:dyDescent="0.45">
      <c r="A44" t="s">
        <v>5</v>
      </c>
      <c r="B44">
        <v>2010</v>
      </c>
      <c r="C44" t="s">
        <v>44</v>
      </c>
      <c r="D44">
        <v>46.79</v>
      </c>
    </row>
    <row r="45" spans="1:4" x14ac:dyDescent="0.45">
      <c r="A45" t="s">
        <v>4</v>
      </c>
      <c r="B45">
        <v>2010</v>
      </c>
      <c r="C45" t="s">
        <v>44</v>
      </c>
      <c r="D45">
        <v>13.75</v>
      </c>
    </row>
    <row r="46" spans="1:4" x14ac:dyDescent="0.45">
      <c r="A46" t="s">
        <v>18</v>
      </c>
      <c r="B46">
        <v>2010</v>
      </c>
      <c r="C46" t="s">
        <v>44</v>
      </c>
      <c r="D46">
        <v>6</v>
      </c>
    </row>
    <row r="47" spans="1:4" x14ac:dyDescent="0.45">
      <c r="A47" t="s">
        <v>3</v>
      </c>
      <c r="B47">
        <v>2011</v>
      </c>
      <c r="C47" t="s">
        <v>44</v>
      </c>
      <c r="D47">
        <v>171.98</v>
      </c>
    </row>
    <row r="48" spans="1:4" x14ac:dyDescent="0.45">
      <c r="A48" t="s">
        <v>5</v>
      </c>
      <c r="B48">
        <v>2011</v>
      </c>
      <c r="C48" t="s">
        <v>44</v>
      </c>
      <c r="D48">
        <v>48.78</v>
      </c>
    </row>
    <row r="49" spans="1:4" x14ac:dyDescent="0.45">
      <c r="A49" t="s">
        <v>4</v>
      </c>
      <c r="B49">
        <v>2011</v>
      </c>
      <c r="C49" t="s">
        <v>44</v>
      </c>
      <c r="D49">
        <v>19.57</v>
      </c>
    </row>
    <row r="50" spans="1:4" x14ac:dyDescent="0.45">
      <c r="A50" t="s">
        <v>18</v>
      </c>
      <c r="B50">
        <v>2011</v>
      </c>
      <c r="C50" t="s">
        <v>44</v>
      </c>
      <c r="D50">
        <v>4.91</v>
      </c>
    </row>
    <row r="51" spans="1:4" x14ac:dyDescent="0.45">
      <c r="A51" t="s">
        <v>3</v>
      </c>
      <c r="B51">
        <v>2012</v>
      </c>
      <c r="C51" t="s">
        <v>44</v>
      </c>
      <c r="D51">
        <v>165.38</v>
      </c>
    </row>
    <row r="52" spans="1:4" x14ac:dyDescent="0.45">
      <c r="A52" t="s">
        <v>5</v>
      </c>
      <c r="B52">
        <v>2012</v>
      </c>
      <c r="C52" t="s">
        <v>44</v>
      </c>
      <c r="D52">
        <v>49.81</v>
      </c>
    </row>
    <row r="53" spans="1:4" x14ac:dyDescent="0.45">
      <c r="A53" t="s">
        <v>4</v>
      </c>
      <c r="B53">
        <v>2012</v>
      </c>
      <c r="C53" t="s">
        <v>44</v>
      </c>
      <c r="D53">
        <v>17.04</v>
      </c>
    </row>
    <row r="54" spans="1:4" x14ac:dyDescent="0.45">
      <c r="A54" t="s">
        <v>18</v>
      </c>
      <c r="B54">
        <v>2012</v>
      </c>
      <c r="C54" t="s">
        <v>44</v>
      </c>
      <c r="D54">
        <v>5.2</v>
      </c>
    </row>
    <row r="55" spans="1:4" x14ac:dyDescent="0.45">
      <c r="A55" t="s">
        <v>3</v>
      </c>
      <c r="B55">
        <v>2013</v>
      </c>
      <c r="C55" t="s">
        <v>44</v>
      </c>
      <c r="D55">
        <v>155.44999999999999</v>
      </c>
    </row>
    <row r="56" spans="1:4" x14ac:dyDescent="0.45">
      <c r="A56" t="s">
        <v>5</v>
      </c>
      <c r="B56">
        <v>2013</v>
      </c>
      <c r="C56" t="s">
        <v>44</v>
      </c>
      <c r="D56">
        <v>52.72</v>
      </c>
    </row>
    <row r="57" spans="1:4" x14ac:dyDescent="0.45">
      <c r="A57" t="s">
        <v>4</v>
      </c>
      <c r="B57">
        <v>2013</v>
      </c>
      <c r="C57" t="s">
        <v>44</v>
      </c>
      <c r="D57">
        <v>19.09</v>
      </c>
    </row>
    <row r="58" spans="1:4" x14ac:dyDescent="0.45">
      <c r="A58" t="s">
        <v>18</v>
      </c>
      <c r="B58">
        <v>2013</v>
      </c>
      <c r="C58" t="s">
        <v>44</v>
      </c>
      <c r="D58">
        <v>5.86</v>
      </c>
    </row>
    <row r="59" spans="1:4" x14ac:dyDescent="0.45">
      <c r="A59" t="s">
        <v>3</v>
      </c>
      <c r="B59">
        <v>2014</v>
      </c>
      <c r="C59" t="s">
        <v>44</v>
      </c>
      <c r="D59">
        <v>155.22999999999999</v>
      </c>
    </row>
    <row r="60" spans="1:4" x14ac:dyDescent="0.45">
      <c r="A60" t="s">
        <v>5</v>
      </c>
      <c r="B60">
        <v>2014</v>
      </c>
      <c r="C60" t="s">
        <v>44</v>
      </c>
      <c r="D60">
        <v>53.66</v>
      </c>
    </row>
    <row r="61" spans="1:4" x14ac:dyDescent="0.45">
      <c r="A61" t="s">
        <v>4</v>
      </c>
      <c r="B61">
        <v>2014</v>
      </c>
      <c r="C61" t="s">
        <v>44</v>
      </c>
      <c r="D61">
        <v>14.48</v>
      </c>
    </row>
    <row r="62" spans="1:4" x14ac:dyDescent="0.45">
      <c r="A62" t="s">
        <v>18</v>
      </c>
      <c r="B62">
        <v>2014</v>
      </c>
      <c r="C62" t="s">
        <v>44</v>
      </c>
      <c r="D62">
        <v>6</v>
      </c>
    </row>
    <row r="63" spans="1:4" x14ac:dyDescent="0.45">
      <c r="A63" t="s">
        <v>3</v>
      </c>
      <c r="B63">
        <v>2015</v>
      </c>
      <c r="C63" t="s">
        <v>44</v>
      </c>
      <c r="D63">
        <v>162.19999999999999</v>
      </c>
    </row>
    <row r="64" spans="1:4" x14ac:dyDescent="0.45">
      <c r="A64" t="s">
        <v>5</v>
      </c>
      <c r="B64">
        <v>2015</v>
      </c>
      <c r="C64" t="s">
        <v>44</v>
      </c>
      <c r="D64">
        <v>49.71</v>
      </c>
    </row>
    <row r="65" spans="1:4" x14ac:dyDescent="0.45">
      <c r="A65" t="s">
        <v>4</v>
      </c>
      <c r="B65">
        <v>2015</v>
      </c>
      <c r="C65" t="s">
        <v>44</v>
      </c>
      <c r="D65">
        <v>14.09</v>
      </c>
    </row>
    <row r="66" spans="1:4" x14ac:dyDescent="0.45">
      <c r="A66" t="s">
        <v>18</v>
      </c>
      <c r="B66">
        <v>2015</v>
      </c>
      <c r="C66" t="s">
        <v>44</v>
      </c>
      <c r="D66">
        <v>6.28</v>
      </c>
    </row>
    <row r="67" spans="1:4" x14ac:dyDescent="0.45">
      <c r="A67" t="s">
        <v>3</v>
      </c>
      <c r="B67">
        <v>2016</v>
      </c>
      <c r="C67" t="s">
        <v>44</v>
      </c>
      <c r="D67">
        <v>162.36000000000001</v>
      </c>
    </row>
    <row r="68" spans="1:4" x14ac:dyDescent="0.45">
      <c r="A68" t="s">
        <v>5</v>
      </c>
      <c r="B68">
        <v>2016</v>
      </c>
      <c r="C68" t="s">
        <v>44</v>
      </c>
      <c r="D68">
        <v>48.11</v>
      </c>
    </row>
    <row r="69" spans="1:4" x14ac:dyDescent="0.45">
      <c r="A69" t="s">
        <v>4</v>
      </c>
      <c r="B69">
        <v>2016</v>
      </c>
      <c r="C69" t="s">
        <v>44</v>
      </c>
      <c r="D69">
        <v>17.63</v>
      </c>
    </row>
    <row r="70" spans="1:4" x14ac:dyDescent="0.45">
      <c r="A70" t="s">
        <v>18</v>
      </c>
      <c r="B70">
        <v>2016</v>
      </c>
      <c r="C70" t="s">
        <v>44</v>
      </c>
      <c r="D70">
        <v>6.02</v>
      </c>
    </row>
    <row r="71" spans="1:4" x14ac:dyDescent="0.45">
      <c r="A71" t="s">
        <v>3</v>
      </c>
      <c r="B71">
        <v>2017</v>
      </c>
      <c r="C71" t="s">
        <v>44</v>
      </c>
      <c r="D71">
        <v>159.16999999999999</v>
      </c>
    </row>
    <row r="72" spans="1:4" x14ac:dyDescent="0.45">
      <c r="A72" t="s">
        <v>5</v>
      </c>
      <c r="B72">
        <v>2017</v>
      </c>
      <c r="C72" t="s">
        <v>44</v>
      </c>
      <c r="D72">
        <v>55.09</v>
      </c>
    </row>
    <row r="73" spans="1:4" x14ac:dyDescent="0.45">
      <c r="A73" t="s">
        <v>4</v>
      </c>
      <c r="B73">
        <v>2017</v>
      </c>
      <c r="C73" t="s">
        <v>44</v>
      </c>
      <c r="D73">
        <v>13.5</v>
      </c>
    </row>
    <row r="74" spans="1:4" x14ac:dyDescent="0.45">
      <c r="A74" t="s">
        <v>18</v>
      </c>
      <c r="B74">
        <v>2017</v>
      </c>
      <c r="C74" t="s">
        <v>44</v>
      </c>
      <c r="D74">
        <v>5.52</v>
      </c>
    </row>
    <row r="75" spans="1:4" x14ac:dyDescent="0.45">
      <c r="A75" t="s">
        <v>3</v>
      </c>
      <c r="B75">
        <v>2018</v>
      </c>
      <c r="C75" t="s">
        <v>44</v>
      </c>
      <c r="D75">
        <v>156.56</v>
      </c>
    </row>
    <row r="76" spans="1:4" x14ac:dyDescent="0.45">
      <c r="A76" t="s">
        <v>5</v>
      </c>
      <c r="B76">
        <v>2018</v>
      </c>
      <c r="C76" t="s">
        <v>44</v>
      </c>
      <c r="D76">
        <v>51.46</v>
      </c>
    </row>
    <row r="77" spans="1:4" x14ac:dyDescent="0.45">
      <c r="A77" t="s">
        <v>4</v>
      </c>
      <c r="B77">
        <v>2018</v>
      </c>
      <c r="C77" t="s">
        <v>44</v>
      </c>
      <c r="D77">
        <v>17.309999999999999</v>
      </c>
    </row>
    <row r="78" spans="1:4" x14ac:dyDescent="0.45">
      <c r="A78" t="s">
        <v>18</v>
      </c>
      <c r="B78">
        <v>2018</v>
      </c>
      <c r="C78" t="s">
        <v>44</v>
      </c>
      <c r="D78">
        <v>5.12</v>
      </c>
    </row>
    <row r="79" spans="1:4" x14ac:dyDescent="0.45">
      <c r="A79" t="s">
        <v>3</v>
      </c>
      <c r="B79">
        <v>2019</v>
      </c>
      <c r="C79" t="s">
        <v>44</v>
      </c>
      <c r="D79">
        <v>149.84</v>
      </c>
    </row>
    <row r="80" spans="1:4" x14ac:dyDescent="0.45">
      <c r="A80" t="s">
        <v>5</v>
      </c>
      <c r="B80">
        <v>2019</v>
      </c>
      <c r="C80" t="s">
        <v>44</v>
      </c>
      <c r="D80">
        <v>55.71</v>
      </c>
    </row>
    <row r="81" spans="1:4" x14ac:dyDescent="0.45">
      <c r="A81" t="s">
        <v>4</v>
      </c>
      <c r="B81">
        <v>2019</v>
      </c>
      <c r="C81" t="s">
        <v>44</v>
      </c>
      <c r="D81">
        <v>14.02</v>
      </c>
    </row>
    <row r="82" spans="1:4" x14ac:dyDescent="0.45">
      <c r="A82" t="s">
        <v>18</v>
      </c>
      <c r="B82">
        <v>2019</v>
      </c>
      <c r="C82" t="s">
        <v>44</v>
      </c>
      <c r="D82">
        <v>5.09</v>
      </c>
    </row>
    <row r="83" spans="1:4" x14ac:dyDescent="0.45">
      <c r="A83" t="s">
        <v>3</v>
      </c>
      <c r="B83">
        <v>2020</v>
      </c>
      <c r="C83" t="s">
        <v>44</v>
      </c>
      <c r="D83">
        <v>142.93</v>
      </c>
    </row>
    <row r="84" spans="1:4" x14ac:dyDescent="0.45">
      <c r="A84" t="s">
        <v>5</v>
      </c>
      <c r="B84">
        <v>2020</v>
      </c>
      <c r="C84" t="s">
        <v>44</v>
      </c>
      <c r="D84">
        <v>53.05</v>
      </c>
    </row>
    <row r="85" spans="1:4" x14ac:dyDescent="0.45">
      <c r="A85" t="s">
        <v>4</v>
      </c>
      <c r="B85">
        <v>2020</v>
      </c>
      <c r="C85" t="s">
        <v>44</v>
      </c>
      <c r="D85">
        <v>14.42</v>
      </c>
    </row>
    <row r="86" spans="1:4" x14ac:dyDescent="0.45">
      <c r="A86" t="s">
        <v>18</v>
      </c>
      <c r="B86">
        <v>2020</v>
      </c>
      <c r="C86" t="s">
        <v>44</v>
      </c>
      <c r="D86">
        <v>4.8899999999999997</v>
      </c>
    </row>
    <row r="87" spans="1:4" x14ac:dyDescent="0.45">
      <c r="A87" t="s">
        <v>3</v>
      </c>
      <c r="B87">
        <v>2021</v>
      </c>
      <c r="C87" t="s">
        <v>44</v>
      </c>
      <c r="D87">
        <v>137.4</v>
      </c>
    </row>
    <row r="88" spans="1:4" x14ac:dyDescent="0.45">
      <c r="A88" t="s">
        <v>5</v>
      </c>
      <c r="B88">
        <v>2021</v>
      </c>
      <c r="C88" t="s">
        <v>44</v>
      </c>
      <c r="D88">
        <v>47.63</v>
      </c>
    </row>
    <row r="89" spans="1:4" x14ac:dyDescent="0.45">
      <c r="A89" t="s">
        <v>4</v>
      </c>
      <c r="B89">
        <v>2021</v>
      </c>
      <c r="C89" t="s">
        <v>44</v>
      </c>
      <c r="D89">
        <v>15.94</v>
      </c>
    </row>
    <row r="90" spans="1:4" x14ac:dyDescent="0.45">
      <c r="A90" t="s">
        <v>18</v>
      </c>
      <c r="B90">
        <v>2021</v>
      </c>
      <c r="C90" t="s">
        <v>44</v>
      </c>
      <c r="D90">
        <v>5.15</v>
      </c>
    </row>
    <row r="91" spans="1:4" x14ac:dyDescent="0.45">
      <c r="A91" t="s">
        <v>3</v>
      </c>
      <c r="B91">
        <v>2022</v>
      </c>
      <c r="C91" t="s">
        <v>44</v>
      </c>
      <c r="D91">
        <v>129.21</v>
      </c>
    </row>
    <row r="92" spans="1:4" x14ac:dyDescent="0.45">
      <c r="A92" t="s">
        <v>5</v>
      </c>
      <c r="B92">
        <v>2022</v>
      </c>
      <c r="C92" t="s">
        <v>44</v>
      </c>
      <c r="D92">
        <v>50.82</v>
      </c>
    </row>
    <row r="93" spans="1:4" x14ac:dyDescent="0.45">
      <c r="A93" t="s">
        <v>4</v>
      </c>
      <c r="B93">
        <v>2022</v>
      </c>
      <c r="C93" t="s">
        <v>44</v>
      </c>
      <c r="D93">
        <v>16.66</v>
      </c>
    </row>
    <row r="94" spans="1:4" x14ac:dyDescent="0.45">
      <c r="A94" t="s">
        <v>18</v>
      </c>
      <c r="B94">
        <v>2022</v>
      </c>
      <c r="C94" t="s">
        <v>44</v>
      </c>
      <c r="D94">
        <v>5.45</v>
      </c>
    </row>
    <row r="95" spans="1:4" x14ac:dyDescent="0.45">
      <c r="A95" t="s">
        <v>3</v>
      </c>
      <c r="B95">
        <v>2023</v>
      </c>
      <c r="C95" t="s">
        <v>44</v>
      </c>
      <c r="D95">
        <v>125.61</v>
      </c>
    </row>
    <row r="96" spans="1:4" x14ac:dyDescent="0.45">
      <c r="A96" t="s">
        <v>5</v>
      </c>
      <c r="B96">
        <v>2023</v>
      </c>
      <c r="C96" t="s">
        <v>44</v>
      </c>
      <c r="D96">
        <v>46.67</v>
      </c>
    </row>
    <row r="97" spans="1:4" x14ac:dyDescent="0.45">
      <c r="A97" t="s">
        <v>4</v>
      </c>
      <c r="B97">
        <v>2023</v>
      </c>
      <c r="C97" t="s">
        <v>44</v>
      </c>
      <c r="D97">
        <v>15.08</v>
      </c>
    </row>
    <row r="98" spans="1:4" x14ac:dyDescent="0.45">
      <c r="A98" t="s">
        <v>18</v>
      </c>
      <c r="B98">
        <v>2023</v>
      </c>
      <c r="C98" t="s">
        <v>44</v>
      </c>
      <c r="D98">
        <v>5.76</v>
      </c>
    </row>
    <row r="99" spans="1:4" x14ac:dyDescent="0.45">
      <c r="A99" t="s">
        <v>3</v>
      </c>
      <c r="B99">
        <v>2024</v>
      </c>
      <c r="C99" t="s">
        <v>44</v>
      </c>
      <c r="D99">
        <v>127.33</v>
      </c>
    </row>
    <row r="100" spans="1:4" x14ac:dyDescent="0.45">
      <c r="A100" t="s">
        <v>5</v>
      </c>
      <c r="B100">
        <v>2024</v>
      </c>
      <c r="C100" t="s">
        <v>44</v>
      </c>
      <c r="D100">
        <v>49.1</v>
      </c>
    </row>
    <row r="101" spans="1:4" x14ac:dyDescent="0.45">
      <c r="A101" t="s">
        <v>4</v>
      </c>
      <c r="B101">
        <v>2024</v>
      </c>
      <c r="C101" t="s">
        <v>44</v>
      </c>
      <c r="D101">
        <v>12.85</v>
      </c>
    </row>
    <row r="102" spans="1:4" x14ac:dyDescent="0.45">
      <c r="A102" t="s">
        <v>18</v>
      </c>
      <c r="B102">
        <v>2024</v>
      </c>
      <c r="C102" t="s">
        <v>44</v>
      </c>
      <c r="D102">
        <v>6.42</v>
      </c>
    </row>
    <row r="103" spans="1:4" x14ac:dyDescent="0.45">
      <c r="A103" t="s">
        <v>3</v>
      </c>
      <c r="B103">
        <v>2025</v>
      </c>
      <c r="C103" t="s">
        <v>44</v>
      </c>
      <c r="D103">
        <v>122.32</v>
      </c>
    </row>
    <row r="104" spans="1:4" x14ac:dyDescent="0.45">
      <c r="A104" t="s">
        <v>5</v>
      </c>
      <c r="B104">
        <v>2025</v>
      </c>
      <c r="C104" t="s">
        <v>44</v>
      </c>
      <c r="D104">
        <v>47.05</v>
      </c>
    </row>
    <row r="105" spans="1:4" x14ac:dyDescent="0.45">
      <c r="A105" t="s">
        <v>4</v>
      </c>
      <c r="B105">
        <v>2025</v>
      </c>
      <c r="C105" t="s">
        <v>44</v>
      </c>
      <c r="D105">
        <v>12.22</v>
      </c>
    </row>
    <row r="106" spans="1:4" x14ac:dyDescent="0.45">
      <c r="A106" t="s">
        <v>18</v>
      </c>
      <c r="B106">
        <v>2025</v>
      </c>
      <c r="C106" t="s">
        <v>44</v>
      </c>
      <c r="D106">
        <v>6.36</v>
      </c>
    </row>
    <row r="107" spans="1:4" x14ac:dyDescent="0.45">
      <c r="A107" t="s">
        <v>3</v>
      </c>
      <c r="B107">
        <v>2000</v>
      </c>
      <c r="C107" t="s">
        <v>45</v>
      </c>
      <c r="D107">
        <v>27.75</v>
      </c>
    </row>
    <row r="108" spans="1:4" x14ac:dyDescent="0.45">
      <c r="A108" t="s">
        <v>5</v>
      </c>
      <c r="B108">
        <v>2000</v>
      </c>
      <c r="C108" t="s">
        <v>45</v>
      </c>
      <c r="D108">
        <v>5.5</v>
      </c>
    </row>
    <row r="109" spans="1:4" x14ac:dyDescent="0.45">
      <c r="A109" t="s">
        <v>4</v>
      </c>
      <c r="B109">
        <v>2000</v>
      </c>
      <c r="C109" t="s">
        <v>45</v>
      </c>
      <c r="D109">
        <v>6.78</v>
      </c>
    </row>
    <row r="110" spans="1:4" x14ac:dyDescent="0.45">
      <c r="A110" t="s">
        <v>18</v>
      </c>
      <c r="B110">
        <v>2000</v>
      </c>
      <c r="C110" t="s">
        <v>45</v>
      </c>
      <c r="D110">
        <v>1.93</v>
      </c>
    </row>
    <row r="111" spans="1:4" x14ac:dyDescent="0.45">
      <c r="A111" t="s">
        <v>3</v>
      </c>
      <c r="B111">
        <v>2001</v>
      </c>
      <c r="C111" t="s">
        <v>45</v>
      </c>
      <c r="D111">
        <v>28.82</v>
      </c>
    </row>
    <row r="112" spans="1:4" x14ac:dyDescent="0.45">
      <c r="A112" t="s">
        <v>5</v>
      </c>
      <c r="B112">
        <v>2001</v>
      </c>
      <c r="C112" t="s">
        <v>45</v>
      </c>
      <c r="D112">
        <v>5.85</v>
      </c>
    </row>
    <row r="113" spans="1:4" x14ac:dyDescent="0.45">
      <c r="A113" t="s">
        <v>4</v>
      </c>
      <c r="B113">
        <v>2001</v>
      </c>
      <c r="C113" t="s">
        <v>45</v>
      </c>
      <c r="D113">
        <v>6.78</v>
      </c>
    </row>
    <row r="114" spans="1:4" x14ac:dyDescent="0.45">
      <c r="A114" t="s">
        <v>18</v>
      </c>
      <c r="B114">
        <v>2001</v>
      </c>
      <c r="C114" t="s">
        <v>45</v>
      </c>
      <c r="D114">
        <v>1.7</v>
      </c>
    </row>
    <row r="115" spans="1:4" x14ac:dyDescent="0.45">
      <c r="A115" t="s">
        <v>3</v>
      </c>
      <c r="B115">
        <v>2002</v>
      </c>
      <c r="C115" t="s">
        <v>45</v>
      </c>
      <c r="D115">
        <v>28.86</v>
      </c>
    </row>
    <row r="116" spans="1:4" x14ac:dyDescent="0.45">
      <c r="A116" t="s">
        <v>5</v>
      </c>
      <c r="B116">
        <v>2002</v>
      </c>
      <c r="C116" t="s">
        <v>45</v>
      </c>
      <c r="D116">
        <v>8.3000000000000007</v>
      </c>
    </row>
    <row r="117" spans="1:4" x14ac:dyDescent="0.45">
      <c r="A117" t="s">
        <v>4</v>
      </c>
      <c r="B117">
        <v>2002</v>
      </c>
      <c r="C117" t="s">
        <v>45</v>
      </c>
      <c r="D117">
        <v>6.78</v>
      </c>
    </row>
    <row r="118" spans="1:4" x14ac:dyDescent="0.45">
      <c r="A118" t="s">
        <v>18</v>
      </c>
      <c r="B118">
        <v>2002</v>
      </c>
      <c r="C118" t="s">
        <v>45</v>
      </c>
      <c r="D118">
        <v>1.88</v>
      </c>
    </row>
    <row r="119" spans="1:4" x14ac:dyDescent="0.45">
      <c r="A119" t="s">
        <v>3</v>
      </c>
      <c r="B119">
        <v>2003</v>
      </c>
      <c r="C119" t="s">
        <v>45</v>
      </c>
      <c r="D119">
        <v>29.75</v>
      </c>
    </row>
    <row r="120" spans="1:4" x14ac:dyDescent="0.45">
      <c r="A120" t="s">
        <v>5</v>
      </c>
      <c r="B120">
        <v>2003</v>
      </c>
      <c r="C120" t="s">
        <v>45</v>
      </c>
      <c r="D120">
        <v>8.5399999999999991</v>
      </c>
    </row>
    <row r="121" spans="1:4" x14ac:dyDescent="0.45">
      <c r="A121" t="s">
        <v>4</v>
      </c>
      <c r="B121">
        <v>2003</v>
      </c>
      <c r="C121" t="s">
        <v>45</v>
      </c>
      <c r="D121">
        <v>6.78</v>
      </c>
    </row>
    <row r="122" spans="1:4" x14ac:dyDescent="0.45">
      <c r="A122" t="s">
        <v>18</v>
      </c>
      <c r="B122">
        <v>2003</v>
      </c>
      <c r="C122" t="s">
        <v>45</v>
      </c>
      <c r="D122">
        <v>1.62</v>
      </c>
    </row>
    <row r="123" spans="1:4" x14ac:dyDescent="0.45">
      <c r="A123" t="s">
        <v>3</v>
      </c>
      <c r="B123">
        <v>2004</v>
      </c>
      <c r="C123" t="s">
        <v>45</v>
      </c>
      <c r="D123">
        <v>29.75</v>
      </c>
    </row>
    <row r="124" spans="1:4" x14ac:dyDescent="0.45">
      <c r="A124" t="s">
        <v>5</v>
      </c>
      <c r="B124">
        <v>2004</v>
      </c>
      <c r="C124" t="s">
        <v>45</v>
      </c>
      <c r="D124">
        <v>8.75</v>
      </c>
    </row>
    <row r="125" spans="1:4" x14ac:dyDescent="0.45">
      <c r="A125" t="s">
        <v>4</v>
      </c>
      <c r="B125">
        <v>2004</v>
      </c>
      <c r="C125" t="s">
        <v>45</v>
      </c>
      <c r="D125">
        <v>6.86</v>
      </c>
    </row>
    <row r="126" spans="1:4" x14ac:dyDescent="0.45">
      <c r="A126" t="s">
        <v>18</v>
      </c>
      <c r="B126">
        <v>2004</v>
      </c>
      <c r="C126" t="s">
        <v>45</v>
      </c>
      <c r="D126">
        <v>1.2</v>
      </c>
    </row>
    <row r="127" spans="1:4" x14ac:dyDescent="0.45">
      <c r="A127" t="s">
        <v>3</v>
      </c>
      <c r="B127">
        <v>2005</v>
      </c>
      <c r="C127" t="s">
        <v>45</v>
      </c>
      <c r="D127">
        <v>29.75</v>
      </c>
    </row>
    <row r="128" spans="1:4" x14ac:dyDescent="0.45">
      <c r="A128" t="s">
        <v>5</v>
      </c>
      <c r="B128">
        <v>2005</v>
      </c>
      <c r="C128" t="s">
        <v>45</v>
      </c>
      <c r="D128">
        <v>8.3800000000000008</v>
      </c>
    </row>
    <row r="129" spans="1:4" x14ac:dyDescent="0.45">
      <c r="A129" t="s">
        <v>4</v>
      </c>
      <c r="B129">
        <v>2005</v>
      </c>
      <c r="C129" t="s">
        <v>45</v>
      </c>
      <c r="D129">
        <v>7.46</v>
      </c>
    </row>
    <row r="130" spans="1:4" x14ac:dyDescent="0.45">
      <c r="A130" t="s">
        <v>18</v>
      </c>
      <c r="B130">
        <v>2005</v>
      </c>
      <c r="C130" t="s">
        <v>45</v>
      </c>
      <c r="D130">
        <v>1.0900000000000001</v>
      </c>
    </row>
    <row r="131" spans="1:4" x14ac:dyDescent="0.45">
      <c r="A131" t="s">
        <v>3</v>
      </c>
      <c r="B131">
        <v>2006</v>
      </c>
      <c r="C131" t="s">
        <v>45</v>
      </c>
      <c r="D131">
        <v>29.75</v>
      </c>
    </row>
    <row r="132" spans="1:4" x14ac:dyDescent="0.45">
      <c r="A132" t="s">
        <v>5</v>
      </c>
      <c r="B132">
        <v>2006</v>
      </c>
      <c r="C132" t="s">
        <v>45</v>
      </c>
      <c r="D132">
        <v>8.9499999999999993</v>
      </c>
    </row>
    <row r="133" spans="1:4" x14ac:dyDescent="0.45">
      <c r="A133" t="s">
        <v>4</v>
      </c>
      <c r="B133">
        <v>2006</v>
      </c>
      <c r="C133" t="s">
        <v>45</v>
      </c>
      <c r="D133">
        <v>7.46</v>
      </c>
    </row>
    <row r="134" spans="1:4" x14ac:dyDescent="0.45">
      <c r="A134" t="s">
        <v>15</v>
      </c>
      <c r="B134">
        <v>2006</v>
      </c>
      <c r="C134" t="s">
        <v>45</v>
      </c>
      <c r="D134">
        <v>0</v>
      </c>
    </row>
    <row r="135" spans="1:4" x14ac:dyDescent="0.45">
      <c r="A135" t="s">
        <v>18</v>
      </c>
      <c r="B135">
        <v>2006</v>
      </c>
      <c r="C135" t="s">
        <v>45</v>
      </c>
      <c r="D135">
        <v>1.1100000000000001</v>
      </c>
    </row>
    <row r="136" spans="1:4" x14ac:dyDescent="0.45">
      <c r="A136" t="s">
        <v>3</v>
      </c>
      <c r="B136">
        <v>2007</v>
      </c>
      <c r="C136" t="s">
        <v>45</v>
      </c>
      <c r="D136">
        <v>30.5</v>
      </c>
    </row>
    <row r="137" spans="1:4" x14ac:dyDescent="0.45">
      <c r="A137" t="s">
        <v>5</v>
      </c>
      <c r="B137">
        <v>2007</v>
      </c>
      <c r="C137" t="s">
        <v>45</v>
      </c>
      <c r="D137">
        <v>11.23</v>
      </c>
    </row>
    <row r="138" spans="1:4" x14ac:dyDescent="0.45">
      <c r="A138" t="s">
        <v>4</v>
      </c>
      <c r="B138">
        <v>2007</v>
      </c>
      <c r="C138" t="s">
        <v>45</v>
      </c>
      <c r="D138">
        <v>7.46</v>
      </c>
    </row>
    <row r="139" spans="1:4" x14ac:dyDescent="0.45">
      <c r="A139" t="s">
        <v>18</v>
      </c>
      <c r="B139">
        <v>2007</v>
      </c>
      <c r="C139" t="s">
        <v>45</v>
      </c>
      <c r="D139">
        <v>1.04</v>
      </c>
    </row>
    <row r="140" spans="1:4" x14ac:dyDescent="0.45">
      <c r="A140" t="s">
        <v>3</v>
      </c>
      <c r="B140">
        <v>2008</v>
      </c>
      <c r="C140" t="s">
        <v>45</v>
      </c>
      <c r="D140">
        <v>30.5</v>
      </c>
    </row>
    <row r="141" spans="1:4" x14ac:dyDescent="0.45">
      <c r="A141" t="s">
        <v>5</v>
      </c>
      <c r="B141">
        <v>2008</v>
      </c>
      <c r="C141" t="s">
        <v>45</v>
      </c>
      <c r="D141">
        <v>11.71</v>
      </c>
    </row>
    <row r="142" spans="1:4" x14ac:dyDescent="0.45">
      <c r="A142" t="s">
        <v>4</v>
      </c>
      <c r="B142">
        <v>2008</v>
      </c>
      <c r="C142" t="s">
        <v>45</v>
      </c>
      <c r="D142">
        <v>7.46</v>
      </c>
    </row>
    <row r="143" spans="1:4" x14ac:dyDescent="0.45">
      <c r="A143" t="s">
        <v>18</v>
      </c>
      <c r="B143">
        <v>2008</v>
      </c>
      <c r="C143" t="s">
        <v>45</v>
      </c>
      <c r="D143">
        <v>1.07</v>
      </c>
    </row>
    <row r="144" spans="1:4" x14ac:dyDescent="0.45">
      <c r="A144" t="s">
        <v>3</v>
      </c>
      <c r="B144">
        <v>2009</v>
      </c>
      <c r="C144" t="s">
        <v>45</v>
      </c>
      <c r="D144">
        <v>30.96</v>
      </c>
    </row>
    <row r="145" spans="1:4" x14ac:dyDescent="0.45">
      <c r="A145" t="s">
        <v>5</v>
      </c>
      <c r="B145">
        <v>2009</v>
      </c>
      <c r="C145" t="s">
        <v>45</v>
      </c>
      <c r="D145">
        <v>13.81</v>
      </c>
    </row>
    <row r="146" spans="1:4" x14ac:dyDescent="0.45">
      <c r="A146" t="s">
        <v>4</v>
      </c>
      <c r="B146">
        <v>2009</v>
      </c>
      <c r="C146" t="s">
        <v>45</v>
      </c>
      <c r="D146">
        <v>7.46</v>
      </c>
    </row>
    <row r="147" spans="1:4" x14ac:dyDescent="0.45">
      <c r="A147" t="s">
        <v>18</v>
      </c>
      <c r="B147">
        <v>2009</v>
      </c>
      <c r="C147" t="s">
        <v>45</v>
      </c>
      <c r="D147">
        <v>1.34</v>
      </c>
    </row>
    <row r="148" spans="1:4" x14ac:dyDescent="0.45">
      <c r="A148" t="s">
        <v>3</v>
      </c>
      <c r="B148">
        <v>2010</v>
      </c>
      <c r="C148" t="s">
        <v>45</v>
      </c>
      <c r="D148">
        <v>30.47</v>
      </c>
    </row>
    <row r="149" spans="1:4" x14ac:dyDescent="0.45">
      <c r="A149" t="s">
        <v>5</v>
      </c>
      <c r="B149">
        <v>2010</v>
      </c>
      <c r="C149" t="s">
        <v>45</v>
      </c>
      <c r="D149">
        <v>15.86</v>
      </c>
    </row>
    <row r="150" spans="1:4" x14ac:dyDescent="0.45">
      <c r="A150" t="s">
        <v>4</v>
      </c>
      <c r="B150">
        <v>2010</v>
      </c>
      <c r="C150" t="s">
        <v>45</v>
      </c>
      <c r="D150">
        <v>7.46</v>
      </c>
    </row>
    <row r="151" spans="1:4" x14ac:dyDescent="0.45">
      <c r="A151" t="s">
        <v>18</v>
      </c>
      <c r="B151">
        <v>2010</v>
      </c>
      <c r="C151" t="s">
        <v>45</v>
      </c>
      <c r="D151">
        <v>2.1800000000000002</v>
      </c>
    </row>
    <row r="152" spans="1:4" x14ac:dyDescent="0.45">
      <c r="A152" t="s">
        <v>3</v>
      </c>
      <c r="B152">
        <v>2011</v>
      </c>
      <c r="C152" t="s">
        <v>45</v>
      </c>
      <c r="D152">
        <v>30.35</v>
      </c>
    </row>
    <row r="153" spans="1:4" x14ac:dyDescent="0.45">
      <c r="A153" t="s">
        <v>5</v>
      </c>
      <c r="B153">
        <v>2011</v>
      </c>
      <c r="C153" t="s">
        <v>45</v>
      </c>
      <c r="D153">
        <v>16.37</v>
      </c>
    </row>
    <row r="154" spans="1:4" x14ac:dyDescent="0.45">
      <c r="A154" t="s">
        <v>4</v>
      </c>
      <c r="B154">
        <v>2011</v>
      </c>
      <c r="C154" t="s">
        <v>45</v>
      </c>
      <c r="D154">
        <v>7.46</v>
      </c>
    </row>
    <row r="155" spans="1:4" x14ac:dyDescent="0.45">
      <c r="A155" t="s">
        <v>18</v>
      </c>
      <c r="B155">
        <v>2011</v>
      </c>
      <c r="C155" t="s">
        <v>45</v>
      </c>
      <c r="D155">
        <v>2.12</v>
      </c>
    </row>
    <row r="156" spans="1:4" x14ac:dyDescent="0.45">
      <c r="A156" t="s">
        <v>3</v>
      </c>
      <c r="B156">
        <v>2012</v>
      </c>
      <c r="C156" t="s">
        <v>45</v>
      </c>
      <c r="D156">
        <v>29.59</v>
      </c>
    </row>
    <row r="157" spans="1:4" x14ac:dyDescent="0.45">
      <c r="A157" t="s">
        <v>5</v>
      </c>
      <c r="B157">
        <v>2012</v>
      </c>
      <c r="C157" t="s">
        <v>45</v>
      </c>
      <c r="D157">
        <v>16.95</v>
      </c>
    </row>
    <row r="158" spans="1:4" x14ac:dyDescent="0.45">
      <c r="A158" t="s">
        <v>4</v>
      </c>
      <c r="B158">
        <v>2012</v>
      </c>
      <c r="C158" t="s">
        <v>45</v>
      </c>
      <c r="D158">
        <v>7.46</v>
      </c>
    </row>
    <row r="159" spans="1:4" x14ac:dyDescent="0.45">
      <c r="A159" t="s">
        <v>18</v>
      </c>
      <c r="B159">
        <v>2012</v>
      </c>
      <c r="C159" t="s">
        <v>45</v>
      </c>
      <c r="D159">
        <v>1.71</v>
      </c>
    </row>
    <row r="160" spans="1:4" x14ac:dyDescent="0.45">
      <c r="A160" t="s">
        <v>3</v>
      </c>
      <c r="B160">
        <v>2013</v>
      </c>
      <c r="C160" t="s">
        <v>45</v>
      </c>
      <c r="D160">
        <v>29.59</v>
      </c>
    </row>
    <row r="161" spans="1:4" x14ac:dyDescent="0.45">
      <c r="A161" t="s">
        <v>5</v>
      </c>
      <c r="B161">
        <v>2013</v>
      </c>
      <c r="C161" t="s">
        <v>45</v>
      </c>
      <c r="D161">
        <v>17.27</v>
      </c>
    </row>
    <row r="162" spans="1:4" x14ac:dyDescent="0.45">
      <c r="A162" t="s">
        <v>4</v>
      </c>
      <c r="B162">
        <v>2013</v>
      </c>
      <c r="C162" t="s">
        <v>45</v>
      </c>
      <c r="D162">
        <v>7.46</v>
      </c>
    </row>
    <row r="163" spans="1:4" x14ac:dyDescent="0.45">
      <c r="A163" t="s">
        <v>18</v>
      </c>
      <c r="B163">
        <v>2013</v>
      </c>
      <c r="C163" t="s">
        <v>45</v>
      </c>
      <c r="D163">
        <v>2.14</v>
      </c>
    </row>
    <row r="164" spans="1:4" x14ac:dyDescent="0.45">
      <c r="A164" t="s">
        <v>3</v>
      </c>
      <c r="B164">
        <v>2014</v>
      </c>
      <c r="C164" t="s">
        <v>45</v>
      </c>
      <c r="D164">
        <v>28.29</v>
      </c>
    </row>
    <row r="165" spans="1:4" x14ac:dyDescent="0.45">
      <c r="A165" t="s">
        <v>5</v>
      </c>
      <c r="B165">
        <v>2014</v>
      </c>
      <c r="C165" t="s">
        <v>45</v>
      </c>
      <c r="D165">
        <v>17.8</v>
      </c>
    </row>
    <row r="166" spans="1:4" x14ac:dyDescent="0.45">
      <c r="A166" t="s">
        <v>4</v>
      </c>
      <c r="B166">
        <v>2014</v>
      </c>
      <c r="C166" t="s">
        <v>45</v>
      </c>
      <c r="D166">
        <v>7.46</v>
      </c>
    </row>
    <row r="167" spans="1:4" x14ac:dyDescent="0.45">
      <c r="A167" t="s">
        <v>18</v>
      </c>
      <c r="B167">
        <v>2014</v>
      </c>
      <c r="C167" t="s">
        <v>45</v>
      </c>
      <c r="D167">
        <v>1.99</v>
      </c>
    </row>
    <row r="168" spans="1:4" x14ac:dyDescent="0.45">
      <c r="A168" t="s">
        <v>3</v>
      </c>
      <c r="B168">
        <v>2015</v>
      </c>
      <c r="C168" t="s">
        <v>45</v>
      </c>
      <c r="D168">
        <v>27.7</v>
      </c>
    </row>
    <row r="169" spans="1:4" x14ac:dyDescent="0.45">
      <c r="A169" t="s">
        <v>5</v>
      </c>
      <c r="B169">
        <v>2015</v>
      </c>
      <c r="C169" t="s">
        <v>45</v>
      </c>
      <c r="D169">
        <v>22.57</v>
      </c>
    </row>
    <row r="170" spans="1:4" x14ac:dyDescent="0.45">
      <c r="A170" t="s">
        <v>4</v>
      </c>
      <c r="B170">
        <v>2015</v>
      </c>
      <c r="C170" t="s">
        <v>45</v>
      </c>
      <c r="D170">
        <v>7.46</v>
      </c>
    </row>
    <row r="171" spans="1:4" x14ac:dyDescent="0.45">
      <c r="A171" t="s">
        <v>18</v>
      </c>
      <c r="B171">
        <v>2015</v>
      </c>
      <c r="C171" t="s">
        <v>45</v>
      </c>
      <c r="D171">
        <v>3.41</v>
      </c>
    </row>
    <row r="172" spans="1:4" x14ac:dyDescent="0.45">
      <c r="A172" t="s">
        <v>3</v>
      </c>
      <c r="B172">
        <v>2016</v>
      </c>
      <c r="C172" t="s">
        <v>45</v>
      </c>
      <c r="D172">
        <v>26.94</v>
      </c>
    </row>
    <row r="173" spans="1:4" x14ac:dyDescent="0.45">
      <c r="A173" t="s">
        <v>5</v>
      </c>
      <c r="B173">
        <v>2016</v>
      </c>
      <c r="C173" t="s">
        <v>45</v>
      </c>
      <c r="D173">
        <v>22.5</v>
      </c>
    </row>
    <row r="174" spans="1:4" x14ac:dyDescent="0.45">
      <c r="A174" t="s">
        <v>4</v>
      </c>
      <c r="B174">
        <v>2016</v>
      </c>
      <c r="C174" t="s">
        <v>45</v>
      </c>
      <c r="D174">
        <v>7.46</v>
      </c>
    </row>
    <row r="175" spans="1:4" x14ac:dyDescent="0.45">
      <c r="A175" t="s">
        <v>18</v>
      </c>
      <c r="B175">
        <v>2016</v>
      </c>
      <c r="C175" t="s">
        <v>45</v>
      </c>
      <c r="D175">
        <v>3.08</v>
      </c>
    </row>
    <row r="176" spans="1:4" x14ac:dyDescent="0.45">
      <c r="A176" t="s">
        <v>3</v>
      </c>
      <c r="B176">
        <v>2017</v>
      </c>
      <c r="C176" t="s">
        <v>45</v>
      </c>
      <c r="D176">
        <v>25.1</v>
      </c>
    </row>
    <row r="177" spans="1:4" x14ac:dyDescent="0.45">
      <c r="A177" t="s">
        <v>5</v>
      </c>
      <c r="B177">
        <v>2017</v>
      </c>
      <c r="C177" t="s">
        <v>45</v>
      </c>
      <c r="D177">
        <v>22.13</v>
      </c>
    </row>
    <row r="178" spans="1:4" x14ac:dyDescent="0.45">
      <c r="A178" t="s">
        <v>4</v>
      </c>
      <c r="B178">
        <v>2017</v>
      </c>
      <c r="C178" t="s">
        <v>45</v>
      </c>
      <c r="D178">
        <v>7.46</v>
      </c>
    </row>
    <row r="179" spans="1:4" x14ac:dyDescent="0.45">
      <c r="A179" t="s">
        <v>18</v>
      </c>
      <c r="B179">
        <v>2017</v>
      </c>
      <c r="C179" t="s">
        <v>45</v>
      </c>
      <c r="D179">
        <v>2.4900000000000002</v>
      </c>
    </row>
    <row r="180" spans="1:4" x14ac:dyDescent="0.45">
      <c r="A180" t="s">
        <v>3</v>
      </c>
      <c r="B180">
        <v>2018</v>
      </c>
      <c r="C180" t="s">
        <v>45</v>
      </c>
      <c r="D180">
        <v>25.1</v>
      </c>
    </row>
    <row r="181" spans="1:4" x14ac:dyDescent="0.45">
      <c r="A181" t="s">
        <v>5</v>
      </c>
      <c r="B181">
        <v>2018</v>
      </c>
      <c r="C181" t="s">
        <v>45</v>
      </c>
      <c r="D181">
        <v>22.85</v>
      </c>
    </row>
    <row r="182" spans="1:4" x14ac:dyDescent="0.45">
      <c r="A182" t="s">
        <v>4</v>
      </c>
      <c r="B182">
        <v>2018</v>
      </c>
      <c r="C182" t="s">
        <v>45</v>
      </c>
      <c r="D182">
        <v>7.71</v>
      </c>
    </row>
    <row r="183" spans="1:4" x14ac:dyDescent="0.45">
      <c r="A183" t="s">
        <v>18</v>
      </c>
      <c r="B183">
        <v>2018</v>
      </c>
      <c r="C183" t="s">
        <v>45</v>
      </c>
      <c r="D183">
        <v>2.44</v>
      </c>
    </row>
    <row r="184" spans="1:4" x14ac:dyDescent="0.45">
      <c r="A184" t="s">
        <v>3</v>
      </c>
      <c r="B184">
        <v>2019</v>
      </c>
      <c r="C184" t="s">
        <v>45</v>
      </c>
      <c r="D184">
        <v>25.1</v>
      </c>
    </row>
    <row r="185" spans="1:4" x14ac:dyDescent="0.45">
      <c r="A185" t="s">
        <v>5</v>
      </c>
      <c r="B185">
        <v>2019</v>
      </c>
      <c r="C185" t="s">
        <v>45</v>
      </c>
      <c r="D185">
        <v>22.72</v>
      </c>
    </row>
    <row r="186" spans="1:4" x14ac:dyDescent="0.45">
      <c r="A186" t="s">
        <v>4</v>
      </c>
      <c r="B186">
        <v>2019</v>
      </c>
      <c r="C186" t="s">
        <v>45</v>
      </c>
      <c r="D186">
        <v>7.71</v>
      </c>
    </row>
    <row r="187" spans="1:4" x14ac:dyDescent="0.45">
      <c r="A187" t="s">
        <v>18</v>
      </c>
      <c r="B187">
        <v>2019</v>
      </c>
      <c r="C187" t="s">
        <v>45</v>
      </c>
      <c r="D187">
        <v>2.4</v>
      </c>
    </row>
    <row r="188" spans="1:4" x14ac:dyDescent="0.45">
      <c r="A188" t="s">
        <v>3</v>
      </c>
      <c r="B188">
        <v>2020</v>
      </c>
      <c r="C188" t="s">
        <v>45</v>
      </c>
      <c r="D188">
        <v>25.1</v>
      </c>
    </row>
    <row r="189" spans="1:4" x14ac:dyDescent="0.45">
      <c r="A189" t="s">
        <v>5</v>
      </c>
      <c r="B189">
        <v>2020</v>
      </c>
      <c r="C189" t="s">
        <v>45</v>
      </c>
      <c r="D189">
        <v>24.06</v>
      </c>
    </row>
    <row r="190" spans="1:4" x14ac:dyDescent="0.45">
      <c r="A190" t="s">
        <v>4</v>
      </c>
      <c r="B190">
        <v>2020</v>
      </c>
      <c r="C190" t="s">
        <v>45</v>
      </c>
      <c r="D190">
        <v>7.71</v>
      </c>
    </row>
    <row r="191" spans="1:4" x14ac:dyDescent="0.45">
      <c r="A191" t="s">
        <v>18</v>
      </c>
      <c r="B191">
        <v>2020</v>
      </c>
      <c r="C191" t="s">
        <v>45</v>
      </c>
      <c r="D191">
        <v>2.31</v>
      </c>
    </row>
    <row r="192" spans="1:4" x14ac:dyDescent="0.45">
      <c r="A192" t="s">
        <v>3</v>
      </c>
      <c r="B192">
        <v>2021</v>
      </c>
      <c r="C192" t="s">
        <v>45</v>
      </c>
      <c r="D192">
        <v>25.1</v>
      </c>
    </row>
    <row r="193" spans="1:4" x14ac:dyDescent="0.45">
      <c r="A193" t="s">
        <v>5</v>
      </c>
      <c r="B193">
        <v>2021</v>
      </c>
      <c r="C193" t="s">
        <v>45</v>
      </c>
      <c r="D193">
        <v>24.33</v>
      </c>
    </row>
    <row r="194" spans="1:4" x14ac:dyDescent="0.45">
      <c r="A194" t="s">
        <v>4</v>
      </c>
      <c r="B194">
        <v>2021</v>
      </c>
      <c r="C194" t="s">
        <v>45</v>
      </c>
      <c r="D194">
        <v>7.71</v>
      </c>
    </row>
    <row r="195" spans="1:4" x14ac:dyDescent="0.45">
      <c r="A195" t="s">
        <v>18</v>
      </c>
      <c r="B195">
        <v>2021</v>
      </c>
      <c r="C195" t="s">
        <v>45</v>
      </c>
      <c r="D195">
        <v>2.4300000000000002</v>
      </c>
    </row>
    <row r="196" spans="1:4" x14ac:dyDescent="0.45">
      <c r="A196" t="s">
        <v>3</v>
      </c>
      <c r="B196">
        <v>2022</v>
      </c>
      <c r="C196" t="s">
        <v>45</v>
      </c>
      <c r="D196">
        <v>24.4</v>
      </c>
    </row>
    <row r="197" spans="1:4" x14ac:dyDescent="0.45">
      <c r="A197" t="s">
        <v>5</v>
      </c>
      <c r="B197">
        <v>2022</v>
      </c>
      <c r="C197" t="s">
        <v>45</v>
      </c>
      <c r="D197">
        <v>25.01</v>
      </c>
    </row>
    <row r="198" spans="1:4" x14ac:dyDescent="0.45">
      <c r="A198" t="s">
        <v>4</v>
      </c>
      <c r="B198">
        <v>2022</v>
      </c>
      <c r="C198" t="s">
        <v>45</v>
      </c>
      <c r="D198">
        <v>7.71</v>
      </c>
    </row>
    <row r="199" spans="1:4" x14ac:dyDescent="0.45">
      <c r="A199" t="s">
        <v>18</v>
      </c>
      <c r="B199">
        <v>2022</v>
      </c>
      <c r="C199" t="s">
        <v>45</v>
      </c>
      <c r="D199">
        <v>2.4</v>
      </c>
    </row>
    <row r="200" spans="1:4" x14ac:dyDescent="0.45">
      <c r="A200" t="s">
        <v>3</v>
      </c>
      <c r="B200">
        <v>2023</v>
      </c>
      <c r="C200" t="s">
        <v>45</v>
      </c>
      <c r="D200">
        <v>22.86</v>
      </c>
    </row>
    <row r="201" spans="1:4" x14ac:dyDescent="0.45">
      <c r="A201" t="s">
        <v>5</v>
      </c>
      <c r="B201">
        <v>2023</v>
      </c>
      <c r="C201" t="s">
        <v>45</v>
      </c>
      <c r="D201">
        <v>24.76</v>
      </c>
    </row>
    <row r="202" spans="1:4" x14ac:dyDescent="0.45">
      <c r="A202" t="s">
        <v>4</v>
      </c>
      <c r="B202">
        <v>2023</v>
      </c>
      <c r="C202" t="s">
        <v>45</v>
      </c>
      <c r="D202">
        <v>7.71</v>
      </c>
    </row>
    <row r="203" spans="1:4" x14ac:dyDescent="0.45">
      <c r="A203" t="s">
        <v>18</v>
      </c>
      <c r="B203">
        <v>2023</v>
      </c>
      <c r="C203" t="s">
        <v>45</v>
      </c>
      <c r="D203">
        <v>2.48</v>
      </c>
    </row>
    <row r="204" spans="1:4" x14ac:dyDescent="0.45">
      <c r="A204" t="s">
        <v>3</v>
      </c>
      <c r="B204">
        <v>2024</v>
      </c>
      <c r="C204" t="s">
        <v>45</v>
      </c>
      <c r="D204">
        <v>22.83</v>
      </c>
    </row>
    <row r="205" spans="1:4" x14ac:dyDescent="0.45">
      <c r="A205" t="s">
        <v>5</v>
      </c>
      <c r="B205">
        <v>2024</v>
      </c>
      <c r="C205" t="s">
        <v>45</v>
      </c>
      <c r="D205">
        <v>26.28</v>
      </c>
    </row>
    <row r="206" spans="1:4" x14ac:dyDescent="0.45">
      <c r="A206" t="s">
        <v>4</v>
      </c>
      <c r="B206">
        <v>2024</v>
      </c>
      <c r="C206" t="s">
        <v>45</v>
      </c>
      <c r="D206">
        <v>7.71</v>
      </c>
    </row>
    <row r="207" spans="1:4" x14ac:dyDescent="0.45">
      <c r="A207" t="s">
        <v>18</v>
      </c>
      <c r="B207">
        <v>2024</v>
      </c>
      <c r="C207" t="s">
        <v>45</v>
      </c>
      <c r="D207">
        <v>2.4500000000000002</v>
      </c>
    </row>
    <row r="208" spans="1:4" x14ac:dyDescent="0.45">
      <c r="A208" t="s">
        <v>3</v>
      </c>
      <c r="B208">
        <v>2025</v>
      </c>
      <c r="C208" t="s">
        <v>45</v>
      </c>
      <c r="D208">
        <v>22.63</v>
      </c>
    </row>
    <row r="209" spans="1:4" x14ac:dyDescent="0.45">
      <c r="A209" t="s">
        <v>5</v>
      </c>
      <c r="B209">
        <v>2025</v>
      </c>
      <c r="C209" t="s">
        <v>45</v>
      </c>
      <c r="D209">
        <v>25.21</v>
      </c>
    </row>
    <row r="210" spans="1:4" x14ac:dyDescent="0.45">
      <c r="A210" t="s">
        <v>4</v>
      </c>
      <c r="B210">
        <v>2025</v>
      </c>
      <c r="C210" t="s">
        <v>45</v>
      </c>
      <c r="D210">
        <v>7.71</v>
      </c>
    </row>
    <row r="211" spans="1:4" x14ac:dyDescent="0.45">
      <c r="A211" t="s">
        <v>18</v>
      </c>
      <c r="B211">
        <v>2025</v>
      </c>
      <c r="C211" t="s">
        <v>45</v>
      </c>
      <c r="D211">
        <v>2.14</v>
      </c>
    </row>
    <row r="212" spans="1:4" x14ac:dyDescent="0.45">
      <c r="A212" t="s">
        <v>40</v>
      </c>
      <c r="B212">
        <v>2000</v>
      </c>
      <c r="C212" t="s">
        <v>46</v>
      </c>
      <c r="D212">
        <v>0.19</v>
      </c>
    </row>
    <row r="213" spans="1:4" x14ac:dyDescent="0.45">
      <c r="A213" t="s">
        <v>3</v>
      </c>
      <c r="B213">
        <v>2000</v>
      </c>
      <c r="C213" t="s">
        <v>46</v>
      </c>
      <c r="D213">
        <v>160.41</v>
      </c>
    </row>
    <row r="214" spans="1:4" x14ac:dyDescent="0.45">
      <c r="A214" t="s">
        <v>5</v>
      </c>
      <c r="B214">
        <v>2000</v>
      </c>
      <c r="C214" t="s">
        <v>46</v>
      </c>
      <c r="D214">
        <v>12.28</v>
      </c>
    </row>
    <row r="215" spans="1:4" x14ac:dyDescent="0.45">
      <c r="A215" t="s">
        <v>4</v>
      </c>
      <c r="B215">
        <v>2000</v>
      </c>
      <c r="C215" t="s">
        <v>46</v>
      </c>
      <c r="D215">
        <v>0.39</v>
      </c>
    </row>
    <row r="216" spans="1:4" x14ac:dyDescent="0.45">
      <c r="A216" t="s">
        <v>18</v>
      </c>
      <c r="B216">
        <v>2000</v>
      </c>
      <c r="C216" t="s">
        <v>46</v>
      </c>
      <c r="D216">
        <v>1.49</v>
      </c>
    </row>
    <row r="217" spans="1:4" x14ac:dyDescent="0.45">
      <c r="A217" t="s">
        <v>6</v>
      </c>
      <c r="B217">
        <v>2000</v>
      </c>
      <c r="C217" t="s">
        <v>46</v>
      </c>
      <c r="D217">
        <v>0</v>
      </c>
    </row>
    <row r="218" spans="1:4" x14ac:dyDescent="0.45">
      <c r="A218" t="s">
        <v>73</v>
      </c>
      <c r="B218">
        <v>2000</v>
      </c>
      <c r="C218" t="s">
        <v>46</v>
      </c>
      <c r="D218">
        <v>0</v>
      </c>
    </row>
    <row r="219" spans="1:4" x14ac:dyDescent="0.45">
      <c r="A219" t="s">
        <v>40</v>
      </c>
      <c r="B219">
        <v>2001</v>
      </c>
      <c r="C219" t="s">
        <v>46</v>
      </c>
      <c r="D219">
        <v>0.17</v>
      </c>
    </row>
    <row r="220" spans="1:4" x14ac:dyDescent="0.45">
      <c r="A220" t="s">
        <v>3</v>
      </c>
      <c r="B220">
        <v>2001</v>
      </c>
      <c r="C220" t="s">
        <v>46</v>
      </c>
      <c r="D220">
        <v>159.88</v>
      </c>
    </row>
    <row r="221" spans="1:4" x14ac:dyDescent="0.45">
      <c r="A221" t="s">
        <v>5</v>
      </c>
      <c r="B221">
        <v>2001</v>
      </c>
      <c r="C221" t="s">
        <v>46</v>
      </c>
      <c r="D221">
        <v>17.96</v>
      </c>
    </row>
    <row r="222" spans="1:4" x14ac:dyDescent="0.45">
      <c r="A222" t="s">
        <v>4</v>
      </c>
      <c r="B222">
        <v>2001</v>
      </c>
      <c r="C222" t="s">
        <v>46</v>
      </c>
      <c r="D222">
        <v>0.38</v>
      </c>
    </row>
    <row r="223" spans="1:4" x14ac:dyDescent="0.45">
      <c r="A223" t="s">
        <v>18</v>
      </c>
      <c r="B223">
        <v>2001</v>
      </c>
      <c r="C223" t="s">
        <v>46</v>
      </c>
      <c r="D223">
        <v>1.72</v>
      </c>
    </row>
    <row r="224" spans="1:4" x14ac:dyDescent="0.45">
      <c r="A224" t="s">
        <v>6</v>
      </c>
      <c r="B224">
        <v>2001</v>
      </c>
      <c r="C224" t="s">
        <v>46</v>
      </c>
      <c r="D224">
        <v>0</v>
      </c>
    </row>
    <row r="225" spans="1:4" x14ac:dyDescent="0.45">
      <c r="A225" t="s">
        <v>73</v>
      </c>
      <c r="B225">
        <v>2001</v>
      </c>
      <c r="C225" t="s">
        <v>46</v>
      </c>
      <c r="D225">
        <v>0</v>
      </c>
    </row>
    <row r="226" spans="1:4" x14ac:dyDescent="0.45">
      <c r="A226" t="s">
        <v>40</v>
      </c>
      <c r="B226">
        <v>2002</v>
      </c>
      <c r="C226" t="s">
        <v>46</v>
      </c>
      <c r="D226">
        <v>0.27</v>
      </c>
    </row>
    <row r="227" spans="1:4" x14ac:dyDescent="0.45">
      <c r="A227" t="s">
        <v>3</v>
      </c>
      <c r="B227">
        <v>2002</v>
      </c>
      <c r="C227" t="s">
        <v>46</v>
      </c>
      <c r="D227">
        <v>152.49</v>
      </c>
    </row>
    <row r="228" spans="1:4" x14ac:dyDescent="0.45">
      <c r="A228" t="s">
        <v>5</v>
      </c>
      <c r="B228">
        <v>2002</v>
      </c>
      <c r="C228" t="s">
        <v>46</v>
      </c>
      <c r="D228">
        <v>22.39</v>
      </c>
    </row>
    <row r="229" spans="1:4" x14ac:dyDescent="0.45">
      <c r="A229" t="s">
        <v>4</v>
      </c>
      <c r="B229">
        <v>2002</v>
      </c>
      <c r="C229" t="s">
        <v>46</v>
      </c>
      <c r="D229">
        <v>0.38</v>
      </c>
    </row>
    <row r="230" spans="1:4" x14ac:dyDescent="0.45">
      <c r="A230" t="s">
        <v>18</v>
      </c>
      <c r="B230">
        <v>2002</v>
      </c>
      <c r="C230" t="s">
        <v>46</v>
      </c>
      <c r="D230">
        <v>2.06</v>
      </c>
    </row>
    <row r="231" spans="1:4" x14ac:dyDescent="0.45">
      <c r="A231" t="s">
        <v>6</v>
      </c>
      <c r="B231">
        <v>2002</v>
      </c>
      <c r="C231" t="s">
        <v>46</v>
      </c>
      <c r="D231">
        <v>0</v>
      </c>
    </row>
    <row r="232" spans="1:4" x14ac:dyDescent="0.45">
      <c r="A232" t="s">
        <v>73</v>
      </c>
      <c r="B232">
        <v>2002</v>
      </c>
      <c r="C232" t="s">
        <v>46</v>
      </c>
      <c r="D232">
        <v>0.01</v>
      </c>
    </row>
    <row r="233" spans="1:4" x14ac:dyDescent="0.45">
      <c r="A233" t="s">
        <v>40</v>
      </c>
      <c r="B233">
        <v>2003</v>
      </c>
      <c r="C233" t="s">
        <v>46</v>
      </c>
      <c r="D233">
        <v>0.37</v>
      </c>
    </row>
    <row r="234" spans="1:4" x14ac:dyDescent="0.45">
      <c r="A234" t="s">
        <v>3</v>
      </c>
      <c r="B234">
        <v>2003</v>
      </c>
      <c r="C234" t="s">
        <v>46</v>
      </c>
      <c r="D234">
        <v>153.80000000000001</v>
      </c>
    </row>
    <row r="235" spans="1:4" x14ac:dyDescent="0.45">
      <c r="A235" t="s">
        <v>5</v>
      </c>
      <c r="B235">
        <v>2003</v>
      </c>
      <c r="C235" t="s">
        <v>46</v>
      </c>
      <c r="D235">
        <v>22.1</v>
      </c>
    </row>
    <row r="236" spans="1:4" x14ac:dyDescent="0.45">
      <c r="A236" t="s">
        <v>4</v>
      </c>
      <c r="B236">
        <v>2003</v>
      </c>
      <c r="C236" t="s">
        <v>46</v>
      </c>
      <c r="D236">
        <v>0.39</v>
      </c>
    </row>
    <row r="237" spans="1:4" x14ac:dyDescent="0.45">
      <c r="A237" t="s">
        <v>18</v>
      </c>
      <c r="B237">
        <v>2003</v>
      </c>
      <c r="C237" t="s">
        <v>46</v>
      </c>
      <c r="D237">
        <v>2.3199999999999998</v>
      </c>
    </row>
    <row r="238" spans="1:4" x14ac:dyDescent="0.45">
      <c r="A238" t="s">
        <v>6</v>
      </c>
      <c r="B238">
        <v>2003</v>
      </c>
      <c r="C238" t="s">
        <v>46</v>
      </c>
      <c r="D238">
        <v>0</v>
      </c>
    </row>
    <row r="239" spans="1:4" x14ac:dyDescent="0.45">
      <c r="A239" t="s">
        <v>73</v>
      </c>
      <c r="B239">
        <v>2003</v>
      </c>
      <c r="C239" t="s">
        <v>46</v>
      </c>
      <c r="D239">
        <v>0.01</v>
      </c>
    </row>
    <row r="240" spans="1:4" x14ac:dyDescent="0.45">
      <c r="A240" t="s">
        <v>40</v>
      </c>
      <c r="B240">
        <v>2004</v>
      </c>
      <c r="C240" t="s">
        <v>46</v>
      </c>
      <c r="D240">
        <v>0.61</v>
      </c>
    </row>
    <row r="241" spans="1:4" x14ac:dyDescent="0.45">
      <c r="A241" t="s">
        <v>3</v>
      </c>
      <c r="B241">
        <v>2004</v>
      </c>
      <c r="C241" t="s">
        <v>46</v>
      </c>
      <c r="D241">
        <v>158.38</v>
      </c>
    </row>
    <row r="242" spans="1:4" x14ac:dyDescent="0.45">
      <c r="A242" t="s">
        <v>5</v>
      </c>
      <c r="B242">
        <v>2004</v>
      </c>
      <c r="C242" t="s">
        <v>46</v>
      </c>
      <c r="D242">
        <v>20.05</v>
      </c>
    </row>
    <row r="243" spans="1:4" x14ac:dyDescent="0.45">
      <c r="A243" t="s">
        <v>4</v>
      </c>
      <c r="B243">
        <v>2004</v>
      </c>
      <c r="C243" t="s">
        <v>46</v>
      </c>
      <c r="D243">
        <v>0.37</v>
      </c>
    </row>
    <row r="244" spans="1:4" x14ac:dyDescent="0.45">
      <c r="A244" t="s">
        <v>18</v>
      </c>
      <c r="B244">
        <v>2004</v>
      </c>
      <c r="C244" t="s">
        <v>46</v>
      </c>
      <c r="D244">
        <v>2.3199999999999998</v>
      </c>
    </row>
    <row r="245" spans="1:4" x14ac:dyDescent="0.45">
      <c r="A245" t="s">
        <v>6</v>
      </c>
      <c r="B245">
        <v>2004</v>
      </c>
      <c r="C245" t="s">
        <v>46</v>
      </c>
      <c r="D245">
        <v>0</v>
      </c>
    </row>
    <row r="246" spans="1:4" x14ac:dyDescent="0.45">
      <c r="A246" t="s">
        <v>73</v>
      </c>
      <c r="B246">
        <v>2004</v>
      </c>
      <c r="C246" t="s">
        <v>46</v>
      </c>
      <c r="D246">
        <v>0.01</v>
      </c>
    </row>
    <row r="247" spans="1:4" x14ac:dyDescent="0.45">
      <c r="A247" t="s">
        <v>40</v>
      </c>
      <c r="B247">
        <v>2005</v>
      </c>
      <c r="C247" t="s">
        <v>46</v>
      </c>
      <c r="D247">
        <v>0.84</v>
      </c>
    </row>
    <row r="248" spans="1:4" x14ac:dyDescent="0.45">
      <c r="A248" t="s">
        <v>3</v>
      </c>
      <c r="B248">
        <v>2005</v>
      </c>
      <c r="C248" t="s">
        <v>46</v>
      </c>
      <c r="D248">
        <v>161.94</v>
      </c>
    </row>
    <row r="249" spans="1:4" x14ac:dyDescent="0.45">
      <c r="A249" t="s">
        <v>5</v>
      </c>
      <c r="B249">
        <v>2005</v>
      </c>
      <c r="C249" t="s">
        <v>46</v>
      </c>
      <c r="D249">
        <v>17.05</v>
      </c>
    </row>
    <row r="250" spans="1:4" x14ac:dyDescent="0.45">
      <c r="A250" t="s">
        <v>4</v>
      </c>
      <c r="B250">
        <v>2005</v>
      </c>
      <c r="C250" t="s">
        <v>46</v>
      </c>
      <c r="D250">
        <v>0.37</v>
      </c>
    </row>
    <row r="251" spans="1:4" x14ac:dyDescent="0.45">
      <c r="A251" t="s">
        <v>18</v>
      </c>
      <c r="B251">
        <v>2005</v>
      </c>
      <c r="C251" t="s">
        <v>46</v>
      </c>
      <c r="D251">
        <v>2.4900000000000002</v>
      </c>
    </row>
    <row r="252" spans="1:4" x14ac:dyDescent="0.45">
      <c r="A252" t="s">
        <v>6</v>
      </c>
      <c r="B252">
        <v>2005</v>
      </c>
      <c r="C252" t="s">
        <v>46</v>
      </c>
      <c r="D252">
        <v>0</v>
      </c>
    </row>
    <row r="253" spans="1:4" x14ac:dyDescent="0.45">
      <c r="A253" t="s">
        <v>73</v>
      </c>
      <c r="B253">
        <v>2005</v>
      </c>
      <c r="C253" t="s">
        <v>46</v>
      </c>
      <c r="D253">
        <v>0.01</v>
      </c>
    </row>
    <row r="254" spans="1:4" x14ac:dyDescent="0.45">
      <c r="A254" t="s">
        <v>40</v>
      </c>
      <c r="B254">
        <v>2006</v>
      </c>
      <c r="C254" t="s">
        <v>46</v>
      </c>
      <c r="D254">
        <v>0.85</v>
      </c>
    </row>
    <row r="255" spans="1:4" x14ac:dyDescent="0.45">
      <c r="A255" t="s">
        <v>3</v>
      </c>
      <c r="B255">
        <v>2006</v>
      </c>
      <c r="C255" t="s">
        <v>46</v>
      </c>
      <c r="D255">
        <v>164.4</v>
      </c>
    </row>
    <row r="256" spans="1:4" x14ac:dyDescent="0.45">
      <c r="A256" t="s">
        <v>5</v>
      </c>
      <c r="B256">
        <v>2006</v>
      </c>
      <c r="C256" t="s">
        <v>46</v>
      </c>
      <c r="D256">
        <v>20</v>
      </c>
    </row>
    <row r="257" spans="1:4" x14ac:dyDescent="0.45">
      <c r="A257" t="s">
        <v>4</v>
      </c>
      <c r="B257">
        <v>2006</v>
      </c>
      <c r="C257" t="s">
        <v>46</v>
      </c>
      <c r="D257">
        <v>0.36</v>
      </c>
    </row>
    <row r="258" spans="1:4" x14ac:dyDescent="0.45">
      <c r="A258" t="s">
        <v>15</v>
      </c>
      <c r="B258">
        <v>2006</v>
      </c>
      <c r="C258" t="s">
        <v>46</v>
      </c>
      <c r="D258">
        <v>0</v>
      </c>
    </row>
    <row r="259" spans="1:4" x14ac:dyDescent="0.45">
      <c r="A259" t="s">
        <v>18</v>
      </c>
      <c r="B259">
        <v>2006</v>
      </c>
      <c r="C259" t="s">
        <v>46</v>
      </c>
      <c r="D259">
        <v>2.5</v>
      </c>
    </row>
    <row r="260" spans="1:4" x14ac:dyDescent="0.45">
      <c r="A260" t="s">
        <v>6</v>
      </c>
      <c r="B260">
        <v>2006</v>
      </c>
      <c r="C260" t="s">
        <v>46</v>
      </c>
      <c r="D260">
        <v>0</v>
      </c>
    </row>
    <row r="261" spans="1:4" x14ac:dyDescent="0.45">
      <c r="A261" t="s">
        <v>73</v>
      </c>
      <c r="B261">
        <v>2006</v>
      </c>
      <c r="C261" t="s">
        <v>46</v>
      </c>
      <c r="D261">
        <v>0.02</v>
      </c>
    </row>
    <row r="262" spans="1:4" x14ac:dyDescent="0.45">
      <c r="A262" t="s">
        <v>40</v>
      </c>
      <c r="B262">
        <v>2007</v>
      </c>
      <c r="C262" t="s">
        <v>46</v>
      </c>
      <c r="D262">
        <v>0.93</v>
      </c>
    </row>
    <row r="263" spans="1:4" x14ac:dyDescent="0.45">
      <c r="A263" t="s">
        <v>3</v>
      </c>
      <c r="B263">
        <v>2007</v>
      </c>
      <c r="C263" t="s">
        <v>46</v>
      </c>
      <c r="D263">
        <v>164</v>
      </c>
    </row>
    <row r="264" spans="1:4" x14ac:dyDescent="0.45">
      <c r="A264" t="s">
        <v>5</v>
      </c>
      <c r="B264">
        <v>2007</v>
      </c>
      <c r="C264" t="s">
        <v>46</v>
      </c>
      <c r="D264">
        <v>24.48</v>
      </c>
    </row>
    <row r="265" spans="1:4" x14ac:dyDescent="0.45">
      <c r="A265" t="s">
        <v>4</v>
      </c>
      <c r="B265">
        <v>2007</v>
      </c>
      <c r="C265" t="s">
        <v>46</v>
      </c>
      <c r="D265">
        <v>0.31</v>
      </c>
    </row>
    <row r="266" spans="1:4" x14ac:dyDescent="0.45">
      <c r="A266" t="s">
        <v>18</v>
      </c>
      <c r="B266">
        <v>2007</v>
      </c>
      <c r="C266" t="s">
        <v>46</v>
      </c>
      <c r="D266">
        <v>2.64</v>
      </c>
    </row>
    <row r="267" spans="1:4" x14ac:dyDescent="0.45">
      <c r="A267" t="s">
        <v>6</v>
      </c>
      <c r="B267">
        <v>2007</v>
      </c>
      <c r="C267" t="s">
        <v>46</v>
      </c>
      <c r="D267">
        <v>0.01</v>
      </c>
    </row>
    <row r="268" spans="1:4" x14ac:dyDescent="0.45">
      <c r="A268" t="s">
        <v>73</v>
      </c>
      <c r="B268">
        <v>2007</v>
      </c>
      <c r="C268" t="s">
        <v>46</v>
      </c>
      <c r="D268">
        <v>0.03</v>
      </c>
    </row>
    <row r="269" spans="1:4" x14ac:dyDescent="0.45">
      <c r="A269" t="s">
        <v>40</v>
      </c>
      <c r="B269">
        <v>2008</v>
      </c>
      <c r="C269" t="s">
        <v>46</v>
      </c>
      <c r="D269">
        <v>0.8</v>
      </c>
    </row>
    <row r="270" spans="1:4" x14ac:dyDescent="0.45">
      <c r="A270" t="s">
        <v>3</v>
      </c>
      <c r="B270">
        <v>2008</v>
      </c>
      <c r="C270" t="s">
        <v>46</v>
      </c>
      <c r="D270">
        <v>162.72999999999999</v>
      </c>
    </row>
    <row r="271" spans="1:4" x14ac:dyDescent="0.45">
      <c r="A271" t="s">
        <v>5</v>
      </c>
      <c r="B271">
        <v>2008</v>
      </c>
      <c r="C271" t="s">
        <v>46</v>
      </c>
      <c r="D271">
        <v>26.61</v>
      </c>
    </row>
    <row r="272" spans="1:4" x14ac:dyDescent="0.45">
      <c r="A272" t="s">
        <v>4</v>
      </c>
      <c r="B272">
        <v>2008</v>
      </c>
      <c r="C272" t="s">
        <v>46</v>
      </c>
      <c r="D272">
        <v>0.28000000000000003</v>
      </c>
    </row>
    <row r="273" spans="1:4" x14ac:dyDescent="0.45">
      <c r="A273" t="s">
        <v>18</v>
      </c>
      <c r="B273">
        <v>2008</v>
      </c>
      <c r="C273" t="s">
        <v>46</v>
      </c>
      <c r="D273">
        <v>3.76</v>
      </c>
    </row>
    <row r="274" spans="1:4" x14ac:dyDescent="0.45">
      <c r="A274" t="s">
        <v>6</v>
      </c>
      <c r="B274">
        <v>2008</v>
      </c>
      <c r="C274" t="s">
        <v>46</v>
      </c>
      <c r="D274">
        <v>0.01</v>
      </c>
    </row>
    <row r="275" spans="1:4" x14ac:dyDescent="0.45">
      <c r="A275" t="s">
        <v>73</v>
      </c>
      <c r="B275">
        <v>2008</v>
      </c>
      <c r="C275" t="s">
        <v>46</v>
      </c>
      <c r="D275">
        <v>0.03</v>
      </c>
    </row>
    <row r="276" spans="1:4" x14ac:dyDescent="0.45">
      <c r="A276" t="s">
        <v>40</v>
      </c>
      <c r="B276">
        <v>2009</v>
      </c>
      <c r="C276" t="s">
        <v>46</v>
      </c>
      <c r="D276">
        <v>0.6</v>
      </c>
    </row>
    <row r="277" spans="1:4" x14ac:dyDescent="0.45">
      <c r="A277" t="s">
        <v>3</v>
      </c>
      <c r="B277">
        <v>2009</v>
      </c>
      <c r="C277" t="s">
        <v>46</v>
      </c>
      <c r="D277">
        <v>160.77000000000001</v>
      </c>
    </row>
    <row r="278" spans="1:4" x14ac:dyDescent="0.45">
      <c r="A278" t="s">
        <v>5</v>
      </c>
      <c r="B278">
        <v>2009</v>
      </c>
      <c r="C278" t="s">
        <v>46</v>
      </c>
      <c r="D278">
        <v>30.14</v>
      </c>
    </row>
    <row r="279" spans="1:4" x14ac:dyDescent="0.45">
      <c r="A279" t="s">
        <v>4</v>
      </c>
      <c r="B279">
        <v>2009</v>
      </c>
      <c r="C279" t="s">
        <v>46</v>
      </c>
      <c r="D279">
        <v>0.3</v>
      </c>
    </row>
    <row r="280" spans="1:4" x14ac:dyDescent="0.45">
      <c r="A280" t="s">
        <v>18</v>
      </c>
      <c r="B280">
        <v>2009</v>
      </c>
      <c r="C280" t="s">
        <v>46</v>
      </c>
      <c r="D280">
        <v>4.34</v>
      </c>
    </row>
    <row r="281" spans="1:4" x14ac:dyDescent="0.45">
      <c r="A281" t="s">
        <v>6</v>
      </c>
      <c r="B281">
        <v>2009</v>
      </c>
      <c r="C281" t="s">
        <v>46</v>
      </c>
      <c r="D281">
        <v>0.01</v>
      </c>
    </row>
    <row r="282" spans="1:4" x14ac:dyDescent="0.45">
      <c r="A282" t="s">
        <v>73</v>
      </c>
      <c r="B282">
        <v>2009</v>
      </c>
      <c r="C282" t="s">
        <v>46</v>
      </c>
      <c r="D282">
        <v>0.04</v>
      </c>
    </row>
    <row r="283" spans="1:4" x14ac:dyDescent="0.45">
      <c r="A283" t="s">
        <v>40</v>
      </c>
      <c r="B283">
        <v>2010</v>
      </c>
      <c r="C283" t="s">
        <v>46</v>
      </c>
      <c r="D283">
        <v>0.53</v>
      </c>
    </row>
    <row r="284" spans="1:4" x14ac:dyDescent="0.45">
      <c r="A284" t="s">
        <v>3</v>
      </c>
      <c r="B284">
        <v>2010</v>
      </c>
      <c r="C284" t="s">
        <v>46</v>
      </c>
      <c r="D284">
        <v>155.47</v>
      </c>
    </row>
    <row r="285" spans="1:4" x14ac:dyDescent="0.45">
      <c r="A285" t="s">
        <v>5</v>
      </c>
      <c r="B285">
        <v>2010</v>
      </c>
      <c r="C285" t="s">
        <v>46</v>
      </c>
      <c r="D285">
        <v>34.29</v>
      </c>
    </row>
    <row r="286" spans="1:4" x14ac:dyDescent="0.45">
      <c r="A286" t="s">
        <v>4</v>
      </c>
      <c r="B286">
        <v>2010</v>
      </c>
      <c r="C286" t="s">
        <v>46</v>
      </c>
      <c r="D286">
        <v>0.33</v>
      </c>
    </row>
    <row r="287" spans="1:4" x14ac:dyDescent="0.45">
      <c r="A287" t="s">
        <v>18</v>
      </c>
      <c r="B287">
        <v>2010</v>
      </c>
      <c r="C287" t="s">
        <v>46</v>
      </c>
      <c r="D287">
        <v>3.95</v>
      </c>
    </row>
    <row r="288" spans="1:4" x14ac:dyDescent="0.45">
      <c r="A288" t="s">
        <v>6</v>
      </c>
      <c r="B288">
        <v>2010</v>
      </c>
      <c r="C288" t="s">
        <v>46</v>
      </c>
      <c r="D288">
        <v>0.05</v>
      </c>
    </row>
    <row r="289" spans="1:4" x14ac:dyDescent="0.45">
      <c r="A289" t="s">
        <v>73</v>
      </c>
      <c r="B289">
        <v>2010</v>
      </c>
      <c r="C289" t="s">
        <v>46</v>
      </c>
      <c r="D289">
        <v>0.05</v>
      </c>
    </row>
    <row r="290" spans="1:4" x14ac:dyDescent="0.45">
      <c r="A290" t="s">
        <v>40</v>
      </c>
      <c r="B290">
        <v>2011</v>
      </c>
      <c r="C290" t="s">
        <v>46</v>
      </c>
      <c r="D290">
        <v>0.56000000000000005</v>
      </c>
    </row>
    <row r="291" spans="1:4" x14ac:dyDescent="0.45">
      <c r="A291" t="s">
        <v>3</v>
      </c>
      <c r="B291">
        <v>2011</v>
      </c>
      <c r="C291" t="s">
        <v>46</v>
      </c>
      <c r="D291">
        <v>151.9</v>
      </c>
    </row>
    <row r="292" spans="1:4" x14ac:dyDescent="0.45">
      <c r="A292" t="s">
        <v>5</v>
      </c>
      <c r="B292">
        <v>2011</v>
      </c>
      <c r="C292" t="s">
        <v>46</v>
      </c>
      <c r="D292">
        <v>35.75</v>
      </c>
    </row>
    <row r="293" spans="1:4" x14ac:dyDescent="0.45">
      <c r="A293" t="s">
        <v>4</v>
      </c>
      <c r="B293">
        <v>2011</v>
      </c>
      <c r="C293" t="s">
        <v>46</v>
      </c>
      <c r="D293">
        <v>0.46</v>
      </c>
    </row>
    <row r="294" spans="1:4" x14ac:dyDescent="0.45">
      <c r="A294" t="s">
        <v>18</v>
      </c>
      <c r="B294">
        <v>2011</v>
      </c>
      <c r="C294" t="s">
        <v>46</v>
      </c>
      <c r="D294">
        <v>3.23</v>
      </c>
    </row>
    <row r="295" spans="1:4" x14ac:dyDescent="0.45">
      <c r="A295" t="s">
        <v>6</v>
      </c>
      <c r="B295">
        <v>2011</v>
      </c>
      <c r="C295" t="s">
        <v>46</v>
      </c>
      <c r="D295">
        <v>0.1</v>
      </c>
    </row>
    <row r="296" spans="1:4" x14ac:dyDescent="0.45">
      <c r="A296" t="s">
        <v>73</v>
      </c>
      <c r="B296">
        <v>2011</v>
      </c>
      <c r="C296" t="s">
        <v>46</v>
      </c>
      <c r="D296">
        <v>0.06</v>
      </c>
    </row>
    <row r="297" spans="1:4" x14ac:dyDescent="0.45">
      <c r="A297" t="s">
        <v>40</v>
      </c>
      <c r="B297">
        <v>2012</v>
      </c>
      <c r="C297" t="s">
        <v>46</v>
      </c>
      <c r="D297">
        <v>0.67</v>
      </c>
    </row>
    <row r="298" spans="1:4" x14ac:dyDescent="0.45">
      <c r="A298" t="s">
        <v>3</v>
      </c>
      <c r="B298">
        <v>2012</v>
      </c>
      <c r="C298" t="s">
        <v>46</v>
      </c>
      <c r="D298">
        <v>146.08000000000001</v>
      </c>
    </row>
    <row r="299" spans="1:4" x14ac:dyDescent="0.45">
      <c r="A299" t="s">
        <v>5</v>
      </c>
      <c r="B299">
        <v>2012</v>
      </c>
      <c r="C299" t="s">
        <v>46</v>
      </c>
      <c r="D299">
        <v>36.51</v>
      </c>
    </row>
    <row r="300" spans="1:4" x14ac:dyDescent="0.45">
      <c r="A300" t="s">
        <v>4</v>
      </c>
      <c r="B300">
        <v>2012</v>
      </c>
      <c r="C300" t="s">
        <v>46</v>
      </c>
      <c r="D300">
        <v>0.4</v>
      </c>
    </row>
    <row r="301" spans="1:4" x14ac:dyDescent="0.45">
      <c r="A301" t="s">
        <v>18</v>
      </c>
      <c r="B301">
        <v>2012</v>
      </c>
      <c r="C301" t="s">
        <v>46</v>
      </c>
      <c r="D301">
        <v>3.42</v>
      </c>
    </row>
    <row r="302" spans="1:4" x14ac:dyDescent="0.45">
      <c r="A302" t="s">
        <v>6</v>
      </c>
      <c r="B302">
        <v>2012</v>
      </c>
      <c r="C302" t="s">
        <v>46</v>
      </c>
      <c r="D302">
        <v>0.11</v>
      </c>
    </row>
    <row r="303" spans="1:4" x14ac:dyDescent="0.45">
      <c r="A303" t="s">
        <v>73</v>
      </c>
      <c r="B303">
        <v>2012</v>
      </c>
      <c r="C303" t="s">
        <v>46</v>
      </c>
      <c r="D303">
        <v>7.0000000000000007E-2</v>
      </c>
    </row>
    <row r="304" spans="1:4" x14ac:dyDescent="0.45">
      <c r="A304" t="s">
        <v>40</v>
      </c>
      <c r="B304">
        <v>2013</v>
      </c>
      <c r="C304" t="s">
        <v>46</v>
      </c>
      <c r="D304">
        <v>0.72</v>
      </c>
    </row>
    <row r="305" spans="1:4" x14ac:dyDescent="0.45">
      <c r="A305" t="s">
        <v>3</v>
      </c>
      <c r="B305">
        <v>2013</v>
      </c>
      <c r="C305" t="s">
        <v>46</v>
      </c>
      <c r="D305">
        <v>137.32</v>
      </c>
    </row>
    <row r="306" spans="1:4" x14ac:dyDescent="0.45">
      <c r="A306" t="s">
        <v>5</v>
      </c>
      <c r="B306">
        <v>2013</v>
      </c>
      <c r="C306" t="s">
        <v>46</v>
      </c>
      <c r="D306">
        <v>38.64</v>
      </c>
    </row>
    <row r="307" spans="1:4" x14ac:dyDescent="0.45">
      <c r="A307" t="s">
        <v>4</v>
      </c>
      <c r="B307">
        <v>2013</v>
      </c>
      <c r="C307" t="s">
        <v>46</v>
      </c>
      <c r="D307">
        <v>0.45</v>
      </c>
    </row>
    <row r="308" spans="1:4" x14ac:dyDescent="0.45">
      <c r="A308" t="s">
        <v>18</v>
      </c>
      <c r="B308">
        <v>2013</v>
      </c>
      <c r="C308" t="s">
        <v>46</v>
      </c>
      <c r="D308">
        <v>3.86</v>
      </c>
    </row>
    <row r="309" spans="1:4" x14ac:dyDescent="0.45">
      <c r="A309" t="s">
        <v>6</v>
      </c>
      <c r="B309">
        <v>2013</v>
      </c>
      <c r="C309" t="s">
        <v>46</v>
      </c>
      <c r="D309">
        <v>0.18</v>
      </c>
    </row>
    <row r="310" spans="1:4" x14ac:dyDescent="0.45">
      <c r="A310" t="s">
        <v>73</v>
      </c>
      <c r="B310">
        <v>2013</v>
      </c>
      <c r="C310" t="s">
        <v>46</v>
      </c>
      <c r="D310">
        <v>0.09</v>
      </c>
    </row>
    <row r="311" spans="1:4" x14ac:dyDescent="0.45">
      <c r="A311" t="s">
        <v>40</v>
      </c>
      <c r="B311">
        <v>2014</v>
      </c>
      <c r="C311" t="s">
        <v>46</v>
      </c>
      <c r="D311">
        <v>0.77</v>
      </c>
    </row>
    <row r="312" spans="1:4" x14ac:dyDescent="0.45">
      <c r="A312" t="s">
        <v>3</v>
      </c>
      <c r="B312">
        <v>2014</v>
      </c>
      <c r="C312" t="s">
        <v>46</v>
      </c>
      <c r="D312">
        <v>137.13999999999999</v>
      </c>
    </row>
    <row r="313" spans="1:4" x14ac:dyDescent="0.45">
      <c r="A313" t="s">
        <v>5</v>
      </c>
      <c r="B313">
        <v>2014</v>
      </c>
      <c r="C313" t="s">
        <v>46</v>
      </c>
      <c r="D313">
        <v>39.33</v>
      </c>
    </row>
    <row r="314" spans="1:4" x14ac:dyDescent="0.45">
      <c r="A314" t="s">
        <v>4</v>
      </c>
      <c r="B314">
        <v>2014</v>
      </c>
      <c r="C314" t="s">
        <v>46</v>
      </c>
      <c r="D314">
        <v>0.34</v>
      </c>
    </row>
    <row r="315" spans="1:4" x14ac:dyDescent="0.45">
      <c r="A315" t="s">
        <v>18</v>
      </c>
      <c r="B315">
        <v>2014</v>
      </c>
      <c r="C315" t="s">
        <v>46</v>
      </c>
      <c r="D315">
        <v>3.95</v>
      </c>
    </row>
    <row r="316" spans="1:4" x14ac:dyDescent="0.45">
      <c r="A316" t="s">
        <v>6</v>
      </c>
      <c r="B316">
        <v>2014</v>
      </c>
      <c r="C316" t="s">
        <v>46</v>
      </c>
      <c r="D316">
        <v>0.24</v>
      </c>
    </row>
    <row r="317" spans="1:4" x14ac:dyDescent="0.45">
      <c r="A317" t="s">
        <v>73</v>
      </c>
      <c r="B317">
        <v>2014</v>
      </c>
      <c r="C317" t="s">
        <v>46</v>
      </c>
      <c r="D317">
        <v>0.09</v>
      </c>
    </row>
    <row r="318" spans="1:4" x14ac:dyDescent="0.45">
      <c r="A318" t="s">
        <v>40</v>
      </c>
      <c r="B318">
        <v>2015</v>
      </c>
      <c r="C318" t="s">
        <v>46</v>
      </c>
      <c r="D318">
        <v>0.8</v>
      </c>
    </row>
    <row r="319" spans="1:4" x14ac:dyDescent="0.45">
      <c r="A319" t="s">
        <v>3</v>
      </c>
      <c r="B319">
        <v>2015</v>
      </c>
      <c r="C319" t="s">
        <v>46</v>
      </c>
      <c r="D319">
        <v>143.28</v>
      </c>
    </row>
    <row r="320" spans="1:4" x14ac:dyDescent="0.45">
      <c r="A320" t="s">
        <v>5</v>
      </c>
      <c r="B320">
        <v>2015</v>
      </c>
      <c r="C320" t="s">
        <v>46</v>
      </c>
      <c r="D320">
        <v>36.43</v>
      </c>
    </row>
    <row r="321" spans="1:4" x14ac:dyDescent="0.45">
      <c r="A321" t="s">
        <v>4</v>
      </c>
      <c r="B321">
        <v>2015</v>
      </c>
      <c r="C321" t="s">
        <v>46</v>
      </c>
      <c r="D321">
        <v>0.33</v>
      </c>
    </row>
    <row r="322" spans="1:4" x14ac:dyDescent="0.45">
      <c r="A322" t="s">
        <v>18</v>
      </c>
      <c r="B322">
        <v>2015</v>
      </c>
      <c r="C322" t="s">
        <v>46</v>
      </c>
      <c r="D322">
        <v>4.13</v>
      </c>
    </row>
    <row r="323" spans="1:4" x14ac:dyDescent="0.45">
      <c r="A323" t="s">
        <v>6</v>
      </c>
      <c r="B323">
        <v>2015</v>
      </c>
      <c r="C323" t="s">
        <v>46</v>
      </c>
      <c r="D323">
        <v>0.28999999999999998</v>
      </c>
    </row>
    <row r="324" spans="1:4" x14ac:dyDescent="0.45">
      <c r="A324" t="s">
        <v>73</v>
      </c>
      <c r="B324">
        <v>2015</v>
      </c>
      <c r="C324" t="s">
        <v>46</v>
      </c>
      <c r="D324">
        <v>0.11</v>
      </c>
    </row>
    <row r="325" spans="1:4" x14ac:dyDescent="0.45">
      <c r="A325" t="s">
        <v>40</v>
      </c>
      <c r="B325">
        <v>2016</v>
      </c>
      <c r="C325" t="s">
        <v>46</v>
      </c>
      <c r="D325">
        <v>0.78</v>
      </c>
    </row>
    <row r="326" spans="1:4" x14ac:dyDescent="0.45">
      <c r="A326" t="s">
        <v>3</v>
      </c>
      <c r="B326">
        <v>2016</v>
      </c>
      <c r="C326" t="s">
        <v>46</v>
      </c>
      <c r="D326">
        <v>143.4</v>
      </c>
    </row>
    <row r="327" spans="1:4" x14ac:dyDescent="0.45">
      <c r="A327" t="s">
        <v>5</v>
      </c>
      <c r="B327">
        <v>2016</v>
      </c>
      <c r="C327" t="s">
        <v>46</v>
      </c>
      <c r="D327">
        <v>35.26</v>
      </c>
    </row>
    <row r="328" spans="1:4" x14ac:dyDescent="0.45">
      <c r="A328" t="s">
        <v>4</v>
      </c>
      <c r="B328">
        <v>2016</v>
      </c>
      <c r="C328" t="s">
        <v>46</v>
      </c>
      <c r="D328">
        <v>0.42</v>
      </c>
    </row>
    <row r="329" spans="1:4" x14ac:dyDescent="0.45">
      <c r="A329" t="s">
        <v>18</v>
      </c>
      <c r="B329">
        <v>2016</v>
      </c>
      <c r="C329" t="s">
        <v>46</v>
      </c>
      <c r="D329">
        <v>3.96</v>
      </c>
    </row>
    <row r="330" spans="1:4" x14ac:dyDescent="0.45">
      <c r="A330" t="s">
        <v>6</v>
      </c>
      <c r="B330">
        <v>2016</v>
      </c>
      <c r="C330" t="s">
        <v>46</v>
      </c>
      <c r="D330">
        <v>0.35</v>
      </c>
    </row>
    <row r="331" spans="1:4" x14ac:dyDescent="0.45">
      <c r="A331" t="s">
        <v>73</v>
      </c>
      <c r="B331">
        <v>2016</v>
      </c>
      <c r="C331" t="s">
        <v>46</v>
      </c>
      <c r="D331">
        <v>0.12</v>
      </c>
    </row>
    <row r="332" spans="1:4" x14ac:dyDescent="0.45">
      <c r="A332" t="s">
        <v>40</v>
      </c>
      <c r="B332">
        <v>2017</v>
      </c>
      <c r="C332" t="s">
        <v>46</v>
      </c>
      <c r="D332">
        <v>0.77</v>
      </c>
    </row>
    <row r="333" spans="1:4" x14ac:dyDescent="0.45">
      <c r="A333" t="s">
        <v>3</v>
      </c>
      <c r="B333">
        <v>2017</v>
      </c>
      <c r="C333" t="s">
        <v>46</v>
      </c>
      <c r="D333">
        <v>140.35</v>
      </c>
    </row>
    <row r="334" spans="1:4" x14ac:dyDescent="0.45">
      <c r="A334" t="s">
        <v>5</v>
      </c>
      <c r="B334">
        <v>2017</v>
      </c>
      <c r="C334" t="s">
        <v>46</v>
      </c>
      <c r="D334">
        <v>40.380000000000003</v>
      </c>
    </row>
    <row r="335" spans="1:4" x14ac:dyDescent="0.45">
      <c r="A335" t="s">
        <v>4</v>
      </c>
      <c r="B335">
        <v>2017</v>
      </c>
      <c r="C335" t="s">
        <v>46</v>
      </c>
      <c r="D335">
        <v>0.32</v>
      </c>
    </row>
    <row r="336" spans="1:4" x14ac:dyDescent="0.45">
      <c r="A336" t="s">
        <v>18</v>
      </c>
      <c r="B336">
        <v>2017</v>
      </c>
      <c r="C336" t="s">
        <v>46</v>
      </c>
      <c r="D336">
        <v>3.63</v>
      </c>
    </row>
    <row r="337" spans="1:4" x14ac:dyDescent="0.45">
      <c r="A337" t="s">
        <v>6</v>
      </c>
      <c r="B337">
        <v>2017</v>
      </c>
      <c r="C337" t="s">
        <v>46</v>
      </c>
      <c r="D337">
        <v>0.42</v>
      </c>
    </row>
    <row r="338" spans="1:4" x14ac:dyDescent="0.45">
      <c r="A338" t="s">
        <v>73</v>
      </c>
      <c r="B338">
        <v>2017</v>
      </c>
      <c r="C338" t="s">
        <v>46</v>
      </c>
      <c r="D338">
        <v>0.13</v>
      </c>
    </row>
    <row r="339" spans="1:4" x14ac:dyDescent="0.45">
      <c r="A339" t="s">
        <v>40</v>
      </c>
      <c r="B339">
        <v>2018</v>
      </c>
      <c r="C339" t="s">
        <v>46</v>
      </c>
      <c r="D339">
        <v>0.78</v>
      </c>
    </row>
    <row r="340" spans="1:4" x14ac:dyDescent="0.45">
      <c r="A340" t="s">
        <v>3</v>
      </c>
      <c r="B340">
        <v>2018</v>
      </c>
      <c r="C340" t="s">
        <v>46</v>
      </c>
      <c r="D340">
        <v>137.82</v>
      </c>
    </row>
    <row r="341" spans="1:4" x14ac:dyDescent="0.45">
      <c r="A341" t="s">
        <v>5</v>
      </c>
      <c r="B341">
        <v>2018</v>
      </c>
      <c r="C341" t="s">
        <v>46</v>
      </c>
      <c r="D341">
        <v>37.72</v>
      </c>
    </row>
    <row r="342" spans="1:4" x14ac:dyDescent="0.45">
      <c r="A342" t="s">
        <v>4</v>
      </c>
      <c r="B342">
        <v>2018</v>
      </c>
      <c r="C342" t="s">
        <v>46</v>
      </c>
      <c r="D342">
        <v>0.41</v>
      </c>
    </row>
    <row r="343" spans="1:4" x14ac:dyDescent="0.45">
      <c r="A343" t="s">
        <v>18</v>
      </c>
      <c r="B343">
        <v>2018</v>
      </c>
      <c r="C343" t="s">
        <v>46</v>
      </c>
      <c r="D343">
        <v>3.37</v>
      </c>
    </row>
    <row r="344" spans="1:4" x14ac:dyDescent="0.45">
      <c r="A344" t="s">
        <v>6</v>
      </c>
      <c r="B344">
        <v>2018</v>
      </c>
      <c r="C344" t="s">
        <v>46</v>
      </c>
      <c r="D344">
        <v>0.59</v>
      </c>
    </row>
    <row r="345" spans="1:4" x14ac:dyDescent="0.45">
      <c r="A345" t="s">
        <v>73</v>
      </c>
      <c r="B345">
        <v>2018</v>
      </c>
      <c r="C345" t="s">
        <v>46</v>
      </c>
      <c r="D345">
        <v>0.15</v>
      </c>
    </row>
    <row r="346" spans="1:4" x14ac:dyDescent="0.45">
      <c r="A346" t="s">
        <v>40</v>
      </c>
      <c r="B346">
        <v>2019</v>
      </c>
      <c r="C346" t="s">
        <v>46</v>
      </c>
      <c r="D346">
        <v>0.75</v>
      </c>
    </row>
    <row r="347" spans="1:4" x14ac:dyDescent="0.45">
      <c r="A347" t="s">
        <v>3</v>
      </c>
      <c r="B347">
        <v>2019</v>
      </c>
      <c r="C347" t="s">
        <v>46</v>
      </c>
      <c r="D347">
        <v>131.9</v>
      </c>
    </row>
    <row r="348" spans="1:4" x14ac:dyDescent="0.45">
      <c r="A348" t="s">
        <v>5</v>
      </c>
      <c r="B348">
        <v>2019</v>
      </c>
      <c r="C348" t="s">
        <v>46</v>
      </c>
      <c r="D348">
        <v>40.83</v>
      </c>
    </row>
    <row r="349" spans="1:4" x14ac:dyDescent="0.45">
      <c r="A349" t="s">
        <v>4</v>
      </c>
      <c r="B349">
        <v>2019</v>
      </c>
      <c r="C349" t="s">
        <v>46</v>
      </c>
      <c r="D349">
        <v>0.33</v>
      </c>
    </row>
    <row r="350" spans="1:4" x14ac:dyDescent="0.45">
      <c r="A350" t="s">
        <v>18</v>
      </c>
      <c r="B350">
        <v>2019</v>
      </c>
      <c r="C350" t="s">
        <v>46</v>
      </c>
      <c r="D350">
        <v>3.35</v>
      </c>
    </row>
    <row r="351" spans="1:4" x14ac:dyDescent="0.45">
      <c r="A351" t="s">
        <v>6</v>
      </c>
      <c r="B351">
        <v>2019</v>
      </c>
      <c r="C351" t="s">
        <v>46</v>
      </c>
      <c r="D351">
        <v>0.87</v>
      </c>
    </row>
    <row r="352" spans="1:4" x14ac:dyDescent="0.45">
      <c r="A352" t="s">
        <v>73</v>
      </c>
      <c r="B352">
        <v>2019</v>
      </c>
      <c r="C352" t="s">
        <v>46</v>
      </c>
      <c r="D352">
        <v>0.19</v>
      </c>
    </row>
    <row r="353" spans="1:4" x14ac:dyDescent="0.45">
      <c r="A353" t="s">
        <v>40</v>
      </c>
      <c r="B353">
        <v>2020</v>
      </c>
      <c r="C353" t="s">
        <v>46</v>
      </c>
      <c r="D353">
        <v>0.74</v>
      </c>
    </row>
    <row r="354" spans="1:4" x14ac:dyDescent="0.45">
      <c r="A354" t="s">
        <v>3</v>
      </c>
      <c r="B354">
        <v>2020</v>
      </c>
      <c r="C354" t="s">
        <v>46</v>
      </c>
      <c r="D354">
        <v>125.82</v>
      </c>
    </row>
    <row r="355" spans="1:4" x14ac:dyDescent="0.45">
      <c r="A355" t="s">
        <v>5</v>
      </c>
      <c r="B355">
        <v>2020</v>
      </c>
      <c r="C355" t="s">
        <v>46</v>
      </c>
      <c r="D355">
        <v>38.880000000000003</v>
      </c>
    </row>
    <row r="356" spans="1:4" x14ac:dyDescent="0.45">
      <c r="A356" t="s">
        <v>4</v>
      </c>
      <c r="B356">
        <v>2020</v>
      </c>
      <c r="C356" t="s">
        <v>46</v>
      </c>
      <c r="D356">
        <v>0.34</v>
      </c>
    </row>
    <row r="357" spans="1:4" x14ac:dyDescent="0.45">
      <c r="A357" t="s">
        <v>18</v>
      </c>
      <c r="B357">
        <v>2020</v>
      </c>
      <c r="C357" t="s">
        <v>46</v>
      </c>
      <c r="D357">
        <v>3.22</v>
      </c>
    </row>
    <row r="358" spans="1:4" x14ac:dyDescent="0.45">
      <c r="A358" t="s">
        <v>6</v>
      </c>
      <c r="B358">
        <v>2020</v>
      </c>
      <c r="C358" t="s">
        <v>46</v>
      </c>
      <c r="D358">
        <v>1.1299999999999999</v>
      </c>
    </row>
    <row r="359" spans="1:4" x14ac:dyDescent="0.45">
      <c r="A359" t="s">
        <v>73</v>
      </c>
      <c r="B359">
        <v>2020</v>
      </c>
      <c r="C359" t="s">
        <v>46</v>
      </c>
      <c r="D359">
        <v>0.22</v>
      </c>
    </row>
    <row r="360" spans="1:4" x14ac:dyDescent="0.45">
      <c r="A360" t="s">
        <v>40</v>
      </c>
      <c r="B360">
        <v>2021</v>
      </c>
      <c r="C360" t="s">
        <v>46</v>
      </c>
      <c r="D360">
        <v>0.72</v>
      </c>
    </row>
    <row r="361" spans="1:4" x14ac:dyDescent="0.45">
      <c r="A361" t="s">
        <v>3</v>
      </c>
      <c r="B361">
        <v>2021</v>
      </c>
      <c r="C361" t="s">
        <v>46</v>
      </c>
      <c r="D361">
        <v>120.95</v>
      </c>
    </row>
    <row r="362" spans="1:4" x14ac:dyDescent="0.45">
      <c r="A362" t="s">
        <v>5</v>
      </c>
      <c r="B362">
        <v>2021</v>
      </c>
      <c r="C362" t="s">
        <v>46</v>
      </c>
      <c r="D362">
        <v>34.909999999999997</v>
      </c>
    </row>
    <row r="363" spans="1:4" x14ac:dyDescent="0.45">
      <c r="A363" t="s">
        <v>4</v>
      </c>
      <c r="B363">
        <v>2021</v>
      </c>
      <c r="C363" t="s">
        <v>46</v>
      </c>
      <c r="D363">
        <v>0.38</v>
      </c>
    </row>
    <row r="364" spans="1:4" x14ac:dyDescent="0.45">
      <c r="A364" t="s">
        <v>18</v>
      </c>
      <c r="B364">
        <v>2021</v>
      </c>
      <c r="C364" t="s">
        <v>46</v>
      </c>
      <c r="D364">
        <v>3.39</v>
      </c>
    </row>
    <row r="365" spans="1:4" x14ac:dyDescent="0.45">
      <c r="A365" t="s">
        <v>6</v>
      </c>
      <c r="B365">
        <v>2021</v>
      </c>
      <c r="C365" t="s">
        <v>46</v>
      </c>
      <c r="D365">
        <v>1.48</v>
      </c>
    </row>
    <row r="366" spans="1:4" x14ac:dyDescent="0.45">
      <c r="A366" t="s">
        <v>73</v>
      </c>
      <c r="B366">
        <v>2021</v>
      </c>
      <c r="C366" t="s">
        <v>46</v>
      </c>
      <c r="D366">
        <v>0.25</v>
      </c>
    </row>
    <row r="367" spans="1:4" x14ac:dyDescent="0.45">
      <c r="A367" t="s">
        <v>40</v>
      </c>
      <c r="B367">
        <v>2022</v>
      </c>
      <c r="C367" t="s">
        <v>46</v>
      </c>
      <c r="D367">
        <v>0.69</v>
      </c>
    </row>
    <row r="368" spans="1:4" x14ac:dyDescent="0.45">
      <c r="A368" t="s">
        <v>3</v>
      </c>
      <c r="B368">
        <v>2022</v>
      </c>
      <c r="C368" t="s">
        <v>46</v>
      </c>
      <c r="D368">
        <v>113.75</v>
      </c>
    </row>
    <row r="369" spans="1:4" x14ac:dyDescent="0.45">
      <c r="A369" t="s">
        <v>5</v>
      </c>
      <c r="B369">
        <v>2022</v>
      </c>
      <c r="C369" t="s">
        <v>46</v>
      </c>
      <c r="D369">
        <v>37.25</v>
      </c>
    </row>
    <row r="370" spans="1:4" x14ac:dyDescent="0.45">
      <c r="A370" t="s">
        <v>4</v>
      </c>
      <c r="B370">
        <v>2022</v>
      </c>
      <c r="C370" t="s">
        <v>46</v>
      </c>
      <c r="D370">
        <v>0.4</v>
      </c>
    </row>
    <row r="371" spans="1:4" x14ac:dyDescent="0.45">
      <c r="A371" t="s">
        <v>18</v>
      </c>
      <c r="B371">
        <v>2022</v>
      </c>
      <c r="C371" t="s">
        <v>46</v>
      </c>
      <c r="D371">
        <v>3.59</v>
      </c>
    </row>
    <row r="372" spans="1:4" x14ac:dyDescent="0.45">
      <c r="A372" t="s">
        <v>6</v>
      </c>
      <c r="B372">
        <v>2022</v>
      </c>
      <c r="C372" t="s">
        <v>46</v>
      </c>
      <c r="D372">
        <v>1.78</v>
      </c>
    </row>
    <row r="373" spans="1:4" x14ac:dyDescent="0.45">
      <c r="A373" t="s">
        <v>73</v>
      </c>
      <c r="B373">
        <v>2022</v>
      </c>
      <c r="C373" t="s">
        <v>46</v>
      </c>
      <c r="D373">
        <v>0.28999999999999998</v>
      </c>
    </row>
    <row r="374" spans="1:4" x14ac:dyDescent="0.45">
      <c r="A374" t="s">
        <v>40</v>
      </c>
      <c r="B374">
        <v>2023</v>
      </c>
      <c r="C374" t="s">
        <v>46</v>
      </c>
      <c r="D374">
        <v>0.68</v>
      </c>
    </row>
    <row r="375" spans="1:4" x14ac:dyDescent="0.45">
      <c r="A375" t="s">
        <v>3</v>
      </c>
      <c r="B375">
        <v>2023</v>
      </c>
      <c r="C375" t="s">
        <v>46</v>
      </c>
      <c r="D375">
        <v>110.61</v>
      </c>
    </row>
    <row r="376" spans="1:4" x14ac:dyDescent="0.45">
      <c r="A376" t="s">
        <v>5</v>
      </c>
      <c r="B376">
        <v>2023</v>
      </c>
      <c r="C376" t="s">
        <v>46</v>
      </c>
      <c r="D376">
        <v>34.200000000000003</v>
      </c>
    </row>
    <row r="377" spans="1:4" x14ac:dyDescent="0.45">
      <c r="A377" t="s">
        <v>4</v>
      </c>
      <c r="B377">
        <v>2023</v>
      </c>
      <c r="C377" t="s">
        <v>46</v>
      </c>
      <c r="D377">
        <v>0.36</v>
      </c>
    </row>
    <row r="378" spans="1:4" x14ac:dyDescent="0.45">
      <c r="A378" t="s">
        <v>18</v>
      </c>
      <c r="B378">
        <v>2023</v>
      </c>
      <c r="C378" t="s">
        <v>46</v>
      </c>
      <c r="D378">
        <v>3.79</v>
      </c>
    </row>
    <row r="379" spans="1:4" x14ac:dyDescent="0.45">
      <c r="A379" t="s">
        <v>6</v>
      </c>
      <c r="B379">
        <v>2023</v>
      </c>
      <c r="C379" t="s">
        <v>46</v>
      </c>
      <c r="D379">
        <v>2.14</v>
      </c>
    </row>
    <row r="380" spans="1:4" x14ac:dyDescent="0.45">
      <c r="A380" t="s">
        <v>73</v>
      </c>
      <c r="B380">
        <v>2023</v>
      </c>
      <c r="C380" t="s">
        <v>46</v>
      </c>
      <c r="D380">
        <v>0.3</v>
      </c>
    </row>
    <row r="381" spans="1:4" x14ac:dyDescent="0.45">
      <c r="A381" t="s">
        <v>40</v>
      </c>
      <c r="B381">
        <v>2024</v>
      </c>
      <c r="C381" t="s">
        <v>46</v>
      </c>
      <c r="D381">
        <v>0.65</v>
      </c>
    </row>
    <row r="382" spans="1:4" x14ac:dyDescent="0.45">
      <c r="A382" t="s">
        <v>3</v>
      </c>
      <c r="B382">
        <v>2024</v>
      </c>
      <c r="C382" t="s">
        <v>46</v>
      </c>
      <c r="D382">
        <v>112.16</v>
      </c>
    </row>
    <row r="383" spans="1:4" x14ac:dyDescent="0.45">
      <c r="A383" t="s">
        <v>5</v>
      </c>
      <c r="B383">
        <v>2024</v>
      </c>
      <c r="C383" t="s">
        <v>46</v>
      </c>
      <c r="D383">
        <v>35.99</v>
      </c>
    </row>
    <row r="384" spans="1:4" x14ac:dyDescent="0.45">
      <c r="A384" t="s">
        <v>4</v>
      </c>
      <c r="B384">
        <v>2024</v>
      </c>
      <c r="C384" t="s">
        <v>46</v>
      </c>
      <c r="D384">
        <v>0.31</v>
      </c>
    </row>
    <row r="385" spans="1:4" x14ac:dyDescent="0.45">
      <c r="A385" t="s">
        <v>18</v>
      </c>
      <c r="B385">
        <v>2024</v>
      </c>
      <c r="C385" t="s">
        <v>46</v>
      </c>
      <c r="D385">
        <v>4.22</v>
      </c>
    </row>
    <row r="386" spans="1:4" x14ac:dyDescent="0.45">
      <c r="A386" t="s">
        <v>6</v>
      </c>
      <c r="B386">
        <v>2024</v>
      </c>
      <c r="C386" t="s">
        <v>46</v>
      </c>
      <c r="D386">
        <v>2.39</v>
      </c>
    </row>
    <row r="387" spans="1:4" x14ac:dyDescent="0.45">
      <c r="A387" t="s">
        <v>73</v>
      </c>
      <c r="B387">
        <v>2024</v>
      </c>
      <c r="C387" t="s">
        <v>46</v>
      </c>
      <c r="D387">
        <v>0.31</v>
      </c>
    </row>
    <row r="388" spans="1:4" x14ac:dyDescent="0.45">
      <c r="A388" t="s">
        <v>40</v>
      </c>
      <c r="B388">
        <v>2025</v>
      </c>
      <c r="C388" t="s">
        <v>46</v>
      </c>
      <c r="D388">
        <v>0.66</v>
      </c>
    </row>
    <row r="389" spans="1:4" x14ac:dyDescent="0.45">
      <c r="A389" t="s">
        <v>3</v>
      </c>
      <c r="B389">
        <v>2025</v>
      </c>
      <c r="C389" t="s">
        <v>46</v>
      </c>
      <c r="D389">
        <v>107.74</v>
      </c>
    </row>
    <row r="390" spans="1:4" x14ac:dyDescent="0.45">
      <c r="A390" t="s">
        <v>5</v>
      </c>
      <c r="B390">
        <v>2025</v>
      </c>
      <c r="C390" t="s">
        <v>46</v>
      </c>
      <c r="D390">
        <v>34.479999999999997</v>
      </c>
    </row>
    <row r="391" spans="1:4" x14ac:dyDescent="0.45">
      <c r="A391" t="s">
        <v>4</v>
      </c>
      <c r="B391">
        <v>2025</v>
      </c>
      <c r="C391" t="s">
        <v>46</v>
      </c>
      <c r="D391">
        <v>0.28999999999999998</v>
      </c>
    </row>
    <row r="392" spans="1:4" x14ac:dyDescent="0.45">
      <c r="A392" t="s">
        <v>18</v>
      </c>
      <c r="B392">
        <v>2025</v>
      </c>
      <c r="C392" t="s">
        <v>46</v>
      </c>
      <c r="D392">
        <v>4.18</v>
      </c>
    </row>
    <row r="393" spans="1:4" x14ac:dyDescent="0.45">
      <c r="A393" t="s">
        <v>6</v>
      </c>
      <c r="B393">
        <v>2025</v>
      </c>
      <c r="C393" t="s">
        <v>46</v>
      </c>
      <c r="D393">
        <v>2.68</v>
      </c>
    </row>
    <row r="394" spans="1:4" x14ac:dyDescent="0.45">
      <c r="A394" t="s">
        <v>73</v>
      </c>
      <c r="B394">
        <v>2025</v>
      </c>
      <c r="C394" t="s">
        <v>46</v>
      </c>
      <c r="D394">
        <v>0.37</v>
      </c>
    </row>
    <row r="395" spans="1:4" x14ac:dyDescent="0.45">
      <c r="A395" t="s">
        <v>6</v>
      </c>
      <c r="B395">
        <v>2000</v>
      </c>
      <c r="C395" t="s">
        <v>45</v>
      </c>
      <c r="D395">
        <v>2.5000000000000001E-2</v>
      </c>
    </row>
    <row r="396" spans="1:4" x14ac:dyDescent="0.45">
      <c r="A396" t="s">
        <v>6</v>
      </c>
      <c r="B396">
        <v>2001</v>
      </c>
      <c r="C396" t="s">
        <v>45</v>
      </c>
      <c r="D396">
        <v>2.9000000000000001E-2</v>
      </c>
    </row>
    <row r="397" spans="1:4" x14ac:dyDescent="0.45">
      <c r="A397" t="s">
        <v>6</v>
      </c>
      <c r="B397">
        <v>2002</v>
      </c>
      <c r="C397" t="s">
        <v>45</v>
      </c>
      <c r="D397">
        <v>3.4000000000000002E-2</v>
      </c>
    </row>
    <row r="398" spans="1:4" x14ac:dyDescent="0.45">
      <c r="A398" t="s">
        <v>6</v>
      </c>
      <c r="B398">
        <v>2003</v>
      </c>
      <c r="C398" t="s">
        <v>45</v>
      </c>
      <c r="D398">
        <v>3.9E-2</v>
      </c>
    </row>
    <row r="399" spans="1:4" x14ac:dyDescent="0.45">
      <c r="A399" t="s">
        <v>6</v>
      </c>
      <c r="B399">
        <v>2004</v>
      </c>
      <c r="C399" t="s">
        <v>45</v>
      </c>
      <c r="D399">
        <v>4.5999999999999999E-2</v>
      </c>
    </row>
    <row r="400" spans="1:4" x14ac:dyDescent="0.45">
      <c r="A400" t="s">
        <v>6</v>
      </c>
      <c r="B400">
        <v>2005</v>
      </c>
      <c r="C400" t="s">
        <v>45</v>
      </c>
      <c r="D400">
        <v>5.1999999999999998E-2</v>
      </c>
    </row>
    <row r="401" spans="1:4" x14ac:dyDescent="0.45">
      <c r="A401" t="s">
        <v>6</v>
      </c>
      <c r="B401">
        <v>2006</v>
      </c>
      <c r="C401" t="s">
        <v>45</v>
      </c>
      <c r="D401">
        <v>6.0999999999999999E-2</v>
      </c>
    </row>
    <row r="402" spans="1:4" x14ac:dyDescent="0.45">
      <c r="A402" t="s">
        <v>6</v>
      </c>
      <c r="B402">
        <v>2007</v>
      </c>
      <c r="C402" t="s">
        <v>45</v>
      </c>
      <c r="D402">
        <v>7.0000000000000007E-2</v>
      </c>
    </row>
    <row r="403" spans="1:4" x14ac:dyDescent="0.45">
      <c r="A403" t="s">
        <v>6</v>
      </c>
      <c r="B403">
        <v>2008</v>
      </c>
      <c r="C403" t="s">
        <v>45</v>
      </c>
      <c r="D403">
        <v>8.2000000000000003E-2</v>
      </c>
    </row>
    <row r="404" spans="1:4" x14ac:dyDescent="0.45">
      <c r="A404" t="s">
        <v>6</v>
      </c>
      <c r="B404">
        <v>2009</v>
      </c>
      <c r="C404" t="s">
        <v>45</v>
      </c>
      <c r="D404">
        <v>0.32900000000000001</v>
      </c>
    </row>
    <row r="405" spans="1:4" x14ac:dyDescent="0.45">
      <c r="A405" t="s">
        <v>6</v>
      </c>
      <c r="B405">
        <v>2010</v>
      </c>
      <c r="C405" t="s">
        <v>45</v>
      </c>
      <c r="D405">
        <v>1.0880000000000001</v>
      </c>
    </row>
    <row r="406" spans="1:4" x14ac:dyDescent="0.45">
      <c r="A406" t="s">
        <v>6</v>
      </c>
      <c r="B406">
        <v>2011</v>
      </c>
      <c r="C406" t="s">
        <v>45</v>
      </c>
      <c r="D406">
        <v>1.4179999999999999</v>
      </c>
    </row>
    <row r="407" spans="1:4" x14ac:dyDescent="0.45">
      <c r="A407" t="s">
        <v>6</v>
      </c>
      <c r="B407">
        <v>2012</v>
      </c>
      <c r="C407" t="s">
        <v>45</v>
      </c>
      <c r="D407">
        <v>2.508</v>
      </c>
    </row>
    <row r="408" spans="1:4" x14ac:dyDescent="0.45">
      <c r="A408" t="s">
        <v>6</v>
      </c>
      <c r="B408">
        <v>2013</v>
      </c>
      <c r="C408" t="s">
        <v>45</v>
      </c>
      <c r="D408">
        <v>3.3090000000000002</v>
      </c>
    </row>
    <row r="409" spans="1:4" x14ac:dyDescent="0.45">
      <c r="A409" t="s">
        <v>6</v>
      </c>
      <c r="B409">
        <v>2014</v>
      </c>
      <c r="C409" t="s">
        <v>45</v>
      </c>
      <c r="D409">
        <v>4.1340000000000003</v>
      </c>
    </row>
    <row r="410" spans="1:4" x14ac:dyDescent="0.45">
      <c r="A410" t="s">
        <v>6</v>
      </c>
      <c r="B410">
        <v>2015</v>
      </c>
      <c r="C410" t="s">
        <v>45</v>
      </c>
      <c r="D410">
        <v>5.0330000000000004</v>
      </c>
    </row>
    <row r="411" spans="1:4" x14ac:dyDescent="0.45">
      <c r="A411" t="s">
        <v>6</v>
      </c>
      <c r="B411">
        <v>2016</v>
      </c>
      <c r="C411" t="s">
        <v>45</v>
      </c>
      <c r="D411">
        <v>5.8780000000000001</v>
      </c>
    </row>
    <row r="412" spans="1:4" x14ac:dyDescent="0.45">
      <c r="A412" t="s">
        <v>6</v>
      </c>
      <c r="B412">
        <v>2017</v>
      </c>
      <c r="C412" t="s">
        <v>45</v>
      </c>
      <c r="D412">
        <v>7.2382270000000002</v>
      </c>
    </row>
    <row r="413" spans="1:4" x14ac:dyDescent="0.45">
      <c r="A413" t="s">
        <v>6</v>
      </c>
      <c r="B413">
        <v>2018</v>
      </c>
      <c r="C413" t="s">
        <v>45</v>
      </c>
      <c r="D413">
        <v>11.124773999999999</v>
      </c>
    </row>
    <row r="414" spans="1:4" x14ac:dyDescent="0.45">
      <c r="A414" t="s">
        <v>6</v>
      </c>
      <c r="B414">
        <v>2019</v>
      </c>
      <c r="C414" t="s">
        <v>45</v>
      </c>
      <c r="D414">
        <v>15.449684999999999</v>
      </c>
    </row>
    <row r="415" spans="1:4" x14ac:dyDescent="0.45">
      <c r="A415" t="s">
        <v>6</v>
      </c>
      <c r="B415">
        <v>2020</v>
      </c>
      <c r="C415" t="s">
        <v>45</v>
      </c>
      <c r="D415">
        <v>19.769625000000001</v>
      </c>
    </row>
    <row r="416" spans="1:4" x14ac:dyDescent="0.45">
      <c r="A416" t="s">
        <v>6</v>
      </c>
      <c r="B416">
        <v>2021</v>
      </c>
      <c r="C416" t="s">
        <v>45</v>
      </c>
      <c r="D416">
        <v>24.393618999999997</v>
      </c>
    </row>
    <row r="417" spans="1:4" x14ac:dyDescent="0.45">
      <c r="A417" t="s">
        <v>6</v>
      </c>
      <c r="B417">
        <v>2022</v>
      </c>
      <c r="C417" t="s">
        <v>45</v>
      </c>
      <c r="D417">
        <v>28.884088999999999</v>
      </c>
    </row>
    <row r="418" spans="1:4" x14ac:dyDescent="0.45">
      <c r="A418" t="s">
        <v>6</v>
      </c>
      <c r="B418">
        <v>2023</v>
      </c>
      <c r="C418" t="s">
        <v>45</v>
      </c>
      <c r="D418">
        <v>30.671939999999999</v>
      </c>
    </row>
    <row r="419" spans="1:4" x14ac:dyDescent="0.45">
      <c r="A419" t="s">
        <v>6</v>
      </c>
      <c r="B419">
        <v>2024</v>
      </c>
      <c r="C419" t="s">
        <v>45</v>
      </c>
      <c r="D419">
        <v>35.861940000000004</v>
      </c>
    </row>
    <row r="420" spans="1:4" x14ac:dyDescent="0.45">
      <c r="A420" t="s">
        <v>6</v>
      </c>
      <c r="B420">
        <v>2003</v>
      </c>
      <c r="C420" t="s">
        <v>45</v>
      </c>
      <c r="D420">
        <v>4.0000000000000002E-4</v>
      </c>
    </row>
    <row r="421" spans="1:4" x14ac:dyDescent="0.45">
      <c r="A421" t="s">
        <v>6</v>
      </c>
      <c r="B421">
        <v>2004</v>
      </c>
      <c r="C421" t="s">
        <v>45</v>
      </c>
      <c r="D421">
        <v>4.0000000000000002E-4</v>
      </c>
    </row>
    <row r="422" spans="1:4" x14ac:dyDescent="0.45">
      <c r="A422" t="s">
        <v>6</v>
      </c>
      <c r="B422">
        <v>2005</v>
      </c>
      <c r="C422" t="s">
        <v>45</v>
      </c>
      <c r="D422">
        <v>4.0000000000000002E-4</v>
      </c>
    </row>
    <row r="423" spans="1:4" x14ac:dyDescent="0.45">
      <c r="A423" t="s">
        <v>6</v>
      </c>
      <c r="B423">
        <v>2006</v>
      </c>
      <c r="C423" t="s">
        <v>45</v>
      </c>
      <c r="D423">
        <v>4.0000000000000002E-4</v>
      </c>
    </row>
    <row r="424" spans="1:4" x14ac:dyDescent="0.45">
      <c r="A424" t="s">
        <v>6</v>
      </c>
      <c r="B424">
        <v>2007</v>
      </c>
      <c r="C424" t="s">
        <v>45</v>
      </c>
      <c r="D424">
        <v>3.0000000000000001E-3</v>
      </c>
    </row>
    <row r="425" spans="1:4" x14ac:dyDescent="0.45">
      <c r="A425" t="s">
        <v>6</v>
      </c>
      <c r="B425">
        <v>2008</v>
      </c>
      <c r="C425" t="s">
        <v>45</v>
      </c>
      <c r="D425">
        <v>3.0000000000000001E-3</v>
      </c>
    </row>
    <row r="426" spans="1:4" x14ac:dyDescent="0.45">
      <c r="A426" t="s">
        <v>6</v>
      </c>
      <c r="B426">
        <v>2009</v>
      </c>
      <c r="C426" t="s">
        <v>45</v>
      </c>
      <c r="D426">
        <v>3.0000000000000001E-3</v>
      </c>
    </row>
    <row r="427" spans="1:4" x14ac:dyDescent="0.45">
      <c r="A427" t="s">
        <v>6</v>
      </c>
      <c r="B427">
        <v>2010</v>
      </c>
      <c r="C427" t="s">
        <v>45</v>
      </c>
      <c r="D427">
        <v>3.0000000000000001E-3</v>
      </c>
    </row>
    <row r="428" spans="1:4" x14ac:dyDescent="0.45">
      <c r="A428" t="s">
        <v>6</v>
      </c>
      <c r="B428">
        <v>2011</v>
      </c>
      <c r="C428" t="s">
        <v>45</v>
      </c>
      <c r="D428">
        <v>3.0000000000000001E-3</v>
      </c>
    </row>
    <row r="429" spans="1:4" x14ac:dyDescent="0.45">
      <c r="A429" t="s">
        <v>6</v>
      </c>
      <c r="B429">
        <v>2012</v>
      </c>
      <c r="C429" t="s">
        <v>45</v>
      </c>
      <c r="D429">
        <v>3.0000000000000001E-3</v>
      </c>
    </row>
    <row r="430" spans="1:4" x14ac:dyDescent="0.45">
      <c r="A430" t="s">
        <v>6</v>
      </c>
      <c r="B430">
        <v>2013</v>
      </c>
      <c r="C430" t="s">
        <v>45</v>
      </c>
      <c r="D430">
        <v>3.0000000000000001E-3</v>
      </c>
    </row>
    <row r="431" spans="1:4" x14ac:dyDescent="0.45">
      <c r="A431" t="s">
        <v>6</v>
      </c>
      <c r="B431">
        <v>2014</v>
      </c>
      <c r="C431" t="s">
        <v>45</v>
      </c>
      <c r="D431">
        <v>3.0000000000000001E-3</v>
      </c>
    </row>
    <row r="432" spans="1:4" x14ac:dyDescent="0.45">
      <c r="A432" t="s">
        <v>6</v>
      </c>
      <c r="B432">
        <v>2015</v>
      </c>
      <c r="C432" t="s">
        <v>45</v>
      </c>
      <c r="D432">
        <v>3.0000000000000001E-3</v>
      </c>
    </row>
    <row r="433" spans="1:4" x14ac:dyDescent="0.45">
      <c r="A433" t="s">
        <v>6</v>
      </c>
      <c r="B433">
        <v>2016</v>
      </c>
      <c r="C433" t="s">
        <v>45</v>
      </c>
      <c r="D433">
        <v>3.0000000000000001E-3</v>
      </c>
    </row>
    <row r="434" spans="1:4" x14ac:dyDescent="0.45">
      <c r="A434" t="s">
        <v>6</v>
      </c>
      <c r="B434">
        <v>2017</v>
      </c>
      <c r="C434" t="s">
        <v>45</v>
      </c>
      <c r="D434">
        <v>3.0000000000000001E-3</v>
      </c>
    </row>
    <row r="435" spans="1:4" x14ac:dyDescent="0.45">
      <c r="A435" t="s">
        <v>6</v>
      </c>
      <c r="B435">
        <v>2018</v>
      </c>
      <c r="C435" t="s">
        <v>45</v>
      </c>
      <c r="D435">
        <v>3.0000000000000001E-3</v>
      </c>
    </row>
    <row r="436" spans="1:4" x14ac:dyDescent="0.45">
      <c r="A436" t="s">
        <v>6</v>
      </c>
      <c r="B436">
        <v>2019</v>
      </c>
      <c r="C436" t="s">
        <v>45</v>
      </c>
      <c r="D436">
        <v>3.0000000000000001E-3</v>
      </c>
    </row>
    <row r="437" spans="1:4" x14ac:dyDescent="0.45">
      <c r="A437" t="s">
        <v>6</v>
      </c>
      <c r="B437">
        <v>2020</v>
      </c>
      <c r="C437" t="s">
        <v>45</v>
      </c>
      <c r="D437">
        <v>3.0000000000000001E-3</v>
      </c>
    </row>
    <row r="438" spans="1:4" x14ac:dyDescent="0.45">
      <c r="A438" t="s">
        <v>6</v>
      </c>
      <c r="B438">
        <v>2021</v>
      </c>
      <c r="C438" t="s">
        <v>45</v>
      </c>
      <c r="D438">
        <v>3.0000000000000001E-3</v>
      </c>
    </row>
    <row r="439" spans="1:4" x14ac:dyDescent="0.45">
      <c r="A439" t="s">
        <v>6</v>
      </c>
      <c r="B439">
        <v>2022</v>
      </c>
      <c r="C439" t="s">
        <v>45</v>
      </c>
      <c r="D439">
        <v>3.0000000000000001E-3</v>
      </c>
    </row>
    <row r="440" spans="1:4" x14ac:dyDescent="0.45">
      <c r="A440" t="s">
        <v>6</v>
      </c>
      <c r="B440">
        <v>2023</v>
      </c>
      <c r="C440" t="s">
        <v>45</v>
      </c>
      <c r="D440">
        <v>3.0000000000000001E-3</v>
      </c>
    </row>
    <row r="441" spans="1:4" x14ac:dyDescent="0.45">
      <c r="A441" t="s">
        <v>6</v>
      </c>
      <c r="B441">
        <v>2024</v>
      </c>
      <c r="C441" t="s">
        <v>45</v>
      </c>
      <c r="D441">
        <v>3.0000000000000001E-3</v>
      </c>
    </row>
    <row r="442" spans="1:4" x14ac:dyDescent="0.45">
      <c r="A442" t="s">
        <v>6</v>
      </c>
      <c r="B442">
        <v>2000</v>
      </c>
      <c r="C442" t="s">
        <v>44</v>
      </c>
      <c r="D442">
        <v>3.7999999999999999E-2</v>
      </c>
    </row>
    <row r="443" spans="1:4" x14ac:dyDescent="0.45">
      <c r="A443" t="s">
        <v>6</v>
      </c>
      <c r="B443">
        <v>2001</v>
      </c>
      <c r="C443" t="s">
        <v>44</v>
      </c>
      <c r="D443">
        <v>4.3999999999999997E-2</v>
      </c>
    </row>
    <row r="444" spans="1:4" x14ac:dyDescent="0.45">
      <c r="A444" t="s">
        <v>6</v>
      </c>
      <c r="B444">
        <v>2002</v>
      </c>
      <c r="C444" t="s">
        <v>44</v>
      </c>
      <c r="D444">
        <v>0.05</v>
      </c>
    </row>
    <row r="445" spans="1:4" x14ac:dyDescent="0.45">
      <c r="A445" t="s">
        <v>6</v>
      </c>
      <c r="B445">
        <v>2003</v>
      </c>
      <c r="C445" t="s">
        <v>44</v>
      </c>
      <c r="D445">
        <v>5.8000000000000003E-2</v>
      </c>
    </row>
    <row r="446" spans="1:4" x14ac:dyDescent="0.45">
      <c r="A446" t="s">
        <v>6</v>
      </c>
      <c r="B446">
        <v>2004</v>
      </c>
      <c r="C446" t="s">
        <v>44</v>
      </c>
      <c r="D446">
        <v>6.8000000000000005E-2</v>
      </c>
    </row>
    <row r="447" spans="1:4" x14ac:dyDescent="0.45">
      <c r="A447" t="s">
        <v>6</v>
      </c>
      <c r="B447">
        <v>2005</v>
      </c>
      <c r="C447" t="s">
        <v>44</v>
      </c>
      <c r="D447">
        <v>7.8E-2</v>
      </c>
    </row>
    <row r="448" spans="1:4" x14ac:dyDescent="0.45">
      <c r="A448" t="s">
        <v>6</v>
      </c>
      <c r="B448">
        <v>2006</v>
      </c>
      <c r="C448" t="s">
        <v>44</v>
      </c>
      <c r="D448">
        <v>0.09</v>
      </c>
    </row>
    <row r="449" spans="1:4" x14ac:dyDescent="0.45">
      <c r="A449" t="s">
        <v>6</v>
      </c>
      <c r="B449">
        <v>2007</v>
      </c>
      <c r="C449" t="s">
        <v>44</v>
      </c>
      <c r="D449">
        <v>0.105</v>
      </c>
    </row>
    <row r="450" spans="1:4" x14ac:dyDescent="0.45">
      <c r="A450" t="s">
        <v>6</v>
      </c>
      <c r="B450">
        <v>2008</v>
      </c>
      <c r="C450" t="s">
        <v>44</v>
      </c>
      <c r="D450">
        <v>0.123</v>
      </c>
    </row>
    <row r="451" spans="1:4" x14ac:dyDescent="0.45">
      <c r="A451" t="s">
        <v>6</v>
      </c>
      <c r="B451">
        <v>2009</v>
      </c>
      <c r="C451" t="s">
        <v>44</v>
      </c>
      <c r="D451">
        <v>0.156</v>
      </c>
    </row>
    <row r="452" spans="1:4" x14ac:dyDescent="0.45">
      <c r="A452" t="s">
        <v>6</v>
      </c>
      <c r="B452">
        <v>2010</v>
      </c>
      <c r="C452" t="s">
        <v>44</v>
      </c>
      <c r="D452">
        <v>0.38600000000000001</v>
      </c>
    </row>
    <row r="453" spans="1:4" x14ac:dyDescent="0.45">
      <c r="A453" t="s">
        <v>6</v>
      </c>
      <c r="B453">
        <v>2011</v>
      </c>
      <c r="C453" t="s">
        <v>44</v>
      </c>
      <c r="D453">
        <v>1.3879999999999999</v>
      </c>
    </row>
    <row r="454" spans="1:4" x14ac:dyDescent="0.45">
      <c r="A454" t="s">
        <v>6</v>
      </c>
      <c r="B454">
        <v>2012</v>
      </c>
      <c r="C454" t="s">
        <v>44</v>
      </c>
      <c r="D454">
        <v>2.3220000000000001</v>
      </c>
    </row>
    <row r="455" spans="1:4" x14ac:dyDescent="0.45">
      <c r="A455" t="s">
        <v>6</v>
      </c>
      <c r="B455">
        <v>2013</v>
      </c>
      <c r="C455" t="s">
        <v>44</v>
      </c>
      <c r="D455">
        <v>3.472</v>
      </c>
    </row>
    <row r="456" spans="1:4" x14ac:dyDescent="0.45">
      <c r="A456" t="s">
        <v>6</v>
      </c>
      <c r="B456">
        <v>2014</v>
      </c>
      <c r="C456" t="s">
        <v>44</v>
      </c>
      <c r="D456">
        <v>4.0069999999999997</v>
      </c>
    </row>
    <row r="457" spans="1:4" x14ac:dyDescent="0.45">
      <c r="A457" t="s">
        <v>6</v>
      </c>
      <c r="B457">
        <v>2015</v>
      </c>
      <c r="C457" t="s">
        <v>44</v>
      </c>
      <c r="D457">
        <v>5.0190000000000001</v>
      </c>
    </row>
    <row r="458" spans="1:4" x14ac:dyDescent="0.45">
      <c r="A458" t="s">
        <v>6</v>
      </c>
      <c r="B458">
        <v>2016</v>
      </c>
      <c r="C458" t="s">
        <v>44</v>
      </c>
      <c r="D458">
        <v>6.2050000000000001</v>
      </c>
    </row>
    <row r="459" spans="1:4" x14ac:dyDescent="0.45">
      <c r="A459" t="s">
        <v>6</v>
      </c>
      <c r="B459">
        <v>2017</v>
      </c>
      <c r="C459" t="s">
        <v>44</v>
      </c>
      <c r="D459">
        <v>8.0666999999999991</v>
      </c>
    </row>
    <row r="460" spans="1:4" x14ac:dyDescent="0.45">
      <c r="A460" t="s">
        <v>6</v>
      </c>
      <c r="B460">
        <v>2018</v>
      </c>
      <c r="C460" t="s">
        <v>44</v>
      </c>
      <c r="D460">
        <v>9.9248370000000001</v>
      </c>
    </row>
    <row r="461" spans="1:4" x14ac:dyDescent="0.45">
      <c r="A461" t="s">
        <v>6</v>
      </c>
      <c r="B461">
        <v>2019</v>
      </c>
      <c r="C461" t="s">
        <v>44</v>
      </c>
      <c r="D461">
        <v>14.843063000000001</v>
      </c>
    </row>
    <row r="462" spans="1:4" x14ac:dyDescent="0.45">
      <c r="A462" t="s">
        <v>6</v>
      </c>
      <c r="B462">
        <v>2020</v>
      </c>
      <c r="C462" t="s">
        <v>44</v>
      </c>
      <c r="D462">
        <v>21.027686000000003</v>
      </c>
    </row>
    <row r="463" spans="1:4" x14ac:dyDescent="0.45">
      <c r="A463" t="s">
        <v>6</v>
      </c>
      <c r="B463">
        <v>2021</v>
      </c>
      <c r="C463" t="s">
        <v>44</v>
      </c>
      <c r="D463">
        <v>27.711829000000002</v>
      </c>
    </row>
    <row r="464" spans="1:4" x14ac:dyDescent="0.45">
      <c r="A464" t="s">
        <v>6</v>
      </c>
      <c r="B464">
        <v>2022</v>
      </c>
      <c r="C464" t="s">
        <v>44</v>
      </c>
      <c r="D464">
        <v>34.681516000000002</v>
      </c>
    </row>
    <row r="465" spans="1:4" x14ac:dyDescent="0.45">
      <c r="A465" t="s">
        <v>6</v>
      </c>
      <c r="B465">
        <v>2023</v>
      </c>
      <c r="C465" t="s">
        <v>44</v>
      </c>
      <c r="D465">
        <v>41.964599999999997</v>
      </c>
    </row>
    <row r="466" spans="1:4" x14ac:dyDescent="0.45">
      <c r="A466" t="s">
        <v>6</v>
      </c>
      <c r="B466">
        <v>2003</v>
      </c>
      <c r="C466" t="s">
        <v>44</v>
      </c>
      <c r="D466">
        <v>1E-3</v>
      </c>
    </row>
    <row r="467" spans="1:4" x14ac:dyDescent="0.45">
      <c r="A467" t="s">
        <v>6</v>
      </c>
      <c r="B467">
        <v>2004</v>
      </c>
      <c r="C467" t="s">
        <v>44</v>
      </c>
      <c r="D467">
        <v>1E-3</v>
      </c>
    </row>
    <row r="468" spans="1:4" x14ac:dyDescent="0.45">
      <c r="A468" t="s">
        <v>6</v>
      </c>
      <c r="B468">
        <v>2005</v>
      </c>
      <c r="C468" t="s">
        <v>44</v>
      </c>
      <c r="D468">
        <v>1E-3</v>
      </c>
    </row>
    <row r="469" spans="1:4" x14ac:dyDescent="0.45">
      <c r="A469" t="s">
        <v>6</v>
      </c>
      <c r="B469">
        <v>2006</v>
      </c>
      <c r="C469" t="s">
        <v>44</v>
      </c>
      <c r="D469">
        <v>1E-3</v>
      </c>
    </row>
    <row r="470" spans="1:4" x14ac:dyDescent="0.45">
      <c r="A470" t="s">
        <v>6</v>
      </c>
      <c r="B470">
        <v>2007</v>
      </c>
      <c r="C470" t="s">
        <v>44</v>
      </c>
      <c r="D470">
        <v>4.0000000000000001E-3</v>
      </c>
    </row>
    <row r="471" spans="1:4" x14ac:dyDescent="0.45">
      <c r="A471" t="s">
        <v>6</v>
      </c>
      <c r="B471">
        <v>2008</v>
      </c>
      <c r="C471" t="s">
        <v>44</v>
      </c>
      <c r="D471">
        <v>4.0000000000000001E-3</v>
      </c>
    </row>
    <row r="472" spans="1:4" x14ac:dyDescent="0.45">
      <c r="A472" t="s">
        <v>6</v>
      </c>
      <c r="B472">
        <v>2009</v>
      </c>
      <c r="C472" t="s">
        <v>44</v>
      </c>
      <c r="D472">
        <v>4.0000000000000001E-3</v>
      </c>
    </row>
    <row r="473" spans="1:4" x14ac:dyDescent="0.45">
      <c r="A473" t="s">
        <v>6</v>
      </c>
      <c r="B473">
        <v>2010</v>
      </c>
      <c r="C473" t="s">
        <v>44</v>
      </c>
      <c r="D473">
        <v>3.0000000000000001E-3</v>
      </c>
    </row>
    <row r="474" spans="1:4" x14ac:dyDescent="0.45">
      <c r="A474" t="s">
        <v>6</v>
      </c>
      <c r="B474">
        <v>2011</v>
      </c>
      <c r="C474" t="s">
        <v>44</v>
      </c>
      <c r="D474">
        <v>3.0000000000000001E-3</v>
      </c>
    </row>
    <row r="475" spans="1:4" x14ac:dyDescent="0.45">
      <c r="A475" t="s">
        <v>6</v>
      </c>
      <c r="B475">
        <v>2012</v>
      </c>
      <c r="C475" t="s">
        <v>44</v>
      </c>
      <c r="D475">
        <v>3.0000000000000001E-3</v>
      </c>
    </row>
    <row r="476" spans="1:4" x14ac:dyDescent="0.45">
      <c r="A476" t="s">
        <v>6</v>
      </c>
      <c r="B476">
        <v>2013</v>
      </c>
      <c r="C476" t="s">
        <v>44</v>
      </c>
      <c r="D476">
        <v>3.0000000000000001E-3</v>
      </c>
    </row>
    <row r="477" spans="1:4" x14ac:dyDescent="0.45">
      <c r="A477" t="s">
        <v>6</v>
      </c>
      <c r="B477">
        <v>2014</v>
      </c>
      <c r="C477" t="s">
        <v>44</v>
      </c>
      <c r="D477">
        <v>3.0000000000000001E-3</v>
      </c>
    </row>
    <row r="478" spans="1:4" x14ac:dyDescent="0.45">
      <c r="A478" t="s">
        <v>6</v>
      </c>
      <c r="B478">
        <v>2015</v>
      </c>
      <c r="C478" t="s">
        <v>44</v>
      </c>
      <c r="D478">
        <v>4.0000000000000001E-3</v>
      </c>
    </row>
    <row r="479" spans="1:4" x14ac:dyDescent="0.45">
      <c r="A479" t="s">
        <v>6</v>
      </c>
      <c r="B479">
        <v>2016</v>
      </c>
      <c r="C479" t="s">
        <v>44</v>
      </c>
      <c r="D479">
        <v>4.0000000000000001E-3</v>
      </c>
    </row>
    <row r="480" spans="1:4" x14ac:dyDescent="0.45">
      <c r="A480" t="s">
        <v>6</v>
      </c>
      <c r="B480">
        <v>2017</v>
      </c>
      <c r="C480" t="s">
        <v>44</v>
      </c>
      <c r="D480">
        <v>5.0000000000000001E-3</v>
      </c>
    </row>
    <row r="481" spans="1:4" x14ac:dyDescent="0.45">
      <c r="A481" t="s">
        <v>6</v>
      </c>
      <c r="B481">
        <v>2018</v>
      </c>
      <c r="C481" t="s">
        <v>44</v>
      </c>
      <c r="D481">
        <v>5.1639999999999993E-3</v>
      </c>
    </row>
    <row r="482" spans="1:4" x14ac:dyDescent="0.45">
      <c r="A482" t="s">
        <v>6</v>
      </c>
      <c r="B482">
        <v>2019</v>
      </c>
      <c r="C482" t="s">
        <v>44</v>
      </c>
      <c r="D482">
        <v>5.5370000000000003E-3</v>
      </c>
    </row>
    <row r="483" spans="1:4" x14ac:dyDescent="0.45">
      <c r="A483" t="s">
        <v>6</v>
      </c>
      <c r="B483">
        <v>2020</v>
      </c>
      <c r="C483" t="s">
        <v>44</v>
      </c>
      <c r="D483">
        <v>5.5139999999999998E-3</v>
      </c>
    </row>
    <row r="484" spans="1:4" x14ac:dyDescent="0.45">
      <c r="A484" t="s">
        <v>6</v>
      </c>
      <c r="B484">
        <v>2021</v>
      </c>
      <c r="C484" t="s">
        <v>44</v>
      </c>
      <c r="D484">
        <v>5.1710000000000002E-3</v>
      </c>
    </row>
    <row r="485" spans="1:4" x14ac:dyDescent="0.45">
      <c r="A485" t="s">
        <v>6</v>
      </c>
      <c r="B485">
        <v>2022</v>
      </c>
      <c r="C485" t="s">
        <v>44</v>
      </c>
      <c r="D485">
        <v>5.1840000000000002E-3</v>
      </c>
    </row>
    <row r="486" spans="1:4" x14ac:dyDescent="0.45">
      <c r="A486" t="s">
        <v>6</v>
      </c>
      <c r="B486">
        <v>2023</v>
      </c>
      <c r="C486" t="s">
        <v>44</v>
      </c>
      <c r="D486">
        <v>3.8999999999999998E-3</v>
      </c>
    </row>
    <row r="487" spans="1:4" x14ac:dyDescent="0.45">
      <c r="A487" t="s">
        <v>73</v>
      </c>
      <c r="B487">
        <v>2000</v>
      </c>
      <c r="C487" t="s">
        <v>45</v>
      </c>
      <c r="D487">
        <v>3.3000000000000002E-2</v>
      </c>
    </row>
    <row r="488" spans="1:4" x14ac:dyDescent="0.45">
      <c r="A488" t="s">
        <v>73</v>
      </c>
      <c r="B488">
        <v>2001</v>
      </c>
      <c r="C488" t="s">
        <v>45</v>
      </c>
      <c r="D488">
        <v>7.5999999999999998E-2</v>
      </c>
    </row>
    <row r="489" spans="1:4" x14ac:dyDescent="0.45">
      <c r="A489" t="s">
        <v>73</v>
      </c>
      <c r="B489">
        <v>2002</v>
      </c>
      <c r="C489" t="s">
        <v>45</v>
      </c>
      <c r="D489">
        <v>0.106</v>
      </c>
    </row>
    <row r="490" spans="1:4" x14ac:dyDescent="0.45">
      <c r="A490" t="s">
        <v>73</v>
      </c>
      <c r="B490">
        <v>2003</v>
      </c>
      <c r="C490" t="s">
        <v>45</v>
      </c>
      <c r="D490">
        <v>0.19</v>
      </c>
    </row>
    <row r="491" spans="1:4" x14ac:dyDescent="0.45">
      <c r="A491" t="s">
        <v>73</v>
      </c>
      <c r="B491">
        <v>2004</v>
      </c>
      <c r="C491" t="s">
        <v>45</v>
      </c>
      <c r="D491">
        <v>0.379</v>
      </c>
    </row>
    <row r="492" spans="1:4" x14ac:dyDescent="0.45">
      <c r="A492" t="s">
        <v>73</v>
      </c>
      <c r="B492">
        <v>2005</v>
      </c>
      <c r="C492" t="s">
        <v>45</v>
      </c>
      <c r="D492">
        <v>0.74</v>
      </c>
    </row>
    <row r="493" spans="1:4" x14ac:dyDescent="0.45">
      <c r="A493" t="s">
        <v>73</v>
      </c>
      <c r="B493">
        <v>2006</v>
      </c>
      <c r="C493" t="s">
        <v>45</v>
      </c>
      <c r="D493">
        <v>0.81899999999999995</v>
      </c>
    </row>
    <row r="494" spans="1:4" x14ac:dyDescent="0.45">
      <c r="A494" t="s">
        <v>73</v>
      </c>
      <c r="B494">
        <v>2007</v>
      </c>
      <c r="C494" t="s">
        <v>45</v>
      </c>
      <c r="D494">
        <v>1.2490000000000001</v>
      </c>
    </row>
    <row r="495" spans="1:4" x14ac:dyDescent="0.45">
      <c r="A495" t="s">
        <v>73</v>
      </c>
      <c r="B495">
        <v>2008</v>
      </c>
      <c r="C495" t="s">
        <v>45</v>
      </c>
      <c r="D495">
        <v>1.4410000000000001</v>
      </c>
    </row>
    <row r="496" spans="1:4" x14ac:dyDescent="0.45">
      <c r="A496" t="s">
        <v>73</v>
      </c>
      <c r="B496">
        <v>2009</v>
      </c>
      <c r="C496" t="s">
        <v>45</v>
      </c>
      <c r="D496">
        <v>1.7030000000000001</v>
      </c>
    </row>
    <row r="497" spans="1:4" x14ac:dyDescent="0.45">
      <c r="A497" t="s">
        <v>73</v>
      </c>
      <c r="B497">
        <v>2010</v>
      </c>
      <c r="C497" t="s">
        <v>45</v>
      </c>
      <c r="D497">
        <v>1.8640000000000001</v>
      </c>
    </row>
    <row r="498" spans="1:4" x14ac:dyDescent="0.45">
      <c r="A498" t="s">
        <v>73</v>
      </c>
      <c r="B498">
        <v>2011</v>
      </c>
      <c r="C498" t="s">
        <v>45</v>
      </c>
      <c r="D498">
        <v>2.1269999999999998</v>
      </c>
    </row>
    <row r="499" spans="1:4" x14ac:dyDescent="0.45">
      <c r="A499" t="s">
        <v>73</v>
      </c>
      <c r="B499">
        <v>2012</v>
      </c>
      <c r="C499" t="s">
        <v>45</v>
      </c>
      <c r="D499">
        <v>2.5609999999999999</v>
      </c>
    </row>
    <row r="500" spans="1:4" x14ac:dyDescent="0.45">
      <c r="A500" t="s">
        <v>73</v>
      </c>
      <c r="B500">
        <v>2013</v>
      </c>
      <c r="C500" t="s">
        <v>45</v>
      </c>
      <c r="D500">
        <v>3.2210000000000001</v>
      </c>
    </row>
    <row r="501" spans="1:4" x14ac:dyDescent="0.45">
      <c r="A501" t="s">
        <v>73</v>
      </c>
      <c r="B501">
        <v>2014</v>
      </c>
      <c r="C501" t="s">
        <v>45</v>
      </c>
      <c r="D501">
        <v>3.7970000000000002</v>
      </c>
    </row>
    <row r="502" spans="1:4" x14ac:dyDescent="0.45">
      <c r="A502" t="s">
        <v>73</v>
      </c>
      <c r="B502">
        <v>2015</v>
      </c>
      <c r="C502" t="s">
        <v>45</v>
      </c>
      <c r="D502">
        <v>4.3179999999999996</v>
      </c>
    </row>
    <row r="503" spans="1:4" x14ac:dyDescent="0.45">
      <c r="A503" t="s">
        <v>73</v>
      </c>
      <c r="B503">
        <v>2016</v>
      </c>
      <c r="C503" t="s">
        <v>45</v>
      </c>
      <c r="D503">
        <v>4.6829999999999998</v>
      </c>
    </row>
    <row r="504" spans="1:4" x14ac:dyDescent="0.45">
      <c r="A504" t="s">
        <v>73</v>
      </c>
      <c r="B504">
        <v>2017</v>
      </c>
      <c r="C504" t="s">
        <v>45</v>
      </c>
      <c r="D504">
        <v>5.407</v>
      </c>
    </row>
    <row r="505" spans="1:4" x14ac:dyDescent="0.45">
      <c r="A505" t="s">
        <v>73</v>
      </c>
      <c r="B505">
        <v>2018</v>
      </c>
      <c r="C505" t="s">
        <v>45</v>
      </c>
      <c r="D505">
        <v>6.4089999999999998</v>
      </c>
    </row>
    <row r="506" spans="1:4" x14ac:dyDescent="0.45">
      <c r="A506" t="s">
        <v>73</v>
      </c>
      <c r="B506">
        <v>2019</v>
      </c>
      <c r="C506" t="s">
        <v>45</v>
      </c>
      <c r="D506">
        <v>7.8810000000000002</v>
      </c>
    </row>
    <row r="507" spans="1:4" x14ac:dyDescent="0.45">
      <c r="A507" t="s">
        <v>73</v>
      </c>
      <c r="B507">
        <v>2020</v>
      </c>
      <c r="C507" t="s">
        <v>45</v>
      </c>
      <c r="D507">
        <v>10.207000000000001</v>
      </c>
    </row>
    <row r="508" spans="1:4" x14ac:dyDescent="0.45">
      <c r="A508" t="s">
        <v>73</v>
      </c>
      <c r="B508">
        <v>2021</v>
      </c>
      <c r="C508" t="s">
        <v>45</v>
      </c>
      <c r="D508">
        <v>10.555</v>
      </c>
    </row>
    <row r="509" spans="1:4" x14ac:dyDescent="0.45">
      <c r="A509" t="s">
        <v>73</v>
      </c>
      <c r="B509">
        <v>2022</v>
      </c>
      <c r="C509" t="s">
        <v>45</v>
      </c>
      <c r="D509">
        <v>11.965999999999999</v>
      </c>
    </row>
    <row r="510" spans="1:4" x14ac:dyDescent="0.45">
      <c r="A510" t="s">
        <v>73</v>
      </c>
      <c r="B510">
        <v>2023</v>
      </c>
      <c r="C510" t="s">
        <v>45</v>
      </c>
      <c r="D510">
        <v>12.907999999999999</v>
      </c>
    </row>
    <row r="511" spans="1:4" x14ac:dyDescent="0.45">
      <c r="A511" t="s">
        <v>73</v>
      </c>
      <c r="B511">
        <v>2024</v>
      </c>
      <c r="C511" t="s">
        <v>45</v>
      </c>
      <c r="D511">
        <v>15.288</v>
      </c>
    </row>
    <row r="512" spans="1:4" x14ac:dyDescent="0.45">
      <c r="A512" t="s">
        <v>73</v>
      </c>
      <c r="B512">
        <v>2000</v>
      </c>
      <c r="C512" t="s">
        <v>44</v>
      </c>
      <c r="D512">
        <v>5.8000000000000003E-2</v>
      </c>
    </row>
    <row r="513" spans="1:4" x14ac:dyDescent="0.45">
      <c r="A513" t="s">
        <v>73</v>
      </c>
      <c r="B513">
        <v>2001</v>
      </c>
      <c r="C513" t="s">
        <v>44</v>
      </c>
      <c r="D513">
        <v>0.21</v>
      </c>
    </row>
    <row r="514" spans="1:4" x14ac:dyDescent="0.45">
      <c r="A514" t="s">
        <v>73</v>
      </c>
      <c r="B514">
        <v>2002</v>
      </c>
      <c r="C514" t="s">
        <v>44</v>
      </c>
      <c r="D514">
        <v>0.36399999999999999</v>
      </c>
    </row>
    <row r="515" spans="1:4" x14ac:dyDescent="0.45">
      <c r="A515" t="s">
        <v>73</v>
      </c>
      <c r="B515">
        <v>2003</v>
      </c>
      <c r="C515" t="s">
        <v>44</v>
      </c>
      <c r="D515">
        <v>0.70299999999999996</v>
      </c>
    </row>
    <row r="516" spans="1:4" x14ac:dyDescent="0.45">
      <c r="A516" t="s">
        <v>73</v>
      </c>
      <c r="B516">
        <v>2004</v>
      </c>
      <c r="C516" t="s">
        <v>44</v>
      </c>
      <c r="D516">
        <v>0.70499999999999996</v>
      </c>
    </row>
    <row r="517" spans="1:4" x14ac:dyDescent="0.45">
      <c r="A517" t="s">
        <v>73</v>
      </c>
      <c r="B517">
        <v>2005</v>
      </c>
      <c r="C517" t="s">
        <v>44</v>
      </c>
      <c r="D517">
        <v>0.88500000000000001</v>
      </c>
    </row>
    <row r="518" spans="1:4" x14ac:dyDescent="0.45">
      <c r="A518" t="s">
        <v>73</v>
      </c>
      <c r="B518">
        <v>2006</v>
      </c>
      <c r="C518" t="s">
        <v>44</v>
      </c>
      <c r="D518">
        <v>1.7130000000000001</v>
      </c>
    </row>
    <row r="519" spans="1:4" x14ac:dyDescent="0.45">
      <c r="A519" t="s">
        <v>73</v>
      </c>
      <c r="B519">
        <v>2007</v>
      </c>
      <c r="C519" t="s">
        <v>44</v>
      </c>
      <c r="D519">
        <v>2.6110000000000002</v>
      </c>
    </row>
    <row r="520" spans="1:4" x14ac:dyDescent="0.45">
      <c r="A520" t="s">
        <v>73</v>
      </c>
      <c r="B520">
        <v>2008</v>
      </c>
      <c r="C520" t="s">
        <v>44</v>
      </c>
      <c r="D520">
        <v>3.093</v>
      </c>
    </row>
    <row r="521" spans="1:4" x14ac:dyDescent="0.45">
      <c r="A521" t="s">
        <v>73</v>
      </c>
      <c r="B521">
        <v>2009</v>
      </c>
      <c r="C521" t="s">
        <v>44</v>
      </c>
      <c r="D521">
        <v>3.8239999999999998</v>
      </c>
    </row>
    <row r="522" spans="1:4" x14ac:dyDescent="0.45">
      <c r="A522" t="s">
        <v>73</v>
      </c>
      <c r="B522">
        <v>2010</v>
      </c>
      <c r="C522" t="s">
        <v>44</v>
      </c>
      <c r="D522">
        <v>5.0519999999999996</v>
      </c>
    </row>
    <row r="523" spans="1:4" x14ac:dyDescent="0.45">
      <c r="A523" t="s">
        <v>73</v>
      </c>
      <c r="B523">
        <v>2011</v>
      </c>
      <c r="C523" t="s">
        <v>44</v>
      </c>
      <c r="D523">
        <v>6.085</v>
      </c>
    </row>
    <row r="524" spans="1:4" x14ac:dyDescent="0.45">
      <c r="A524" t="s">
        <v>73</v>
      </c>
      <c r="B524">
        <v>2012</v>
      </c>
      <c r="C524" t="s">
        <v>44</v>
      </c>
      <c r="D524">
        <v>6.97</v>
      </c>
    </row>
    <row r="525" spans="1:4" x14ac:dyDescent="0.45">
      <c r="A525" t="s">
        <v>73</v>
      </c>
      <c r="B525">
        <v>2013</v>
      </c>
      <c r="C525" t="s">
        <v>44</v>
      </c>
      <c r="D525">
        <v>7.96</v>
      </c>
    </row>
    <row r="526" spans="1:4" x14ac:dyDescent="0.45">
      <c r="A526" t="s">
        <v>73</v>
      </c>
      <c r="B526">
        <v>2014</v>
      </c>
      <c r="C526" t="s">
        <v>44</v>
      </c>
      <c r="D526">
        <v>10.252000000000001</v>
      </c>
    </row>
    <row r="527" spans="1:4" x14ac:dyDescent="0.45">
      <c r="A527" t="s">
        <v>73</v>
      </c>
      <c r="B527">
        <v>2015</v>
      </c>
      <c r="C527" t="s">
        <v>44</v>
      </c>
      <c r="D527">
        <v>11.467000000000001</v>
      </c>
    </row>
    <row r="528" spans="1:4" x14ac:dyDescent="0.45">
      <c r="A528" t="s">
        <v>73</v>
      </c>
      <c r="B528">
        <v>2016</v>
      </c>
      <c r="C528" t="s">
        <v>44</v>
      </c>
      <c r="D528">
        <v>12.199</v>
      </c>
    </row>
    <row r="529" spans="1:4" x14ac:dyDescent="0.45">
      <c r="A529" t="s">
        <v>73</v>
      </c>
      <c r="B529">
        <v>2017</v>
      </c>
      <c r="C529" t="s">
        <v>44</v>
      </c>
      <c r="D529">
        <v>12.596985</v>
      </c>
    </row>
    <row r="530" spans="1:4" x14ac:dyDescent="0.45">
      <c r="A530" t="s">
        <v>73</v>
      </c>
      <c r="B530">
        <v>2018</v>
      </c>
      <c r="C530" t="s">
        <v>44</v>
      </c>
      <c r="D530">
        <v>15.174424999999999</v>
      </c>
    </row>
    <row r="531" spans="1:4" x14ac:dyDescent="0.45">
      <c r="A531" t="s">
        <v>73</v>
      </c>
      <c r="B531">
        <v>2019</v>
      </c>
      <c r="C531" t="s">
        <v>44</v>
      </c>
      <c r="D531">
        <v>17.711951000000003</v>
      </c>
    </row>
    <row r="532" spans="1:4" x14ac:dyDescent="0.45">
      <c r="A532" t="s">
        <v>73</v>
      </c>
      <c r="B532">
        <v>2020</v>
      </c>
      <c r="C532" t="s">
        <v>44</v>
      </c>
      <c r="D532">
        <v>20.395885</v>
      </c>
    </row>
    <row r="533" spans="1:4" x14ac:dyDescent="0.45">
      <c r="A533" t="s">
        <v>73</v>
      </c>
      <c r="B533">
        <v>2021</v>
      </c>
      <c r="C533" t="s">
        <v>44</v>
      </c>
      <c r="D533">
        <v>24.535368999999999</v>
      </c>
    </row>
    <row r="534" spans="1:4" x14ac:dyDescent="0.45">
      <c r="A534" t="s">
        <v>73</v>
      </c>
      <c r="B534">
        <v>2022</v>
      </c>
      <c r="C534" t="s">
        <v>44</v>
      </c>
      <c r="D534">
        <v>29.107793000000001</v>
      </c>
    </row>
    <row r="535" spans="1:4" x14ac:dyDescent="0.45">
      <c r="A535" t="s">
        <v>73</v>
      </c>
      <c r="B535">
        <v>2023</v>
      </c>
      <c r="C535" t="s">
        <v>44</v>
      </c>
      <c r="D535">
        <v>31.384874</v>
      </c>
    </row>
    <row r="536" spans="1:4" x14ac:dyDescent="0.45">
      <c r="A536" t="s">
        <v>40</v>
      </c>
      <c r="B536">
        <v>2000</v>
      </c>
      <c r="C536" t="s">
        <v>45</v>
      </c>
      <c r="D536">
        <v>0.09</v>
      </c>
    </row>
    <row r="537" spans="1:4" x14ac:dyDescent="0.45">
      <c r="A537" t="s">
        <v>40</v>
      </c>
      <c r="B537">
        <v>2001</v>
      </c>
      <c r="C537" t="s">
        <v>45</v>
      </c>
      <c r="D537">
        <v>9.1999999999999998E-2</v>
      </c>
    </row>
    <row r="538" spans="1:4" x14ac:dyDescent="0.45">
      <c r="A538" t="s">
        <v>40</v>
      </c>
      <c r="B538">
        <v>2002</v>
      </c>
      <c r="C538" t="s">
        <v>45</v>
      </c>
      <c r="D538">
        <v>9.9000000000000005E-2</v>
      </c>
    </row>
    <row r="539" spans="1:4" x14ac:dyDescent="0.45">
      <c r="A539" t="s">
        <v>40</v>
      </c>
      <c r="B539">
        <v>2003</v>
      </c>
      <c r="C539" t="s">
        <v>45</v>
      </c>
      <c r="D539">
        <v>0.14299999999999999</v>
      </c>
    </row>
    <row r="540" spans="1:4" x14ac:dyDescent="0.45">
      <c r="A540" t="s">
        <v>40</v>
      </c>
      <c r="B540">
        <v>2004</v>
      </c>
      <c r="C540" t="s">
        <v>45</v>
      </c>
      <c r="D540">
        <v>0.20699999999999999</v>
      </c>
    </row>
    <row r="541" spans="1:4" x14ac:dyDescent="0.45">
      <c r="A541" t="s">
        <v>40</v>
      </c>
      <c r="B541">
        <v>2005</v>
      </c>
      <c r="C541" t="s">
        <v>45</v>
      </c>
      <c r="D541">
        <v>0.26500000000000001</v>
      </c>
    </row>
    <row r="542" spans="1:4" x14ac:dyDescent="0.45">
      <c r="A542" t="s">
        <v>40</v>
      </c>
      <c r="B542">
        <v>2006</v>
      </c>
      <c r="C542" t="s">
        <v>45</v>
      </c>
      <c r="D542">
        <v>0.27</v>
      </c>
    </row>
    <row r="543" spans="1:4" x14ac:dyDescent="0.45">
      <c r="A543" t="s">
        <v>40</v>
      </c>
      <c r="B543">
        <v>2007</v>
      </c>
      <c r="C543" t="s">
        <v>45</v>
      </c>
      <c r="D543">
        <v>0.27300000000000002</v>
      </c>
    </row>
    <row r="544" spans="1:4" x14ac:dyDescent="0.45">
      <c r="A544" t="s">
        <v>40</v>
      </c>
      <c r="B544">
        <v>2008</v>
      </c>
      <c r="C544" t="s">
        <v>45</v>
      </c>
      <c r="D544">
        <v>0.218</v>
      </c>
    </row>
    <row r="545" spans="1:4" x14ac:dyDescent="0.45">
      <c r="A545" t="s">
        <v>40</v>
      </c>
      <c r="B545">
        <v>2009</v>
      </c>
      <c r="C545" t="s">
        <v>45</v>
      </c>
      <c r="D545">
        <v>0.22500000000000001</v>
      </c>
    </row>
    <row r="546" spans="1:4" x14ac:dyDescent="0.45">
      <c r="A546" t="s">
        <v>40</v>
      </c>
      <c r="B546">
        <v>2010</v>
      </c>
      <c r="C546" t="s">
        <v>45</v>
      </c>
      <c r="D546">
        <v>0.22800000000000001</v>
      </c>
    </row>
    <row r="547" spans="1:4" x14ac:dyDescent="0.45">
      <c r="A547" t="s">
        <v>40</v>
      </c>
      <c r="B547">
        <v>2011</v>
      </c>
      <c r="C547" t="s">
        <v>45</v>
      </c>
      <c r="D547">
        <v>0.22900000000000001</v>
      </c>
    </row>
    <row r="548" spans="1:4" x14ac:dyDescent="0.45">
      <c r="A548" t="s">
        <v>40</v>
      </c>
      <c r="B548">
        <v>2012</v>
      </c>
      <c r="C548" t="s">
        <v>45</v>
      </c>
      <c r="D548">
        <v>0.23</v>
      </c>
    </row>
    <row r="549" spans="1:4" x14ac:dyDescent="0.45">
      <c r="A549" t="s">
        <v>40</v>
      </c>
      <c r="B549">
        <v>2013</v>
      </c>
      <c r="C549" t="s">
        <v>45</v>
      </c>
      <c r="D549">
        <v>0.22</v>
      </c>
    </row>
    <row r="550" spans="1:4" x14ac:dyDescent="0.45">
      <c r="A550" t="s">
        <v>40</v>
      </c>
      <c r="B550">
        <v>2014</v>
      </c>
      <c r="C550" t="s">
        <v>45</v>
      </c>
      <c r="D550">
        <v>0.22600000000000001</v>
      </c>
    </row>
    <row r="551" spans="1:4" x14ac:dyDescent="0.45">
      <c r="A551" t="s">
        <v>40</v>
      </c>
      <c r="B551">
        <v>2015</v>
      </c>
      <c r="C551" t="s">
        <v>45</v>
      </c>
      <c r="D551">
        <v>0.22800000000000001</v>
      </c>
    </row>
    <row r="552" spans="1:4" x14ac:dyDescent="0.45">
      <c r="A552" t="s">
        <v>40</v>
      </c>
      <c r="B552">
        <v>2016</v>
      </c>
      <c r="C552" t="s">
        <v>45</v>
      </c>
      <c r="D552">
        <v>0.19</v>
      </c>
    </row>
    <row r="553" spans="1:4" x14ac:dyDescent="0.45">
      <c r="A553" t="s">
        <v>40</v>
      </c>
      <c r="B553">
        <v>2017</v>
      </c>
      <c r="C553" t="s">
        <v>45</v>
      </c>
      <c r="D553">
        <v>0.19</v>
      </c>
    </row>
    <row r="554" spans="1:4" x14ac:dyDescent="0.45">
      <c r="A554" t="s">
        <v>40</v>
      </c>
      <c r="B554">
        <v>2018</v>
      </c>
      <c r="C554" t="s">
        <v>45</v>
      </c>
      <c r="D554">
        <v>0.19</v>
      </c>
    </row>
    <row r="555" spans="1:4" x14ac:dyDescent="0.45">
      <c r="A555" t="s">
        <v>40</v>
      </c>
      <c r="B555">
        <v>2019</v>
      </c>
      <c r="C555" t="s">
        <v>45</v>
      </c>
      <c r="D555">
        <v>0.19</v>
      </c>
    </row>
    <row r="556" spans="1:4" x14ac:dyDescent="0.45">
      <c r="A556" t="s">
        <v>40</v>
      </c>
      <c r="B556">
        <v>2020</v>
      </c>
      <c r="C556" t="s">
        <v>45</v>
      </c>
      <c r="D556">
        <v>0.19700000000000001</v>
      </c>
    </row>
    <row r="557" spans="1:4" x14ac:dyDescent="0.45">
      <c r="A557" t="s">
        <v>40</v>
      </c>
      <c r="B557">
        <v>2021</v>
      </c>
      <c r="C557" t="s">
        <v>45</v>
      </c>
      <c r="D557">
        <v>0.19700000000000001</v>
      </c>
    </row>
    <row r="558" spans="1:4" x14ac:dyDescent="0.45">
      <c r="A558" t="s">
        <v>40</v>
      </c>
      <c r="B558">
        <v>2022</v>
      </c>
      <c r="C558" t="s">
        <v>45</v>
      </c>
      <c r="D558">
        <v>0.19700000000000001</v>
      </c>
    </row>
    <row r="559" spans="1:4" x14ac:dyDescent="0.45">
      <c r="A559" t="s">
        <v>40</v>
      </c>
      <c r="B559">
        <v>2023</v>
      </c>
      <c r="C559" t="s">
        <v>45</v>
      </c>
      <c r="D559">
        <v>0.19700000000000001</v>
      </c>
    </row>
    <row r="560" spans="1:4" x14ac:dyDescent="0.45">
      <c r="A560" t="s">
        <v>40</v>
      </c>
      <c r="B560">
        <v>2024</v>
      </c>
      <c r="C560" t="s">
        <v>45</v>
      </c>
      <c r="D560">
        <v>0.16600000000000001</v>
      </c>
    </row>
    <row r="561" spans="1:4" x14ac:dyDescent="0.45">
      <c r="A561" t="s">
        <v>40</v>
      </c>
      <c r="B561">
        <v>2024</v>
      </c>
      <c r="C561" t="s">
        <v>45</v>
      </c>
      <c r="D561">
        <v>1.9E-2</v>
      </c>
    </row>
    <row r="562" spans="1:4" x14ac:dyDescent="0.45">
      <c r="A562" t="s">
        <v>40</v>
      </c>
      <c r="B562">
        <v>2000</v>
      </c>
      <c r="C562" t="s">
        <v>45</v>
      </c>
      <c r="D562">
        <v>0.33200000000000002</v>
      </c>
    </row>
    <row r="563" spans="1:4" x14ac:dyDescent="0.45">
      <c r="A563" t="s">
        <v>40</v>
      </c>
      <c r="B563">
        <v>2001</v>
      </c>
      <c r="C563" t="s">
        <v>45</v>
      </c>
      <c r="D563">
        <v>0.48299999999999998</v>
      </c>
    </row>
    <row r="564" spans="1:4" x14ac:dyDescent="0.45">
      <c r="A564" t="s">
        <v>40</v>
      </c>
      <c r="B564">
        <v>2002</v>
      </c>
      <c r="C564" t="s">
        <v>45</v>
      </c>
      <c r="D564">
        <v>0.48299999999999998</v>
      </c>
    </row>
    <row r="565" spans="1:4" x14ac:dyDescent="0.45">
      <c r="A565" t="s">
        <v>40</v>
      </c>
      <c r="B565">
        <v>2003</v>
      </c>
      <c r="C565" t="s">
        <v>45</v>
      </c>
      <c r="D565">
        <v>0.48299999999999998</v>
      </c>
    </row>
    <row r="566" spans="1:4" x14ac:dyDescent="0.45">
      <c r="A566" t="s">
        <v>40</v>
      </c>
      <c r="B566">
        <v>2004</v>
      </c>
      <c r="C566" t="s">
        <v>45</v>
      </c>
      <c r="D566">
        <v>0.48899999999999999</v>
      </c>
    </row>
    <row r="567" spans="1:4" x14ac:dyDescent="0.45">
      <c r="A567" t="s">
        <v>40</v>
      </c>
      <c r="B567">
        <v>2005</v>
      </c>
      <c r="C567" t="s">
        <v>45</v>
      </c>
      <c r="D567">
        <v>0.49199999999999999</v>
      </c>
    </row>
    <row r="568" spans="1:4" x14ac:dyDescent="0.45">
      <c r="A568" t="s">
        <v>40</v>
      </c>
      <c r="B568">
        <v>2006</v>
      </c>
      <c r="C568" t="s">
        <v>45</v>
      </c>
      <c r="D568">
        <v>0.55500000000000005</v>
      </c>
    </row>
    <row r="569" spans="1:4" x14ac:dyDescent="0.45">
      <c r="A569" t="s">
        <v>40</v>
      </c>
      <c r="B569">
        <v>2007</v>
      </c>
      <c r="C569" t="s">
        <v>45</v>
      </c>
      <c r="D569">
        <v>0.56699999999999995</v>
      </c>
    </row>
    <row r="570" spans="1:4" x14ac:dyDescent="0.45">
      <c r="A570" t="s">
        <v>40</v>
      </c>
      <c r="B570">
        <v>2008</v>
      </c>
      <c r="C570" t="s">
        <v>45</v>
      </c>
      <c r="D570">
        <v>0.56699999999999995</v>
      </c>
    </row>
    <row r="571" spans="1:4" x14ac:dyDescent="0.45">
      <c r="A571" t="s">
        <v>40</v>
      </c>
      <c r="B571">
        <v>2009</v>
      </c>
      <c r="C571" t="s">
        <v>45</v>
      </c>
      <c r="D571">
        <v>0.59699999999999998</v>
      </c>
    </row>
    <row r="572" spans="1:4" x14ac:dyDescent="0.45">
      <c r="A572" t="s">
        <v>40</v>
      </c>
      <c r="B572">
        <v>2010</v>
      </c>
      <c r="C572" t="s">
        <v>45</v>
      </c>
      <c r="D572">
        <v>0.59699999999999998</v>
      </c>
    </row>
    <row r="573" spans="1:4" x14ac:dyDescent="0.45">
      <c r="A573" t="s">
        <v>40</v>
      </c>
      <c r="B573">
        <v>2011</v>
      </c>
      <c r="C573" t="s">
        <v>45</v>
      </c>
      <c r="D573">
        <v>0.59699999999999998</v>
      </c>
    </row>
    <row r="574" spans="1:4" x14ac:dyDescent="0.45">
      <c r="A574" t="s">
        <v>40</v>
      </c>
      <c r="B574">
        <v>2012</v>
      </c>
      <c r="C574" t="s">
        <v>45</v>
      </c>
      <c r="D574">
        <v>0.59699999999999998</v>
      </c>
    </row>
    <row r="575" spans="1:4" x14ac:dyDescent="0.45">
      <c r="A575" t="s">
        <v>40</v>
      </c>
      <c r="B575">
        <v>2013</v>
      </c>
      <c r="C575" t="s">
        <v>45</v>
      </c>
      <c r="D575">
        <v>0.59699999999999998</v>
      </c>
    </row>
    <row r="576" spans="1:4" x14ac:dyDescent="0.45">
      <c r="A576" t="s">
        <v>40</v>
      </c>
      <c r="B576">
        <v>2014</v>
      </c>
      <c r="C576" t="s">
        <v>45</v>
      </c>
      <c r="D576">
        <v>0.59799999999999998</v>
      </c>
    </row>
    <row r="577" spans="1:4" x14ac:dyDescent="0.45">
      <c r="A577" t="s">
        <v>40</v>
      </c>
      <c r="B577">
        <v>2015</v>
      </c>
      <c r="C577" t="s">
        <v>45</v>
      </c>
      <c r="D577">
        <v>0.59799999999999998</v>
      </c>
    </row>
    <row r="578" spans="1:4" x14ac:dyDescent="0.45">
      <c r="A578" t="s">
        <v>40</v>
      </c>
      <c r="B578">
        <v>2016</v>
      </c>
      <c r="C578" t="s">
        <v>45</v>
      </c>
      <c r="D578">
        <v>0.67400000000000004</v>
      </c>
    </row>
    <row r="579" spans="1:4" x14ac:dyDescent="0.45">
      <c r="A579" t="s">
        <v>40</v>
      </c>
      <c r="B579">
        <v>2017</v>
      </c>
      <c r="C579" t="s">
        <v>45</v>
      </c>
      <c r="D579">
        <v>0.67400000000000004</v>
      </c>
    </row>
    <row r="580" spans="1:4" x14ac:dyDescent="0.45">
      <c r="A580" t="s">
        <v>40</v>
      </c>
      <c r="B580">
        <v>2018</v>
      </c>
      <c r="C580" t="s">
        <v>45</v>
      </c>
      <c r="D580">
        <v>0.67400000000000004</v>
      </c>
    </row>
    <row r="581" spans="1:4" x14ac:dyDescent="0.45">
      <c r="A581" t="s">
        <v>40</v>
      </c>
      <c r="B581">
        <v>2019</v>
      </c>
      <c r="C581" t="s">
        <v>45</v>
      </c>
      <c r="D581">
        <v>0.67400000000000004</v>
      </c>
    </row>
    <row r="582" spans="1:4" x14ac:dyDescent="0.45">
      <c r="A582" t="s">
        <v>40</v>
      </c>
      <c r="B582">
        <v>2020</v>
      </c>
      <c r="C582" t="s">
        <v>45</v>
      </c>
      <c r="D582">
        <v>0.67400000000000004</v>
      </c>
    </row>
    <row r="583" spans="1:4" x14ac:dyDescent="0.45">
      <c r="A583" t="s">
        <v>40</v>
      </c>
      <c r="B583">
        <v>2021</v>
      </c>
      <c r="C583" t="s">
        <v>45</v>
      </c>
      <c r="D583">
        <v>0.67400000000000004</v>
      </c>
    </row>
    <row r="584" spans="1:4" x14ac:dyDescent="0.45">
      <c r="A584" t="s">
        <v>40</v>
      </c>
      <c r="B584">
        <v>2022</v>
      </c>
      <c r="C584" t="s">
        <v>45</v>
      </c>
      <c r="D584">
        <v>0.67400000000000004</v>
      </c>
    </row>
    <row r="585" spans="1:4" x14ac:dyDescent="0.45">
      <c r="A585" t="s">
        <v>40</v>
      </c>
      <c r="B585">
        <v>2023</v>
      </c>
      <c r="C585" t="s">
        <v>45</v>
      </c>
      <c r="D585">
        <v>0.67400000000000004</v>
      </c>
    </row>
    <row r="586" spans="1:4" x14ac:dyDescent="0.45">
      <c r="A586" t="s">
        <v>40</v>
      </c>
      <c r="B586">
        <v>2024</v>
      </c>
      <c r="C586" t="s">
        <v>45</v>
      </c>
      <c r="D586">
        <v>0.77</v>
      </c>
    </row>
    <row r="587" spans="1:4" x14ac:dyDescent="0.45">
      <c r="A587" t="s">
        <v>40</v>
      </c>
      <c r="B587">
        <v>2000</v>
      </c>
      <c r="C587" t="s">
        <v>44</v>
      </c>
      <c r="D587">
        <v>0.44900000000000001</v>
      </c>
    </row>
    <row r="588" spans="1:4" x14ac:dyDescent="0.45">
      <c r="A588" t="s">
        <v>40</v>
      </c>
      <c r="B588">
        <v>2001</v>
      </c>
      <c r="C588" t="s">
        <v>44</v>
      </c>
      <c r="D588">
        <v>0.71199999999999997</v>
      </c>
    </row>
    <row r="589" spans="1:4" x14ac:dyDescent="0.45">
      <c r="A589" t="s">
        <v>40</v>
      </c>
      <c r="B589">
        <v>2002</v>
      </c>
      <c r="C589" t="s">
        <v>44</v>
      </c>
      <c r="D589">
        <v>0.85399999999999998</v>
      </c>
    </row>
    <row r="590" spans="1:4" x14ac:dyDescent="0.45">
      <c r="A590" t="s">
        <v>40</v>
      </c>
      <c r="B590">
        <v>2003</v>
      </c>
      <c r="C590" t="s">
        <v>44</v>
      </c>
      <c r="D590">
        <v>0.75700000000000001</v>
      </c>
    </row>
    <row r="591" spans="1:4" x14ac:dyDescent="0.45">
      <c r="A591" t="s">
        <v>40</v>
      </c>
      <c r="B591">
        <v>2004</v>
      </c>
      <c r="C591" t="s">
        <v>44</v>
      </c>
      <c r="D591">
        <v>0.74099999999999999</v>
      </c>
    </row>
    <row r="592" spans="1:4" x14ac:dyDescent="0.45">
      <c r="A592" t="s">
        <v>40</v>
      </c>
      <c r="B592">
        <v>2005</v>
      </c>
      <c r="C592" t="s">
        <v>44</v>
      </c>
      <c r="D592">
        <v>0.59299999999999997</v>
      </c>
    </row>
    <row r="593" spans="1:4" x14ac:dyDescent="0.45">
      <c r="A593" t="s">
        <v>40</v>
      </c>
      <c r="B593">
        <v>2006</v>
      </c>
      <c r="C593" t="s">
        <v>44</v>
      </c>
      <c r="D593">
        <v>0.64300000000000002</v>
      </c>
    </row>
    <row r="594" spans="1:4" x14ac:dyDescent="0.45">
      <c r="A594" t="s">
        <v>40</v>
      </c>
      <c r="B594">
        <v>2007</v>
      </c>
      <c r="C594" t="s">
        <v>44</v>
      </c>
      <c r="D594">
        <v>0.63700000000000001</v>
      </c>
    </row>
    <row r="595" spans="1:4" x14ac:dyDescent="0.45">
      <c r="A595" t="s">
        <v>40</v>
      </c>
      <c r="B595">
        <v>2008</v>
      </c>
      <c r="C595" t="s">
        <v>44</v>
      </c>
      <c r="D595">
        <v>0.85899999999999999</v>
      </c>
    </row>
    <row r="596" spans="1:4" x14ac:dyDescent="0.45">
      <c r="A596" t="s">
        <v>40</v>
      </c>
      <c r="B596">
        <v>2009</v>
      </c>
      <c r="C596" t="s">
        <v>44</v>
      </c>
      <c r="D596">
        <v>1.0309999999999999</v>
      </c>
    </row>
    <row r="597" spans="1:4" x14ac:dyDescent="0.45">
      <c r="A597" t="s">
        <v>40</v>
      </c>
      <c r="B597">
        <v>2010</v>
      </c>
      <c r="C597" t="s">
        <v>44</v>
      </c>
      <c r="D597">
        <v>1.016</v>
      </c>
    </row>
    <row r="598" spans="1:4" x14ac:dyDescent="0.45">
      <c r="A598" t="s">
        <v>40</v>
      </c>
      <c r="B598">
        <v>2011</v>
      </c>
      <c r="C598" t="s">
        <v>44</v>
      </c>
      <c r="D598">
        <v>1.0249999999999999</v>
      </c>
    </row>
    <row r="599" spans="1:4" x14ac:dyDescent="0.45">
      <c r="A599" t="s">
        <v>40</v>
      </c>
      <c r="B599">
        <v>2012</v>
      </c>
      <c r="C599" t="s">
        <v>44</v>
      </c>
      <c r="D599">
        <v>1.6240000000000001</v>
      </c>
    </row>
    <row r="600" spans="1:4" x14ac:dyDescent="0.45">
      <c r="A600" t="s">
        <v>40</v>
      </c>
      <c r="B600">
        <v>2013</v>
      </c>
      <c r="C600" t="s">
        <v>44</v>
      </c>
      <c r="D600">
        <v>1.601</v>
      </c>
    </row>
    <row r="601" spans="1:4" x14ac:dyDescent="0.45">
      <c r="A601" t="s">
        <v>40</v>
      </c>
      <c r="B601">
        <v>2014</v>
      </c>
      <c r="C601" t="s">
        <v>44</v>
      </c>
      <c r="D601">
        <v>1.635</v>
      </c>
    </row>
    <row r="602" spans="1:4" x14ac:dyDescent="0.45">
      <c r="A602" t="s">
        <v>40</v>
      </c>
      <c r="B602">
        <v>2015</v>
      </c>
      <c r="C602" t="s">
        <v>44</v>
      </c>
      <c r="D602">
        <v>1.4910000000000001</v>
      </c>
    </row>
    <row r="603" spans="1:4" x14ac:dyDescent="0.45">
      <c r="A603" t="s">
        <v>40</v>
      </c>
      <c r="B603">
        <v>2016</v>
      </c>
      <c r="C603" t="s">
        <v>44</v>
      </c>
      <c r="D603">
        <v>1.2709999999999999</v>
      </c>
    </row>
    <row r="604" spans="1:4" x14ac:dyDescent="0.45">
      <c r="A604" t="s">
        <v>40</v>
      </c>
      <c r="B604">
        <v>2017</v>
      </c>
      <c r="C604" t="s">
        <v>44</v>
      </c>
      <c r="D604">
        <v>1.2489560000000002</v>
      </c>
    </row>
    <row r="605" spans="1:4" x14ac:dyDescent="0.45">
      <c r="A605" t="s">
        <v>40</v>
      </c>
      <c r="B605">
        <v>2018</v>
      </c>
      <c r="C605" t="s">
        <v>44</v>
      </c>
      <c r="D605">
        <v>1.2587919999999999</v>
      </c>
    </row>
    <row r="606" spans="1:4" x14ac:dyDescent="0.45">
      <c r="A606" t="s">
        <v>40</v>
      </c>
      <c r="B606">
        <v>2019</v>
      </c>
      <c r="C606" t="s">
        <v>44</v>
      </c>
      <c r="D606">
        <v>1.3436440000000001</v>
      </c>
    </row>
    <row r="607" spans="1:4" x14ac:dyDescent="0.45">
      <c r="A607" t="s">
        <v>40</v>
      </c>
      <c r="B607">
        <v>2020</v>
      </c>
      <c r="C607" t="s">
        <v>44</v>
      </c>
      <c r="D607">
        <v>1.361866</v>
      </c>
    </row>
    <row r="608" spans="1:4" x14ac:dyDescent="0.45">
      <c r="A608" t="s">
        <v>40</v>
      </c>
      <c r="B608">
        <v>2021</v>
      </c>
      <c r="C608" t="s">
        <v>44</v>
      </c>
      <c r="D608">
        <v>1.354012</v>
      </c>
    </row>
    <row r="609" spans="1:4" x14ac:dyDescent="0.45">
      <c r="A609" t="s">
        <v>40</v>
      </c>
      <c r="B609">
        <v>2022</v>
      </c>
      <c r="C609" t="s">
        <v>44</v>
      </c>
      <c r="D609">
        <v>1.372806</v>
      </c>
    </row>
    <row r="610" spans="1:4" x14ac:dyDescent="0.45">
      <c r="A610" t="s">
        <v>40</v>
      </c>
      <c r="B610">
        <v>2023</v>
      </c>
      <c r="C610" t="s">
        <v>44</v>
      </c>
      <c r="D610">
        <v>1.4050729999999998</v>
      </c>
    </row>
    <row r="611" spans="1:4" x14ac:dyDescent="0.45">
      <c r="A611" t="s">
        <v>40</v>
      </c>
      <c r="B611">
        <v>2000</v>
      </c>
      <c r="C611" t="s">
        <v>44</v>
      </c>
      <c r="D611">
        <v>0.68500000000000005</v>
      </c>
    </row>
    <row r="612" spans="1:4" x14ac:dyDescent="0.45">
      <c r="A612" t="s">
        <v>40</v>
      </c>
      <c r="B612">
        <v>2001</v>
      </c>
      <c r="C612" t="s">
        <v>44</v>
      </c>
      <c r="D612">
        <v>0.63300000000000001</v>
      </c>
    </row>
    <row r="613" spans="1:4" x14ac:dyDescent="0.45">
      <c r="A613" t="s">
        <v>40</v>
      </c>
      <c r="B613">
        <v>2002</v>
      </c>
      <c r="C613" t="s">
        <v>44</v>
      </c>
      <c r="D613">
        <v>0.72899999999999998</v>
      </c>
    </row>
    <row r="614" spans="1:4" x14ac:dyDescent="0.45">
      <c r="A614" t="s">
        <v>40</v>
      </c>
      <c r="B614">
        <v>2003</v>
      </c>
      <c r="C614" t="s">
        <v>44</v>
      </c>
      <c r="D614">
        <v>0.82599999999999996</v>
      </c>
    </row>
    <row r="615" spans="1:4" x14ac:dyDescent="0.45">
      <c r="A615" t="s">
        <v>40</v>
      </c>
      <c r="B615">
        <v>2004</v>
      </c>
      <c r="C615" t="s">
        <v>44</v>
      </c>
      <c r="D615">
        <v>1.0580000000000001</v>
      </c>
    </row>
    <row r="616" spans="1:4" x14ac:dyDescent="0.45">
      <c r="A616" t="s">
        <v>40</v>
      </c>
      <c r="B616">
        <v>2005</v>
      </c>
      <c r="C616" t="s">
        <v>44</v>
      </c>
      <c r="D616">
        <v>3.2370000000000001</v>
      </c>
    </row>
    <row r="617" spans="1:4" x14ac:dyDescent="0.45">
      <c r="A617" t="s">
        <v>40</v>
      </c>
      <c r="B617">
        <v>2006</v>
      </c>
      <c r="C617" t="s">
        <v>44</v>
      </c>
      <c r="D617">
        <v>3.2679999999999998</v>
      </c>
    </row>
    <row r="618" spans="1:4" x14ac:dyDescent="0.45">
      <c r="A618" t="s">
        <v>40</v>
      </c>
      <c r="B618">
        <v>2007</v>
      </c>
      <c r="C618" t="s">
        <v>44</v>
      </c>
      <c r="D618">
        <v>3.3159999999999998</v>
      </c>
    </row>
    <row r="619" spans="1:4" x14ac:dyDescent="0.45">
      <c r="A619" t="s">
        <v>40</v>
      </c>
      <c r="B619">
        <v>2008</v>
      </c>
      <c r="C619" t="s">
        <v>44</v>
      </c>
      <c r="D619">
        <v>3.7370000000000001</v>
      </c>
    </row>
    <row r="620" spans="1:4" x14ac:dyDescent="0.45">
      <c r="A620" t="s">
        <v>40</v>
      </c>
      <c r="B620">
        <v>2009</v>
      </c>
      <c r="C620" t="s">
        <v>44</v>
      </c>
      <c r="D620">
        <v>1.784</v>
      </c>
    </row>
    <row r="621" spans="1:4" x14ac:dyDescent="0.45">
      <c r="A621" t="s">
        <v>40</v>
      </c>
      <c r="B621">
        <v>2010</v>
      </c>
      <c r="C621" t="s">
        <v>44</v>
      </c>
      <c r="D621">
        <v>1.7609999999999999</v>
      </c>
    </row>
    <row r="622" spans="1:4" x14ac:dyDescent="0.45">
      <c r="A622" t="s">
        <v>40</v>
      </c>
      <c r="B622">
        <v>2011</v>
      </c>
      <c r="C622" t="s">
        <v>44</v>
      </c>
      <c r="D622">
        <v>1.077</v>
      </c>
    </row>
    <row r="623" spans="1:4" x14ac:dyDescent="0.45">
      <c r="A623" t="s">
        <v>40</v>
      </c>
      <c r="B623">
        <v>2012</v>
      </c>
      <c r="C623" t="s">
        <v>44</v>
      </c>
      <c r="D623">
        <v>1.419</v>
      </c>
    </row>
    <row r="624" spans="1:4" x14ac:dyDescent="0.45">
      <c r="A624" t="s">
        <v>40</v>
      </c>
      <c r="B624">
        <v>2013</v>
      </c>
      <c r="C624" t="s">
        <v>44</v>
      </c>
      <c r="D624">
        <v>1.5509999999999999</v>
      </c>
    </row>
    <row r="625" spans="1:4" x14ac:dyDescent="0.45">
      <c r="A625" t="s">
        <v>40</v>
      </c>
      <c r="B625">
        <v>2014</v>
      </c>
      <c r="C625" t="s">
        <v>44</v>
      </c>
      <c r="D625">
        <v>1.8759999999999999</v>
      </c>
    </row>
    <row r="626" spans="1:4" x14ac:dyDescent="0.45">
      <c r="A626" t="s">
        <v>40</v>
      </c>
      <c r="B626">
        <v>2015</v>
      </c>
      <c r="C626" t="s">
        <v>44</v>
      </c>
      <c r="D626">
        <v>2.117</v>
      </c>
    </row>
    <row r="627" spans="1:4" x14ac:dyDescent="0.45">
      <c r="A627" t="s">
        <v>40</v>
      </c>
      <c r="B627">
        <v>2016</v>
      </c>
      <c r="C627" t="s">
        <v>44</v>
      </c>
      <c r="D627">
        <v>2.4510000000000001</v>
      </c>
    </row>
    <row r="628" spans="1:4" x14ac:dyDescent="0.45">
      <c r="A628" t="s">
        <v>40</v>
      </c>
      <c r="B628">
        <v>2017</v>
      </c>
      <c r="C628" t="s">
        <v>44</v>
      </c>
      <c r="D628">
        <v>2.2515900000000002</v>
      </c>
    </row>
    <row r="629" spans="1:4" x14ac:dyDescent="0.45">
      <c r="A629" t="s">
        <v>40</v>
      </c>
      <c r="B629">
        <v>2018</v>
      </c>
      <c r="C629" t="s">
        <v>44</v>
      </c>
      <c r="D629">
        <v>2.258893</v>
      </c>
    </row>
    <row r="630" spans="1:4" x14ac:dyDescent="0.45">
      <c r="A630" t="s">
        <v>40</v>
      </c>
      <c r="B630">
        <v>2019</v>
      </c>
      <c r="C630" t="s">
        <v>44</v>
      </c>
      <c r="D630">
        <v>2.152237</v>
      </c>
    </row>
    <row r="631" spans="1:4" x14ac:dyDescent="0.45">
      <c r="A631" t="s">
        <v>40</v>
      </c>
      <c r="B631">
        <v>2020</v>
      </c>
      <c r="C631" t="s">
        <v>44</v>
      </c>
      <c r="D631">
        <v>1.9897639999999999</v>
      </c>
    </row>
    <row r="632" spans="1:4" x14ac:dyDescent="0.45">
      <c r="A632" t="s">
        <v>40</v>
      </c>
      <c r="B632">
        <v>2021</v>
      </c>
      <c r="C632" t="s">
        <v>44</v>
      </c>
      <c r="D632">
        <v>1.99217</v>
      </c>
    </row>
    <row r="633" spans="1:4" x14ac:dyDescent="0.45">
      <c r="A633" t="s">
        <v>40</v>
      </c>
      <c r="B633">
        <v>2022</v>
      </c>
      <c r="C633" t="s">
        <v>44</v>
      </c>
      <c r="D633">
        <v>1.8174509999999999</v>
      </c>
    </row>
    <row r="634" spans="1:4" x14ac:dyDescent="0.45">
      <c r="A634" t="s">
        <v>40</v>
      </c>
      <c r="B634">
        <v>2023</v>
      </c>
      <c r="C634" t="s">
        <v>44</v>
      </c>
      <c r="D634">
        <v>1.6877200000000001</v>
      </c>
    </row>
    <row r="635" spans="1:4" x14ac:dyDescent="0.45">
      <c r="A635" t="s">
        <v>72</v>
      </c>
      <c r="B635">
        <v>2000</v>
      </c>
      <c r="C635" t="s">
        <v>45</v>
      </c>
      <c r="D635">
        <v>2.0000000000000001E-4</v>
      </c>
    </row>
    <row r="636" spans="1:4" x14ac:dyDescent="0.45">
      <c r="A636" t="s">
        <v>72</v>
      </c>
      <c r="B636">
        <v>2001</v>
      </c>
      <c r="C636" t="s">
        <v>45</v>
      </c>
      <c r="D636">
        <v>2.0000000000000001E-4</v>
      </c>
    </row>
    <row r="637" spans="1:4" x14ac:dyDescent="0.45">
      <c r="A637" t="s">
        <v>72</v>
      </c>
      <c r="B637">
        <v>2002</v>
      </c>
      <c r="C637" t="s">
        <v>45</v>
      </c>
      <c r="D637">
        <v>2.0000000000000001E-4</v>
      </c>
    </row>
    <row r="638" spans="1:4" x14ac:dyDescent="0.45">
      <c r="A638" t="s">
        <v>72</v>
      </c>
      <c r="B638">
        <v>2003</v>
      </c>
      <c r="C638" t="s">
        <v>45</v>
      </c>
      <c r="D638">
        <v>1E-4</v>
      </c>
    </row>
    <row r="639" spans="1:4" x14ac:dyDescent="0.45">
      <c r="A639" t="s">
        <v>72</v>
      </c>
      <c r="B639">
        <v>2004</v>
      </c>
      <c r="C639" t="s">
        <v>45</v>
      </c>
      <c r="D639">
        <v>1E-4</v>
      </c>
    </row>
    <row r="640" spans="1:4" x14ac:dyDescent="0.45">
      <c r="A640" t="s">
        <v>72</v>
      </c>
      <c r="B640">
        <v>2005</v>
      </c>
      <c r="C640" t="s">
        <v>45</v>
      </c>
      <c r="D640">
        <v>2.0000000000000001E-4</v>
      </c>
    </row>
    <row r="641" spans="1:4" x14ac:dyDescent="0.45">
      <c r="A641" t="s">
        <v>72</v>
      </c>
      <c r="B641">
        <v>2006</v>
      </c>
      <c r="C641" t="s">
        <v>45</v>
      </c>
      <c r="D641">
        <v>1E-4</v>
      </c>
    </row>
    <row r="642" spans="1:4" x14ac:dyDescent="0.45">
      <c r="A642" t="s">
        <v>72</v>
      </c>
      <c r="B642">
        <v>2007</v>
      </c>
      <c r="C642" t="s">
        <v>45</v>
      </c>
      <c r="D642">
        <v>1E-4</v>
      </c>
    </row>
    <row r="643" spans="1:4" x14ac:dyDescent="0.45">
      <c r="A643" t="s">
        <v>72</v>
      </c>
      <c r="B643">
        <v>2008</v>
      </c>
      <c r="C643" t="s">
        <v>45</v>
      </c>
      <c r="D643">
        <v>1E-4</v>
      </c>
    </row>
    <row r="644" spans="1:4" x14ac:dyDescent="0.45">
      <c r="A644" t="s">
        <v>72</v>
      </c>
      <c r="B644">
        <v>2009</v>
      </c>
      <c r="C644" t="s">
        <v>45</v>
      </c>
      <c r="D644">
        <v>1E-4</v>
      </c>
    </row>
    <row r="645" spans="1:4" x14ac:dyDescent="0.45">
      <c r="A645" t="s">
        <v>72</v>
      </c>
      <c r="B645">
        <v>2010</v>
      </c>
      <c r="C645" t="s">
        <v>45</v>
      </c>
      <c r="D645">
        <v>1E-4</v>
      </c>
    </row>
    <row r="646" spans="1:4" x14ac:dyDescent="0.45">
      <c r="A646" t="s">
        <v>72</v>
      </c>
      <c r="B646">
        <v>2011</v>
      </c>
      <c r="C646" t="s">
        <v>45</v>
      </c>
      <c r="D646">
        <v>1E-4</v>
      </c>
    </row>
    <row r="647" spans="1:4" x14ac:dyDescent="0.45">
      <c r="A647" t="s">
        <v>72</v>
      </c>
      <c r="B647">
        <v>2012</v>
      </c>
      <c r="C647" t="s">
        <v>45</v>
      </c>
      <c r="D647">
        <v>1E-4</v>
      </c>
    </row>
    <row r="648" spans="1:4" x14ac:dyDescent="0.45">
      <c r="A648" t="s">
        <v>72</v>
      </c>
      <c r="B648">
        <v>2013</v>
      </c>
      <c r="C648" t="s">
        <v>45</v>
      </c>
      <c r="D648">
        <v>1E-4</v>
      </c>
    </row>
    <row r="649" spans="1:4" x14ac:dyDescent="0.45">
      <c r="A649" t="s">
        <v>72</v>
      </c>
      <c r="B649">
        <v>2014</v>
      </c>
      <c r="C649" t="s">
        <v>45</v>
      </c>
      <c r="D649">
        <v>1E-4</v>
      </c>
    </row>
    <row r="650" spans="1:4" x14ac:dyDescent="0.45">
      <c r="A650" t="s">
        <v>72</v>
      </c>
      <c r="B650">
        <v>2015</v>
      </c>
      <c r="C650" t="s">
        <v>45</v>
      </c>
      <c r="D650">
        <v>1E-4</v>
      </c>
    </row>
    <row r="651" spans="1:4" x14ac:dyDescent="0.45">
      <c r="A651" t="s">
        <v>72</v>
      </c>
      <c r="B651">
        <v>2016</v>
      </c>
      <c r="C651" t="s">
        <v>45</v>
      </c>
      <c r="D651">
        <v>1E-4</v>
      </c>
    </row>
    <row r="652" spans="1:4" x14ac:dyDescent="0.45">
      <c r="A652" t="s">
        <v>72</v>
      </c>
      <c r="B652">
        <v>2017</v>
      </c>
      <c r="C652" t="s">
        <v>45</v>
      </c>
      <c r="D652">
        <v>1E-4</v>
      </c>
    </row>
    <row r="653" spans="1:4" x14ac:dyDescent="0.45">
      <c r="A653" t="s">
        <v>72</v>
      </c>
      <c r="B653">
        <v>2018</v>
      </c>
      <c r="C653" t="s">
        <v>45</v>
      </c>
      <c r="D653">
        <v>1E-4</v>
      </c>
    </row>
    <row r="654" spans="1:4" x14ac:dyDescent="0.45">
      <c r="A654" t="s">
        <v>72</v>
      </c>
      <c r="B654">
        <v>2019</v>
      </c>
      <c r="C654" t="s">
        <v>45</v>
      </c>
      <c r="D654">
        <v>1E-4</v>
      </c>
    </row>
    <row r="655" spans="1:4" x14ac:dyDescent="0.45">
      <c r="A655" t="s">
        <v>72</v>
      </c>
      <c r="B655">
        <v>2020</v>
      </c>
      <c r="C655" t="s">
        <v>45</v>
      </c>
      <c r="D655">
        <v>1E-4</v>
      </c>
    </row>
    <row r="656" spans="1:4" x14ac:dyDescent="0.45">
      <c r="A656" t="s">
        <v>72</v>
      </c>
      <c r="B656">
        <v>2021</v>
      </c>
      <c r="C656" t="s">
        <v>45</v>
      </c>
      <c r="D656">
        <v>1E-4</v>
      </c>
    </row>
    <row r="657" spans="1:4" x14ac:dyDescent="0.45">
      <c r="A657" t="s">
        <v>72</v>
      </c>
      <c r="B657">
        <v>2022</v>
      </c>
      <c r="C657" t="s">
        <v>45</v>
      </c>
      <c r="D657">
        <v>1E-4</v>
      </c>
    </row>
    <row r="658" spans="1:4" x14ac:dyDescent="0.45">
      <c r="A658" t="s">
        <v>72</v>
      </c>
      <c r="B658">
        <v>2023</v>
      </c>
      <c r="C658" t="s">
        <v>45</v>
      </c>
      <c r="D658">
        <v>1E-4</v>
      </c>
    </row>
    <row r="659" spans="1:4" x14ac:dyDescent="0.45">
      <c r="A659" t="s">
        <v>72</v>
      </c>
      <c r="B659">
        <v>2024</v>
      </c>
      <c r="C659" t="s">
        <v>45</v>
      </c>
      <c r="D659">
        <v>1E-4</v>
      </c>
    </row>
    <row r="660" spans="1:4" x14ac:dyDescent="0.45">
      <c r="A660" t="s">
        <v>72</v>
      </c>
      <c r="B660">
        <v>2000</v>
      </c>
      <c r="C660" t="s">
        <v>44</v>
      </c>
      <c r="D660">
        <v>1E-4</v>
      </c>
    </row>
    <row r="661" spans="1:4" x14ac:dyDescent="0.45">
      <c r="A661" t="s">
        <v>72</v>
      </c>
      <c r="B661">
        <v>2001</v>
      </c>
      <c r="C661" t="s">
        <v>44</v>
      </c>
      <c r="D661">
        <v>1E-4</v>
      </c>
    </row>
    <row r="662" spans="1:4" x14ac:dyDescent="0.45">
      <c r="A662" t="s">
        <v>72</v>
      </c>
      <c r="B662">
        <v>2002</v>
      </c>
      <c r="C662" t="s">
        <v>44</v>
      </c>
      <c r="D662">
        <v>1E-4</v>
      </c>
    </row>
    <row r="663" spans="1:4" x14ac:dyDescent="0.45">
      <c r="A663" t="s">
        <v>72</v>
      </c>
      <c r="B663">
        <v>2003</v>
      </c>
      <c r="C663" t="s">
        <v>44</v>
      </c>
      <c r="D663">
        <v>1E-4</v>
      </c>
    </row>
    <row r="664" spans="1:4" x14ac:dyDescent="0.45">
      <c r="A664" t="s">
        <v>72</v>
      </c>
      <c r="B664">
        <v>2004</v>
      </c>
      <c r="C664" t="s">
        <v>44</v>
      </c>
      <c r="D664">
        <v>1E-4</v>
      </c>
    </row>
    <row r="665" spans="1:4" x14ac:dyDescent="0.45">
      <c r="A665" t="s">
        <v>72</v>
      </c>
      <c r="B665">
        <v>2005</v>
      </c>
      <c r="C665" t="s">
        <v>44</v>
      </c>
      <c r="D665">
        <v>1E-4</v>
      </c>
    </row>
    <row r="666" spans="1:4" x14ac:dyDescent="0.45">
      <c r="A666" t="s">
        <v>72</v>
      </c>
      <c r="B666">
        <v>2006</v>
      </c>
      <c r="C666" t="s">
        <v>44</v>
      </c>
      <c r="D666">
        <v>1E-3</v>
      </c>
    </row>
    <row r="667" spans="1:4" x14ac:dyDescent="0.45">
      <c r="A667" t="s">
        <v>72</v>
      </c>
      <c r="B667">
        <v>2007</v>
      </c>
      <c r="C667" t="s">
        <v>44</v>
      </c>
      <c r="D667">
        <v>1E-3</v>
      </c>
    </row>
    <row r="668" spans="1:4" x14ac:dyDescent="0.45">
      <c r="A668" t="s">
        <v>72</v>
      </c>
      <c r="B668">
        <v>2008</v>
      </c>
      <c r="C668" t="s">
        <v>44</v>
      </c>
      <c r="D668">
        <v>1E-3</v>
      </c>
    </row>
    <row r="669" spans="1:4" x14ac:dyDescent="0.45">
      <c r="A669" t="s">
        <v>72</v>
      </c>
      <c r="B669">
        <v>2009</v>
      </c>
      <c r="C669" t="s">
        <v>44</v>
      </c>
      <c r="D669">
        <v>1E-3</v>
      </c>
    </row>
    <row r="670" spans="1:4" x14ac:dyDescent="0.45">
      <c r="A670" t="s">
        <v>72</v>
      </c>
      <c r="B670">
        <v>2010</v>
      </c>
      <c r="C670" t="s">
        <v>44</v>
      </c>
      <c r="D670">
        <v>1E-3</v>
      </c>
    </row>
    <row r="671" spans="1:4" x14ac:dyDescent="0.45">
      <c r="A671" t="s">
        <v>72</v>
      </c>
      <c r="B671">
        <v>2011</v>
      </c>
      <c r="C671" t="s">
        <v>44</v>
      </c>
      <c r="D671">
        <v>1E-3</v>
      </c>
    </row>
    <row r="672" spans="1:4" x14ac:dyDescent="0.45">
      <c r="A672" t="s">
        <v>72</v>
      </c>
      <c r="B672">
        <v>2012</v>
      </c>
      <c r="C672" t="s">
        <v>44</v>
      </c>
      <c r="D672">
        <v>1E-3</v>
      </c>
    </row>
    <row r="673" spans="1:4" x14ac:dyDescent="0.45">
      <c r="A673" t="s">
        <v>72</v>
      </c>
      <c r="B673">
        <v>2013</v>
      </c>
      <c r="C673" t="s">
        <v>44</v>
      </c>
      <c r="D673">
        <v>1E-3</v>
      </c>
    </row>
    <row r="674" spans="1:4" x14ac:dyDescent="0.45">
      <c r="A674" t="s">
        <v>72</v>
      </c>
      <c r="B674">
        <v>2014</v>
      </c>
      <c r="C674" t="s">
        <v>44</v>
      </c>
      <c r="D674">
        <v>1E-3</v>
      </c>
    </row>
    <row r="675" spans="1:4" x14ac:dyDescent="0.45">
      <c r="A675" t="s">
        <v>72</v>
      </c>
      <c r="B675">
        <v>2015</v>
      </c>
      <c r="C675" t="s">
        <v>44</v>
      </c>
      <c r="D675">
        <v>1E-3</v>
      </c>
    </row>
    <row r="676" spans="1:4" x14ac:dyDescent="0.45">
      <c r="A676" t="s">
        <v>72</v>
      </c>
      <c r="B676">
        <v>2017</v>
      </c>
      <c r="C676" t="s">
        <v>44</v>
      </c>
      <c r="D676">
        <v>1E-3</v>
      </c>
    </row>
    <row r="677" spans="1:4" x14ac:dyDescent="0.45">
      <c r="A677" t="s">
        <v>48</v>
      </c>
      <c r="B677">
        <v>2000</v>
      </c>
      <c r="C677" t="s">
        <v>44</v>
      </c>
      <c r="D677">
        <v>0</v>
      </c>
    </row>
    <row r="678" spans="1:4" x14ac:dyDescent="0.45">
      <c r="A678" t="s">
        <v>47</v>
      </c>
      <c r="B678">
        <v>2000</v>
      </c>
      <c r="C678" t="s">
        <v>44</v>
      </c>
      <c r="D678">
        <v>0</v>
      </c>
    </row>
    <row r="679" spans="1:4" x14ac:dyDescent="0.45">
      <c r="A679" t="s">
        <v>48</v>
      </c>
      <c r="B679">
        <v>2001</v>
      </c>
      <c r="C679" t="s">
        <v>44</v>
      </c>
      <c r="D679">
        <v>0</v>
      </c>
    </row>
    <row r="680" spans="1:4" x14ac:dyDescent="0.45">
      <c r="A680" t="s">
        <v>47</v>
      </c>
      <c r="B680">
        <v>2001</v>
      </c>
      <c r="C680" t="s">
        <v>44</v>
      </c>
      <c r="D680">
        <v>0</v>
      </c>
    </row>
    <row r="681" spans="1:4" x14ac:dyDescent="0.45">
      <c r="A681" t="s">
        <v>48</v>
      </c>
      <c r="B681">
        <v>2002</v>
      </c>
      <c r="C681" t="s">
        <v>44</v>
      </c>
      <c r="D681">
        <v>0</v>
      </c>
    </row>
    <row r="682" spans="1:4" x14ac:dyDescent="0.45">
      <c r="A682" t="s">
        <v>47</v>
      </c>
      <c r="B682">
        <v>2002</v>
      </c>
      <c r="C682" t="s">
        <v>44</v>
      </c>
      <c r="D682">
        <v>0</v>
      </c>
    </row>
    <row r="683" spans="1:4" x14ac:dyDescent="0.45">
      <c r="A683" t="s">
        <v>48</v>
      </c>
      <c r="B683">
        <v>2003</v>
      </c>
      <c r="C683" t="s">
        <v>44</v>
      </c>
      <c r="D683">
        <v>0</v>
      </c>
    </row>
    <row r="684" spans="1:4" x14ac:dyDescent="0.45">
      <c r="A684" t="s">
        <v>47</v>
      </c>
      <c r="B684">
        <v>2003</v>
      </c>
      <c r="C684" t="s">
        <v>44</v>
      </c>
      <c r="D684">
        <v>0</v>
      </c>
    </row>
    <row r="685" spans="1:4" x14ac:dyDescent="0.45">
      <c r="A685" t="s">
        <v>48</v>
      </c>
      <c r="B685">
        <v>2004</v>
      </c>
      <c r="C685" t="s">
        <v>44</v>
      </c>
      <c r="D685">
        <v>0</v>
      </c>
    </row>
    <row r="686" spans="1:4" x14ac:dyDescent="0.45">
      <c r="A686" t="s">
        <v>47</v>
      </c>
      <c r="B686">
        <v>2004</v>
      </c>
      <c r="C686" t="s">
        <v>44</v>
      </c>
      <c r="D686">
        <v>0</v>
      </c>
    </row>
    <row r="687" spans="1:4" x14ac:dyDescent="0.45">
      <c r="A687" t="s">
        <v>48</v>
      </c>
      <c r="B687">
        <v>2005</v>
      </c>
      <c r="C687" t="s">
        <v>44</v>
      </c>
      <c r="D687">
        <v>0</v>
      </c>
    </row>
    <row r="688" spans="1:4" x14ac:dyDescent="0.45">
      <c r="A688" t="s">
        <v>47</v>
      </c>
      <c r="B688">
        <v>2005</v>
      </c>
      <c r="C688" t="s">
        <v>44</v>
      </c>
      <c r="D688">
        <v>0</v>
      </c>
    </row>
    <row r="689" spans="1:4" x14ac:dyDescent="0.45">
      <c r="A689" t="s">
        <v>48</v>
      </c>
      <c r="B689">
        <v>2006</v>
      </c>
      <c r="C689" t="s">
        <v>44</v>
      </c>
      <c r="D689">
        <v>0</v>
      </c>
    </row>
    <row r="690" spans="1:4" x14ac:dyDescent="0.45">
      <c r="A690" t="s">
        <v>47</v>
      </c>
      <c r="B690">
        <v>2006</v>
      </c>
      <c r="C690" t="s">
        <v>44</v>
      </c>
      <c r="D690">
        <v>0</v>
      </c>
    </row>
    <row r="691" spans="1:4" x14ac:dyDescent="0.45">
      <c r="A691" t="s">
        <v>48</v>
      </c>
      <c r="B691">
        <v>2007</v>
      </c>
      <c r="C691" t="s">
        <v>44</v>
      </c>
      <c r="D691">
        <v>0</v>
      </c>
    </row>
    <row r="692" spans="1:4" x14ac:dyDescent="0.45">
      <c r="A692" t="s">
        <v>47</v>
      </c>
      <c r="B692">
        <v>2007</v>
      </c>
      <c r="C692" t="s">
        <v>44</v>
      </c>
      <c r="D692">
        <v>0</v>
      </c>
    </row>
    <row r="693" spans="1:4" x14ac:dyDescent="0.45">
      <c r="A693" t="s">
        <v>48</v>
      </c>
      <c r="B693">
        <v>2008</v>
      </c>
      <c r="C693" t="s">
        <v>44</v>
      </c>
      <c r="D693">
        <v>0</v>
      </c>
    </row>
    <row r="694" spans="1:4" x14ac:dyDescent="0.45">
      <c r="A694" t="s">
        <v>47</v>
      </c>
      <c r="B694">
        <v>2008</v>
      </c>
      <c r="C694" t="s">
        <v>44</v>
      </c>
      <c r="D694">
        <v>0</v>
      </c>
    </row>
    <row r="695" spans="1:4" x14ac:dyDescent="0.45">
      <c r="A695" t="s">
        <v>48</v>
      </c>
      <c r="B695">
        <v>2009</v>
      </c>
      <c r="C695" t="s">
        <v>44</v>
      </c>
      <c r="D695">
        <v>0</v>
      </c>
    </row>
    <row r="696" spans="1:4" x14ac:dyDescent="0.45">
      <c r="A696" t="s">
        <v>47</v>
      </c>
      <c r="B696">
        <v>2009</v>
      </c>
      <c r="C696" t="s">
        <v>44</v>
      </c>
      <c r="D696">
        <v>0</v>
      </c>
    </row>
    <row r="697" spans="1:4" x14ac:dyDescent="0.45">
      <c r="A697" t="s">
        <v>48</v>
      </c>
      <c r="B697">
        <v>2010</v>
      </c>
      <c r="C697" t="s">
        <v>44</v>
      </c>
      <c r="D697">
        <v>0</v>
      </c>
    </row>
    <row r="698" spans="1:4" x14ac:dyDescent="0.45">
      <c r="A698" t="s">
        <v>47</v>
      </c>
      <c r="B698">
        <v>2010</v>
      </c>
      <c r="C698" t="s">
        <v>44</v>
      </c>
      <c r="D698">
        <v>0</v>
      </c>
    </row>
    <row r="699" spans="1:4" x14ac:dyDescent="0.45">
      <c r="A699" t="s">
        <v>48</v>
      </c>
      <c r="B699">
        <v>2011</v>
      </c>
      <c r="C699" t="s">
        <v>44</v>
      </c>
      <c r="D699">
        <v>0</v>
      </c>
    </row>
    <row r="700" spans="1:4" x14ac:dyDescent="0.45">
      <c r="A700" t="s">
        <v>47</v>
      </c>
      <c r="B700">
        <v>2011</v>
      </c>
      <c r="C700" t="s">
        <v>44</v>
      </c>
      <c r="D700">
        <v>0</v>
      </c>
    </row>
    <row r="701" spans="1:4" x14ac:dyDescent="0.45">
      <c r="A701" t="s">
        <v>48</v>
      </c>
      <c r="B701">
        <v>2012</v>
      </c>
      <c r="C701" t="s">
        <v>44</v>
      </c>
      <c r="D701">
        <v>0</v>
      </c>
    </row>
    <row r="702" spans="1:4" x14ac:dyDescent="0.45">
      <c r="A702" t="s">
        <v>47</v>
      </c>
      <c r="B702">
        <v>2012</v>
      </c>
      <c r="C702" t="s">
        <v>44</v>
      </c>
      <c r="D702">
        <v>0</v>
      </c>
    </row>
    <row r="703" spans="1:4" x14ac:dyDescent="0.45">
      <c r="A703" t="s">
        <v>48</v>
      </c>
      <c r="B703">
        <v>2013</v>
      </c>
      <c r="C703" t="s">
        <v>44</v>
      </c>
      <c r="D703">
        <v>0</v>
      </c>
    </row>
    <row r="704" spans="1:4" x14ac:dyDescent="0.45">
      <c r="A704" t="s">
        <v>47</v>
      </c>
      <c r="B704">
        <v>2013</v>
      </c>
      <c r="C704" t="s">
        <v>44</v>
      </c>
      <c r="D704">
        <v>0</v>
      </c>
    </row>
    <row r="705" spans="1:4" x14ac:dyDescent="0.45">
      <c r="A705" t="s">
        <v>48</v>
      </c>
      <c r="B705">
        <v>2014</v>
      </c>
      <c r="C705" t="s">
        <v>44</v>
      </c>
      <c r="D705">
        <v>0</v>
      </c>
    </row>
    <row r="706" spans="1:4" x14ac:dyDescent="0.45">
      <c r="A706" t="s">
        <v>47</v>
      </c>
      <c r="B706">
        <v>2014</v>
      </c>
      <c r="C706" t="s">
        <v>44</v>
      </c>
      <c r="D706">
        <v>0</v>
      </c>
    </row>
    <row r="707" spans="1:4" x14ac:dyDescent="0.45">
      <c r="A707" t="s">
        <v>48</v>
      </c>
      <c r="B707">
        <v>2015</v>
      </c>
      <c r="C707" t="s">
        <v>44</v>
      </c>
      <c r="D707">
        <v>0</v>
      </c>
    </row>
    <row r="708" spans="1:4" x14ac:dyDescent="0.45">
      <c r="A708" t="s">
        <v>47</v>
      </c>
      <c r="B708">
        <v>2015</v>
      </c>
      <c r="C708" t="s">
        <v>44</v>
      </c>
      <c r="D708">
        <v>0</v>
      </c>
    </row>
    <row r="709" spans="1:4" x14ac:dyDescent="0.45">
      <c r="A709" t="s">
        <v>48</v>
      </c>
      <c r="B709">
        <v>2016</v>
      </c>
      <c r="C709" t="s">
        <v>44</v>
      </c>
      <c r="D709">
        <v>0</v>
      </c>
    </row>
    <row r="710" spans="1:4" x14ac:dyDescent="0.45">
      <c r="A710" t="s">
        <v>47</v>
      </c>
      <c r="B710">
        <v>2016</v>
      </c>
      <c r="C710" t="s">
        <v>44</v>
      </c>
      <c r="D710">
        <v>0</v>
      </c>
    </row>
    <row r="711" spans="1:4" x14ac:dyDescent="0.45">
      <c r="A711" t="s">
        <v>48</v>
      </c>
      <c r="B711">
        <v>2017</v>
      </c>
      <c r="C711" t="s">
        <v>44</v>
      </c>
      <c r="D711">
        <v>0</v>
      </c>
    </row>
    <row r="712" spans="1:4" x14ac:dyDescent="0.45">
      <c r="A712" t="s">
        <v>47</v>
      </c>
      <c r="B712">
        <v>2017</v>
      </c>
      <c r="C712" t="s">
        <v>44</v>
      </c>
      <c r="D712">
        <v>0</v>
      </c>
    </row>
    <row r="713" spans="1:4" x14ac:dyDescent="0.45">
      <c r="A713" t="s">
        <v>48</v>
      </c>
      <c r="B713">
        <v>2018</v>
      </c>
      <c r="C713" t="s">
        <v>44</v>
      </c>
      <c r="D713">
        <v>0</v>
      </c>
    </row>
    <row r="714" spans="1:4" x14ac:dyDescent="0.45">
      <c r="A714" t="s">
        <v>47</v>
      </c>
      <c r="B714">
        <v>2018</v>
      </c>
      <c r="C714" t="s">
        <v>44</v>
      </c>
      <c r="D714">
        <v>0</v>
      </c>
    </row>
    <row r="715" spans="1:4" x14ac:dyDescent="0.45">
      <c r="A715" t="s">
        <v>48</v>
      </c>
      <c r="B715">
        <v>2019</v>
      </c>
      <c r="C715" t="s">
        <v>44</v>
      </c>
      <c r="D715">
        <v>0</v>
      </c>
    </row>
    <row r="716" spans="1:4" x14ac:dyDescent="0.45">
      <c r="A716" t="s">
        <v>47</v>
      </c>
      <c r="B716">
        <v>2019</v>
      </c>
      <c r="C716" t="s">
        <v>44</v>
      </c>
      <c r="D716">
        <v>0</v>
      </c>
    </row>
    <row r="717" spans="1:4" x14ac:dyDescent="0.45">
      <c r="A717" t="s">
        <v>48</v>
      </c>
      <c r="B717">
        <v>2020</v>
      </c>
      <c r="C717" t="s">
        <v>44</v>
      </c>
      <c r="D717">
        <v>0</v>
      </c>
    </row>
    <row r="718" spans="1:4" x14ac:dyDescent="0.45">
      <c r="A718" t="s">
        <v>47</v>
      </c>
      <c r="B718">
        <v>2020</v>
      </c>
      <c r="C718" t="s">
        <v>44</v>
      </c>
      <c r="D718">
        <v>0</v>
      </c>
    </row>
    <row r="719" spans="1:4" x14ac:dyDescent="0.45">
      <c r="A719" t="s">
        <v>48</v>
      </c>
      <c r="B719">
        <v>2021</v>
      </c>
      <c r="C719" t="s">
        <v>44</v>
      </c>
      <c r="D719">
        <v>0</v>
      </c>
    </row>
    <row r="720" spans="1:4" x14ac:dyDescent="0.45">
      <c r="A720" t="s">
        <v>47</v>
      </c>
      <c r="B720">
        <v>2021</v>
      </c>
      <c r="C720" t="s">
        <v>44</v>
      </c>
      <c r="D720">
        <v>0</v>
      </c>
    </row>
    <row r="721" spans="1:4" x14ac:dyDescent="0.45">
      <c r="A721" t="s">
        <v>48</v>
      </c>
      <c r="B721">
        <v>2022</v>
      </c>
      <c r="C721" t="s">
        <v>44</v>
      </c>
      <c r="D721">
        <v>0</v>
      </c>
    </row>
    <row r="722" spans="1:4" x14ac:dyDescent="0.45">
      <c r="A722" t="s">
        <v>47</v>
      </c>
      <c r="B722">
        <v>2022</v>
      </c>
      <c r="C722" t="s">
        <v>44</v>
      </c>
      <c r="D722">
        <v>0</v>
      </c>
    </row>
    <row r="723" spans="1:4" x14ac:dyDescent="0.45">
      <c r="A723" t="s">
        <v>48</v>
      </c>
      <c r="B723">
        <v>2023</v>
      </c>
      <c r="C723" t="s">
        <v>44</v>
      </c>
      <c r="D723">
        <v>0</v>
      </c>
    </row>
    <row r="724" spans="1:4" x14ac:dyDescent="0.45">
      <c r="A724" t="s">
        <v>47</v>
      </c>
      <c r="B724">
        <v>2023</v>
      </c>
      <c r="C724" t="s">
        <v>44</v>
      </c>
      <c r="D724">
        <v>0</v>
      </c>
    </row>
    <row r="725" spans="1:4" x14ac:dyDescent="0.45">
      <c r="A725" t="s">
        <v>48</v>
      </c>
      <c r="B725">
        <v>2024</v>
      </c>
      <c r="C725" t="s">
        <v>44</v>
      </c>
      <c r="D725">
        <v>0</v>
      </c>
    </row>
    <row r="726" spans="1:4" x14ac:dyDescent="0.45">
      <c r="A726" t="s">
        <v>47</v>
      </c>
      <c r="B726">
        <v>2024</v>
      </c>
      <c r="C726" t="s">
        <v>44</v>
      </c>
      <c r="D726">
        <v>0</v>
      </c>
    </row>
    <row r="727" spans="1:4" x14ac:dyDescent="0.45">
      <c r="A727" t="s">
        <v>48</v>
      </c>
      <c r="B727">
        <v>2025</v>
      </c>
      <c r="C727" t="s">
        <v>44</v>
      </c>
      <c r="D727">
        <v>0</v>
      </c>
    </row>
    <row r="728" spans="1:4" x14ac:dyDescent="0.45">
      <c r="A728" t="s">
        <v>47</v>
      </c>
      <c r="B728">
        <v>2025</v>
      </c>
      <c r="C728" t="s">
        <v>44</v>
      </c>
      <c r="D7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8B23-AE21-43CE-9C3D-EA118FED3B29}">
  <dimension ref="B2:Q163"/>
  <sheetViews>
    <sheetView workbookViewId="0"/>
  </sheetViews>
  <sheetFormatPr defaultRowHeight="14.25" x14ac:dyDescent="0.45"/>
  <sheetData>
    <row r="2" spans="2:17" x14ac:dyDescent="0.45">
      <c r="B2" t="s">
        <v>1593</v>
      </c>
      <c r="H2" t="s">
        <v>109</v>
      </c>
      <c r="N2" t="s">
        <v>109</v>
      </c>
    </row>
    <row r="3" spans="2:17" x14ac:dyDescent="0.45">
      <c r="B3" t="s">
        <v>22</v>
      </c>
      <c r="C3" t="s">
        <v>2</v>
      </c>
      <c r="D3" t="s">
        <v>1583</v>
      </c>
      <c r="E3" t="s">
        <v>23</v>
      </c>
      <c r="H3" t="s">
        <v>2</v>
      </c>
      <c r="I3" t="s">
        <v>1641</v>
      </c>
      <c r="N3" t="s">
        <v>25</v>
      </c>
      <c r="O3" t="s">
        <v>2</v>
      </c>
      <c r="P3" t="s">
        <v>180</v>
      </c>
      <c r="Q3" t="s">
        <v>1725</v>
      </c>
    </row>
    <row r="4" spans="2:17" x14ac:dyDescent="0.45">
      <c r="B4" t="s">
        <v>1594</v>
      </c>
      <c r="C4" t="s">
        <v>1595</v>
      </c>
      <c r="D4" t="s">
        <v>1584</v>
      </c>
      <c r="E4">
        <v>150000</v>
      </c>
      <c r="H4" t="s">
        <v>1642</v>
      </c>
      <c r="I4">
        <v>5.3723368468696058E-3</v>
      </c>
      <c r="N4" t="s">
        <v>27</v>
      </c>
      <c r="O4" t="s">
        <v>470</v>
      </c>
      <c r="P4" t="s">
        <v>1726</v>
      </c>
      <c r="Q4">
        <v>0.95</v>
      </c>
    </row>
    <row r="5" spans="2:17" x14ac:dyDescent="0.45">
      <c r="B5" t="s">
        <v>1594</v>
      </c>
      <c r="C5" t="s">
        <v>1596</v>
      </c>
      <c r="D5" t="s">
        <v>1584</v>
      </c>
      <c r="E5">
        <v>420000</v>
      </c>
      <c r="H5" t="s">
        <v>1643</v>
      </c>
      <c r="I5">
        <v>6.5703809139994939E-3</v>
      </c>
      <c r="N5" t="s">
        <v>27</v>
      </c>
      <c r="O5" t="s">
        <v>480</v>
      </c>
      <c r="P5" t="s">
        <v>1726</v>
      </c>
      <c r="Q5">
        <v>0.95</v>
      </c>
    </row>
    <row r="6" spans="2:17" x14ac:dyDescent="0.45">
      <c r="B6" t="s">
        <v>1594</v>
      </c>
      <c r="C6" t="s">
        <v>1597</v>
      </c>
      <c r="D6" t="s">
        <v>1584</v>
      </c>
      <c r="E6">
        <v>9160000</v>
      </c>
      <c r="H6" t="s">
        <v>1644</v>
      </c>
      <c r="I6">
        <v>1.0516740125161215E-2</v>
      </c>
      <c r="N6" t="s">
        <v>27</v>
      </c>
      <c r="O6" t="s">
        <v>487</v>
      </c>
      <c r="P6" t="s">
        <v>1727</v>
      </c>
      <c r="Q6">
        <v>0.95</v>
      </c>
    </row>
    <row r="7" spans="2:17" x14ac:dyDescent="0.45">
      <c r="B7" t="s">
        <v>1594</v>
      </c>
      <c r="C7" t="s">
        <v>1598</v>
      </c>
      <c r="D7" t="s">
        <v>1584</v>
      </c>
      <c r="E7">
        <v>6060000</v>
      </c>
      <c r="H7" t="s">
        <v>1645</v>
      </c>
      <c r="I7">
        <v>5.2641331541955962E-3</v>
      </c>
      <c r="N7" t="s">
        <v>27</v>
      </c>
      <c r="O7" t="s">
        <v>498</v>
      </c>
      <c r="P7" t="s">
        <v>1727</v>
      </c>
      <c r="Q7">
        <v>0.95</v>
      </c>
    </row>
    <row r="8" spans="2:17" x14ac:dyDescent="0.45">
      <c r="B8" t="s">
        <v>1594</v>
      </c>
      <c r="C8" t="s">
        <v>1599</v>
      </c>
      <c r="D8" t="s">
        <v>1584</v>
      </c>
      <c r="E8">
        <v>100000</v>
      </c>
      <c r="H8" t="s">
        <v>1646</v>
      </c>
      <c r="I8">
        <v>1.3603594908734773E-2</v>
      </c>
      <c r="N8" t="s">
        <v>27</v>
      </c>
      <c r="O8" t="s">
        <v>505</v>
      </c>
      <c r="P8" t="s">
        <v>1728</v>
      </c>
      <c r="Q8">
        <v>0.95</v>
      </c>
    </row>
    <row r="9" spans="2:17" x14ac:dyDescent="0.45">
      <c r="B9" t="s">
        <v>1594</v>
      </c>
      <c r="C9" t="s">
        <v>1600</v>
      </c>
      <c r="D9" t="s">
        <v>1584</v>
      </c>
      <c r="E9">
        <v>2900000</v>
      </c>
      <c r="H9" t="s">
        <v>1647</v>
      </c>
      <c r="I9">
        <v>1.1559861699459308E-2</v>
      </c>
      <c r="N9" t="s">
        <v>27</v>
      </c>
      <c r="O9" t="s">
        <v>515</v>
      </c>
      <c r="P9" t="s">
        <v>1728</v>
      </c>
      <c r="Q9">
        <v>0.95</v>
      </c>
    </row>
    <row r="10" spans="2:17" x14ac:dyDescent="0.45">
      <c r="B10" t="s">
        <v>1594</v>
      </c>
      <c r="C10" t="s">
        <v>1601</v>
      </c>
      <c r="D10" t="s">
        <v>1584</v>
      </c>
      <c r="E10">
        <v>2200000</v>
      </c>
      <c r="H10" t="s">
        <v>1648</v>
      </c>
      <c r="I10">
        <v>9.3148928517646622E-3</v>
      </c>
      <c r="N10" t="s">
        <v>27</v>
      </c>
      <c r="O10" t="s">
        <v>522</v>
      </c>
      <c r="P10" t="s">
        <v>1729</v>
      </c>
      <c r="Q10">
        <v>0.95</v>
      </c>
    </row>
    <row r="11" spans="2:17" x14ac:dyDescent="0.45">
      <c r="B11" t="s">
        <v>1594</v>
      </c>
      <c r="C11" t="s">
        <v>1602</v>
      </c>
      <c r="D11" t="s">
        <v>1584</v>
      </c>
      <c r="E11">
        <v>345000</v>
      </c>
      <c r="H11" t="s">
        <v>1649</v>
      </c>
      <c r="I11">
        <v>8.4478467326563073E-3</v>
      </c>
      <c r="N11" t="s">
        <v>27</v>
      </c>
      <c r="O11" t="s">
        <v>532</v>
      </c>
      <c r="P11" t="s">
        <v>1729</v>
      </c>
      <c r="Q11">
        <v>0.95</v>
      </c>
    </row>
    <row r="12" spans="2:17" x14ac:dyDescent="0.45">
      <c r="B12" t="s">
        <v>1594</v>
      </c>
      <c r="C12" t="s">
        <v>1603</v>
      </c>
      <c r="D12" t="s">
        <v>1584</v>
      </c>
      <c r="E12">
        <v>2200000</v>
      </c>
      <c r="H12" t="s">
        <v>1650</v>
      </c>
      <c r="I12">
        <v>2.1194139219291256E-2</v>
      </c>
      <c r="N12" t="s">
        <v>27</v>
      </c>
      <c r="O12" t="s">
        <v>539</v>
      </c>
      <c r="P12" t="s">
        <v>1730</v>
      </c>
      <c r="Q12">
        <v>0.95</v>
      </c>
    </row>
    <row r="13" spans="2:17" x14ac:dyDescent="0.45">
      <c r="B13" t="s">
        <v>1594</v>
      </c>
      <c r="C13" t="s">
        <v>1604</v>
      </c>
      <c r="D13" t="s">
        <v>1584</v>
      </c>
      <c r="E13">
        <v>3300000</v>
      </c>
      <c r="H13" t="s">
        <v>1651</v>
      </c>
      <c r="I13">
        <v>1.2688187115912877E-2</v>
      </c>
      <c r="N13" t="s">
        <v>27</v>
      </c>
      <c r="O13" t="s">
        <v>550</v>
      </c>
      <c r="P13" t="s">
        <v>1730</v>
      </c>
      <c r="Q13">
        <v>0.95</v>
      </c>
    </row>
    <row r="14" spans="2:17" x14ac:dyDescent="0.45">
      <c r="B14" t="s">
        <v>1594</v>
      </c>
      <c r="C14" t="s">
        <v>1605</v>
      </c>
      <c r="D14" t="s">
        <v>1584</v>
      </c>
      <c r="E14">
        <v>5500000</v>
      </c>
      <c r="H14" t="s">
        <v>1652</v>
      </c>
      <c r="I14">
        <v>1.2762839755938594E-2</v>
      </c>
      <c r="N14" t="s">
        <v>27</v>
      </c>
      <c r="O14" t="s">
        <v>557</v>
      </c>
      <c r="P14" t="s">
        <v>1731</v>
      </c>
      <c r="Q14">
        <v>0.95</v>
      </c>
    </row>
    <row r="15" spans="2:17" x14ac:dyDescent="0.45">
      <c r="B15" t="s">
        <v>1594</v>
      </c>
      <c r="C15" t="s">
        <v>1606</v>
      </c>
      <c r="D15" t="s">
        <v>1584</v>
      </c>
      <c r="E15">
        <v>7900000</v>
      </c>
      <c r="H15" t="s">
        <v>1653</v>
      </c>
      <c r="I15">
        <v>1.3915571896966858E-2</v>
      </c>
      <c r="N15" t="s">
        <v>27</v>
      </c>
      <c r="O15" t="s">
        <v>568</v>
      </c>
      <c r="P15" t="s">
        <v>1731</v>
      </c>
      <c r="Q15">
        <v>0.95</v>
      </c>
    </row>
    <row r="16" spans="2:17" x14ac:dyDescent="0.45">
      <c r="B16" t="s">
        <v>1594</v>
      </c>
      <c r="C16" t="s">
        <v>1607</v>
      </c>
      <c r="D16" t="s">
        <v>1584</v>
      </c>
      <c r="E16">
        <v>7200000</v>
      </c>
      <c r="H16" t="s">
        <v>1654</v>
      </c>
      <c r="I16">
        <v>1.3268271763247713E-2</v>
      </c>
      <c r="N16" t="s">
        <v>27</v>
      </c>
      <c r="O16" t="s">
        <v>576</v>
      </c>
      <c r="P16" t="s">
        <v>1732</v>
      </c>
      <c r="Q16">
        <v>0.95</v>
      </c>
    </row>
    <row r="17" spans="2:17" x14ac:dyDescent="0.45">
      <c r="B17" t="s">
        <v>1594</v>
      </c>
      <c r="C17" t="s">
        <v>1608</v>
      </c>
      <c r="D17" t="s">
        <v>1584</v>
      </c>
      <c r="E17">
        <v>3000000</v>
      </c>
      <c r="H17" t="s">
        <v>1655</v>
      </c>
      <c r="I17">
        <v>1.2387620807616915E-2</v>
      </c>
      <c r="N17" t="s">
        <v>27</v>
      </c>
      <c r="O17" t="s">
        <v>587</v>
      </c>
      <c r="P17" t="s">
        <v>1732</v>
      </c>
      <c r="Q17">
        <v>0.95</v>
      </c>
    </row>
    <row r="18" spans="2:17" x14ac:dyDescent="0.45">
      <c r="B18" t="s">
        <v>1594</v>
      </c>
      <c r="C18" t="s">
        <v>1609</v>
      </c>
      <c r="D18" t="s">
        <v>1584</v>
      </c>
      <c r="E18">
        <v>120000</v>
      </c>
      <c r="H18" t="s">
        <v>1656</v>
      </c>
      <c r="I18">
        <v>1.0110723606634498E-2</v>
      </c>
      <c r="N18" t="s">
        <v>27</v>
      </c>
      <c r="O18" t="s">
        <v>594</v>
      </c>
      <c r="P18" t="s">
        <v>1733</v>
      </c>
      <c r="Q18">
        <v>0.95</v>
      </c>
    </row>
    <row r="19" spans="2:17" x14ac:dyDescent="0.45">
      <c r="B19" t="s">
        <v>1594</v>
      </c>
      <c r="C19" t="s">
        <v>1610</v>
      </c>
      <c r="D19" t="s">
        <v>1584</v>
      </c>
      <c r="E19">
        <v>938000</v>
      </c>
      <c r="H19" t="s">
        <v>1657</v>
      </c>
      <c r="I19">
        <v>1.0405791189343712E-2</v>
      </c>
      <c r="N19" t="s">
        <v>27</v>
      </c>
      <c r="O19" t="s">
        <v>605</v>
      </c>
      <c r="P19" t="s">
        <v>1733</v>
      </c>
      <c r="Q19">
        <v>0.95</v>
      </c>
    </row>
    <row r="20" spans="2:17" x14ac:dyDescent="0.45">
      <c r="B20" t="s">
        <v>1594</v>
      </c>
      <c r="C20" t="s">
        <v>1611</v>
      </c>
      <c r="D20" t="s">
        <v>1584</v>
      </c>
      <c r="E20">
        <v>150</v>
      </c>
      <c r="H20" t="s">
        <v>1658</v>
      </c>
      <c r="I20">
        <v>1.1755408081177485E-2</v>
      </c>
      <c r="N20" t="s">
        <v>27</v>
      </c>
      <c r="O20" t="s">
        <v>612</v>
      </c>
      <c r="P20" t="s">
        <v>1734</v>
      </c>
      <c r="Q20">
        <v>0.95</v>
      </c>
    </row>
    <row r="21" spans="2:17" x14ac:dyDescent="0.45">
      <c r="B21" t="s">
        <v>1594</v>
      </c>
      <c r="C21" t="s">
        <v>1612</v>
      </c>
      <c r="D21" t="s">
        <v>1584</v>
      </c>
      <c r="E21">
        <v>52000</v>
      </c>
      <c r="H21" t="s">
        <v>1659</v>
      </c>
      <c r="I21">
        <v>1.7518873217062199E-2</v>
      </c>
      <c r="N21" t="s">
        <v>27</v>
      </c>
      <c r="O21" t="s">
        <v>623</v>
      </c>
      <c r="P21" t="s">
        <v>1734</v>
      </c>
      <c r="Q21">
        <v>0.95</v>
      </c>
    </row>
    <row r="22" spans="2:17" x14ac:dyDescent="0.45">
      <c r="B22" t="s">
        <v>1594</v>
      </c>
      <c r="C22" t="s">
        <v>1613</v>
      </c>
      <c r="D22" t="s">
        <v>1584</v>
      </c>
      <c r="E22">
        <v>164000</v>
      </c>
      <c r="H22" t="s">
        <v>1660</v>
      </c>
      <c r="I22">
        <v>5.6751132284713008E-3</v>
      </c>
      <c r="N22" t="s">
        <v>27</v>
      </c>
      <c r="O22" t="s">
        <v>630</v>
      </c>
      <c r="P22" t="s">
        <v>1735</v>
      </c>
      <c r="Q22">
        <v>0.95</v>
      </c>
    </row>
    <row r="23" spans="2:17" x14ac:dyDescent="0.45">
      <c r="B23" t="s">
        <v>1594</v>
      </c>
      <c r="C23" t="s">
        <v>1614</v>
      </c>
      <c r="D23" t="s">
        <v>1584</v>
      </c>
      <c r="E23">
        <v>22500</v>
      </c>
      <c r="H23" t="s">
        <v>1661</v>
      </c>
      <c r="I23">
        <v>7.7481130858311712E-3</v>
      </c>
      <c r="N23" t="s">
        <v>27</v>
      </c>
      <c r="O23" t="s">
        <v>641</v>
      </c>
      <c r="P23" t="s">
        <v>1735</v>
      </c>
      <c r="Q23">
        <v>0.95</v>
      </c>
    </row>
    <row r="24" spans="2:17" x14ac:dyDescent="0.45">
      <c r="B24" t="s">
        <v>1594</v>
      </c>
      <c r="C24" t="s">
        <v>1615</v>
      </c>
      <c r="D24" t="s">
        <v>1584</v>
      </c>
      <c r="E24">
        <v>29900</v>
      </c>
      <c r="H24" t="s">
        <v>1662</v>
      </c>
      <c r="I24">
        <v>2.5109051374490633E-3</v>
      </c>
      <c r="N24" t="s">
        <v>27</v>
      </c>
      <c r="O24" t="s">
        <v>648</v>
      </c>
      <c r="P24" t="s">
        <v>1736</v>
      </c>
      <c r="Q24">
        <v>0.95</v>
      </c>
    </row>
    <row r="25" spans="2:17" x14ac:dyDescent="0.45">
      <c r="B25" t="s">
        <v>1594</v>
      </c>
      <c r="C25" t="s">
        <v>1616</v>
      </c>
      <c r="D25" t="s">
        <v>1584</v>
      </c>
      <c r="E25">
        <v>291100</v>
      </c>
      <c r="H25" t="s">
        <v>1663</v>
      </c>
      <c r="I25">
        <v>5.427805338851629E-3</v>
      </c>
      <c r="N25" t="s">
        <v>27</v>
      </c>
      <c r="O25" t="s">
        <v>658</v>
      </c>
      <c r="P25" t="s">
        <v>1736</v>
      </c>
      <c r="Q25">
        <v>0.95</v>
      </c>
    </row>
    <row r="26" spans="2:17" x14ac:dyDescent="0.45">
      <c r="B26" t="s">
        <v>1594</v>
      </c>
      <c r="C26" t="s">
        <v>1617</v>
      </c>
      <c r="D26" t="s">
        <v>1584</v>
      </c>
      <c r="E26">
        <v>13400</v>
      </c>
      <c r="H26" t="s">
        <v>1664</v>
      </c>
      <c r="I26">
        <v>1.4968859201451881E-2</v>
      </c>
      <c r="N26" t="s">
        <v>27</v>
      </c>
      <c r="O26" t="s">
        <v>665</v>
      </c>
      <c r="P26" t="s">
        <v>1737</v>
      </c>
      <c r="Q26">
        <v>0.95</v>
      </c>
    </row>
    <row r="27" spans="2:17" x14ac:dyDescent="0.45">
      <c r="B27" t="s">
        <v>1594</v>
      </c>
      <c r="C27" t="s">
        <v>1618</v>
      </c>
      <c r="D27" t="s">
        <v>1584</v>
      </c>
      <c r="E27">
        <v>150000</v>
      </c>
      <c r="H27" t="s">
        <v>1665</v>
      </c>
      <c r="I27">
        <v>6.8657702759493903E-3</v>
      </c>
      <c r="N27" t="s">
        <v>27</v>
      </c>
      <c r="O27" t="s">
        <v>676</v>
      </c>
      <c r="P27" t="s">
        <v>1737</v>
      </c>
      <c r="Q27">
        <v>0.95</v>
      </c>
    </row>
    <row r="28" spans="2:17" x14ac:dyDescent="0.45">
      <c r="B28" t="s">
        <v>1594</v>
      </c>
      <c r="C28" t="s">
        <v>1619</v>
      </c>
      <c r="D28" t="s">
        <v>1584</v>
      </c>
      <c r="E28">
        <v>89000</v>
      </c>
      <c r="H28" t="s">
        <v>1666</v>
      </c>
      <c r="I28">
        <v>1.1577286646271211E-2</v>
      </c>
      <c r="N28" t="s">
        <v>27</v>
      </c>
      <c r="O28" t="s">
        <v>683</v>
      </c>
      <c r="P28" t="s">
        <v>1738</v>
      </c>
      <c r="Q28">
        <v>0.95</v>
      </c>
    </row>
    <row r="29" spans="2:17" x14ac:dyDescent="0.45">
      <c r="B29" t="s">
        <v>1594</v>
      </c>
      <c r="C29" t="s">
        <v>1620</v>
      </c>
      <c r="D29" t="s">
        <v>1584</v>
      </c>
      <c r="E29">
        <v>100000</v>
      </c>
      <c r="H29" t="s">
        <v>1667</v>
      </c>
      <c r="I29">
        <v>1.9215254317851066E-2</v>
      </c>
      <c r="N29" t="s">
        <v>27</v>
      </c>
      <c r="O29" t="s">
        <v>694</v>
      </c>
      <c r="P29" t="s">
        <v>1738</v>
      </c>
      <c r="Q29">
        <v>0.95</v>
      </c>
    </row>
    <row r="30" spans="2:17" x14ac:dyDescent="0.45">
      <c r="B30" t="s">
        <v>1594</v>
      </c>
      <c r="C30" t="s">
        <v>1621</v>
      </c>
      <c r="D30" t="s">
        <v>1584</v>
      </c>
      <c r="E30">
        <v>4300</v>
      </c>
      <c r="H30" t="s">
        <v>1668</v>
      </c>
      <c r="I30">
        <v>5.0584598613046938E-3</v>
      </c>
      <c r="N30" t="s">
        <v>27</v>
      </c>
      <c r="O30" t="s">
        <v>702</v>
      </c>
      <c r="P30" t="s">
        <v>1739</v>
      </c>
      <c r="Q30">
        <v>0.95</v>
      </c>
    </row>
    <row r="31" spans="2:17" x14ac:dyDescent="0.45">
      <c r="B31" t="s">
        <v>1594</v>
      </c>
      <c r="C31" t="s">
        <v>1622</v>
      </c>
      <c r="D31" t="s">
        <v>1584</v>
      </c>
      <c r="E31">
        <v>172000</v>
      </c>
      <c r="H31" t="s">
        <v>1669</v>
      </c>
      <c r="I31">
        <v>1.2778005417011596E-2</v>
      </c>
      <c r="N31" t="s">
        <v>27</v>
      </c>
      <c r="O31" t="s">
        <v>713</v>
      </c>
      <c r="P31" t="s">
        <v>1739</v>
      </c>
      <c r="Q31">
        <v>0.95</v>
      </c>
    </row>
    <row r="32" spans="2:17" x14ac:dyDescent="0.45">
      <c r="B32" t="s">
        <v>1594</v>
      </c>
      <c r="C32" t="s">
        <v>1623</v>
      </c>
      <c r="D32" t="s">
        <v>1584</v>
      </c>
      <c r="E32">
        <v>594000</v>
      </c>
      <c r="H32" t="s">
        <v>1670</v>
      </c>
      <c r="I32">
        <v>2.8817096120381778E-2</v>
      </c>
      <c r="N32" t="s">
        <v>27</v>
      </c>
      <c r="O32" t="s">
        <v>720</v>
      </c>
      <c r="P32" t="s">
        <v>1740</v>
      </c>
      <c r="Q32">
        <v>0.95</v>
      </c>
    </row>
    <row r="33" spans="2:17" x14ac:dyDescent="0.45">
      <c r="B33" t="s">
        <v>1594</v>
      </c>
      <c r="C33" t="s">
        <v>1624</v>
      </c>
      <c r="D33" t="s">
        <v>1584</v>
      </c>
      <c r="E33">
        <v>534000</v>
      </c>
      <c r="H33" t="s">
        <v>1671</v>
      </c>
      <c r="I33">
        <v>5.925403596585401E-3</v>
      </c>
      <c r="N33" t="s">
        <v>27</v>
      </c>
      <c r="O33" t="s">
        <v>730</v>
      </c>
      <c r="P33" t="s">
        <v>1740</v>
      </c>
      <c r="Q33">
        <v>0.95</v>
      </c>
    </row>
    <row r="34" spans="2:17" x14ac:dyDescent="0.45">
      <c r="B34" t="s">
        <v>1594</v>
      </c>
      <c r="C34" t="s">
        <v>1625</v>
      </c>
      <c r="D34" t="s">
        <v>1584</v>
      </c>
      <c r="E34">
        <v>75000</v>
      </c>
      <c r="H34" t="s">
        <v>1672</v>
      </c>
      <c r="I34">
        <v>6.7696048065756268E-3</v>
      </c>
      <c r="N34" t="s">
        <v>27</v>
      </c>
      <c r="O34" t="s">
        <v>737</v>
      </c>
      <c r="P34" t="s">
        <v>1741</v>
      </c>
      <c r="Q34">
        <v>0.95</v>
      </c>
    </row>
    <row r="35" spans="2:17" x14ac:dyDescent="0.45">
      <c r="B35" t="s">
        <v>1594</v>
      </c>
      <c r="C35" t="s">
        <v>1626</v>
      </c>
      <c r="D35" t="s">
        <v>1584</v>
      </c>
      <c r="E35">
        <v>41000</v>
      </c>
      <c r="H35" t="s">
        <v>1673</v>
      </c>
      <c r="I35">
        <v>3.5109472053592152E-3</v>
      </c>
      <c r="N35" t="s">
        <v>27</v>
      </c>
      <c r="O35" t="s">
        <v>747</v>
      </c>
      <c r="P35" t="s">
        <v>1741</v>
      </c>
      <c r="Q35">
        <v>0.95</v>
      </c>
    </row>
    <row r="36" spans="2:17" x14ac:dyDescent="0.45">
      <c r="B36" t="s">
        <v>1594</v>
      </c>
      <c r="C36" t="s">
        <v>1627</v>
      </c>
      <c r="D36" t="s">
        <v>1584</v>
      </c>
      <c r="E36">
        <v>74950</v>
      </c>
      <c r="H36" t="s">
        <v>1674</v>
      </c>
      <c r="I36">
        <v>1.5998737569578172E-2</v>
      </c>
      <c r="N36" t="s">
        <v>27</v>
      </c>
      <c r="O36" t="s">
        <v>754</v>
      </c>
      <c r="P36" t="s">
        <v>1742</v>
      </c>
      <c r="Q36">
        <v>0.95</v>
      </c>
    </row>
    <row r="37" spans="2:17" x14ac:dyDescent="0.45">
      <c r="B37" t="s">
        <v>1594</v>
      </c>
      <c r="C37" t="s">
        <v>1628</v>
      </c>
      <c r="D37" t="s">
        <v>1584</v>
      </c>
      <c r="E37">
        <v>75000</v>
      </c>
      <c r="H37" t="s">
        <v>1675</v>
      </c>
      <c r="I37">
        <v>3.5342005705032891E-3</v>
      </c>
      <c r="N37" t="s">
        <v>27</v>
      </c>
      <c r="O37" t="s">
        <v>765</v>
      </c>
      <c r="P37" t="s">
        <v>1742</v>
      </c>
      <c r="Q37">
        <v>0.95</v>
      </c>
    </row>
    <row r="38" spans="2:17" x14ac:dyDescent="0.45">
      <c r="B38" t="s">
        <v>1594</v>
      </c>
      <c r="C38" t="s">
        <v>1629</v>
      </c>
      <c r="D38" t="s">
        <v>1584</v>
      </c>
      <c r="E38">
        <v>13500</v>
      </c>
      <c r="H38" t="s">
        <v>1676</v>
      </c>
      <c r="I38">
        <v>1.4670008756622331E-2</v>
      </c>
      <c r="N38" t="s">
        <v>27</v>
      </c>
      <c r="O38" t="s">
        <v>772</v>
      </c>
      <c r="P38" t="s">
        <v>1743</v>
      </c>
      <c r="Q38">
        <v>0.95</v>
      </c>
    </row>
    <row r="39" spans="2:17" x14ac:dyDescent="0.45">
      <c r="B39" t="s">
        <v>1594</v>
      </c>
      <c r="C39" t="s">
        <v>1630</v>
      </c>
      <c r="D39" t="s">
        <v>1584</v>
      </c>
      <c r="E39">
        <v>21000</v>
      </c>
      <c r="H39" t="s">
        <v>1677</v>
      </c>
      <c r="I39">
        <v>1.058570695348547E-2</v>
      </c>
      <c r="N39" t="s">
        <v>27</v>
      </c>
      <c r="O39" t="s">
        <v>782</v>
      </c>
      <c r="P39" t="s">
        <v>1743</v>
      </c>
      <c r="Q39">
        <v>0.95</v>
      </c>
    </row>
    <row r="40" spans="2:17" x14ac:dyDescent="0.45">
      <c r="B40" t="s">
        <v>1594</v>
      </c>
      <c r="C40" t="s">
        <v>1631</v>
      </c>
      <c r="D40" t="s">
        <v>1584</v>
      </c>
      <c r="E40">
        <v>454000</v>
      </c>
      <c r="H40" t="s">
        <v>1678</v>
      </c>
      <c r="I40">
        <v>4.0301219325614328E-3</v>
      </c>
      <c r="N40" t="s">
        <v>27</v>
      </c>
      <c r="O40" t="s">
        <v>789</v>
      </c>
      <c r="P40" t="s">
        <v>1744</v>
      </c>
      <c r="Q40">
        <v>0.95</v>
      </c>
    </row>
    <row r="41" spans="2:17" x14ac:dyDescent="0.45">
      <c r="B41" t="s">
        <v>1594</v>
      </c>
      <c r="C41" t="s">
        <v>1632</v>
      </c>
      <c r="D41" t="s">
        <v>1584</v>
      </c>
      <c r="E41">
        <v>1198000</v>
      </c>
      <c r="H41" t="s">
        <v>1679</v>
      </c>
      <c r="I41">
        <v>3.1979909340959503E-3</v>
      </c>
      <c r="N41" t="s">
        <v>27</v>
      </c>
      <c r="O41" t="s">
        <v>800</v>
      </c>
      <c r="P41" t="s">
        <v>1744</v>
      </c>
      <c r="Q41">
        <v>0.95</v>
      </c>
    </row>
    <row r="42" spans="2:17" x14ac:dyDescent="0.45">
      <c r="B42" t="s">
        <v>1594</v>
      </c>
      <c r="C42" t="s">
        <v>1633</v>
      </c>
      <c r="D42" t="s">
        <v>1584</v>
      </c>
      <c r="E42">
        <v>1200000</v>
      </c>
      <c r="H42" t="s">
        <v>1680</v>
      </c>
      <c r="I42">
        <v>6.9518367987725779E-3</v>
      </c>
      <c r="N42" t="s">
        <v>27</v>
      </c>
      <c r="O42" t="s">
        <v>807</v>
      </c>
      <c r="P42" t="s">
        <v>1745</v>
      </c>
      <c r="Q42">
        <v>0.95</v>
      </c>
    </row>
    <row r="43" spans="2:17" x14ac:dyDescent="0.45">
      <c r="B43" t="s">
        <v>1594</v>
      </c>
      <c r="C43" t="s">
        <v>1634</v>
      </c>
      <c r="D43" t="s">
        <v>1584</v>
      </c>
      <c r="E43">
        <v>66000</v>
      </c>
      <c r="H43" t="s">
        <v>1681</v>
      </c>
      <c r="I43">
        <v>7.8342450917952052E-3</v>
      </c>
      <c r="N43" t="s">
        <v>27</v>
      </c>
      <c r="O43" t="s">
        <v>818</v>
      </c>
      <c r="P43" t="s">
        <v>1745</v>
      </c>
      <c r="Q43">
        <v>0.95</v>
      </c>
    </row>
    <row r="44" spans="2:17" x14ac:dyDescent="0.45">
      <c r="B44" t="s">
        <v>1594</v>
      </c>
      <c r="C44" t="s">
        <v>1635</v>
      </c>
      <c r="D44" t="s">
        <v>1584</v>
      </c>
      <c r="E44">
        <v>98000</v>
      </c>
      <c r="H44" t="s">
        <v>1682</v>
      </c>
      <c r="I44">
        <v>1.9950623331174686E-2</v>
      </c>
      <c r="N44" t="s">
        <v>27</v>
      </c>
      <c r="O44" t="s">
        <v>825</v>
      </c>
      <c r="P44" t="s">
        <v>1746</v>
      </c>
      <c r="Q44">
        <v>0.95</v>
      </c>
    </row>
    <row r="45" spans="2:17" x14ac:dyDescent="0.45">
      <c r="B45" t="s">
        <v>1594</v>
      </c>
      <c r="C45" t="s">
        <v>1636</v>
      </c>
      <c r="D45" t="s">
        <v>1584</v>
      </c>
      <c r="E45">
        <v>28850</v>
      </c>
      <c r="H45" t="s">
        <v>1683</v>
      </c>
      <c r="I45">
        <v>2.8868459050370183E-3</v>
      </c>
      <c r="N45" t="s">
        <v>27</v>
      </c>
      <c r="O45" t="s">
        <v>836</v>
      </c>
      <c r="P45" t="s">
        <v>1746</v>
      </c>
      <c r="Q45">
        <v>0.95</v>
      </c>
    </row>
    <row r="46" spans="2:17" x14ac:dyDescent="0.45">
      <c r="B46" t="s">
        <v>1594</v>
      </c>
      <c r="C46" t="s">
        <v>1637</v>
      </c>
      <c r="D46" t="s">
        <v>1584</v>
      </c>
      <c r="E46">
        <v>24000</v>
      </c>
      <c r="H46" t="s">
        <v>1684</v>
      </c>
      <c r="I46">
        <v>1.0499073955551023E-2</v>
      </c>
      <c r="N46" t="s">
        <v>27</v>
      </c>
      <c r="O46" t="s">
        <v>843</v>
      </c>
      <c r="P46" t="s">
        <v>1747</v>
      </c>
      <c r="Q46">
        <v>0.95</v>
      </c>
    </row>
    <row r="47" spans="2:17" x14ac:dyDescent="0.45">
      <c r="B47" t="s">
        <v>1594</v>
      </c>
      <c r="C47" t="s">
        <v>1638</v>
      </c>
      <c r="D47" t="s">
        <v>1584</v>
      </c>
      <c r="E47">
        <v>137100</v>
      </c>
      <c r="H47" t="s">
        <v>1685</v>
      </c>
      <c r="I47">
        <v>2.1573649328646423E-2</v>
      </c>
      <c r="N47" t="s">
        <v>27</v>
      </c>
      <c r="O47" t="s">
        <v>854</v>
      </c>
      <c r="P47" t="s">
        <v>1747</v>
      </c>
      <c r="Q47">
        <v>0.95</v>
      </c>
    </row>
    <row r="48" spans="2:17" x14ac:dyDescent="0.45">
      <c r="B48" t="s">
        <v>1594</v>
      </c>
      <c r="C48" t="s">
        <v>1639</v>
      </c>
      <c r="D48" t="s">
        <v>1584</v>
      </c>
      <c r="E48">
        <v>91400</v>
      </c>
      <c r="H48" t="s">
        <v>1686</v>
      </c>
      <c r="I48">
        <v>3.3165847563000131E-2</v>
      </c>
      <c r="N48" t="s">
        <v>27</v>
      </c>
      <c r="O48" t="s">
        <v>861</v>
      </c>
      <c r="P48" t="s">
        <v>1748</v>
      </c>
      <c r="Q48">
        <v>0.95</v>
      </c>
    </row>
    <row r="49" spans="2:17" x14ac:dyDescent="0.45">
      <c r="B49" t="s">
        <v>1594</v>
      </c>
      <c r="C49" t="s">
        <v>1640</v>
      </c>
      <c r="D49" t="s">
        <v>1584</v>
      </c>
      <c r="E49">
        <v>28500</v>
      </c>
      <c r="H49" t="s">
        <v>1687</v>
      </c>
      <c r="I49">
        <v>7.8925179652831832E-3</v>
      </c>
      <c r="N49" t="s">
        <v>27</v>
      </c>
      <c r="O49" t="s">
        <v>872</v>
      </c>
      <c r="P49" t="s">
        <v>1748</v>
      </c>
      <c r="Q49">
        <v>0.95</v>
      </c>
    </row>
    <row r="50" spans="2:17" x14ac:dyDescent="0.45">
      <c r="H50" t="s">
        <v>1688</v>
      </c>
      <c r="I50">
        <v>5.6212040275656402E-3</v>
      </c>
      <c r="N50" t="s">
        <v>27</v>
      </c>
      <c r="O50" t="s">
        <v>880</v>
      </c>
      <c r="P50" t="s">
        <v>1749</v>
      </c>
      <c r="Q50">
        <v>0.95</v>
      </c>
    </row>
    <row r="51" spans="2:17" x14ac:dyDescent="0.45">
      <c r="H51" t="s">
        <v>1689</v>
      </c>
      <c r="I51">
        <v>1.8349367016950974E-2</v>
      </c>
      <c r="N51" t="s">
        <v>27</v>
      </c>
      <c r="O51" t="s">
        <v>891</v>
      </c>
      <c r="P51" t="s">
        <v>1749</v>
      </c>
      <c r="Q51">
        <v>0.95</v>
      </c>
    </row>
    <row r="52" spans="2:17" x14ac:dyDescent="0.45">
      <c r="H52" t="s">
        <v>1690</v>
      </c>
      <c r="I52">
        <v>1.4758176012523124E-2</v>
      </c>
      <c r="N52" t="s">
        <v>27</v>
      </c>
      <c r="O52" t="s">
        <v>898</v>
      </c>
      <c r="P52" t="s">
        <v>1750</v>
      </c>
      <c r="Q52">
        <v>0.95</v>
      </c>
    </row>
    <row r="53" spans="2:17" x14ac:dyDescent="0.45">
      <c r="H53" t="s">
        <v>1691</v>
      </c>
      <c r="I53">
        <v>1.0244691529688698E-2</v>
      </c>
      <c r="N53" t="s">
        <v>27</v>
      </c>
      <c r="O53" t="s">
        <v>909</v>
      </c>
      <c r="P53" t="s">
        <v>1750</v>
      </c>
      <c r="Q53">
        <v>0.95</v>
      </c>
    </row>
    <row r="54" spans="2:17" x14ac:dyDescent="0.45">
      <c r="H54" t="s">
        <v>1692</v>
      </c>
      <c r="I54">
        <v>1.483463528276922E-2</v>
      </c>
      <c r="N54" t="s">
        <v>27</v>
      </c>
      <c r="O54" t="s">
        <v>916</v>
      </c>
      <c r="P54" t="s">
        <v>1751</v>
      </c>
      <c r="Q54">
        <v>0.95</v>
      </c>
    </row>
    <row r="55" spans="2:17" x14ac:dyDescent="0.45">
      <c r="H55" t="s">
        <v>1693</v>
      </c>
      <c r="I55">
        <v>2.0022096529303833E-2</v>
      </c>
      <c r="N55" t="s">
        <v>27</v>
      </c>
      <c r="O55" t="s">
        <v>927</v>
      </c>
      <c r="P55" t="s">
        <v>1751</v>
      </c>
      <c r="Q55">
        <v>0.95</v>
      </c>
    </row>
    <row r="56" spans="2:17" x14ac:dyDescent="0.45">
      <c r="H56" t="s">
        <v>1694</v>
      </c>
      <c r="I56">
        <v>2.1615623180661004E-2</v>
      </c>
      <c r="N56" t="s">
        <v>27</v>
      </c>
      <c r="O56" t="s">
        <v>934</v>
      </c>
      <c r="P56" t="s">
        <v>1752</v>
      </c>
      <c r="Q56">
        <v>0.95</v>
      </c>
    </row>
    <row r="57" spans="2:17" x14ac:dyDescent="0.45">
      <c r="H57" t="s">
        <v>1695</v>
      </c>
      <c r="I57">
        <v>2.9340739124989017E-3</v>
      </c>
      <c r="N57" t="s">
        <v>27</v>
      </c>
      <c r="O57" t="s">
        <v>945</v>
      </c>
      <c r="P57" t="s">
        <v>1752</v>
      </c>
      <c r="Q57">
        <v>0.95</v>
      </c>
    </row>
    <row r="58" spans="2:17" x14ac:dyDescent="0.45">
      <c r="H58" t="s">
        <v>1696</v>
      </c>
      <c r="I58">
        <v>2.4596208911164586E-2</v>
      </c>
      <c r="N58" t="s">
        <v>27</v>
      </c>
      <c r="O58" t="s">
        <v>953</v>
      </c>
      <c r="P58" t="s">
        <v>1753</v>
      </c>
      <c r="Q58">
        <v>0.95</v>
      </c>
    </row>
    <row r="59" spans="2:17" x14ac:dyDescent="0.45">
      <c r="H59" t="s">
        <v>1697</v>
      </c>
      <c r="I59">
        <v>2.2447548518321914E-2</v>
      </c>
      <c r="N59" t="s">
        <v>27</v>
      </c>
      <c r="O59" t="s">
        <v>964</v>
      </c>
      <c r="P59" t="s">
        <v>1753</v>
      </c>
      <c r="Q59">
        <v>0.95</v>
      </c>
    </row>
    <row r="60" spans="2:17" x14ac:dyDescent="0.45">
      <c r="H60" t="s">
        <v>1698</v>
      </c>
      <c r="I60">
        <v>2.7970721862546295E-2</v>
      </c>
      <c r="N60" t="s">
        <v>27</v>
      </c>
      <c r="O60" t="s">
        <v>972</v>
      </c>
      <c r="P60" t="s">
        <v>1754</v>
      </c>
      <c r="Q60">
        <v>0.95</v>
      </c>
    </row>
    <row r="61" spans="2:17" x14ac:dyDescent="0.45">
      <c r="H61" t="s">
        <v>1699</v>
      </c>
      <c r="I61">
        <v>2.7992004463513773E-2</v>
      </c>
      <c r="N61" t="s">
        <v>27</v>
      </c>
      <c r="O61" t="s">
        <v>982</v>
      </c>
      <c r="P61" t="s">
        <v>1754</v>
      </c>
      <c r="Q61">
        <v>0.95</v>
      </c>
    </row>
    <row r="62" spans="2:17" x14ac:dyDescent="0.45">
      <c r="H62" t="s">
        <v>1700</v>
      </c>
      <c r="I62">
        <v>2.4736046529075111E-2</v>
      </c>
      <c r="N62" t="s">
        <v>27</v>
      </c>
      <c r="O62" t="s">
        <v>989</v>
      </c>
      <c r="P62" t="s">
        <v>1755</v>
      </c>
      <c r="Q62">
        <v>0.95</v>
      </c>
    </row>
    <row r="63" spans="2:17" x14ac:dyDescent="0.45">
      <c r="H63" t="s">
        <v>1701</v>
      </c>
      <c r="I63">
        <v>2.4769320664701378E-2</v>
      </c>
      <c r="N63" t="s">
        <v>27</v>
      </c>
      <c r="O63" t="s">
        <v>1000</v>
      </c>
      <c r="P63" t="s">
        <v>1755</v>
      </c>
      <c r="Q63">
        <v>0.95</v>
      </c>
    </row>
    <row r="64" spans="2:17" x14ac:dyDescent="0.45">
      <c r="H64" t="s">
        <v>1702</v>
      </c>
      <c r="I64">
        <v>3.2315615465247541E-2</v>
      </c>
      <c r="N64" t="s">
        <v>27</v>
      </c>
      <c r="O64" t="s">
        <v>1007</v>
      </c>
      <c r="P64" t="s">
        <v>1756</v>
      </c>
      <c r="Q64">
        <v>0.95</v>
      </c>
    </row>
    <row r="65" spans="8:17" x14ac:dyDescent="0.45">
      <c r="H65" t="s">
        <v>1703</v>
      </c>
      <c r="I65">
        <v>7.6425273733115593E-3</v>
      </c>
      <c r="N65" t="s">
        <v>27</v>
      </c>
      <c r="O65" t="s">
        <v>1018</v>
      </c>
      <c r="P65" t="s">
        <v>1756</v>
      </c>
      <c r="Q65">
        <v>0.95</v>
      </c>
    </row>
    <row r="66" spans="8:17" x14ac:dyDescent="0.45">
      <c r="H66" t="s">
        <v>1704</v>
      </c>
      <c r="I66">
        <v>4.8912785350080281E-3</v>
      </c>
      <c r="N66" t="s">
        <v>27</v>
      </c>
      <c r="O66" t="s">
        <v>1025</v>
      </c>
      <c r="P66" t="s">
        <v>1757</v>
      </c>
      <c r="Q66">
        <v>0.95</v>
      </c>
    </row>
    <row r="67" spans="8:17" x14ac:dyDescent="0.45">
      <c r="H67" t="s">
        <v>1705</v>
      </c>
      <c r="I67">
        <v>8.3788202115384191E-3</v>
      </c>
      <c r="N67" t="s">
        <v>27</v>
      </c>
      <c r="O67" t="s">
        <v>1036</v>
      </c>
      <c r="P67" t="s">
        <v>1757</v>
      </c>
      <c r="Q67">
        <v>0.95</v>
      </c>
    </row>
    <row r="68" spans="8:17" x14ac:dyDescent="0.45">
      <c r="H68" t="s">
        <v>1706</v>
      </c>
      <c r="I68">
        <v>8.3538948069221391E-3</v>
      </c>
      <c r="N68" t="s">
        <v>27</v>
      </c>
      <c r="O68" t="s">
        <v>1043</v>
      </c>
      <c r="P68" t="s">
        <v>1758</v>
      </c>
      <c r="Q68">
        <v>0.95</v>
      </c>
    </row>
    <row r="69" spans="8:17" x14ac:dyDescent="0.45">
      <c r="H69" t="s">
        <v>1707</v>
      </c>
      <c r="I69">
        <v>3.1979909340959503E-3</v>
      </c>
      <c r="N69" t="s">
        <v>27</v>
      </c>
      <c r="O69" t="s">
        <v>1054</v>
      </c>
      <c r="P69" t="s">
        <v>1758</v>
      </c>
      <c r="Q69">
        <v>0.95</v>
      </c>
    </row>
    <row r="70" spans="8:17" x14ac:dyDescent="0.45">
      <c r="H70" t="s">
        <v>1708</v>
      </c>
      <c r="I70">
        <v>3.1979909340959503E-3</v>
      </c>
      <c r="N70" t="s">
        <v>27</v>
      </c>
      <c r="O70" t="s">
        <v>1061</v>
      </c>
      <c r="P70" t="s">
        <v>1759</v>
      </c>
      <c r="Q70">
        <v>0.95</v>
      </c>
    </row>
    <row r="71" spans="8:17" x14ac:dyDescent="0.45">
      <c r="H71" t="s">
        <v>1709</v>
      </c>
      <c r="I71">
        <v>3.1979909340959503E-3</v>
      </c>
      <c r="N71" t="s">
        <v>27</v>
      </c>
      <c r="O71" t="s">
        <v>1072</v>
      </c>
      <c r="P71" t="s">
        <v>1759</v>
      </c>
      <c r="Q71">
        <v>0.95</v>
      </c>
    </row>
    <row r="72" spans="8:17" x14ac:dyDescent="0.45">
      <c r="H72" t="s">
        <v>1710</v>
      </c>
      <c r="I72">
        <v>3.1979909340959503E-3</v>
      </c>
      <c r="N72" t="s">
        <v>27</v>
      </c>
      <c r="O72" t="s">
        <v>1079</v>
      </c>
      <c r="P72" t="s">
        <v>1760</v>
      </c>
      <c r="Q72">
        <v>0.95</v>
      </c>
    </row>
    <row r="73" spans="8:17" x14ac:dyDescent="0.45">
      <c r="H73" t="s">
        <v>1711</v>
      </c>
      <c r="I73">
        <v>2.5026525431890316E-2</v>
      </c>
      <c r="N73" t="s">
        <v>27</v>
      </c>
      <c r="O73" t="s">
        <v>1090</v>
      </c>
      <c r="P73" t="s">
        <v>1760</v>
      </c>
      <c r="Q73">
        <v>0.95</v>
      </c>
    </row>
    <row r="74" spans="8:17" x14ac:dyDescent="0.45">
      <c r="H74" t="s">
        <v>1712</v>
      </c>
      <c r="I74">
        <v>2.5026525431890316E-2</v>
      </c>
      <c r="N74" t="s">
        <v>27</v>
      </c>
      <c r="O74" t="s">
        <v>1097</v>
      </c>
      <c r="P74" t="s">
        <v>1761</v>
      </c>
      <c r="Q74">
        <v>0.95</v>
      </c>
    </row>
    <row r="75" spans="8:17" x14ac:dyDescent="0.45">
      <c r="H75" t="s">
        <v>1713</v>
      </c>
      <c r="I75">
        <v>1.7568850870119897E-2</v>
      </c>
      <c r="N75" t="s">
        <v>27</v>
      </c>
      <c r="O75" t="s">
        <v>1107</v>
      </c>
      <c r="P75" t="s">
        <v>1761</v>
      </c>
      <c r="Q75">
        <v>0.95</v>
      </c>
    </row>
    <row r="76" spans="8:17" x14ac:dyDescent="0.45">
      <c r="H76" t="s">
        <v>1714</v>
      </c>
      <c r="I76">
        <v>1.7568850870119897E-2</v>
      </c>
      <c r="N76" t="s">
        <v>27</v>
      </c>
      <c r="O76" t="s">
        <v>1114</v>
      </c>
      <c r="P76" t="s">
        <v>1762</v>
      </c>
      <c r="Q76">
        <v>0.95</v>
      </c>
    </row>
    <row r="77" spans="8:17" x14ac:dyDescent="0.45">
      <c r="H77" t="s">
        <v>1715</v>
      </c>
      <c r="I77">
        <v>4.2819931285780653E-3</v>
      </c>
      <c r="N77" t="s">
        <v>27</v>
      </c>
      <c r="O77" t="s">
        <v>1125</v>
      </c>
      <c r="P77" t="s">
        <v>1762</v>
      </c>
      <c r="Q77">
        <v>0.95</v>
      </c>
    </row>
    <row r="78" spans="8:17" x14ac:dyDescent="0.45">
      <c r="H78" t="s">
        <v>1716</v>
      </c>
      <c r="I78">
        <v>4.2819931285780653E-3</v>
      </c>
      <c r="N78" t="s">
        <v>27</v>
      </c>
      <c r="O78" t="s">
        <v>1132</v>
      </c>
      <c r="P78" t="s">
        <v>1763</v>
      </c>
      <c r="Q78">
        <v>0.95</v>
      </c>
    </row>
    <row r="79" spans="8:17" x14ac:dyDescent="0.45">
      <c r="H79" t="s">
        <v>1717</v>
      </c>
      <c r="I79">
        <v>4.33194247374018E-3</v>
      </c>
      <c r="N79" t="s">
        <v>27</v>
      </c>
      <c r="O79" t="s">
        <v>1143</v>
      </c>
      <c r="P79" t="s">
        <v>1763</v>
      </c>
      <c r="Q79">
        <v>0.95</v>
      </c>
    </row>
    <row r="80" spans="8:17" x14ac:dyDescent="0.45">
      <c r="H80" t="s">
        <v>1718</v>
      </c>
      <c r="I80">
        <v>3.1979909340959503E-3</v>
      </c>
      <c r="N80" t="s">
        <v>27</v>
      </c>
      <c r="O80" t="s">
        <v>1150</v>
      </c>
      <c r="P80" t="s">
        <v>1764</v>
      </c>
      <c r="Q80">
        <v>0.95</v>
      </c>
    </row>
    <row r="81" spans="8:17" x14ac:dyDescent="0.45">
      <c r="H81" t="s">
        <v>1719</v>
      </c>
      <c r="I81">
        <v>3.1979909340959503E-3</v>
      </c>
      <c r="N81" t="s">
        <v>27</v>
      </c>
      <c r="O81" t="s">
        <v>1161</v>
      </c>
      <c r="P81" t="s">
        <v>1764</v>
      </c>
      <c r="Q81">
        <v>0.95</v>
      </c>
    </row>
    <row r="82" spans="8:17" x14ac:dyDescent="0.45">
      <c r="H82" t="s">
        <v>1720</v>
      </c>
      <c r="I82">
        <v>3.1979909340959503E-3</v>
      </c>
      <c r="N82" t="s">
        <v>27</v>
      </c>
      <c r="O82" t="s">
        <v>1168</v>
      </c>
      <c r="P82" t="s">
        <v>1765</v>
      </c>
      <c r="Q82">
        <v>0.95</v>
      </c>
    </row>
    <row r="83" spans="8:17" x14ac:dyDescent="0.45">
      <c r="H83" t="s">
        <v>1721</v>
      </c>
      <c r="I83">
        <v>3.1979909340959503E-3</v>
      </c>
      <c r="N83" t="s">
        <v>27</v>
      </c>
      <c r="O83" t="s">
        <v>1179</v>
      </c>
      <c r="P83" t="s">
        <v>1765</v>
      </c>
      <c r="Q83">
        <v>0.95</v>
      </c>
    </row>
    <row r="84" spans="8:17" x14ac:dyDescent="0.45">
      <c r="H84" t="s">
        <v>1722</v>
      </c>
      <c r="I84">
        <v>5.3852164192157584E-3</v>
      </c>
      <c r="N84" t="s">
        <v>27</v>
      </c>
      <c r="O84" t="s">
        <v>1186</v>
      </c>
      <c r="P84" t="s">
        <v>1766</v>
      </c>
      <c r="Q84">
        <v>0.95</v>
      </c>
    </row>
    <row r="85" spans="8:17" x14ac:dyDescent="0.45">
      <c r="H85" t="s">
        <v>1723</v>
      </c>
      <c r="I85">
        <v>8.5883832118263254E-3</v>
      </c>
      <c r="N85" t="s">
        <v>27</v>
      </c>
      <c r="O85" t="s">
        <v>1197</v>
      </c>
      <c r="P85" t="s">
        <v>1766</v>
      </c>
      <c r="Q85">
        <v>0.95</v>
      </c>
    </row>
    <row r="86" spans="8:17" x14ac:dyDescent="0.45">
      <c r="H86" t="s">
        <v>1724</v>
      </c>
      <c r="I86">
        <v>5.8570225240090175E-3</v>
      </c>
      <c r="N86" t="s">
        <v>27</v>
      </c>
      <c r="O86" t="s">
        <v>1204</v>
      </c>
      <c r="P86" t="s">
        <v>1767</v>
      </c>
      <c r="Q86">
        <v>0.95</v>
      </c>
    </row>
    <row r="87" spans="8:17" x14ac:dyDescent="0.45">
      <c r="N87" t="s">
        <v>27</v>
      </c>
      <c r="O87" t="s">
        <v>1215</v>
      </c>
      <c r="P87" t="s">
        <v>1767</v>
      </c>
      <c r="Q87">
        <v>0.95</v>
      </c>
    </row>
    <row r="88" spans="8:17" x14ac:dyDescent="0.45">
      <c r="N88" t="s">
        <v>27</v>
      </c>
      <c r="O88" t="s">
        <v>1222</v>
      </c>
      <c r="P88" t="s">
        <v>1768</v>
      </c>
      <c r="Q88">
        <v>0.95</v>
      </c>
    </row>
    <row r="89" spans="8:17" x14ac:dyDescent="0.45">
      <c r="N89" t="s">
        <v>27</v>
      </c>
      <c r="O89" t="s">
        <v>1233</v>
      </c>
      <c r="P89" t="s">
        <v>1768</v>
      </c>
      <c r="Q89">
        <v>0.95</v>
      </c>
    </row>
    <row r="90" spans="8:17" x14ac:dyDescent="0.45">
      <c r="N90" t="s">
        <v>27</v>
      </c>
      <c r="O90" t="s">
        <v>1241</v>
      </c>
      <c r="P90" t="s">
        <v>1769</v>
      </c>
      <c r="Q90">
        <v>0.95</v>
      </c>
    </row>
    <row r="91" spans="8:17" x14ac:dyDescent="0.45">
      <c r="N91" t="s">
        <v>27</v>
      </c>
      <c r="O91" t="s">
        <v>1252</v>
      </c>
      <c r="P91" t="s">
        <v>1769</v>
      </c>
      <c r="Q91">
        <v>0.95</v>
      </c>
    </row>
    <row r="92" spans="8:17" x14ac:dyDescent="0.45">
      <c r="N92" t="s">
        <v>27</v>
      </c>
      <c r="O92" t="s">
        <v>1259</v>
      </c>
      <c r="P92" t="s">
        <v>1770</v>
      </c>
      <c r="Q92">
        <v>0.95</v>
      </c>
    </row>
    <row r="93" spans="8:17" x14ac:dyDescent="0.45">
      <c r="N93" t="s">
        <v>27</v>
      </c>
      <c r="O93" t="s">
        <v>1269</v>
      </c>
      <c r="P93" t="s">
        <v>1770</v>
      </c>
      <c r="Q93">
        <v>0.95</v>
      </c>
    </row>
    <row r="94" spans="8:17" x14ac:dyDescent="0.45">
      <c r="N94" t="s">
        <v>27</v>
      </c>
      <c r="O94" t="s">
        <v>1276</v>
      </c>
      <c r="P94" t="s">
        <v>1771</v>
      </c>
      <c r="Q94">
        <v>0.95</v>
      </c>
    </row>
    <row r="95" spans="8:17" x14ac:dyDescent="0.45">
      <c r="N95" t="s">
        <v>27</v>
      </c>
      <c r="O95" t="s">
        <v>1287</v>
      </c>
      <c r="P95" t="s">
        <v>1771</v>
      </c>
      <c r="Q95">
        <v>0.95</v>
      </c>
    </row>
    <row r="96" spans="8:17" x14ac:dyDescent="0.45">
      <c r="N96" t="s">
        <v>27</v>
      </c>
      <c r="O96" t="s">
        <v>1295</v>
      </c>
      <c r="P96" t="s">
        <v>1772</v>
      </c>
      <c r="Q96">
        <v>0.95</v>
      </c>
    </row>
    <row r="97" spans="14:17" x14ac:dyDescent="0.45">
      <c r="N97" t="s">
        <v>27</v>
      </c>
      <c r="O97" t="s">
        <v>1306</v>
      </c>
      <c r="P97" t="s">
        <v>1772</v>
      </c>
      <c r="Q97">
        <v>0.95</v>
      </c>
    </row>
    <row r="98" spans="14:17" x14ac:dyDescent="0.45">
      <c r="N98" t="s">
        <v>27</v>
      </c>
      <c r="O98" t="s">
        <v>1313</v>
      </c>
      <c r="P98" t="s">
        <v>1773</v>
      </c>
      <c r="Q98">
        <v>0.95</v>
      </c>
    </row>
    <row r="99" spans="14:17" x14ac:dyDescent="0.45">
      <c r="N99" t="s">
        <v>27</v>
      </c>
      <c r="O99" t="s">
        <v>1323</v>
      </c>
      <c r="P99" t="s">
        <v>1773</v>
      </c>
      <c r="Q99">
        <v>0.95</v>
      </c>
    </row>
    <row r="100" spans="14:17" x14ac:dyDescent="0.45">
      <c r="N100" t="s">
        <v>27</v>
      </c>
      <c r="O100" t="s">
        <v>1330</v>
      </c>
      <c r="P100" t="s">
        <v>1774</v>
      </c>
      <c r="Q100">
        <v>0.95</v>
      </c>
    </row>
    <row r="101" spans="14:17" x14ac:dyDescent="0.45">
      <c r="N101" t="s">
        <v>27</v>
      </c>
      <c r="O101" t="s">
        <v>1340</v>
      </c>
      <c r="P101" t="s">
        <v>1774</v>
      </c>
      <c r="Q101">
        <v>0.95</v>
      </c>
    </row>
    <row r="102" spans="14:17" x14ac:dyDescent="0.45">
      <c r="N102" t="s">
        <v>27</v>
      </c>
      <c r="O102" t="s">
        <v>1347</v>
      </c>
      <c r="P102" t="s">
        <v>1775</v>
      </c>
      <c r="Q102">
        <v>0.95</v>
      </c>
    </row>
    <row r="103" spans="14:17" x14ac:dyDescent="0.45">
      <c r="N103" t="s">
        <v>27</v>
      </c>
      <c r="O103" t="s">
        <v>1358</v>
      </c>
      <c r="P103" t="s">
        <v>1775</v>
      </c>
      <c r="Q103">
        <v>0.95</v>
      </c>
    </row>
    <row r="104" spans="14:17" x14ac:dyDescent="0.45">
      <c r="N104" t="s">
        <v>27</v>
      </c>
      <c r="O104" t="s">
        <v>1365</v>
      </c>
      <c r="P104" t="s">
        <v>1776</v>
      </c>
      <c r="Q104">
        <v>0.95</v>
      </c>
    </row>
    <row r="105" spans="14:17" x14ac:dyDescent="0.45">
      <c r="N105" t="s">
        <v>27</v>
      </c>
      <c r="O105" t="s">
        <v>1376</v>
      </c>
      <c r="P105" t="s">
        <v>1776</v>
      </c>
      <c r="Q105">
        <v>0.95</v>
      </c>
    </row>
    <row r="106" spans="14:17" x14ac:dyDescent="0.45">
      <c r="N106" t="s">
        <v>27</v>
      </c>
      <c r="O106" t="s">
        <v>1383</v>
      </c>
      <c r="P106" t="s">
        <v>1777</v>
      </c>
      <c r="Q106">
        <v>0.95</v>
      </c>
    </row>
    <row r="107" spans="14:17" x14ac:dyDescent="0.45">
      <c r="N107" t="s">
        <v>27</v>
      </c>
      <c r="O107" t="s">
        <v>1394</v>
      </c>
      <c r="P107" t="s">
        <v>1777</v>
      </c>
      <c r="Q107">
        <v>0.95</v>
      </c>
    </row>
    <row r="108" spans="14:17" x14ac:dyDescent="0.45">
      <c r="N108" t="s">
        <v>27</v>
      </c>
      <c r="O108" t="s">
        <v>1401</v>
      </c>
      <c r="P108" t="s">
        <v>1778</v>
      </c>
      <c r="Q108">
        <v>0.95</v>
      </c>
    </row>
    <row r="109" spans="14:17" x14ac:dyDescent="0.45">
      <c r="N109" t="s">
        <v>27</v>
      </c>
      <c r="O109" t="s">
        <v>1412</v>
      </c>
      <c r="P109" t="s">
        <v>1778</v>
      </c>
      <c r="Q109">
        <v>0.95</v>
      </c>
    </row>
    <row r="110" spans="14:17" x14ac:dyDescent="0.45">
      <c r="N110" t="s">
        <v>27</v>
      </c>
      <c r="O110" t="s">
        <v>1419</v>
      </c>
      <c r="P110" t="s">
        <v>1779</v>
      </c>
      <c r="Q110">
        <v>0.95</v>
      </c>
    </row>
    <row r="111" spans="14:17" x14ac:dyDescent="0.45">
      <c r="N111" t="s">
        <v>27</v>
      </c>
      <c r="O111" t="s">
        <v>1429</v>
      </c>
      <c r="P111" t="s">
        <v>1779</v>
      </c>
      <c r="Q111">
        <v>0.95</v>
      </c>
    </row>
    <row r="112" spans="14:17" x14ac:dyDescent="0.45">
      <c r="N112" t="s">
        <v>27</v>
      </c>
      <c r="O112" t="s">
        <v>1436</v>
      </c>
      <c r="P112" t="s">
        <v>1780</v>
      </c>
      <c r="Q112">
        <v>0.95</v>
      </c>
    </row>
    <row r="113" spans="14:17" x14ac:dyDescent="0.45">
      <c r="N113" t="s">
        <v>27</v>
      </c>
      <c r="O113" t="s">
        <v>1447</v>
      </c>
      <c r="P113" t="s">
        <v>1780</v>
      </c>
      <c r="Q113">
        <v>0.95</v>
      </c>
    </row>
    <row r="114" spans="14:17" x14ac:dyDescent="0.45">
      <c r="N114" t="s">
        <v>27</v>
      </c>
      <c r="O114" t="s">
        <v>1454</v>
      </c>
      <c r="P114" t="s">
        <v>1781</v>
      </c>
      <c r="Q114">
        <v>0.95</v>
      </c>
    </row>
    <row r="115" spans="14:17" x14ac:dyDescent="0.45">
      <c r="N115" t="s">
        <v>27</v>
      </c>
      <c r="O115" t="s">
        <v>1464</v>
      </c>
      <c r="P115" t="s">
        <v>1781</v>
      </c>
      <c r="Q115">
        <v>0.95</v>
      </c>
    </row>
    <row r="116" spans="14:17" x14ac:dyDescent="0.45">
      <c r="N116" t="s">
        <v>27</v>
      </c>
      <c r="O116" t="s">
        <v>1782</v>
      </c>
      <c r="P116" t="s">
        <v>1774</v>
      </c>
      <c r="Q116">
        <v>0.85</v>
      </c>
    </row>
    <row r="117" spans="14:17" x14ac:dyDescent="0.45">
      <c r="N117" t="s">
        <v>27</v>
      </c>
      <c r="O117" t="s">
        <v>1783</v>
      </c>
      <c r="P117" t="s">
        <v>1762</v>
      </c>
      <c r="Q117">
        <v>0.85</v>
      </c>
    </row>
    <row r="118" spans="14:17" x14ac:dyDescent="0.45">
      <c r="N118" t="s">
        <v>27</v>
      </c>
      <c r="O118" t="s">
        <v>1784</v>
      </c>
      <c r="P118" t="s">
        <v>1742</v>
      </c>
      <c r="Q118">
        <v>0.85</v>
      </c>
    </row>
    <row r="119" spans="14:17" x14ac:dyDescent="0.45">
      <c r="N119" t="s">
        <v>27</v>
      </c>
      <c r="O119" t="s">
        <v>1785</v>
      </c>
      <c r="P119" t="s">
        <v>1774</v>
      </c>
      <c r="Q119">
        <v>0.85</v>
      </c>
    </row>
    <row r="120" spans="14:17" x14ac:dyDescent="0.45">
      <c r="N120" t="s">
        <v>27</v>
      </c>
      <c r="O120" t="s">
        <v>1786</v>
      </c>
      <c r="P120" t="s">
        <v>1774</v>
      </c>
      <c r="Q120">
        <v>0.85</v>
      </c>
    </row>
    <row r="121" spans="14:17" x14ac:dyDescent="0.45">
      <c r="N121" t="s">
        <v>27</v>
      </c>
      <c r="O121" t="s">
        <v>1787</v>
      </c>
      <c r="P121" t="s">
        <v>1762</v>
      </c>
      <c r="Q121">
        <v>0.85</v>
      </c>
    </row>
    <row r="122" spans="14:17" x14ac:dyDescent="0.45">
      <c r="N122" t="s">
        <v>27</v>
      </c>
      <c r="O122" t="s">
        <v>1788</v>
      </c>
      <c r="P122" t="s">
        <v>1742</v>
      </c>
      <c r="Q122">
        <v>0.85</v>
      </c>
    </row>
    <row r="123" spans="14:17" x14ac:dyDescent="0.45">
      <c r="N123" t="s">
        <v>27</v>
      </c>
      <c r="O123" t="s">
        <v>1789</v>
      </c>
      <c r="P123" t="s">
        <v>1762</v>
      </c>
      <c r="Q123">
        <v>0.85</v>
      </c>
    </row>
    <row r="124" spans="14:17" x14ac:dyDescent="0.45">
      <c r="N124" t="s">
        <v>27</v>
      </c>
      <c r="O124" t="s">
        <v>1790</v>
      </c>
      <c r="P124" t="s">
        <v>1728</v>
      </c>
      <c r="Q124">
        <v>0.85</v>
      </c>
    </row>
    <row r="125" spans="14:17" x14ac:dyDescent="0.45">
      <c r="N125" t="s">
        <v>27</v>
      </c>
      <c r="O125" t="s">
        <v>1791</v>
      </c>
      <c r="P125" t="s">
        <v>1762</v>
      </c>
      <c r="Q125">
        <v>0.85</v>
      </c>
    </row>
    <row r="126" spans="14:17" x14ac:dyDescent="0.45">
      <c r="N126" t="s">
        <v>27</v>
      </c>
      <c r="O126" t="s">
        <v>1792</v>
      </c>
      <c r="P126" t="s">
        <v>1774</v>
      </c>
      <c r="Q126">
        <v>0.85</v>
      </c>
    </row>
    <row r="127" spans="14:17" x14ac:dyDescent="0.45">
      <c r="N127" t="s">
        <v>27</v>
      </c>
      <c r="O127" t="s">
        <v>1793</v>
      </c>
      <c r="P127" t="s">
        <v>1728</v>
      </c>
      <c r="Q127">
        <v>0.85</v>
      </c>
    </row>
    <row r="128" spans="14:17" x14ac:dyDescent="0.45">
      <c r="N128" t="s">
        <v>27</v>
      </c>
      <c r="O128" t="s">
        <v>1794</v>
      </c>
      <c r="P128" t="s">
        <v>1762</v>
      </c>
      <c r="Q128">
        <v>0.85</v>
      </c>
    </row>
    <row r="129" spans="14:17" x14ac:dyDescent="0.45">
      <c r="N129" t="s">
        <v>27</v>
      </c>
      <c r="O129" t="s">
        <v>1795</v>
      </c>
      <c r="P129" t="s">
        <v>1740</v>
      </c>
      <c r="Q129">
        <v>0.85</v>
      </c>
    </row>
    <row r="130" spans="14:17" x14ac:dyDescent="0.45">
      <c r="N130" t="s">
        <v>27</v>
      </c>
      <c r="O130" t="s">
        <v>1796</v>
      </c>
      <c r="P130" t="s">
        <v>1774</v>
      </c>
      <c r="Q130">
        <v>0.85</v>
      </c>
    </row>
    <row r="131" spans="14:17" x14ac:dyDescent="0.45">
      <c r="N131" t="s">
        <v>27</v>
      </c>
      <c r="O131" t="s">
        <v>1797</v>
      </c>
      <c r="P131" t="s">
        <v>1774</v>
      </c>
      <c r="Q131">
        <v>0.85</v>
      </c>
    </row>
    <row r="132" spans="14:17" x14ac:dyDescent="0.45">
      <c r="N132" t="s">
        <v>27</v>
      </c>
      <c r="O132" t="s">
        <v>1798</v>
      </c>
      <c r="P132" t="s">
        <v>1731</v>
      </c>
      <c r="Q132">
        <v>0.85</v>
      </c>
    </row>
    <row r="133" spans="14:17" x14ac:dyDescent="0.45">
      <c r="N133" t="s">
        <v>27</v>
      </c>
      <c r="O133" t="s">
        <v>1799</v>
      </c>
      <c r="P133" t="s">
        <v>1747</v>
      </c>
      <c r="Q133">
        <v>0.85</v>
      </c>
    </row>
    <row r="134" spans="14:17" x14ac:dyDescent="0.45">
      <c r="N134" t="s">
        <v>27</v>
      </c>
      <c r="O134" t="s">
        <v>1800</v>
      </c>
      <c r="P134" t="s">
        <v>1742</v>
      </c>
      <c r="Q134">
        <v>0.85</v>
      </c>
    </row>
    <row r="135" spans="14:17" x14ac:dyDescent="0.45">
      <c r="N135" t="s">
        <v>27</v>
      </c>
      <c r="O135" t="s">
        <v>1801</v>
      </c>
      <c r="P135" t="s">
        <v>1779</v>
      </c>
      <c r="Q135">
        <v>0.85</v>
      </c>
    </row>
    <row r="136" spans="14:17" x14ac:dyDescent="0.45">
      <c r="N136" t="s">
        <v>27</v>
      </c>
      <c r="O136" t="s">
        <v>1802</v>
      </c>
      <c r="P136" t="s">
        <v>1731</v>
      </c>
      <c r="Q136">
        <v>0.85</v>
      </c>
    </row>
    <row r="137" spans="14:17" x14ac:dyDescent="0.45">
      <c r="N137" t="s">
        <v>27</v>
      </c>
      <c r="O137" t="s">
        <v>1803</v>
      </c>
      <c r="P137" t="s">
        <v>1746</v>
      </c>
      <c r="Q137">
        <v>0.95</v>
      </c>
    </row>
    <row r="138" spans="14:17" x14ac:dyDescent="0.45">
      <c r="N138" t="s">
        <v>27</v>
      </c>
      <c r="O138" t="s">
        <v>1804</v>
      </c>
      <c r="P138" t="s">
        <v>1774</v>
      </c>
      <c r="Q138">
        <v>0.85</v>
      </c>
    </row>
    <row r="139" spans="14:17" x14ac:dyDescent="0.45">
      <c r="N139" t="s">
        <v>27</v>
      </c>
      <c r="O139" t="s">
        <v>1805</v>
      </c>
      <c r="P139" t="s">
        <v>1762</v>
      </c>
      <c r="Q139">
        <v>0.85</v>
      </c>
    </row>
    <row r="140" spans="14:17" x14ac:dyDescent="0.45">
      <c r="N140" t="s">
        <v>27</v>
      </c>
      <c r="O140" t="s">
        <v>1806</v>
      </c>
      <c r="P140" t="s">
        <v>1731</v>
      </c>
      <c r="Q140">
        <v>0.85</v>
      </c>
    </row>
    <row r="141" spans="14:17" x14ac:dyDescent="0.45">
      <c r="N141" t="s">
        <v>27</v>
      </c>
      <c r="O141" t="s">
        <v>1807</v>
      </c>
      <c r="P141" t="s">
        <v>1774</v>
      </c>
      <c r="Q141">
        <v>0.85</v>
      </c>
    </row>
    <row r="142" spans="14:17" x14ac:dyDescent="0.45">
      <c r="N142" t="s">
        <v>27</v>
      </c>
      <c r="O142" t="s">
        <v>1808</v>
      </c>
      <c r="P142" t="s">
        <v>1774</v>
      </c>
      <c r="Q142">
        <v>0.85</v>
      </c>
    </row>
    <row r="143" spans="14:17" x14ac:dyDescent="0.45">
      <c r="N143" t="s">
        <v>27</v>
      </c>
      <c r="O143" t="s">
        <v>1809</v>
      </c>
      <c r="P143" t="s">
        <v>1762</v>
      </c>
      <c r="Q143">
        <v>0.85</v>
      </c>
    </row>
    <row r="144" spans="14:17" x14ac:dyDescent="0.45">
      <c r="N144" t="s">
        <v>27</v>
      </c>
      <c r="O144" t="s">
        <v>1810</v>
      </c>
      <c r="P144" t="s">
        <v>1762</v>
      </c>
      <c r="Q144">
        <v>0.85</v>
      </c>
    </row>
    <row r="145" spans="14:17" x14ac:dyDescent="0.45">
      <c r="N145" t="s">
        <v>27</v>
      </c>
      <c r="O145" t="s">
        <v>1811</v>
      </c>
      <c r="P145" t="s">
        <v>1740</v>
      </c>
      <c r="Q145">
        <v>0.85</v>
      </c>
    </row>
    <row r="146" spans="14:17" x14ac:dyDescent="0.45">
      <c r="N146" t="s">
        <v>27</v>
      </c>
      <c r="O146" t="s">
        <v>1812</v>
      </c>
      <c r="P146" t="s">
        <v>1774</v>
      </c>
      <c r="Q146">
        <v>0.85</v>
      </c>
    </row>
    <row r="147" spans="14:17" x14ac:dyDescent="0.45">
      <c r="N147" t="s">
        <v>27</v>
      </c>
      <c r="O147" t="s">
        <v>1813</v>
      </c>
      <c r="P147" t="s">
        <v>1774</v>
      </c>
      <c r="Q147">
        <v>0.85</v>
      </c>
    </row>
    <row r="148" spans="14:17" x14ac:dyDescent="0.45">
      <c r="N148" t="s">
        <v>27</v>
      </c>
      <c r="O148" t="s">
        <v>1814</v>
      </c>
      <c r="P148" t="s">
        <v>1762</v>
      </c>
      <c r="Q148">
        <v>0.85</v>
      </c>
    </row>
    <row r="149" spans="14:17" x14ac:dyDescent="0.45">
      <c r="N149" t="s">
        <v>27</v>
      </c>
      <c r="O149" t="s">
        <v>1815</v>
      </c>
      <c r="P149" t="s">
        <v>1774</v>
      </c>
      <c r="Q149">
        <v>0.85</v>
      </c>
    </row>
    <row r="150" spans="14:17" x14ac:dyDescent="0.45">
      <c r="N150" t="s">
        <v>27</v>
      </c>
      <c r="O150" t="s">
        <v>1816</v>
      </c>
      <c r="P150" t="s">
        <v>1747</v>
      </c>
      <c r="Q150">
        <v>0.85</v>
      </c>
    </row>
    <row r="151" spans="14:17" x14ac:dyDescent="0.45">
      <c r="N151" t="s">
        <v>27</v>
      </c>
      <c r="O151" t="s">
        <v>1817</v>
      </c>
      <c r="P151" t="s">
        <v>1740</v>
      </c>
      <c r="Q151">
        <v>0.85</v>
      </c>
    </row>
    <row r="152" spans="14:17" x14ac:dyDescent="0.45">
      <c r="N152" t="s">
        <v>27</v>
      </c>
      <c r="O152" t="s">
        <v>1818</v>
      </c>
      <c r="P152" t="s">
        <v>1731</v>
      </c>
      <c r="Q152">
        <v>0.85</v>
      </c>
    </row>
    <row r="153" spans="14:17" x14ac:dyDescent="0.45">
      <c r="N153" t="s">
        <v>27</v>
      </c>
      <c r="O153" t="s">
        <v>1819</v>
      </c>
      <c r="P153" t="s">
        <v>1762</v>
      </c>
      <c r="Q153">
        <v>0.85</v>
      </c>
    </row>
    <row r="154" spans="14:17" x14ac:dyDescent="0.45">
      <c r="N154" t="s">
        <v>27</v>
      </c>
      <c r="O154" t="s">
        <v>1820</v>
      </c>
      <c r="P154" t="s">
        <v>1729</v>
      </c>
      <c r="Q154">
        <v>0.95</v>
      </c>
    </row>
    <row r="155" spans="14:17" x14ac:dyDescent="0.45">
      <c r="N155" t="s">
        <v>27</v>
      </c>
      <c r="O155" t="s">
        <v>1821</v>
      </c>
      <c r="P155" t="s">
        <v>1746</v>
      </c>
      <c r="Q155">
        <v>0.95</v>
      </c>
    </row>
    <row r="156" spans="14:17" x14ac:dyDescent="0.45">
      <c r="N156" t="s">
        <v>27</v>
      </c>
      <c r="O156" t="s">
        <v>1822</v>
      </c>
      <c r="P156" t="s">
        <v>1747</v>
      </c>
      <c r="Q156">
        <v>0.95</v>
      </c>
    </row>
    <row r="157" spans="14:17" x14ac:dyDescent="0.45">
      <c r="N157" t="s">
        <v>27</v>
      </c>
      <c r="O157" t="s">
        <v>1823</v>
      </c>
      <c r="P157" t="s">
        <v>1774</v>
      </c>
      <c r="Q157">
        <v>0.85</v>
      </c>
    </row>
    <row r="158" spans="14:17" x14ac:dyDescent="0.45">
      <c r="N158" t="s">
        <v>27</v>
      </c>
      <c r="O158" t="s">
        <v>1824</v>
      </c>
      <c r="P158" t="s">
        <v>1740</v>
      </c>
      <c r="Q158">
        <v>0.85</v>
      </c>
    </row>
    <row r="159" spans="14:17" x14ac:dyDescent="0.45">
      <c r="N159" t="s">
        <v>27</v>
      </c>
      <c r="O159" t="s">
        <v>1825</v>
      </c>
      <c r="P159" t="s">
        <v>1747</v>
      </c>
      <c r="Q159">
        <v>0.85</v>
      </c>
    </row>
    <row r="160" spans="14:17" x14ac:dyDescent="0.45">
      <c r="N160" t="s">
        <v>27</v>
      </c>
      <c r="O160" t="s">
        <v>1826</v>
      </c>
      <c r="P160" t="s">
        <v>1769</v>
      </c>
      <c r="Q160">
        <v>0.95</v>
      </c>
    </row>
    <row r="161" spans="14:17" x14ac:dyDescent="0.45">
      <c r="N161" t="s">
        <v>27</v>
      </c>
      <c r="O161" t="s">
        <v>1827</v>
      </c>
      <c r="P161" t="s">
        <v>1774</v>
      </c>
      <c r="Q161">
        <v>0.85</v>
      </c>
    </row>
    <row r="162" spans="14:17" x14ac:dyDescent="0.45">
      <c r="N162" t="s">
        <v>27</v>
      </c>
      <c r="O162" t="s">
        <v>1828</v>
      </c>
      <c r="P162" t="s">
        <v>1742</v>
      </c>
      <c r="Q162">
        <v>0.85</v>
      </c>
    </row>
    <row r="163" spans="14:17" x14ac:dyDescent="0.45">
      <c r="N163" t="s">
        <v>27</v>
      </c>
      <c r="O163" t="s">
        <v>1829</v>
      </c>
      <c r="P163" t="s">
        <v>1740</v>
      </c>
      <c r="Q163">
        <v>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B315-5EC7-4A8C-AFD1-CF0FD8AACBFD}">
  <dimension ref="A1:I250"/>
  <sheetViews>
    <sheetView tabSelected="1" workbookViewId="0"/>
  </sheetViews>
  <sheetFormatPr defaultRowHeight="14.25" x14ac:dyDescent="0.45"/>
  <sheetData>
    <row r="1" spans="1:9" x14ac:dyDescent="0.45">
      <c r="C1" t="s">
        <v>1830</v>
      </c>
    </row>
    <row r="3" spans="1:9" x14ac:dyDescent="0.45">
      <c r="C3" t="s">
        <v>28</v>
      </c>
      <c r="G3" t="s">
        <v>1831</v>
      </c>
    </row>
    <row r="4" spans="1:9" x14ac:dyDescent="0.45">
      <c r="A4" t="s">
        <v>1588</v>
      </c>
      <c r="B4" t="s">
        <v>60</v>
      </c>
      <c r="C4" t="s">
        <v>10</v>
      </c>
      <c r="D4" t="s">
        <v>1832</v>
      </c>
      <c r="E4" t="s">
        <v>1833</v>
      </c>
      <c r="G4" t="s">
        <v>60</v>
      </c>
      <c r="H4" t="s">
        <v>1</v>
      </c>
      <c r="I4" t="s">
        <v>1832</v>
      </c>
    </row>
    <row r="5" spans="1:9" x14ac:dyDescent="0.45">
      <c r="A5" t="s">
        <v>1834</v>
      </c>
      <c r="B5" t="s">
        <v>1835</v>
      </c>
      <c r="C5" t="s">
        <v>1836</v>
      </c>
      <c r="D5">
        <v>1</v>
      </c>
      <c r="E5">
        <v>2</v>
      </c>
      <c r="G5" t="s">
        <v>1835</v>
      </c>
      <c r="H5" t="s">
        <v>1836</v>
      </c>
      <c r="I5">
        <v>-1</v>
      </c>
    </row>
    <row r="6" spans="1:9" x14ac:dyDescent="0.45">
      <c r="A6" t="s">
        <v>1834</v>
      </c>
      <c r="B6" t="s">
        <v>1837</v>
      </c>
      <c r="C6" t="s">
        <v>1838</v>
      </c>
      <c r="D6">
        <v>1</v>
      </c>
      <c r="E6">
        <v>2</v>
      </c>
      <c r="G6" t="s">
        <v>1837</v>
      </c>
      <c r="H6" t="s">
        <v>1838</v>
      </c>
      <c r="I6">
        <v>-1</v>
      </c>
    </row>
    <row r="7" spans="1:9" x14ac:dyDescent="0.45">
      <c r="A7" t="s">
        <v>1834</v>
      </c>
      <c r="B7" t="s">
        <v>1839</v>
      </c>
      <c r="C7" t="s">
        <v>1840</v>
      </c>
      <c r="D7">
        <v>1</v>
      </c>
      <c r="E7">
        <v>2</v>
      </c>
      <c r="G7" t="s">
        <v>1839</v>
      </c>
      <c r="H7" t="s">
        <v>1840</v>
      </c>
      <c r="I7">
        <v>-1</v>
      </c>
    </row>
    <row r="8" spans="1:9" x14ac:dyDescent="0.45">
      <c r="A8" t="s">
        <v>1834</v>
      </c>
      <c r="B8" t="s">
        <v>1841</v>
      </c>
      <c r="C8" t="s">
        <v>1842</v>
      </c>
      <c r="D8">
        <v>1</v>
      </c>
      <c r="E8">
        <v>2</v>
      </c>
      <c r="G8" t="s">
        <v>1841</v>
      </c>
      <c r="H8" t="s">
        <v>1842</v>
      </c>
      <c r="I8">
        <v>-1</v>
      </c>
    </row>
    <row r="9" spans="1:9" x14ac:dyDescent="0.45">
      <c r="A9" t="s">
        <v>1834</v>
      </c>
      <c r="B9" t="s">
        <v>1843</v>
      </c>
      <c r="C9" t="s">
        <v>1844</v>
      </c>
      <c r="D9">
        <v>1</v>
      </c>
      <c r="E9">
        <v>2</v>
      </c>
      <c r="G9" t="s">
        <v>1843</v>
      </c>
      <c r="H9" t="s">
        <v>1844</v>
      </c>
      <c r="I9">
        <v>-1</v>
      </c>
    </row>
    <row r="10" spans="1:9" x14ac:dyDescent="0.45">
      <c r="A10" t="s">
        <v>1834</v>
      </c>
      <c r="B10" t="s">
        <v>1845</v>
      </c>
      <c r="C10" t="s">
        <v>1846</v>
      </c>
      <c r="D10">
        <v>1</v>
      </c>
      <c r="E10">
        <v>2</v>
      </c>
      <c r="G10" t="s">
        <v>1845</v>
      </c>
      <c r="H10" t="s">
        <v>1846</v>
      </c>
      <c r="I10">
        <v>-1</v>
      </c>
    </row>
    <row r="11" spans="1:9" x14ac:dyDescent="0.45">
      <c r="A11" t="s">
        <v>1834</v>
      </c>
      <c r="B11" t="s">
        <v>1847</v>
      </c>
      <c r="C11" t="s">
        <v>1848</v>
      </c>
      <c r="D11">
        <v>1</v>
      </c>
      <c r="E11">
        <v>2</v>
      </c>
      <c r="G11" t="s">
        <v>1847</v>
      </c>
      <c r="H11" t="s">
        <v>1848</v>
      </c>
      <c r="I11">
        <v>-1</v>
      </c>
    </row>
    <row r="12" spans="1:9" x14ac:dyDescent="0.45">
      <c r="A12" t="s">
        <v>1834</v>
      </c>
      <c r="B12" t="s">
        <v>1849</v>
      </c>
      <c r="C12" t="s">
        <v>1850</v>
      </c>
      <c r="D12">
        <v>1</v>
      </c>
      <c r="E12">
        <v>2</v>
      </c>
      <c r="G12" t="s">
        <v>1849</v>
      </c>
      <c r="H12" t="s">
        <v>1850</v>
      </c>
      <c r="I12">
        <v>-1</v>
      </c>
    </row>
    <row r="13" spans="1:9" x14ac:dyDescent="0.45">
      <c r="A13" t="s">
        <v>1834</v>
      </c>
      <c r="B13" t="s">
        <v>1851</v>
      </c>
      <c r="C13" t="s">
        <v>1852</v>
      </c>
      <c r="D13">
        <v>1</v>
      </c>
      <c r="E13">
        <v>2</v>
      </c>
      <c r="G13" t="s">
        <v>1851</v>
      </c>
      <c r="H13" t="s">
        <v>1852</v>
      </c>
      <c r="I13">
        <v>-1</v>
      </c>
    </row>
    <row r="14" spans="1:9" x14ac:dyDescent="0.45">
      <c r="A14" t="s">
        <v>1834</v>
      </c>
      <c r="B14" t="s">
        <v>1853</v>
      </c>
      <c r="C14" t="s">
        <v>1854</v>
      </c>
      <c r="D14">
        <v>1</v>
      </c>
      <c r="E14">
        <v>2</v>
      </c>
      <c r="G14" t="s">
        <v>1853</v>
      </c>
      <c r="H14" t="s">
        <v>1854</v>
      </c>
      <c r="I14">
        <v>-1</v>
      </c>
    </row>
    <row r="15" spans="1:9" x14ac:dyDescent="0.45">
      <c r="A15" t="s">
        <v>1834</v>
      </c>
      <c r="B15" t="s">
        <v>1855</v>
      </c>
      <c r="C15" t="s">
        <v>1856</v>
      </c>
      <c r="D15">
        <v>1</v>
      </c>
      <c r="E15">
        <v>2</v>
      </c>
      <c r="G15" t="s">
        <v>1855</v>
      </c>
      <c r="H15" t="s">
        <v>1856</v>
      </c>
      <c r="I15">
        <v>-1</v>
      </c>
    </row>
    <row r="16" spans="1:9" x14ac:dyDescent="0.45">
      <c r="A16" t="s">
        <v>1834</v>
      </c>
      <c r="B16" t="s">
        <v>1857</v>
      </c>
      <c r="C16" t="s">
        <v>1858</v>
      </c>
      <c r="D16">
        <v>1</v>
      </c>
      <c r="E16">
        <v>2</v>
      </c>
      <c r="G16" t="s">
        <v>1857</v>
      </c>
      <c r="H16" t="s">
        <v>1858</v>
      </c>
      <c r="I16">
        <v>-1</v>
      </c>
    </row>
    <row r="17" spans="1:9" x14ac:dyDescent="0.45">
      <c r="A17" t="s">
        <v>1834</v>
      </c>
      <c r="B17" t="s">
        <v>1859</v>
      </c>
      <c r="C17" t="s">
        <v>1860</v>
      </c>
      <c r="D17">
        <v>1</v>
      </c>
      <c r="E17">
        <v>2</v>
      </c>
      <c r="G17" t="s">
        <v>1859</v>
      </c>
      <c r="H17" t="s">
        <v>1860</v>
      </c>
      <c r="I17">
        <v>-1</v>
      </c>
    </row>
    <row r="18" spans="1:9" x14ac:dyDescent="0.45">
      <c r="A18" t="s">
        <v>1834</v>
      </c>
      <c r="B18" t="s">
        <v>1861</v>
      </c>
      <c r="C18" t="s">
        <v>1862</v>
      </c>
      <c r="D18">
        <v>1</v>
      </c>
      <c r="E18">
        <v>2</v>
      </c>
      <c r="G18" t="s">
        <v>1861</v>
      </c>
      <c r="H18" t="s">
        <v>1862</v>
      </c>
      <c r="I18">
        <v>-1</v>
      </c>
    </row>
    <row r="19" spans="1:9" x14ac:dyDescent="0.45">
      <c r="A19" t="s">
        <v>1834</v>
      </c>
      <c r="B19" t="s">
        <v>1863</v>
      </c>
      <c r="C19" t="s">
        <v>1864</v>
      </c>
      <c r="D19">
        <v>1</v>
      </c>
      <c r="E19">
        <v>2</v>
      </c>
      <c r="G19" t="s">
        <v>1863</v>
      </c>
      <c r="H19" t="s">
        <v>1864</v>
      </c>
      <c r="I19">
        <v>-1</v>
      </c>
    </row>
    <row r="20" spans="1:9" x14ac:dyDescent="0.45">
      <c r="A20" t="s">
        <v>1834</v>
      </c>
      <c r="B20" t="s">
        <v>1865</v>
      </c>
      <c r="C20" t="s">
        <v>1866</v>
      </c>
      <c r="D20">
        <v>1</v>
      </c>
      <c r="E20">
        <v>2</v>
      </c>
      <c r="G20" t="s">
        <v>1865</v>
      </c>
      <c r="H20" t="s">
        <v>1866</v>
      </c>
      <c r="I20">
        <v>-1</v>
      </c>
    </row>
    <row r="21" spans="1:9" x14ac:dyDescent="0.45">
      <c r="A21" t="s">
        <v>1834</v>
      </c>
      <c r="B21" t="s">
        <v>1867</v>
      </c>
      <c r="C21" t="s">
        <v>1868</v>
      </c>
      <c r="D21">
        <v>1</v>
      </c>
      <c r="E21">
        <v>2</v>
      </c>
      <c r="G21" t="s">
        <v>1867</v>
      </c>
      <c r="H21" t="s">
        <v>1868</v>
      </c>
      <c r="I21">
        <v>-1</v>
      </c>
    </row>
    <row r="22" spans="1:9" x14ac:dyDescent="0.45">
      <c r="A22" t="s">
        <v>1834</v>
      </c>
      <c r="B22" t="s">
        <v>1869</v>
      </c>
      <c r="C22" t="s">
        <v>1870</v>
      </c>
      <c r="D22">
        <v>1</v>
      </c>
      <c r="E22">
        <v>2</v>
      </c>
      <c r="G22" t="s">
        <v>1869</v>
      </c>
      <c r="H22" t="s">
        <v>1870</v>
      </c>
      <c r="I22">
        <v>-1</v>
      </c>
    </row>
    <row r="23" spans="1:9" x14ac:dyDescent="0.45">
      <c r="A23" t="s">
        <v>1834</v>
      </c>
      <c r="B23" t="s">
        <v>1871</v>
      </c>
      <c r="C23" t="s">
        <v>1872</v>
      </c>
      <c r="D23">
        <v>1</v>
      </c>
      <c r="E23">
        <v>2</v>
      </c>
      <c r="G23" t="s">
        <v>1871</v>
      </c>
      <c r="H23" t="s">
        <v>1872</v>
      </c>
      <c r="I23">
        <v>-1</v>
      </c>
    </row>
    <row r="24" spans="1:9" x14ac:dyDescent="0.45">
      <c r="A24" t="s">
        <v>1834</v>
      </c>
      <c r="B24" t="s">
        <v>1873</v>
      </c>
      <c r="C24" t="s">
        <v>1874</v>
      </c>
      <c r="D24">
        <v>1</v>
      </c>
      <c r="E24">
        <v>2</v>
      </c>
      <c r="G24" t="s">
        <v>1873</v>
      </c>
      <c r="H24" t="s">
        <v>1874</v>
      </c>
      <c r="I24">
        <v>-1</v>
      </c>
    </row>
    <row r="25" spans="1:9" x14ac:dyDescent="0.45">
      <c r="A25" t="s">
        <v>1834</v>
      </c>
      <c r="B25" t="s">
        <v>1875</v>
      </c>
      <c r="C25" t="s">
        <v>1876</v>
      </c>
      <c r="D25">
        <v>1</v>
      </c>
      <c r="E25">
        <v>2</v>
      </c>
      <c r="G25" t="s">
        <v>1875</v>
      </c>
      <c r="H25" t="s">
        <v>1876</v>
      </c>
      <c r="I25">
        <v>-1</v>
      </c>
    </row>
    <row r="26" spans="1:9" x14ac:dyDescent="0.45">
      <c r="A26" t="s">
        <v>1834</v>
      </c>
      <c r="B26" t="s">
        <v>1877</v>
      </c>
      <c r="C26" t="s">
        <v>1878</v>
      </c>
      <c r="D26">
        <v>1</v>
      </c>
      <c r="E26">
        <v>2</v>
      </c>
      <c r="G26" t="s">
        <v>1877</v>
      </c>
      <c r="H26" t="s">
        <v>1878</v>
      </c>
      <c r="I26">
        <v>-1</v>
      </c>
    </row>
    <row r="27" spans="1:9" x14ac:dyDescent="0.45">
      <c r="A27" t="s">
        <v>1834</v>
      </c>
      <c r="B27" t="s">
        <v>1879</v>
      </c>
      <c r="C27" t="s">
        <v>1880</v>
      </c>
      <c r="D27">
        <v>1</v>
      </c>
      <c r="E27">
        <v>2</v>
      </c>
      <c r="G27" t="s">
        <v>1879</v>
      </c>
      <c r="H27" t="s">
        <v>1880</v>
      </c>
      <c r="I27">
        <v>-1</v>
      </c>
    </row>
    <row r="28" spans="1:9" x14ac:dyDescent="0.45">
      <c r="A28" t="s">
        <v>1834</v>
      </c>
      <c r="B28" t="s">
        <v>1881</v>
      </c>
      <c r="C28" t="s">
        <v>1882</v>
      </c>
      <c r="D28">
        <v>1</v>
      </c>
      <c r="E28">
        <v>2</v>
      </c>
      <c r="G28" t="s">
        <v>1881</v>
      </c>
      <c r="H28" t="s">
        <v>1882</v>
      </c>
      <c r="I28">
        <v>-1</v>
      </c>
    </row>
    <row r="29" spans="1:9" x14ac:dyDescent="0.45">
      <c r="A29" t="s">
        <v>1834</v>
      </c>
      <c r="B29" t="s">
        <v>1883</v>
      </c>
      <c r="C29" t="s">
        <v>1884</v>
      </c>
      <c r="D29">
        <v>1</v>
      </c>
      <c r="E29">
        <v>2</v>
      </c>
      <c r="G29" t="s">
        <v>1883</v>
      </c>
      <c r="H29" t="s">
        <v>1884</v>
      </c>
      <c r="I29">
        <v>-1</v>
      </c>
    </row>
    <row r="30" spans="1:9" x14ac:dyDescent="0.45">
      <c r="A30" t="s">
        <v>1834</v>
      </c>
      <c r="B30" t="s">
        <v>1885</v>
      </c>
      <c r="C30" t="s">
        <v>1886</v>
      </c>
      <c r="D30">
        <v>1</v>
      </c>
      <c r="E30">
        <v>2</v>
      </c>
      <c r="G30" t="s">
        <v>1885</v>
      </c>
      <c r="H30" t="s">
        <v>1886</v>
      </c>
      <c r="I30">
        <v>-1</v>
      </c>
    </row>
    <row r="31" spans="1:9" x14ac:dyDescent="0.45">
      <c r="A31" t="s">
        <v>1834</v>
      </c>
      <c r="B31" t="s">
        <v>1887</v>
      </c>
      <c r="C31" t="s">
        <v>1888</v>
      </c>
      <c r="D31">
        <v>1</v>
      </c>
      <c r="E31">
        <v>2</v>
      </c>
      <c r="G31" t="s">
        <v>1887</v>
      </c>
      <c r="H31" t="s">
        <v>1888</v>
      </c>
      <c r="I31">
        <v>-1</v>
      </c>
    </row>
    <row r="32" spans="1:9" x14ac:dyDescent="0.45">
      <c r="A32" t="s">
        <v>1834</v>
      </c>
      <c r="B32" t="s">
        <v>1889</v>
      </c>
      <c r="C32" t="s">
        <v>1890</v>
      </c>
      <c r="D32">
        <v>1</v>
      </c>
      <c r="E32">
        <v>2</v>
      </c>
      <c r="G32" t="s">
        <v>1889</v>
      </c>
      <c r="H32" t="s">
        <v>1890</v>
      </c>
      <c r="I32">
        <v>-1</v>
      </c>
    </row>
    <row r="33" spans="1:9" x14ac:dyDescent="0.45">
      <c r="A33" t="s">
        <v>1834</v>
      </c>
      <c r="B33" t="s">
        <v>1891</v>
      </c>
      <c r="C33" t="s">
        <v>1892</v>
      </c>
      <c r="D33">
        <v>1</v>
      </c>
      <c r="E33">
        <v>2</v>
      </c>
      <c r="G33" t="s">
        <v>1891</v>
      </c>
      <c r="H33" t="s">
        <v>1892</v>
      </c>
      <c r="I33">
        <v>-1</v>
      </c>
    </row>
    <row r="34" spans="1:9" x14ac:dyDescent="0.45">
      <c r="A34" t="s">
        <v>1834</v>
      </c>
      <c r="B34" t="s">
        <v>1893</v>
      </c>
      <c r="C34" t="s">
        <v>1894</v>
      </c>
      <c r="D34">
        <v>1</v>
      </c>
      <c r="E34">
        <v>2</v>
      </c>
      <c r="G34" t="s">
        <v>1893</v>
      </c>
      <c r="H34" t="s">
        <v>1894</v>
      </c>
      <c r="I34">
        <v>-1</v>
      </c>
    </row>
    <row r="35" spans="1:9" x14ac:dyDescent="0.45">
      <c r="A35" t="s">
        <v>1834</v>
      </c>
      <c r="B35" t="s">
        <v>1895</v>
      </c>
      <c r="C35" t="s">
        <v>1896</v>
      </c>
      <c r="D35">
        <v>1</v>
      </c>
      <c r="E35">
        <v>2</v>
      </c>
      <c r="G35" t="s">
        <v>1895</v>
      </c>
      <c r="H35" t="s">
        <v>1896</v>
      </c>
      <c r="I35">
        <v>-1</v>
      </c>
    </row>
    <row r="36" spans="1:9" x14ac:dyDescent="0.45">
      <c r="A36" t="s">
        <v>1834</v>
      </c>
      <c r="B36" t="s">
        <v>1897</v>
      </c>
      <c r="C36" t="s">
        <v>1898</v>
      </c>
      <c r="D36">
        <v>1</v>
      </c>
      <c r="E36">
        <v>2</v>
      </c>
      <c r="G36" t="s">
        <v>1897</v>
      </c>
      <c r="H36" t="s">
        <v>1898</v>
      </c>
      <c r="I36">
        <v>-1</v>
      </c>
    </row>
    <row r="37" spans="1:9" x14ac:dyDescent="0.45">
      <c r="A37" t="s">
        <v>1834</v>
      </c>
      <c r="B37" t="s">
        <v>1899</v>
      </c>
      <c r="C37" t="s">
        <v>1900</v>
      </c>
      <c r="D37">
        <v>1</v>
      </c>
      <c r="E37">
        <v>2</v>
      </c>
      <c r="G37" t="s">
        <v>1899</v>
      </c>
      <c r="H37" t="s">
        <v>1900</v>
      </c>
      <c r="I37">
        <v>-1</v>
      </c>
    </row>
    <row r="38" spans="1:9" x14ac:dyDescent="0.45">
      <c r="A38" t="s">
        <v>1834</v>
      </c>
      <c r="B38" t="s">
        <v>1901</v>
      </c>
      <c r="C38" t="s">
        <v>1902</v>
      </c>
      <c r="D38">
        <v>1</v>
      </c>
      <c r="E38">
        <v>2</v>
      </c>
      <c r="G38" t="s">
        <v>1901</v>
      </c>
      <c r="H38" t="s">
        <v>1902</v>
      </c>
      <c r="I38">
        <v>-1</v>
      </c>
    </row>
    <row r="39" spans="1:9" x14ac:dyDescent="0.45">
      <c r="A39" t="s">
        <v>1834</v>
      </c>
      <c r="B39" t="s">
        <v>1903</v>
      </c>
      <c r="C39" t="s">
        <v>1904</v>
      </c>
      <c r="D39">
        <v>1</v>
      </c>
      <c r="E39">
        <v>2</v>
      </c>
      <c r="G39" t="s">
        <v>1903</v>
      </c>
      <c r="H39" t="s">
        <v>1904</v>
      </c>
      <c r="I39">
        <v>-1</v>
      </c>
    </row>
    <row r="40" spans="1:9" x14ac:dyDescent="0.45">
      <c r="A40" t="s">
        <v>1834</v>
      </c>
      <c r="B40" t="s">
        <v>1905</v>
      </c>
      <c r="C40" t="s">
        <v>1906</v>
      </c>
      <c r="D40">
        <v>1</v>
      </c>
      <c r="E40">
        <v>2</v>
      </c>
      <c r="G40" t="s">
        <v>1905</v>
      </c>
      <c r="H40" t="s">
        <v>1906</v>
      </c>
      <c r="I40">
        <v>-1</v>
      </c>
    </row>
    <row r="41" spans="1:9" x14ac:dyDescent="0.45">
      <c r="A41" t="s">
        <v>1834</v>
      </c>
      <c r="B41" t="s">
        <v>1907</v>
      </c>
      <c r="C41" t="s">
        <v>1908</v>
      </c>
      <c r="D41">
        <v>1</v>
      </c>
      <c r="E41">
        <v>2</v>
      </c>
      <c r="G41" t="s">
        <v>1907</v>
      </c>
      <c r="H41" t="s">
        <v>1908</v>
      </c>
      <c r="I41">
        <v>-1</v>
      </c>
    </row>
    <row r="42" spans="1:9" x14ac:dyDescent="0.45">
      <c r="A42" t="s">
        <v>1834</v>
      </c>
      <c r="B42" t="s">
        <v>1909</v>
      </c>
      <c r="C42" t="s">
        <v>1910</v>
      </c>
      <c r="D42">
        <v>1</v>
      </c>
      <c r="E42">
        <v>2</v>
      </c>
      <c r="G42" t="s">
        <v>1909</v>
      </c>
      <c r="H42" t="s">
        <v>1910</v>
      </c>
      <c r="I42">
        <v>-1</v>
      </c>
    </row>
    <row r="43" spans="1:9" x14ac:dyDescent="0.45">
      <c r="A43" t="s">
        <v>1834</v>
      </c>
      <c r="B43" t="s">
        <v>1911</v>
      </c>
      <c r="C43" t="s">
        <v>1912</v>
      </c>
      <c r="D43">
        <v>1</v>
      </c>
      <c r="E43">
        <v>2</v>
      </c>
      <c r="G43" t="s">
        <v>1911</v>
      </c>
      <c r="H43" t="s">
        <v>1912</v>
      </c>
      <c r="I43">
        <v>-1</v>
      </c>
    </row>
    <row r="44" spans="1:9" x14ac:dyDescent="0.45">
      <c r="A44" t="s">
        <v>1834</v>
      </c>
      <c r="B44" t="s">
        <v>1913</v>
      </c>
      <c r="C44" t="s">
        <v>1914</v>
      </c>
      <c r="D44">
        <v>1</v>
      </c>
      <c r="E44">
        <v>2</v>
      </c>
      <c r="G44" t="s">
        <v>1913</v>
      </c>
      <c r="H44" t="s">
        <v>1914</v>
      </c>
      <c r="I44">
        <v>-1</v>
      </c>
    </row>
    <row r="45" spans="1:9" x14ac:dyDescent="0.45">
      <c r="A45" t="s">
        <v>1834</v>
      </c>
      <c r="B45" t="s">
        <v>1915</v>
      </c>
      <c r="C45" t="s">
        <v>1916</v>
      </c>
      <c r="D45">
        <v>1</v>
      </c>
      <c r="E45">
        <v>2</v>
      </c>
      <c r="G45" t="s">
        <v>1915</v>
      </c>
      <c r="H45" t="s">
        <v>1916</v>
      </c>
      <c r="I45">
        <v>-1</v>
      </c>
    </row>
    <row r="46" spans="1:9" x14ac:dyDescent="0.45">
      <c r="A46" t="s">
        <v>1834</v>
      </c>
      <c r="B46" t="s">
        <v>1917</v>
      </c>
      <c r="C46" t="s">
        <v>1918</v>
      </c>
      <c r="D46">
        <v>1</v>
      </c>
      <c r="E46">
        <v>2</v>
      </c>
      <c r="G46" t="s">
        <v>1917</v>
      </c>
      <c r="H46" t="s">
        <v>1918</v>
      </c>
      <c r="I46">
        <v>-1</v>
      </c>
    </row>
    <row r="47" spans="1:9" x14ac:dyDescent="0.45">
      <c r="A47" t="s">
        <v>1834</v>
      </c>
      <c r="B47" t="s">
        <v>1919</v>
      </c>
      <c r="C47" t="s">
        <v>1920</v>
      </c>
      <c r="D47">
        <v>1</v>
      </c>
      <c r="E47">
        <v>2</v>
      </c>
      <c r="G47" t="s">
        <v>1919</v>
      </c>
      <c r="H47" t="s">
        <v>1920</v>
      </c>
      <c r="I47">
        <v>-1</v>
      </c>
    </row>
    <row r="48" spans="1:9" x14ac:dyDescent="0.45">
      <c r="A48" t="s">
        <v>1834</v>
      </c>
      <c r="B48" t="s">
        <v>1921</v>
      </c>
      <c r="C48" t="s">
        <v>1922</v>
      </c>
      <c r="D48">
        <v>1</v>
      </c>
      <c r="E48">
        <v>2</v>
      </c>
      <c r="G48" t="s">
        <v>1921</v>
      </c>
      <c r="H48" t="s">
        <v>1922</v>
      </c>
      <c r="I48">
        <v>-1</v>
      </c>
    </row>
    <row r="49" spans="1:9" x14ac:dyDescent="0.45">
      <c r="A49" t="s">
        <v>1834</v>
      </c>
      <c r="B49" t="s">
        <v>1923</v>
      </c>
      <c r="C49" t="s">
        <v>1924</v>
      </c>
      <c r="D49">
        <v>1</v>
      </c>
      <c r="E49">
        <v>2</v>
      </c>
      <c r="G49" t="s">
        <v>1923</v>
      </c>
      <c r="H49" t="s">
        <v>1924</v>
      </c>
      <c r="I49">
        <v>-1</v>
      </c>
    </row>
    <row r="50" spans="1:9" x14ac:dyDescent="0.45">
      <c r="A50" t="s">
        <v>1834</v>
      </c>
      <c r="B50" t="s">
        <v>1925</v>
      </c>
      <c r="C50" t="s">
        <v>1926</v>
      </c>
      <c r="D50">
        <v>1</v>
      </c>
      <c r="E50">
        <v>2</v>
      </c>
      <c r="G50" t="s">
        <v>1925</v>
      </c>
      <c r="H50" t="s">
        <v>1926</v>
      </c>
      <c r="I50">
        <v>-1</v>
      </c>
    </row>
    <row r="51" spans="1:9" x14ac:dyDescent="0.45">
      <c r="A51" t="s">
        <v>1834</v>
      </c>
      <c r="B51" t="s">
        <v>1927</v>
      </c>
      <c r="C51" t="s">
        <v>1928</v>
      </c>
      <c r="D51">
        <v>1</v>
      </c>
      <c r="E51">
        <v>2</v>
      </c>
      <c r="G51" t="s">
        <v>1927</v>
      </c>
      <c r="H51" t="s">
        <v>1928</v>
      </c>
      <c r="I51">
        <v>-1</v>
      </c>
    </row>
    <row r="52" spans="1:9" x14ac:dyDescent="0.45">
      <c r="A52" t="s">
        <v>1834</v>
      </c>
      <c r="B52" t="s">
        <v>1929</v>
      </c>
      <c r="C52" t="s">
        <v>1930</v>
      </c>
      <c r="D52">
        <v>1</v>
      </c>
      <c r="E52">
        <v>2</v>
      </c>
      <c r="G52" t="s">
        <v>1929</v>
      </c>
      <c r="H52" t="s">
        <v>1930</v>
      </c>
      <c r="I52">
        <v>-1</v>
      </c>
    </row>
    <row r="53" spans="1:9" x14ac:dyDescent="0.45">
      <c r="A53" t="s">
        <v>1834</v>
      </c>
      <c r="B53" t="s">
        <v>1931</v>
      </c>
      <c r="C53" t="s">
        <v>1932</v>
      </c>
      <c r="D53">
        <v>1</v>
      </c>
      <c r="E53">
        <v>2</v>
      </c>
      <c r="G53" t="s">
        <v>1931</v>
      </c>
      <c r="H53" t="s">
        <v>1932</v>
      </c>
      <c r="I53">
        <v>-1</v>
      </c>
    </row>
    <row r="54" spans="1:9" x14ac:dyDescent="0.45">
      <c r="A54" t="s">
        <v>1834</v>
      </c>
      <c r="B54" t="s">
        <v>1933</v>
      </c>
      <c r="C54" t="s">
        <v>1934</v>
      </c>
      <c r="D54">
        <v>1</v>
      </c>
      <c r="E54">
        <v>2</v>
      </c>
      <c r="G54" t="s">
        <v>1933</v>
      </c>
      <c r="H54" t="s">
        <v>1934</v>
      </c>
      <c r="I54">
        <v>-1</v>
      </c>
    </row>
    <row r="55" spans="1:9" x14ac:dyDescent="0.45">
      <c r="A55" t="s">
        <v>1834</v>
      </c>
      <c r="B55" t="s">
        <v>1935</v>
      </c>
      <c r="C55" t="s">
        <v>1936</v>
      </c>
      <c r="D55">
        <v>1</v>
      </c>
      <c r="E55">
        <v>2</v>
      </c>
      <c r="G55" t="s">
        <v>1935</v>
      </c>
      <c r="H55" t="s">
        <v>1936</v>
      </c>
      <c r="I55">
        <v>-1</v>
      </c>
    </row>
    <row r="56" spans="1:9" x14ac:dyDescent="0.45">
      <c r="A56" t="s">
        <v>1834</v>
      </c>
      <c r="B56" t="s">
        <v>1937</v>
      </c>
      <c r="C56" t="s">
        <v>1938</v>
      </c>
      <c r="D56">
        <v>1</v>
      </c>
      <c r="E56">
        <v>2</v>
      </c>
      <c r="G56" t="s">
        <v>1937</v>
      </c>
      <c r="H56" t="s">
        <v>1938</v>
      </c>
      <c r="I56">
        <v>-1</v>
      </c>
    </row>
    <row r="57" spans="1:9" x14ac:dyDescent="0.45">
      <c r="A57" t="s">
        <v>1834</v>
      </c>
      <c r="B57" t="s">
        <v>1939</v>
      </c>
      <c r="C57" t="s">
        <v>1940</v>
      </c>
      <c r="D57">
        <v>1</v>
      </c>
      <c r="E57">
        <v>2</v>
      </c>
      <c r="G57" t="s">
        <v>1939</v>
      </c>
      <c r="H57" t="s">
        <v>1940</v>
      </c>
      <c r="I57">
        <v>-1</v>
      </c>
    </row>
    <row r="58" spans="1:9" x14ac:dyDescent="0.45">
      <c r="A58" t="s">
        <v>1834</v>
      </c>
      <c r="B58" t="s">
        <v>1941</v>
      </c>
      <c r="C58" t="s">
        <v>1942</v>
      </c>
      <c r="D58">
        <v>1</v>
      </c>
      <c r="E58">
        <v>2</v>
      </c>
      <c r="G58" t="s">
        <v>1941</v>
      </c>
      <c r="H58" t="s">
        <v>1942</v>
      </c>
      <c r="I58">
        <v>-1</v>
      </c>
    </row>
    <row r="59" spans="1:9" x14ac:dyDescent="0.45">
      <c r="A59" t="s">
        <v>1834</v>
      </c>
      <c r="B59" t="s">
        <v>1943</v>
      </c>
      <c r="C59" t="s">
        <v>1944</v>
      </c>
      <c r="D59">
        <v>1</v>
      </c>
      <c r="E59">
        <v>2</v>
      </c>
      <c r="G59" t="s">
        <v>1943</v>
      </c>
      <c r="H59" t="s">
        <v>1944</v>
      </c>
      <c r="I59">
        <v>-1</v>
      </c>
    </row>
    <row r="60" spans="1:9" x14ac:dyDescent="0.45">
      <c r="A60" t="s">
        <v>1834</v>
      </c>
      <c r="B60" t="s">
        <v>1945</v>
      </c>
      <c r="C60" t="s">
        <v>1946</v>
      </c>
      <c r="D60">
        <v>1</v>
      </c>
      <c r="E60">
        <v>2</v>
      </c>
      <c r="G60" t="s">
        <v>1945</v>
      </c>
      <c r="H60" t="s">
        <v>1946</v>
      </c>
      <c r="I60">
        <v>-1</v>
      </c>
    </row>
    <row r="61" spans="1:9" x14ac:dyDescent="0.45">
      <c r="A61" t="s">
        <v>1834</v>
      </c>
      <c r="B61" t="s">
        <v>1947</v>
      </c>
      <c r="C61" t="s">
        <v>1948</v>
      </c>
      <c r="D61">
        <v>1</v>
      </c>
      <c r="E61">
        <v>2</v>
      </c>
      <c r="G61" t="s">
        <v>1947</v>
      </c>
      <c r="H61" t="s">
        <v>1948</v>
      </c>
      <c r="I61">
        <v>-1</v>
      </c>
    </row>
    <row r="62" spans="1:9" x14ac:dyDescent="0.45">
      <c r="A62" t="s">
        <v>1834</v>
      </c>
      <c r="B62" t="s">
        <v>1949</v>
      </c>
      <c r="C62" t="s">
        <v>1950</v>
      </c>
      <c r="D62">
        <v>1</v>
      </c>
      <c r="E62">
        <v>2</v>
      </c>
      <c r="G62" t="s">
        <v>1949</v>
      </c>
      <c r="H62" t="s">
        <v>1950</v>
      </c>
      <c r="I62">
        <v>-1</v>
      </c>
    </row>
    <row r="63" spans="1:9" x14ac:dyDescent="0.45">
      <c r="A63" t="s">
        <v>1834</v>
      </c>
      <c r="B63" t="s">
        <v>1951</v>
      </c>
      <c r="C63" t="s">
        <v>1952</v>
      </c>
      <c r="D63">
        <v>1</v>
      </c>
      <c r="E63">
        <v>2</v>
      </c>
      <c r="G63" t="s">
        <v>1951</v>
      </c>
      <c r="H63" t="s">
        <v>1952</v>
      </c>
      <c r="I63">
        <v>-1</v>
      </c>
    </row>
    <row r="64" spans="1:9" x14ac:dyDescent="0.45">
      <c r="A64" t="s">
        <v>1834</v>
      </c>
      <c r="B64" t="s">
        <v>1953</v>
      </c>
      <c r="C64" t="s">
        <v>1954</v>
      </c>
      <c r="D64">
        <v>1</v>
      </c>
      <c r="E64">
        <v>2</v>
      </c>
      <c r="G64" t="s">
        <v>1953</v>
      </c>
      <c r="H64" t="s">
        <v>1954</v>
      </c>
      <c r="I64">
        <v>-1</v>
      </c>
    </row>
    <row r="65" spans="1:9" x14ac:dyDescent="0.45">
      <c r="A65" t="s">
        <v>1834</v>
      </c>
      <c r="B65" t="s">
        <v>1955</v>
      </c>
      <c r="C65" t="s">
        <v>1956</v>
      </c>
      <c r="D65">
        <v>1</v>
      </c>
      <c r="E65">
        <v>2</v>
      </c>
      <c r="G65" t="s">
        <v>1955</v>
      </c>
      <c r="H65" t="s">
        <v>1956</v>
      </c>
      <c r="I65">
        <v>-1</v>
      </c>
    </row>
    <row r="66" spans="1:9" x14ac:dyDescent="0.45">
      <c r="A66" t="s">
        <v>1834</v>
      </c>
      <c r="B66" t="s">
        <v>1957</v>
      </c>
      <c r="C66" t="s">
        <v>1958</v>
      </c>
      <c r="D66">
        <v>1</v>
      </c>
      <c r="E66">
        <v>2</v>
      </c>
      <c r="G66" t="s">
        <v>1957</v>
      </c>
      <c r="H66" t="s">
        <v>1958</v>
      </c>
      <c r="I66">
        <v>-1</v>
      </c>
    </row>
    <row r="67" spans="1:9" x14ac:dyDescent="0.45">
      <c r="A67" t="s">
        <v>1834</v>
      </c>
      <c r="B67" t="s">
        <v>1959</v>
      </c>
      <c r="C67" t="s">
        <v>1960</v>
      </c>
      <c r="D67">
        <v>1</v>
      </c>
      <c r="E67">
        <v>2</v>
      </c>
      <c r="G67" t="s">
        <v>1959</v>
      </c>
      <c r="H67" t="s">
        <v>1960</v>
      </c>
      <c r="I67">
        <v>-1</v>
      </c>
    </row>
    <row r="68" spans="1:9" x14ac:dyDescent="0.45">
      <c r="A68" t="s">
        <v>1834</v>
      </c>
      <c r="B68" t="s">
        <v>1961</v>
      </c>
      <c r="C68" t="s">
        <v>1962</v>
      </c>
      <c r="D68">
        <v>1</v>
      </c>
      <c r="E68">
        <v>2</v>
      </c>
      <c r="G68" t="s">
        <v>1961</v>
      </c>
      <c r="H68" t="s">
        <v>1962</v>
      </c>
      <c r="I68">
        <v>-1</v>
      </c>
    </row>
    <row r="69" spans="1:9" x14ac:dyDescent="0.45">
      <c r="A69" t="s">
        <v>1834</v>
      </c>
      <c r="B69" t="s">
        <v>1963</v>
      </c>
      <c r="C69" t="s">
        <v>1964</v>
      </c>
      <c r="D69">
        <v>1</v>
      </c>
      <c r="E69">
        <v>2</v>
      </c>
      <c r="G69" t="s">
        <v>1963</v>
      </c>
      <c r="H69" t="s">
        <v>1964</v>
      </c>
      <c r="I69">
        <v>-1</v>
      </c>
    </row>
    <row r="70" spans="1:9" x14ac:dyDescent="0.45">
      <c r="A70" t="s">
        <v>1834</v>
      </c>
      <c r="B70" t="s">
        <v>1965</v>
      </c>
      <c r="C70" t="s">
        <v>1966</v>
      </c>
      <c r="D70">
        <v>1</v>
      </c>
      <c r="E70">
        <v>2</v>
      </c>
      <c r="G70" t="s">
        <v>1965</v>
      </c>
      <c r="H70" t="s">
        <v>1966</v>
      </c>
      <c r="I70">
        <v>-1</v>
      </c>
    </row>
    <row r="71" spans="1:9" x14ac:dyDescent="0.45">
      <c r="A71" t="s">
        <v>1834</v>
      </c>
      <c r="B71" t="s">
        <v>1967</v>
      </c>
      <c r="C71" t="s">
        <v>1968</v>
      </c>
      <c r="D71">
        <v>1</v>
      </c>
      <c r="E71">
        <v>2</v>
      </c>
      <c r="G71" t="s">
        <v>1967</v>
      </c>
      <c r="H71" t="s">
        <v>1968</v>
      </c>
      <c r="I71">
        <v>-1</v>
      </c>
    </row>
    <row r="72" spans="1:9" x14ac:dyDescent="0.45">
      <c r="A72" t="s">
        <v>1834</v>
      </c>
      <c r="B72" t="s">
        <v>1969</v>
      </c>
      <c r="C72" t="s">
        <v>1970</v>
      </c>
      <c r="D72">
        <v>1</v>
      </c>
      <c r="E72">
        <v>2</v>
      </c>
      <c r="G72" t="s">
        <v>1969</v>
      </c>
      <c r="H72" t="s">
        <v>1970</v>
      </c>
      <c r="I72">
        <v>-1</v>
      </c>
    </row>
    <row r="73" spans="1:9" x14ac:dyDescent="0.45">
      <c r="A73" t="s">
        <v>1834</v>
      </c>
      <c r="B73" t="s">
        <v>1971</v>
      </c>
      <c r="C73" t="s">
        <v>1972</v>
      </c>
      <c r="D73">
        <v>1</v>
      </c>
      <c r="E73">
        <v>2</v>
      </c>
      <c r="G73" t="s">
        <v>1971</v>
      </c>
      <c r="H73" t="s">
        <v>1972</v>
      </c>
      <c r="I73">
        <v>-1</v>
      </c>
    </row>
    <row r="74" spans="1:9" x14ac:dyDescent="0.45">
      <c r="A74" t="s">
        <v>1834</v>
      </c>
      <c r="B74" t="s">
        <v>1973</v>
      </c>
      <c r="C74" t="s">
        <v>1974</v>
      </c>
      <c r="D74">
        <v>1</v>
      </c>
      <c r="E74">
        <v>2</v>
      </c>
      <c r="G74" t="s">
        <v>1973</v>
      </c>
      <c r="H74" t="s">
        <v>1974</v>
      </c>
      <c r="I74">
        <v>-1</v>
      </c>
    </row>
    <row r="75" spans="1:9" x14ac:dyDescent="0.45">
      <c r="A75" t="s">
        <v>1834</v>
      </c>
      <c r="B75" t="s">
        <v>1975</v>
      </c>
      <c r="C75" t="s">
        <v>1976</v>
      </c>
      <c r="D75">
        <v>1</v>
      </c>
      <c r="E75">
        <v>2</v>
      </c>
      <c r="G75" t="s">
        <v>1975</v>
      </c>
      <c r="H75" t="s">
        <v>1976</v>
      </c>
      <c r="I75">
        <v>-1</v>
      </c>
    </row>
    <row r="76" spans="1:9" x14ac:dyDescent="0.45">
      <c r="A76" t="s">
        <v>1834</v>
      </c>
      <c r="B76" t="s">
        <v>1977</v>
      </c>
      <c r="C76" t="s">
        <v>1978</v>
      </c>
      <c r="D76">
        <v>1</v>
      </c>
      <c r="E76">
        <v>2</v>
      </c>
      <c r="G76" t="s">
        <v>1977</v>
      </c>
      <c r="H76" t="s">
        <v>1978</v>
      </c>
      <c r="I76">
        <v>-1</v>
      </c>
    </row>
    <row r="77" spans="1:9" x14ac:dyDescent="0.45">
      <c r="A77" t="s">
        <v>1834</v>
      </c>
      <c r="B77" t="s">
        <v>1979</v>
      </c>
      <c r="C77" t="s">
        <v>1980</v>
      </c>
      <c r="D77">
        <v>1</v>
      </c>
      <c r="E77">
        <v>2</v>
      </c>
      <c r="G77" t="s">
        <v>1979</v>
      </c>
      <c r="H77" t="s">
        <v>1980</v>
      </c>
      <c r="I77">
        <v>-1</v>
      </c>
    </row>
    <row r="78" spans="1:9" x14ac:dyDescent="0.45">
      <c r="A78" t="s">
        <v>1834</v>
      </c>
      <c r="B78" t="s">
        <v>1981</v>
      </c>
      <c r="C78" t="s">
        <v>1982</v>
      </c>
      <c r="D78">
        <v>1</v>
      </c>
      <c r="E78">
        <v>2</v>
      </c>
      <c r="G78" t="s">
        <v>1981</v>
      </c>
      <c r="H78" t="s">
        <v>1982</v>
      </c>
      <c r="I78">
        <v>-1</v>
      </c>
    </row>
    <row r="79" spans="1:9" x14ac:dyDescent="0.45">
      <c r="A79" t="s">
        <v>1834</v>
      </c>
      <c r="B79" t="s">
        <v>1983</v>
      </c>
      <c r="C79" t="s">
        <v>1984</v>
      </c>
      <c r="D79">
        <v>1</v>
      </c>
      <c r="E79">
        <v>2</v>
      </c>
      <c r="G79" t="s">
        <v>1983</v>
      </c>
      <c r="H79" t="s">
        <v>1984</v>
      </c>
      <c r="I79">
        <v>-1</v>
      </c>
    </row>
    <row r="80" spans="1:9" x14ac:dyDescent="0.45">
      <c r="A80" t="s">
        <v>1834</v>
      </c>
      <c r="B80" t="s">
        <v>1985</v>
      </c>
      <c r="C80" t="s">
        <v>1986</v>
      </c>
      <c r="D80">
        <v>1</v>
      </c>
      <c r="E80">
        <v>2</v>
      </c>
      <c r="G80" t="s">
        <v>1985</v>
      </c>
      <c r="H80" t="s">
        <v>1986</v>
      </c>
      <c r="I80">
        <v>-1</v>
      </c>
    </row>
    <row r="81" spans="1:9" x14ac:dyDescent="0.45">
      <c r="A81" t="s">
        <v>1834</v>
      </c>
      <c r="B81" t="s">
        <v>1987</v>
      </c>
      <c r="C81" t="s">
        <v>1988</v>
      </c>
      <c r="D81">
        <v>1</v>
      </c>
      <c r="E81">
        <v>2</v>
      </c>
      <c r="G81" t="s">
        <v>1987</v>
      </c>
      <c r="H81" t="s">
        <v>1988</v>
      </c>
      <c r="I81">
        <v>-1</v>
      </c>
    </row>
    <row r="82" spans="1:9" x14ac:dyDescent="0.45">
      <c r="A82" t="s">
        <v>1834</v>
      </c>
      <c r="B82" t="s">
        <v>1989</v>
      </c>
      <c r="C82" t="s">
        <v>1990</v>
      </c>
      <c r="D82">
        <v>1</v>
      </c>
      <c r="E82">
        <v>2</v>
      </c>
      <c r="G82" t="s">
        <v>1989</v>
      </c>
      <c r="H82" t="s">
        <v>1990</v>
      </c>
      <c r="I82">
        <v>-1</v>
      </c>
    </row>
    <row r="83" spans="1:9" x14ac:dyDescent="0.45">
      <c r="A83" t="s">
        <v>1834</v>
      </c>
      <c r="B83" t="s">
        <v>1991</v>
      </c>
      <c r="C83" t="s">
        <v>1992</v>
      </c>
      <c r="D83">
        <v>1</v>
      </c>
      <c r="E83">
        <v>2</v>
      </c>
      <c r="G83" t="s">
        <v>1991</v>
      </c>
      <c r="H83" t="s">
        <v>1992</v>
      </c>
      <c r="I83">
        <v>-1</v>
      </c>
    </row>
    <row r="84" spans="1:9" x14ac:dyDescent="0.45">
      <c r="A84" t="s">
        <v>1834</v>
      </c>
      <c r="B84" t="s">
        <v>1993</v>
      </c>
      <c r="C84" t="s">
        <v>1994</v>
      </c>
      <c r="D84">
        <v>1</v>
      </c>
      <c r="E84">
        <v>2</v>
      </c>
      <c r="G84" t="s">
        <v>1993</v>
      </c>
      <c r="H84" t="s">
        <v>1994</v>
      </c>
      <c r="I84">
        <v>-1</v>
      </c>
    </row>
    <row r="85" spans="1:9" x14ac:dyDescent="0.45">
      <c r="A85" t="s">
        <v>1834</v>
      </c>
      <c r="B85" t="s">
        <v>1995</v>
      </c>
      <c r="C85" t="s">
        <v>1996</v>
      </c>
      <c r="D85">
        <v>1</v>
      </c>
      <c r="E85">
        <v>2</v>
      </c>
      <c r="G85" t="s">
        <v>1995</v>
      </c>
      <c r="H85" t="s">
        <v>1996</v>
      </c>
      <c r="I85">
        <v>-1</v>
      </c>
    </row>
    <row r="86" spans="1:9" x14ac:dyDescent="0.45">
      <c r="A86" t="s">
        <v>1834</v>
      </c>
      <c r="B86" t="s">
        <v>1997</v>
      </c>
      <c r="C86" t="s">
        <v>1998</v>
      </c>
      <c r="D86">
        <v>1</v>
      </c>
      <c r="E86">
        <v>2</v>
      </c>
      <c r="G86" t="s">
        <v>1997</v>
      </c>
      <c r="H86" t="s">
        <v>1998</v>
      </c>
      <c r="I86">
        <v>-1</v>
      </c>
    </row>
    <row r="87" spans="1:9" x14ac:dyDescent="0.45">
      <c r="A87" t="s">
        <v>1834</v>
      </c>
      <c r="B87" t="s">
        <v>1999</v>
      </c>
      <c r="C87" t="s">
        <v>2000</v>
      </c>
      <c r="D87">
        <v>1</v>
      </c>
      <c r="E87">
        <v>2</v>
      </c>
      <c r="G87" t="s">
        <v>1999</v>
      </c>
      <c r="H87" t="s">
        <v>2000</v>
      </c>
      <c r="I87">
        <v>-1</v>
      </c>
    </row>
    <row r="88" spans="1:9" x14ac:dyDescent="0.45">
      <c r="A88" t="s">
        <v>1834</v>
      </c>
      <c r="B88" t="s">
        <v>2001</v>
      </c>
      <c r="C88" t="s">
        <v>2002</v>
      </c>
      <c r="D88">
        <v>1</v>
      </c>
      <c r="E88">
        <v>2</v>
      </c>
      <c r="G88" t="s">
        <v>2001</v>
      </c>
      <c r="H88" t="s">
        <v>2002</v>
      </c>
      <c r="I88">
        <v>-1</v>
      </c>
    </row>
    <row r="89" spans="1:9" x14ac:dyDescent="0.45">
      <c r="A89" t="s">
        <v>1834</v>
      </c>
      <c r="B89" t="s">
        <v>2003</v>
      </c>
      <c r="C89" t="s">
        <v>2004</v>
      </c>
      <c r="D89">
        <v>1</v>
      </c>
      <c r="E89">
        <v>2</v>
      </c>
      <c r="G89" t="s">
        <v>2003</v>
      </c>
      <c r="H89" t="s">
        <v>2004</v>
      </c>
      <c r="I89">
        <v>-1</v>
      </c>
    </row>
    <row r="90" spans="1:9" x14ac:dyDescent="0.45">
      <c r="A90" t="s">
        <v>1834</v>
      </c>
      <c r="B90" t="s">
        <v>2005</v>
      </c>
      <c r="C90" t="s">
        <v>2006</v>
      </c>
      <c r="D90">
        <v>1</v>
      </c>
      <c r="E90">
        <v>2</v>
      </c>
      <c r="G90" t="s">
        <v>2005</v>
      </c>
      <c r="H90" t="s">
        <v>2006</v>
      </c>
      <c r="I90">
        <v>-1</v>
      </c>
    </row>
    <row r="91" spans="1:9" x14ac:dyDescent="0.45">
      <c r="A91" t="s">
        <v>1834</v>
      </c>
      <c r="B91" t="s">
        <v>2007</v>
      </c>
      <c r="C91" t="s">
        <v>2008</v>
      </c>
      <c r="D91">
        <v>1</v>
      </c>
      <c r="E91">
        <v>2</v>
      </c>
      <c r="G91" t="s">
        <v>2007</v>
      </c>
      <c r="H91" t="s">
        <v>2008</v>
      </c>
      <c r="I91">
        <v>-1</v>
      </c>
    </row>
    <row r="92" spans="1:9" x14ac:dyDescent="0.45">
      <c r="A92" t="s">
        <v>1834</v>
      </c>
      <c r="B92" t="s">
        <v>2009</v>
      </c>
      <c r="C92" t="s">
        <v>2010</v>
      </c>
      <c r="D92">
        <v>1</v>
      </c>
      <c r="E92">
        <v>2</v>
      </c>
      <c r="G92" t="s">
        <v>2009</v>
      </c>
      <c r="H92" t="s">
        <v>2010</v>
      </c>
      <c r="I92">
        <v>-1</v>
      </c>
    </row>
    <row r="93" spans="1:9" x14ac:dyDescent="0.45">
      <c r="A93" t="s">
        <v>1834</v>
      </c>
      <c r="B93" t="s">
        <v>2011</v>
      </c>
      <c r="C93" t="s">
        <v>2012</v>
      </c>
      <c r="D93">
        <v>1</v>
      </c>
      <c r="E93">
        <v>2</v>
      </c>
      <c r="G93" t="s">
        <v>2011</v>
      </c>
      <c r="H93" t="s">
        <v>2012</v>
      </c>
      <c r="I93">
        <v>-1</v>
      </c>
    </row>
    <row r="94" spans="1:9" x14ac:dyDescent="0.45">
      <c r="A94" t="s">
        <v>1834</v>
      </c>
      <c r="B94" t="s">
        <v>2013</v>
      </c>
      <c r="C94" t="s">
        <v>2014</v>
      </c>
      <c r="D94">
        <v>1</v>
      </c>
      <c r="E94">
        <v>2</v>
      </c>
      <c r="G94" t="s">
        <v>2013</v>
      </c>
      <c r="H94" t="s">
        <v>2014</v>
      </c>
      <c r="I94">
        <v>-1</v>
      </c>
    </row>
    <row r="95" spans="1:9" x14ac:dyDescent="0.45">
      <c r="A95" t="s">
        <v>1834</v>
      </c>
      <c r="B95" t="s">
        <v>2015</v>
      </c>
      <c r="C95" t="s">
        <v>2016</v>
      </c>
      <c r="D95">
        <v>1</v>
      </c>
      <c r="E95">
        <v>2</v>
      </c>
      <c r="G95" t="s">
        <v>2015</v>
      </c>
      <c r="H95" t="s">
        <v>2016</v>
      </c>
      <c r="I95">
        <v>-1</v>
      </c>
    </row>
    <row r="96" spans="1:9" x14ac:dyDescent="0.45">
      <c r="A96" t="s">
        <v>1834</v>
      </c>
      <c r="B96" t="s">
        <v>2017</v>
      </c>
      <c r="C96" t="s">
        <v>2018</v>
      </c>
      <c r="D96">
        <v>1</v>
      </c>
      <c r="E96">
        <v>2</v>
      </c>
      <c r="G96" t="s">
        <v>2017</v>
      </c>
      <c r="H96" t="s">
        <v>2018</v>
      </c>
      <c r="I96">
        <v>-1</v>
      </c>
    </row>
    <row r="97" spans="1:9" x14ac:dyDescent="0.45">
      <c r="A97" t="s">
        <v>1834</v>
      </c>
      <c r="B97" t="s">
        <v>2019</v>
      </c>
      <c r="C97" t="s">
        <v>2020</v>
      </c>
      <c r="D97">
        <v>1</v>
      </c>
      <c r="E97">
        <v>2</v>
      </c>
      <c r="G97" t="s">
        <v>2019</v>
      </c>
      <c r="H97" t="s">
        <v>2020</v>
      </c>
      <c r="I97">
        <v>-1</v>
      </c>
    </row>
    <row r="98" spans="1:9" x14ac:dyDescent="0.45">
      <c r="A98" t="s">
        <v>1834</v>
      </c>
      <c r="B98" t="s">
        <v>2021</v>
      </c>
      <c r="C98" t="s">
        <v>2022</v>
      </c>
      <c r="D98">
        <v>1</v>
      </c>
      <c r="E98">
        <v>2</v>
      </c>
      <c r="G98" t="s">
        <v>2021</v>
      </c>
      <c r="H98" t="s">
        <v>2022</v>
      </c>
      <c r="I98">
        <v>-1</v>
      </c>
    </row>
    <row r="99" spans="1:9" x14ac:dyDescent="0.45">
      <c r="A99" t="s">
        <v>1834</v>
      </c>
      <c r="B99" t="s">
        <v>2023</v>
      </c>
      <c r="C99" t="s">
        <v>2024</v>
      </c>
      <c r="D99">
        <v>1</v>
      </c>
      <c r="E99">
        <v>2</v>
      </c>
      <c r="G99" t="s">
        <v>2023</v>
      </c>
      <c r="H99" t="s">
        <v>2024</v>
      </c>
      <c r="I99">
        <v>-1</v>
      </c>
    </row>
    <row r="100" spans="1:9" x14ac:dyDescent="0.45">
      <c r="A100" t="s">
        <v>1834</v>
      </c>
      <c r="B100" t="s">
        <v>2025</v>
      </c>
      <c r="C100" t="s">
        <v>2026</v>
      </c>
      <c r="D100">
        <v>1</v>
      </c>
      <c r="E100">
        <v>2</v>
      </c>
      <c r="G100" t="s">
        <v>2025</v>
      </c>
      <c r="H100" t="s">
        <v>2026</v>
      </c>
      <c r="I100">
        <v>-1</v>
      </c>
    </row>
    <row r="101" spans="1:9" x14ac:dyDescent="0.45">
      <c r="A101" t="s">
        <v>1834</v>
      </c>
      <c r="B101" t="s">
        <v>2027</v>
      </c>
      <c r="C101" t="s">
        <v>2028</v>
      </c>
      <c r="D101">
        <v>1</v>
      </c>
      <c r="E101">
        <v>2</v>
      </c>
      <c r="G101" t="s">
        <v>2027</v>
      </c>
      <c r="H101" t="s">
        <v>2028</v>
      </c>
      <c r="I101">
        <v>-1</v>
      </c>
    </row>
    <row r="102" spans="1:9" x14ac:dyDescent="0.45">
      <c r="A102" t="s">
        <v>1834</v>
      </c>
      <c r="B102" t="s">
        <v>2029</v>
      </c>
      <c r="C102" t="s">
        <v>2030</v>
      </c>
      <c r="D102">
        <v>1</v>
      </c>
      <c r="E102">
        <v>2</v>
      </c>
      <c r="G102" t="s">
        <v>2029</v>
      </c>
      <c r="H102" t="s">
        <v>2030</v>
      </c>
      <c r="I102">
        <v>-1</v>
      </c>
    </row>
    <row r="103" spans="1:9" x14ac:dyDescent="0.45">
      <c r="A103" t="s">
        <v>1834</v>
      </c>
      <c r="B103" t="s">
        <v>2031</v>
      </c>
      <c r="C103" t="s">
        <v>2032</v>
      </c>
      <c r="D103">
        <v>1</v>
      </c>
      <c r="E103">
        <v>2</v>
      </c>
      <c r="G103" t="s">
        <v>2031</v>
      </c>
      <c r="H103" t="s">
        <v>2032</v>
      </c>
      <c r="I103">
        <v>-1</v>
      </c>
    </row>
    <row r="104" spans="1:9" x14ac:dyDescent="0.45">
      <c r="A104" t="s">
        <v>1834</v>
      </c>
      <c r="B104" t="s">
        <v>2033</v>
      </c>
      <c r="C104" t="s">
        <v>2034</v>
      </c>
      <c r="D104">
        <v>1</v>
      </c>
      <c r="E104">
        <v>2</v>
      </c>
      <c r="G104" t="s">
        <v>2033</v>
      </c>
      <c r="H104" t="s">
        <v>2034</v>
      </c>
      <c r="I104">
        <v>-1</v>
      </c>
    </row>
    <row r="105" spans="1:9" x14ac:dyDescent="0.45">
      <c r="A105" t="s">
        <v>1834</v>
      </c>
      <c r="B105" t="s">
        <v>2035</v>
      </c>
      <c r="C105" t="s">
        <v>2036</v>
      </c>
      <c r="D105">
        <v>1</v>
      </c>
      <c r="E105">
        <v>2</v>
      </c>
      <c r="G105" t="s">
        <v>2035</v>
      </c>
      <c r="H105" t="s">
        <v>2036</v>
      </c>
      <c r="I105">
        <v>-1</v>
      </c>
    </row>
    <row r="106" spans="1:9" x14ac:dyDescent="0.45">
      <c r="A106" t="s">
        <v>1834</v>
      </c>
      <c r="B106" t="s">
        <v>2037</v>
      </c>
      <c r="C106" t="s">
        <v>2038</v>
      </c>
      <c r="D106">
        <v>1</v>
      </c>
      <c r="E106">
        <v>2</v>
      </c>
      <c r="G106" t="s">
        <v>2037</v>
      </c>
      <c r="H106" t="s">
        <v>2038</v>
      </c>
      <c r="I106">
        <v>-1</v>
      </c>
    </row>
    <row r="107" spans="1:9" x14ac:dyDescent="0.45">
      <c r="A107" t="s">
        <v>1834</v>
      </c>
      <c r="B107" t="s">
        <v>2039</v>
      </c>
      <c r="C107" t="s">
        <v>2040</v>
      </c>
      <c r="D107">
        <v>1</v>
      </c>
      <c r="E107">
        <v>2</v>
      </c>
      <c r="G107" t="s">
        <v>2039</v>
      </c>
      <c r="H107" t="s">
        <v>2040</v>
      </c>
      <c r="I107">
        <v>-1</v>
      </c>
    </row>
    <row r="108" spans="1:9" x14ac:dyDescent="0.45">
      <c r="A108" t="s">
        <v>1834</v>
      </c>
      <c r="B108" t="s">
        <v>2041</v>
      </c>
      <c r="C108" t="s">
        <v>2042</v>
      </c>
      <c r="D108">
        <v>1</v>
      </c>
      <c r="E108">
        <v>2</v>
      </c>
      <c r="G108" t="s">
        <v>2041</v>
      </c>
      <c r="H108" t="s">
        <v>2042</v>
      </c>
      <c r="I108">
        <v>-1</v>
      </c>
    </row>
    <row r="109" spans="1:9" x14ac:dyDescent="0.45">
      <c r="A109" t="s">
        <v>1834</v>
      </c>
      <c r="B109" t="s">
        <v>2043</v>
      </c>
      <c r="C109" t="s">
        <v>2044</v>
      </c>
      <c r="D109">
        <v>1</v>
      </c>
      <c r="E109">
        <v>2</v>
      </c>
      <c r="G109" t="s">
        <v>2043</v>
      </c>
      <c r="H109" t="s">
        <v>2044</v>
      </c>
      <c r="I109">
        <v>-1</v>
      </c>
    </row>
    <row r="110" spans="1:9" x14ac:dyDescent="0.45">
      <c r="A110" t="s">
        <v>1834</v>
      </c>
      <c r="B110" t="s">
        <v>2045</v>
      </c>
      <c r="C110" t="s">
        <v>2046</v>
      </c>
      <c r="D110">
        <v>1</v>
      </c>
      <c r="E110">
        <v>2</v>
      </c>
      <c r="G110" t="s">
        <v>2045</v>
      </c>
      <c r="H110" t="s">
        <v>2046</v>
      </c>
      <c r="I110">
        <v>-1</v>
      </c>
    </row>
    <row r="111" spans="1:9" x14ac:dyDescent="0.45">
      <c r="A111" t="s">
        <v>1834</v>
      </c>
      <c r="B111" t="s">
        <v>2047</v>
      </c>
      <c r="C111" t="s">
        <v>2048</v>
      </c>
      <c r="D111">
        <v>1</v>
      </c>
      <c r="E111">
        <v>2</v>
      </c>
      <c r="G111" t="s">
        <v>2047</v>
      </c>
      <c r="H111" t="s">
        <v>2048</v>
      </c>
      <c r="I111">
        <v>-1</v>
      </c>
    </row>
    <row r="112" spans="1:9" x14ac:dyDescent="0.45">
      <c r="A112" t="s">
        <v>1834</v>
      </c>
      <c r="B112" t="s">
        <v>2049</v>
      </c>
      <c r="C112" t="s">
        <v>2050</v>
      </c>
      <c r="D112">
        <v>1</v>
      </c>
      <c r="E112">
        <v>2</v>
      </c>
      <c r="G112" t="s">
        <v>2049</v>
      </c>
      <c r="H112" t="s">
        <v>2050</v>
      </c>
      <c r="I112">
        <v>-1</v>
      </c>
    </row>
    <row r="113" spans="1:9" x14ac:dyDescent="0.45">
      <c r="A113" t="s">
        <v>1834</v>
      </c>
      <c r="B113" t="s">
        <v>2051</v>
      </c>
      <c r="C113" t="s">
        <v>2052</v>
      </c>
      <c r="D113">
        <v>1</v>
      </c>
      <c r="E113">
        <v>2</v>
      </c>
      <c r="G113" t="s">
        <v>2051</v>
      </c>
      <c r="H113" t="s">
        <v>2052</v>
      </c>
      <c r="I113">
        <v>-1</v>
      </c>
    </row>
    <row r="114" spans="1:9" x14ac:dyDescent="0.45">
      <c r="A114" t="s">
        <v>1834</v>
      </c>
      <c r="B114" t="s">
        <v>2053</v>
      </c>
      <c r="C114" t="s">
        <v>2054</v>
      </c>
      <c r="D114">
        <v>1</v>
      </c>
      <c r="E114">
        <v>2</v>
      </c>
      <c r="G114" t="s">
        <v>2053</v>
      </c>
      <c r="H114" t="s">
        <v>2054</v>
      </c>
      <c r="I114">
        <v>-1</v>
      </c>
    </row>
    <row r="115" spans="1:9" x14ac:dyDescent="0.45">
      <c r="A115" t="s">
        <v>1834</v>
      </c>
      <c r="B115" t="s">
        <v>2055</v>
      </c>
      <c r="C115" t="s">
        <v>2056</v>
      </c>
      <c r="D115">
        <v>1</v>
      </c>
      <c r="E115">
        <v>2</v>
      </c>
      <c r="G115" t="s">
        <v>2055</v>
      </c>
      <c r="H115" t="s">
        <v>2056</v>
      </c>
      <c r="I115">
        <v>-1</v>
      </c>
    </row>
    <row r="116" spans="1:9" x14ac:dyDescent="0.45">
      <c r="A116" t="s">
        <v>1834</v>
      </c>
      <c r="B116" t="s">
        <v>2057</v>
      </c>
      <c r="C116" t="s">
        <v>2058</v>
      </c>
      <c r="D116">
        <v>1</v>
      </c>
      <c r="E116">
        <v>2</v>
      </c>
      <c r="G116" t="s">
        <v>2057</v>
      </c>
      <c r="H116" t="s">
        <v>2058</v>
      </c>
      <c r="I116">
        <v>-1</v>
      </c>
    </row>
    <row r="117" spans="1:9" x14ac:dyDescent="0.45">
      <c r="A117" t="s">
        <v>1834</v>
      </c>
      <c r="B117" t="s">
        <v>2059</v>
      </c>
      <c r="C117" t="s">
        <v>2060</v>
      </c>
      <c r="D117">
        <v>1</v>
      </c>
      <c r="E117">
        <v>2</v>
      </c>
      <c r="G117" t="s">
        <v>2059</v>
      </c>
      <c r="H117" t="s">
        <v>2060</v>
      </c>
      <c r="I117">
        <v>-1</v>
      </c>
    </row>
    <row r="118" spans="1:9" x14ac:dyDescent="0.45">
      <c r="A118" t="s">
        <v>1834</v>
      </c>
      <c r="B118" t="s">
        <v>2061</v>
      </c>
      <c r="C118" t="s">
        <v>2062</v>
      </c>
      <c r="D118">
        <v>1</v>
      </c>
      <c r="E118">
        <v>2</v>
      </c>
      <c r="G118" t="s">
        <v>2061</v>
      </c>
      <c r="H118" t="s">
        <v>2062</v>
      </c>
      <c r="I118">
        <v>-1</v>
      </c>
    </row>
    <row r="119" spans="1:9" x14ac:dyDescent="0.45">
      <c r="A119" t="s">
        <v>1834</v>
      </c>
      <c r="B119" t="s">
        <v>2063</v>
      </c>
      <c r="C119" t="s">
        <v>2064</v>
      </c>
      <c r="D119">
        <v>1</v>
      </c>
      <c r="E119">
        <v>2</v>
      </c>
      <c r="G119" t="s">
        <v>2063</v>
      </c>
      <c r="H119" t="s">
        <v>2064</v>
      </c>
      <c r="I119">
        <v>-1</v>
      </c>
    </row>
    <row r="120" spans="1:9" x14ac:dyDescent="0.45">
      <c r="A120" t="s">
        <v>1834</v>
      </c>
      <c r="B120" t="s">
        <v>2065</v>
      </c>
      <c r="C120" t="s">
        <v>2066</v>
      </c>
      <c r="D120">
        <v>1</v>
      </c>
      <c r="E120">
        <v>2</v>
      </c>
      <c r="G120" t="s">
        <v>2065</v>
      </c>
      <c r="H120" t="s">
        <v>2066</v>
      </c>
      <c r="I120">
        <v>-1</v>
      </c>
    </row>
    <row r="121" spans="1:9" x14ac:dyDescent="0.45">
      <c r="A121" t="s">
        <v>1834</v>
      </c>
      <c r="B121" t="s">
        <v>2067</v>
      </c>
      <c r="C121" t="s">
        <v>2068</v>
      </c>
      <c r="D121">
        <v>1</v>
      </c>
      <c r="E121">
        <v>2</v>
      </c>
      <c r="G121" t="s">
        <v>2067</v>
      </c>
      <c r="H121" t="s">
        <v>2068</v>
      </c>
      <c r="I121">
        <v>-1</v>
      </c>
    </row>
    <row r="122" spans="1:9" x14ac:dyDescent="0.45">
      <c r="A122" t="s">
        <v>1834</v>
      </c>
      <c r="B122" t="s">
        <v>2069</v>
      </c>
      <c r="C122" t="s">
        <v>2070</v>
      </c>
      <c r="D122">
        <v>1</v>
      </c>
      <c r="E122">
        <v>2</v>
      </c>
      <c r="G122" t="s">
        <v>2069</v>
      </c>
      <c r="H122" t="s">
        <v>2070</v>
      </c>
      <c r="I122">
        <v>-1</v>
      </c>
    </row>
    <row r="123" spans="1:9" x14ac:dyDescent="0.45">
      <c r="A123" t="s">
        <v>1834</v>
      </c>
      <c r="B123" t="s">
        <v>2071</v>
      </c>
      <c r="C123" t="s">
        <v>2072</v>
      </c>
      <c r="D123">
        <v>1</v>
      </c>
      <c r="E123">
        <v>2</v>
      </c>
      <c r="G123" t="s">
        <v>2071</v>
      </c>
      <c r="H123" t="s">
        <v>2072</v>
      </c>
      <c r="I123">
        <v>-1</v>
      </c>
    </row>
    <row r="124" spans="1:9" x14ac:dyDescent="0.45">
      <c r="A124" t="s">
        <v>1834</v>
      </c>
      <c r="B124" t="s">
        <v>2073</v>
      </c>
      <c r="C124" t="s">
        <v>2074</v>
      </c>
      <c r="D124">
        <v>1</v>
      </c>
      <c r="E124">
        <v>2</v>
      </c>
      <c r="G124" t="s">
        <v>2073</v>
      </c>
      <c r="H124" t="s">
        <v>2074</v>
      </c>
      <c r="I124">
        <v>-1</v>
      </c>
    </row>
    <row r="125" spans="1:9" x14ac:dyDescent="0.45">
      <c r="A125" t="s">
        <v>1834</v>
      </c>
      <c r="B125" t="s">
        <v>2075</v>
      </c>
      <c r="C125" t="s">
        <v>2076</v>
      </c>
      <c r="D125">
        <v>1</v>
      </c>
      <c r="E125">
        <v>2</v>
      </c>
      <c r="G125" t="s">
        <v>2075</v>
      </c>
      <c r="H125" t="s">
        <v>2076</v>
      </c>
      <c r="I125">
        <v>-1</v>
      </c>
    </row>
    <row r="126" spans="1:9" x14ac:dyDescent="0.45">
      <c r="A126" t="s">
        <v>1834</v>
      </c>
      <c r="B126" t="s">
        <v>2077</v>
      </c>
      <c r="C126" t="s">
        <v>2078</v>
      </c>
      <c r="D126">
        <v>1</v>
      </c>
      <c r="E126">
        <v>2</v>
      </c>
      <c r="G126" t="s">
        <v>2077</v>
      </c>
      <c r="H126" t="s">
        <v>2078</v>
      </c>
      <c r="I126">
        <v>-1</v>
      </c>
    </row>
    <row r="127" spans="1:9" x14ac:dyDescent="0.45">
      <c r="A127" t="s">
        <v>1834</v>
      </c>
      <c r="B127" t="s">
        <v>2079</v>
      </c>
      <c r="C127" t="s">
        <v>2080</v>
      </c>
      <c r="D127">
        <v>1</v>
      </c>
      <c r="E127">
        <v>2</v>
      </c>
      <c r="G127" t="s">
        <v>2079</v>
      </c>
      <c r="H127" t="s">
        <v>2080</v>
      </c>
      <c r="I127">
        <v>-1</v>
      </c>
    </row>
    <row r="128" spans="1:9" x14ac:dyDescent="0.45">
      <c r="A128" t="s">
        <v>1834</v>
      </c>
      <c r="B128" t="s">
        <v>2081</v>
      </c>
      <c r="C128" t="s">
        <v>2082</v>
      </c>
      <c r="D128">
        <v>1</v>
      </c>
      <c r="E128">
        <v>2</v>
      </c>
      <c r="G128" t="s">
        <v>2081</v>
      </c>
      <c r="H128" t="s">
        <v>2082</v>
      </c>
      <c r="I128">
        <v>-1</v>
      </c>
    </row>
    <row r="129" spans="1:9" x14ac:dyDescent="0.45">
      <c r="A129" t="s">
        <v>1834</v>
      </c>
      <c r="B129" t="s">
        <v>2083</v>
      </c>
      <c r="C129" t="s">
        <v>2084</v>
      </c>
      <c r="D129">
        <v>1</v>
      </c>
      <c r="E129">
        <v>2</v>
      </c>
      <c r="G129" t="s">
        <v>2083</v>
      </c>
      <c r="H129" t="s">
        <v>2084</v>
      </c>
      <c r="I129">
        <v>-1</v>
      </c>
    </row>
    <row r="130" spans="1:9" x14ac:dyDescent="0.45">
      <c r="A130" t="s">
        <v>1834</v>
      </c>
      <c r="B130" t="s">
        <v>2085</v>
      </c>
      <c r="C130" t="s">
        <v>2086</v>
      </c>
      <c r="D130">
        <v>1</v>
      </c>
      <c r="E130">
        <v>2</v>
      </c>
      <c r="G130" t="s">
        <v>2085</v>
      </c>
      <c r="H130" t="s">
        <v>2086</v>
      </c>
      <c r="I130">
        <v>-1</v>
      </c>
    </row>
    <row r="131" spans="1:9" x14ac:dyDescent="0.45">
      <c r="A131" t="s">
        <v>1834</v>
      </c>
      <c r="B131" t="s">
        <v>2087</v>
      </c>
      <c r="C131" t="s">
        <v>2088</v>
      </c>
      <c r="D131">
        <v>1</v>
      </c>
      <c r="E131">
        <v>2</v>
      </c>
      <c r="G131" t="s">
        <v>2087</v>
      </c>
      <c r="H131" t="s">
        <v>2088</v>
      </c>
      <c r="I131">
        <v>-1</v>
      </c>
    </row>
    <row r="132" spans="1:9" x14ac:dyDescent="0.45">
      <c r="A132" t="s">
        <v>1834</v>
      </c>
      <c r="B132" t="s">
        <v>2089</v>
      </c>
      <c r="C132" t="s">
        <v>2090</v>
      </c>
      <c r="D132">
        <v>1</v>
      </c>
      <c r="E132">
        <v>2</v>
      </c>
      <c r="G132" t="s">
        <v>2089</v>
      </c>
      <c r="H132" t="s">
        <v>2090</v>
      </c>
      <c r="I132">
        <v>-1</v>
      </c>
    </row>
    <row r="133" spans="1:9" x14ac:dyDescent="0.45">
      <c r="A133" t="s">
        <v>1834</v>
      </c>
      <c r="B133" t="s">
        <v>2091</v>
      </c>
      <c r="C133" t="s">
        <v>2092</v>
      </c>
      <c r="D133">
        <v>1</v>
      </c>
      <c r="E133">
        <v>2</v>
      </c>
      <c r="G133" t="s">
        <v>2091</v>
      </c>
      <c r="H133" t="s">
        <v>2092</v>
      </c>
      <c r="I133">
        <v>-1</v>
      </c>
    </row>
    <row r="134" spans="1:9" x14ac:dyDescent="0.45">
      <c r="A134" t="s">
        <v>1834</v>
      </c>
      <c r="B134" t="s">
        <v>2093</v>
      </c>
      <c r="C134" t="s">
        <v>2094</v>
      </c>
      <c r="D134">
        <v>1</v>
      </c>
      <c r="E134">
        <v>2</v>
      </c>
      <c r="G134" t="s">
        <v>2093</v>
      </c>
      <c r="H134" t="s">
        <v>2094</v>
      </c>
      <c r="I134">
        <v>-1</v>
      </c>
    </row>
    <row r="135" spans="1:9" x14ac:dyDescent="0.45">
      <c r="A135" t="s">
        <v>1834</v>
      </c>
      <c r="B135" t="s">
        <v>2095</v>
      </c>
      <c r="C135" t="s">
        <v>2096</v>
      </c>
      <c r="D135">
        <v>1</v>
      </c>
      <c r="E135">
        <v>2</v>
      </c>
      <c r="G135" t="s">
        <v>2095</v>
      </c>
      <c r="H135" t="s">
        <v>2096</v>
      </c>
      <c r="I135">
        <v>-1</v>
      </c>
    </row>
    <row r="136" spans="1:9" x14ac:dyDescent="0.45">
      <c r="A136" t="s">
        <v>1834</v>
      </c>
      <c r="B136" t="s">
        <v>2097</v>
      </c>
      <c r="C136" t="s">
        <v>2098</v>
      </c>
      <c r="D136">
        <v>1</v>
      </c>
      <c r="E136">
        <v>2</v>
      </c>
      <c r="G136" t="s">
        <v>2097</v>
      </c>
      <c r="H136" t="s">
        <v>2098</v>
      </c>
      <c r="I136">
        <v>-1</v>
      </c>
    </row>
    <row r="137" spans="1:9" x14ac:dyDescent="0.45">
      <c r="A137" t="s">
        <v>1834</v>
      </c>
      <c r="B137" t="s">
        <v>2099</v>
      </c>
      <c r="C137" t="s">
        <v>2100</v>
      </c>
      <c r="D137">
        <v>1</v>
      </c>
      <c r="E137">
        <v>2</v>
      </c>
      <c r="G137" t="s">
        <v>2099</v>
      </c>
      <c r="H137" t="s">
        <v>2100</v>
      </c>
      <c r="I137">
        <v>-1</v>
      </c>
    </row>
    <row r="138" spans="1:9" x14ac:dyDescent="0.45">
      <c r="A138" t="s">
        <v>1834</v>
      </c>
      <c r="B138" t="s">
        <v>2101</v>
      </c>
      <c r="C138" t="s">
        <v>2102</v>
      </c>
      <c r="D138">
        <v>1</v>
      </c>
      <c r="E138">
        <v>2</v>
      </c>
      <c r="G138" t="s">
        <v>2101</v>
      </c>
      <c r="H138" t="s">
        <v>2102</v>
      </c>
      <c r="I138">
        <v>-1</v>
      </c>
    </row>
    <row r="139" spans="1:9" x14ac:dyDescent="0.45">
      <c r="A139" t="s">
        <v>1834</v>
      </c>
      <c r="B139" t="s">
        <v>2103</v>
      </c>
      <c r="C139" t="s">
        <v>2104</v>
      </c>
      <c r="D139">
        <v>1</v>
      </c>
      <c r="E139">
        <v>2</v>
      </c>
      <c r="G139" t="s">
        <v>2103</v>
      </c>
      <c r="H139" t="s">
        <v>2104</v>
      </c>
      <c r="I139">
        <v>-1</v>
      </c>
    </row>
    <row r="140" spans="1:9" x14ac:dyDescent="0.45">
      <c r="A140" t="s">
        <v>1834</v>
      </c>
      <c r="B140" t="s">
        <v>2105</v>
      </c>
      <c r="C140" t="s">
        <v>2106</v>
      </c>
      <c r="D140">
        <v>1</v>
      </c>
      <c r="E140">
        <v>2</v>
      </c>
      <c r="G140" t="s">
        <v>2105</v>
      </c>
      <c r="H140" t="s">
        <v>2106</v>
      </c>
      <c r="I140">
        <v>-1</v>
      </c>
    </row>
    <row r="141" spans="1:9" x14ac:dyDescent="0.45">
      <c r="A141" t="s">
        <v>1834</v>
      </c>
      <c r="B141" t="s">
        <v>2107</v>
      </c>
      <c r="C141" t="s">
        <v>2108</v>
      </c>
      <c r="D141">
        <v>1</v>
      </c>
      <c r="E141">
        <v>2</v>
      </c>
      <c r="G141" t="s">
        <v>2107</v>
      </c>
      <c r="H141" t="s">
        <v>2108</v>
      </c>
      <c r="I141">
        <v>-1</v>
      </c>
    </row>
    <row r="142" spans="1:9" x14ac:dyDescent="0.45">
      <c r="A142" t="s">
        <v>1834</v>
      </c>
      <c r="B142" t="s">
        <v>2109</v>
      </c>
      <c r="C142" t="s">
        <v>2110</v>
      </c>
      <c r="D142">
        <v>1</v>
      </c>
      <c r="E142">
        <v>2</v>
      </c>
      <c r="G142" t="s">
        <v>2109</v>
      </c>
      <c r="H142" t="s">
        <v>2110</v>
      </c>
      <c r="I142">
        <v>-1</v>
      </c>
    </row>
    <row r="143" spans="1:9" x14ac:dyDescent="0.45">
      <c r="A143" t="s">
        <v>1834</v>
      </c>
      <c r="B143" t="s">
        <v>2111</v>
      </c>
      <c r="C143" t="s">
        <v>2112</v>
      </c>
      <c r="D143">
        <v>1</v>
      </c>
      <c r="E143">
        <v>2</v>
      </c>
      <c r="G143" t="s">
        <v>2111</v>
      </c>
      <c r="H143" t="s">
        <v>2112</v>
      </c>
      <c r="I143">
        <v>-1</v>
      </c>
    </row>
    <row r="144" spans="1:9" x14ac:dyDescent="0.45">
      <c r="A144" t="s">
        <v>1834</v>
      </c>
      <c r="B144" t="s">
        <v>2113</v>
      </c>
      <c r="C144" t="s">
        <v>2114</v>
      </c>
      <c r="D144">
        <v>1</v>
      </c>
      <c r="E144">
        <v>2</v>
      </c>
      <c r="G144" t="s">
        <v>2113</v>
      </c>
      <c r="H144" t="s">
        <v>2114</v>
      </c>
      <c r="I144">
        <v>-1</v>
      </c>
    </row>
    <row r="145" spans="1:9" x14ac:dyDescent="0.45">
      <c r="A145" t="s">
        <v>1834</v>
      </c>
      <c r="B145" t="s">
        <v>2115</v>
      </c>
      <c r="C145" t="s">
        <v>2116</v>
      </c>
      <c r="D145">
        <v>1</v>
      </c>
      <c r="E145">
        <v>2</v>
      </c>
      <c r="G145" t="s">
        <v>2115</v>
      </c>
      <c r="H145" t="s">
        <v>2116</v>
      </c>
      <c r="I145">
        <v>-1</v>
      </c>
    </row>
    <row r="146" spans="1:9" x14ac:dyDescent="0.45">
      <c r="A146" t="s">
        <v>1834</v>
      </c>
      <c r="B146" t="s">
        <v>2117</v>
      </c>
      <c r="C146" t="s">
        <v>2118</v>
      </c>
      <c r="D146">
        <v>1</v>
      </c>
      <c r="E146">
        <v>2</v>
      </c>
      <c r="G146" t="s">
        <v>2117</v>
      </c>
      <c r="H146" t="s">
        <v>2118</v>
      </c>
      <c r="I146">
        <v>-1</v>
      </c>
    </row>
    <row r="147" spans="1:9" x14ac:dyDescent="0.45">
      <c r="A147" t="s">
        <v>1834</v>
      </c>
      <c r="B147" t="s">
        <v>2119</v>
      </c>
      <c r="C147" t="s">
        <v>2120</v>
      </c>
      <c r="D147">
        <v>1</v>
      </c>
      <c r="E147">
        <v>2</v>
      </c>
      <c r="G147" t="s">
        <v>2119</v>
      </c>
      <c r="H147" t="s">
        <v>2120</v>
      </c>
      <c r="I147">
        <v>-1</v>
      </c>
    </row>
    <row r="148" spans="1:9" x14ac:dyDescent="0.45">
      <c r="A148" t="s">
        <v>1834</v>
      </c>
      <c r="B148" t="s">
        <v>2121</v>
      </c>
      <c r="C148" t="s">
        <v>2122</v>
      </c>
      <c r="D148">
        <v>1</v>
      </c>
      <c r="E148">
        <v>2</v>
      </c>
      <c r="G148" t="s">
        <v>2121</v>
      </c>
      <c r="H148" t="s">
        <v>2122</v>
      </c>
      <c r="I148">
        <v>-1</v>
      </c>
    </row>
    <row r="149" spans="1:9" x14ac:dyDescent="0.45">
      <c r="A149" t="s">
        <v>1834</v>
      </c>
      <c r="B149" t="s">
        <v>2123</v>
      </c>
      <c r="C149" t="s">
        <v>2124</v>
      </c>
      <c r="D149">
        <v>1</v>
      </c>
      <c r="E149">
        <v>2</v>
      </c>
      <c r="G149" t="s">
        <v>2123</v>
      </c>
      <c r="H149" t="s">
        <v>2124</v>
      </c>
      <c r="I149">
        <v>-1</v>
      </c>
    </row>
    <row r="150" spans="1:9" x14ac:dyDescent="0.45">
      <c r="A150" t="s">
        <v>1834</v>
      </c>
      <c r="B150" t="s">
        <v>2125</v>
      </c>
      <c r="C150" t="s">
        <v>2126</v>
      </c>
      <c r="D150">
        <v>1</v>
      </c>
      <c r="E150">
        <v>2</v>
      </c>
      <c r="G150" t="s">
        <v>2125</v>
      </c>
      <c r="H150" t="s">
        <v>2126</v>
      </c>
      <c r="I150">
        <v>-1</v>
      </c>
    </row>
    <row r="151" spans="1:9" x14ac:dyDescent="0.45">
      <c r="A151" t="s">
        <v>1834</v>
      </c>
      <c r="B151" t="s">
        <v>2127</v>
      </c>
      <c r="C151" t="s">
        <v>2128</v>
      </c>
      <c r="D151">
        <v>1</v>
      </c>
      <c r="E151">
        <v>2</v>
      </c>
      <c r="G151" t="s">
        <v>2127</v>
      </c>
      <c r="H151" t="s">
        <v>2128</v>
      </c>
      <c r="I151">
        <v>-1</v>
      </c>
    </row>
    <row r="152" spans="1:9" x14ac:dyDescent="0.45">
      <c r="A152" t="s">
        <v>1834</v>
      </c>
      <c r="B152" t="s">
        <v>2129</v>
      </c>
      <c r="C152" t="s">
        <v>2130</v>
      </c>
      <c r="D152">
        <v>1</v>
      </c>
      <c r="E152">
        <v>2</v>
      </c>
      <c r="G152" t="s">
        <v>2129</v>
      </c>
      <c r="H152" t="s">
        <v>2130</v>
      </c>
      <c r="I152">
        <v>-1</v>
      </c>
    </row>
    <row r="153" spans="1:9" x14ac:dyDescent="0.45">
      <c r="A153" t="s">
        <v>1834</v>
      </c>
      <c r="B153" t="s">
        <v>2131</v>
      </c>
      <c r="C153" t="s">
        <v>2132</v>
      </c>
      <c r="D153">
        <v>1</v>
      </c>
      <c r="E153">
        <v>2</v>
      </c>
      <c r="G153" t="s">
        <v>2131</v>
      </c>
      <c r="H153" t="s">
        <v>2132</v>
      </c>
      <c r="I153">
        <v>-1</v>
      </c>
    </row>
    <row r="154" spans="1:9" x14ac:dyDescent="0.45">
      <c r="A154" t="s">
        <v>1834</v>
      </c>
      <c r="B154" t="s">
        <v>2133</v>
      </c>
      <c r="C154" t="s">
        <v>2134</v>
      </c>
      <c r="D154">
        <v>1</v>
      </c>
      <c r="E154">
        <v>2</v>
      </c>
      <c r="G154" t="s">
        <v>2133</v>
      </c>
      <c r="H154" t="s">
        <v>2134</v>
      </c>
      <c r="I154">
        <v>-1</v>
      </c>
    </row>
    <row r="155" spans="1:9" x14ac:dyDescent="0.45">
      <c r="A155" t="s">
        <v>1834</v>
      </c>
      <c r="B155" t="s">
        <v>2135</v>
      </c>
      <c r="C155" t="s">
        <v>2136</v>
      </c>
      <c r="D155">
        <v>1</v>
      </c>
      <c r="E155">
        <v>2</v>
      </c>
      <c r="G155" t="s">
        <v>2135</v>
      </c>
      <c r="H155" t="s">
        <v>2136</v>
      </c>
      <c r="I155">
        <v>-1</v>
      </c>
    </row>
    <row r="156" spans="1:9" x14ac:dyDescent="0.45">
      <c r="A156" t="s">
        <v>1834</v>
      </c>
      <c r="B156" t="s">
        <v>2137</v>
      </c>
      <c r="C156" t="s">
        <v>2138</v>
      </c>
      <c r="D156">
        <v>1</v>
      </c>
      <c r="E156">
        <v>2</v>
      </c>
      <c r="G156" t="s">
        <v>2137</v>
      </c>
      <c r="H156" t="s">
        <v>2138</v>
      </c>
      <c r="I156">
        <v>-1</v>
      </c>
    </row>
    <row r="157" spans="1:9" x14ac:dyDescent="0.45">
      <c r="A157" t="s">
        <v>1834</v>
      </c>
      <c r="B157" t="s">
        <v>2139</v>
      </c>
      <c r="C157" t="s">
        <v>2140</v>
      </c>
      <c r="D157">
        <v>1</v>
      </c>
      <c r="E157">
        <v>2</v>
      </c>
      <c r="G157" t="s">
        <v>2139</v>
      </c>
      <c r="H157" t="s">
        <v>2140</v>
      </c>
      <c r="I157">
        <v>-1</v>
      </c>
    </row>
    <row r="158" spans="1:9" x14ac:dyDescent="0.45">
      <c r="A158" t="s">
        <v>1834</v>
      </c>
      <c r="B158" t="s">
        <v>2141</v>
      </c>
      <c r="C158" t="s">
        <v>2142</v>
      </c>
      <c r="D158">
        <v>1</v>
      </c>
      <c r="E158">
        <v>2</v>
      </c>
      <c r="G158" t="s">
        <v>2141</v>
      </c>
      <c r="H158" t="s">
        <v>2142</v>
      </c>
      <c r="I158">
        <v>-1</v>
      </c>
    </row>
    <row r="159" spans="1:9" x14ac:dyDescent="0.45">
      <c r="A159" t="s">
        <v>1834</v>
      </c>
      <c r="B159" t="s">
        <v>2143</v>
      </c>
      <c r="C159" t="s">
        <v>2144</v>
      </c>
      <c r="D159">
        <v>1</v>
      </c>
      <c r="E159">
        <v>2</v>
      </c>
      <c r="G159" t="s">
        <v>2143</v>
      </c>
      <c r="H159" t="s">
        <v>2144</v>
      </c>
      <c r="I159">
        <v>-1</v>
      </c>
    </row>
    <row r="160" spans="1:9" x14ac:dyDescent="0.45">
      <c r="A160" t="s">
        <v>1834</v>
      </c>
      <c r="B160" t="s">
        <v>2145</v>
      </c>
      <c r="C160" t="s">
        <v>2146</v>
      </c>
      <c r="D160">
        <v>1</v>
      </c>
      <c r="E160">
        <v>2</v>
      </c>
      <c r="G160" t="s">
        <v>2145</v>
      </c>
      <c r="H160" t="s">
        <v>2146</v>
      </c>
      <c r="I160">
        <v>-1</v>
      </c>
    </row>
    <row r="161" spans="1:9" x14ac:dyDescent="0.45">
      <c r="A161" t="s">
        <v>1834</v>
      </c>
      <c r="B161" t="s">
        <v>2147</v>
      </c>
      <c r="C161" t="s">
        <v>2148</v>
      </c>
      <c r="D161">
        <v>1</v>
      </c>
      <c r="E161">
        <v>2</v>
      </c>
      <c r="G161" t="s">
        <v>2147</v>
      </c>
      <c r="H161" t="s">
        <v>2148</v>
      </c>
      <c r="I161">
        <v>-1</v>
      </c>
    </row>
    <row r="162" spans="1:9" x14ac:dyDescent="0.45">
      <c r="A162" t="s">
        <v>1834</v>
      </c>
      <c r="B162" t="s">
        <v>2149</v>
      </c>
      <c r="C162" t="s">
        <v>2150</v>
      </c>
      <c r="D162">
        <v>1</v>
      </c>
      <c r="E162">
        <v>2</v>
      </c>
      <c r="G162" t="s">
        <v>2149</v>
      </c>
      <c r="H162" t="s">
        <v>2150</v>
      </c>
      <c r="I162">
        <v>-1</v>
      </c>
    </row>
    <row r="163" spans="1:9" x14ac:dyDescent="0.45">
      <c r="A163" t="s">
        <v>1834</v>
      </c>
      <c r="B163" t="s">
        <v>2151</v>
      </c>
      <c r="C163" t="s">
        <v>2152</v>
      </c>
      <c r="D163">
        <v>1</v>
      </c>
      <c r="E163">
        <v>2</v>
      </c>
      <c r="G163" t="s">
        <v>2151</v>
      </c>
      <c r="H163" t="s">
        <v>2152</v>
      </c>
      <c r="I163">
        <v>-1</v>
      </c>
    </row>
    <row r="164" spans="1:9" x14ac:dyDescent="0.45">
      <c r="A164" t="s">
        <v>1834</v>
      </c>
      <c r="B164" t="s">
        <v>2153</v>
      </c>
      <c r="C164" t="s">
        <v>2154</v>
      </c>
      <c r="D164">
        <v>1</v>
      </c>
      <c r="E164">
        <v>2</v>
      </c>
      <c r="G164" t="s">
        <v>2153</v>
      </c>
      <c r="H164" t="s">
        <v>2154</v>
      </c>
      <c r="I164">
        <v>-1</v>
      </c>
    </row>
    <row r="165" spans="1:9" x14ac:dyDescent="0.45">
      <c r="A165" t="s">
        <v>1834</v>
      </c>
      <c r="B165" t="s">
        <v>2155</v>
      </c>
      <c r="C165" t="s">
        <v>2156</v>
      </c>
      <c r="D165">
        <v>1</v>
      </c>
      <c r="E165">
        <v>2</v>
      </c>
      <c r="G165" t="s">
        <v>2155</v>
      </c>
      <c r="H165" t="s">
        <v>2156</v>
      </c>
      <c r="I165">
        <v>-1</v>
      </c>
    </row>
    <row r="166" spans="1:9" x14ac:dyDescent="0.45">
      <c r="A166" t="s">
        <v>1834</v>
      </c>
      <c r="B166" t="s">
        <v>2157</v>
      </c>
      <c r="C166" t="s">
        <v>2158</v>
      </c>
      <c r="D166">
        <v>1</v>
      </c>
      <c r="E166">
        <v>2</v>
      </c>
      <c r="G166" t="s">
        <v>2157</v>
      </c>
      <c r="H166" t="s">
        <v>2158</v>
      </c>
      <c r="I166">
        <v>-1</v>
      </c>
    </row>
    <row r="167" spans="1:9" x14ac:dyDescent="0.45">
      <c r="A167" t="s">
        <v>1834</v>
      </c>
      <c r="B167" t="s">
        <v>2159</v>
      </c>
      <c r="C167" t="s">
        <v>2160</v>
      </c>
      <c r="D167">
        <v>1</v>
      </c>
      <c r="E167">
        <v>2</v>
      </c>
      <c r="G167" t="s">
        <v>2159</v>
      </c>
      <c r="H167" t="s">
        <v>2160</v>
      </c>
      <c r="I167">
        <v>-1</v>
      </c>
    </row>
    <row r="168" spans="1:9" x14ac:dyDescent="0.45">
      <c r="A168" t="s">
        <v>1834</v>
      </c>
      <c r="B168" t="s">
        <v>2161</v>
      </c>
      <c r="C168" t="s">
        <v>2162</v>
      </c>
      <c r="D168">
        <v>1</v>
      </c>
      <c r="E168">
        <v>2</v>
      </c>
      <c r="G168" t="s">
        <v>2161</v>
      </c>
      <c r="H168" t="s">
        <v>2162</v>
      </c>
      <c r="I168">
        <v>-1</v>
      </c>
    </row>
    <row r="169" spans="1:9" x14ac:dyDescent="0.45">
      <c r="A169" t="s">
        <v>1834</v>
      </c>
      <c r="B169" t="s">
        <v>2163</v>
      </c>
      <c r="C169" t="s">
        <v>2164</v>
      </c>
      <c r="D169">
        <v>1</v>
      </c>
      <c r="E169">
        <v>2</v>
      </c>
      <c r="G169" t="s">
        <v>2163</v>
      </c>
      <c r="H169" t="s">
        <v>2164</v>
      </c>
      <c r="I169">
        <v>-1</v>
      </c>
    </row>
    <row r="170" spans="1:9" x14ac:dyDescent="0.45">
      <c r="A170" t="s">
        <v>1834</v>
      </c>
      <c r="B170" t="s">
        <v>2165</v>
      </c>
      <c r="C170" t="s">
        <v>2166</v>
      </c>
      <c r="D170">
        <v>1</v>
      </c>
      <c r="E170">
        <v>2</v>
      </c>
      <c r="G170" t="s">
        <v>2165</v>
      </c>
      <c r="H170" t="s">
        <v>2166</v>
      </c>
      <c r="I170">
        <v>-1</v>
      </c>
    </row>
    <row r="171" spans="1:9" x14ac:dyDescent="0.45">
      <c r="A171" t="s">
        <v>1834</v>
      </c>
      <c r="B171" t="s">
        <v>2167</v>
      </c>
      <c r="C171" t="s">
        <v>2168</v>
      </c>
      <c r="D171">
        <v>1</v>
      </c>
      <c r="E171">
        <v>2</v>
      </c>
      <c r="G171" t="s">
        <v>2167</v>
      </c>
      <c r="H171" t="s">
        <v>2168</v>
      </c>
      <c r="I171">
        <v>-1</v>
      </c>
    </row>
    <row r="172" spans="1:9" x14ac:dyDescent="0.45">
      <c r="A172" t="s">
        <v>1834</v>
      </c>
      <c r="B172" t="s">
        <v>2169</v>
      </c>
      <c r="C172" t="s">
        <v>2170</v>
      </c>
      <c r="D172">
        <v>1</v>
      </c>
      <c r="E172">
        <v>2</v>
      </c>
      <c r="G172" t="s">
        <v>2169</v>
      </c>
      <c r="H172" t="s">
        <v>2170</v>
      </c>
      <c r="I172">
        <v>-1</v>
      </c>
    </row>
    <row r="173" spans="1:9" x14ac:dyDescent="0.45">
      <c r="A173" t="s">
        <v>1834</v>
      </c>
      <c r="B173" t="s">
        <v>2171</v>
      </c>
      <c r="C173" t="s">
        <v>2172</v>
      </c>
      <c r="D173">
        <v>1</v>
      </c>
      <c r="E173">
        <v>2</v>
      </c>
      <c r="G173" t="s">
        <v>2171</v>
      </c>
      <c r="H173" t="s">
        <v>2172</v>
      </c>
      <c r="I173">
        <v>-1</v>
      </c>
    </row>
    <row r="174" spans="1:9" x14ac:dyDescent="0.45">
      <c r="A174" t="s">
        <v>1834</v>
      </c>
      <c r="B174" t="s">
        <v>2173</v>
      </c>
      <c r="C174" t="s">
        <v>2174</v>
      </c>
      <c r="D174">
        <v>1</v>
      </c>
      <c r="E174">
        <v>2</v>
      </c>
      <c r="G174" t="s">
        <v>2173</v>
      </c>
      <c r="H174" t="s">
        <v>2174</v>
      </c>
      <c r="I174">
        <v>-1</v>
      </c>
    </row>
    <row r="175" spans="1:9" x14ac:dyDescent="0.45">
      <c r="A175" t="s">
        <v>1834</v>
      </c>
      <c r="B175" t="s">
        <v>2175</v>
      </c>
      <c r="C175" t="s">
        <v>2176</v>
      </c>
      <c r="D175">
        <v>1</v>
      </c>
      <c r="E175">
        <v>2</v>
      </c>
      <c r="G175" t="s">
        <v>2175</v>
      </c>
      <c r="H175" t="s">
        <v>2176</v>
      </c>
      <c r="I175">
        <v>-1</v>
      </c>
    </row>
    <row r="176" spans="1:9" x14ac:dyDescent="0.45">
      <c r="A176" t="s">
        <v>1834</v>
      </c>
      <c r="B176" t="s">
        <v>2177</v>
      </c>
      <c r="C176" t="s">
        <v>2178</v>
      </c>
      <c r="D176">
        <v>1</v>
      </c>
      <c r="E176">
        <v>2</v>
      </c>
      <c r="G176" t="s">
        <v>2177</v>
      </c>
      <c r="H176" t="s">
        <v>2178</v>
      </c>
      <c r="I176">
        <v>-1</v>
      </c>
    </row>
    <row r="177" spans="1:9" x14ac:dyDescent="0.45">
      <c r="A177" t="s">
        <v>1834</v>
      </c>
      <c r="B177" t="s">
        <v>2179</v>
      </c>
      <c r="C177" t="s">
        <v>2180</v>
      </c>
      <c r="D177">
        <v>1</v>
      </c>
      <c r="E177">
        <v>2</v>
      </c>
      <c r="G177" t="s">
        <v>2179</v>
      </c>
      <c r="H177" t="s">
        <v>2180</v>
      </c>
      <c r="I177">
        <v>-1</v>
      </c>
    </row>
    <row r="178" spans="1:9" x14ac:dyDescent="0.45">
      <c r="A178" t="s">
        <v>1834</v>
      </c>
      <c r="B178" t="s">
        <v>2181</v>
      </c>
      <c r="C178" t="s">
        <v>2182</v>
      </c>
      <c r="D178">
        <v>1</v>
      </c>
      <c r="E178">
        <v>2</v>
      </c>
      <c r="G178" t="s">
        <v>2181</v>
      </c>
      <c r="H178" t="s">
        <v>2182</v>
      </c>
      <c r="I178">
        <v>-1</v>
      </c>
    </row>
    <row r="179" spans="1:9" x14ac:dyDescent="0.45">
      <c r="A179" t="s">
        <v>1834</v>
      </c>
      <c r="B179" t="s">
        <v>2183</v>
      </c>
      <c r="C179" t="s">
        <v>2184</v>
      </c>
      <c r="D179">
        <v>1</v>
      </c>
      <c r="E179">
        <v>2</v>
      </c>
      <c r="G179" t="s">
        <v>2183</v>
      </c>
      <c r="H179" t="s">
        <v>2184</v>
      </c>
      <c r="I179">
        <v>-1</v>
      </c>
    </row>
    <row r="180" spans="1:9" x14ac:dyDescent="0.45">
      <c r="A180" t="s">
        <v>1834</v>
      </c>
      <c r="B180" t="s">
        <v>2185</v>
      </c>
      <c r="C180" t="s">
        <v>2186</v>
      </c>
      <c r="D180">
        <v>1</v>
      </c>
      <c r="E180">
        <v>2</v>
      </c>
      <c r="G180" t="s">
        <v>2185</v>
      </c>
      <c r="H180" t="s">
        <v>2186</v>
      </c>
      <c r="I180">
        <v>-1</v>
      </c>
    </row>
    <row r="181" spans="1:9" x14ac:dyDescent="0.45">
      <c r="A181" t="s">
        <v>1834</v>
      </c>
      <c r="B181" t="s">
        <v>2187</v>
      </c>
      <c r="C181" t="s">
        <v>2188</v>
      </c>
      <c r="D181">
        <v>1</v>
      </c>
      <c r="E181">
        <v>2</v>
      </c>
      <c r="G181" t="s">
        <v>2187</v>
      </c>
      <c r="H181" t="s">
        <v>2188</v>
      </c>
      <c r="I181">
        <v>-1</v>
      </c>
    </row>
    <row r="182" spans="1:9" x14ac:dyDescent="0.45">
      <c r="A182" t="s">
        <v>1834</v>
      </c>
      <c r="B182" t="s">
        <v>2189</v>
      </c>
      <c r="C182" t="s">
        <v>2190</v>
      </c>
      <c r="D182">
        <v>1</v>
      </c>
      <c r="E182">
        <v>2</v>
      </c>
      <c r="G182" t="s">
        <v>2189</v>
      </c>
      <c r="H182" t="s">
        <v>2190</v>
      </c>
      <c r="I182">
        <v>-1</v>
      </c>
    </row>
    <row r="183" spans="1:9" x14ac:dyDescent="0.45">
      <c r="A183" t="s">
        <v>1834</v>
      </c>
      <c r="B183" t="s">
        <v>2191</v>
      </c>
      <c r="C183" t="s">
        <v>2192</v>
      </c>
      <c r="D183">
        <v>1</v>
      </c>
      <c r="E183">
        <v>2</v>
      </c>
      <c r="G183" t="s">
        <v>2191</v>
      </c>
      <c r="H183" t="s">
        <v>2192</v>
      </c>
      <c r="I183">
        <v>-1</v>
      </c>
    </row>
    <row r="184" spans="1:9" x14ac:dyDescent="0.45">
      <c r="A184" t="s">
        <v>1834</v>
      </c>
      <c r="B184" t="s">
        <v>2193</v>
      </c>
      <c r="C184" t="s">
        <v>2194</v>
      </c>
      <c r="D184">
        <v>1</v>
      </c>
      <c r="E184">
        <v>2</v>
      </c>
      <c r="G184" t="s">
        <v>2193</v>
      </c>
      <c r="H184" t="s">
        <v>2194</v>
      </c>
      <c r="I184">
        <v>-1</v>
      </c>
    </row>
    <row r="185" spans="1:9" x14ac:dyDescent="0.45">
      <c r="A185" t="s">
        <v>1834</v>
      </c>
      <c r="B185" t="s">
        <v>2195</v>
      </c>
      <c r="C185" t="s">
        <v>2196</v>
      </c>
      <c r="D185">
        <v>1</v>
      </c>
      <c r="E185">
        <v>2</v>
      </c>
      <c r="G185" t="s">
        <v>2195</v>
      </c>
      <c r="H185" t="s">
        <v>2196</v>
      </c>
      <c r="I185">
        <v>-1</v>
      </c>
    </row>
    <row r="186" spans="1:9" x14ac:dyDescent="0.45">
      <c r="A186" t="s">
        <v>1834</v>
      </c>
      <c r="B186" t="s">
        <v>2197</v>
      </c>
      <c r="C186" t="s">
        <v>2198</v>
      </c>
      <c r="D186">
        <v>1</v>
      </c>
      <c r="E186">
        <v>2</v>
      </c>
      <c r="G186" t="s">
        <v>2197</v>
      </c>
      <c r="H186" t="s">
        <v>2198</v>
      </c>
      <c r="I186">
        <v>-1</v>
      </c>
    </row>
    <row r="187" spans="1:9" x14ac:dyDescent="0.45">
      <c r="A187" t="s">
        <v>1834</v>
      </c>
      <c r="B187" t="s">
        <v>2199</v>
      </c>
      <c r="C187" t="s">
        <v>2200</v>
      </c>
      <c r="D187">
        <v>1</v>
      </c>
      <c r="E187">
        <v>2</v>
      </c>
      <c r="G187" t="s">
        <v>2199</v>
      </c>
      <c r="H187" t="s">
        <v>2200</v>
      </c>
      <c r="I187">
        <v>-1</v>
      </c>
    </row>
    <row r="188" spans="1:9" x14ac:dyDescent="0.45">
      <c r="A188" t="s">
        <v>1834</v>
      </c>
      <c r="B188" t="s">
        <v>2201</v>
      </c>
      <c r="C188" t="s">
        <v>2202</v>
      </c>
      <c r="D188">
        <v>1</v>
      </c>
      <c r="E188">
        <v>2</v>
      </c>
      <c r="G188" t="s">
        <v>2201</v>
      </c>
      <c r="H188" t="s">
        <v>2202</v>
      </c>
      <c r="I188">
        <v>-1</v>
      </c>
    </row>
    <row r="189" spans="1:9" x14ac:dyDescent="0.45">
      <c r="A189" t="s">
        <v>1834</v>
      </c>
      <c r="B189" t="s">
        <v>2203</v>
      </c>
      <c r="C189" t="s">
        <v>2204</v>
      </c>
      <c r="D189">
        <v>1</v>
      </c>
      <c r="E189">
        <v>2</v>
      </c>
      <c r="G189" t="s">
        <v>2203</v>
      </c>
      <c r="H189" t="s">
        <v>2204</v>
      </c>
      <c r="I189">
        <v>-1</v>
      </c>
    </row>
    <row r="190" spans="1:9" x14ac:dyDescent="0.45">
      <c r="A190" t="s">
        <v>1834</v>
      </c>
      <c r="B190" t="s">
        <v>2205</v>
      </c>
      <c r="C190" t="s">
        <v>2206</v>
      </c>
      <c r="D190">
        <v>1</v>
      </c>
      <c r="E190">
        <v>2</v>
      </c>
      <c r="G190" t="s">
        <v>2205</v>
      </c>
      <c r="H190" t="s">
        <v>2206</v>
      </c>
      <c r="I190">
        <v>-1</v>
      </c>
    </row>
    <row r="191" spans="1:9" x14ac:dyDescent="0.45">
      <c r="A191" t="s">
        <v>1834</v>
      </c>
      <c r="B191" t="s">
        <v>2207</v>
      </c>
      <c r="C191" t="s">
        <v>2208</v>
      </c>
      <c r="D191">
        <v>1</v>
      </c>
      <c r="E191">
        <v>2</v>
      </c>
      <c r="G191" t="s">
        <v>2207</v>
      </c>
      <c r="H191" t="s">
        <v>2208</v>
      </c>
      <c r="I191">
        <v>-1</v>
      </c>
    </row>
    <row r="192" spans="1:9" x14ac:dyDescent="0.45">
      <c r="A192" t="s">
        <v>1834</v>
      </c>
      <c r="B192" t="s">
        <v>2209</v>
      </c>
      <c r="C192" t="s">
        <v>2210</v>
      </c>
      <c r="D192">
        <v>1</v>
      </c>
      <c r="E192">
        <v>2</v>
      </c>
      <c r="G192" t="s">
        <v>2209</v>
      </c>
      <c r="H192" t="s">
        <v>2210</v>
      </c>
      <c r="I192">
        <v>-1</v>
      </c>
    </row>
    <row r="193" spans="1:9" x14ac:dyDescent="0.45">
      <c r="A193" t="s">
        <v>1834</v>
      </c>
      <c r="B193" t="s">
        <v>2211</v>
      </c>
      <c r="C193" t="s">
        <v>2212</v>
      </c>
      <c r="D193">
        <v>1</v>
      </c>
      <c r="E193">
        <v>2</v>
      </c>
      <c r="G193" t="s">
        <v>2211</v>
      </c>
      <c r="H193" t="s">
        <v>2212</v>
      </c>
      <c r="I193">
        <v>-1</v>
      </c>
    </row>
    <row r="194" spans="1:9" x14ac:dyDescent="0.45">
      <c r="A194" t="s">
        <v>1834</v>
      </c>
      <c r="B194" t="s">
        <v>2213</v>
      </c>
      <c r="C194" t="s">
        <v>2214</v>
      </c>
      <c r="D194">
        <v>1</v>
      </c>
      <c r="E194">
        <v>2</v>
      </c>
      <c r="G194" t="s">
        <v>2213</v>
      </c>
      <c r="H194" t="s">
        <v>2214</v>
      </c>
      <c r="I194">
        <v>-1</v>
      </c>
    </row>
    <row r="195" spans="1:9" x14ac:dyDescent="0.45">
      <c r="A195" t="s">
        <v>1834</v>
      </c>
      <c r="B195" t="s">
        <v>2215</v>
      </c>
      <c r="C195" t="s">
        <v>2216</v>
      </c>
      <c r="D195">
        <v>1</v>
      </c>
      <c r="E195">
        <v>2</v>
      </c>
      <c r="G195" t="s">
        <v>2215</v>
      </c>
      <c r="H195" t="s">
        <v>2216</v>
      </c>
      <c r="I195">
        <v>-1</v>
      </c>
    </row>
    <row r="196" spans="1:9" x14ac:dyDescent="0.45">
      <c r="A196" t="s">
        <v>1834</v>
      </c>
      <c r="B196" t="s">
        <v>2217</v>
      </c>
      <c r="C196" t="s">
        <v>2218</v>
      </c>
      <c r="D196">
        <v>1</v>
      </c>
      <c r="E196">
        <v>2</v>
      </c>
      <c r="G196" t="s">
        <v>2217</v>
      </c>
      <c r="H196" t="s">
        <v>2218</v>
      </c>
      <c r="I196">
        <v>-1</v>
      </c>
    </row>
    <row r="197" spans="1:9" x14ac:dyDescent="0.45">
      <c r="A197" t="s">
        <v>1834</v>
      </c>
      <c r="B197" t="s">
        <v>2219</v>
      </c>
      <c r="C197" t="s">
        <v>2220</v>
      </c>
      <c r="D197">
        <v>1</v>
      </c>
      <c r="E197">
        <v>2</v>
      </c>
      <c r="G197" t="s">
        <v>2219</v>
      </c>
      <c r="H197" t="s">
        <v>2220</v>
      </c>
      <c r="I197">
        <v>-1</v>
      </c>
    </row>
    <row r="198" spans="1:9" x14ac:dyDescent="0.45">
      <c r="A198" t="s">
        <v>1834</v>
      </c>
      <c r="B198" t="s">
        <v>2221</v>
      </c>
      <c r="C198" t="s">
        <v>2222</v>
      </c>
      <c r="D198">
        <v>1</v>
      </c>
      <c r="E198">
        <v>2</v>
      </c>
      <c r="G198" t="s">
        <v>2221</v>
      </c>
      <c r="H198" t="s">
        <v>2222</v>
      </c>
      <c r="I198">
        <v>-1</v>
      </c>
    </row>
    <row r="199" spans="1:9" x14ac:dyDescent="0.45">
      <c r="A199" t="s">
        <v>1834</v>
      </c>
      <c r="B199" t="s">
        <v>2223</v>
      </c>
      <c r="C199" t="s">
        <v>2224</v>
      </c>
      <c r="D199">
        <v>1</v>
      </c>
      <c r="E199">
        <v>2</v>
      </c>
      <c r="G199" t="s">
        <v>2223</v>
      </c>
      <c r="H199" t="s">
        <v>2224</v>
      </c>
      <c r="I199">
        <v>-1</v>
      </c>
    </row>
    <row r="200" spans="1:9" x14ac:dyDescent="0.45">
      <c r="A200" t="s">
        <v>1834</v>
      </c>
      <c r="B200" t="s">
        <v>2225</v>
      </c>
      <c r="C200" t="s">
        <v>2226</v>
      </c>
      <c r="D200">
        <v>1</v>
      </c>
      <c r="E200">
        <v>2</v>
      </c>
      <c r="G200" t="s">
        <v>2225</v>
      </c>
      <c r="H200" t="s">
        <v>2226</v>
      </c>
      <c r="I200">
        <v>-1</v>
      </c>
    </row>
    <row r="201" spans="1:9" x14ac:dyDescent="0.45">
      <c r="A201" t="s">
        <v>1834</v>
      </c>
      <c r="B201" t="s">
        <v>2227</v>
      </c>
      <c r="C201" t="s">
        <v>2228</v>
      </c>
      <c r="D201">
        <v>1</v>
      </c>
      <c r="E201">
        <v>2</v>
      </c>
      <c r="G201" t="s">
        <v>2227</v>
      </c>
      <c r="H201" t="s">
        <v>2228</v>
      </c>
      <c r="I201">
        <v>-1</v>
      </c>
    </row>
    <row r="202" spans="1:9" x14ac:dyDescent="0.45">
      <c r="A202" t="s">
        <v>1834</v>
      </c>
      <c r="B202" t="s">
        <v>2229</v>
      </c>
      <c r="C202" t="s">
        <v>2230</v>
      </c>
      <c r="D202">
        <v>1</v>
      </c>
      <c r="E202">
        <v>2</v>
      </c>
      <c r="G202" t="s">
        <v>2229</v>
      </c>
      <c r="H202" t="s">
        <v>2230</v>
      </c>
      <c r="I202">
        <v>-1</v>
      </c>
    </row>
    <row r="203" spans="1:9" x14ac:dyDescent="0.45">
      <c r="A203" t="s">
        <v>1834</v>
      </c>
      <c r="B203" t="s">
        <v>2231</v>
      </c>
      <c r="C203" t="s">
        <v>2232</v>
      </c>
      <c r="D203">
        <v>1</v>
      </c>
      <c r="E203">
        <v>2</v>
      </c>
      <c r="G203" t="s">
        <v>2231</v>
      </c>
      <c r="H203" t="s">
        <v>2232</v>
      </c>
      <c r="I203">
        <v>-1</v>
      </c>
    </row>
    <row r="204" spans="1:9" x14ac:dyDescent="0.45">
      <c r="A204" t="s">
        <v>1834</v>
      </c>
      <c r="B204" t="s">
        <v>2233</v>
      </c>
      <c r="C204" t="s">
        <v>2234</v>
      </c>
      <c r="D204">
        <v>1</v>
      </c>
      <c r="E204">
        <v>2</v>
      </c>
      <c r="G204" t="s">
        <v>2233</v>
      </c>
      <c r="H204" t="s">
        <v>2234</v>
      </c>
      <c r="I204">
        <v>-1</v>
      </c>
    </row>
    <row r="205" spans="1:9" x14ac:dyDescent="0.45">
      <c r="A205" t="s">
        <v>1834</v>
      </c>
      <c r="B205" t="s">
        <v>2235</v>
      </c>
      <c r="C205" t="s">
        <v>2236</v>
      </c>
      <c r="D205">
        <v>1</v>
      </c>
      <c r="E205">
        <v>2</v>
      </c>
      <c r="G205" t="s">
        <v>2235</v>
      </c>
      <c r="H205" t="s">
        <v>2236</v>
      </c>
      <c r="I205">
        <v>-1</v>
      </c>
    </row>
    <row r="206" spans="1:9" x14ac:dyDescent="0.45">
      <c r="A206" t="s">
        <v>1834</v>
      </c>
      <c r="B206" t="s">
        <v>2237</v>
      </c>
      <c r="C206" t="s">
        <v>2238</v>
      </c>
      <c r="D206">
        <v>1</v>
      </c>
      <c r="E206">
        <v>2</v>
      </c>
      <c r="G206" t="s">
        <v>2237</v>
      </c>
      <c r="H206" t="s">
        <v>2238</v>
      </c>
      <c r="I206">
        <v>-1</v>
      </c>
    </row>
    <row r="207" spans="1:9" x14ac:dyDescent="0.45">
      <c r="A207" t="s">
        <v>1834</v>
      </c>
      <c r="B207" t="s">
        <v>2239</v>
      </c>
      <c r="C207" t="s">
        <v>2240</v>
      </c>
      <c r="D207">
        <v>1</v>
      </c>
      <c r="E207">
        <v>2</v>
      </c>
      <c r="G207" t="s">
        <v>2239</v>
      </c>
      <c r="H207" t="s">
        <v>2240</v>
      </c>
      <c r="I207">
        <v>-1</v>
      </c>
    </row>
    <row r="208" spans="1:9" x14ac:dyDescent="0.45">
      <c r="A208" t="s">
        <v>1834</v>
      </c>
      <c r="B208" t="s">
        <v>2241</v>
      </c>
      <c r="C208" t="s">
        <v>2242</v>
      </c>
      <c r="D208">
        <v>1</v>
      </c>
      <c r="E208">
        <v>2</v>
      </c>
      <c r="G208" t="s">
        <v>2241</v>
      </c>
      <c r="H208" t="s">
        <v>2242</v>
      </c>
      <c r="I208">
        <v>-1</v>
      </c>
    </row>
    <row r="209" spans="1:9" x14ac:dyDescent="0.45">
      <c r="A209" t="s">
        <v>1834</v>
      </c>
      <c r="B209" t="s">
        <v>2243</v>
      </c>
      <c r="C209" t="s">
        <v>2244</v>
      </c>
      <c r="D209">
        <v>1</v>
      </c>
      <c r="E209">
        <v>2</v>
      </c>
      <c r="G209" t="s">
        <v>2243</v>
      </c>
      <c r="H209" t="s">
        <v>2244</v>
      </c>
      <c r="I209">
        <v>-1</v>
      </c>
    </row>
    <row r="210" spans="1:9" x14ac:dyDescent="0.45">
      <c r="A210" t="s">
        <v>1834</v>
      </c>
      <c r="B210" t="s">
        <v>2245</v>
      </c>
      <c r="C210" t="s">
        <v>2246</v>
      </c>
      <c r="D210">
        <v>1</v>
      </c>
      <c r="E210">
        <v>2</v>
      </c>
      <c r="G210" t="s">
        <v>2245</v>
      </c>
      <c r="H210" t="s">
        <v>2246</v>
      </c>
      <c r="I210">
        <v>-1</v>
      </c>
    </row>
    <row r="211" spans="1:9" x14ac:dyDescent="0.45">
      <c r="A211" t="s">
        <v>1834</v>
      </c>
      <c r="B211" t="s">
        <v>2247</v>
      </c>
      <c r="C211" t="s">
        <v>2248</v>
      </c>
      <c r="D211">
        <v>1</v>
      </c>
      <c r="E211">
        <v>2</v>
      </c>
      <c r="G211" t="s">
        <v>2247</v>
      </c>
      <c r="H211" t="s">
        <v>2248</v>
      </c>
      <c r="I211">
        <v>-1</v>
      </c>
    </row>
    <row r="212" spans="1:9" x14ac:dyDescent="0.45">
      <c r="A212" t="s">
        <v>1834</v>
      </c>
      <c r="B212" t="s">
        <v>2249</v>
      </c>
      <c r="C212" t="s">
        <v>2250</v>
      </c>
      <c r="D212">
        <v>1</v>
      </c>
      <c r="E212">
        <v>2</v>
      </c>
      <c r="G212" t="s">
        <v>2249</v>
      </c>
      <c r="H212" t="s">
        <v>2250</v>
      </c>
      <c r="I212">
        <v>-1</v>
      </c>
    </row>
    <row r="213" spans="1:9" x14ac:dyDescent="0.45">
      <c r="A213" t="s">
        <v>1834</v>
      </c>
      <c r="B213" t="s">
        <v>2251</v>
      </c>
      <c r="C213" t="s">
        <v>2252</v>
      </c>
      <c r="D213">
        <v>1</v>
      </c>
      <c r="E213">
        <v>2</v>
      </c>
      <c r="G213" t="s">
        <v>2251</v>
      </c>
      <c r="H213" t="s">
        <v>2252</v>
      </c>
      <c r="I213">
        <v>-1</v>
      </c>
    </row>
    <row r="214" spans="1:9" x14ac:dyDescent="0.45">
      <c r="A214" t="s">
        <v>1834</v>
      </c>
      <c r="B214" t="s">
        <v>2253</v>
      </c>
      <c r="C214" t="s">
        <v>2254</v>
      </c>
      <c r="D214">
        <v>1</v>
      </c>
      <c r="E214">
        <v>2</v>
      </c>
      <c r="G214" t="s">
        <v>2253</v>
      </c>
      <c r="H214" t="s">
        <v>2254</v>
      </c>
      <c r="I214">
        <v>-1</v>
      </c>
    </row>
    <row r="215" spans="1:9" x14ac:dyDescent="0.45">
      <c r="A215" t="s">
        <v>1834</v>
      </c>
      <c r="B215" t="s">
        <v>2255</v>
      </c>
      <c r="C215" t="s">
        <v>2256</v>
      </c>
      <c r="D215">
        <v>1</v>
      </c>
      <c r="E215">
        <v>2</v>
      </c>
      <c r="G215" t="s">
        <v>2255</v>
      </c>
      <c r="H215" t="s">
        <v>2256</v>
      </c>
      <c r="I215">
        <v>-1</v>
      </c>
    </row>
    <row r="216" spans="1:9" x14ac:dyDescent="0.45">
      <c r="A216" t="s">
        <v>1834</v>
      </c>
      <c r="B216" t="s">
        <v>2257</v>
      </c>
      <c r="C216" t="s">
        <v>2258</v>
      </c>
      <c r="D216">
        <v>1</v>
      </c>
      <c r="E216">
        <v>2</v>
      </c>
      <c r="G216" t="s">
        <v>2257</v>
      </c>
      <c r="H216" t="s">
        <v>2258</v>
      </c>
      <c r="I216">
        <v>-1</v>
      </c>
    </row>
    <row r="217" spans="1:9" x14ac:dyDescent="0.45">
      <c r="A217" t="s">
        <v>1834</v>
      </c>
      <c r="B217" t="s">
        <v>2259</v>
      </c>
      <c r="C217" t="s">
        <v>2260</v>
      </c>
      <c r="D217">
        <v>1</v>
      </c>
      <c r="E217">
        <v>2</v>
      </c>
      <c r="G217" t="s">
        <v>2259</v>
      </c>
      <c r="H217" t="s">
        <v>2260</v>
      </c>
      <c r="I217">
        <v>-1</v>
      </c>
    </row>
    <row r="218" spans="1:9" x14ac:dyDescent="0.45">
      <c r="A218" t="s">
        <v>1834</v>
      </c>
      <c r="B218" t="s">
        <v>2261</v>
      </c>
      <c r="C218" t="s">
        <v>2262</v>
      </c>
      <c r="D218">
        <v>1</v>
      </c>
      <c r="E218">
        <v>2</v>
      </c>
      <c r="G218" t="s">
        <v>2261</v>
      </c>
      <c r="H218" t="s">
        <v>2262</v>
      </c>
      <c r="I218">
        <v>-1</v>
      </c>
    </row>
    <row r="219" spans="1:9" x14ac:dyDescent="0.45">
      <c r="A219" t="s">
        <v>1834</v>
      </c>
      <c r="B219" t="s">
        <v>2263</v>
      </c>
      <c r="C219" t="s">
        <v>2264</v>
      </c>
      <c r="D219">
        <v>1</v>
      </c>
      <c r="E219">
        <v>2</v>
      </c>
      <c r="G219" t="s">
        <v>2263</v>
      </c>
      <c r="H219" t="s">
        <v>2264</v>
      </c>
      <c r="I219">
        <v>-1</v>
      </c>
    </row>
    <row r="220" spans="1:9" x14ac:dyDescent="0.45">
      <c r="A220" t="s">
        <v>1834</v>
      </c>
      <c r="B220" t="s">
        <v>2265</v>
      </c>
      <c r="C220" t="s">
        <v>2266</v>
      </c>
      <c r="D220">
        <v>1</v>
      </c>
      <c r="E220">
        <v>2</v>
      </c>
      <c r="G220" t="s">
        <v>2265</v>
      </c>
      <c r="H220" t="s">
        <v>2266</v>
      </c>
      <c r="I220">
        <v>-1</v>
      </c>
    </row>
    <row r="221" spans="1:9" x14ac:dyDescent="0.45">
      <c r="A221" t="s">
        <v>1834</v>
      </c>
      <c r="B221" t="s">
        <v>2267</v>
      </c>
      <c r="C221" t="s">
        <v>2268</v>
      </c>
      <c r="D221">
        <v>1</v>
      </c>
      <c r="E221">
        <v>2</v>
      </c>
      <c r="G221" t="s">
        <v>2267</v>
      </c>
      <c r="H221" t="s">
        <v>2268</v>
      </c>
      <c r="I221">
        <v>-1</v>
      </c>
    </row>
    <row r="222" spans="1:9" x14ac:dyDescent="0.45">
      <c r="A222" t="s">
        <v>1834</v>
      </c>
      <c r="B222" t="s">
        <v>2269</v>
      </c>
      <c r="C222" t="s">
        <v>2270</v>
      </c>
      <c r="D222">
        <v>1</v>
      </c>
      <c r="E222">
        <v>2</v>
      </c>
      <c r="G222" t="s">
        <v>2269</v>
      </c>
      <c r="H222" t="s">
        <v>2270</v>
      </c>
      <c r="I222">
        <v>-1</v>
      </c>
    </row>
    <row r="223" spans="1:9" x14ac:dyDescent="0.45">
      <c r="A223" t="s">
        <v>1834</v>
      </c>
      <c r="B223" t="s">
        <v>2271</v>
      </c>
      <c r="C223" t="s">
        <v>2272</v>
      </c>
      <c r="D223">
        <v>1</v>
      </c>
      <c r="E223">
        <v>2</v>
      </c>
      <c r="G223" t="s">
        <v>2271</v>
      </c>
      <c r="H223" t="s">
        <v>2272</v>
      </c>
      <c r="I223">
        <v>-1</v>
      </c>
    </row>
    <row r="224" spans="1:9" x14ac:dyDescent="0.45">
      <c r="A224" t="s">
        <v>1834</v>
      </c>
      <c r="B224" t="s">
        <v>2273</v>
      </c>
      <c r="C224" t="s">
        <v>2274</v>
      </c>
      <c r="D224">
        <v>1</v>
      </c>
      <c r="E224">
        <v>2</v>
      </c>
      <c r="G224" t="s">
        <v>2273</v>
      </c>
      <c r="H224" t="s">
        <v>2274</v>
      </c>
      <c r="I224">
        <v>-1</v>
      </c>
    </row>
    <row r="225" spans="1:9" x14ac:dyDescent="0.45">
      <c r="A225" t="s">
        <v>1834</v>
      </c>
      <c r="B225" t="s">
        <v>2275</v>
      </c>
      <c r="C225" t="s">
        <v>2276</v>
      </c>
      <c r="D225">
        <v>1</v>
      </c>
      <c r="E225">
        <v>2</v>
      </c>
      <c r="G225" t="s">
        <v>2275</v>
      </c>
      <c r="H225" t="s">
        <v>2276</v>
      </c>
      <c r="I225">
        <v>-1</v>
      </c>
    </row>
    <row r="226" spans="1:9" x14ac:dyDescent="0.45">
      <c r="A226" t="s">
        <v>1834</v>
      </c>
      <c r="B226" t="s">
        <v>2277</v>
      </c>
      <c r="C226" t="s">
        <v>2278</v>
      </c>
      <c r="D226">
        <v>1</v>
      </c>
      <c r="E226">
        <v>2</v>
      </c>
      <c r="G226" t="s">
        <v>2277</v>
      </c>
      <c r="H226" t="s">
        <v>2278</v>
      </c>
      <c r="I226">
        <v>-1</v>
      </c>
    </row>
    <row r="227" spans="1:9" x14ac:dyDescent="0.45">
      <c r="A227" t="s">
        <v>1834</v>
      </c>
      <c r="B227" t="s">
        <v>2279</v>
      </c>
      <c r="C227" t="s">
        <v>2280</v>
      </c>
      <c r="D227">
        <v>1</v>
      </c>
      <c r="E227">
        <v>2</v>
      </c>
      <c r="G227" t="s">
        <v>2279</v>
      </c>
      <c r="H227" t="s">
        <v>2280</v>
      </c>
      <c r="I227">
        <v>-1</v>
      </c>
    </row>
    <row r="228" spans="1:9" x14ac:dyDescent="0.45">
      <c r="A228" t="s">
        <v>1834</v>
      </c>
      <c r="B228" t="s">
        <v>2281</v>
      </c>
      <c r="C228" t="s">
        <v>2282</v>
      </c>
      <c r="D228">
        <v>1</v>
      </c>
      <c r="E228">
        <v>2</v>
      </c>
      <c r="G228" t="s">
        <v>2281</v>
      </c>
      <c r="H228" t="s">
        <v>2282</v>
      </c>
      <c r="I228">
        <v>-1</v>
      </c>
    </row>
    <row r="229" spans="1:9" x14ac:dyDescent="0.45">
      <c r="A229" t="s">
        <v>1834</v>
      </c>
      <c r="B229" t="s">
        <v>2283</v>
      </c>
      <c r="C229" t="s">
        <v>2284</v>
      </c>
      <c r="D229">
        <v>1</v>
      </c>
      <c r="E229">
        <v>2</v>
      </c>
      <c r="G229" t="s">
        <v>2283</v>
      </c>
      <c r="H229" t="s">
        <v>2284</v>
      </c>
      <c r="I229">
        <v>-1</v>
      </c>
    </row>
    <row r="230" spans="1:9" x14ac:dyDescent="0.45">
      <c r="A230" t="s">
        <v>1834</v>
      </c>
      <c r="B230" t="s">
        <v>2285</v>
      </c>
      <c r="C230" t="s">
        <v>2286</v>
      </c>
      <c r="D230">
        <v>1</v>
      </c>
      <c r="E230">
        <v>2</v>
      </c>
      <c r="G230" t="s">
        <v>2285</v>
      </c>
      <c r="H230" t="s">
        <v>2286</v>
      </c>
      <c r="I230">
        <v>-1</v>
      </c>
    </row>
    <row r="231" spans="1:9" x14ac:dyDescent="0.45">
      <c r="A231" t="s">
        <v>1834</v>
      </c>
      <c r="B231" t="s">
        <v>2287</v>
      </c>
      <c r="C231" t="s">
        <v>2288</v>
      </c>
      <c r="D231">
        <v>1</v>
      </c>
      <c r="E231">
        <v>2</v>
      </c>
      <c r="G231" t="s">
        <v>2287</v>
      </c>
      <c r="H231" t="s">
        <v>2288</v>
      </c>
      <c r="I231">
        <v>-1</v>
      </c>
    </row>
    <row r="232" spans="1:9" x14ac:dyDescent="0.45">
      <c r="A232" t="s">
        <v>1834</v>
      </c>
      <c r="B232" t="s">
        <v>2289</v>
      </c>
      <c r="C232" t="s">
        <v>2290</v>
      </c>
      <c r="D232">
        <v>1</v>
      </c>
      <c r="E232">
        <v>2</v>
      </c>
      <c r="G232" t="s">
        <v>2289</v>
      </c>
      <c r="H232" t="s">
        <v>2290</v>
      </c>
      <c r="I232">
        <v>-1</v>
      </c>
    </row>
    <row r="233" spans="1:9" x14ac:dyDescent="0.45">
      <c r="A233" t="s">
        <v>1834</v>
      </c>
      <c r="B233" t="s">
        <v>2291</v>
      </c>
      <c r="C233" t="s">
        <v>2292</v>
      </c>
      <c r="D233">
        <v>1</v>
      </c>
      <c r="E233">
        <v>2</v>
      </c>
      <c r="G233" t="s">
        <v>2291</v>
      </c>
      <c r="H233" t="s">
        <v>2292</v>
      </c>
      <c r="I233">
        <v>-1</v>
      </c>
    </row>
    <row r="234" spans="1:9" x14ac:dyDescent="0.45">
      <c r="A234" t="s">
        <v>1834</v>
      </c>
      <c r="B234" t="s">
        <v>2293</v>
      </c>
      <c r="C234" t="s">
        <v>2294</v>
      </c>
      <c r="D234">
        <v>1</v>
      </c>
      <c r="E234">
        <v>2</v>
      </c>
      <c r="G234" t="s">
        <v>2293</v>
      </c>
      <c r="H234" t="s">
        <v>2294</v>
      </c>
      <c r="I234">
        <v>-1</v>
      </c>
    </row>
    <row r="235" spans="1:9" x14ac:dyDescent="0.45">
      <c r="A235" t="s">
        <v>1834</v>
      </c>
      <c r="B235" t="s">
        <v>2295</v>
      </c>
      <c r="C235" t="s">
        <v>2296</v>
      </c>
      <c r="D235">
        <v>1</v>
      </c>
      <c r="E235">
        <v>2</v>
      </c>
      <c r="G235" t="s">
        <v>2295</v>
      </c>
      <c r="H235" t="s">
        <v>2296</v>
      </c>
      <c r="I235">
        <v>-1</v>
      </c>
    </row>
    <row r="236" spans="1:9" x14ac:dyDescent="0.45">
      <c r="A236" t="s">
        <v>1834</v>
      </c>
      <c r="B236" t="s">
        <v>2297</v>
      </c>
      <c r="C236" t="s">
        <v>2298</v>
      </c>
      <c r="D236">
        <v>1</v>
      </c>
      <c r="E236">
        <v>2</v>
      </c>
      <c r="G236" t="s">
        <v>2297</v>
      </c>
      <c r="H236" t="s">
        <v>2298</v>
      </c>
      <c r="I236">
        <v>-1</v>
      </c>
    </row>
    <row r="237" spans="1:9" x14ac:dyDescent="0.45">
      <c r="A237" t="s">
        <v>1834</v>
      </c>
      <c r="B237" t="s">
        <v>2299</v>
      </c>
      <c r="C237" t="s">
        <v>2300</v>
      </c>
      <c r="D237">
        <v>1</v>
      </c>
      <c r="E237">
        <v>2</v>
      </c>
      <c r="G237" t="s">
        <v>2299</v>
      </c>
      <c r="H237" t="s">
        <v>2300</v>
      </c>
      <c r="I237">
        <v>-1</v>
      </c>
    </row>
    <row r="238" spans="1:9" x14ac:dyDescent="0.45">
      <c r="A238" t="s">
        <v>1834</v>
      </c>
      <c r="B238" t="s">
        <v>2301</v>
      </c>
      <c r="C238" t="s">
        <v>2302</v>
      </c>
      <c r="D238">
        <v>1</v>
      </c>
      <c r="E238">
        <v>2</v>
      </c>
      <c r="G238" t="s">
        <v>2301</v>
      </c>
      <c r="H238" t="s">
        <v>2302</v>
      </c>
      <c r="I238">
        <v>-1</v>
      </c>
    </row>
    <row r="239" spans="1:9" x14ac:dyDescent="0.45">
      <c r="A239" t="s">
        <v>1834</v>
      </c>
      <c r="B239" t="s">
        <v>2303</v>
      </c>
      <c r="C239" t="s">
        <v>2304</v>
      </c>
      <c r="D239">
        <v>1</v>
      </c>
      <c r="E239">
        <v>2</v>
      </c>
      <c r="G239" t="s">
        <v>2303</v>
      </c>
      <c r="H239" t="s">
        <v>2304</v>
      </c>
      <c r="I239">
        <v>-1</v>
      </c>
    </row>
    <row r="240" spans="1:9" x14ac:dyDescent="0.45">
      <c r="A240" t="s">
        <v>1834</v>
      </c>
      <c r="B240" t="s">
        <v>2305</v>
      </c>
      <c r="C240" t="s">
        <v>2306</v>
      </c>
      <c r="D240">
        <v>1</v>
      </c>
      <c r="E240">
        <v>2</v>
      </c>
      <c r="G240" t="s">
        <v>2305</v>
      </c>
      <c r="H240" t="s">
        <v>2306</v>
      </c>
      <c r="I240">
        <v>-1</v>
      </c>
    </row>
    <row r="241" spans="1:9" x14ac:dyDescent="0.45">
      <c r="A241" t="s">
        <v>1834</v>
      </c>
      <c r="B241" t="s">
        <v>2307</v>
      </c>
      <c r="C241" t="s">
        <v>2308</v>
      </c>
      <c r="D241">
        <v>1</v>
      </c>
      <c r="E241">
        <v>2</v>
      </c>
      <c r="G241" t="s">
        <v>2307</v>
      </c>
      <c r="H241" t="s">
        <v>2308</v>
      </c>
      <c r="I241">
        <v>-1</v>
      </c>
    </row>
    <row r="242" spans="1:9" x14ac:dyDescent="0.45">
      <c r="A242" t="s">
        <v>1834</v>
      </c>
      <c r="B242" t="s">
        <v>2309</v>
      </c>
      <c r="C242" t="s">
        <v>2310</v>
      </c>
      <c r="D242">
        <v>1</v>
      </c>
      <c r="E242">
        <v>2</v>
      </c>
      <c r="G242" t="s">
        <v>2309</v>
      </c>
      <c r="H242" t="s">
        <v>2310</v>
      </c>
      <c r="I242">
        <v>-1</v>
      </c>
    </row>
    <row r="243" spans="1:9" x14ac:dyDescent="0.45">
      <c r="A243" t="s">
        <v>1834</v>
      </c>
      <c r="B243" t="s">
        <v>2311</v>
      </c>
      <c r="C243" t="s">
        <v>2312</v>
      </c>
      <c r="D243">
        <v>1</v>
      </c>
      <c r="E243">
        <v>2</v>
      </c>
      <c r="G243" t="s">
        <v>2311</v>
      </c>
      <c r="H243" t="s">
        <v>2312</v>
      </c>
      <c r="I243">
        <v>-1</v>
      </c>
    </row>
    <row r="244" spans="1:9" x14ac:dyDescent="0.45">
      <c r="A244" t="s">
        <v>1834</v>
      </c>
      <c r="B244" t="s">
        <v>2313</v>
      </c>
      <c r="C244" t="s">
        <v>2314</v>
      </c>
      <c r="D244">
        <v>1</v>
      </c>
      <c r="E244">
        <v>2</v>
      </c>
      <c r="G244" t="s">
        <v>2313</v>
      </c>
      <c r="H244" t="s">
        <v>2314</v>
      </c>
      <c r="I244">
        <v>-1</v>
      </c>
    </row>
    <row r="245" spans="1:9" x14ac:dyDescent="0.45">
      <c r="A245" t="s">
        <v>1834</v>
      </c>
      <c r="B245" t="s">
        <v>2315</v>
      </c>
      <c r="C245" t="s">
        <v>2316</v>
      </c>
      <c r="D245">
        <v>1</v>
      </c>
      <c r="E245">
        <v>2</v>
      </c>
      <c r="G245" t="s">
        <v>2315</v>
      </c>
      <c r="H245" t="s">
        <v>2316</v>
      </c>
      <c r="I245">
        <v>-1</v>
      </c>
    </row>
    <row r="246" spans="1:9" x14ac:dyDescent="0.45">
      <c r="A246" t="s">
        <v>1834</v>
      </c>
      <c r="B246" t="s">
        <v>2317</v>
      </c>
      <c r="C246" t="s">
        <v>2318</v>
      </c>
      <c r="D246">
        <v>1</v>
      </c>
      <c r="E246">
        <v>2</v>
      </c>
      <c r="G246" t="s">
        <v>2317</v>
      </c>
      <c r="H246" t="s">
        <v>2318</v>
      </c>
      <c r="I246">
        <v>-1</v>
      </c>
    </row>
    <row r="247" spans="1:9" x14ac:dyDescent="0.45">
      <c r="A247" t="s">
        <v>1834</v>
      </c>
      <c r="B247" t="s">
        <v>2319</v>
      </c>
      <c r="C247" t="s">
        <v>2320</v>
      </c>
      <c r="D247">
        <v>1</v>
      </c>
      <c r="E247">
        <v>2</v>
      </c>
      <c r="G247" t="s">
        <v>2319</v>
      </c>
      <c r="H247" t="s">
        <v>2320</v>
      </c>
      <c r="I247">
        <v>-1</v>
      </c>
    </row>
    <row r="248" spans="1:9" x14ac:dyDescent="0.45">
      <c r="A248" t="s">
        <v>1834</v>
      </c>
      <c r="B248" t="s">
        <v>2321</v>
      </c>
      <c r="C248" t="s">
        <v>2322</v>
      </c>
      <c r="D248">
        <v>1</v>
      </c>
      <c r="E248">
        <v>2</v>
      </c>
      <c r="G248" t="s">
        <v>2321</v>
      </c>
      <c r="H248" t="s">
        <v>2322</v>
      </c>
      <c r="I248">
        <v>-1</v>
      </c>
    </row>
    <row r="249" spans="1:9" x14ac:dyDescent="0.45">
      <c r="A249" t="s">
        <v>1834</v>
      </c>
      <c r="B249" t="s">
        <v>2323</v>
      </c>
      <c r="C249" t="s">
        <v>2324</v>
      </c>
      <c r="D249">
        <v>1</v>
      </c>
      <c r="E249">
        <v>2</v>
      </c>
      <c r="G249" t="s">
        <v>2323</v>
      </c>
      <c r="H249" t="s">
        <v>2324</v>
      </c>
      <c r="I249">
        <v>-1</v>
      </c>
    </row>
    <row r="250" spans="1:9" x14ac:dyDescent="0.45">
      <c r="A250" t="s">
        <v>1834</v>
      </c>
      <c r="B250" t="s">
        <v>2325</v>
      </c>
      <c r="C250" t="s">
        <v>2326</v>
      </c>
      <c r="D250">
        <v>1</v>
      </c>
      <c r="E250">
        <v>2</v>
      </c>
      <c r="G250" t="s">
        <v>2325</v>
      </c>
      <c r="H250" t="s">
        <v>2326</v>
      </c>
      <c r="I2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emissions</vt:lpstr>
      <vt:lpstr>grids</vt:lpstr>
      <vt:lpstr>re_targets</vt:lpstr>
      <vt:lpstr>Veda</vt:lpstr>
      <vt:lpstr>buildrates</vt:lpstr>
      <vt:lpstr>historical_data_long</vt:lpstr>
      <vt:lpstr>co2_network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2026-09-15T04:45:44Z</dcterms:modified>
</cp:coreProperties>
</file>