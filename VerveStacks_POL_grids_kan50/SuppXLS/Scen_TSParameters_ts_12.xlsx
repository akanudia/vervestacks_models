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ppXLS\"/>
    </mc:Choice>
  </mc:AlternateContent>
  <xr:revisionPtr revIDLastSave="0" documentId="13_ncr:1_{07C94FAA-366D-4252-A0B8-147A35820A4A}" xr6:coauthVersionLast="47" xr6:coauthVersionMax="47" xr10:uidLastSave="{00000000-0000-0000-0000-000000000000}"/>
  <bookViews>
    <workbookView xWindow="-98" yWindow="-98" windowWidth="28996" windowHeight="17475" activeTab="4" xr2:uid="{00000000-000D-0000-FFFF-FFFF00000000}"/>
  </bookViews>
  <sheets>
    <sheet name="ev_charging_uc" sheetId="6" r:id="rId1"/>
    <sheet name="timeslice_def" sheetId="7" r:id="rId2"/>
    <sheet name="resource_profiles" sheetId="8" r:id="rId3"/>
    <sheet name="firmness" sheetId="9" r:id="rId4"/>
    <sheet name="load_demand_peak_hydro" sheetId="10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9" i="10" l="1"/>
  <c r="L9" i="10"/>
  <c r="H9" i="10"/>
  <c r="C9" i="10"/>
  <c r="BI9" i="9"/>
  <c r="AU9" i="9"/>
  <c r="AF9" i="9"/>
  <c r="Q9" i="9"/>
  <c r="B9" i="9"/>
  <c r="L9" i="8"/>
  <c r="G9" i="8"/>
  <c r="B9" i="8"/>
  <c r="C9" i="7"/>
  <c r="H24" i="6"/>
  <c r="H23" i="6"/>
  <c r="H21" i="6" s="1"/>
  <c r="I24" i="6" l="1"/>
  <c r="I23" i="6" s="1"/>
  <c r="E24" i="6"/>
  <c r="E23" i="6"/>
</calcChain>
</file>

<file path=xl/sharedStrings.xml><?xml version="1.0" encoding="utf-8"?>
<sst xmlns="http://schemas.openxmlformats.org/spreadsheetml/2006/main" count="2591" uniqueCount="187">
  <si>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</si>
  <si>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</si>
  <si>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</si>
  <si>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</si>
  <si>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</si>
  <si>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</si>
  <si>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</si>
  <si>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</si>
  <si>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</si>
  <si>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</si>
  <si>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</si>
  <si>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</si>
  <si>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</si>
  <si>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</si>
  <si>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</si>
  <si>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</si>
  <si>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</si>
  <si>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~UC_T: LO</t>
  </si>
  <si>
    <t>PSET_SET</t>
  </si>
  <si>
    <t>PSET_PN</t>
  </si>
  <si>
    <t>PSET_CO</t>
  </si>
  <si>
    <t>UC_ACT</t>
  </si>
  <si>
    <t>UC_COMPRD</t>
  </si>
  <si>
    <t>UC_RHSRTS</t>
  </si>
  <si>
    <t>UC_RHSRTS~0</t>
  </si>
  <si>
    <t>UC_Desc</t>
  </si>
  <si>
    <t>UCE_Min-DispatchablePrd</t>
  </si>
  <si>
    <t>ELE,CHP</t>
  </si>
  <si>
    <t>*,-solar,-wind*,-ELC,-ELCSPV,-elc[_]???[_]*,-e[_]*</t>
  </si>
  <si>
    <t>DAYNITE</t>
  </si>
  <si>
    <t>Min dispatchable electricity generation in each grid in each TS</t>
  </si>
  <si>
    <t>DEF_E</t>
  </si>
  <si>
    <t>season</t>
  </si>
  <si>
    <t>weekly</t>
  </si>
  <si>
    <t>daynite</t>
  </si>
  <si>
    <t>wparent</t>
  </si>
  <si>
    <t>dparent</t>
  </si>
  <si>
    <t>S1</t>
  </si>
  <si>
    <t>a</t>
  </si>
  <si>
    <t>H1</t>
  </si>
  <si>
    <t>S1,S2,S3,S4</t>
  </si>
  <si>
    <t>S2</t>
  </si>
  <si>
    <t>H2</t>
  </si>
  <si>
    <t>S3</t>
  </si>
  <si>
    <t>H3</t>
  </si>
  <si>
    <t>S4</t>
  </si>
  <si>
    <t>ts_12</t>
  </si>
  <si>
    <t>commodity</t>
  </si>
  <si>
    <t>timeslice</t>
  </si>
  <si>
    <t>com_fr</t>
  </si>
  <si>
    <t>process</t>
  </si>
  <si>
    <t>elc_spv_POL_001</t>
  </si>
  <si>
    <t>S1aH1</t>
  </si>
  <si>
    <t>IMPNRGZ</t>
  </si>
  <si>
    <t>S1aH2</t>
  </si>
  <si>
    <t>S1aH3</t>
  </si>
  <si>
    <t>S2aH1</t>
  </si>
  <si>
    <t>S2aH2</t>
  </si>
  <si>
    <t>S2aH3</t>
  </si>
  <si>
    <t>S3aH1</t>
  </si>
  <si>
    <t>S3aH2</t>
  </si>
  <si>
    <t>S3aH3</t>
  </si>
  <si>
    <t>S4aH1</t>
  </si>
  <si>
    <t>S4aH2</t>
  </si>
  <si>
    <t>S4aH3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</si>
  <si>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</si>
  <si>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</si>
  <si>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</si>
  <si>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</si>
  <si>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</si>
  <si>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</si>
  <si>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</si>
  <si>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</si>
  <si>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</si>
  <si>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</si>
  <si>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</si>
  <si>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</si>
  <si>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</si>
  <si>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</si>
  <si>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</si>
  <si>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</si>
  <si>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</si>
  <si>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</si>
  <si>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</si>
  <si>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elc_won_POL_001</t>
  </si>
  <si>
    <t>elc_won_POL_002</t>
  </si>
  <si>
    <t>elc_won_POL_003</t>
  </si>
  <si>
    <t>elc_won_POL_004</t>
  </si>
  <si>
    <t>elc_won_POL_005</t>
  </si>
  <si>
    <t>elc_won_POL_006</t>
  </si>
  <si>
    <t>elc_won_POL_007</t>
  </si>
  <si>
    <t>elc_won_POL_008</t>
  </si>
  <si>
    <t>elc_won_POL_009</t>
  </si>
  <si>
    <t>elc_won_POL_010</t>
  </si>
  <si>
    <t>elc_won_POL_011</t>
  </si>
  <si>
    <t>elc_won_POL_012</t>
  </si>
  <si>
    <t>elc_won_POL_013</t>
  </si>
  <si>
    <t>elc_won_POL_014</t>
  </si>
  <si>
    <t>elc_won_POL_015</t>
  </si>
  <si>
    <t>elc_won_POL_016</t>
  </si>
  <si>
    <t>elc_won_POL_017</t>
  </si>
  <si>
    <t>elc_won_POL_018</t>
  </si>
  <si>
    <t>elc_won_POL_019</t>
  </si>
  <si>
    <t>elc_won_POL_020</t>
  </si>
  <si>
    <t>elc_wof_POL_001</t>
  </si>
  <si>
    <t>elc_wof_POL_002</t>
  </si>
  <si>
    <t>elc_wof_POL_003</t>
  </si>
  <si>
    <t>elc_wof_POL_004</t>
  </si>
  <si>
    <t>elc_wof_POL_005</t>
  </si>
  <si>
    <t>elc_wof_POL_006</t>
  </si>
  <si>
    <t>elc_wof_POL_007</t>
  </si>
  <si>
    <t>elc_wof_POL_008</t>
  </si>
  <si>
    <t>elc_wof_POL_009</t>
  </si>
  <si>
    <t>elc_wof_POL_010</t>
  </si>
  <si>
    <t>distr_solelc_spv_POL_001</t>
  </si>
  <si>
    <t>distr_solelc_spv_POL_002</t>
  </si>
  <si>
    <t>distr_solelc_spv_POL_003</t>
  </si>
  <si>
    <t>distr_solelc_spv_POL_004</t>
  </si>
  <si>
    <t>distr_solelc_spv_POL_005</t>
  </si>
  <si>
    <t>distr_solelc_spv_POL_006</t>
  </si>
  <si>
    <t>distr_solelc_spv_POL_007</t>
  </si>
  <si>
    <t>distr_solelc_spv_POL_008</t>
  </si>
  <si>
    <t>distr_solelc_spv_POL_009</t>
  </si>
  <si>
    <t>distr_solelc_spv_POL_010</t>
  </si>
  <si>
    <t>distr_solelc_spv_POL_011</t>
  </si>
  <si>
    <t>distr_solelc_spv_POL_012</t>
  </si>
  <si>
    <t>distr_solelc_spv_POL_013</t>
  </si>
  <si>
    <t>distr_solelc_spv_POL_014</t>
  </si>
  <si>
    <t>distr_solelc_spv_POL_015</t>
  </si>
  <si>
    <t>distr_solelc_spv_POL_016</t>
  </si>
  <si>
    <t>distr_solelc_spv_POL_017</t>
  </si>
  <si>
    <t>distr_solelc_spv_POL_018</t>
  </si>
  <si>
    <t>distr_solelc_spv_POL_019</t>
  </si>
  <si>
    <t>distr_solelc_spv_POL_020</t>
  </si>
  <si>
    <t>distr_wofelc_wof_POL_001</t>
  </si>
  <si>
    <t>distr_wofelc_wof_POL_002</t>
  </si>
  <si>
    <t>distr_wofelc_wof_POL_003</t>
  </si>
  <si>
    <t>distr_wofelc_wof_POL_004</t>
  </si>
  <si>
    <t>distr_wofelc_wof_POL_005</t>
  </si>
  <si>
    <t>distr_wofelc_wof_POL_006</t>
  </si>
  <si>
    <t>distr_wofelc_wof_POL_007</t>
  </si>
  <si>
    <t>distr_wofelc_wof_POL_008</t>
  </si>
  <si>
    <t>distr_wofelc_wof_POL_009</t>
  </si>
  <si>
    <t>distr_wofelc_wof_POL_010</t>
  </si>
  <si>
    <t>distr_wonelc_won_POL_001</t>
  </si>
  <si>
    <t>distr_wonelc_won_POL_002</t>
  </si>
  <si>
    <t>distr_wonelc_won_POL_003</t>
  </si>
  <si>
    <t>distr_wonelc_won_POL_004</t>
  </si>
  <si>
    <t>distr_wonelc_won_POL_005</t>
  </si>
  <si>
    <t>distr_wonelc_won_POL_006</t>
  </si>
  <si>
    <t>distr_wonelc_won_POL_007</t>
  </si>
  <si>
    <t>distr_wonelc_won_POL_008</t>
  </si>
  <si>
    <t>distr_wonelc_won_POL_009</t>
  </si>
  <si>
    <t>distr_wonelc_won_POL_010</t>
  </si>
  <si>
    <t>distr_wonelc_won_POL_011</t>
  </si>
  <si>
    <t>distr_wonelc_won_POL_012</t>
  </si>
  <si>
    <t>distr_wonelc_won_POL_013</t>
  </si>
  <si>
    <t>distr_wonelc_won_POL_014</t>
  </si>
  <si>
    <t>distr_wonelc_won_POL_015</t>
  </si>
  <si>
    <t>distr_wonelc_won_POL_016</t>
  </si>
  <si>
    <t>distr_wonelc_won_POL_017</t>
  </si>
  <si>
    <t>distr_wonelc_won_POL_018</t>
  </si>
  <si>
    <t>distr_wonelc_won_POL_019</t>
  </si>
  <si>
    <t>distr_wonelc_won_POL_020</t>
  </si>
  <si>
    <t>distr_sol*</t>
  </si>
  <si>
    <t>ELC4H</t>
  </si>
  <si>
    <t>distr_won*</t>
  </si>
  <si>
    <t>distr_wof*</t>
  </si>
  <si>
    <t>ELC8H</t>
  </si>
  <si>
    <t>other_indexes</t>
  </si>
  <si>
    <t>ncap_com</t>
  </si>
  <si>
    <t>DEF_C</t>
  </si>
  <si>
    <t>OUT</t>
  </si>
  <si>
    <t>g_yrfr</t>
  </si>
  <si>
    <t>elc_roadtransport</t>
  </si>
  <si>
    <t>day_night</t>
  </si>
  <si>
    <t>D</t>
  </si>
  <si>
    <t>S2aH2,S1aH2,S3aH2,S4aH2</t>
  </si>
  <si>
    <t>N</t>
  </si>
  <si>
    <t>S1aH1,S4aH3,S3aH3,S4aH1,S1aH3,S3aH1,S2aH1,S2aH3</t>
  </si>
  <si>
    <t>elc_buildings</t>
  </si>
  <si>
    <t>elc_industry</t>
  </si>
  <si>
    <t>com_pkflx</t>
  </si>
  <si>
    <t>Year</t>
  </si>
  <si>
    <t>ncap_afs</t>
  </si>
  <si>
    <t>pset_ci</t>
  </si>
  <si>
    <t>hydro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</si>
</sst>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">
    <xf numFmtId="0" fontId="0" fillId="0" borderId="0"/>
    <xf numFmtId="0" fontId="4" fillId="2" borderId="3" applyNumberFormat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6">
    <xf numFmtId="0" fontId="0" fillId="0" borderId="0" xfId="0"/>
    <xf numFmtId="0" fontId="1" fillId="0" borderId="0" xfId="0" applyFont="1"/>
    <xf numFmtId="0" fontId="4" fillId="2" borderId="3" xfId="1"/>
    <xf numFmtId="0" fontId="2" fillId="0" borderId="1" xfId="2"/>
    <xf numFmtId="0" fontId="3" fillId="0" borderId="2" xfId="3"/>
    <xf numFmtId="0" fontId="0" fillId="3" borderId="0" xfId="0" applyFill="1"/>
  </cellXfs>
  <cellStyles count="4">
    <cellStyle name="Heading 2 2" xfId="2" xr:uid="{A6AB1C46-4E7B-4C21-A104-E4DF3FE4CE4A}"/>
    <cellStyle name="Heading 3 2" xfId="3" xr:uid="{F2503A68-FC7E-4C35-8B5A-10334C80FC2A}"/>
    <cellStyle name="Input 2" xfId="1" xr:uid="{08B5D232-691F-4F66-AEAC-8298A30D4B38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N32"/>
  <sheetViews>
    <sheetView workbookViewId="0">
      <selection activeCell="C29" sqref="C29"/>
    </sheetView>
  </sheetViews>
  <sheetFormatPr defaultRowHeight="14.25" x14ac:dyDescent="0.45"/>
  <sheetData>
    <row r="10" spans="1:4" x14ac:dyDescent="0.45">
      <c r="A10" t="s">
        <v>46</v>
      </c>
      <c r="B10" s="5"/>
      <c r="C10" s="5" t="s">
        <v>175</v>
      </c>
      <c r="D10" t="s">
        <v>46</v>
      </c>
    </row>
    <row r="11" spans="1:4" x14ac:dyDescent="0.45">
      <c r="B11" s="5"/>
      <c r="C11" s="5" t="s">
        <v>176</v>
      </c>
      <c r="D11" t="s">
        <v>177</v>
      </c>
    </row>
    <row r="12" spans="1:4" x14ac:dyDescent="0.45">
      <c r="B12" s="5"/>
      <c r="C12" s="5" t="s">
        <v>178</v>
      </c>
      <c r="D12" t="s">
        <v>179</v>
      </c>
    </row>
    <row r="17" spans="3:14" x14ac:dyDescent="0.45">
      <c r="I17" s="2">
        <v>0.75</v>
      </c>
      <c r="K17" s="1" t="s">
        <v>0</v>
      </c>
    </row>
    <row r="18" spans="3:14" ht="17.649999999999999" thickBot="1" x14ac:dyDescent="0.6">
      <c r="C18" s="3" t="s">
        <v>1</v>
      </c>
    </row>
    <row r="19" spans="3:14" ht="14.65" thickTop="1" x14ac:dyDescent="0.45"/>
    <row r="21" spans="3:14" ht="17.649999999999999" thickBot="1" x14ac:dyDescent="0.6">
      <c r="H21" s="3" t="str">
        <f>IF(H23=H24,"Not Required!","~UC_T: LO")</f>
        <v>~UC_T: LO</v>
      </c>
    </row>
    <row r="22" spans="3:14" ht="15" thickTop="1" thickBot="1" x14ac:dyDescent="0.5">
      <c r="C22" s="4" t="s">
        <v>2</v>
      </c>
      <c r="D22" s="4" t="s">
        <v>3</v>
      </c>
      <c r="E22" s="4" t="s">
        <v>4</v>
      </c>
      <c r="F22" s="4" t="s">
        <v>5</v>
      </c>
      <c r="G22" s="4" t="s">
        <v>6</v>
      </c>
      <c r="H22" s="4" t="s">
        <v>7</v>
      </c>
      <c r="I22" s="4" t="s">
        <v>8</v>
      </c>
      <c r="J22" s="4" t="s">
        <v>9</v>
      </c>
      <c r="K22" s="4" t="s">
        <v>10</v>
      </c>
    </row>
    <row r="23" spans="3:14" x14ac:dyDescent="0.45">
      <c r="C23" t="s">
        <v>11</v>
      </c>
      <c r="D23" t="s">
        <v>12</v>
      </c>
      <c r="E23" t="str">
        <f>G23</f>
        <v>AuxStoIN</v>
      </c>
      <c r="F23" t="s">
        <v>13</v>
      </c>
      <c r="G23" t="s">
        <v>14</v>
      </c>
      <c r="H23" t="str">
        <f>HLOOKUP($A$10,$D$10:$CU$12,3,FALSE)</f>
        <v>S1aH1,S4aH3,S3aH3,S4aH1,S1aH3,S3aH1,S2aH1,S2aH3</v>
      </c>
      <c r="I23">
        <f>1+I24</f>
        <v>0.25</v>
      </c>
      <c r="J23">
        <v>0</v>
      </c>
      <c r="K23">
        <v>3</v>
      </c>
      <c r="M23" t="s">
        <v>15</v>
      </c>
    </row>
    <row r="24" spans="3:14" x14ac:dyDescent="0.45">
      <c r="D24" t="s">
        <v>12</v>
      </c>
      <c r="E24" t="str">
        <f>G24</f>
        <v>AuxStoIN</v>
      </c>
      <c r="F24" t="s">
        <v>13</v>
      </c>
      <c r="G24" t="s">
        <v>14</v>
      </c>
      <c r="H24" t="str">
        <f>HLOOKUP($A$10,$D$10:$CU$12,2,FALSE)</f>
        <v>S2aH2,S1aH2,S3aH2,S4aH2</v>
      </c>
      <c r="I24">
        <f>-$I$17</f>
        <v>-0.75</v>
      </c>
      <c r="M24" t="s">
        <v>16</v>
      </c>
    </row>
    <row r="29" spans="3:14" ht="17.649999999999999" thickBot="1" x14ac:dyDescent="0.6">
      <c r="I29" s="3" t="s">
        <v>17</v>
      </c>
    </row>
    <row r="30" spans="3:14" ht="15" thickTop="1" thickBot="1" x14ac:dyDescent="0.5">
      <c r="C30" s="4" t="s">
        <v>2</v>
      </c>
      <c r="D30" s="4" t="s">
        <v>18</v>
      </c>
      <c r="E30" s="4" t="s">
        <v>19</v>
      </c>
      <c r="F30" s="4" t="s">
        <v>3</v>
      </c>
      <c r="G30" s="4" t="s">
        <v>20</v>
      </c>
      <c r="H30" s="4" t="s">
        <v>6</v>
      </c>
      <c r="I30" s="4" t="s">
        <v>7</v>
      </c>
      <c r="J30" s="4" t="s">
        <v>21</v>
      </c>
      <c r="K30" s="4" t="s">
        <v>22</v>
      </c>
      <c r="L30" s="4" t="s">
        <v>23</v>
      </c>
      <c r="M30" s="4" t="s">
        <v>24</v>
      </c>
      <c r="N30" s="4" t="s">
        <v>25</v>
      </c>
    </row>
    <row r="31" spans="3:14" x14ac:dyDescent="0.45">
      <c r="C31" t="s">
        <v>26</v>
      </c>
      <c r="D31" t="s">
        <v>27</v>
      </c>
      <c r="F31" t="s">
        <v>28</v>
      </c>
      <c r="I31" t="s">
        <v>29</v>
      </c>
      <c r="J31">
        <v>1</v>
      </c>
      <c r="L31">
        <v>0</v>
      </c>
      <c r="M31">
        <v>5</v>
      </c>
      <c r="N31" t="s">
        <v>30</v>
      </c>
    </row>
    <row r="32" spans="3:14" x14ac:dyDescent="0.45">
      <c r="H32" t="s">
        <v>31</v>
      </c>
      <c r="I32" t="s">
        <v>29</v>
      </c>
      <c r="K32">
        <v>-1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0E3143-BC0C-4790-9DAB-BC5D4A2476AC}">
  <dimension ref="A9:G14"/>
  <sheetViews>
    <sheetView workbookViewId="0"/>
  </sheetViews>
  <sheetFormatPr defaultRowHeight="14.25" x14ac:dyDescent="0.45"/>
  <sheetData>
    <row r="9" spans="1:7" x14ac:dyDescent="0.45">
      <c r="C9" t="str">
        <f>IF(A11="x","DeActivated","~TimeSlices")</f>
        <v>~TimeSlices</v>
      </c>
    </row>
    <row r="10" spans="1:7" x14ac:dyDescent="0.45">
      <c r="A10" t="s">
        <v>46</v>
      </c>
      <c r="C10" t="s">
        <v>32</v>
      </c>
      <c r="D10" t="s">
        <v>33</v>
      </c>
      <c r="E10" t="s">
        <v>34</v>
      </c>
      <c r="F10" t="s">
        <v>35</v>
      </c>
      <c r="G10" t="s">
        <v>36</v>
      </c>
    </row>
    <row r="11" spans="1:7" x14ac:dyDescent="0.45">
      <c r="C11" t="s">
        <v>37</v>
      </c>
      <c r="D11" t="s">
        <v>38</v>
      </c>
      <c r="E11" t="s">
        <v>39</v>
      </c>
      <c r="F11" t="s">
        <v>40</v>
      </c>
      <c r="G11" t="s">
        <v>38</v>
      </c>
    </row>
    <row r="12" spans="1:7" x14ac:dyDescent="0.45">
      <c r="C12" t="s">
        <v>41</v>
      </c>
      <c r="E12" t="s">
        <v>42</v>
      </c>
      <c r="G12" t="s">
        <v>38</v>
      </c>
    </row>
    <row r="13" spans="1:7" x14ac:dyDescent="0.45">
      <c r="C13" t="s">
        <v>43</v>
      </c>
      <c r="E13" t="s">
        <v>44</v>
      </c>
      <c r="G13" t="s">
        <v>38</v>
      </c>
    </row>
    <row r="14" spans="1:7" x14ac:dyDescent="0.45">
      <c r="C14" t="s">
        <v>45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4951F-BFDC-4CB1-95C5-69C687C8560E}">
  <dimension ref="B9:O250"/>
  <sheetViews>
    <sheetView workbookViewId="0"/>
  </sheetViews>
  <sheetFormatPr defaultRowHeight="14.25" x14ac:dyDescent="0.45"/>
  <sheetData>
    <row r="9" spans="2:15" x14ac:dyDescent="0.45">
      <c r="B9" t="str">
        <f>IF(A11="x","DeActivated","~TFM_DINS-AT")</f>
        <v>~TFM_DINS-AT</v>
      </c>
      <c r="G9" t="str">
        <f>IF(A11="x","DeActivated","~TFM_DINS-AT")</f>
        <v>~TFM_DINS-AT</v>
      </c>
      <c r="L9" t="str">
        <f>IF(A11="x","DeActivated","~TFM_DINS-AT")</f>
        <v>~TFM_DINS-AT</v>
      </c>
    </row>
    <row r="10" spans="2:15" x14ac:dyDescent="0.45">
      <c r="B10" t="s">
        <v>47</v>
      </c>
      <c r="C10" t="s">
        <v>48</v>
      </c>
      <c r="D10" t="s">
        <v>49</v>
      </c>
      <c r="E10" t="s">
        <v>50</v>
      </c>
      <c r="G10" t="s">
        <v>47</v>
      </c>
      <c r="H10" t="s">
        <v>48</v>
      </c>
      <c r="I10" t="s">
        <v>49</v>
      </c>
      <c r="J10" t="s">
        <v>50</v>
      </c>
      <c r="L10" t="s">
        <v>47</v>
      </c>
      <c r="M10" t="s">
        <v>48</v>
      </c>
      <c r="N10" t="s">
        <v>49</v>
      </c>
      <c r="O10" t="s">
        <v>50</v>
      </c>
    </row>
    <row r="11" spans="2:15" x14ac:dyDescent="0.45">
      <c r="B11" t="s">
        <v>51</v>
      </c>
      <c r="C11" t="s">
        <v>52</v>
      </c>
      <c r="D11">
        <v>0</v>
      </c>
      <c r="E11" t="s">
        <v>53</v>
      </c>
      <c r="G11" t="s">
        <v>84</v>
      </c>
      <c r="H11" t="s">
        <v>52</v>
      </c>
      <c r="I11">
        <v>0.11779464701065187</v>
      </c>
      <c r="J11" t="s">
        <v>53</v>
      </c>
      <c r="L11" t="s">
        <v>104</v>
      </c>
      <c r="M11" t="s">
        <v>52</v>
      </c>
      <c r="N11">
        <v>0.11534201977823755</v>
      </c>
      <c r="O11" t="s">
        <v>53</v>
      </c>
    </row>
    <row r="12" spans="2:15" x14ac:dyDescent="0.45">
      <c r="B12" t="s">
        <v>51</v>
      </c>
      <c r="C12" t="s">
        <v>54</v>
      </c>
      <c r="D12">
        <v>8.0700550115698211E-2</v>
      </c>
      <c r="E12" t="s">
        <v>53</v>
      </c>
      <c r="G12" t="s">
        <v>84</v>
      </c>
      <c r="H12" t="s">
        <v>54</v>
      </c>
      <c r="I12">
        <v>0.13785347636956521</v>
      </c>
      <c r="J12" t="s">
        <v>53</v>
      </c>
      <c r="L12" t="s">
        <v>104</v>
      </c>
      <c r="M12" t="s">
        <v>54</v>
      </c>
      <c r="N12">
        <v>0.13879450937558688</v>
      </c>
      <c r="O12" t="s">
        <v>53</v>
      </c>
    </row>
    <row r="13" spans="2:15" x14ac:dyDescent="0.45">
      <c r="B13" t="s">
        <v>51</v>
      </c>
      <c r="C13" t="s">
        <v>55</v>
      </c>
      <c r="D13">
        <v>4.3445580452208842E-6</v>
      </c>
      <c r="E13" t="s">
        <v>53</v>
      </c>
      <c r="G13" t="s">
        <v>84</v>
      </c>
      <c r="H13" t="s">
        <v>55</v>
      </c>
      <c r="I13">
        <v>9.2939958152326044E-2</v>
      </c>
      <c r="J13" t="s">
        <v>53</v>
      </c>
      <c r="L13" t="s">
        <v>104</v>
      </c>
      <c r="M13" t="s">
        <v>55</v>
      </c>
      <c r="N13">
        <v>8.9708568333882313E-2</v>
      </c>
      <c r="O13" t="s">
        <v>53</v>
      </c>
    </row>
    <row r="14" spans="2:15" x14ac:dyDescent="0.45">
      <c r="B14" t="s">
        <v>51</v>
      </c>
      <c r="C14" t="s">
        <v>56</v>
      </c>
      <c r="D14">
        <v>2.2083955786590101E-2</v>
      </c>
      <c r="E14" t="s">
        <v>53</v>
      </c>
      <c r="G14" t="s">
        <v>84</v>
      </c>
      <c r="H14" t="s">
        <v>56</v>
      </c>
      <c r="I14">
        <v>9.7486544096661257E-2</v>
      </c>
      <c r="J14" t="s">
        <v>53</v>
      </c>
      <c r="L14" t="s">
        <v>104</v>
      </c>
      <c r="M14" t="s">
        <v>56</v>
      </c>
      <c r="N14">
        <v>8.3899585009759109E-2</v>
      </c>
      <c r="O14" t="s">
        <v>53</v>
      </c>
    </row>
    <row r="15" spans="2:15" x14ac:dyDescent="0.45">
      <c r="B15" t="s">
        <v>51</v>
      </c>
      <c r="C15" t="s">
        <v>57</v>
      </c>
      <c r="D15">
        <v>0.28716645138107261</v>
      </c>
      <c r="E15" t="s">
        <v>53</v>
      </c>
      <c r="G15" t="s">
        <v>84</v>
      </c>
      <c r="H15" t="s">
        <v>57</v>
      </c>
      <c r="I15">
        <v>9.2963618345816595E-2</v>
      </c>
      <c r="J15" t="s">
        <v>53</v>
      </c>
      <c r="L15" t="s">
        <v>104</v>
      </c>
      <c r="M15" t="s">
        <v>57</v>
      </c>
      <c r="N15">
        <v>8.7821282823340077E-2</v>
      </c>
      <c r="O15" t="s">
        <v>53</v>
      </c>
    </row>
    <row r="16" spans="2:15" x14ac:dyDescent="0.45">
      <c r="B16" t="s">
        <v>51</v>
      </c>
      <c r="C16" t="s">
        <v>58</v>
      </c>
      <c r="D16">
        <v>1.7574242612038646E-2</v>
      </c>
      <c r="E16" t="s">
        <v>53</v>
      </c>
      <c r="G16" t="s">
        <v>84</v>
      </c>
      <c r="H16" t="s">
        <v>58</v>
      </c>
      <c r="I16">
        <v>7.209502261623521E-2</v>
      </c>
      <c r="J16" t="s">
        <v>53</v>
      </c>
      <c r="L16" t="s">
        <v>104</v>
      </c>
      <c r="M16" t="s">
        <v>58</v>
      </c>
      <c r="N16">
        <v>6.3739108386545576E-2</v>
      </c>
      <c r="O16" t="s">
        <v>53</v>
      </c>
    </row>
    <row r="17" spans="2:15" x14ac:dyDescent="0.45">
      <c r="B17" t="s">
        <v>51</v>
      </c>
      <c r="C17" t="s">
        <v>59</v>
      </c>
      <c r="D17">
        <v>3.95737417241376E-2</v>
      </c>
      <c r="E17" t="s">
        <v>53</v>
      </c>
      <c r="G17" t="s">
        <v>84</v>
      </c>
      <c r="H17" t="s">
        <v>59</v>
      </c>
      <c r="I17">
        <v>4.7323357684290454E-2</v>
      </c>
      <c r="J17" t="s">
        <v>53</v>
      </c>
      <c r="L17" t="s">
        <v>104</v>
      </c>
      <c r="M17" t="s">
        <v>59</v>
      </c>
      <c r="N17">
        <v>4.7903410601341845E-2</v>
      </c>
      <c r="O17" t="s">
        <v>53</v>
      </c>
    </row>
    <row r="18" spans="2:15" x14ac:dyDescent="0.45">
      <c r="B18" t="s">
        <v>51</v>
      </c>
      <c r="C18" t="s">
        <v>60</v>
      </c>
      <c r="D18">
        <v>0.34914689039572977</v>
      </c>
      <c r="E18" t="s">
        <v>53</v>
      </c>
      <c r="G18" t="s">
        <v>84</v>
      </c>
      <c r="H18" t="s">
        <v>60</v>
      </c>
      <c r="I18">
        <v>4.5396720466791676E-2</v>
      </c>
      <c r="J18" t="s">
        <v>53</v>
      </c>
      <c r="L18" t="s">
        <v>104</v>
      </c>
      <c r="M18" t="s">
        <v>60</v>
      </c>
      <c r="N18">
        <v>6.100703168641182E-2</v>
      </c>
      <c r="O18" t="s">
        <v>53</v>
      </c>
    </row>
    <row r="19" spans="2:15" x14ac:dyDescent="0.45">
      <c r="B19" t="s">
        <v>51</v>
      </c>
      <c r="C19" t="s">
        <v>61</v>
      </c>
      <c r="D19">
        <v>3.6947590512206724E-2</v>
      </c>
      <c r="E19" t="s">
        <v>53</v>
      </c>
      <c r="G19" t="s">
        <v>84</v>
      </c>
      <c r="H19" t="s">
        <v>61</v>
      </c>
      <c r="I19">
        <v>3.7169638757583633E-2</v>
      </c>
      <c r="J19" t="s">
        <v>53</v>
      </c>
      <c r="L19" t="s">
        <v>104</v>
      </c>
      <c r="M19" t="s">
        <v>61</v>
      </c>
      <c r="N19">
        <v>3.785850178830337E-2</v>
      </c>
      <c r="O19" t="s">
        <v>53</v>
      </c>
    </row>
    <row r="20" spans="2:15" x14ac:dyDescent="0.45">
      <c r="B20" t="s">
        <v>51</v>
      </c>
      <c r="C20" t="s">
        <v>62</v>
      </c>
      <c r="D20">
        <v>4.6560148543866612E-3</v>
      </c>
      <c r="E20" t="s">
        <v>53</v>
      </c>
      <c r="G20" t="s">
        <v>84</v>
      </c>
      <c r="H20" t="s">
        <v>62</v>
      </c>
      <c r="I20">
        <v>8.7782083630519203E-2</v>
      </c>
      <c r="J20" t="s">
        <v>53</v>
      </c>
      <c r="L20" t="s">
        <v>104</v>
      </c>
      <c r="M20" t="s">
        <v>62</v>
      </c>
      <c r="N20">
        <v>9.0018140126409116E-2</v>
      </c>
      <c r="O20" t="s">
        <v>53</v>
      </c>
    </row>
    <row r="21" spans="2:15" x14ac:dyDescent="0.45">
      <c r="B21" t="s">
        <v>51</v>
      </c>
      <c r="C21" t="s">
        <v>63</v>
      </c>
      <c r="D21">
        <v>0.15943932150390072</v>
      </c>
      <c r="E21" t="s">
        <v>53</v>
      </c>
      <c r="G21" t="s">
        <v>84</v>
      </c>
      <c r="H21" t="s">
        <v>63</v>
      </c>
      <c r="I21">
        <v>9.5876496983244977E-2</v>
      </c>
      <c r="J21" t="s">
        <v>53</v>
      </c>
      <c r="L21" t="s">
        <v>104</v>
      </c>
      <c r="M21" t="s">
        <v>63</v>
      </c>
      <c r="N21">
        <v>0.10954208342586549</v>
      </c>
      <c r="O21" t="s">
        <v>53</v>
      </c>
    </row>
    <row r="22" spans="2:15" x14ac:dyDescent="0.45">
      <c r="B22" t="s">
        <v>51</v>
      </c>
      <c r="C22" t="s">
        <v>64</v>
      </c>
      <c r="D22">
        <v>2.7068965561922089E-3</v>
      </c>
      <c r="E22" t="s">
        <v>53</v>
      </c>
      <c r="G22" t="s">
        <v>84</v>
      </c>
      <c r="H22" t="s">
        <v>64</v>
      </c>
      <c r="I22">
        <v>7.5318435886315607E-2</v>
      </c>
      <c r="J22" t="s">
        <v>53</v>
      </c>
      <c r="L22" t="s">
        <v>104</v>
      </c>
      <c r="M22" t="s">
        <v>64</v>
      </c>
      <c r="N22">
        <v>7.4365758664320894E-2</v>
      </c>
      <c r="O22" t="s">
        <v>53</v>
      </c>
    </row>
    <row r="23" spans="2:15" x14ac:dyDescent="0.45">
      <c r="B23" t="s">
        <v>65</v>
      </c>
      <c r="C23" t="s">
        <v>52</v>
      </c>
      <c r="D23">
        <v>0</v>
      </c>
      <c r="E23" t="s">
        <v>53</v>
      </c>
      <c r="G23" t="s">
        <v>85</v>
      </c>
      <c r="H23" t="s">
        <v>52</v>
      </c>
      <c r="I23">
        <v>0.12028698100353262</v>
      </c>
      <c r="J23" t="s">
        <v>53</v>
      </c>
      <c r="L23" t="s">
        <v>105</v>
      </c>
      <c r="M23" t="s">
        <v>52</v>
      </c>
      <c r="N23">
        <v>0.10103665279580278</v>
      </c>
      <c r="O23" t="s">
        <v>53</v>
      </c>
    </row>
    <row r="24" spans="2:15" x14ac:dyDescent="0.45">
      <c r="B24" t="s">
        <v>65</v>
      </c>
      <c r="C24" t="s">
        <v>54</v>
      </c>
      <c r="D24">
        <v>9.4966769772519791E-2</v>
      </c>
      <c r="E24" t="s">
        <v>53</v>
      </c>
      <c r="G24" t="s">
        <v>85</v>
      </c>
      <c r="H24" t="s">
        <v>54</v>
      </c>
      <c r="I24">
        <v>0.14058366070657766</v>
      </c>
      <c r="J24" t="s">
        <v>53</v>
      </c>
      <c r="L24" t="s">
        <v>105</v>
      </c>
      <c r="M24" t="s">
        <v>54</v>
      </c>
      <c r="N24">
        <v>0.12788732245495893</v>
      </c>
      <c r="O24" t="s">
        <v>53</v>
      </c>
    </row>
    <row r="25" spans="2:15" x14ac:dyDescent="0.45">
      <c r="B25" t="s">
        <v>65</v>
      </c>
      <c r="C25" t="s">
        <v>55</v>
      </c>
      <c r="D25">
        <v>0</v>
      </c>
      <c r="E25" t="s">
        <v>53</v>
      </c>
      <c r="G25" t="s">
        <v>85</v>
      </c>
      <c r="H25" t="s">
        <v>55</v>
      </c>
      <c r="I25">
        <v>9.3051421931707831E-2</v>
      </c>
      <c r="J25" t="s">
        <v>53</v>
      </c>
      <c r="L25" t="s">
        <v>105</v>
      </c>
      <c r="M25" t="s">
        <v>55</v>
      </c>
      <c r="N25">
        <v>8.0127895651943767E-2</v>
      </c>
      <c r="O25" t="s">
        <v>53</v>
      </c>
    </row>
    <row r="26" spans="2:15" x14ac:dyDescent="0.45">
      <c r="B26" t="s">
        <v>65</v>
      </c>
      <c r="C26" t="s">
        <v>56</v>
      </c>
      <c r="D26">
        <v>2.2641780960886679E-2</v>
      </c>
      <c r="E26" t="s">
        <v>53</v>
      </c>
      <c r="G26" t="s">
        <v>85</v>
      </c>
      <c r="H26" t="s">
        <v>56</v>
      </c>
      <c r="I26">
        <v>9.4011763813938609E-2</v>
      </c>
      <c r="J26" t="s">
        <v>53</v>
      </c>
      <c r="L26" t="s">
        <v>105</v>
      </c>
      <c r="M26" t="s">
        <v>56</v>
      </c>
      <c r="N26">
        <v>9.0464767891032735E-2</v>
      </c>
      <c r="O26" t="s">
        <v>53</v>
      </c>
    </row>
    <row r="27" spans="2:15" x14ac:dyDescent="0.45">
      <c r="B27" t="s">
        <v>65</v>
      </c>
      <c r="C27" t="s">
        <v>57</v>
      </c>
      <c r="D27">
        <v>0.27796467326299434</v>
      </c>
      <c r="E27" t="s">
        <v>53</v>
      </c>
      <c r="G27" t="s">
        <v>85</v>
      </c>
      <c r="H27" t="s">
        <v>57</v>
      </c>
      <c r="I27">
        <v>9.287290533844017E-2</v>
      </c>
      <c r="J27" t="s">
        <v>53</v>
      </c>
      <c r="L27" t="s">
        <v>105</v>
      </c>
      <c r="M27" t="s">
        <v>57</v>
      </c>
      <c r="N27">
        <v>9.9999263609163447E-2</v>
      </c>
      <c r="O27" t="s">
        <v>53</v>
      </c>
    </row>
    <row r="28" spans="2:15" x14ac:dyDescent="0.45">
      <c r="B28" t="s">
        <v>65</v>
      </c>
      <c r="C28" t="s">
        <v>58</v>
      </c>
      <c r="D28">
        <v>1.4759379434962781E-2</v>
      </c>
      <c r="E28" t="s">
        <v>53</v>
      </c>
      <c r="G28" t="s">
        <v>85</v>
      </c>
      <c r="H28" t="s">
        <v>58</v>
      </c>
      <c r="I28">
        <v>7.2448382586309451E-2</v>
      </c>
      <c r="J28" t="s">
        <v>53</v>
      </c>
      <c r="L28" t="s">
        <v>105</v>
      </c>
      <c r="M28" t="s">
        <v>58</v>
      </c>
      <c r="N28">
        <v>6.9392602996355607E-2</v>
      </c>
      <c r="O28" t="s">
        <v>53</v>
      </c>
    </row>
    <row r="29" spans="2:15" x14ac:dyDescent="0.45">
      <c r="B29" t="s">
        <v>65</v>
      </c>
      <c r="C29" t="s">
        <v>59</v>
      </c>
      <c r="D29">
        <v>4.0390707014552905E-2</v>
      </c>
      <c r="E29" t="s">
        <v>53</v>
      </c>
      <c r="G29" t="s">
        <v>85</v>
      </c>
      <c r="H29" t="s">
        <v>59</v>
      </c>
      <c r="I29">
        <v>4.3667571279931101E-2</v>
      </c>
      <c r="J29" t="s">
        <v>53</v>
      </c>
      <c r="L29" t="s">
        <v>105</v>
      </c>
      <c r="M29" t="s">
        <v>59</v>
      </c>
      <c r="N29">
        <v>5.8117186888501454E-2</v>
      </c>
      <c r="O29" t="s">
        <v>53</v>
      </c>
    </row>
    <row r="30" spans="2:15" x14ac:dyDescent="0.45">
      <c r="B30" t="s">
        <v>65</v>
      </c>
      <c r="C30" t="s">
        <v>60</v>
      </c>
      <c r="D30">
        <v>0.33937194756746619</v>
      </c>
      <c r="E30" t="s">
        <v>53</v>
      </c>
      <c r="G30" t="s">
        <v>85</v>
      </c>
      <c r="H30" t="s">
        <v>60</v>
      </c>
      <c r="I30">
        <v>4.5895070240746294E-2</v>
      </c>
      <c r="J30" t="s">
        <v>53</v>
      </c>
      <c r="L30" t="s">
        <v>105</v>
      </c>
      <c r="M30" t="s">
        <v>60</v>
      </c>
      <c r="N30">
        <v>6.8688711240587022E-2</v>
      </c>
      <c r="O30" t="s">
        <v>53</v>
      </c>
    </row>
    <row r="31" spans="2:15" x14ac:dyDescent="0.45">
      <c r="B31" t="s">
        <v>65</v>
      </c>
      <c r="C31" t="s">
        <v>61</v>
      </c>
      <c r="D31">
        <v>3.1779238761971758E-2</v>
      </c>
      <c r="E31" t="s">
        <v>53</v>
      </c>
      <c r="G31" t="s">
        <v>85</v>
      </c>
      <c r="H31" t="s">
        <v>61</v>
      </c>
      <c r="I31">
        <v>3.6966006967352472E-2</v>
      </c>
      <c r="J31" t="s">
        <v>53</v>
      </c>
      <c r="L31" t="s">
        <v>105</v>
      </c>
      <c r="M31" t="s">
        <v>61</v>
      </c>
      <c r="N31">
        <v>4.432472477345558E-2</v>
      </c>
      <c r="O31" t="s">
        <v>53</v>
      </c>
    </row>
    <row r="32" spans="2:15" x14ac:dyDescent="0.45">
      <c r="B32" t="s">
        <v>65</v>
      </c>
      <c r="C32" t="s">
        <v>62</v>
      </c>
      <c r="D32">
        <v>5.8707470701483948E-3</v>
      </c>
      <c r="E32" t="s">
        <v>53</v>
      </c>
      <c r="G32" t="s">
        <v>85</v>
      </c>
      <c r="H32" t="s">
        <v>62</v>
      </c>
      <c r="I32">
        <v>8.5166707657702581E-2</v>
      </c>
      <c r="J32" t="s">
        <v>53</v>
      </c>
      <c r="L32" t="s">
        <v>105</v>
      </c>
      <c r="M32" t="s">
        <v>62</v>
      </c>
      <c r="N32">
        <v>8.4955412795874652E-2</v>
      </c>
      <c r="O32" t="s">
        <v>53</v>
      </c>
    </row>
    <row r="33" spans="2:15" x14ac:dyDescent="0.45">
      <c r="B33" t="s">
        <v>65</v>
      </c>
      <c r="C33" t="s">
        <v>63</v>
      </c>
      <c r="D33">
        <v>0.17044650179855803</v>
      </c>
      <c r="E33" t="s">
        <v>53</v>
      </c>
      <c r="G33" t="s">
        <v>85</v>
      </c>
      <c r="H33" t="s">
        <v>63</v>
      </c>
      <c r="I33">
        <v>9.7678085086069497E-2</v>
      </c>
      <c r="J33" t="s">
        <v>53</v>
      </c>
      <c r="L33" t="s">
        <v>105</v>
      </c>
      <c r="M33" t="s">
        <v>63</v>
      </c>
      <c r="N33">
        <v>0.10733152799814702</v>
      </c>
      <c r="O33" t="s">
        <v>53</v>
      </c>
    </row>
    <row r="34" spans="2:15" x14ac:dyDescent="0.45">
      <c r="B34" t="s">
        <v>65</v>
      </c>
      <c r="C34" t="s">
        <v>64</v>
      </c>
      <c r="D34">
        <v>1.8082543559404111E-3</v>
      </c>
      <c r="E34" t="s">
        <v>53</v>
      </c>
      <c r="G34" t="s">
        <v>85</v>
      </c>
      <c r="H34" t="s">
        <v>64</v>
      </c>
      <c r="I34">
        <v>7.7371443387692279E-2</v>
      </c>
      <c r="J34" t="s">
        <v>53</v>
      </c>
      <c r="L34" t="s">
        <v>105</v>
      </c>
      <c r="M34" t="s">
        <v>64</v>
      </c>
      <c r="N34">
        <v>6.7673930904179475E-2</v>
      </c>
      <c r="O34" t="s">
        <v>53</v>
      </c>
    </row>
    <row r="35" spans="2:15" x14ac:dyDescent="0.45">
      <c r="B35" t="s">
        <v>66</v>
      </c>
      <c r="C35" t="s">
        <v>52</v>
      </c>
      <c r="D35">
        <v>0</v>
      </c>
      <c r="E35" t="s">
        <v>53</v>
      </c>
      <c r="G35" t="s">
        <v>86</v>
      </c>
      <c r="H35" t="s">
        <v>52</v>
      </c>
      <c r="I35">
        <v>0.11834276327568338</v>
      </c>
      <c r="J35" t="s">
        <v>53</v>
      </c>
      <c r="L35" t="s">
        <v>106</v>
      </c>
      <c r="M35" t="s">
        <v>52</v>
      </c>
      <c r="N35">
        <v>0.10757891219586864</v>
      </c>
      <c r="O35" t="s">
        <v>53</v>
      </c>
    </row>
    <row r="36" spans="2:15" x14ac:dyDescent="0.45">
      <c r="B36" t="s">
        <v>66</v>
      </c>
      <c r="C36" t="s">
        <v>54</v>
      </c>
      <c r="D36">
        <v>8.3506570320454679E-2</v>
      </c>
      <c r="E36" t="s">
        <v>53</v>
      </c>
      <c r="G36" t="s">
        <v>86</v>
      </c>
      <c r="H36" t="s">
        <v>54</v>
      </c>
      <c r="I36">
        <v>0.13924390896619246</v>
      </c>
      <c r="J36" t="s">
        <v>53</v>
      </c>
      <c r="L36" t="s">
        <v>106</v>
      </c>
      <c r="M36" t="s">
        <v>54</v>
      </c>
      <c r="N36">
        <v>0.13260399278843782</v>
      </c>
      <c r="O36" t="s">
        <v>53</v>
      </c>
    </row>
    <row r="37" spans="2:15" x14ac:dyDescent="0.45">
      <c r="B37" t="s">
        <v>66</v>
      </c>
      <c r="C37" t="s">
        <v>55</v>
      </c>
      <c r="D37">
        <v>0</v>
      </c>
      <c r="E37" t="s">
        <v>53</v>
      </c>
      <c r="G37" t="s">
        <v>86</v>
      </c>
      <c r="H37" t="s">
        <v>55</v>
      </c>
      <c r="I37">
        <v>9.0036195981592737E-2</v>
      </c>
      <c r="J37" t="s">
        <v>53</v>
      </c>
      <c r="L37" t="s">
        <v>106</v>
      </c>
      <c r="M37" t="s">
        <v>55</v>
      </c>
      <c r="N37">
        <v>8.4935539975900615E-2</v>
      </c>
      <c r="O37" t="s">
        <v>53</v>
      </c>
    </row>
    <row r="38" spans="2:15" x14ac:dyDescent="0.45">
      <c r="B38" t="s">
        <v>66</v>
      </c>
      <c r="C38" t="s">
        <v>56</v>
      </c>
      <c r="D38">
        <v>2.5153837798531281E-2</v>
      </c>
      <c r="E38" t="s">
        <v>53</v>
      </c>
      <c r="G38" t="s">
        <v>86</v>
      </c>
      <c r="H38" t="s">
        <v>56</v>
      </c>
      <c r="I38">
        <v>9.3429253683890906E-2</v>
      </c>
      <c r="J38" t="s">
        <v>53</v>
      </c>
      <c r="L38" t="s">
        <v>106</v>
      </c>
      <c r="M38" t="s">
        <v>56</v>
      </c>
      <c r="N38">
        <v>8.7748442791432887E-2</v>
      </c>
      <c r="O38" t="s">
        <v>53</v>
      </c>
    </row>
    <row r="39" spans="2:15" x14ac:dyDescent="0.45">
      <c r="B39" t="s">
        <v>66</v>
      </c>
      <c r="C39" t="s">
        <v>57</v>
      </c>
      <c r="D39">
        <v>0.27733733689009155</v>
      </c>
      <c r="E39" t="s">
        <v>53</v>
      </c>
      <c r="G39" t="s">
        <v>86</v>
      </c>
      <c r="H39" t="s">
        <v>57</v>
      </c>
      <c r="I39">
        <v>0.10057036913991228</v>
      </c>
      <c r="J39" t="s">
        <v>53</v>
      </c>
      <c r="L39" t="s">
        <v>106</v>
      </c>
      <c r="M39" t="s">
        <v>57</v>
      </c>
      <c r="N39">
        <v>9.2861078899767815E-2</v>
      </c>
      <c r="O39" t="s">
        <v>53</v>
      </c>
    </row>
    <row r="40" spans="2:15" x14ac:dyDescent="0.45">
      <c r="B40" t="s">
        <v>66</v>
      </c>
      <c r="C40" t="s">
        <v>58</v>
      </c>
      <c r="D40">
        <v>1.519930147966481E-2</v>
      </c>
      <c r="E40" t="s">
        <v>53</v>
      </c>
      <c r="G40" t="s">
        <v>86</v>
      </c>
      <c r="H40" t="s">
        <v>58</v>
      </c>
      <c r="I40">
        <v>7.1572537952555859E-2</v>
      </c>
      <c r="J40" t="s">
        <v>53</v>
      </c>
      <c r="L40" t="s">
        <v>106</v>
      </c>
      <c r="M40" t="s">
        <v>58</v>
      </c>
      <c r="N40">
        <v>6.6352045739611079E-2</v>
      </c>
      <c r="O40" t="s">
        <v>53</v>
      </c>
    </row>
    <row r="41" spans="2:15" x14ac:dyDescent="0.45">
      <c r="B41" t="s">
        <v>66</v>
      </c>
      <c r="C41" t="s">
        <v>59</v>
      </c>
      <c r="D41">
        <v>4.2199836061550138E-2</v>
      </c>
      <c r="E41" t="s">
        <v>53</v>
      </c>
      <c r="G41" t="s">
        <v>86</v>
      </c>
      <c r="H41" t="s">
        <v>59</v>
      </c>
      <c r="I41">
        <v>4.4657581455332544E-2</v>
      </c>
      <c r="J41" t="s">
        <v>53</v>
      </c>
      <c r="L41" t="s">
        <v>106</v>
      </c>
      <c r="M41" t="s">
        <v>59</v>
      </c>
      <c r="N41">
        <v>5.3814378676508234E-2</v>
      </c>
      <c r="O41" t="s">
        <v>53</v>
      </c>
    </row>
    <row r="42" spans="2:15" x14ac:dyDescent="0.45">
      <c r="B42" t="s">
        <v>66</v>
      </c>
      <c r="C42" t="s">
        <v>60</v>
      </c>
      <c r="D42">
        <v>0.34374080780077321</v>
      </c>
      <c r="E42" t="s">
        <v>53</v>
      </c>
      <c r="G42" t="s">
        <v>86</v>
      </c>
      <c r="H42" t="s">
        <v>60</v>
      </c>
      <c r="I42">
        <v>4.8550238569323771E-2</v>
      </c>
      <c r="J42" t="s">
        <v>53</v>
      </c>
      <c r="L42" t="s">
        <v>106</v>
      </c>
      <c r="M42" t="s">
        <v>60</v>
      </c>
      <c r="N42">
        <v>6.5527862995319389E-2</v>
      </c>
      <c r="O42" t="s">
        <v>53</v>
      </c>
    </row>
    <row r="43" spans="2:15" x14ac:dyDescent="0.45">
      <c r="B43" t="s">
        <v>66</v>
      </c>
      <c r="C43" t="s">
        <v>61</v>
      </c>
      <c r="D43">
        <v>3.3564037331640748E-2</v>
      </c>
      <c r="E43" t="s">
        <v>53</v>
      </c>
      <c r="G43" t="s">
        <v>86</v>
      </c>
      <c r="H43" t="s">
        <v>61</v>
      </c>
      <c r="I43">
        <v>3.7840994190884748E-2</v>
      </c>
      <c r="J43" t="s">
        <v>53</v>
      </c>
      <c r="L43" t="s">
        <v>106</v>
      </c>
      <c r="M43" t="s">
        <v>61</v>
      </c>
      <c r="N43">
        <v>4.1534877831595589E-2</v>
      </c>
      <c r="O43" t="s">
        <v>53</v>
      </c>
    </row>
    <row r="44" spans="2:15" x14ac:dyDescent="0.45">
      <c r="B44" t="s">
        <v>66</v>
      </c>
      <c r="C44" t="s">
        <v>62</v>
      </c>
      <c r="D44">
        <v>6.1437800952329454E-3</v>
      </c>
      <c r="E44" t="s">
        <v>53</v>
      </c>
      <c r="G44" t="s">
        <v>86</v>
      </c>
      <c r="H44" t="s">
        <v>62</v>
      </c>
      <c r="I44">
        <v>8.792836502466081E-2</v>
      </c>
      <c r="J44" t="s">
        <v>53</v>
      </c>
      <c r="L44" t="s">
        <v>106</v>
      </c>
      <c r="M44" t="s">
        <v>62</v>
      </c>
      <c r="N44">
        <v>8.7596315133924463E-2</v>
      </c>
      <c r="O44" t="s">
        <v>53</v>
      </c>
    </row>
    <row r="45" spans="2:15" x14ac:dyDescent="0.45">
      <c r="B45" t="s">
        <v>66</v>
      </c>
      <c r="C45" t="s">
        <v>63</v>
      </c>
      <c r="D45">
        <v>0.17151187864862305</v>
      </c>
      <c r="E45" t="s">
        <v>53</v>
      </c>
      <c r="G45" t="s">
        <v>86</v>
      </c>
      <c r="H45" t="s">
        <v>63</v>
      </c>
      <c r="I45">
        <v>9.602167487699069E-2</v>
      </c>
      <c r="J45" t="s">
        <v>53</v>
      </c>
      <c r="L45" t="s">
        <v>106</v>
      </c>
      <c r="M45" t="s">
        <v>63</v>
      </c>
      <c r="N45">
        <v>0.10843743547144187</v>
      </c>
      <c r="O45" t="s">
        <v>53</v>
      </c>
    </row>
    <row r="46" spans="2:15" x14ac:dyDescent="0.45">
      <c r="B46" t="s">
        <v>66</v>
      </c>
      <c r="C46" t="s">
        <v>64</v>
      </c>
      <c r="D46">
        <v>1.642613573432891E-3</v>
      </c>
      <c r="E46" t="s">
        <v>53</v>
      </c>
      <c r="G46" t="s">
        <v>86</v>
      </c>
      <c r="H46" t="s">
        <v>64</v>
      </c>
      <c r="I46">
        <v>7.1806116882977111E-2</v>
      </c>
      <c r="J46" t="s">
        <v>53</v>
      </c>
      <c r="L46" t="s">
        <v>106</v>
      </c>
      <c r="M46" t="s">
        <v>64</v>
      </c>
      <c r="N46">
        <v>7.1009117500192356E-2</v>
      </c>
      <c r="O46" t="s">
        <v>53</v>
      </c>
    </row>
    <row r="47" spans="2:15" x14ac:dyDescent="0.45">
      <c r="B47" t="s">
        <v>67</v>
      </c>
      <c r="C47" t="s">
        <v>52</v>
      </c>
      <c r="D47">
        <v>0</v>
      </c>
      <c r="E47" t="s">
        <v>53</v>
      </c>
      <c r="G47" t="s">
        <v>87</v>
      </c>
      <c r="H47" t="s">
        <v>52</v>
      </c>
      <c r="I47">
        <v>0.11737897279587263</v>
      </c>
      <c r="J47" t="s">
        <v>53</v>
      </c>
      <c r="L47" t="s">
        <v>107</v>
      </c>
      <c r="M47" t="s">
        <v>52</v>
      </c>
      <c r="N47">
        <v>9.4609428538615634E-2</v>
      </c>
      <c r="O47" t="s">
        <v>53</v>
      </c>
    </row>
    <row r="48" spans="2:15" x14ac:dyDescent="0.45">
      <c r="B48" t="s">
        <v>67</v>
      </c>
      <c r="C48" t="s">
        <v>54</v>
      </c>
      <c r="D48">
        <v>6.9991526406045793E-2</v>
      </c>
      <c r="E48" t="s">
        <v>53</v>
      </c>
      <c r="G48" t="s">
        <v>87</v>
      </c>
      <c r="H48" t="s">
        <v>54</v>
      </c>
      <c r="I48">
        <v>0.13817173820430345</v>
      </c>
      <c r="J48" t="s">
        <v>53</v>
      </c>
      <c r="L48" t="s">
        <v>107</v>
      </c>
      <c r="M48" t="s">
        <v>54</v>
      </c>
      <c r="N48">
        <v>0.12262534068246571</v>
      </c>
      <c r="O48" t="s">
        <v>53</v>
      </c>
    </row>
    <row r="49" spans="2:15" x14ac:dyDescent="0.45">
      <c r="B49" t="s">
        <v>67</v>
      </c>
      <c r="C49" t="s">
        <v>55</v>
      </c>
      <c r="D49">
        <v>0</v>
      </c>
      <c r="E49" t="s">
        <v>53</v>
      </c>
      <c r="G49" t="s">
        <v>87</v>
      </c>
      <c r="H49" t="s">
        <v>55</v>
      </c>
      <c r="I49">
        <v>9.0450587309073183E-2</v>
      </c>
      <c r="J49" t="s">
        <v>53</v>
      </c>
      <c r="L49" t="s">
        <v>107</v>
      </c>
      <c r="M49" t="s">
        <v>55</v>
      </c>
      <c r="N49">
        <v>7.3601135221598737E-2</v>
      </c>
      <c r="O49" t="s">
        <v>53</v>
      </c>
    </row>
    <row r="50" spans="2:15" x14ac:dyDescent="0.45">
      <c r="B50" t="s">
        <v>67</v>
      </c>
      <c r="C50" t="s">
        <v>56</v>
      </c>
      <c r="D50">
        <v>2.3594205000005801E-2</v>
      </c>
      <c r="E50" t="s">
        <v>53</v>
      </c>
      <c r="G50" t="s">
        <v>87</v>
      </c>
      <c r="H50" t="s">
        <v>56</v>
      </c>
      <c r="I50">
        <v>9.4491131003464027E-2</v>
      </c>
      <c r="J50" t="s">
        <v>53</v>
      </c>
      <c r="L50" t="s">
        <v>107</v>
      </c>
      <c r="M50" t="s">
        <v>56</v>
      </c>
      <c r="N50">
        <v>9.1911434780695522E-2</v>
      </c>
      <c r="O50" t="s">
        <v>53</v>
      </c>
    </row>
    <row r="51" spans="2:15" x14ac:dyDescent="0.45">
      <c r="B51" t="s">
        <v>67</v>
      </c>
      <c r="C51" t="s">
        <v>57</v>
      </c>
      <c r="D51">
        <v>0.30361429091556336</v>
      </c>
      <c r="E51" t="s">
        <v>53</v>
      </c>
      <c r="G51" t="s">
        <v>87</v>
      </c>
      <c r="H51" t="s">
        <v>57</v>
      </c>
      <c r="I51">
        <v>9.798604834317165E-2</v>
      </c>
      <c r="J51" t="s">
        <v>53</v>
      </c>
      <c r="L51" t="s">
        <v>107</v>
      </c>
      <c r="M51" t="s">
        <v>57</v>
      </c>
      <c r="N51">
        <v>0.10703072170605862</v>
      </c>
      <c r="O51" t="s">
        <v>53</v>
      </c>
    </row>
    <row r="52" spans="2:15" x14ac:dyDescent="0.45">
      <c r="B52" t="s">
        <v>67</v>
      </c>
      <c r="C52" t="s">
        <v>58</v>
      </c>
      <c r="D52">
        <v>1.7398193806901743E-2</v>
      </c>
      <c r="E52" t="s">
        <v>53</v>
      </c>
      <c r="G52" t="s">
        <v>87</v>
      </c>
      <c r="H52" t="s">
        <v>58</v>
      </c>
      <c r="I52">
        <v>7.3811308677905224E-2</v>
      </c>
      <c r="J52" t="s">
        <v>53</v>
      </c>
      <c r="L52" t="s">
        <v>107</v>
      </c>
      <c r="M52" t="s">
        <v>58</v>
      </c>
      <c r="N52">
        <v>7.2309346559956175E-2</v>
      </c>
      <c r="O52" t="s">
        <v>53</v>
      </c>
    </row>
    <row r="53" spans="2:15" x14ac:dyDescent="0.45">
      <c r="B53" t="s">
        <v>67</v>
      </c>
      <c r="C53" t="s">
        <v>59</v>
      </c>
      <c r="D53">
        <v>4.0913028067759469E-2</v>
      </c>
      <c r="E53" t="s">
        <v>53</v>
      </c>
      <c r="G53" t="s">
        <v>87</v>
      </c>
      <c r="H53" t="s">
        <v>59</v>
      </c>
      <c r="I53">
        <v>4.3348356515985419E-2</v>
      </c>
      <c r="J53" t="s">
        <v>53</v>
      </c>
      <c r="L53" t="s">
        <v>107</v>
      </c>
      <c r="M53" t="s">
        <v>59</v>
      </c>
      <c r="N53">
        <v>6.1287650591945034E-2</v>
      </c>
      <c r="O53" t="s">
        <v>53</v>
      </c>
    </row>
    <row r="54" spans="2:15" x14ac:dyDescent="0.45">
      <c r="B54" t="s">
        <v>67</v>
      </c>
      <c r="C54" t="s">
        <v>60</v>
      </c>
      <c r="D54">
        <v>0.34988275542982011</v>
      </c>
      <c r="E54" t="s">
        <v>53</v>
      </c>
      <c r="G54" t="s">
        <v>87</v>
      </c>
      <c r="H54" t="s">
        <v>60</v>
      </c>
      <c r="I54">
        <v>4.2745814390313448E-2</v>
      </c>
      <c r="J54" t="s">
        <v>53</v>
      </c>
      <c r="L54" t="s">
        <v>107</v>
      </c>
      <c r="M54" t="s">
        <v>60</v>
      </c>
      <c r="N54">
        <v>7.153088038877739E-2</v>
      </c>
      <c r="O54" t="s">
        <v>53</v>
      </c>
    </row>
    <row r="55" spans="2:15" x14ac:dyDescent="0.45">
      <c r="B55" t="s">
        <v>67</v>
      </c>
      <c r="C55" t="s">
        <v>61</v>
      </c>
      <c r="D55">
        <v>3.8230938688920434E-2</v>
      </c>
      <c r="E55" t="s">
        <v>53</v>
      </c>
      <c r="G55" t="s">
        <v>87</v>
      </c>
      <c r="H55" t="s">
        <v>61</v>
      </c>
      <c r="I55">
        <v>3.3975143547500836E-2</v>
      </c>
      <c r="J55" t="s">
        <v>53</v>
      </c>
      <c r="L55" t="s">
        <v>107</v>
      </c>
      <c r="M55" t="s">
        <v>61</v>
      </c>
      <c r="N55">
        <v>4.5512263960059501E-2</v>
      </c>
      <c r="O55" t="s">
        <v>53</v>
      </c>
    </row>
    <row r="56" spans="2:15" x14ac:dyDescent="0.45">
      <c r="B56" t="s">
        <v>67</v>
      </c>
      <c r="C56" t="s">
        <v>62</v>
      </c>
      <c r="D56">
        <v>4.4982586168002244E-3</v>
      </c>
      <c r="E56" t="s">
        <v>53</v>
      </c>
      <c r="G56" t="s">
        <v>87</v>
      </c>
      <c r="H56" t="s">
        <v>62</v>
      </c>
      <c r="I56">
        <v>9.3042865368276842E-2</v>
      </c>
      <c r="J56" t="s">
        <v>53</v>
      </c>
      <c r="L56" t="s">
        <v>107</v>
      </c>
      <c r="M56" t="s">
        <v>62</v>
      </c>
      <c r="N56">
        <v>8.6624501310606047E-2</v>
      </c>
      <c r="O56" t="s">
        <v>53</v>
      </c>
    </row>
    <row r="57" spans="2:15" x14ac:dyDescent="0.45">
      <c r="B57" t="s">
        <v>67</v>
      </c>
      <c r="C57" t="s">
        <v>63</v>
      </c>
      <c r="D57">
        <v>0.14936181093255585</v>
      </c>
      <c r="E57" t="s">
        <v>53</v>
      </c>
      <c r="G57" t="s">
        <v>87</v>
      </c>
      <c r="H57" t="s">
        <v>63</v>
      </c>
      <c r="I57">
        <v>0.10071196394775682</v>
      </c>
      <c r="J57" t="s">
        <v>53</v>
      </c>
      <c r="L57" t="s">
        <v>107</v>
      </c>
      <c r="M57" t="s">
        <v>63</v>
      </c>
      <c r="N57">
        <v>0.10836019371563062</v>
      </c>
      <c r="O57" t="s">
        <v>53</v>
      </c>
    </row>
    <row r="58" spans="2:15" x14ac:dyDescent="0.45">
      <c r="B58" t="s">
        <v>67</v>
      </c>
      <c r="C58" t="s">
        <v>64</v>
      </c>
      <c r="D58">
        <v>2.5149921356278138E-3</v>
      </c>
      <c r="E58" t="s">
        <v>53</v>
      </c>
      <c r="G58" t="s">
        <v>87</v>
      </c>
      <c r="H58" t="s">
        <v>64</v>
      </c>
      <c r="I58">
        <v>7.388606989637643E-2</v>
      </c>
      <c r="J58" t="s">
        <v>53</v>
      </c>
      <c r="L58" t="s">
        <v>107</v>
      </c>
      <c r="M58" t="s">
        <v>64</v>
      </c>
      <c r="N58">
        <v>6.4597102543591578E-2</v>
      </c>
      <c r="O58" t="s">
        <v>53</v>
      </c>
    </row>
    <row r="59" spans="2:15" x14ac:dyDescent="0.45">
      <c r="B59" t="s">
        <v>68</v>
      </c>
      <c r="C59" t="s">
        <v>52</v>
      </c>
      <c r="D59">
        <v>0</v>
      </c>
      <c r="E59" t="s">
        <v>53</v>
      </c>
      <c r="G59" t="s">
        <v>88</v>
      </c>
      <c r="H59" t="s">
        <v>52</v>
      </c>
      <c r="I59">
        <v>0.11522102798013362</v>
      </c>
      <c r="J59" t="s">
        <v>53</v>
      </c>
      <c r="L59" t="s">
        <v>108</v>
      </c>
      <c r="M59" t="s">
        <v>52</v>
      </c>
      <c r="N59">
        <v>9.7555785313079665E-2</v>
      </c>
      <c r="O59" t="s">
        <v>53</v>
      </c>
    </row>
    <row r="60" spans="2:15" x14ac:dyDescent="0.45">
      <c r="B60" t="s">
        <v>68</v>
      </c>
      <c r="C60" t="s">
        <v>54</v>
      </c>
      <c r="D60">
        <v>6.602182303432752E-2</v>
      </c>
      <c r="E60" t="s">
        <v>53</v>
      </c>
      <c r="G60" t="s">
        <v>88</v>
      </c>
      <c r="H60" t="s">
        <v>54</v>
      </c>
      <c r="I60">
        <v>0.13474603326446882</v>
      </c>
      <c r="J60" t="s">
        <v>53</v>
      </c>
      <c r="L60" t="s">
        <v>108</v>
      </c>
      <c r="M60" t="s">
        <v>54</v>
      </c>
      <c r="N60">
        <v>0.12467792825513273</v>
      </c>
      <c r="O60" t="s">
        <v>53</v>
      </c>
    </row>
    <row r="61" spans="2:15" x14ac:dyDescent="0.45">
      <c r="B61" t="s">
        <v>68</v>
      </c>
      <c r="C61" t="s">
        <v>55</v>
      </c>
      <c r="D61">
        <v>0</v>
      </c>
      <c r="E61" t="s">
        <v>53</v>
      </c>
      <c r="G61" t="s">
        <v>88</v>
      </c>
      <c r="H61" t="s">
        <v>55</v>
      </c>
      <c r="I61">
        <v>8.8494132445213355E-2</v>
      </c>
      <c r="J61" t="s">
        <v>53</v>
      </c>
      <c r="L61" t="s">
        <v>108</v>
      </c>
      <c r="M61" t="s">
        <v>55</v>
      </c>
      <c r="N61">
        <v>7.5641875172465942E-2</v>
      </c>
      <c r="O61" t="s">
        <v>53</v>
      </c>
    </row>
    <row r="62" spans="2:15" x14ac:dyDescent="0.45">
      <c r="B62" t="s">
        <v>68</v>
      </c>
      <c r="C62" t="s">
        <v>56</v>
      </c>
      <c r="D62">
        <v>2.4908913869458458E-2</v>
      </c>
      <c r="E62" t="s">
        <v>53</v>
      </c>
      <c r="G62" t="s">
        <v>88</v>
      </c>
      <c r="H62" t="s">
        <v>56</v>
      </c>
      <c r="I62">
        <v>9.0191953906205755E-2</v>
      </c>
      <c r="J62" t="s">
        <v>53</v>
      </c>
      <c r="L62" t="s">
        <v>108</v>
      </c>
      <c r="M62" t="s">
        <v>56</v>
      </c>
      <c r="N62">
        <v>9.0477537732370217E-2</v>
      </c>
      <c r="O62" t="s">
        <v>53</v>
      </c>
    </row>
    <row r="63" spans="2:15" x14ac:dyDescent="0.45">
      <c r="B63" t="s">
        <v>68</v>
      </c>
      <c r="C63" t="s">
        <v>57</v>
      </c>
      <c r="D63">
        <v>0.30890981807924567</v>
      </c>
      <c r="E63" t="s">
        <v>53</v>
      </c>
      <c r="G63" t="s">
        <v>88</v>
      </c>
      <c r="H63" t="s">
        <v>57</v>
      </c>
      <c r="I63">
        <v>9.6404117822145252E-2</v>
      </c>
      <c r="J63" t="s">
        <v>53</v>
      </c>
      <c r="L63" t="s">
        <v>108</v>
      </c>
      <c r="M63" t="s">
        <v>57</v>
      </c>
      <c r="N63">
        <v>0.10559796883231652</v>
      </c>
      <c r="O63" t="s">
        <v>53</v>
      </c>
    </row>
    <row r="64" spans="2:15" x14ac:dyDescent="0.45">
      <c r="B64" t="s">
        <v>68</v>
      </c>
      <c r="C64" t="s">
        <v>58</v>
      </c>
      <c r="D64">
        <v>1.6652814883034887E-2</v>
      </c>
      <c r="E64" t="s">
        <v>53</v>
      </c>
      <c r="G64" t="s">
        <v>88</v>
      </c>
      <c r="H64" t="s">
        <v>58</v>
      </c>
      <c r="I64">
        <v>7.2032761075453713E-2</v>
      </c>
      <c r="J64" t="s">
        <v>53</v>
      </c>
      <c r="L64" t="s">
        <v>108</v>
      </c>
      <c r="M64" t="s">
        <v>58</v>
      </c>
      <c r="N64">
        <v>7.2073918367485612E-2</v>
      </c>
      <c r="O64" t="s">
        <v>53</v>
      </c>
    </row>
    <row r="65" spans="2:15" x14ac:dyDescent="0.45">
      <c r="B65" t="s">
        <v>68</v>
      </c>
      <c r="C65" t="s">
        <v>59</v>
      </c>
      <c r="D65">
        <v>4.4459372229074479E-2</v>
      </c>
      <c r="E65" t="s">
        <v>53</v>
      </c>
      <c r="G65" t="s">
        <v>88</v>
      </c>
      <c r="H65" t="s">
        <v>59</v>
      </c>
      <c r="I65">
        <v>4.7058581913319644E-2</v>
      </c>
      <c r="J65" t="s">
        <v>53</v>
      </c>
      <c r="L65" t="s">
        <v>108</v>
      </c>
      <c r="M65" t="s">
        <v>59</v>
      </c>
      <c r="N65">
        <v>5.8274115551733272E-2</v>
      </c>
      <c r="O65" t="s">
        <v>53</v>
      </c>
    </row>
    <row r="66" spans="2:15" x14ac:dyDescent="0.45">
      <c r="B66" t="s">
        <v>68</v>
      </c>
      <c r="C66" t="s">
        <v>60</v>
      </c>
      <c r="D66">
        <v>0.34258865842626712</v>
      </c>
      <c r="E66" t="s">
        <v>53</v>
      </c>
      <c r="G66" t="s">
        <v>88</v>
      </c>
      <c r="H66" t="s">
        <v>60</v>
      </c>
      <c r="I66">
        <v>5.5911741295493089E-2</v>
      </c>
      <c r="J66" t="s">
        <v>53</v>
      </c>
      <c r="L66" t="s">
        <v>108</v>
      </c>
      <c r="M66" t="s">
        <v>60</v>
      </c>
      <c r="N66">
        <v>7.0987201919582757E-2</v>
      </c>
      <c r="O66" t="s">
        <v>53</v>
      </c>
    </row>
    <row r="67" spans="2:15" x14ac:dyDescent="0.45">
      <c r="B67" t="s">
        <v>68</v>
      </c>
      <c r="C67" t="s">
        <v>61</v>
      </c>
      <c r="D67">
        <v>3.6156350387245843E-2</v>
      </c>
      <c r="E67" t="s">
        <v>53</v>
      </c>
      <c r="G67" t="s">
        <v>88</v>
      </c>
      <c r="H67" t="s">
        <v>61</v>
      </c>
      <c r="I67">
        <v>3.9707974369602932E-2</v>
      </c>
      <c r="J67" t="s">
        <v>53</v>
      </c>
      <c r="L67" t="s">
        <v>108</v>
      </c>
      <c r="M67" t="s">
        <v>61</v>
      </c>
      <c r="N67">
        <v>4.4166910429294423E-2</v>
      </c>
      <c r="O67" t="s">
        <v>53</v>
      </c>
    </row>
    <row r="68" spans="2:15" x14ac:dyDescent="0.45">
      <c r="B68" t="s">
        <v>68</v>
      </c>
      <c r="C68" t="s">
        <v>62</v>
      </c>
      <c r="D68">
        <v>6.3170543478899398E-3</v>
      </c>
      <c r="E68" t="s">
        <v>53</v>
      </c>
      <c r="G68" t="s">
        <v>88</v>
      </c>
      <c r="H68" t="s">
        <v>62</v>
      </c>
      <c r="I68">
        <v>8.8520363710178449E-2</v>
      </c>
      <c r="J68" t="s">
        <v>53</v>
      </c>
      <c r="L68" t="s">
        <v>108</v>
      </c>
      <c r="M68" t="s">
        <v>62</v>
      </c>
      <c r="N68">
        <v>8.4905086610408353E-2</v>
      </c>
      <c r="O68" t="s">
        <v>53</v>
      </c>
    </row>
    <row r="69" spans="2:15" x14ac:dyDescent="0.45">
      <c r="B69" t="s">
        <v>68</v>
      </c>
      <c r="C69" t="s">
        <v>63</v>
      </c>
      <c r="D69">
        <v>0.15193679850536507</v>
      </c>
      <c r="E69" t="s">
        <v>53</v>
      </c>
      <c r="G69" t="s">
        <v>88</v>
      </c>
      <c r="H69" t="s">
        <v>63</v>
      </c>
      <c r="I69">
        <v>0.10144008643971519</v>
      </c>
      <c r="J69" t="s">
        <v>53</v>
      </c>
      <c r="L69" t="s">
        <v>108</v>
      </c>
      <c r="M69" t="s">
        <v>63</v>
      </c>
      <c r="N69">
        <v>0.10991185394084362</v>
      </c>
      <c r="O69" t="s">
        <v>53</v>
      </c>
    </row>
    <row r="70" spans="2:15" x14ac:dyDescent="0.45">
      <c r="B70" t="s">
        <v>68</v>
      </c>
      <c r="C70" t="s">
        <v>64</v>
      </c>
      <c r="D70">
        <v>2.0483962380915904E-3</v>
      </c>
      <c r="E70" t="s">
        <v>53</v>
      </c>
      <c r="G70" t="s">
        <v>88</v>
      </c>
      <c r="H70" t="s">
        <v>64</v>
      </c>
      <c r="I70">
        <v>7.0271225778074653E-2</v>
      </c>
      <c r="J70" t="s">
        <v>53</v>
      </c>
      <c r="L70" t="s">
        <v>108</v>
      </c>
      <c r="M70" t="s">
        <v>64</v>
      </c>
      <c r="N70">
        <v>6.5729817875286325E-2</v>
      </c>
      <c r="O70" t="s">
        <v>53</v>
      </c>
    </row>
    <row r="71" spans="2:15" x14ac:dyDescent="0.45">
      <c r="B71" t="s">
        <v>69</v>
      </c>
      <c r="C71" t="s">
        <v>52</v>
      </c>
      <c r="D71">
        <v>0</v>
      </c>
      <c r="E71" t="s">
        <v>53</v>
      </c>
      <c r="G71" t="s">
        <v>89</v>
      </c>
      <c r="H71" t="s">
        <v>52</v>
      </c>
      <c r="I71">
        <v>0.11181117145098084</v>
      </c>
      <c r="J71" t="s">
        <v>53</v>
      </c>
      <c r="L71" t="s">
        <v>109</v>
      </c>
      <c r="M71" t="s">
        <v>52</v>
      </c>
      <c r="N71">
        <v>9.8660530448309483E-2</v>
      </c>
      <c r="O71" t="s">
        <v>53</v>
      </c>
    </row>
    <row r="72" spans="2:15" x14ac:dyDescent="0.45">
      <c r="B72" t="s">
        <v>69</v>
      </c>
      <c r="C72" t="s">
        <v>54</v>
      </c>
      <c r="D72">
        <v>6.4248124226036804E-2</v>
      </c>
      <c r="E72" t="s">
        <v>53</v>
      </c>
      <c r="G72" t="s">
        <v>89</v>
      </c>
      <c r="H72" t="s">
        <v>54</v>
      </c>
      <c r="I72">
        <v>0.1344819947089593</v>
      </c>
      <c r="J72" t="s">
        <v>53</v>
      </c>
      <c r="L72" t="s">
        <v>109</v>
      </c>
      <c r="M72" t="s">
        <v>54</v>
      </c>
      <c r="N72">
        <v>0.12696798339684948</v>
      </c>
      <c r="O72" t="s">
        <v>53</v>
      </c>
    </row>
    <row r="73" spans="2:15" x14ac:dyDescent="0.45">
      <c r="B73" t="s">
        <v>69</v>
      </c>
      <c r="C73" t="s">
        <v>55</v>
      </c>
      <c r="D73">
        <v>0</v>
      </c>
      <c r="E73" t="s">
        <v>53</v>
      </c>
      <c r="G73" t="s">
        <v>89</v>
      </c>
      <c r="H73" t="s">
        <v>55</v>
      </c>
      <c r="I73">
        <v>8.7872089671120757E-2</v>
      </c>
      <c r="J73" t="s">
        <v>53</v>
      </c>
      <c r="L73" t="s">
        <v>109</v>
      </c>
      <c r="M73" t="s">
        <v>55</v>
      </c>
      <c r="N73">
        <v>7.7889162815513766E-2</v>
      </c>
      <c r="O73" t="s">
        <v>53</v>
      </c>
    </row>
    <row r="74" spans="2:15" x14ac:dyDescent="0.45">
      <c r="B74" t="s">
        <v>69</v>
      </c>
      <c r="C74" t="s">
        <v>56</v>
      </c>
      <c r="D74">
        <v>3.3088389192868148E-2</v>
      </c>
      <c r="E74" t="s">
        <v>53</v>
      </c>
      <c r="G74" t="s">
        <v>89</v>
      </c>
      <c r="H74" t="s">
        <v>56</v>
      </c>
      <c r="I74">
        <v>9.6347592933583637E-2</v>
      </c>
      <c r="J74" t="s">
        <v>53</v>
      </c>
      <c r="L74" t="s">
        <v>109</v>
      </c>
      <c r="M74" t="s">
        <v>56</v>
      </c>
      <c r="N74">
        <v>8.9817856225446455E-2</v>
      </c>
      <c r="O74" t="s">
        <v>53</v>
      </c>
    </row>
    <row r="75" spans="2:15" x14ac:dyDescent="0.45">
      <c r="B75" t="s">
        <v>69</v>
      </c>
      <c r="C75" t="s">
        <v>57</v>
      </c>
      <c r="D75">
        <v>0.32737228670463264</v>
      </c>
      <c r="E75" t="s">
        <v>53</v>
      </c>
      <c r="G75" t="s">
        <v>89</v>
      </c>
      <c r="H75" t="s">
        <v>57</v>
      </c>
      <c r="I75">
        <v>9.2412770605103431E-2</v>
      </c>
      <c r="J75" t="s">
        <v>53</v>
      </c>
      <c r="L75" t="s">
        <v>109</v>
      </c>
      <c r="M75" t="s">
        <v>57</v>
      </c>
      <c r="N75">
        <v>0.10504207437032179</v>
      </c>
      <c r="O75" t="s">
        <v>53</v>
      </c>
    </row>
    <row r="76" spans="2:15" x14ac:dyDescent="0.45">
      <c r="B76" t="s">
        <v>69</v>
      </c>
      <c r="C76" t="s">
        <v>58</v>
      </c>
      <c r="D76">
        <v>1.518376224965446E-2</v>
      </c>
      <c r="E76" t="s">
        <v>53</v>
      </c>
      <c r="G76" t="s">
        <v>89</v>
      </c>
      <c r="H76" t="s">
        <v>58</v>
      </c>
      <c r="I76">
        <v>7.126240288472542E-2</v>
      </c>
      <c r="J76" t="s">
        <v>53</v>
      </c>
      <c r="L76" t="s">
        <v>109</v>
      </c>
      <c r="M76" t="s">
        <v>58</v>
      </c>
      <c r="N76">
        <v>6.9877578777707658E-2</v>
      </c>
      <c r="O76" t="s">
        <v>53</v>
      </c>
    </row>
    <row r="77" spans="2:15" x14ac:dyDescent="0.45">
      <c r="B77" t="s">
        <v>69</v>
      </c>
      <c r="C77" t="s">
        <v>59</v>
      </c>
      <c r="D77">
        <v>5.0294394215110963E-2</v>
      </c>
      <c r="E77" t="s">
        <v>53</v>
      </c>
      <c r="G77" t="s">
        <v>89</v>
      </c>
      <c r="H77" t="s">
        <v>59</v>
      </c>
      <c r="I77">
        <v>4.7765903589307185E-2</v>
      </c>
      <c r="J77" t="s">
        <v>53</v>
      </c>
      <c r="L77" t="s">
        <v>109</v>
      </c>
      <c r="M77" t="s">
        <v>59</v>
      </c>
      <c r="N77">
        <v>5.834055661690779E-2</v>
      </c>
      <c r="O77" t="s">
        <v>53</v>
      </c>
    </row>
    <row r="78" spans="2:15" x14ac:dyDescent="0.45">
      <c r="B78" t="s">
        <v>69</v>
      </c>
      <c r="C78" t="s">
        <v>60</v>
      </c>
      <c r="D78">
        <v>0.33104905424242803</v>
      </c>
      <c r="E78" t="s">
        <v>53</v>
      </c>
      <c r="G78" t="s">
        <v>89</v>
      </c>
      <c r="H78" t="s">
        <v>60</v>
      </c>
      <c r="I78">
        <v>5.3116832270882625E-2</v>
      </c>
      <c r="J78" t="s">
        <v>53</v>
      </c>
      <c r="L78" t="s">
        <v>109</v>
      </c>
      <c r="M78" t="s">
        <v>60</v>
      </c>
      <c r="N78">
        <v>7.1413412472306217E-2</v>
      </c>
      <c r="O78" t="s">
        <v>53</v>
      </c>
    </row>
    <row r="79" spans="2:15" x14ac:dyDescent="0.45">
      <c r="B79" t="s">
        <v>69</v>
      </c>
      <c r="C79" t="s">
        <v>61</v>
      </c>
      <c r="D79">
        <v>3.1843008274051142E-2</v>
      </c>
      <c r="E79" t="s">
        <v>53</v>
      </c>
      <c r="G79" t="s">
        <v>89</v>
      </c>
      <c r="H79" t="s">
        <v>61</v>
      </c>
      <c r="I79">
        <v>4.0663371691761784E-2</v>
      </c>
      <c r="J79" t="s">
        <v>53</v>
      </c>
      <c r="L79" t="s">
        <v>109</v>
      </c>
      <c r="M79" t="s">
        <v>61</v>
      </c>
      <c r="N79">
        <v>4.241790771358106E-2</v>
      </c>
      <c r="O79" t="s">
        <v>53</v>
      </c>
    </row>
    <row r="80" spans="2:15" x14ac:dyDescent="0.45">
      <c r="B80" t="s">
        <v>69</v>
      </c>
      <c r="C80" t="s">
        <v>62</v>
      </c>
      <c r="D80">
        <v>6.7972205772218325E-3</v>
      </c>
      <c r="E80" t="s">
        <v>53</v>
      </c>
      <c r="G80" t="s">
        <v>89</v>
      </c>
      <c r="H80" t="s">
        <v>62</v>
      </c>
      <c r="I80">
        <v>8.695485991953332E-2</v>
      </c>
      <c r="J80" t="s">
        <v>53</v>
      </c>
      <c r="L80" t="s">
        <v>109</v>
      </c>
      <c r="M80" t="s">
        <v>62</v>
      </c>
      <c r="N80">
        <v>8.5297487917269932E-2</v>
      </c>
      <c r="O80" t="s">
        <v>53</v>
      </c>
    </row>
    <row r="81" spans="2:15" x14ac:dyDescent="0.45">
      <c r="B81" t="s">
        <v>69</v>
      </c>
      <c r="C81" t="s">
        <v>63</v>
      </c>
      <c r="D81">
        <v>0.13855147659898992</v>
      </c>
      <c r="E81" t="s">
        <v>53</v>
      </c>
      <c r="G81" t="s">
        <v>89</v>
      </c>
      <c r="H81" t="s">
        <v>63</v>
      </c>
      <c r="I81">
        <v>0.10213326612298475</v>
      </c>
      <c r="J81" t="s">
        <v>53</v>
      </c>
      <c r="L81" t="s">
        <v>109</v>
      </c>
      <c r="M81" t="s">
        <v>63</v>
      </c>
      <c r="N81">
        <v>0.10823213331975975</v>
      </c>
      <c r="O81" t="s">
        <v>53</v>
      </c>
    </row>
    <row r="82" spans="2:15" x14ac:dyDescent="0.45">
      <c r="B82" t="s">
        <v>69</v>
      </c>
      <c r="C82" t="s">
        <v>64</v>
      </c>
      <c r="D82">
        <v>1.5722837190106386E-3</v>
      </c>
      <c r="E82" t="s">
        <v>53</v>
      </c>
      <c r="G82" t="s">
        <v>89</v>
      </c>
      <c r="H82" t="s">
        <v>64</v>
      </c>
      <c r="I82">
        <v>7.5177744151055478E-2</v>
      </c>
      <c r="J82" t="s">
        <v>53</v>
      </c>
      <c r="L82" t="s">
        <v>109</v>
      </c>
      <c r="M82" t="s">
        <v>64</v>
      </c>
      <c r="N82">
        <v>6.6043315926024762E-2</v>
      </c>
      <c r="O82" t="s">
        <v>53</v>
      </c>
    </row>
    <row r="83" spans="2:15" x14ac:dyDescent="0.45">
      <c r="B83" t="s">
        <v>70</v>
      </c>
      <c r="C83" t="s">
        <v>52</v>
      </c>
      <c r="D83">
        <v>0</v>
      </c>
      <c r="E83" t="s">
        <v>53</v>
      </c>
      <c r="G83" t="s">
        <v>90</v>
      </c>
      <c r="H83" t="s">
        <v>52</v>
      </c>
      <c r="I83">
        <v>0.1164278020843461</v>
      </c>
      <c r="J83" t="s">
        <v>53</v>
      </c>
      <c r="L83" t="s">
        <v>110</v>
      </c>
      <c r="M83" t="s">
        <v>52</v>
      </c>
      <c r="N83">
        <v>9.9148849284846532E-2</v>
      </c>
      <c r="O83" t="s">
        <v>53</v>
      </c>
    </row>
    <row r="84" spans="2:15" x14ac:dyDescent="0.45">
      <c r="B84" t="s">
        <v>70</v>
      </c>
      <c r="C84" t="s">
        <v>54</v>
      </c>
      <c r="D84">
        <v>6.3471303714747268E-2</v>
      </c>
      <c r="E84" t="s">
        <v>53</v>
      </c>
      <c r="G84" t="s">
        <v>90</v>
      </c>
      <c r="H84" t="s">
        <v>54</v>
      </c>
      <c r="I84">
        <v>0.13603195422279715</v>
      </c>
      <c r="J84" t="s">
        <v>53</v>
      </c>
      <c r="L84" t="s">
        <v>110</v>
      </c>
      <c r="M84" t="s">
        <v>54</v>
      </c>
      <c r="N84">
        <v>0.1318352873166389</v>
      </c>
      <c r="O84" t="s">
        <v>53</v>
      </c>
    </row>
    <row r="85" spans="2:15" x14ac:dyDescent="0.45">
      <c r="B85" t="s">
        <v>70</v>
      </c>
      <c r="C85" t="s">
        <v>55</v>
      </c>
      <c r="D85">
        <v>0</v>
      </c>
      <c r="E85" t="s">
        <v>53</v>
      </c>
      <c r="G85" t="s">
        <v>90</v>
      </c>
      <c r="H85" t="s">
        <v>55</v>
      </c>
      <c r="I85">
        <v>8.8655787581050874E-2</v>
      </c>
      <c r="J85" t="s">
        <v>53</v>
      </c>
      <c r="L85" t="s">
        <v>110</v>
      </c>
      <c r="M85" t="s">
        <v>55</v>
      </c>
      <c r="N85">
        <v>8.0547113569135173E-2</v>
      </c>
      <c r="O85" t="s">
        <v>53</v>
      </c>
    </row>
    <row r="86" spans="2:15" x14ac:dyDescent="0.45">
      <c r="B86" t="s">
        <v>70</v>
      </c>
      <c r="C86" t="s">
        <v>56</v>
      </c>
      <c r="D86">
        <v>2.6329078386994748E-2</v>
      </c>
      <c r="E86" t="s">
        <v>53</v>
      </c>
      <c r="G86" t="s">
        <v>90</v>
      </c>
      <c r="H86" t="s">
        <v>56</v>
      </c>
      <c r="I86">
        <v>9.4205982496945645E-2</v>
      </c>
      <c r="J86" t="s">
        <v>53</v>
      </c>
      <c r="L86" t="s">
        <v>110</v>
      </c>
      <c r="M86" t="s">
        <v>56</v>
      </c>
      <c r="N86">
        <v>8.1613138495312931E-2</v>
      </c>
      <c r="O86" t="s">
        <v>53</v>
      </c>
    </row>
    <row r="87" spans="2:15" x14ac:dyDescent="0.45">
      <c r="B87" t="s">
        <v>70</v>
      </c>
      <c r="C87" t="s">
        <v>57</v>
      </c>
      <c r="D87">
        <v>0.32441234122016477</v>
      </c>
      <c r="E87" t="s">
        <v>53</v>
      </c>
      <c r="G87" t="s">
        <v>90</v>
      </c>
      <c r="H87" t="s">
        <v>57</v>
      </c>
      <c r="I87">
        <v>9.7905972070507177E-2</v>
      </c>
      <c r="J87" t="s">
        <v>53</v>
      </c>
      <c r="L87" t="s">
        <v>110</v>
      </c>
      <c r="M87" t="s">
        <v>57</v>
      </c>
      <c r="N87">
        <v>9.5097726726044385E-2</v>
      </c>
      <c r="O87" t="s">
        <v>53</v>
      </c>
    </row>
    <row r="88" spans="2:15" x14ac:dyDescent="0.45">
      <c r="B88" t="s">
        <v>70</v>
      </c>
      <c r="C88" t="s">
        <v>58</v>
      </c>
      <c r="D88">
        <v>2.0333091742336652E-2</v>
      </c>
      <c r="E88" t="s">
        <v>53</v>
      </c>
      <c r="G88" t="s">
        <v>90</v>
      </c>
      <c r="H88" t="s">
        <v>58</v>
      </c>
      <c r="I88">
        <v>7.2747785547497473E-2</v>
      </c>
      <c r="J88" t="s">
        <v>53</v>
      </c>
      <c r="L88" t="s">
        <v>110</v>
      </c>
      <c r="M88" t="s">
        <v>58</v>
      </c>
      <c r="N88">
        <v>6.4769075297145637E-2</v>
      </c>
      <c r="O88" t="s">
        <v>53</v>
      </c>
    </row>
    <row r="89" spans="2:15" x14ac:dyDescent="0.45">
      <c r="B89" t="s">
        <v>70</v>
      </c>
      <c r="C89" t="s">
        <v>59</v>
      </c>
      <c r="D89">
        <v>4.2490497122031061E-2</v>
      </c>
      <c r="E89" t="s">
        <v>53</v>
      </c>
      <c r="G89" t="s">
        <v>90</v>
      </c>
      <c r="H89" t="s">
        <v>59</v>
      </c>
      <c r="I89">
        <v>4.6063968286769029E-2</v>
      </c>
      <c r="J89" t="s">
        <v>53</v>
      </c>
      <c r="L89" t="s">
        <v>110</v>
      </c>
      <c r="M89" t="s">
        <v>59</v>
      </c>
      <c r="N89">
        <v>5.7077981465880265E-2</v>
      </c>
      <c r="O89" t="s">
        <v>53</v>
      </c>
    </row>
    <row r="90" spans="2:15" x14ac:dyDescent="0.45">
      <c r="B90" t="s">
        <v>70</v>
      </c>
      <c r="C90" t="s">
        <v>60</v>
      </c>
      <c r="D90">
        <v>0.32810801648410276</v>
      </c>
      <c r="E90" t="s">
        <v>53</v>
      </c>
      <c r="G90" t="s">
        <v>90</v>
      </c>
      <c r="H90" t="s">
        <v>60</v>
      </c>
      <c r="I90">
        <v>5.3649822652737836E-2</v>
      </c>
      <c r="J90" t="s">
        <v>53</v>
      </c>
      <c r="L90" t="s">
        <v>110</v>
      </c>
      <c r="M90" t="s">
        <v>60</v>
      </c>
      <c r="N90">
        <v>7.0428729848789812E-2</v>
      </c>
      <c r="O90" t="s">
        <v>53</v>
      </c>
    </row>
    <row r="91" spans="2:15" x14ac:dyDescent="0.45">
      <c r="B91" t="s">
        <v>70</v>
      </c>
      <c r="C91" t="s">
        <v>61</v>
      </c>
      <c r="D91">
        <v>3.9740164184994986E-2</v>
      </c>
      <c r="E91" t="s">
        <v>53</v>
      </c>
      <c r="G91" t="s">
        <v>90</v>
      </c>
      <c r="H91" t="s">
        <v>61</v>
      </c>
      <c r="I91">
        <v>3.9680348324869719E-2</v>
      </c>
      <c r="J91" t="s">
        <v>53</v>
      </c>
      <c r="L91" t="s">
        <v>110</v>
      </c>
      <c r="M91" t="s">
        <v>61</v>
      </c>
      <c r="N91">
        <v>4.4541152457454929E-2</v>
      </c>
      <c r="O91" t="s">
        <v>53</v>
      </c>
    </row>
    <row r="92" spans="2:15" x14ac:dyDescent="0.45">
      <c r="B92" t="s">
        <v>70</v>
      </c>
      <c r="C92" t="s">
        <v>62</v>
      </c>
      <c r="D92">
        <v>6.2064180724714074E-3</v>
      </c>
      <c r="E92" t="s">
        <v>53</v>
      </c>
      <c r="G92" t="s">
        <v>90</v>
      </c>
      <c r="H92" t="s">
        <v>62</v>
      </c>
      <c r="I92">
        <v>8.5921420127893403E-2</v>
      </c>
      <c r="J92" t="s">
        <v>53</v>
      </c>
      <c r="L92" t="s">
        <v>110</v>
      </c>
      <c r="M92" t="s">
        <v>62</v>
      </c>
      <c r="N92">
        <v>8.8657445670239296E-2</v>
      </c>
      <c r="O92" t="s">
        <v>53</v>
      </c>
    </row>
    <row r="93" spans="2:15" x14ac:dyDescent="0.45">
      <c r="B93" t="s">
        <v>70</v>
      </c>
      <c r="C93" t="s">
        <v>63</v>
      </c>
      <c r="D93">
        <v>0.14653943449050996</v>
      </c>
      <c r="E93" t="s">
        <v>53</v>
      </c>
      <c r="G93" t="s">
        <v>90</v>
      </c>
      <c r="H93" t="s">
        <v>63</v>
      </c>
      <c r="I93">
        <v>9.7688080540818206E-2</v>
      </c>
      <c r="J93" t="s">
        <v>53</v>
      </c>
      <c r="L93" t="s">
        <v>110</v>
      </c>
      <c r="M93" t="s">
        <v>63</v>
      </c>
      <c r="N93">
        <v>0.11217336190192473</v>
      </c>
      <c r="O93" t="s">
        <v>53</v>
      </c>
    </row>
    <row r="94" spans="2:15" x14ac:dyDescent="0.45">
      <c r="B94" t="s">
        <v>70</v>
      </c>
      <c r="C94" t="s">
        <v>64</v>
      </c>
      <c r="D94">
        <v>2.3696545816451042E-3</v>
      </c>
      <c r="E94" t="s">
        <v>53</v>
      </c>
      <c r="G94" t="s">
        <v>90</v>
      </c>
      <c r="H94" t="s">
        <v>64</v>
      </c>
      <c r="I94">
        <v>7.102107606377045E-2</v>
      </c>
      <c r="J94" t="s">
        <v>53</v>
      </c>
      <c r="L94" t="s">
        <v>110</v>
      </c>
      <c r="M94" t="s">
        <v>64</v>
      </c>
      <c r="N94">
        <v>7.4110137966588843E-2</v>
      </c>
      <c r="O94" t="s">
        <v>53</v>
      </c>
    </row>
    <row r="95" spans="2:15" x14ac:dyDescent="0.45">
      <c r="B95" t="s">
        <v>71</v>
      </c>
      <c r="C95" t="s">
        <v>52</v>
      </c>
      <c r="D95">
        <v>0</v>
      </c>
      <c r="E95" t="s">
        <v>53</v>
      </c>
      <c r="G95" t="s">
        <v>91</v>
      </c>
      <c r="H95" t="s">
        <v>52</v>
      </c>
      <c r="I95">
        <v>0.11731022838566219</v>
      </c>
      <c r="J95" t="s">
        <v>53</v>
      </c>
      <c r="L95" t="s">
        <v>111</v>
      </c>
      <c r="M95" t="s">
        <v>52</v>
      </c>
      <c r="N95">
        <v>9.447292631697958E-2</v>
      </c>
      <c r="O95" t="s">
        <v>53</v>
      </c>
    </row>
    <row r="96" spans="2:15" x14ac:dyDescent="0.45">
      <c r="B96" t="s">
        <v>71</v>
      </c>
      <c r="C96" t="s">
        <v>54</v>
      </c>
      <c r="D96">
        <v>6.7498255518484346E-2</v>
      </c>
      <c r="E96" t="s">
        <v>53</v>
      </c>
      <c r="G96" t="s">
        <v>91</v>
      </c>
      <c r="H96" t="s">
        <v>54</v>
      </c>
      <c r="I96">
        <v>0.13369179220139732</v>
      </c>
      <c r="J96" t="s">
        <v>53</v>
      </c>
      <c r="L96" t="s">
        <v>111</v>
      </c>
      <c r="M96" t="s">
        <v>54</v>
      </c>
      <c r="N96">
        <v>0.12468044196033555</v>
      </c>
      <c r="O96" t="s">
        <v>53</v>
      </c>
    </row>
    <row r="97" spans="2:15" x14ac:dyDescent="0.45">
      <c r="B97" t="s">
        <v>71</v>
      </c>
      <c r="C97" t="s">
        <v>55</v>
      </c>
      <c r="D97">
        <v>0</v>
      </c>
      <c r="E97" t="s">
        <v>53</v>
      </c>
      <c r="G97" t="s">
        <v>91</v>
      </c>
      <c r="H97" t="s">
        <v>55</v>
      </c>
      <c r="I97">
        <v>9.0083989269665654E-2</v>
      </c>
      <c r="J97" t="s">
        <v>53</v>
      </c>
      <c r="L97" t="s">
        <v>111</v>
      </c>
      <c r="M97" t="s">
        <v>55</v>
      </c>
      <c r="N97">
        <v>7.6624904950731057E-2</v>
      </c>
      <c r="O97" t="s">
        <v>53</v>
      </c>
    </row>
    <row r="98" spans="2:15" x14ac:dyDescent="0.45">
      <c r="B98" t="s">
        <v>71</v>
      </c>
      <c r="C98" t="s">
        <v>56</v>
      </c>
      <c r="D98">
        <v>2.858609268020057E-2</v>
      </c>
      <c r="E98" t="s">
        <v>53</v>
      </c>
      <c r="G98" t="s">
        <v>91</v>
      </c>
      <c r="H98" t="s">
        <v>56</v>
      </c>
      <c r="I98">
        <v>8.5837522527722213E-2</v>
      </c>
      <c r="J98" t="s">
        <v>53</v>
      </c>
      <c r="L98" t="s">
        <v>111</v>
      </c>
      <c r="M98" t="s">
        <v>56</v>
      </c>
      <c r="N98">
        <v>8.6110052716410562E-2</v>
      </c>
      <c r="O98" t="s">
        <v>53</v>
      </c>
    </row>
    <row r="99" spans="2:15" x14ac:dyDescent="0.45">
      <c r="B99" t="s">
        <v>71</v>
      </c>
      <c r="C99" t="s">
        <v>57</v>
      </c>
      <c r="D99">
        <v>0.33069572277488829</v>
      </c>
      <c r="E99" t="s">
        <v>53</v>
      </c>
      <c r="G99" t="s">
        <v>91</v>
      </c>
      <c r="H99" t="s">
        <v>57</v>
      </c>
      <c r="I99">
        <v>9.2466866363965311E-2</v>
      </c>
      <c r="J99" t="s">
        <v>53</v>
      </c>
      <c r="L99" t="s">
        <v>111</v>
      </c>
      <c r="M99" t="s">
        <v>57</v>
      </c>
      <c r="N99">
        <v>0.10263747882584863</v>
      </c>
      <c r="O99" t="s">
        <v>53</v>
      </c>
    </row>
    <row r="100" spans="2:15" x14ac:dyDescent="0.45">
      <c r="B100" t="s">
        <v>71</v>
      </c>
      <c r="C100" t="s">
        <v>58</v>
      </c>
      <c r="D100">
        <v>1.646859269463203E-2</v>
      </c>
      <c r="E100" t="s">
        <v>53</v>
      </c>
      <c r="G100" t="s">
        <v>91</v>
      </c>
      <c r="H100" t="s">
        <v>58</v>
      </c>
      <c r="I100">
        <v>6.6649755559325827E-2</v>
      </c>
      <c r="J100" t="s">
        <v>53</v>
      </c>
      <c r="L100" t="s">
        <v>111</v>
      </c>
      <c r="M100" t="s">
        <v>58</v>
      </c>
      <c r="N100">
        <v>6.8673274469471107E-2</v>
      </c>
      <c r="O100" t="s">
        <v>53</v>
      </c>
    </row>
    <row r="101" spans="2:15" x14ac:dyDescent="0.45">
      <c r="B101" t="s">
        <v>71</v>
      </c>
      <c r="C101" t="s">
        <v>59</v>
      </c>
      <c r="D101">
        <v>4.6122825350897484E-2</v>
      </c>
      <c r="E101" t="s">
        <v>53</v>
      </c>
      <c r="G101" t="s">
        <v>91</v>
      </c>
      <c r="H101" t="s">
        <v>59</v>
      </c>
      <c r="I101">
        <v>4.8223408667236192E-2</v>
      </c>
      <c r="J101" t="s">
        <v>53</v>
      </c>
      <c r="L101" t="s">
        <v>111</v>
      </c>
      <c r="M101" t="s">
        <v>59</v>
      </c>
      <c r="N101">
        <v>6.098899467393662E-2</v>
      </c>
      <c r="O101" t="s">
        <v>53</v>
      </c>
    </row>
    <row r="102" spans="2:15" x14ac:dyDescent="0.45">
      <c r="B102" t="s">
        <v>71</v>
      </c>
      <c r="C102" t="s">
        <v>60</v>
      </c>
      <c r="D102">
        <v>0.32274429194802406</v>
      </c>
      <c r="E102" t="s">
        <v>53</v>
      </c>
      <c r="G102" t="s">
        <v>91</v>
      </c>
      <c r="H102" t="s">
        <v>60</v>
      </c>
      <c r="I102">
        <v>6.041171488175312E-2</v>
      </c>
      <c r="J102" t="s">
        <v>53</v>
      </c>
      <c r="L102" t="s">
        <v>111</v>
      </c>
      <c r="M102" t="s">
        <v>60</v>
      </c>
      <c r="N102">
        <v>7.264039915962793E-2</v>
      </c>
      <c r="O102" t="s">
        <v>53</v>
      </c>
    </row>
    <row r="103" spans="2:15" x14ac:dyDescent="0.45">
      <c r="B103" t="s">
        <v>71</v>
      </c>
      <c r="C103" t="s">
        <v>61</v>
      </c>
      <c r="D103">
        <v>3.2507131701169104E-2</v>
      </c>
      <c r="E103" t="s">
        <v>53</v>
      </c>
      <c r="G103" t="s">
        <v>91</v>
      </c>
      <c r="H103" t="s">
        <v>61</v>
      </c>
      <c r="I103">
        <v>3.8058402419211788E-2</v>
      </c>
      <c r="J103" t="s">
        <v>53</v>
      </c>
      <c r="L103" t="s">
        <v>111</v>
      </c>
      <c r="M103" t="s">
        <v>61</v>
      </c>
      <c r="N103">
        <v>5.1193990963129911E-2</v>
      </c>
      <c r="O103" t="s">
        <v>53</v>
      </c>
    </row>
    <row r="104" spans="2:15" x14ac:dyDescent="0.45">
      <c r="B104" t="s">
        <v>71</v>
      </c>
      <c r="C104" t="s">
        <v>62</v>
      </c>
      <c r="D104">
        <v>6.8059940168163757E-3</v>
      </c>
      <c r="E104" t="s">
        <v>53</v>
      </c>
      <c r="G104" t="s">
        <v>91</v>
      </c>
      <c r="H104" t="s">
        <v>62</v>
      </c>
      <c r="I104">
        <v>9.1167692480299808E-2</v>
      </c>
      <c r="J104" t="s">
        <v>53</v>
      </c>
      <c r="L104" t="s">
        <v>111</v>
      </c>
      <c r="M104" t="s">
        <v>62</v>
      </c>
      <c r="N104">
        <v>8.519784884379121E-2</v>
      </c>
      <c r="O104" t="s">
        <v>53</v>
      </c>
    </row>
    <row r="105" spans="2:15" x14ac:dyDescent="0.45">
      <c r="B105" t="s">
        <v>71</v>
      </c>
      <c r="C105" t="s">
        <v>63</v>
      </c>
      <c r="D105">
        <v>0.1467464036587485</v>
      </c>
      <c r="E105" t="s">
        <v>53</v>
      </c>
      <c r="G105" t="s">
        <v>91</v>
      </c>
      <c r="H105" t="s">
        <v>63</v>
      </c>
      <c r="I105">
        <v>0.10411771387688037</v>
      </c>
      <c r="J105" t="s">
        <v>53</v>
      </c>
      <c r="L105" t="s">
        <v>111</v>
      </c>
      <c r="M105" t="s">
        <v>63</v>
      </c>
      <c r="N105">
        <v>0.10683662696153567</v>
      </c>
      <c r="O105" t="s">
        <v>53</v>
      </c>
    </row>
    <row r="106" spans="2:15" x14ac:dyDescent="0.45">
      <c r="B106" t="s">
        <v>71</v>
      </c>
      <c r="C106" t="s">
        <v>64</v>
      </c>
      <c r="D106">
        <v>1.8246896561366255E-3</v>
      </c>
      <c r="E106" t="s">
        <v>53</v>
      </c>
      <c r="G106" t="s">
        <v>91</v>
      </c>
      <c r="H106" t="s">
        <v>64</v>
      </c>
      <c r="I106">
        <v>7.1980913366879173E-2</v>
      </c>
      <c r="J106" t="s">
        <v>53</v>
      </c>
      <c r="L106" t="s">
        <v>111</v>
      </c>
      <c r="M106" t="s">
        <v>64</v>
      </c>
      <c r="N106">
        <v>6.9943060158202119E-2</v>
      </c>
      <c r="O106" t="s">
        <v>53</v>
      </c>
    </row>
    <row r="107" spans="2:15" x14ac:dyDescent="0.45">
      <c r="B107" t="s">
        <v>72</v>
      </c>
      <c r="C107" t="s">
        <v>52</v>
      </c>
      <c r="D107">
        <v>6.909293116429943E-5</v>
      </c>
      <c r="E107" t="s">
        <v>53</v>
      </c>
      <c r="G107" t="s">
        <v>92</v>
      </c>
      <c r="H107" t="s">
        <v>52</v>
      </c>
      <c r="I107">
        <v>0.11334281897512564</v>
      </c>
      <c r="J107" t="s">
        <v>53</v>
      </c>
      <c r="L107" t="s">
        <v>112</v>
      </c>
      <c r="M107" t="s">
        <v>52</v>
      </c>
      <c r="N107">
        <v>9.4972433978402396E-2</v>
      </c>
      <c r="O107" t="s">
        <v>53</v>
      </c>
    </row>
    <row r="108" spans="2:15" x14ac:dyDescent="0.45">
      <c r="B108" t="s">
        <v>72</v>
      </c>
      <c r="C108" t="s">
        <v>54</v>
      </c>
      <c r="D108">
        <v>7.8860656810920013E-2</v>
      </c>
      <c r="E108" t="s">
        <v>53</v>
      </c>
      <c r="G108" t="s">
        <v>92</v>
      </c>
      <c r="H108" t="s">
        <v>54</v>
      </c>
      <c r="I108">
        <v>0.13576643498770602</v>
      </c>
      <c r="J108" t="s">
        <v>53</v>
      </c>
      <c r="L108" t="s">
        <v>112</v>
      </c>
      <c r="M108" t="s">
        <v>54</v>
      </c>
      <c r="N108">
        <v>0.12389242341478252</v>
      </c>
      <c r="O108" t="s">
        <v>53</v>
      </c>
    </row>
    <row r="109" spans="2:15" x14ac:dyDescent="0.45">
      <c r="B109" t="s">
        <v>72</v>
      </c>
      <c r="C109" t="s">
        <v>55</v>
      </c>
      <c r="D109">
        <v>0</v>
      </c>
      <c r="E109" t="s">
        <v>53</v>
      </c>
      <c r="G109" t="s">
        <v>92</v>
      </c>
      <c r="H109" t="s">
        <v>55</v>
      </c>
      <c r="I109">
        <v>8.7739683471739188E-2</v>
      </c>
      <c r="J109" t="s">
        <v>53</v>
      </c>
      <c r="L109" t="s">
        <v>112</v>
      </c>
      <c r="M109" t="s">
        <v>55</v>
      </c>
      <c r="N109">
        <v>7.5214551863243106E-2</v>
      </c>
      <c r="O109" t="s">
        <v>53</v>
      </c>
    </row>
    <row r="110" spans="2:15" x14ac:dyDescent="0.45">
      <c r="B110" t="s">
        <v>72</v>
      </c>
      <c r="C110" t="s">
        <v>56</v>
      </c>
      <c r="D110">
        <v>3.7246141548471848E-2</v>
      </c>
      <c r="E110" t="s">
        <v>53</v>
      </c>
      <c r="G110" t="s">
        <v>92</v>
      </c>
      <c r="H110" t="s">
        <v>56</v>
      </c>
      <c r="I110">
        <v>8.6899786561424247E-2</v>
      </c>
      <c r="J110" t="s">
        <v>53</v>
      </c>
      <c r="L110" t="s">
        <v>112</v>
      </c>
      <c r="M110" t="s">
        <v>56</v>
      </c>
      <c r="N110">
        <v>9.0055855397542961E-2</v>
      </c>
      <c r="O110" t="s">
        <v>53</v>
      </c>
    </row>
    <row r="111" spans="2:15" x14ac:dyDescent="0.45">
      <c r="B111" t="s">
        <v>72</v>
      </c>
      <c r="C111" t="s">
        <v>57</v>
      </c>
      <c r="D111">
        <v>0.30219415220134288</v>
      </c>
      <c r="E111" t="s">
        <v>53</v>
      </c>
      <c r="G111" t="s">
        <v>92</v>
      </c>
      <c r="H111" t="s">
        <v>57</v>
      </c>
      <c r="I111">
        <v>9.0047560447148012E-2</v>
      </c>
      <c r="J111" t="s">
        <v>53</v>
      </c>
      <c r="L111" t="s">
        <v>112</v>
      </c>
      <c r="M111" t="s">
        <v>57</v>
      </c>
      <c r="N111">
        <v>0.10627853990745179</v>
      </c>
      <c r="O111" t="s">
        <v>53</v>
      </c>
    </row>
    <row r="112" spans="2:15" x14ac:dyDescent="0.45">
      <c r="B112" t="s">
        <v>72</v>
      </c>
      <c r="C112" t="s">
        <v>58</v>
      </c>
      <c r="D112">
        <v>1.1785547006504585E-2</v>
      </c>
      <c r="E112" t="s">
        <v>53</v>
      </c>
      <c r="G112" t="s">
        <v>92</v>
      </c>
      <c r="H112" t="s">
        <v>58</v>
      </c>
      <c r="I112">
        <v>6.6658128356328394E-2</v>
      </c>
      <c r="J112" t="s">
        <v>53</v>
      </c>
      <c r="L112" t="s">
        <v>112</v>
      </c>
      <c r="M112" t="s">
        <v>58</v>
      </c>
      <c r="N112">
        <v>6.9978891452314229E-2</v>
      </c>
      <c r="O112" t="s">
        <v>53</v>
      </c>
    </row>
    <row r="113" spans="2:15" x14ac:dyDescent="0.45">
      <c r="B113" t="s">
        <v>72</v>
      </c>
      <c r="C113" t="s">
        <v>59</v>
      </c>
      <c r="D113">
        <v>5.8376899012120259E-2</v>
      </c>
      <c r="E113" t="s">
        <v>53</v>
      </c>
      <c r="G113" t="s">
        <v>92</v>
      </c>
      <c r="H113" t="s">
        <v>59</v>
      </c>
      <c r="I113">
        <v>4.8260529343381764E-2</v>
      </c>
      <c r="J113" t="s">
        <v>53</v>
      </c>
      <c r="L113" t="s">
        <v>112</v>
      </c>
      <c r="M113" t="s">
        <v>59</v>
      </c>
      <c r="N113">
        <v>6.1631949931563769E-2</v>
      </c>
      <c r="O113" t="s">
        <v>53</v>
      </c>
    </row>
    <row r="114" spans="2:15" x14ac:dyDescent="0.45">
      <c r="B114" t="s">
        <v>72</v>
      </c>
      <c r="C114" t="s">
        <v>60</v>
      </c>
      <c r="D114">
        <v>0.33277745862771962</v>
      </c>
      <c r="E114" t="s">
        <v>53</v>
      </c>
      <c r="G114" t="s">
        <v>92</v>
      </c>
      <c r="H114" t="s">
        <v>60</v>
      </c>
      <c r="I114">
        <v>6.1511758795970206E-2</v>
      </c>
      <c r="J114" t="s">
        <v>53</v>
      </c>
      <c r="L114" t="s">
        <v>112</v>
      </c>
      <c r="M114" t="s">
        <v>60</v>
      </c>
      <c r="N114">
        <v>7.1123576541284247E-2</v>
      </c>
      <c r="O114" t="s">
        <v>53</v>
      </c>
    </row>
    <row r="115" spans="2:15" x14ac:dyDescent="0.45">
      <c r="B115" t="s">
        <v>72</v>
      </c>
      <c r="C115" t="s">
        <v>61</v>
      </c>
      <c r="D115">
        <v>2.5717665765975829E-2</v>
      </c>
      <c r="E115" t="s">
        <v>53</v>
      </c>
      <c r="G115" t="s">
        <v>92</v>
      </c>
      <c r="H115" t="s">
        <v>61</v>
      </c>
      <c r="I115">
        <v>3.8978575990365E-2</v>
      </c>
      <c r="J115" t="s">
        <v>53</v>
      </c>
      <c r="L115" t="s">
        <v>112</v>
      </c>
      <c r="M115" t="s">
        <v>61</v>
      </c>
      <c r="N115">
        <v>4.6177506770481012E-2</v>
      </c>
      <c r="O115" t="s">
        <v>53</v>
      </c>
    </row>
    <row r="116" spans="2:15" x14ac:dyDescent="0.45">
      <c r="B116" t="s">
        <v>72</v>
      </c>
      <c r="C116" t="s">
        <v>62</v>
      </c>
      <c r="D116">
        <v>8.6314551423522443E-3</v>
      </c>
      <c r="E116" t="s">
        <v>53</v>
      </c>
      <c r="G116" t="s">
        <v>92</v>
      </c>
      <c r="H116" t="s">
        <v>62</v>
      </c>
      <c r="I116">
        <v>9.0104238084427982E-2</v>
      </c>
      <c r="J116" t="s">
        <v>53</v>
      </c>
      <c r="L116" t="s">
        <v>112</v>
      </c>
      <c r="M116" t="s">
        <v>62</v>
      </c>
      <c r="N116">
        <v>8.6660507516766225E-2</v>
      </c>
      <c r="O116" t="s">
        <v>53</v>
      </c>
    </row>
    <row r="117" spans="2:15" x14ac:dyDescent="0.45">
      <c r="B117" t="s">
        <v>72</v>
      </c>
      <c r="C117" t="s">
        <v>63</v>
      </c>
      <c r="D117">
        <v>0.1431598782096615</v>
      </c>
      <c r="E117" t="s">
        <v>53</v>
      </c>
      <c r="G117" t="s">
        <v>92</v>
      </c>
      <c r="H117" t="s">
        <v>63</v>
      </c>
      <c r="I117">
        <v>0.10645135474433895</v>
      </c>
      <c r="J117" t="s">
        <v>53</v>
      </c>
      <c r="L117" t="s">
        <v>112</v>
      </c>
      <c r="M117" t="s">
        <v>63</v>
      </c>
      <c r="N117">
        <v>0.10691439075159039</v>
      </c>
      <c r="O117" t="s">
        <v>53</v>
      </c>
    </row>
    <row r="118" spans="2:15" x14ac:dyDescent="0.45">
      <c r="B118" t="s">
        <v>72</v>
      </c>
      <c r="C118" t="s">
        <v>64</v>
      </c>
      <c r="D118">
        <v>1.1810527437642777E-3</v>
      </c>
      <c r="E118" t="s">
        <v>53</v>
      </c>
      <c r="G118" t="s">
        <v>92</v>
      </c>
      <c r="H118" t="s">
        <v>64</v>
      </c>
      <c r="I118">
        <v>7.4239130242047049E-2</v>
      </c>
      <c r="J118" t="s">
        <v>53</v>
      </c>
      <c r="L118" t="s">
        <v>112</v>
      </c>
      <c r="M118" t="s">
        <v>64</v>
      </c>
      <c r="N118">
        <v>6.7099372474580768E-2</v>
      </c>
      <c r="O118" t="s">
        <v>53</v>
      </c>
    </row>
    <row r="119" spans="2:15" x14ac:dyDescent="0.45">
      <c r="B119" t="s">
        <v>73</v>
      </c>
      <c r="C119" t="s">
        <v>52</v>
      </c>
      <c r="D119">
        <v>9.8986351088130496E-10</v>
      </c>
      <c r="E119" t="s">
        <v>53</v>
      </c>
      <c r="G119" t="s">
        <v>93</v>
      </c>
      <c r="H119" t="s">
        <v>52</v>
      </c>
      <c r="I119">
        <v>0.10109323708519175</v>
      </c>
      <c r="J119" t="s">
        <v>53</v>
      </c>
      <c r="L119" t="s">
        <v>113</v>
      </c>
      <c r="M119" t="s">
        <v>52</v>
      </c>
      <c r="N119">
        <v>9.6905915524858152E-2</v>
      </c>
      <c r="O119" t="s">
        <v>53</v>
      </c>
    </row>
    <row r="120" spans="2:15" x14ac:dyDescent="0.45">
      <c r="B120" t="s">
        <v>73</v>
      </c>
      <c r="C120" t="s">
        <v>54</v>
      </c>
      <c r="D120">
        <v>6.7146303666324306E-2</v>
      </c>
      <c r="E120" t="s">
        <v>53</v>
      </c>
      <c r="G120" t="s">
        <v>93</v>
      </c>
      <c r="H120" t="s">
        <v>54</v>
      </c>
      <c r="I120">
        <v>0.13146150480160487</v>
      </c>
      <c r="J120" t="s">
        <v>53</v>
      </c>
      <c r="L120" t="s">
        <v>113</v>
      </c>
      <c r="M120" t="s">
        <v>54</v>
      </c>
      <c r="N120">
        <v>0.12861200407504494</v>
      </c>
      <c r="O120" t="s">
        <v>53</v>
      </c>
    </row>
    <row r="121" spans="2:15" x14ac:dyDescent="0.45">
      <c r="B121" t="s">
        <v>73</v>
      </c>
      <c r="C121" t="s">
        <v>55</v>
      </c>
      <c r="D121">
        <v>0</v>
      </c>
      <c r="E121" t="s">
        <v>53</v>
      </c>
      <c r="G121" t="s">
        <v>93</v>
      </c>
      <c r="H121" t="s">
        <v>55</v>
      </c>
      <c r="I121">
        <v>8.1384582944330625E-2</v>
      </c>
      <c r="J121" t="s">
        <v>53</v>
      </c>
      <c r="L121" t="s">
        <v>113</v>
      </c>
      <c r="M121" t="s">
        <v>55</v>
      </c>
      <c r="N121">
        <v>7.8161565021578894E-2</v>
      </c>
      <c r="O121" t="s">
        <v>53</v>
      </c>
    </row>
    <row r="122" spans="2:15" x14ac:dyDescent="0.45">
      <c r="B122" t="s">
        <v>73</v>
      </c>
      <c r="C122" t="s">
        <v>56</v>
      </c>
      <c r="D122">
        <v>3.8352877993905632E-2</v>
      </c>
      <c r="E122" t="s">
        <v>53</v>
      </c>
      <c r="G122" t="s">
        <v>93</v>
      </c>
      <c r="H122" t="s">
        <v>56</v>
      </c>
      <c r="I122">
        <v>8.5979912460336705E-2</v>
      </c>
      <c r="J122" t="s">
        <v>53</v>
      </c>
      <c r="L122" t="s">
        <v>113</v>
      </c>
      <c r="M122" t="s">
        <v>56</v>
      </c>
      <c r="N122">
        <v>8.5250522538946244E-2</v>
      </c>
      <c r="O122" t="s">
        <v>53</v>
      </c>
    </row>
    <row r="123" spans="2:15" x14ac:dyDescent="0.45">
      <c r="B123" t="s">
        <v>73</v>
      </c>
      <c r="C123" t="s">
        <v>57</v>
      </c>
      <c r="D123">
        <v>0.32823616702802322</v>
      </c>
      <c r="E123" t="s">
        <v>53</v>
      </c>
      <c r="G123" t="s">
        <v>93</v>
      </c>
      <c r="H123" t="s">
        <v>57</v>
      </c>
      <c r="I123">
        <v>9.4104617286218786E-2</v>
      </c>
      <c r="J123" t="s">
        <v>53</v>
      </c>
      <c r="L123" t="s">
        <v>113</v>
      </c>
      <c r="M123" t="s">
        <v>57</v>
      </c>
      <c r="N123">
        <v>0.10049112854020389</v>
      </c>
      <c r="O123" t="s">
        <v>53</v>
      </c>
    </row>
    <row r="124" spans="2:15" x14ac:dyDescent="0.45">
      <c r="B124" t="s">
        <v>73</v>
      </c>
      <c r="C124" t="s">
        <v>58</v>
      </c>
      <c r="D124">
        <v>1.3801317612708077E-2</v>
      </c>
      <c r="E124" t="s">
        <v>53</v>
      </c>
      <c r="G124" t="s">
        <v>93</v>
      </c>
      <c r="H124" t="s">
        <v>58</v>
      </c>
      <c r="I124">
        <v>6.2224871336007272E-2</v>
      </c>
      <c r="J124" t="s">
        <v>53</v>
      </c>
      <c r="L124" t="s">
        <v>113</v>
      </c>
      <c r="M124" t="s">
        <v>58</v>
      </c>
      <c r="N124">
        <v>6.600985213970896E-2</v>
      </c>
      <c r="O124" t="s">
        <v>53</v>
      </c>
    </row>
    <row r="125" spans="2:15" x14ac:dyDescent="0.45">
      <c r="B125" t="s">
        <v>73</v>
      </c>
      <c r="C125" t="s">
        <v>59</v>
      </c>
      <c r="D125">
        <v>5.3278493237931594E-2</v>
      </c>
      <c r="E125" t="s">
        <v>53</v>
      </c>
      <c r="G125" t="s">
        <v>93</v>
      </c>
      <c r="H125" t="s">
        <v>59</v>
      </c>
      <c r="I125">
        <v>5.3269026689627776E-2</v>
      </c>
      <c r="J125" t="s">
        <v>53</v>
      </c>
      <c r="L125" t="s">
        <v>113</v>
      </c>
      <c r="M125" t="s">
        <v>59</v>
      </c>
      <c r="N125">
        <v>5.934642655973639E-2</v>
      </c>
      <c r="O125" t="s">
        <v>53</v>
      </c>
    </row>
    <row r="126" spans="2:15" x14ac:dyDescent="0.45">
      <c r="B126" t="s">
        <v>73</v>
      </c>
      <c r="C126" t="s">
        <v>60</v>
      </c>
      <c r="D126">
        <v>0.33228415042105552</v>
      </c>
      <c r="E126" t="s">
        <v>53</v>
      </c>
      <c r="G126" t="s">
        <v>93</v>
      </c>
      <c r="H126" t="s">
        <v>60</v>
      </c>
      <c r="I126">
        <v>7.1366797220473524E-2</v>
      </c>
      <c r="J126" t="s">
        <v>53</v>
      </c>
      <c r="L126" t="s">
        <v>113</v>
      </c>
      <c r="M126" t="s">
        <v>60</v>
      </c>
      <c r="N126">
        <v>7.1531270211561082E-2</v>
      </c>
      <c r="O126" t="s">
        <v>53</v>
      </c>
    </row>
    <row r="127" spans="2:15" x14ac:dyDescent="0.45">
      <c r="B127" t="s">
        <v>73</v>
      </c>
      <c r="C127" t="s">
        <v>61</v>
      </c>
      <c r="D127">
        <v>3.0277327022408283E-2</v>
      </c>
      <c r="E127" t="s">
        <v>53</v>
      </c>
      <c r="G127" t="s">
        <v>93</v>
      </c>
      <c r="H127" t="s">
        <v>61</v>
      </c>
      <c r="I127">
        <v>3.8147098936242421E-2</v>
      </c>
      <c r="J127" t="s">
        <v>53</v>
      </c>
      <c r="L127" t="s">
        <v>113</v>
      </c>
      <c r="M127" t="s">
        <v>61</v>
      </c>
      <c r="N127">
        <v>4.5058559772011779E-2</v>
      </c>
      <c r="O127" t="s">
        <v>53</v>
      </c>
    </row>
    <row r="128" spans="2:15" x14ac:dyDescent="0.45">
      <c r="B128" t="s">
        <v>73</v>
      </c>
      <c r="C128" t="s">
        <v>62</v>
      </c>
      <c r="D128">
        <v>7.466303287726025E-3</v>
      </c>
      <c r="E128" t="s">
        <v>53</v>
      </c>
      <c r="G128" t="s">
        <v>93</v>
      </c>
      <c r="H128" t="s">
        <v>62</v>
      </c>
      <c r="I128">
        <v>9.2954040104742008E-2</v>
      </c>
      <c r="J128" t="s">
        <v>53</v>
      </c>
      <c r="L128" t="s">
        <v>113</v>
      </c>
      <c r="M128" t="s">
        <v>62</v>
      </c>
      <c r="N128">
        <v>8.8271363240131934E-2</v>
      </c>
      <c r="O128" t="s">
        <v>53</v>
      </c>
    </row>
    <row r="129" spans="2:15" x14ac:dyDescent="0.45">
      <c r="B129" t="s">
        <v>73</v>
      </c>
      <c r="C129" t="s">
        <v>63</v>
      </c>
      <c r="D129">
        <v>0.12776551560394095</v>
      </c>
      <c r="E129" t="s">
        <v>53</v>
      </c>
      <c r="G129" t="s">
        <v>93</v>
      </c>
      <c r="H129" t="s">
        <v>63</v>
      </c>
      <c r="I129">
        <v>0.1132606673627985</v>
      </c>
      <c r="J129" t="s">
        <v>53</v>
      </c>
      <c r="L129" t="s">
        <v>113</v>
      </c>
      <c r="M129" t="s">
        <v>63</v>
      </c>
      <c r="N129">
        <v>0.10928127831339389</v>
      </c>
      <c r="O129" t="s">
        <v>53</v>
      </c>
    </row>
    <row r="130" spans="2:15" x14ac:dyDescent="0.45">
      <c r="B130" t="s">
        <v>73</v>
      </c>
      <c r="C130" t="s">
        <v>64</v>
      </c>
      <c r="D130">
        <v>1.3915431361112719E-3</v>
      </c>
      <c r="E130" t="s">
        <v>53</v>
      </c>
      <c r="G130" t="s">
        <v>93</v>
      </c>
      <c r="H130" t="s">
        <v>64</v>
      </c>
      <c r="I130">
        <v>7.4753643772427339E-2</v>
      </c>
      <c r="J130" t="s">
        <v>53</v>
      </c>
      <c r="L130" t="s">
        <v>113</v>
      </c>
      <c r="M130" t="s">
        <v>64</v>
      </c>
      <c r="N130">
        <v>7.1080114062824259E-2</v>
      </c>
      <c r="O130" t="s">
        <v>53</v>
      </c>
    </row>
    <row r="131" spans="2:15" x14ac:dyDescent="0.45">
      <c r="B131" t="s">
        <v>74</v>
      </c>
      <c r="C131" t="s">
        <v>52</v>
      </c>
      <c r="D131">
        <v>2.7426333151613858E-5</v>
      </c>
      <c r="E131" t="s">
        <v>53</v>
      </c>
      <c r="G131" t="s">
        <v>94</v>
      </c>
      <c r="H131" t="s">
        <v>52</v>
      </c>
      <c r="I131">
        <v>0.10676360758410815</v>
      </c>
      <c r="J131" t="s">
        <v>53</v>
      </c>
    </row>
    <row r="132" spans="2:15" x14ac:dyDescent="0.45">
      <c r="B132" t="s">
        <v>74</v>
      </c>
      <c r="C132" t="s">
        <v>54</v>
      </c>
      <c r="D132">
        <v>7.1676840098715958E-2</v>
      </c>
      <c r="E132" t="s">
        <v>53</v>
      </c>
      <c r="G132" t="s">
        <v>94</v>
      </c>
      <c r="H132" t="s">
        <v>54</v>
      </c>
      <c r="I132">
        <v>0.14133488918683929</v>
      </c>
      <c r="J132" t="s">
        <v>53</v>
      </c>
    </row>
    <row r="133" spans="2:15" x14ac:dyDescent="0.45">
      <c r="B133" t="s">
        <v>74</v>
      </c>
      <c r="C133" t="s">
        <v>55</v>
      </c>
      <c r="D133">
        <v>0</v>
      </c>
      <c r="E133" t="s">
        <v>53</v>
      </c>
      <c r="G133" t="s">
        <v>94</v>
      </c>
      <c r="H133" t="s">
        <v>55</v>
      </c>
      <c r="I133">
        <v>8.7907511564818241E-2</v>
      </c>
      <c r="J133" t="s">
        <v>53</v>
      </c>
    </row>
    <row r="134" spans="2:15" x14ac:dyDescent="0.45">
      <c r="B134" t="s">
        <v>74</v>
      </c>
      <c r="C134" t="s">
        <v>56</v>
      </c>
      <c r="D134">
        <v>3.7416109776342181E-2</v>
      </c>
      <c r="E134" t="s">
        <v>53</v>
      </c>
      <c r="G134" t="s">
        <v>94</v>
      </c>
      <c r="H134" t="s">
        <v>56</v>
      </c>
      <c r="I134">
        <v>7.575411640998117E-2</v>
      </c>
      <c r="J134" t="s">
        <v>53</v>
      </c>
    </row>
    <row r="135" spans="2:15" x14ac:dyDescent="0.45">
      <c r="B135" t="s">
        <v>74</v>
      </c>
      <c r="C135" t="s">
        <v>57</v>
      </c>
      <c r="D135">
        <v>0.31668354981034408</v>
      </c>
      <c r="E135" t="s">
        <v>53</v>
      </c>
      <c r="G135" t="s">
        <v>94</v>
      </c>
      <c r="H135" t="s">
        <v>57</v>
      </c>
      <c r="I135">
        <v>8.8873394214524282E-2</v>
      </c>
      <c r="J135" t="s">
        <v>53</v>
      </c>
    </row>
    <row r="136" spans="2:15" x14ac:dyDescent="0.45">
      <c r="B136" t="s">
        <v>74</v>
      </c>
      <c r="C136" t="s">
        <v>58</v>
      </c>
      <c r="D136">
        <v>1.2023700730970486E-2</v>
      </c>
      <c r="E136" t="s">
        <v>53</v>
      </c>
      <c r="G136" t="s">
        <v>94</v>
      </c>
      <c r="H136" t="s">
        <v>58</v>
      </c>
      <c r="I136">
        <v>6.0883757389916388E-2</v>
      </c>
      <c r="J136" t="s">
        <v>53</v>
      </c>
    </row>
    <row r="137" spans="2:15" x14ac:dyDescent="0.45">
      <c r="B137" t="s">
        <v>74</v>
      </c>
      <c r="C137" t="s">
        <v>59</v>
      </c>
      <c r="D137">
        <v>5.7197311995085758E-2</v>
      </c>
      <c r="E137" t="s">
        <v>53</v>
      </c>
      <c r="G137" t="s">
        <v>94</v>
      </c>
      <c r="H137" t="s">
        <v>59</v>
      </c>
      <c r="I137">
        <v>5.4057648377137925E-2</v>
      </c>
      <c r="J137" t="s">
        <v>53</v>
      </c>
    </row>
    <row r="138" spans="2:15" x14ac:dyDescent="0.45">
      <c r="B138" t="s">
        <v>74</v>
      </c>
      <c r="C138" t="s">
        <v>60</v>
      </c>
      <c r="D138">
        <v>0.3336905852335964</v>
      </c>
      <c r="E138" t="s">
        <v>53</v>
      </c>
      <c r="G138" t="s">
        <v>94</v>
      </c>
      <c r="H138" t="s">
        <v>60</v>
      </c>
      <c r="I138">
        <v>5.4211194606167579E-2</v>
      </c>
      <c r="J138" t="s">
        <v>53</v>
      </c>
    </row>
    <row r="139" spans="2:15" x14ac:dyDescent="0.45">
      <c r="B139" t="s">
        <v>74</v>
      </c>
      <c r="C139" t="s">
        <v>61</v>
      </c>
      <c r="D139">
        <v>2.7519719712929908E-2</v>
      </c>
      <c r="E139" t="s">
        <v>53</v>
      </c>
      <c r="G139" t="s">
        <v>94</v>
      </c>
      <c r="H139" t="s">
        <v>61</v>
      </c>
      <c r="I139">
        <v>3.6131997660280253E-2</v>
      </c>
      <c r="J139" t="s">
        <v>53</v>
      </c>
    </row>
    <row r="140" spans="2:15" x14ac:dyDescent="0.45">
      <c r="B140" t="s">
        <v>74</v>
      </c>
      <c r="C140" t="s">
        <v>62</v>
      </c>
      <c r="D140">
        <v>8.0458277304882916E-3</v>
      </c>
      <c r="E140" t="s">
        <v>53</v>
      </c>
      <c r="G140" t="s">
        <v>94</v>
      </c>
      <c r="H140" t="s">
        <v>62</v>
      </c>
      <c r="I140">
        <v>0.1006128151530965</v>
      </c>
      <c r="J140" t="s">
        <v>53</v>
      </c>
    </row>
    <row r="141" spans="2:15" x14ac:dyDescent="0.45">
      <c r="B141" t="s">
        <v>74</v>
      </c>
      <c r="C141" t="s">
        <v>63</v>
      </c>
      <c r="D141">
        <v>0.13444295395221376</v>
      </c>
      <c r="E141" t="s">
        <v>53</v>
      </c>
      <c r="G141" t="s">
        <v>94</v>
      </c>
      <c r="H141" t="s">
        <v>63</v>
      </c>
      <c r="I141">
        <v>0.11828625572225183</v>
      </c>
      <c r="J141" t="s">
        <v>53</v>
      </c>
    </row>
    <row r="142" spans="2:15" x14ac:dyDescent="0.45">
      <c r="B142" t="s">
        <v>74</v>
      </c>
      <c r="C142" t="s">
        <v>64</v>
      </c>
      <c r="D142">
        <v>1.2759746261611143E-3</v>
      </c>
      <c r="E142" t="s">
        <v>53</v>
      </c>
      <c r="G142" t="s">
        <v>94</v>
      </c>
      <c r="H142" t="s">
        <v>64</v>
      </c>
      <c r="I142">
        <v>7.5182812130877213E-2</v>
      </c>
      <c r="J142" t="s">
        <v>53</v>
      </c>
    </row>
    <row r="143" spans="2:15" x14ac:dyDescent="0.45">
      <c r="B143" t="s">
        <v>75</v>
      </c>
      <c r="C143" t="s">
        <v>52</v>
      </c>
      <c r="D143">
        <v>2.7374471485977481E-4</v>
      </c>
      <c r="E143" t="s">
        <v>53</v>
      </c>
      <c r="G143" t="s">
        <v>95</v>
      </c>
      <c r="H143" t="s">
        <v>52</v>
      </c>
      <c r="I143">
        <v>0.10447644124175282</v>
      </c>
      <c r="J143" t="s">
        <v>53</v>
      </c>
    </row>
    <row r="144" spans="2:15" x14ac:dyDescent="0.45">
      <c r="B144" t="s">
        <v>75</v>
      </c>
      <c r="C144" t="s">
        <v>54</v>
      </c>
      <c r="D144">
        <v>0.10319133496901212</v>
      </c>
      <c r="E144" t="s">
        <v>53</v>
      </c>
      <c r="G144" t="s">
        <v>95</v>
      </c>
      <c r="H144" t="s">
        <v>54</v>
      </c>
      <c r="I144">
        <v>0.13299712606181299</v>
      </c>
      <c r="J144" t="s">
        <v>53</v>
      </c>
    </row>
    <row r="145" spans="2:10" x14ac:dyDescent="0.45">
      <c r="B145" t="s">
        <v>75</v>
      </c>
      <c r="C145" t="s">
        <v>55</v>
      </c>
      <c r="D145">
        <v>0</v>
      </c>
      <c r="E145" t="s">
        <v>53</v>
      </c>
      <c r="G145" t="s">
        <v>95</v>
      </c>
      <c r="H145" t="s">
        <v>55</v>
      </c>
      <c r="I145">
        <v>8.3074503840059294E-2</v>
      </c>
      <c r="J145" t="s">
        <v>53</v>
      </c>
    </row>
    <row r="146" spans="2:10" x14ac:dyDescent="0.45">
      <c r="B146" t="s">
        <v>75</v>
      </c>
      <c r="C146" t="s">
        <v>56</v>
      </c>
      <c r="D146">
        <v>3.1545820481490863E-2</v>
      </c>
      <c r="E146" t="s">
        <v>53</v>
      </c>
      <c r="G146" t="s">
        <v>95</v>
      </c>
      <c r="H146" t="s">
        <v>56</v>
      </c>
      <c r="I146">
        <v>8.4879115359719606E-2</v>
      </c>
      <c r="J146" t="s">
        <v>53</v>
      </c>
    </row>
    <row r="147" spans="2:10" x14ac:dyDescent="0.45">
      <c r="B147" t="s">
        <v>75</v>
      </c>
      <c r="C147" t="s">
        <v>57</v>
      </c>
      <c r="D147">
        <v>0.28024918962929524</v>
      </c>
      <c r="E147" t="s">
        <v>53</v>
      </c>
      <c r="G147" t="s">
        <v>95</v>
      </c>
      <c r="H147" t="s">
        <v>57</v>
      </c>
      <c r="I147">
        <v>8.1954060842033161E-2</v>
      </c>
      <c r="J147" t="s">
        <v>53</v>
      </c>
    </row>
    <row r="148" spans="2:10" x14ac:dyDescent="0.45">
      <c r="B148" t="s">
        <v>75</v>
      </c>
      <c r="C148" t="s">
        <v>58</v>
      </c>
      <c r="D148">
        <v>9.8613481806807315E-3</v>
      </c>
      <c r="E148" t="s">
        <v>53</v>
      </c>
      <c r="G148" t="s">
        <v>95</v>
      </c>
      <c r="H148" t="s">
        <v>58</v>
      </c>
      <c r="I148">
        <v>6.4524714761872465E-2</v>
      </c>
      <c r="J148" t="s">
        <v>53</v>
      </c>
    </row>
    <row r="149" spans="2:10" x14ac:dyDescent="0.45">
      <c r="B149" t="s">
        <v>75</v>
      </c>
      <c r="C149" t="s">
        <v>59</v>
      </c>
      <c r="D149">
        <v>4.8467284020236492E-2</v>
      </c>
      <c r="E149" t="s">
        <v>53</v>
      </c>
      <c r="G149" t="s">
        <v>95</v>
      </c>
      <c r="H149" t="s">
        <v>59</v>
      </c>
      <c r="I149">
        <v>5.6852980443637166E-2</v>
      </c>
      <c r="J149" t="s">
        <v>53</v>
      </c>
    </row>
    <row r="150" spans="2:10" x14ac:dyDescent="0.45">
      <c r="B150" t="s">
        <v>75</v>
      </c>
      <c r="C150" t="s">
        <v>60</v>
      </c>
      <c r="D150">
        <v>0.32137054201735693</v>
      </c>
      <c r="E150" t="s">
        <v>53</v>
      </c>
      <c r="G150" t="s">
        <v>95</v>
      </c>
      <c r="H150" t="s">
        <v>60</v>
      </c>
      <c r="I150">
        <v>6.3406701808425225E-2</v>
      </c>
      <c r="J150" t="s">
        <v>53</v>
      </c>
    </row>
    <row r="151" spans="2:10" x14ac:dyDescent="0.45">
      <c r="B151" t="s">
        <v>75</v>
      </c>
      <c r="C151" t="s">
        <v>61</v>
      </c>
      <c r="D151">
        <v>2.1731335841149894E-2</v>
      </c>
      <c r="E151" t="s">
        <v>53</v>
      </c>
      <c r="G151" t="s">
        <v>95</v>
      </c>
      <c r="H151" t="s">
        <v>61</v>
      </c>
      <c r="I151">
        <v>4.1738514065000162E-2</v>
      </c>
      <c r="J151" t="s">
        <v>53</v>
      </c>
    </row>
    <row r="152" spans="2:10" x14ac:dyDescent="0.45">
      <c r="B152" t="s">
        <v>75</v>
      </c>
      <c r="C152" t="s">
        <v>62</v>
      </c>
      <c r="D152">
        <v>1.0168266198019273E-2</v>
      </c>
      <c r="E152" t="s">
        <v>53</v>
      </c>
      <c r="G152" t="s">
        <v>95</v>
      </c>
      <c r="H152" t="s">
        <v>62</v>
      </c>
      <c r="I152">
        <v>9.7191299929569569E-2</v>
      </c>
      <c r="J152" t="s">
        <v>53</v>
      </c>
    </row>
    <row r="153" spans="2:10" x14ac:dyDescent="0.45">
      <c r="B153" t="s">
        <v>75</v>
      </c>
      <c r="C153" t="s">
        <v>63</v>
      </c>
      <c r="D153">
        <v>0.17169019076236747</v>
      </c>
      <c r="E153" t="s">
        <v>53</v>
      </c>
      <c r="G153" t="s">
        <v>95</v>
      </c>
      <c r="H153" t="s">
        <v>63</v>
      </c>
      <c r="I153">
        <v>0.11241593572093395</v>
      </c>
      <c r="J153" t="s">
        <v>53</v>
      </c>
    </row>
    <row r="154" spans="2:10" x14ac:dyDescent="0.45">
      <c r="B154" t="s">
        <v>75</v>
      </c>
      <c r="C154" t="s">
        <v>64</v>
      </c>
      <c r="D154">
        <v>1.4509431855343599E-3</v>
      </c>
      <c r="E154" t="s">
        <v>53</v>
      </c>
      <c r="G154" t="s">
        <v>95</v>
      </c>
      <c r="H154" t="s">
        <v>64</v>
      </c>
      <c r="I154">
        <v>7.6488605925182987E-2</v>
      </c>
      <c r="J154" t="s">
        <v>53</v>
      </c>
    </row>
    <row r="155" spans="2:10" x14ac:dyDescent="0.45">
      <c r="B155" t="s">
        <v>76</v>
      </c>
      <c r="C155" t="s">
        <v>52</v>
      </c>
      <c r="D155">
        <v>2.6618482647272173E-4</v>
      </c>
      <c r="E155" t="s">
        <v>53</v>
      </c>
      <c r="G155" t="s">
        <v>96</v>
      </c>
      <c r="H155" t="s">
        <v>52</v>
      </c>
      <c r="I155">
        <v>0.10211990373391783</v>
      </c>
      <c r="J155" t="s">
        <v>53</v>
      </c>
    </row>
    <row r="156" spans="2:10" x14ac:dyDescent="0.45">
      <c r="B156" t="s">
        <v>76</v>
      </c>
      <c r="C156" t="s">
        <v>54</v>
      </c>
      <c r="D156">
        <v>9.0769590571773279E-2</v>
      </c>
      <c r="E156" t="s">
        <v>53</v>
      </c>
      <c r="G156" t="s">
        <v>96</v>
      </c>
      <c r="H156" t="s">
        <v>54</v>
      </c>
      <c r="I156">
        <v>0.12840267581047968</v>
      </c>
      <c r="J156" t="s">
        <v>53</v>
      </c>
    </row>
    <row r="157" spans="2:10" x14ac:dyDescent="0.45">
      <c r="B157" t="s">
        <v>76</v>
      </c>
      <c r="C157" t="s">
        <v>55</v>
      </c>
      <c r="D157">
        <v>0</v>
      </c>
      <c r="E157" t="s">
        <v>53</v>
      </c>
      <c r="G157" t="s">
        <v>96</v>
      </c>
      <c r="H157" t="s">
        <v>55</v>
      </c>
      <c r="I157">
        <v>8.3028796628925997E-2</v>
      </c>
      <c r="J157" t="s">
        <v>53</v>
      </c>
    </row>
    <row r="158" spans="2:10" x14ac:dyDescent="0.45">
      <c r="B158" t="s">
        <v>76</v>
      </c>
      <c r="C158" t="s">
        <v>56</v>
      </c>
      <c r="D158">
        <v>3.5529920245665231E-2</v>
      </c>
      <c r="E158" t="s">
        <v>53</v>
      </c>
      <c r="G158" t="s">
        <v>96</v>
      </c>
      <c r="H158" t="s">
        <v>56</v>
      </c>
      <c r="I158">
        <v>8.8677651292685053E-2</v>
      </c>
      <c r="J158" t="s">
        <v>53</v>
      </c>
    </row>
    <row r="159" spans="2:10" x14ac:dyDescent="0.45">
      <c r="B159" t="s">
        <v>76</v>
      </c>
      <c r="C159" t="s">
        <v>57</v>
      </c>
      <c r="D159">
        <v>0.28943400833968952</v>
      </c>
      <c r="E159" t="s">
        <v>53</v>
      </c>
      <c r="G159" t="s">
        <v>96</v>
      </c>
      <c r="H159" t="s">
        <v>57</v>
      </c>
      <c r="I159">
        <v>8.8086754373682935E-2</v>
      </c>
      <c r="J159" t="s">
        <v>53</v>
      </c>
    </row>
    <row r="160" spans="2:10" x14ac:dyDescent="0.45">
      <c r="B160" t="s">
        <v>76</v>
      </c>
      <c r="C160" t="s">
        <v>58</v>
      </c>
      <c r="D160">
        <v>1.0258271119955857E-2</v>
      </c>
      <c r="E160" t="s">
        <v>53</v>
      </c>
      <c r="G160" t="s">
        <v>96</v>
      </c>
      <c r="H160" t="s">
        <v>58</v>
      </c>
      <c r="I160">
        <v>6.7798644288264417E-2</v>
      </c>
      <c r="J160" t="s">
        <v>53</v>
      </c>
    </row>
    <row r="161" spans="2:10" x14ac:dyDescent="0.45">
      <c r="B161" t="s">
        <v>76</v>
      </c>
      <c r="C161" t="s">
        <v>59</v>
      </c>
      <c r="D161">
        <v>5.301176325386555E-2</v>
      </c>
      <c r="E161" t="s">
        <v>53</v>
      </c>
      <c r="G161" t="s">
        <v>96</v>
      </c>
      <c r="H161" t="s">
        <v>59</v>
      </c>
      <c r="I161">
        <v>5.757810607650115E-2</v>
      </c>
      <c r="J161" t="s">
        <v>53</v>
      </c>
    </row>
    <row r="162" spans="2:10" x14ac:dyDescent="0.45">
      <c r="B162" t="s">
        <v>76</v>
      </c>
      <c r="C162" t="s">
        <v>60</v>
      </c>
      <c r="D162">
        <v>0.32725291998150757</v>
      </c>
      <c r="E162" t="s">
        <v>53</v>
      </c>
      <c r="G162" t="s">
        <v>96</v>
      </c>
      <c r="H162" t="s">
        <v>60</v>
      </c>
      <c r="I162">
        <v>5.7897216673648132E-2</v>
      </c>
      <c r="J162" t="s">
        <v>53</v>
      </c>
    </row>
    <row r="163" spans="2:10" x14ac:dyDescent="0.45">
      <c r="B163" t="s">
        <v>76</v>
      </c>
      <c r="C163" t="s">
        <v>61</v>
      </c>
      <c r="D163">
        <v>2.1893358661718456E-2</v>
      </c>
      <c r="E163" t="s">
        <v>53</v>
      </c>
      <c r="G163" t="s">
        <v>96</v>
      </c>
      <c r="H163" t="s">
        <v>61</v>
      </c>
      <c r="I163">
        <v>4.1019341508406769E-2</v>
      </c>
      <c r="J163" t="s">
        <v>53</v>
      </c>
    </row>
    <row r="164" spans="2:10" x14ac:dyDescent="0.45">
      <c r="B164" t="s">
        <v>76</v>
      </c>
      <c r="C164" t="s">
        <v>62</v>
      </c>
      <c r="D164">
        <v>1.0278018430461264E-2</v>
      </c>
      <c r="E164" t="s">
        <v>53</v>
      </c>
      <c r="G164" t="s">
        <v>96</v>
      </c>
      <c r="H164" t="s">
        <v>62</v>
      </c>
      <c r="I164">
        <v>9.70235988042355E-2</v>
      </c>
      <c r="J164" t="s">
        <v>53</v>
      </c>
    </row>
    <row r="165" spans="2:10" x14ac:dyDescent="0.45">
      <c r="B165" t="s">
        <v>76</v>
      </c>
      <c r="C165" t="s">
        <v>63</v>
      </c>
      <c r="D165">
        <v>0.16002598863393791</v>
      </c>
      <c r="E165" t="s">
        <v>53</v>
      </c>
      <c r="G165" t="s">
        <v>96</v>
      </c>
      <c r="H165" t="s">
        <v>63</v>
      </c>
      <c r="I165">
        <v>0.11056454789904113</v>
      </c>
      <c r="J165" t="s">
        <v>53</v>
      </c>
    </row>
    <row r="166" spans="2:10" x14ac:dyDescent="0.45">
      <c r="B166" t="s">
        <v>76</v>
      </c>
      <c r="C166" t="s">
        <v>64</v>
      </c>
      <c r="D166">
        <v>1.2799759349548375E-3</v>
      </c>
      <c r="E166" t="s">
        <v>53</v>
      </c>
      <c r="G166" t="s">
        <v>96</v>
      </c>
      <c r="H166" t="s">
        <v>64</v>
      </c>
      <c r="I166">
        <v>7.7802762910210349E-2</v>
      </c>
      <c r="J166" t="s">
        <v>53</v>
      </c>
    </row>
    <row r="167" spans="2:10" x14ac:dyDescent="0.45">
      <c r="B167" t="s">
        <v>77</v>
      </c>
      <c r="C167" t="s">
        <v>52</v>
      </c>
      <c r="D167">
        <v>0</v>
      </c>
      <c r="E167" t="s">
        <v>53</v>
      </c>
      <c r="G167" t="s">
        <v>97</v>
      </c>
      <c r="H167" t="s">
        <v>52</v>
      </c>
      <c r="I167">
        <v>0.1036635059002065</v>
      </c>
      <c r="J167" t="s">
        <v>53</v>
      </c>
    </row>
    <row r="168" spans="2:10" x14ac:dyDescent="0.45">
      <c r="B168" t="s">
        <v>77</v>
      </c>
      <c r="C168" t="s">
        <v>54</v>
      </c>
      <c r="D168">
        <v>0.10705847798053528</v>
      </c>
      <c r="E168" t="s">
        <v>53</v>
      </c>
      <c r="G168" t="s">
        <v>97</v>
      </c>
      <c r="H168" t="s">
        <v>54</v>
      </c>
      <c r="I168">
        <v>0.13100647028208309</v>
      </c>
      <c r="J168" t="s">
        <v>53</v>
      </c>
    </row>
    <row r="169" spans="2:10" x14ac:dyDescent="0.45">
      <c r="B169" t="s">
        <v>77</v>
      </c>
      <c r="C169" t="s">
        <v>55</v>
      </c>
      <c r="D169">
        <v>0</v>
      </c>
      <c r="E169" t="s">
        <v>53</v>
      </c>
      <c r="G169" t="s">
        <v>97</v>
      </c>
      <c r="H169" t="s">
        <v>55</v>
      </c>
      <c r="I169">
        <v>8.4589462491072603E-2</v>
      </c>
      <c r="J169" t="s">
        <v>53</v>
      </c>
    </row>
    <row r="170" spans="2:10" x14ac:dyDescent="0.45">
      <c r="B170" t="s">
        <v>77</v>
      </c>
      <c r="C170" t="s">
        <v>56</v>
      </c>
      <c r="D170">
        <v>2.5809028998462751E-2</v>
      </c>
      <c r="E170" t="s">
        <v>53</v>
      </c>
      <c r="G170" t="s">
        <v>97</v>
      </c>
      <c r="H170" t="s">
        <v>56</v>
      </c>
      <c r="I170">
        <v>9.223120961577512E-2</v>
      </c>
      <c r="J170" t="s">
        <v>53</v>
      </c>
    </row>
    <row r="171" spans="2:10" x14ac:dyDescent="0.45">
      <c r="B171" t="s">
        <v>77</v>
      </c>
      <c r="C171" t="s">
        <v>57</v>
      </c>
      <c r="D171">
        <v>0.2771799889854657</v>
      </c>
      <c r="E171" t="s">
        <v>53</v>
      </c>
      <c r="G171" t="s">
        <v>97</v>
      </c>
      <c r="H171" t="s">
        <v>57</v>
      </c>
      <c r="I171">
        <v>8.8557546682867583E-2</v>
      </c>
      <c r="J171" t="s">
        <v>53</v>
      </c>
    </row>
    <row r="172" spans="2:10" x14ac:dyDescent="0.45">
      <c r="B172" t="s">
        <v>77</v>
      </c>
      <c r="C172" t="s">
        <v>58</v>
      </c>
      <c r="D172">
        <v>1.2582862744573726E-2</v>
      </c>
      <c r="E172" t="s">
        <v>53</v>
      </c>
      <c r="G172" t="s">
        <v>97</v>
      </c>
      <c r="H172" t="s">
        <v>58</v>
      </c>
      <c r="I172">
        <v>6.7952803519833599E-2</v>
      </c>
      <c r="J172" t="s">
        <v>53</v>
      </c>
    </row>
    <row r="173" spans="2:10" x14ac:dyDescent="0.45">
      <c r="B173" t="s">
        <v>77</v>
      </c>
      <c r="C173" t="s">
        <v>59</v>
      </c>
      <c r="D173">
        <v>4.3318247551879803E-2</v>
      </c>
      <c r="E173" t="s">
        <v>53</v>
      </c>
      <c r="G173" t="s">
        <v>97</v>
      </c>
      <c r="H173" t="s">
        <v>59</v>
      </c>
      <c r="I173">
        <v>5.0024673260221565E-2</v>
      </c>
      <c r="J173" t="s">
        <v>53</v>
      </c>
    </row>
    <row r="174" spans="2:10" x14ac:dyDescent="0.45">
      <c r="B174" t="s">
        <v>77</v>
      </c>
      <c r="C174" t="s">
        <v>60</v>
      </c>
      <c r="D174">
        <v>0.32240532009455702</v>
      </c>
      <c r="E174" t="s">
        <v>53</v>
      </c>
      <c r="G174" t="s">
        <v>97</v>
      </c>
      <c r="H174" t="s">
        <v>60</v>
      </c>
      <c r="I174">
        <v>6.1924090312621853E-2</v>
      </c>
      <c r="J174" t="s">
        <v>53</v>
      </c>
    </row>
    <row r="175" spans="2:10" x14ac:dyDescent="0.45">
      <c r="B175" t="s">
        <v>77</v>
      </c>
      <c r="C175" t="s">
        <v>61</v>
      </c>
      <c r="D175">
        <v>2.5577248808938535E-2</v>
      </c>
      <c r="E175" t="s">
        <v>53</v>
      </c>
      <c r="G175" t="s">
        <v>97</v>
      </c>
      <c r="H175" t="s">
        <v>61</v>
      </c>
      <c r="I175">
        <v>4.2028310221307513E-2</v>
      </c>
      <c r="J175" t="s">
        <v>53</v>
      </c>
    </row>
    <row r="176" spans="2:10" x14ac:dyDescent="0.45">
      <c r="B176" t="s">
        <v>77</v>
      </c>
      <c r="C176" t="s">
        <v>62</v>
      </c>
      <c r="D176">
        <v>8.0786885488166975E-3</v>
      </c>
      <c r="E176" t="s">
        <v>53</v>
      </c>
      <c r="G176" t="s">
        <v>97</v>
      </c>
      <c r="H176" t="s">
        <v>62</v>
      </c>
      <c r="I176">
        <v>9.0471592577790486E-2</v>
      </c>
      <c r="J176" t="s">
        <v>53</v>
      </c>
    </row>
    <row r="177" spans="2:10" x14ac:dyDescent="0.45">
      <c r="B177" t="s">
        <v>77</v>
      </c>
      <c r="C177" t="s">
        <v>63</v>
      </c>
      <c r="D177">
        <v>0.17610033220094812</v>
      </c>
      <c r="E177" t="s">
        <v>53</v>
      </c>
      <c r="G177" t="s">
        <v>97</v>
      </c>
      <c r="H177" t="s">
        <v>63</v>
      </c>
      <c r="I177">
        <v>0.11096280879700023</v>
      </c>
      <c r="J177" t="s">
        <v>53</v>
      </c>
    </row>
    <row r="178" spans="2:10" x14ac:dyDescent="0.45">
      <c r="B178" t="s">
        <v>77</v>
      </c>
      <c r="C178" t="s">
        <v>64</v>
      </c>
      <c r="D178">
        <v>1.889804085824029E-3</v>
      </c>
      <c r="E178" t="s">
        <v>53</v>
      </c>
      <c r="G178" t="s">
        <v>97</v>
      </c>
      <c r="H178" t="s">
        <v>64</v>
      </c>
      <c r="I178">
        <v>7.658752633922275E-2</v>
      </c>
      <c r="J178" t="s">
        <v>53</v>
      </c>
    </row>
    <row r="179" spans="2:10" x14ac:dyDescent="0.45">
      <c r="B179" t="s">
        <v>78</v>
      </c>
      <c r="C179" t="s">
        <v>52</v>
      </c>
      <c r="D179">
        <v>0</v>
      </c>
      <c r="E179" t="s">
        <v>53</v>
      </c>
      <c r="G179" t="s">
        <v>98</v>
      </c>
      <c r="H179" t="s">
        <v>52</v>
      </c>
      <c r="I179">
        <v>0.12866283212480589</v>
      </c>
      <c r="J179" t="s">
        <v>53</v>
      </c>
    </row>
    <row r="180" spans="2:10" x14ac:dyDescent="0.45">
      <c r="B180" t="s">
        <v>78</v>
      </c>
      <c r="C180" t="s">
        <v>54</v>
      </c>
      <c r="D180">
        <v>9.5617031192836113E-2</v>
      </c>
      <c r="E180" t="s">
        <v>53</v>
      </c>
      <c r="G180" t="s">
        <v>98</v>
      </c>
      <c r="H180" t="s">
        <v>54</v>
      </c>
      <c r="I180">
        <v>0.16069481670963631</v>
      </c>
      <c r="J180" t="s">
        <v>53</v>
      </c>
    </row>
    <row r="181" spans="2:10" x14ac:dyDescent="0.45">
      <c r="B181" t="s">
        <v>78</v>
      </c>
      <c r="C181" t="s">
        <v>55</v>
      </c>
      <c r="D181">
        <v>0</v>
      </c>
      <c r="E181" t="s">
        <v>53</v>
      </c>
      <c r="G181" t="s">
        <v>98</v>
      </c>
      <c r="H181" t="s">
        <v>55</v>
      </c>
      <c r="I181">
        <v>9.6935351735815925E-2</v>
      </c>
      <c r="J181" t="s">
        <v>53</v>
      </c>
    </row>
    <row r="182" spans="2:10" x14ac:dyDescent="0.45">
      <c r="B182" t="s">
        <v>78</v>
      </c>
      <c r="C182" t="s">
        <v>56</v>
      </c>
      <c r="D182">
        <v>2.5650479799733412E-2</v>
      </c>
      <c r="E182" t="s">
        <v>53</v>
      </c>
      <c r="G182" t="s">
        <v>98</v>
      </c>
      <c r="H182" t="s">
        <v>56</v>
      </c>
      <c r="I182">
        <v>7.1821010038222902E-2</v>
      </c>
      <c r="J182" t="s">
        <v>53</v>
      </c>
    </row>
    <row r="183" spans="2:10" x14ac:dyDescent="0.45">
      <c r="B183" t="s">
        <v>78</v>
      </c>
      <c r="C183" t="s">
        <v>57</v>
      </c>
      <c r="D183">
        <v>0.27558178265075378</v>
      </c>
      <c r="E183" t="s">
        <v>53</v>
      </c>
      <c r="G183" t="s">
        <v>98</v>
      </c>
      <c r="H183" t="s">
        <v>57</v>
      </c>
      <c r="I183">
        <v>0.11054978318883973</v>
      </c>
      <c r="J183" t="s">
        <v>53</v>
      </c>
    </row>
    <row r="184" spans="2:10" x14ac:dyDescent="0.45">
      <c r="B184" t="s">
        <v>78</v>
      </c>
      <c r="C184" t="s">
        <v>58</v>
      </c>
      <c r="D184">
        <v>1.3092913262449418E-2</v>
      </c>
      <c r="E184" t="s">
        <v>53</v>
      </c>
      <c r="G184" t="s">
        <v>98</v>
      </c>
      <c r="H184" t="s">
        <v>58</v>
      </c>
      <c r="I184">
        <v>6.0210323882611244E-2</v>
      </c>
      <c r="J184" t="s">
        <v>53</v>
      </c>
    </row>
    <row r="185" spans="2:10" x14ac:dyDescent="0.45">
      <c r="B185" t="s">
        <v>78</v>
      </c>
      <c r="C185" t="s">
        <v>59</v>
      </c>
      <c r="D185">
        <v>4.2950366060061702E-2</v>
      </c>
      <c r="E185" t="s">
        <v>53</v>
      </c>
      <c r="G185" t="s">
        <v>98</v>
      </c>
      <c r="H185" t="s">
        <v>59</v>
      </c>
      <c r="I185">
        <v>2.1386496880898685E-2</v>
      </c>
      <c r="J185" t="s">
        <v>53</v>
      </c>
    </row>
    <row r="186" spans="2:10" x14ac:dyDescent="0.45">
      <c r="B186" t="s">
        <v>78</v>
      </c>
      <c r="C186" t="s">
        <v>60</v>
      </c>
      <c r="D186">
        <v>0.33484357884868055</v>
      </c>
      <c r="E186" t="s">
        <v>53</v>
      </c>
      <c r="G186" t="s">
        <v>98</v>
      </c>
      <c r="H186" t="s">
        <v>60</v>
      </c>
      <c r="I186">
        <v>5.6785277249604388E-2</v>
      </c>
      <c r="J186" t="s">
        <v>53</v>
      </c>
    </row>
    <row r="187" spans="2:10" x14ac:dyDescent="0.45">
      <c r="B187" t="s">
        <v>78</v>
      </c>
      <c r="C187" t="s">
        <v>61</v>
      </c>
      <c r="D187">
        <v>2.8770059230015587E-2</v>
      </c>
      <c r="E187" t="s">
        <v>53</v>
      </c>
      <c r="G187" t="s">
        <v>98</v>
      </c>
      <c r="H187" t="s">
        <v>61</v>
      </c>
      <c r="I187">
        <v>2.5222082721146108E-2</v>
      </c>
      <c r="J187" t="s">
        <v>53</v>
      </c>
    </row>
    <row r="188" spans="2:10" x14ac:dyDescent="0.45">
      <c r="B188" t="s">
        <v>78</v>
      </c>
      <c r="C188" t="s">
        <v>62</v>
      </c>
      <c r="D188">
        <v>7.5736190219616124E-3</v>
      </c>
      <c r="E188" t="s">
        <v>53</v>
      </c>
      <c r="G188" t="s">
        <v>98</v>
      </c>
      <c r="H188" t="s">
        <v>62</v>
      </c>
      <c r="I188">
        <v>7.6011149222178054E-2</v>
      </c>
      <c r="J188" t="s">
        <v>53</v>
      </c>
    </row>
    <row r="189" spans="2:10" x14ac:dyDescent="0.45">
      <c r="B189" t="s">
        <v>78</v>
      </c>
      <c r="C189" t="s">
        <v>63</v>
      </c>
      <c r="D189">
        <v>0.17400914650982008</v>
      </c>
      <c r="E189" t="s">
        <v>53</v>
      </c>
      <c r="G189" t="s">
        <v>98</v>
      </c>
      <c r="H189" t="s">
        <v>63</v>
      </c>
      <c r="I189">
        <v>0.11848300994934519</v>
      </c>
      <c r="J189" t="s">
        <v>53</v>
      </c>
    </row>
    <row r="190" spans="2:10" x14ac:dyDescent="0.45">
      <c r="B190" t="s">
        <v>78</v>
      </c>
      <c r="C190" t="s">
        <v>64</v>
      </c>
      <c r="D190">
        <v>1.9110234236870563E-3</v>
      </c>
      <c r="E190" t="s">
        <v>53</v>
      </c>
      <c r="G190" t="s">
        <v>98</v>
      </c>
      <c r="H190" t="s">
        <v>64</v>
      </c>
      <c r="I190">
        <v>7.3237866296896798E-2</v>
      </c>
      <c r="J190" t="s">
        <v>53</v>
      </c>
    </row>
    <row r="191" spans="2:10" x14ac:dyDescent="0.45">
      <c r="B191" t="s">
        <v>79</v>
      </c>
      <c r="C191" t="s">
        <v>52</v>
      </c>
      <c r="D191">
        <v>0</v>
      </c>
      <c r="E191" t="s">
        <v>53</v>
      </c>
      <c r="G191" t="s">
        <v>99</v>
      </c>
      <c r="H191" t="s">
        <v>52</v>
      </c>
      <c r="I191">
        <v>0.12296601372528949</v>
      </c>
      <c r="J191" t="s">
        <v>53</v>
      </c>
    </row>
    <row r="192" spans="2:10" x14ac:dyDescent="0.45">
      <c r="B192" t="s">
        <v>79</v>
      </c>
      <c r="C192" t="s">
        <v>54</v>
      </c>
      <c r="D192">
        <v>7.4713730804062725E-2</v>
      </c>
      <c r="E192" t="s">
        <v>53</v>
      </c>
      <c r="G192" t="s">
        <v>99</v>
      </c>
      <c r="H192" t="s">
        <v>54</v>
      </c>
      <c r="I192">
        <v>0.14884182551148314</v>
      </c>
      <c r="J192" t="s">
        <v>53</v>
      </c>
    </row>
    <row r="193" spans="2:10" x14ac:dyDescent="0.45">
      <c r="B193" t="s">
        <v>79</v>
      </c>
      <c r="C193" t="s">
        <v>55</v>
      </c>
      <c r="D193">
        <v>0</v>
      </c>
      <c r="E193" t="s">
        <v>53</v>
      </c>
      <c r="G193" t="s">
        <v>99</v>
      </c>
      <c r="H193" t="s">
        <v>55</v>
      </c>
      <c r="I193">
        <v>9.6701318941745676E-2</v>
      </c>
      <c r="J193" t="s">
        <v>53</v>
      </c>
    </row>
    <row r="194" spans="2:10" x14ac:dyDescent="0.45">
      <c r="B194" t="s">
        <v>79</v>
      </c>
      <c r="C194" t="s">
        <v>56</v>
      </c>
      <c r="D194">
        <v>2.5658328520294729E-2</v>
      </c>
      <c r="E194" t="s">
        <v>53</v>
      </c>
      <c r="G194" t="s">
        <v>99</v>
      </c>
      <c r="H194" t="s">
        <v>56</v>
      </c>
      <c r="I194">
        <v>7.9412430483940241E-2</v>
      </c>
      <c r="J194" t="s">
        <v>53</v>
      </c>
    </row>
    <row r="195" spans="2:10" x14ac:dyDescent="0.45">
      <c r="B195" t="s">
        <v>79</v>
      </c>
      <c r="C195" t="s">
        <v>57</v>
      </c>
      <c r="D195">
        <v>0.29178237507188232</v>
      </c>
      <c r="E195" t="s">
        <v>53</v>
      </c>
      <c r="G195" t="s">
        <v>99</v>
      </c>
      <c r="H195" t="s">
        <v>57</v>
      </c>
      <c r="I195">
        <v>9.6431870000687453E-2</v>
      </c>
      <c r="J195" t="s">
        <v>53</v>
      </c>
    </row>
    <row r="196" spans="2:10" x14ac:dyDescent="0.45">
      <c r="B196" t="s">
        <v>79</v>
      </c>
      <c r="C196" t="s">
        <v>58</v>
      </c>
      <c r="D196">
        <v>1.524260478099655E-2</v>
      </c>
      <c r="E196" t="s">
        <v>53</v>
      </c>
      <c r="G196" t="s">
        <v>99</v>
      </c>
      <c r="H196" t="s">
        <v>58</v>
      </c>
      <c r="I196">
        <v>6.2840638370937174E-2</v>
      </c>
      <c r="J196" t="s">
        <v>53</v>
      </c>
    </row>
    <row r="197" spans="2:10" x14ac:dyDescent="0.45">
      <c r="B197" t="s">
        <v>79</v>
      </c>
      <c r="C197" t="s">
        <v>59</v>
      </c>
      <c r="D197">
        <v>4.5673558870242138E-2</v>
      </c>
      <c r="E197" t="s">
        <v>53</v>
      </c>
      <c r="G197" t="s">
        <v>99</v>
      </c>
      <c r="H197" t="s">
        <v>59</v>
      </c>
      <c r="I197">
        <v>3.4493259588651771E-2</v>
      </c>
      <c r="J197" t="s">
        <v>53</v>
      </c>
    </row>
    <row r="198" spans="2:10" x14ac:dyDescent="0.45">
      <c r="B198" t="s">
        <v>79</v>
      </c>
      <c r="C198" t="s">
        <v>60</v>
      </c>
      <c r="D198">
        <v>0.34159743333899667</v>
      </c>
      <c r="E198" t="s">
        <v>53</v>
      </c>
      <c r="G198" t="s">
        <v>99</v>
      </c>
      <c r="H198" t="s">
        <v>60</v>
      </c>
      <c r="I198">
        <v>4.3054596406420328E-2</v>
      </c>
      <c r="J198" t="s">
        <v>53</v>
      </c>
    </row>
    <row r="199" spans="2:10" x14ac:dyDescent="0.45">
      <c r="B199" t="s">
        <v>79</v>
      </c>
      <c r="C199" t="s">
        <v>61</v>
      </c>
      <c r="D199">
        <v>3.2385063485723932E-2</v>
      </c>
      <c r="E199" t="s">
        <v>53</v>
      </c>
      <c r="G199" t="s">
        <v>99</v>
      </c>
      <c r="H199" t="s">
        <v>61</v>
      </c>
      <c r="I199">
        <v>2.8059771467890429E-2</v>
      </c>
      <c r="J199" t="s">
        <v>53</v>
      </c>
    </row>
    <row r="200" spans="2:10" x14ac:dyDescent="0.45">
      <c r="B200" t="s">
        <v>79</v>
      </c>
      <c r="C200" t="s">
        <v>62</v>
      </c>
      <c r="D200">
        <v>7.4508083843738034E-3</v>
      </c>
      <c r="E200" t="s">
        <v>53</v>
      </c>
      <c r="G200" t="s">
        <v>99</v>
      </c>
      <c r="H200" t="s">
        <v>62</v>
      </c>
      <c r="I200">
        <v>9.5746774901762574E-2</v>
      </c>
      <c r="J200" t="s">
        <v>53</v>
      </c>
    </row>
    <row r="201" spans="2:10" x14ac:dyDescent="0.45">
      <c r="B201" t="s">
        <v>79</v>
      </c>
      <c r="C201" t="s">
        <v>63</v>
      </c>
      <c r="D201">
        <v>0.16372681905730638</v>
      </c>
      <c r="E201" t="s">
        <v>53</v>
      </c>
      <c r="G201" t="s">
        <v>99</v>
      </c>
      <c r="H201" t="s">
        <v>63</v>
      </c>
      <c r="I201">
        <v>0.11566209074146658</v>
      </c>
      <c r="J201" t="s">
        <v>53</v>
      </c>
    </row>
    <row r="202" spans="2:10" x14ac:dyDescent="0.45">
      <c r="B202" t="s">
        <v>79</v>
      </c>
      <c r="C202" t="s">
        <v>64</v>
      </c>
      <c r="D202">
        <v>1.7692776861207326E-3</v>
      </c>
      <c r="E202" t="s">
        <v>53</v>
      </c>
      <c r="G202" t="s">
        <v>99</v>
      </c>
      <c r="H202" t="s">
        <v>64</v>
      </c>
      <c r="I202">
        <v>7.5789409859721213E-2</v>
      </c>
      <c r="J202" t="s">
        <v>53</v>
      </c>
    </row>
    <row r="203" spans="2:10" x14ac:dyDescent="0.45">
      <c r="B203" t="s">
        <v>80</v>
      </c>
      <c r="C203" t="s">
        <v>52</v>
      </c>
      <c r="D203">
        <v>0</v>
      </c>
      <c r="E203" t="s">
        <v>53</v>
      </c>
      <c r="G203" t="s">
        <v>100</v>
      </c>
      <c r="H203" t="s">
        <v>52</v>
      </c>
      <c r="I203">
        <v>0.11681798699431512</v>
      </c>
      <c r="J203" t="s">
        <v>53</v>
      </c>
    </row>
    <row r="204" spans="2:10" x14ac:dyDescent="0.45">
      <c r="B204" t="s">
        <v>80</v>
      </c>
      <c r="C204" t="s">
        <v>54</v>
      </c>
      <c r="D204">
        <v>6.9290311571817226E-2</v>
      </c>
      <c r="E204" t="s">
        <v>53</v>
      </c>
      <c r="G204" t="s">
        <v>100</v>
      </c>
      <c r="H204" t="s">
        <v>54</v>
      </c>
      <c r="I204">
        <v>0.13853485869344828</v>
      </c>
      <c r="J204" t="s">
        <v>53</v>
      </c>
    </row>
    <row r="205" spans="2:10" x14ac:dyDescent="0.45">
      <c r="B205" t="s">
        <v>80</v>
      </c>
      <c r="C205" t="s">
        <v>55</v>
      </c>
      <c r="D205">
        <v>0</v>
      </c>
      <c r="E205" t="s">
        <v>53</v>
      </c>
      <c r="G205" t="s">
        <v>100</v>
      </c>
      <c r="H205" t="s">
        <v>55</v>
      </c>
      <c r="I205">
        <v>8.863573748731661E-2</v>
      </c>
      <c r="J205" t="s">
        <v>53</v>
      </c>
    </row>
    <row r="206" spans="2:10" x14ac:dyDescent="0.45">
      <c r="B206" t="s">
        <v>80</v>
      </c>
      <c r="C206" t="s">
        <v>56</v>
      </c>
      <c r="D206">
        <v>2.6592506299167526E-2</v>
      </c>
      <c r="E206" t="s">
        <v>53</v>
      </c>
      <c r="G206" t="s">
        <v>100</v>
      </c>
      <c r="H206" t="s">
        <v>56</v>
      </c>
      <c r="I206">
        <v>8.5119670704432812E-2</v>
      </c>
      <c r="J206" t="s">
        <v>53</v>
      </c>
    </row>
    <row r="207" spans="2:10" x14ac:dyDescent="0.45">
      <c r="B207" t="s">
        <v>80</v>
      </c>
      <c r="C207" t="s">
        <v>57</v>
      </c>
      <c r="D207">
        <v>0.3087826866244428</v>
      </c>
      <c r="E207" t="s">
        <v>53</v>
      </c>
      <c r="G207" t="s">
        <v>100</v>
      </c>
      <c r="H207" t="s">
        <v>57</v>
      </c>
      <c r="I207">
        <v>0.1013734588754015</v>
      </c>
      <c r="J207" t="s">
        <v>53</v>
      </c>
    </row>
    <row r="208" spans="2:10" x14ac:dyDescent="0.45">
      <c r="B208" t="s">
        <v>80</v>
      </c>
      <c r="C208" t="s">
        <v>58</v>
      </c>
      <c r="D208">
        <v>1.5746147793704215E-2</v>
      </c>
      <c r="E208" t="s">
        <v>53</v>
      </c>
      <c r="G208" t="s">
        <v>100</v>
      </c>
      <c r="H208" t="s">
        <v>58</v>
      </c>
      <c r="I208">
        <v>6.6081210225392498E-2</v>
      </c>
      <c r="J208" t="s">
        <v>53</v>
      </c>
    </row>
    <row r="209" spans="2:10" x14ac:dyDescent="0.45">
      <c r="B209" t="s">
        <v>80</v>
      </c>
      <c r="C209" t="s">
        <v>59</v>
      </c>
      <c r="D209">
        <v>4.8419220350748457E-2</v>
      </c>
      <c r="E209" t="s">
        <v>53</v>
      </c>
      <c r="G209" t="s">
        <v>100</v>
      </c>
      <c r="H209" t="s">
        <v>59</v>
      </c>
      <c r="I209">
        <v>3.8883563891529388E-2</v>
      </c>
      <c r="J209" t="s">
        <v>53</v>
      </c>
    </row>
    <row r="210" spans="2:10" x14ac:dyDescent="0.45">
      <c r="B210" t="s">
        <v>80</v>
      </c>
      <c r="C210" t="s">
        <v>60</v>
      </c>
      <c r="D210">
        <v>0.33616788432608413</v>
      </c>
      <c r="E210" t="s">
        <v>53</v>
      </c>
      <c r="G210" t="s">
        <v>100</v>
      </c>
      <c r="H210" t="s">
        <v>60</v>
      </c>
      <c r="I210">
        <v>5.2609551395418355E-2</v>
      </c>
      <c r="J210" t="s">
        <v>53</v>
      </c>
    </row>
    <row r="211" spans="2:10" x14ac:dyDescent="0.45">
      <c r="B211" t="s">
        <v>80</v>
      </c>
      <c r="C211" t="s">
        <v>61</v>
      </c>
      <c r="D211">
        <v>3.2556016059058619E-2</v>
      </c>
      <c r="E211" t="s">
        <v>53</v>
      </c>
      <c r="G211" t="s">
        <v>100</v>
      </c>
      <c r="H211" t="s">
        <v>61</v>
      </c>
      <c r="I211">
        <v>3.4054767162022347E-2</v>
      </c>
      <c r="J211" t="s">
        <v>53</v>
      </c>
    </row>
    <row r="212" spans="2:10" x14ac:dyDescent="0.45">
      <c r="B212" t="s">
        <v>80</v>
      </c>
      <c r="C212" t="s">
        <v>62</v>
      </c>
      <c r="D212">
        <v>7.6858836059066349E-3</v>
      </c>
      <c r="E212" t="s">
        <v>53</v>
      </c>
      <c r="G212" t="s">
        <v>100</v>
      </c>
      <c r="H212" t="s">
        <v>62</v>
      </c>
      <c r="I212">
        <v>8.5565280131322835E-2</v>
      </c>
      <c r="J212" t="s">
        <v>53</v>
      </c>
    </row>
    <row r="213" spans="2:10" x14ac:dyDescent="0.45">
      <c r="B213" t="s">
        <v>80</v>
      </c>
      <c r="C213" t="s">
        <v>63</v>
      </c>
      <c r="D213">
        <v>0.15289116966572439</v>
      </c>
      <c r="E213" t="s">
        <v>53</v>
      </c>
      <c r="G213" t="s">
        <v>100</v>
      </c>
      <c r="H213" t="s">
        <v>63</v>
      </c>
      <c r="I213">
        <v>0.11241587653368051</v>
      </c>
      <c r="J213" t="s">
        <v>53</v>
      </c>
    </row>
    <row r="214" spans="2:10" x14ac:dyDescent="0.45">
      <c r="B214" t="s">
        <v>80</v>
      </c>
      <c r="C214" t="s">
        <v>64</v>
      </c>
      <c r="D214">
        <v>1.8681737033404248E-3</v>
      </c>
      <c r="E214" t="s">
        <v>53</v>
      </c>
      <c r="G214" t="s">
        <v>100</v>
      </c>
      <c r="H214" t="s">
        <v>64</v>
      </c>
      <c r="I214">
        <v>7.9908037905717613E-2</v>
      </c>
      <c r="J214" t="s">
        <v>53</v>
      </c>
    </row>
    <row r="215" spans="2:10" x14ac:dyDescent="0.45">
      <c r="B215" t="s">
        <v>81</v>
      </c>
      <c r="C215" t="s">
        <v>52</v>
      </c>
      <c r="D215">
        <v>0</v>
      </c>
      <c r="E215" t="s">
        <v>53</v>
      </c>
      <c r="G215" t="s">
        <v>101</v>
      </c>
      <c r="H215" t="s">
        <v>52</v>
      </c>
      <c r="I215">
        <v>0.10584895941376794</v>
      </c>
      <c r="J215" t="s">
        <v>53</v>
      </c>
    </row>
    <row r="216" spans="2:10" x14ac:dyDescent="0.45">
      <c r="B216" t="s">
        <v>81</v>
      </c>
      <c r="C216" t="s">
        <v>54</v>
      </c>
      <c r="D216">
        <v>7.4197015545942185E-2</v>
      </c>
      <c r="E216" t="s">
        <v>53</v>
      </c>
      <c r="G216" t="s">
        <v>101</v>
      </c>
      <c r="H216" t="s">
        <v>54</v>
      </c>
      <c r="I216">
        <v>0.13633458739406212</v>
      </c>
      <c r="J216" t="s">
        <v>53</v>
      </c>
    </row>
    <row r="217" spans="2:10" x14ac:dyDescent="0.45">
      <c r="B217" t="s">
        <v>81</v>
      </c>
      <c r="C217" t="s">
        <v>55</v>
      </c>
      <c r="D217">
        <v>0</v>
      </c>
      <c r="E217" t="s">
        <v>53</v>
      </c>
      <c r="G217" t="s">
        <v>101</v>
      </c>
      <c r="H217" t="s">
        <v>55</v>
      </c>
      <c r="I217">
        <v>8.6684770802467351E-2</v>
      </c>
      <c r="J217" t="s">
        <v>53</v>
      </c>
    </row>
    <row r="218" spans="2:10" x14ac:dyDescent="0.45">
      <c r="B218" t="s">
        <v>81</v>
      </c>
      <c r="C218" t="s">
        <v>56</v>
      </c>
      <c r="D218">
        <v>3.180388419121298E-2</v>
      </c>
      <c r="E218" t="s">
        <v>53</v>
      </c>
      <c r="G218" t="s">
        <v>101</v>
      </c>
      <c r="H218" t="s">
        <v>56</v>
      </c>
      <c r="I218">
        <v>7.9785335815373809E-2</v>
      </c>
      <c r="J218" t="s">
        <v>53</v>
      </c>
    </row>
    <row r="219" spans="2:10" x14ac:dyDescent="0.45">
      <c r="B219" t="s">
        <v>81</v>
      </c>
      <c r="C219" t="s">
        <v>57</v>
      </c>
      <c r="D219">
        <v>0.29269398862776186</v>
      </c>
      <c r="E219" t="s">
        <v>53</v>
      </c>
      <c r="G219" t="s">
        <v>101</v>
      </c>
      <c r="H219" t="s">
        <v>57</v>
      </c>
      <c r="I219">
        <v>0.10792953927930288</v>
      </c>
      <c r="J219" t="s">
        <v>53</v>
      </c>
    </row>
    <row r="220" spans="2:10" x14ac:dyDescent="0.45">
      <c r="B220" t="s">
        <v>81</v>
      </c>
      <c r="C220" t="s">
        <v>58</v>
      </c>
      <c r="D220">
        <v>1.2468801906355659E-2</v>
      </c>
      <c r="E220" t="s">
        <v>53</v>
      </c>
      <c r="G220" t="s">
        <v>101</v>
      </c>
      <c r="H220" t="s">
        <v>58</v>
      </c>
      <c r="I220">
        <v>6.6486732758355732E-2</v>
      </c>
      <c r="J220" t="s">
        <v>53</v>
      </c>
    </row>
    <row r="221" spans="2:10" x14ac:dyDescent="0.45">
      <c r="B221" t="s">
        <v>81</v>
      </c>
      <c r="C221" t="s">
        <v>59</v>
      </c>
      <c r="D221">
        <v>5.5672888220839843E-2</v>
      </c>
      <c r="E221" t="s">
        <v>53</v>
      </c>
      <c r="G221" t="s">
        <v>101</v>
      </c>
      <c r="H221" t="s">
        <v>59</v>
      </c>
      <c r="I221">
        <v>4.5073701761400124E-2</v>
      </c>
      <c r="J221" t="s">
        <v>53</v>
      </c>
    </row>
    <row r="222" spans="2:10" x14ac:dyDescent="0.45">
      <c r="B222" t="s">
        <v>81</v>
      </c>
      <c r="C222" t="s">
        <v>60</v>
      </c>
      <c r="D222">
        <v>0.34645858014738035</v>
      </c>
      <c r="E222" t="s">
        <v>53</v>
      </c>
      <c r="G222" t="s">
        <v>101</v>
      </c>
      <c r="H222" t="s">
        <v>60</v>
      </c>
      <c r="I222">
        <v>5.7745926824927081E-2</v>
      </c>
      <c r="J222" t="s">
        <v>53</v>
      </c>
    </row>
    <row r="223" spans="2:10" x14ac:dyDescent="0.45">
      <c r="B223" t="s">
        <v>81</v>
      </c>
      <c r="C223" t="s">
        <v>61</v>
      </c>
      <c r="D223">
        <v>2.8141464963918037E-2</v>
      </c>
      <c r="E223" t="s">
        <v>53</v>
      </c>
      <c r="G223" t="s">
        <v>101</v>
      </c>
      <c r="H223" t="s">
        <v>61</v>
      </c>
      <c r="I223">
        <v>3.4116600965507324E-2</v>
      </c>
      <c r="J223" t="s">
        <v>53</v>
      </c>
    </row>
    <row r="224" spans="2:10" x14ac:dyDescent="0.45">
      <c r="B224" t="s">
        <v>81</v>
      </c>
      <c r="C224" t="s">
        <v>62</v>
      </c>
      <c r="D224">
        <v>8.074847398495566E-3</v>
      </c>
      <c r="E224" t="s">
        <v>53</v>
      </c>
      <c r="G224" t="s">
        <v>101</v>
      </c>
      <c r="H224" t="s">
        <v>62</v>
      </c>
      <c r="I224">
        <v>8.6114537922758583E-2</v>
      </c>
      <c r="J224" t="s">
        <v>53</v>
      </c>
    </row>
    <row r="225" spans="2:10" x14ac:dyDescent="0.45">
      <c r="B225" t="s">
        <v>81</v>
      </c>
      <c r="C225" t="s">
        <v>63</v>
      </c>
      <c r="D225">
        <v>0.14907703111113613</v>
      </c>
      <c r="E225" t="s">
        <v>53</v>
      </c>
      <c r="G225" t="s">
        <v>101</v>
      </c>
      <c r="H225" t="s">
        <v>63</v>
      </c>
      <c r="I225">
        <v>0.12075428282111506</v>
      </c>
      <c r="J225" t="s">
        <v>53</v>
      </c>
    </row>
    <row r="226" spans="2:10" x14ac:dyDescent="0.45">
      <c r="B226" t="s">
        <v>81</v>
      </c>
      <c r="C226" t="s">
        <v>64</v>
      </c>
      <c r="D226">
        <v>1.4114978869565786E-3</v>
      </c>
      <c r="E226" t="s">
        <v>53</v>
      </c>
      <c r="G226" t="s">
        <v>101</v>
      </c>
      <c r="H226" t="s">
        <v>64</v>
      </c>
      <c r="I226">
        <v>7.3125024240962247E-2</v>
      </c>
      <c r="J226" t="s">
        <v>53</v>
      </c>
    </row>
    <row r="227" spans="2:10" x14ac:dyDescent="0.45">
      <c r="B227" t="s">
        <v>82</v>
      </c>
      <c r="C227" t="s">
        <v>52</v>
      </c>
      <c r="D227">
        <v>0</v>
      </c>
      <c r="E227" t="s">
        <v>53</v>
      </c>
      <c r="G227" t="s">
        <v>102</v>
      </c>
      <c r="H227" t="s">
        <v>52</v>
      </c>
      <c r="I227">
        <v>0.11780111144854107</v>
      </c>
      <c r="J227" t="s">
        <v>53</v>
      </c>
    </row>
    <row r="228" spans="2:10" x14ac:dyDescent="0.45">
      <c r="B228" t="s">
        <v>82</v>
      </c>
      <c r="C228" t="s">
        <v>54</v>
      </c>
      <c r="D228">
        <v>8.321854373268596E-2</v>
      </c>
      <c r="E228" t="s">
        <v>53</v>
      </c>
      <c r="G228" t="s">
        <v>102</v>
      </c>
      <c r="H228" t="s">
        <v>54</v>
      </c>
      <c r="I228">
        <v>0.14846328704855094</v>
      </c>
      <c r="J228" t="s">
        <v>53</v>
      </c>
    </row>
    <row r="229" spans="2:10" x14ac:dyDescent="0.45">
      <c r="B229" t="s">
        <v>82</v>
      </c>
      <c r="C229" t="s">
        <v>55</v>
      </c>
      <c r="D229">
        <v>0</v>
      </c>
      <c r="E229" t="s">
        <v>53</v>
      </c>
      <c r="G229" t="s">
        <v>102</v>
      </c>
      <c r="H229" t="s">
        <v>55</v>
      </c>
      <c r="I229">
        <v>9.4257511244969783E-2</v>
      </c>
      <c r="J229" t="s">
        <v>53</v>
      </c>
    </row>
    <row r="230" spans="2:10" x14ac:dyDescent="0.45">
      <c r="B230" t="s">
        <v>82</v>
      </c>
      <c r="C230" t="s">
        <v>56</v>
      </c>
      <c r="D230">
        <v>2.9398588479047957E-2</v>
      </c>
      <c r="E230" t="s">
        <v>53</v>
      </c>
      <c r="G230" t="s">
        <v>102</v>
      </c>
      <c r="H230" t="s">
        <v>56</v>
      </c>
      <c r="I230">
        <v>8.526509407615783E-2</v>
      </c>
      <c r="J230" t="s">
        <v>53</v>
      </c>
    </row>
    <row r="231" spans="2:10" x14ac:dyDescent="0.45">
      <c r="B231" t="s">
        <v>82</v>
      </c>
      <c r="C231" t="s">
        <v>57</v>
      </c>
      <c r="D231">
        <v>0.28512021926632009</v>
      </c>
      <c r="E231" t="s">
        <v>53</v>
      </c>
      <c r="G231" t="s">
        <v>102</v>
      </c>
      <c r="H231" t="s">
        <v>57</v>
      </c>
      <c r="I231">
        <v>8.8027308165610801E-2</v>
      </c>
      <c r="J231" t="s">
        <v>53</v>
      </c>
    </row>
    <row r="232" spans="2:10" x14ac:dyDescent="0.45">
      <c r="B232" t="s">
        <v>82</v>
      </c>
      <c r="C232" t="s">
        <v>58</v>
      </c>
      <c r="D232">
        <v>1.1564921215812887E-2</v>
      </c>
      <c r="E232" t="s">
        <v>53</v>
      </c>
      <c r="G232" t="s">
        <v>102</v>
      </c>
      <c r="H232" t="s">
        <v>58</v>
      </c>
      <c r="I232">
        <v>6.8291768476023598E-2</v>
      </c>
      <c r="J232" t="s">
        <v>53</v>
      </c>
    </row>
    <row r="233" spans="2:10" x14ac:dyDescent="0.45">
      <c r="B233" t="s">
        <v>82</v>
      </c>
      <c r="C233" t="s">
        <v>59</v>
      </c>
      <c r="D233">
        <v>5.1485503641778382E-2</v>
      </c>
      <c r="E233" t="s">
        <v>53</v>
      </c>
      <c r="G233" t="s">
        <v>102</v>
      </c>
      <c r="H233" t="s">
        <v>59</v>
      </c>
      <c r="I233">
        <v>4.3632434481278834E-2</v>
      </c>
      <c r="J233" t="s">
        <v>53</v>
      </c>
    </row>
    <row r="234" spans="2:10" x14ac:dyDescent="0.45">
      <c r="B234" t="s">
        <v>82</v>
      </c>
      <c r="C234" t="s">
        <v>60</v>
      </c>
      <c r="D234">
        <v>0.34343605361075236</v>
      </c>
      <c r="E234" t="s">
        <v>53</v>
      </c>
      <c r="G234" t="s">
        <v>102</v>
      </c>
      <c r="H234" t="s">
        <v>60</v>
      </c>
      <c r="I234">
        <v>4.978325752533113E-2</v>
      </c>
      <c r="J234" t="s">
        <v>53</v>
      </c>
    </row>
    <row r="235" spans="2:10" x14ac:dyDescent="0.45">
      <c r="B235" t="s">
        <v>82</v>
      </c>
      <c r="C235" t="s">
        <v>61</v>
      </c>
      <c r="D235">
        <v>2.713441281217964E-2</v>
      </c>
      <c r="E235" t="s">
        <v>53</v>
      </c>
      <c r="G235" t="s">
        <v>102</v>
      </c>
      <c r="H235" t="s">
        <v>61</v>
      </c>
      <c r="I235">
        <v>3.4025512374897399E-2</v>
      </c>
      <c r="J235" t="s">
        <v>53</v>
      </c>
    </row>
    <row r="236" spans="2:10" x14ac:dyDescent="0.45">
      <c r="B236" t="s">
        <v>82</v>
      </c>
      <c r="C236" t="s">
        <v>62</v>
      </c>
      <c r="D236">
        <v>8.3569529411364526E-3</v>
      </c>
      <c r="E236" t="s">
        <v>53</v>
      </c>
      <c r="G236" t="s">
        <v>102</v>
      </c>
      <c r="H236" t="s">
        <v>62</v>
      </c>
      <c r="I236">
        <v>8.5116608903684651E-2</v>
      </c>
      <c r="J236" t="s">
        <v>53</v>
      </c>
    </row>
    <row r="237" spans="2:10" x14ac:dyDescent="0.45">
      <c r="B237" t="s">
        <v>82</v>
      </c>
      <c r="C237" t="s">
        <v>63</v>
      </c>
      <c r="D237">
        <v>0.15864949403816986</v>
      </c>
      <c r="E237" t="s">
        <v>53</v>
      </c>
      <c r="G237" t="s">
        <v>102</v>
      </c>
      <c r="H237" t="s">
        <v>63</v>
      </c>
      <c r="I237">
        <v>0.10774000315209203</v>
      </c>
      <c r="J237" t="s">
        <v>53</v>
      </c>
    </row>
    <row r="238" spans="2:10" x14ac:dyDescent="0.45">
      <c r="B238" t="s">
        <v>82</v>
      </c>
      <c r="C238" t="s">
        <v>64</v>
      </c>
      <c r="D238">
        <v>1.6353102621146697E-3</v>
      </c>
      <c r="E238" t="s">
        <v>53</v>
      </c>
      <c r="G238" t="s">
        <v>102</v>
      </c>
      <c r="H238" t="s">
        <v>64</v>
      </c>
      <c r="I238">
        <v>7.7596103102857014E-2</v>
      </c>
      <c r="J238" t="s">
        <v>53</v>
      </c>
    </row>
    <row r="239" spans="2:10" x14ac:dyDescent="0.45">
      <c r="B239" t="s">
        <v>83</v>
      </c>
      <c r="C239" t="s">
        <v>52</v>
      </c>
      <c r="D239">
        <v>1.0014058758320814E-6</v>
      </c>
      <c r="E239" t="s">
        <v>53</v>
      </c>
      <c r="G239" t="s">
        <v>103</v>
      </c>
      <c r="H239" t="s">
        <v>52</v>
      </c>
      <c r="I239">
        <v>0.12071006665593277</v>
      </c>
      <c r="J239" t="s">
        <v>53</v>
      </c>
    </row>
    <row r="240" spans="2:10" x14ac:dyDescent="0.45">
      <c r="B240" t="s">
        <v>83</v>
      </c>
      <c r="C240" t="s">
        <v>54</v>
      </c>
      <c r="D240">
        <v>7.7903491980841483E-2</v>
      </c>
      <c r="E240" t="s">
        <v>53</v>
      </c>
      <c r="G240" t="s">
        <v>103</v>
      </c>
      <c r="H240" t="s">
        <v>54</v>
      </c>
      <c r="I240">
        <v>0.14847131477847783</v>
      </c>
      <c r="J240" t="s">
        <v>53</v>
      </c>
    </row>
    <row r="241" spans="2:10" x14ac:dyDescent="0.45">
      <c r="B241" t="s">
        <v>83</v>
      </c>
      <c r="C241" t="s">
        <v>55</v>
      </c>
      <c r="D241">
        <v>0</v>
      </c>
      <c r="E241" t="s">
        <v>53</v>
      </c>
      <c r="G241" t="s">
        <v>103</v>
      </c>
      <c r="H241" t="s">
        <v>55</v>
      </c>
      <c r="I241">
        <v>9.3234203035288357E-2</v>
      </c>
      <c r="J241" t="s">
        <v>53</v>
      </c>
    </row>
    <row r="242" spans="2:10" x14ac:dyDescent="0.45">
      <c r="B242" t="s">
        <v>83</v>
      </c>
      <c r="C242" t="s">
        <v>56</v>
      </c>
      <c r="D242">
        <v>3.3474777401878257E-2</v>
      </c>
      <c r="E242" t="s">
        <v>53</v>
      </c>
      <c r="G242" t="s">
        <v>103</v>
      </c>
      <c r="H242" t="s">
        <v>56</v>
      </c>
      <c r="I242">
        <v>8.3543466680318285E-2</v>
      </c>
      <c r="J242" t="s">
        <v>53</v>
      </c>
    </row>
    <row r="243" spans="2:10" x14ac:dyDescent="0.45">
      <c r="B243" t="s">
        <v>83</v>
      </c>
      <c r="C243" t="s">
        <v>57</v>
      </c>
      <c r="D243">
        <v>0.29004195469655208</v>
      </c>
      <c r="E243" t="s">
        <v>53</v>
      </c>
      <c r="G243" t="s">
        <v>103</v>
      </c>
      <c r="H243" t="s">
        <v>57</v>
      </c>
      <c r="I243">
        <v>9.4018117886792305E-2</v>
      </c>
      <c r="J243" t="s">
        <v>53</v>
      </c>
    </row>
    <row r="244" spans="2:10" x14ac:dyDescent="0.45">
      <c r="B244" t="s">
        <v>83</v>
      </c>
      <c r="C244" t="s">
        <v>58</v>
      </c>
      <c r="D244">
        <v>1.1531790549441005E-2</v>
      </c>
      <c r="E244" t="s">
        <v>53</v>
      </c>
      <c r="G244" t="s">
        <v>103</v>
      </c>
      <c r="H244" t="s">
        <v>58</v>
      </c>
      <c r="I244">
        <v>6.6142351355602896E-2</v>
      </c>
      <c r="J244" t="s">
        <v>53</v>
      </c>
    </row>
    <row r="245" spans="2:10" x14ac:dyDescent="0.45">
      <c r="B245" t="s">
        <v>83</v>
      </c>
      <c r="C245" t="s">
        <v>59</v>
      </c>
      <c r="D245">
        <v>5.5738581110043664E-2</v>
      </c>
      <c r="E245" t="s">
        <v>53</v>
      </c>
      <c r="G245" t="s">
        <v>103</v>
      </c>
      <c r="H245" t="s">
        <v>59</v>
      </c>
      <c r="I245">
        <v>4.1438627588063812E-2</v>
      </c>
      <c r="J245" t="s">
        <v>53</v>
      </c>
    </row>
    <row r="246" spans="2:10" x14ac:dyDescent="0.45">
      <c r="B246" t="s">
        <v>83</v>
      </c>
      <c r="C246" t="s">
        <v>60</v>
      </c>
      <c r="D246">
        <v>0.34188896846152861</v>
      </c>
      <c r="E246" t="s">
        <v>53</v>
      </c>
      <c r="G246" t="s">
        <v>103</v>
      </c>
      <c r="H246" t="s">
        <v>60</v>
      </c>
      <c r="I246">
        <v>4.9097491459348101E-2</v>
      </c>
      <c r="J246" t="s">
        <v>53</v>
      </c>
    </row>
    <row r="247" spans="2:10" x14ac:dyDescent="0.45">
      <c r="B247" t="s">
        <v>83</v>
      </c>
      <c r="C247" t="s">
        <v>61</v>
      </c>
      <c r="D247">
        <v>2.672089285204806E-2</v>
      </c>
      <c r="E247" t="s">
        <v>53</v>
      </c>
      <c r="G247" t="s">
        <v>103</v>
      </c>
      <c r="H247" t="s">
        <v>61</v>
      </c>
      <c r="I247">
        <v>3.2516362322958334E-2</v>
      </c>
      <c r="J247" t="s">
        <v>53</v>
      </c>
    </row>
    <row r="248" spans="2:10" x14ac:dyDescent="0.45">
      <c r="B248" t="s">
        <v>83</v>
      </c>
      <c r="C248" t="s">
        <v>62</v>
      </c>
      <c r="D248">
        <v>8.6898793499387197E-3</v>
      </c>
      <c r="E248" t="s">
        <v>53</v>
      </c>
      <c r="G248" t="s">
        <v>103</v>
      </c>
      <c r="H248" t="s">
        <v>62</v>
      </c>
      <c r="I248">
        <v>8.8098590497415252E-2</v>
      </c>
      <c r="J248" t="s">
        <v>53</v>
      </c>
    </row>
    <row r="249" spans="2:10" x14ac:dyDescent="0.45">
      <c r="B249" t="s">
        <v>83</v>
      </c>
      <c r="C249" t="s">
        <v>63</v>
      </c>
      <c r="D249">
        <v>0.15269715368404937</v>
      </c>
      <c r="E249" t="s">
        <v>53</v>
      </c>
      <c r="G249" t="s">
        <v>103</v>
      </c>
      <c r="H249" t="s">
        <v>63</v>
      </c>
      <c r="I249">
        <v>0.1106753588167167</v>
      </c>
      <c r="J249" t="s">
        <v>53</v>
      </c>
    </row>
    <row r="250" spans="2:10" x14ac:dyDescent="0.45">
      <c r="B250" t="s">
        <v>83</v>
      </c>
      <c r="C250" t="s">
        <v>64</v>
      </c>
      <c r="D250">
        <v>1.3115085078021552E-3</v>
      </c>
      <c r="E250" t="s">
        <v>53</v>
      </c>
      <c r="G250" t="s">
        <v>103</v>
      </c>
      <c r="H250" t="s">
        <v>64</v>
      </c>
      <c r="I250">
        <v>7.2054048923086964E-2</v>
      </c>
      <c r="J250" t="s">
        <v>53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76B5BC-B89F-4A0A-A24F-516845E06B7C}">
  <dimension ref="B9:BL60"/>
  <sheetViews>
    <sheetView workbookViewId="0"/>
  </sheetViews>
  <sheetFormatPr defaultRowHeight="14.25" x14ac:dyDescent="0.45"/>
  <sheetData>
    <row r="9" spans="2:64" x14ac:dyDescent="0.45">
      <c r="B9" t="str">
        <f>IF(A11="x","DeActivated","~TFM_DINS-TSL: attribute=FLO_EMIS; other_indexes=ACT")</f>
        <v>~TFM_DINS-TSL: attribute=FLO_EMIS; other_indexes=ACT</v>
      </c>
      <c r="Q9" t="str">
        <f>IF(A11="x","DeActivated","~TFM_INS-TSL: attribute=FLO_SHAR; limtype=FX")</f>
        <v>~TFM_INS-TSL: attribute=FLO_SHAR; limtype=FX</v>
      </c>
      <c r="AF9" t="str">
        <f>IF(A11="x","DeActivated","~TFM_INS-TSL: attribute=FLO_SHAR; limtype=FX")</f>
        <v>~TFM_INS-TSL: attribute=FLO_SHAR; limtype=FX</v>
      </c>
      <c r="AU9" t="str">
        <f>IF(A11="x","DeActivated","~TFM_DINS-TSL: attribute=NCAP_PKCNT")</f>
        <v>~TFM_DINS-TSL: attribute=NCAP_PKCNT</v>
      </c>
      <c r="BI9" t="str">
        <f>IF(A11="x","DeActivated","~TFM_DINS-AT")</f>
        <v>~TFM_DINS-AT</v>
      </c>
    </row>
    <row r="10" spans="2:64" x14ac:dyDescent="0.45">
      <c r="B10" t="s">
        <v>50</v>
      </c>
      <c r="C10" t="s">
        <v>47</v>
      </c>
      <c r="D10" t="s">
        <v>52</v>
      </c>
      <c r="E10" t="s">
        <v>54</v>
      </c>
      <c r="F10" t="s">
        <v>55</v>
      </c>
      <c r="G10" t="s">
        <v>56</v>
      </c>
      <c r="H10" t="s">
        <v>57</v>
      </c>
      <c r="I10" t="s">
        <v>58</v>
      </c>
      <c r="J10" t="s">
        <v>59</v>
      </c>
      <c r="K10" t="s">
        <v>60</v>
      </c>
      <c r="L10" t="s">
        <v>61</v>
      </c>
      <c r="M10" t="s">
        <v>62</v>
      </c>
      <c r="N10" t="s">
        <v>63</v>
      </c>
      <c r="O10" t="s">
        <v>64</v>
      </c>
      <c r="Q10" t="s">
        <v>50</v>
      </c>
      <c r="R10" t="s">
        <v>47</v>
      </c>
      <c r="S10" t="s">
        <v>52</v>
      </c>
      <c r="T10" t="s">
        <v>54</v>
      </c>
      <c r="U10" t="s">
        <v>55</v>
      </c>
      <c r="V10" t="s">
        <v>56</v>
      </c>
      <c r="W10" t="s">
        <v>57</v>
      </c>
      <c r="X10" t="s">
        <v>58</v>
      </c>
      <c r="Y10" t="s">
        <v>59</v>
      </c>
      <c r="Z10" t="s">
        <v>60</v>
      </c>
      <c r="AA10" t="s">
        <v>61</v>
      </c>
      <c r="AB10" t="s">
        <v>62</v>
      </c>
      <c r="AC10" t="s">
        <v>63</v>
      </c>
      <c r="AD10" t="s">
        <v>64</v>
      </c>
      <c r="AF10" t="s">
        <v>50</v>
      </c>
      <c r="AG10" t="s">
        <v>47</v>
      </c>
      <c r="AH10" t="s">
        <v>52</v>
      </c>
      <c r="AI10" t="s">
        <v>54</v>
      </c>
      <c r="AJ10" t="s">
        <v>55</v>
      </c>
      <c r="AK10" t="s">
        <v>56</v>
      </c>
      <c r="AL10" t="s">
        <v>57</v>
      </c>
      <c r="AM10" t="s">
        <v>58</v>
      </c>
      <c r="AN10" t="s">
        <v>59</v>
      </c>
      <c r="AO10" t="s">
        <v>60</v>
      </c>
      <c r="AP10" t="s">
        <v>61</v>
      </c>
      <c r="AQ10" t="s">
        <v>62</v>
      </c>
      <c r="AR10" t="s">
        <v>63</v>
      </c>
      <c r="AS10" t="s">
        <v>64</v>
      </c>
      <c r="AU10" t="s">
        <v>50</v>
      </c>
      <c r="AV10" t="s">
        <v>52</v>
      </c>
      <c r="AW10" t="s">
        <v>54</v>
      </c>
      <c r="AX10" t="s">
        <v>55</v>
      </c>
      <c r="AY10" t="s">
        <v>56</v>
      </c>
      <c r="AZ10" t="s">
        <v>57</v>
      </c>
      <c r="BA10" t="s">
        <v>58</v>
      </c>
      <c r="BB10" t="s">
        <v>59</v>
      </c>
      <c r="BC10" t="s">
        <v>60</v>
      </c>
      <c r="BD10" t="s">
        <v>61</v>
      </c>
      <c r="BE10" t="s">
        <v>62</v>
      </c>
      <c r="BF10" t="s">
        <v>63</v>
      </c>
      <c r="BG10" t="s">
        <v>64</v>
      </c>
      <c r="BI10" t="s">
        <v>50</v>
      </c>
      <c r="BJ10" t="s">
        <v>47</v>
      </c>
      <c r="BK10" t="s">
        <v>169</v>
      </c>
      <c r="BL10" t="s">
        <v>170</v>
      </c>
    </row>
    <row r="11" spans="2:64" x14ac:dyDescent="0.45">
      <c r="B11" t="s">
        <v>114</v>
      </c>
      <c r="C11" t="s">
        <v>31</v>
      </c>
      <c r="D11">
        <v>0</v>
      </c>
      <c r="E11">
        <v>0.39544519403841022</v>
      </c>
      <c r="F11">
        <v>0.99814814814814812</v>
      </c>
      <c r="G11">
        <v>0.8136273260668464</v>
      </c>
      <c r="H11">
        <v>0.2305444914590988</v>
      </c>
      <c r="I11">
        <v>0.74291359138670532</v>
      </c>
      <c r="J11">
        <v>0.70721519747608341</v>
      </c>
      <c r="K11">
        <v>0.15399121798097593</v>
      </c>
      <c r="L11">
        <v>0.60707522706323924</v>
      </c>
      <c r="M11">
        <v>0.94060139918867824</v>
      </c>
      <c r="N11">
        <v>0.35006920908769917</v>
      </c>
      <c r="O11">
        <v>0.9472406970146543</v>
      </c>
      <c r="Q11" t="s">
        <v>164</v>
      </c>
      <c r="R11" t="s">
        <v>165</v>
      </c>
      <c r="S11">
        <v>0.98883359192158815</v>
      </c>
      <c r="T11">
        <v>0.15847022884052397</v>
      </c>
      <c r="U11">
        <v>0</v>
      </c>
      <c r="V11">
        <v>0.58709614448333969</v>
      </c>
      <c r="W11">
        <v>3.6310405707246599E-2</v>
      </c>
      <c r="X11">
        <v>0.3824672684708742</v>
      </c>
      <c r="Y11">
        <v>0.45095590042037886</v>
      </c>
      <c r="Z11">
        <v>2.075021814417265E-2</v>
      </c>
      <c r="AA11">
        <v>0.34253886358823954</v>
      </c>
      <c r="AB11">
        <v>0.79382698866501922</v>
      </c>
      <c r="AC11">
        <v>8.3006789270481621E-2</v>
      </c>
      <c r="AD11">
        <v>0.1445966715721517</v>
      </c>
      <c r="AF11" t="s">
        <v>164</v>
      </c>
      <c r="AG11" t="s">
        <v>168</v>
      </c>
      <c r="AH11">
        <v>0</v>
      </c>
      <c r="AI11">
        <v>5.1369827423705494E-2</v>
      </c>
      <c r="AJ11">
        <v>0</v>
      </c>
      <c r="AK11">
        <v>0</v>
      </c>
      <c r="AL11">
        <v>5.7259671076132231E-2</v>
      </c>
      <c r="AM11">
        <v>1.4787684026820239E-2</v>
      </c>
      <c r="AN11">
        <v>0</v>
      </c>
      <c r="AO11">
        <v>3.7422175068833954E-2</v>
      </c>
      <c r="AP11">
        <v>1.4964910169038531E-2</v>
      </c>
      <c r="AQ11">
        <v>0</v>
      </c>
      <c r="AR11">
        <v>9.7303119009853375E-2</v>
      </c>
      <c r="AS11">
        <v>0</v>
      </c>
      <c r="AU11" t="s">
        <v>114</v>
      </c>
      <c r="AV11">
        <v>0</v>
      </c>
      <c r="AW11">
        <v>0.10467062169014847</v>
      </c>
      <c r="AX11">
        <v>9.3916664944300607E-6</v>
      </c>
      <c r="AY11">
        <v>3.5025945899982293E-2</v>
      </c>
      <c r="AZ11">
        <v>0.36436503269838871</v>
      </c>
      <c r="BA11">
        <v>3.716450542411176E-2</v>
      </c>
      <c r="BB11">
        <v>6.2765373653355744E-2</v>
      </c>
      <c r="BC11">
        <v>0.44300759202112644</v>
      </c>
      <c r="BD11">
        <v>7.8133604862046471E-2</v>
      </c>
      <c r="BE11">
        <v>7.4657560655551616E-3</v>
      </c>
      <c r="BF11">
        <v>0.20452427560178818</v>
      </c>
      <c r="BG11">
        <v>5.7872179006423462E-3</v>
      </c>
      <c r="BI11" t="s">
        <v>114</v>
      </c>
      <c r="BJ11" t="s">
        <v>171</v>
      </c>
      <c r="BK11" t="s">
        <v>172</v>
      </c>
      <c r="BL11">
        <v>0.43135317373905929</v>
      </c>
    </row>
    <row r="12" spans="2:64" x14ac:dyDescent="0.45">
      <c r="B12" t="s">
        <v>115</v>
      </c>
      <c r="C12" t="s">
        <v>31</v>
      </c>
      <c r="D12">
        <v>0</v>
      </c>
      <c r="E12">
        <v>0.36084222540115024</v>
      </c>
      <c r="F12">
        <v>0</v>
      </c>
      <c r="G12">
        <v>0.80914285836258271</v>
      </c>
      <c r="H12">
        <v>0.24085238498065492</v>
      </c>
      <c r="I12">
        <v>0.77290512447454751</v>
      </c>
      <c r="J12">
        <v>0.71540981808517701</v>
      </c>
      <c r="K12">
        <v>0.15821924917494098</v>
      </c>
      <c r="L12">
        <v>0.6230572063849491</v>
      </c>
      <c r="M12">
        <v>0.92845432130920358</v>
      </c>
      <c r="N12">
        <v>0.31806852562279769</v>
      </c>
      <c r="O12">
        <v>0.95653643622598727</v>
      </c>
      <c r="Q12" t="s">
        <v>166</v>
      </c>
      <c r="R12" t="s">
        <v>165</v>
      </c>
      <c r="S12">
        <v>7.2629862853960409E-3</v>
      </c>
      <c r="T12">
        <v>3.6125214914444976E-3</v>
      </c>
      <c r="U12">
        <v>2.1928008079755059E-3</v>
      </c>
      <c r="V12">
        <v>3.6381601091061426E-3</v>
      </c>
      <c r="W12">
        <v>1.0756564456254867E-2</v>
      </c>
      <c r="X12">
        <v>1.3366369503412643E-2</v>
      </c>
      <c r="Y12">
        <v>1.4729176799122869E-2</v>
      </c>
      <c r="Z12">
        <v>1.0635937213483599E-2</v>
      </c>
      <c r="AA12">
        <v>2.8598442605334458E-2</v>
      </c>
      <c r="AB12">
        <v>2.69937043862311E-3</v>
      </c>
      <c r="AC12">
        <v>5.31487770795334E-3</v>
      </c>
      <c r="AD12">
        <v>7.7437083716019187E-3</v>
      </c>
      <c r="AF12" t="s">
        <v>166</v>
      </c>
      <c r="AG12" t="s">
        <v>168</v>
      </c>
      <c r="AH12">
        <v>1.2579301293804423E-2</v>
      </c>
      <c r="AI12">
        <v>1.3709629490760326E-2</v>
      </c>
      <c r="AJ12">
        <v>1.9587147339175479E-2</v>
      </c>
      <c r="AK12">
        <v>2.1496879203823198E-2</v>
      </c>
      <c r="AL12">
        <v>9.7700962873435698E-3</v>
      </c>
      <c r="AM12">
        <v>2.9692222591396304E-2</v>
      </c>
      <c r="AN12">
        <v>4.4595698882237966E-2</v>
      </c>
      <c r="AO12">
        <v>1.3188231206923093E-2</v>
      </c>
      <c r="AP12">
        <v>3.814313203752856E-2</v>
      </c>
      <c r="AQ12">
        <v>1.9128878096509982E-2</v>
      </c>
      <c r="AR12">
        <v>2.5003472282736514E-2</v>
      </c>
      <c r="AS12">
        <v>6.7077210336660515E-3</v>
      </c>
      <c r="AU12" t="s">
        <v>115</v>
      </c>
      <c r="AV12">
        <v>0</v>
      </c>
      <c r="AW12">
        <v>0.1288838895644597</v>
      </c>
      <c r="AX12">
        <v>0</v>
      </c>
      <c r="AY12">
        <v>3.7575281932171009E-2</v>
      </c>
      <c r="AZ12">
        <v>0.36903814176397837</v>
      </c>
      <c r="BA12">
        <v>3.2658670232738024E-2</v>
      </c>
      <c r="BB12">
        <v>6.7030601794679137E-2</v>
      </c>
      <c r="BC12">
        <v>0.4505651435016132</v>
      </c>
      <c r="BD12">
        <v>7.031919489217324E-2</v>
      </c>
      <c r="BE12">
        <v>9.8498919902715362E-3</v>
      </c>
      <c r="BF12">
        <v>0.22877901061310513</v>
      </c>
      <c r="BG12">
        <v>4.0451660601577358E-3</v>
      </c>
      <c r="BI12" t="s">
        <v>115</v>
      </c>
      <c r="BJ12" t="s">
        <v>171</v>
      </c>
      <c r="BK12" t="s">
        <v>172</v>
      </c>
      <c r="BL12">
        <v>0.43296462352234361</v>
      </c>
    </row>
    <row r="13" spans="2:64" x14ac:dyDescent="0.45">
      <c r="B13" t="s">
        <v>116</v>
      </c>
      <c r="C13" t="s">
        <v>31</v>
      </c>
      <c r="D13">
        <v>0</v>
      </c>
      <c r="E13">
        <v>0.38290247170238317</v>
      </c>
      <c r="F13">
        <v>0</v>
      </c>
      <c r="G13">
        <v>0.81341215135589506</v>
      </c>
      <c r="H13">
        <v>0.24423667139338875</v>
      </c>
      <c r="I13">
        <v>0.78470548588109035</v>
      </c>
      <c r="J13">
        <v>0.71562827124881934</v>
      </c>
      <c r="K13">
        <v>0.1568858353248227</v>
      </c>
      <c r="L13">
        <v>0.62016352168734479</v>
      </c>
      <c r="M13">
        <v>0.92698251921593955</v>
      </c>
      <c r="N13">
        <v>0.3223221787338415</v>
      </c>
      <c r="O13">
        <v>0.9634496634639611</v>
      </c>
      <c r="Q13" t="s">
        <v>167</v>
      </c>
      <c r="R13" t="s">
        <v>165</v>
      </c>
      <c r="S13">
        <v>8.3458932214952163E-3</v>
      </c>
      <c r="T13">
        <v>4.5244418668081527E-3</v>
      </c>
      <c r="U13">
        <v>7.0416616600715645E-3</v>
      </c>
      <c r="V13">
        <v>1.0833470419969007E-2</v>
      </c>
      <c r="W13">
        <v>7.4249012744901418E-3</v>
      </c>
      <c r="X13">
        <v>6.9568408485480952E-3</v>
      </c>
      <c r="Y13">
        <v>1.2890489112879986E-2</v>
      </c>
      <c r="Z13">
        <v>1.7095816300825836E-2</v>
      </c>
      <c r="AA13">
        <v>1.5675279849530009E-2</v>
      </c>
      <c r="AB13">
        <v>8.5212618169000949E-3</v>
      </c>
      <c r="AC13">
        <v>6.4261793614183481E-3</v>
      </c>
      <c r="AD13">
        <v>6.6101223633646964E-3</v>
      </c>
      <c r="AF13" t="s">
        <v>167</v>
      </c>
      <c r="AG13" t="s">
        <v>168</v>
      </c>
      <c r="AH13">
        <v>1.4545062734331905E-2</v>
      </c>
      <c r="AI13">
        <v>1.7652099875235805E-2</v>
      </c>
      <c r="AJ13">
        <v>1.3309454646513348E-2</v>
      </c>
      <c r="AK13">
        <v>2.1830347829477948E-2</v>
      </c>
      <c r="AL13">
        <v>1.6389797563931548E-2</v>
      </c>
      <c r="AM13">
        <v>2.4938553240474712E-2</v>
      </c>
      <c r="AN13">
        <v>3.3040677839541406E-2</v>
      </c>
      <c r="AO13">
        <v>3.8088532443875216E-2</v>
      </c>
      <c r="AP13">
        <v>3.6459438923727647E-2</v>
      </c>
      <c r="AQ13">
        <v>1.2479548747487489E-2</v>
      </c>
      <c r="AR13">
        <v>2.0957016461848176E-2</v>
      </c>
      <c r="AS13">
        <v>1.2652454442366592E-2</v>
      </c>
      <c r="AU13" t="s">
        <v>116</v>
      </c>
      <c r="AV13">
        <v>0</v>
      </c>
      <c r="AW13">
        <v>0.1108291840704221</v>
      </c>
      <c r="AX13">
        <v>0</v>
      </c>
      <c r="AY13">
        <v>4.0822767159765891E-2</v>
      </c>
      <c r="AZ13">
        <v>0.36007793702907076</v>
      </c>
      <c r="BA13">
        <v>3.288974829024148E-2</v>
      </c>
      <c r="BB13">
        <v>6.848712691554136E-2</v>
      </c>
      <c r="BC13">
        <v>0.4462921665489995</v>
      </c>
      <c r="BD13">
        <v>7.2629175815668925E-2</v>
      </c>
      <c r="BE13">
        <v>1.0080458392701464E-2</v>
      </c>
      <c r="BF13">
        <v>0.22512763539997169</v>
      </c>
      <c r="BG13">
        <v>3.5935092132447399E-3</v>
      </c>
      <c r="BI13" t="s">
        <v>116</v>
      </c>
      <c r="BJ13" t="s">
        <v>171</v>
      </c>
      <c r="BK13" t="s">
        <v>172</v>
      </c>
      <c r="BL13">
        <v>0.43756700088855605</v>
      </c>
    </row>
    <row r="14" spans="2:64" x14ac:dyDescent="0.45">
      <c r="B14" t="s">
        <v>117</v>
      </c>
      <c r="C14" t="s">
        <v>31</v>
      </c>
      <c r="D14">
        <v>0</v>
      </c>
      <c r="E14">
        <v>0.4222438294562621</v>
      </c>
      <c r="F14">
        <v>0</v>
      </c>
      <c r="G14">
        <v>0.81185980047185302</v>
      </c>
      <c r="H14">
        <v>0.21952741987982863</v>
      </c>
      <c r="I14">
        <v>0.74269579074414571</v>
      </c>
      <c r="J14">
        <v>0.71666275508567867</v>
      </c>
      <c r="K14">
        <v>0.1538463532744179</v>
      </c>
      <c r="L14">
        <v>0.60661661201174877</v>
      </c>
      <c r="M14">
        <v>0.9437128785504505</v>
      </c>
      <c r="N14">
        <v>0.37244844623818185</v>
      </c>
      <c r="O14">
        <v>0.9488175771581383</v>
      </c>
      <c r="AU14" t="s">
        <v>117</v>
      </c>
      <c r="AV14">
        <v>0</v>
      </c>
      <c r="AW14">
        <v>9.1971471620870174E-2</v>
      </c>
      <c r="AX14">
        <v>0</v>
      </c>
      <c r="AY14">
        <v>3.7912088921391036E-2</v>
      </c>
      <c r="AZ14">
        <v>0.39028742845942366</v>
      </c>
      <c r="BA14">
        <v>3.7274795268792571E-2</v>
      </c>
      <c r="BB14">
        <v>6.5740649373347518E-2</v>
      </c>
      <c r="BC14">
        <v>0.44976420730135702</v>
      </c>
      <c r="BD14">
        <v>8.1907951387342443E-2</v>
      </c>
      <c r="BE14">
        <v>7.3074057299556778E-3</v>
      </c>
      <c r="BF14">
        <v>0.19411020059518078</v>
      </c>
      <c r="BG14">
        <v>5.4474614907025643E-3</v>
      </c>
      <c r="BI14" t="s">
        <v>117</v>
      </c>
      <c r="BJ14" t="s">
        <v>171</v>
      </c>
      <c r="BK14" t="s">
        <v>172</v>
      </c>
      <c r="BL14">
        <v>0.43796829473155113</v>
      </c>
    </row>
    <row r="15" spans="2:64" x14ac:dyDescent="0.45">
      <c r="B15" t="s">
        <v>118</v>
      </c>
      <c r="C15" t="s">
        <v>31</v>
      </c>
      <c r="D15">
        <v>0</v>
      </c>
      <c r="E15">
        <v>0.43577733279195696</v>
      </c>
      <c r="F15">
        <v>0</v>
      </c>
      <c r="G15">
        <v>0.80672382873222781</v>
      </c>
      <c r="H15">
        <v>0.21565599468012689</v>
      </c>
      <c r="I15">
        <v>0.76194797963844096</v>
      </c>
      <c r="J15">
        <v>0.69686070707160497</v>
      </c>
      <c r="K15">
        <v>0.1497470196523592</v>
      </c>
      <c r="L15">
        <v>0.60370808500785622</v>
      </c>
      <c r="M15">
        <v>0.92880617414586009</v>
      </c>
      <c r="N15">
        <v>0.37455002640511331</v>
      </c>
      <c r="O15">
        <v>0.95696724741418537</v>
      </c>
      <c r="AU15" t="s">
        <v>118</v>
      </c>
      <c r="AV15">
        <v>0</v>
      </c>
      <c r="AW15">
        <v>8.8580712995026803E-2</v>
      </c>
      <c r="AX15">
        <v>0</v>
      </c>
      <c r="AY15">
        <v>4.0866848283219334E-2</v>
      </c>
      <c r="AZ15">
        <v>0.40545069880771561</v>
      </c>
      <c r="BA15">
        <v>3.6428622186157132E-2</v>
      </c>
      <c r="BB15">
        <v>7.2942338199680906E-2</v>
      </c>
      <c r="BC15">
        <v>0.44965489224720795</v>
      </c>
      <c r="BD15">
        <v>7.9093296667167162E-2</v>
      </c>
      <c r="BE15">
        <v>1.0477976085814794E-2</v>
      </c>
      <c r="BF15">
        <v>0.20161170743465173</v>
      </c>
      <c r="BG15">
        <v>4.530180389992664E-3</v>
      </c>
      <c r="BI15" t="s">
        <v>118</v>
      </c>
      <c r="BJ15" t="s">
        <v>171</v>
      </c>
      <c r="BK15" t="s">
        <v>172</v>
      </c>
      <c r="BL15">
        <v>0.43172842712377812</v>
      </c>
    </row>
    <row r="16" spans="2:64" x14ac:dyDescent="0.45">
      <c r="B16" t="s">
        <v>119</v>
      </c>
      <c r="C16" t="s">
        <v>31</v>
      </c>
      <c r="D16">
        <v>0</v>
      </c>
      <c r="E16">
        <v>0.42812307789683124</v>
      </c>
      <c r="F16">
        <v>0</v>
      </c>
      <c r="G16">
        <v>0.77416046422088136</v>
      </c>
      <c r="H16">
        <v>0.18973022685836502</v>
      </c>
      <c r="I16">
        <v>0.79518121173594625</v>
      </c>
      <c r="J16">
        <v>0.65228153627862007</v>
      </c>
      <c r="K16">
        <v>0.14799255606898976</v>
      </c>
      <c r="L16">
        <v>0.62491865249164957</v>
      </c>
      <c r="M16">
        <v>0.91539037187306416</v>
      </c>
      <c r="N16">
        <v>0.37868322355410911</v>
      </c>
      <c r="O16">
        <v>0.96889607652488119</v>
      </c>
      <c r="AU16" t="s">
        <v>119</v>
      </c>
      <c r="AV16">
        <v>0</v>
      </c>
      <c r="AW16">
        <v>8.745070630653691E-2</v>
      </c>
      <c r="AX16">
        <v>0</v>
      </c>
      <c r="AY16">
        <v>5.5073564917256672E-2</v>
      </c>
      <c r="AZ16">
        <v>0.43591264062680762</v>
      </c>
      <c r="BA16">
        <v>3.3696569958736468E-2</v>
      </c>
      <c r="BB16">
        <v>8.3711889649104851E-2</v>
      </c>
      <c r="BC16">
        <v>0.44080844125338103</v>
      </c>
      <c r="BD16">
        <v>7.0667607827408316E-2</v>
      </c>
      <c r="BE16">
        <v>1.1437875433018781E-2</v>
      </c>
      <c r="BF16">
        <v>0.18651559264804995</v>
      </c>
      <c r="BG16">
        <v>3.5276350814472568E-3</v>
      </c>
      <c r="BI16" t="s">
        <v>119</v>
      </c>
      <c r="BJ16" t="s">
        <v>171</v>
      </c>
      <c r="BK16" t="s">
        <v>172</v>
      </c>
      <c r="BL16">
        <v>0.42791988365721229</v>
      </c>
    </row>
    <row r="17" spans="2:64" x14ac:dyDescent="0.45">
      <c r="B17" t="s">
        <v>120</v>
      </c>
      <c r="C17" t="s">
        <v>31</v>
      </c>
      <c r="D17">
        <v>0</v>
      </c>
      <c r="E17">
        <v>0.44100780756625074</v>
      </c>
      <c r="F17">
        <v>0</v>
      </c>
      <c r="G17">
        <v>0.78664375763885797</v>
      </c>
      <c r="H17">
        <v>0.17022617269197454</v>
      </c>
      <c r="I17">
        <v>0.74795329064420646</v>
      </c>
      <c r="J17">
        <v>0.68829067905034913</v>
      </c>
      <c r="K17">
        <v>0.13704182877637042</v>
      </c>
      <c r="L17">
        <v>0.59527556355523659</v>
      </c>
      <c r="M17">
        <v>0.92969825430563047</v>
      </c>
      <c r="N17">
        <v>0.36297039939000053</v>
      </c>
      <c r="O17">
        <v>0.94871659575146738</v>
      </c>
      <c r="AU17" t="s">
        <v>120</v>
      </c>
      <c r="AV17">
        <v>0</v>
      </c>
      <c r="AW17">
        <v>8.9379136160535846E-2</v>
      </c>
      <c r="AX17">
        <v>0</v>
      </c>
      <c r="AY17">
        <v>4.5337658472937595E-2</v>
      </c>
      <c r="AZ17">
        <v>0.44690044108527538</v>
      </c>
      <c r="BA17">
        <v>4.6683734010141288E-2</v>
      </c>
      <c r="BB17">
        <v>7.3166998804467753E-2</v>
      </c>
      <c r="BC17">
        <v>0.45199148940775868</v>
      </c>
      <c r="BD17">
        <v>9.1241375283267645E-2</v>
      </c>
      <c r="BE17">
        <v>1.0804654674337113E-2</v>
      </c>
      <c r="BF17">
        <v>0.20408653975346902</v>
      </c>
      <c r="BG17">
        <v>5.5003920464633581E-3</v>
      </c>
      <c r="BI17" t="s">
        <v>120</v>
      </c>
      <c r="BJ17" t="s">
        <v>171</v>
      </c>
      <c r="BK17" t="s">
        <v>172</v>
      </c>
      <c r="BL17">
        <v>0.43633791241229603</v>
      </c>
    </row>
    <row r="18" spans="2:64" x14ac:dyDescent="0.45">
      <c r="B18" t="s">
        <v>121</v>
      </c>
      <c r="C18" t="s">
        <v>31</v>
      </c>
      <c r="D18">
        <v>0</v>
      </c>
      <c r="E18">
        <v>0.43124774696147583</v>
      </c>
      <c r="F18">
        <v>0</v>
      </c>
      <c r="G18">
        <v>0.78519809220877035</v>
      </c>
      <c r="H18">
        <v>0.17309691600829283</v>
      </c>
      <c r="I18">
        <v>0.77833800488438265</v>
      </c>
      <c r="J18">
        <v>0.67574145200913083</v>
      </c>
      <c r="K18">
        <v>0.14807356846101793</v>
      </c>
      <c r="L18">
        <v>0.61782629023966951</v>
      </c>
      <c r="M18">
        <v>0.92054466423895753</v>
      </c>
      <c r="N18">
        <v>0.36463045023189206</v>
      </c>
      <c r="O18">
        <v>0.96607834552902527</v>
      </c>
      <c r="AU18" t="s">
        <v>121</v>
      </c>
      <c r="AV18">
        <v>0</v>
      </c>
      <c r="AW18">
        <v>9.4919259758213761E-2</v>
      </c>
      <c r="AX18">
        <v>0</v>
      </c>
      <c r="AY18">
        <v>4.915653773937384E-2</v>
      </c>
      <c r="AZ18">
        <v>0.45493049948984493</v>
      </c>
      <c r="BA18">
        <v>3.7759106959903484E-2</v>
      </c>
      <c r="BB18">
        <v>7.9312637455285578E-2</v>
      </c>
      <c r="BC18">
        <v>0.44399189899217018</v>
      </c>
      <c r="BD18">
        <v>7.4532188974726424E-2</v>
      </c>
      <c r="BE18">
        <v>1.1832172349366548E-2</v>
      </c>
      <c r="BF18">
        <v>0.20409406596007842</v>
      </c>
      <c r="BG18">
        <v>4.2296133755372811E-3</v>
      </c>
      <c r="BI18" t="s">
        <v>121</v>
      </c>
      <c r="BJ18" t="s">
        <v>171</v>
      </c>
      <c r="BK18" t="s">
        <v>172</v>
      </c>
      <c r="BL18">
        <v>0.44707338003928465</v>
      </c>
    </row>
    <row r="19" spans="2:64" x14ac:dyDescent="0.45">
      <c r="B19" t="s">
        <v>122</v>
      </c>
      <c r="C19" t="s">
        <v>31</v>
      </c>
      <c r="D19">
        <v>0.99583333333333313</v>
      </c>
      <c r="E19">
        <v>0.40499352818832818</v>
      </c>
      <c r="F19">
        <v>0</v>
      </c>
      <c r="G19">
        <v>0.76501756251108832</v>
      </c>
      <c r="H19">
        <v>0.23107152185393973</v>
      </c>
      <c r="I19">
        <v>0.82130357878466675</v>
      </c>
      <c r="J19">
        <v>0.63813266969992988</v>
      </c>
      <c r="K19">
        <v>0.14450048454305067</v>
      </c>
      <c r="L19">
        <v>0.65419831092591574</v>
      </c>
      <c r="M19">
        <v>0.89689513120871167</v>
      </c>
      <c r="N19">
        <v>0.35838153910654935</v>
      </c>
      <c r="O19">
        <v>0.97488050186871533</v>
      </c>
      <c r="AU19" t="s">
        <v>122</v>
      </c>
      <c r="AV19">
        <v>1.1714474019124044E-4</v>
      </c>
      <c r="AW19">
        <v>0.10696447231579219</v>
      </c>
      <c r="AX19">
        <v>0</v>
      </c>
      <c r="AY19">
        <v>6.1776762913608015E-2</v>
      </c>
      <c r="AZ19">
        <v>0.40097740529984266</v>
      </c>
      <c r="BA19">
        <v>2.6063476213789211E-2</v>
      </c>
      <c r="BB19">
        <v>9.6824414556072394E-2</v>
      </c>
      <c r="BC19">
        <v>0.44155798823636472</v>
      </c>
      <c r="BD19">
        <v>5.6874048323404078E-2</v>
      </c>
      <c r="BE19">
        <v>1.447352484999964E-2</v>
      </c>
      <c r="BF19">
        <v>0.19204437913357805</v>
      </c>
      <c r="BG19">
        <v>2.6405738783884165E-3</v>
      </c>
      <c r="BI19" t="s">
        <v>122</v>
      </c>
      <c r="BJ19" t="s">
        <v>171</v>
      </c>
      <c r="BK19" t="s">
        <v>172</v>
      </c>
      <c r="BL19">
        <v>0.41446094143084472</v>
      </c>
    </row>
    <row r="20" spans="2:64" x14ac:dyDescent="0.45">
      <c r="B20" t="s">
        <v>123</v>
      </c>
      <c r="C20" t="s">
        <v>31</v>
      </c>
      <c r="D20">
        <v>0.99861111111111123</v>
      </c>
      <c r="E20">
        <v>0.44061062011635516</v>
      </c>
      <c r="F20">
        <v>0</v>
      </c>
      <c r="G20">
        <v>0.75523660574461493</v>
      </c>
      <c r="H20">
        <v>0.19987551546594151</v>
      </c>
      <c r="I20">
        <v>0.80960854416323325</v>
      </c>
      <c r="J20">
        <v>0.64816471015904731</v>
      </c>
      <c r="K20">
        <v>0.14617948228482194</v>
      </c>
      <c r="L20">
        <v>0.62882676301938278</v>
      </c>
      <c r="M20">
        <v>0.9142954538177166</v>
      </c>
      <c r="N20">
        <v>0.41538142067417111</v>
      </c>
      <c r="O20">
        <v>0.97194153391101579</v>
      </c>
      <c r="AU20" t="s">
        <v>123</v>
      </c>
      <c r="AV20">
        <v>1.6525181282250773E-9</v>
      </c>
      <c r="AW20">
        <v>8.9677401243422314E-2</v>
      </c>
      <c r="AX20">
        <v>0</v>
      </c>
      <c r="AY20">
        <v>6.2635934049892913E-2</v>
      </c>
      <c r="AZ20">
        <v>0.42884664695095542</v>
      </c>
      <c r="BA20">
        <v>3.0052796209229227E-2</v>
      </c>
      <c r="BB20">
        <v>8.7011675871078845E-2</v>
      </c>
      <c r="BC20">
        <v>0.43413541241739734</v>
      </c>
      <c r="BD20">
        <v>6.5929816579743367E-2</v>
      </c>
      <c r="BE20">
        <v>1.2327575233771279E-2</v>
      </c>
      <c r="BF20">
        <v>0.16876239233178664</v>
      </c>
      <c r="BG20">
        <v>3.0634263553424167E-3</v>
      </c>
      <c r="BI20" t="s">
        <v>123</v>
      </c>
      <c r="BJ20" t="s">
        <v>171</v>
      </c>
      <c r="BK20" t="s">
        <v>172</v>
      </c>
      <c r="BL20">
        <v>0.42378123991787348</v>
      </c>
    </row>
    <row r="21" spans="2:64" x14ac:dyDescent="0.45">
      <c r="B21" t="s">
        <v>124</v>
      </c>
      <c r="C21" t="s">
        <v>31</v>
      </c>
      <c r="D21">
        <v>0.99722222222222234</v>
      </c>
      <c r="E21">
        <v>0.42260720900920046</v>
      </c>
      <c r="F21">
        <v>0</v>
      </c>
      <c r="G21">
        <v>0.75328432163460191</v>
      </c>
      <c r="H21">
        <v>0.21287939344872281</v>
      </c>
      <c r="I21">
        <v>0.81144772277808197</v>
      </c>
      <c r="J21">
        <v>0.63409093208876854</v>
      </c>
      <c r="K21">
        <v>0.14119789828399329</v>
      </c>
      <c r="L21">
        <v>0.63563175761077806</v>
      </c>
      <c r="M21">
        <v>0.9032215377821875</v>
      </c>
      <c r="N21">
        <v>0.39322524196480607</v>
      </c>
      <c r="O21">
        <v>0.97354080748558947</v>
      </c>
      <c r="AU21" t="s">
        <v>124</v>
      </c>
      <c r="AV21">
        <v>4.6157730419427035E-5</v>
      </c>
      <c r="AW21">
        <v>9.6504049427350566E-2</v>
      </c>
      <c r="AX21">
        <v>0</v>
      </c>
      <c r="AY21">
        <v>6.1601319153972468E-2</v>
      </c>
      <c r="AZ21">
        <v>0.41710641836986984</v>
      </c>
      <c r="BA21">
        <v>2.639418619654527E-2</v>
      </c>
      <c r="BB21">
        <v>9.4168792320211872E-2</v>
      </c>
      <c r="BC21">
        <v>0.4395065197857172</v>
      </c>
      <c r="BD21">
        <v>6.0410735632238366E-2</v>
      </c>
      <c r="BE21">
        <v>1.3392095757056551E-2</v>
      </c>
      <c r="BF21">
        <v>0.17902177113407547</v>
      </c>
      <c r="BG21">
        <v>2.8317740075181432E-3</v>
      </c>
      <c r="BI21" t="s">
        <v>124</v>
      </c>
      <c r="BJ21" t="s">
        <v>171</v>
      </c>
      <c r="BK21" t="s">
        <v>172</v>
      </c>
      <c r="BL21">
        <v>0.40587417769260387</v>
      </c>
    </row>
    <row r="22" spans="2:64" x14ac:dyDescent="0.45">
      <c r="B22" t="s">
        <v>125</v>
      </c>
      <c r="C22" t="s">
        <v>31</v>
      </c>
      <c r="D22">
        <v>0.99583128995168069</v>
      </c>
      <c r="E22">
        <v>0.38002172071903084</v>
      </c>
      <c r="F22">
        <v>0</v>
      </c>
      <c r="G22">
        <v>0.7753207946711389</v>
      </c>
      <c r="H22">
        <v>0.24424040987028164</v>
      </c>
      <c r="I22">
        <v>0.81787362038951772</v>
      </c>
      <c r="J22">
        <v>0.68707406039412222</v>
      </c>
      <c r="K22">
        <v>0.16071195214857378</v>
      </c>
      <c r="L22">
        <v>0.70142915188288246</v>
      </c>
      <c r="M22">
        <v>0.89675543616831521</v>
      </c>
      <c r="N22">
        <v>0.3092679182175056</v>
      </c>
      <c r="O22">
        <v>0.96992078780821422</v>
      </c>
      <c r="AU22" t="s">
        <v>125</v>
      </c>
      <c r="AV22">
        <v>4.7910120188393433E-4</v>
      </c>
      <c r="AW22">
        <v>0.1444823294812802</v>
      </c>
      <c r="AX22">
        <v>0</v>
      </c>
      <c r="AY22">
        <v>5.4010478749672068E-2</v>
      </c>
      <c r="AZ22">
        <v>0.38385796077085943</v>
      </c>
      <c r="BA22">
        <v>2.2511852208473709E-2</v>
      </c>
      <c r="BB22">
        <v>8.2982188247892677E-2</v>
      </c>
      <c r="BC22">
        <v>0.4401819718864699</v>
      </c>
      <c r="BD22">
        <v>4.9609101289728882E-2</v>
      </c>
      <c r="BE22">
        <v>1.7600683831549419E-2</v>
      </c>
      <c r="BF22">
        <v>0.23774867461085786</v>
      </c>
      <c r="BG22">
        <v>3.3486655795991402E-3</v>
      </c>
      <c r="BI22" t="s">
        <v>125</v>
      </c>
      <c r="BJ22" t="s">
        <v>171</v>
      </c>
      <c r="BK22" t="s">
        <v>172</v>
      </c>
      <c r="BL22">
        <v>0.41893814297811888</v>
      </c>
    </row>
    <row r="23" spans="2:64" x14ac:dyDescent="0.45">
      <c r="B23" t="s">
        <v>126</v>
      </c>
      <c r="C23" t="s">
        <v>31</v>
      </c>
      <c r="D23">
        <v>0.99427653766545587</v>
      </c>
      <c r="E23">
        <v>0.39446374716391103</v>
      </c>
      <c r="F23">
        <v>0</v>
      </c>
      <c r="G23">
        <v>0.76204903976570582</v>
      </c>
      <c r="H23">
        <v>0.23245997671078439</v>
      </c>
      <c r="I23">
        <v>0.82368257999825656</v>
      </c>
      <c r="J23">
        <v>0.66036771693135021</v>
      </c>
      <c r="K23">
        <v>0.14597994079456836</v>
      </c>
      <c r="L23">
        <v>0.69577850771058392</v>
      </c>
      <c r="M23">
        <v>0.88787107072137816</v>
      </c>
      <c r="N23">
        <v>0.31641125850313834</v>
      </c>
      <c r="O23">
        <v>0.97455687820763404</v>
      </c>
      <c r="AU23" t="s">
        <v>126</v>
      </c>
      <c r="AV23">
        <v>4.6302791287833648E-4</v>
      </c>
      <c r="AW23">
        <v>0.12631480053075486</v>
      </c>
      <c r="AX23">
        <v>0</v>
      </c>
      <c r="AY23">
        <v>6.0460647207285306E-2</v>
      </c>
      <c r="AZ23">
        <v>0.39401985362241665</v>
      </c>
      <c r="BA23">
        <v>2.3275095350694972E-2</v>
      </c>
      <c r="BB23">
        <v>9.0209195342033768E-2</v>
      </c>
      <c r="BC23">
        <v>0.44550448086006822</v>
      </c>
      <c r="BD23">
        <v>4.9674063440102709E-2</v>
      </c>
      <c r="BE23">
        <v>1.768212214765192E-2</v>
      </c>
      <c r="BF23">
        <v>0.22024471716749469</v>
      </c>
      <c r="BG23">
        <v>2.9360641166458366E-3</v>
      </c>
      <c r="BI23" t="s">
        <v>126</v>
      </c>
      <c r="BJ23" t="s">
        <v>171</v>
      </c>
      <c r="BK23" t="s">
        <v>172</v>
      </c>
      <c r="BL23">
        <v>0.41229154487757458</v>
      </c>
    </row>
    <row r="24" spans="2:64" x14ac:dyDescent="0.45">
      <c r="B24" t="s">
        <v>127</v>
      </c>
      <c r="C24" t="s">
        <v>31</v>
      </c>
      <c r="D24">
        <v>0</v>
      </c>
      <c r="E24">
        <v>0.36280658365197155</v>
      </c>
      <c r="F24">
        <v>0</v>
      </c>
      <c r="G24">
        <v>0.79724454148408752</v>
      </c>
      <c r="H24">
        <v>0.22877105032573589</v>
      </c>
      <c r="I24">
        <v>0.80480364925891634</v>
      </c>
      <c r="J24">
        <v>0.70126014388395574</v>
      </c>
      <c r="K24">
        <v>0.16692157741283187</v>
      </c>
      <c r="L24">
        <v>0.6560670265965165</v>
      </c>
      <c r="M24">
        <v>0.90332361575172526</v>
      </c>
      <c r="N24">
        <v>0.30718557767138999</v>
      </c>
      <c r="O24">
        <v>0.96267520903253911</v>
      </c>
      <c r="AU24" t="s">
        <v>127</v>
      </c>
      <c r="AV24">
        <v>0</v>
      </c>
      <c r="AW24">
        <v>0.14797419012962226</v>
      </c>
      <c r="AX24">
        <v>0</v>
      </c>
      <c r="AY24">
        <v>4.3621567508205852E-2</v>
      </c>
      <c r="AZ24">
        <v>0.37478436254764691</v>
      </c>
      <c r="BA24">
        <v>2.8356184790555482E-2</v>
      </c>
      <c r="BB24">
        <v>7.3215069812740632E-2</v>
      </c>
      <c r="BC24">
        <v>0.43593505005855465</v>
      </c>
      <c r="BD24">
        <v>5.763976039340056E-2</v>
      </c>
      <c r="BE24">
        <v>1.3804379892988368E-2</v>
      </c>
      <c r="BF24">
        <v>0.24072777360274966</v>
      </c>
      <c r="BG24">
        <v>4.3055789507415523E-3</v>
      </c>
      <c r="BI24" t="s">
        <v>127</v>
      </c>
      <c r="BJ24" t="s">
        <v>171</v>
      </c>
      <c r="BK24" t="s">
        <v>172</v>
      </c>
      <c r="BL24">
        <v>0.41065881893662243</v>
      </c>
    </row>
    <row r="25" spans="2:64" x14ac:dyDescent="0.45">
      <c r="B25" t="s">
        <v>128</v>
      </c>
      <c r="C25" t="s">
        <v>31</v>
      </c>
      <c r="D25">
        <v>0</v>
      </c>
      <c r="E25">
        <v>0.35723063417980433</v>
      </c>
      <c r="F25">
        <v>0</v>
      </c>
      <c r="G25">
        <v>0.80189607036360089</v>
      </c>
      <c r="H25">
        <v>0.23822643176152739</v>
      </c>
      <c r="I25">
        <v>0.78732141796542177</v>
      </c>
      <c r="J25">
        <v>0.6991311127810822</v>
      </c>
      <c r="K25">
        <v>0.15025271260338266</v>
      </c>
      <c r="L25">
        <v>0.63784733011712702</v>
      </c>
      <c r="M25">
        <v>0.91454104239374345</v>
      </c>
      <c r="N25">
        <v>0.3030214864379368</v>
      </c>
      <c r="O25">
        <v>0.95939279736908756</v>
      </c>
      <c r="AU25" t="s">
        <v>128</v>
      </c>
      <c r="AV25">
        <v>0</v>
      </c>
      <c r="AW25">
        <v>0.1306056579219968</v>
      </c>
      <c r="AX25">
        <v>0</v>
      </c>
      <c r="AY25">
        <v>4.2843695528701153E-2</v>
      </c>
      <c r="AZ25">
        <v>0.36824081518407475</v>
      </c>
      <c r="BA25">
        <v>2.9158585922742647E-2</v>
      </c>
      <c r="BB25">
        <v>7.1739492621212805E-2</v>
      </c>
      <c r="BC25">
        <v>0.44742824162166678</v>
      </c>
      <c r="BD25">
        <v>6.4072389944471744E-2</v>
      </c>
      <c r="BE25">
        <v>1.278913939840007E-2</v>
      </c>
      <c r="BF25">
        <v>0.23507147374141996</v>
      </c>
      <c r="BG25">
        <v>4.3027153224494295E-3</v>
      </c>
      <c r="BI25" t="s">
        <v>128</v>
      </c>
      <c r="BJ25" t="s">
        <v>171</v>
      </c>
      <c r="BK25" t="s">
        <v>172</v>
      </c>
      <c r="BL25">
        <v>0.42646985123233772</v>
      </c>
    </row>
    <row r="26" spans="2:64" x14ac:dyDescent="0.45">
      <c r="B26" t="s">
        <v>129</v>
      </c>
      <c r="C26" t="s">
        <v>31</v>
      </c>
      <c r="D26">
        <v>0</v>
      </c>
      <c r="E26">
        <v>0.40215696322767686</v>
      </c>
      <c r="F26">
        <v>0</v>
      </c>
      <c r="G26">
        <v>0.8063792133371156</v>
      </c>
      <c r="H26">
        <v>0.2322262245457542</v>
      </c>
      <c r="I26">
        <v>0.78071627397539967</v>
      </c>
      <c r="J26">
        <v>0.70760312371706013</v>
      </c>
      <c r="K26">
        <v>0.14889628537397503</v>
      </c>
      <c r="L26">
        <v>0.61878334335419072</v>
      </c>
      <c r="M26">
        <v>0.92427478533450336</v>
      </c>
      <c r="N26">
        <v>0.33399474568637055</v>
      </c>
      <c r="O26">
        <v>0.96382730611427014</v>
      </c>
      <c r="AU26" t="s">
        <v>129</v>
      </c>
      <c r="AV26">
        <v>0</v>
      </c>
      <c r="AW26">
        <v>0.10046088143153165</v>
      </c>
      <c r="AX26">
        <v>0</v>
      </c>
      <c r="AY26">
        <v>4.2188066070458843E-2</v>
      </c>
      <c r="AZ26">
        <v>0.3838047083383927</v>
      </c>
      <c r="BA26">
        <v>3.3416363141916657E-2</v>
      </c>
      <c r="BB26">
        <v>7.5097608862817439E-2</v>
      </c>
      <c r="BC26">
        <v>0.44933044101624781</v>
      </c>
      <c r="BD26">
        <v>7.0997776125651363E-2</v>
      </c>
      <c r="BE26">
        <v>1.2385429903369799E-2</v>
      </c>
      <c r="BF26">
        <v>0.21772961387533044</v>
      </c>
      <c r="BG26">
        <v>3.9214115892895959E-3</v>
      </c>
      <c r="BI26" t="s">
        <v>129</v>
      </c>
      <c r="BJ26" t="s">
        <v>171</v>
      </c>
      <c r="BK26" t="s">
        <v>172</v>
      </c>
      <c r="BL26">
        <v>0.43090706014716301</v>
      </c>
    </row>
    <row r="27" spans="2:64" x14ac:dyDescent="0.45">
      <c r="B27" t="s">
        <v>130</v>
      </c>
      <c r="C27" t="s">
        <v>31</v>
      </c>
      <c r="D27">
        <v>0</v>
      </c>
      <c r="E27">
        <v>0.43347085008066244</v>
      </c>
      <c r="F27">
        <v>0</v>
      </c>
      <c r="G27">
        <v>0.79774260480659254</v>
      </c>
      <c r="H27">
        <v>0.21853699380265168</v>
      </c>
      <c r="I27">
        <v>0.78174676842907065</v>
      </c>
      <c r="J27">
        <v>0.6956619664663346</v>
      </c>
      <c r="K27">
        <v>0.15016901185930115</v>
      </c>
      <c r="L27">
        <v>0.61633648127058249</v>
      </c>
      <c r="M27">
        <v>0.92119885628344456</v>
      </c>
      <c r="N27">
        <v>0.36018021001240813</v>
      </c>
      <c r="O27">
        <v>0.96877799529237341</v>
      </c>
      <c r="AU27" t="s">
        <v>130</v>
      </c>
      <c r="AV27">
        <v>0</v>
      </c>
      <c r="AW27">
        <v>9.2854448582609356E-2</v>
      </c>
      <c r="AX27">
        <v>0</v>
      </c>
      <c r="AY27">
        <v>4.3576682772447729E-2</v>
      </c>
      <c r="AZ27">
        <v>0.40479750285376337</v>
      </c>
      <c r="BA27">
        <v>3.4403922146333213E-2</v>
      </c>
      <c r="BB27">
        <v>7.9343743744073589E-2</v>
      </c>
      <c r="BC27">
        <v>0.44069802488744769</v>
      </c>
      <c r="BD27">
        <v>7.1131978218727132E-2</v>
      </c>
      <c r="BE27">
        <v>1.2733128868795086E-2</v>
      </c>
      <c r="BF27">
        <v>0.20263465501958641</v>
      </c>
      <c r="BG27">
        <v>4.1266470208919702E-3</v>
      </c>
      <c r="BI27" t="s">
        <v>130</v>
      </c>
      <c r="BJ27" t="s">
        <v>171</v>
      </c>
      <c r="BK27" t="s">
        <v>172</v>
      </c>
      <c r="BL27">
        <v>0.43364240856259056</v>
      </c>
    </row>
    <row r="28" spans="2:64" x14ac:dyDescent="0.45">
      <c r="B28" t="s">
        <v>131</v>
      </c>
      <c r="C28" t="s">
        <v>31</v>
      </c>
      <c r="D28">
        <v>0</v>
      </c>
      <c r="E28">
        <v>0.4241863045242722</v>
      </c>
      <c r="F28">
        <v>0</v>
      </c>
      <c r="G28">
        <v>0.78557388799580996</v>
      </c>
      <c r="H28">
        <v>0.23854895404663234</v>
      </c>
      <c r="I28">
        <v>0.80733577120915911</v>
      </c>
      <c r="J28">
        <v>0.66874253130390293</v>
      </c>
      <c r="K28">
        <v>0.13889864904080479</v>
      </c>
      <c r="L28">
        <v>0.63430425669109158</v>
      </c>
      <c r="M28">
        <v>0.90493565000789944</v>
      </c>
      <c r="N28">
        <v>0.34676224288871477</v>
      </c>
      <c r="O28">
        <v>0.97273812584223218</v>
      </c>
      <c r="AU28" t="s">
        <v>131</v>
      </c>
      <c r="AV28">
        <v>0</v>
      </c>
      <c r="AW28">
        <v>9.9787696396035769E-2</v>
      </c>
      <c r="AX28">
        <v>0</v>
      </c>
      <c r="AY28">
        <v>5.2304062075443129E-2</v>
      </c>
      <c r="AZ28">
        <v>0.38508716629084466</v>
      </c>
      <c r="BA28">
        <v>2.7341272111939759E-2</v>
      </c>
      <c r="BB28">
        <v>9.1558571396966035E-2</v>
      </c>
      <c r="BC28">
        <v>0.45582334468706504</v>
      </c>
      <c r="BD28">
        <v>6.1707889577980027E-2</v>
      </c>
      <c r="BE28">
        <v>1.3425671416407218E-2</v>
      </c>
      <c r="BF28">
        <v>0.1982907303788328</v>
      </c>
      <c r="BG28">
        <v>3.1291087661937771E-3</v>
      </c>
      <c r="BI28" t="s">
        <v>131</v>
      </c>
      <c r="BJ28" t="s">
        <v>171</v>
      </c>
      <c r="BK28" t="s">
        <v>172</v>
      </c>
      <c r="BL28">
        <v>0.41643841136848625</v>
      </c>
    </row>
    <row r="29" spans="2:64" x14ac:dyDescent="0.45">
      <c r="B29" t="s">
        <v>132</v>
      </c>
      <c r="C29" t="s">
        <v>31</v>
      </c>
      <c r="D29">
        <v>0</v>
      </c>
      <c r="E29">
        <v>0.39695253978356732</v>
      </c>
      <c r="F29">
        <v>0</v>
      </c>
      <c r="G29">
        <v>0.7940530400604956</v>
      </c>
      <c r="H29">
        <v>0.24496044546517001</v>
      </c>
      <c r="I29">
        <v>0.81065734968083492</v>
      </c>
      <c r="J29">
        <v>0.68557383525277649</v>
      </c>
      <c r="K29">
        <v>0.14533231451151593</v>
      </c>
      <c r="L29">
        <v>0.63778285932874812</v>
      </c>
      <c r="M29">
        <v>0.91228996371360538</v>
      </c>
      <c r="N29">
        <v>0.32790210526079178</v>
      </c>
      <c r="O29">
        <v>0.96882896201225777</v>
      </c>
      <c r="AU29" t="s">
        <v>132</v>
      </c>
      <c r="AV29">
        <v>0</v>
      </c>
      <c r="AW29">
        <v>0.11138089063617343</v>
      </c>
      <c r="AX29">
        <v>0</v>
      </c>
      <c r="AY29">
        <v>4.8115139445701047E-2</v>
      </c>
      <c r="AZ29">
        <v>0.373313136950502</v>
      </c>
      <c r="BA29">
        <v>2.5236939402672687E-2</v>
      </c>
      <c r="BB29">
        <v>8.4263643777381061E-2</v>
      </c>
      <c r="BC29">
        <v>0.44966712934369396</v>
      </c>
      <c r="BD29">
        <v>5.9212641321910613E-2</v>
      </c>
      <c r="BE29">
        <v>1.3827690852366039E-2</v>
      </c>
      <c r="BF29">
        <v>0.21000536180075946</v>
      </c>
      <c r="BG29">
        <v>3.6077846254088976E-3</v>
      </c>
      <c r="BI29" t="s">
        <v>132</v>
      </c>
      <c r="BJ29" t="s">
        <v>171</v>
      </c>
      <c r="BK29" t="s">
        <v>172</v>
      </c>
      <c r="BL29">
        <v>0.41046080911221178</v>
      </c>
    </row>
    <row r="30" spans="2:64" x14ac:dyDescent="0.45">
      <c r="B30" t="s">
        <v>133</v>
      </c>
      <c r="C30" t="s">
        <v>31</v>
      </c>
      <c r="D30">
        <v>0.99861111111111089</v>
      </c>
      <c r="E30">
        <v>0.4164094891167161</v>
      </c>
      <c r="F30">
        <v>0</v>
      </c>
      <c r="G30">
        <v>0.78092531384546715</v>
      </c>
      <c r="H30">
        <v>0.24131722118320337</v>
      </c>
      <c r="I30">
        <v>0.8152512811797985</v>
      </c>
      <c r="J30">
        <v>0.66227383895638769</v>
      </c>
      <c r="K30">
        <v>0.14124621804685528</v>
      </c>
      <c r="L30">
        <v>0.64322032018579178</v>
      </c>
      <c r="M30">
        <v>0.90051497361633048</v>
      </c>
      <c r="N30">
        <v>0.32977395750697058</v>
      </c>
      <c r="O30">
        <v>0.97154920056287408</v>
      </c>
      <c r="AU30" t="s">
        <v>133</v>
      </c>
      <c r="AV30">
        <v>1.6830842551847836E-6</v>
      </c>
      <c r="AW30">
        <v>0.10474725099284686</v>
      </c>
      <c r="AX30">
        <v>0</v>
      </c>
      <c r="AY30">
        <v>5.5038691685513667E-2</v>
      </c>
      <c r="AZ30">
        <v>0.38150586105493378</v>
      </c>
      <c r="BA30">
        <v>2.5280513225936746E-2</v>
      </c>
      <c r="BB30">
        <v>9.1644480376187873E-2</v>
      </c>
      <c r="BC30">
        <v>0.44970268330510982</v>
      </c>
      <c r="BD30">
        <v>5.8578750824414237E-2</v>
      </c>
      <c r="BE30">
        <v>1.4444768495230255E-2</v>
      </c>
      <c r="BF30">
        <v>0.20305690756106926</v>
      </c>
      <c r="BG30">
        <v>2.9067433523283009E-3</v>
      </c>
      <c r="BI30" t="s">
        <v>133</v>
      </c>
      <c r="BJ30" t="s">
        <v>171</v>
      </c>
      <c r="BK30" t="s">
        <v>172</v>
      </c>
      <c r="BL30">
        <v>0.40932530368051301</v>
      </c>
    </row>
    <row r="31" spans="2:64" x14ac:dyDescent="0.45">
      <c r="B31" t="s">
        <v>134</v>
      </c>
      <c r="C31" t="s">
        <v>31</v>
      </c>
      <c r="D31">
        <v>0.35485342297766548</v>
      </c>
      <c r="E31">
        <v>0.35104946508052448</v>
      </c>
      <c r="F31">
        <v>0.33745144697426699</v>
      </c>
      <c r="G31">
        <v>0.32460699013791888</v>
      </c>
      <c r="H31">
        <v>0.3877234480423542</v>
      </c>
      <c r="I31">
        <v>0.35566002884720305</v>
      </c>
      <c r="J31">
        <v>0.42773676767730096</v>
      </c>
      <c r="K31">
        <v>0.46288607554724848</v>
      </c>
      <c r="L31">
        <v>0.41601750231686424</v>
      </c>
      <c r="M31">
        <v>0.37846146461222735</v>
      </c>
      <c r="N31">
        <v>0.41661268655996953</v>
      </c>
      <c r="O31">
        <v>0.36528187840084092</v>
      </c>
      <c r="AU31" t="s">
        <v>134</v>
      </c>
      <c r="AV31">
        <v>0.41403704991201568</v>
      </c>
      <c r="AW31">
        <v>0.39857855318532337</v>
      </c>
      <c r="AX31">
        <v>0.42936270240690522</v>
      </c>
      <c r="AY31">
        <v>0.29462266129072395</v>
      </c>
      <c r="AZ31">
        <v>0.24671530911975922</v>
      </c>
      <c r="BA31">
        <v>0.29843589395517839</v>
      </c>
      <c r="BB31">
        <v>0.16821811829734262</v>
      </c>
      <c r="BC31">
        <v>0.17138634505338685</v>
      </c>
      <c r="BD31">
        <v>0.1772590817630727</v>
      </c>
      <c r="BE31">
        <v>0.31958236486721742</v>
      </c>
      <c r="BF31">
        <v>0.31111700841239415</v>
      </c>
      <c r="BG31">
        <v>0.3520177153288549</v>
      </c>
      <c r="BI31" t="s">
        <v>144</v>
      </c>
      <c r="BJ31" t="s">
        <v>171</v>
      </c>
      <c r="BK31" t="s">
        <v>172</v>
      </c>
      <c r="BL31">
        <v>0.44144581502295349</v>
      </c>
    </row>
    <row r="32" spans="2:64" x14ac:dyDescent="0.45">
      <c r="B32" t="s">
        <v>135</v>
      </c>
      <c r="C32" t="s">
        <v>31</v>
      </c>
      <c r="D32">
        <v>0.30673781935829131</v>
      </c>
      <c r="E32">
        <v>0.28968526474438733</v>
      </c>
      <c r="F32">
        <v>0.26874558220655398</v>
      </c>
      <c r="G32">
        <v>0.29278754781792327</v>
      </c>
      <c r="H32">
        <v>0.3412615394616032</v>
      </c>
      <c r="I32">
        <v>0.31858164611816286</v>
      </c>
      <c r="J32">
        <v>0.39147461863444455</v>
      </c>
      <c r="K32">
        <v>0.42054279500816238</v>
      </c>
      <c r="L32">
        <v>0.39288806008779881</v>
      </c>
      <c r="M32">
        <v>0.34948850037287071</v>
      </c>
      <c r="N32">
        <v>0.35060193316596089</v>
      </c>
      <c r="O32">
        <v>0.33309745653622536</v>
      </c>
      <c r="AU32" t="s">
        <v>135</v>
      </c>
      <c r="AV32">
        <v>0.5883258271894084</v>
      </c>
      <c r="AW32">
        <v>0.59573956728287725</v>
      </c>
      <c r="AX32">
        <v>0.62210177113514131</v>
      </c>
      <c r="AY32">
        <v>0.51531539744787946</v>
      </c>
      <c r="AZ32">
        <v>0.45570147559166463</v>
      </c>
      <c r="BA32">
        <v>0.52704240743509012</v>
      </c>
      <c r="BB32">
        <v>0.33105353562698364</v>
      </c>
      <c r="BC32">
        <v>0.31301777572246986</v>
      </c>
      <c r="BD32">
        <v>0.33664985379964341</v>
      </c>
      <c r="BE32">
        <v>0.48925033923604971</v>
      </c>
      <c r="BF32">
        <v>0.49448984831598092</v>
      </c>
      <c r="BG32">
        <v>0.51963718477220744</v>
      </c>
      <c r="BI32" t="s">
        <v>145</v>
      </c>
      <c r="BJ32" t="s">
        <v>171</v>
      </c>
      <c r="BK32" t="s">
        <v>172</v>
      </c>
      <c r="BL32">
        <v>0.41690589547843648</v>
      </c>
    </row>
    <row r="33" spans="2:64" x14ac:dyDescent="0.45">
      <c r="B33" t="s">
        <v>136</v>
      </c>
      <c r="C33" t="s">
        <v>31</v>
      </c>
      <c r="D33">
        <v>0.3237626160938788</v>
      </c>
      <c r="E33">
        <v>0.31379559922252076</v>
      </c>
      <c r="F33">
        <v>0.29700900593556606</v>
      </c>
      <c r="G33">
        <v>0.30532269724359168</v>
      </c>
      <c r="H33">
        <v>0.35963898462103572</v>
      </c>
      <c r="I33">
        <v>0.34071146109198747</v>
      </c>
      <c r="J33">
        <v>0.41166116619025983</v>
      </c>
      <c r="K33">
        <v>0.43725695992270847</v>
      </c>
      <c r="L33">
        <v>0.41339633090519801</v>
      </c>
      <c r="M33">
        <v>0.36426667730103068</v>
      </c>
      <c r="N33">
        <v>0.37937068491162079</v>
      </c>
      <c r="O33">
        <v>0.34427897154632386</v>
      </c>
      <c r="AU33" t="s">
        <v>136</v>
      </c>
      <c r="AV33">
        <v>0.51847191854565766</v>
      </c>
      <c r="AW33">
        <v>0.51126337044687964</v>
      </c>
      <c r="AX33">
        <v>0.54579088615234805</v>
      </c>
      <c r="AY33">
        <v>0.41370635365474745</v>
      </c>
      <c r="AZ33">
        <v>0.35024866197916865</v>
      </c>
      <c r="BA33">
        <v>0.41710541372171311</v>
      </c>
      <c r="BB33">
        <v>0.25371789707278586</v>
      </c>
      <c r="BC33">
        <v>0.24715463796449905</v>
      </c>
      <c r="BD33">
        <v>0.26109854200751637</v>
      </c>
      <c r="BE33">
        <v>0.41752746149232212</v>
      </c>
      <c r="BF33">
        <v>0.4134932579655437</v>
      </c>
      <c r="BG33">
        <v>0.45128620653866003</v>
      </c>
      <c r="BI33" t="s">
        <v>146</v>
      </c>
      <c r="BJ33" t="s">
        <v>171</v>
      </c>
      <c r="BK33" t="s">
        <v>172</v>
      </c>
      <c r="BL33">
        <v>0.43615567145437351</v>
      </c>
    </row>
    <row r="34" spans="2:64" x14ac:dyDescent="0.45">
      <c r="B34" t="s">
        <v>137</v>
      </c>
      <c r="C34" t="s">
        <v>31</v>
      </c>
      <c r="D34">
        <v>0.30502021812176927</v>
      </c>
      <c r="E34">
        <v>0.29468967713306643</v>
      </c>
      <c r="F34">
        <v>0.28556391928153474</v>
      </c>
      <c r="G34">
        <v>0.29624009629617643</v>
      </c>
      <c r="H34">
        <v>0.33765853750227581</v>
      </c>
      <c r="I34">
        <v>0.27344688855908433</v>
      </c>
      <c r="J34">
        <v>0.33756638451322624</v>
      </c>
      <c r="K34">
        <v>0.38099916956576857</v>
      </c>
      <c r="L34">
        <v>0.3730576094234373</v>
      </c>
      <c r="M34">
        <v>0.32523979879985454</v>
      </c>
      <c r="N34">
        <v>0.33925374997483337</v>
      </c>
      <c r="O34">
        <v>0.35021686793011536</v>
      </c>
      <c r="AU34" t="s">
        <v>137</v>
      </c>
      <c r="AV34">
        <v>0.59187386063399616</v>
      </c>
      <c r="AW34">
        <v>0.61371248022424207</v>
      </c>
      <c r="AX34">
        <v>0.61392877677615387</v>
      </c>
      <c r="AY34">
        <v>0.56249539177880892</v>
      </c>
      <c r="AZ34">
        <v>0.52402000149006955</v>
      </c>
      <c r="BA34">
        <v>0.59004155205949116</v>
      </c>
      <c r="BB34">
        <v>0.37507869519364279</v>
      </c>
      <c r="BC34">
        <v>0.35021357840466938</v>
      </c>
      <c r="BD34">
        <v>0.3713783645170729</v>
      </c>
      <c r="BE34">
        <v>0.5359652167486797</v>
      </c>
      <c r="BF34">
        <v>0.53635905623035152</v>
      </c>
      <c r="BG34">
        <v>0.53290234736968523</v>
      </c>
      <c r="BI34" t="s">
        <v>147</v>
      </c>
      <c r="BJ34" t="s">
        <v>171</v>
      </c>
      <c r="BK34" t="s">
        <v>172</v>
      </c>
      <c r="BL34">
        <v>0.46001416750340568</v>
      </c>
    </row>
    <row r="35" spans="2:64" x14ac:dyDescent="0.45">
      <c r="B35" t="s">
        <v>138</v>
      </c>
      <c r="C35" t="s">
        <v>31</v>
      </c>
      <c r="D35">
        <v>0.30712647252416564</v>
      </c>
      <c r="E35">
        <v>0.28892771538612977</v>
      </c>
      <c r="F35">
        <v>0.28373632009029948</v>
      </c>
      <c r="G35">
        <v>0.29916281522879323</v>
      </c>
      <c r="H35">
        <v>0.34638289531389765</v>
      </c>
      <c r="I35">
        <v>0.29359912319628573</v>
      </c>
      <c r="J35">
        <v>0.35878279788206524</v>
      </c>
      <c r="K35">
        <v>0.41400662140537964</v>
      </c>
      <c r="L35">
        <v>0.37474385298670165</v>
      </c>
      <c r="M35">
        <v>0.34233047682933782</v>
      </c>
      <c r="N35">
        <v>0.33338166012899673</v>
      </c>
      <c r="O35">
        <v>0.34011741572553877</v>
      </c>
      <c r="AU35" t="s">
        <v>138</v>
      </c>
      <c r="AV35">
        <v>0.59877046802192302</v>
      </c>
      <c r="AW35">
        <v>0.6121909528071463</v>
      </c>
      <c r="AX35">
        <v>0.61902525279896892</v>
      </c>
      <c r="AY35">
        <v>0.5432538318155169</v>
      </c>
      <c r="AZ35">
        <v>0.50723308912123433</v>
      </c>
      <c r="BA35">
        <v>0.57700409491562332</v>
      </c>
      <c r="BB35">
        <v>0.34989498346851156</v>
      </c>
      <c r="BC35">
        <v>0.34098248399947828</v>
      </c>
      <c r="BD35">
        <v>0.3535882154697883</v>
      </c>
      <c r="BE35">
        <v>0.51539733609291671</v>
      </c>
      <c r="BF35">
        <v>0.53375625878414823</v>
      </c>
      <c r="BG35">
        <v>0.5319975419963785</v>
      </c>
      <c r="BI35" t="s">
        <v>148</v>
      </c>
      <c r="BJ35" t="s">
        <v>171</v>
      </c>
      <c r="BK35" t="s">
        <v>172</v>
      </c>
      <c r="BL35">
        <v>0.45070908038906415</v>
      </c>
    </row>
    <row r="36" spans="2:64" x14ac:dyDescent="0.45">
      <c r="B36" t="s">
        <v>139</v>
      </c>
      <c r="C36" t="s">
        <v>31</v>
      </c>
      <c r="D36">
        <v>0.31791646726031186</v>
      </c>
      <c r="E36">
        <v>0.29961354071070873</v>
      </c>
      <c r="F36">
        <v>0.27834805643946914</v>
      </c>
      <c r="G36">
        <v>0.30039463159173407</v>
      </c>
      <c r="H36">
        <v>0.34287274418950608</v>
      </c>
      <c r="I36">
        <v>0.30466204720372242</v>
      </c>
      <c r="J36">
        <v>0.3479624569007429</v>
      </c>
      <c r="K36">
        <v>0.39732652696247445</v>
      </c>
      <c r="L36">
        <v>0.39117091353611927</v>
      </c>
      <c r="M36">
        <v>0.34271290605970745</v>
      </c>
      <c r="N36">
        <v>0.3416612645920119</v>
      </c>
      <c r="O36">
        <v>0.3435331625711342</v>
      </c>
      <c r="AU36" t="s">
        <v>139</v>
      </c>
      <c r="AV36">
        <v>0.57597942071775898</v>
      </c>
      <c r="AW36">
        <v>0.59299049128818049</v>
      </c>
      <c r="AX36">
        <v>0.60628844753239142</v>
      </c>
      <c r="AY36">
        <v>0.51295691383673503</v>
      </c>
      <c r="AZ36">
        <v>0.47992290670365517</v>
      </c>
      <c r="BA36">
        <v>0.53210187316912272</v>
      </c>
      <c r="BB36">
        <v>0.3331875545839168</v>
      </c>
      <c r="BC36">
        <v>0.32627813851531867</v>
      </c>
      <c r="BD36">
        <v>0.32300272197627927</v>
      </c>
      <c r="BE36">
        <v>0.49249392608874398</v>
      </c>
      <c r="BF36">
        <v>0.4999318931343732</v>
      </c>
      <c r="BG36">
        <v>0.50843126015425177</v>
      </c>
      <c r="BI36" t="s">
        <v>149</v>
      </c>
      <c r="BJ36" t="s">
        <v>171</v>
      </c>
      <c r="BK36" t="s">
        <v>172</v>
      </c>
      <c r="BL36">
        <v>0.44557068063962091</v>
      </c>
    </row>
    <row r="37" spans="2:64" x14ac:dyDescent="0.45">
      <c r="B37" t="s">
        <v>140</v>
      </c>
      <c r="C37" t="s">
        <v>31</v>
      </c>
      <c r="D37">
        <v>0.33276102582758355</v>
      </c>
      <c r="E37">
        <v>0.32274085422602361</v>
      </c>
      <c r="F37">
        <v>0.31227163877963143</v>
      </c>
      <c r="G37">
        <v>0.33645437714327614</v>
      </c>
      <c r="H37">
        <v>0.3720822115430486</v>
      </c>
      <c r="I37">
        <v>0.32414717090488654</v>
      </c>
      <c r="J37">
        <v>0.41095867756702664</v>
      </c>
      <c r="K37">
        <v>0.44076874684908057</v>
      </c>
      <c r="L37">
        <v>0.40285402156859423</v>
      </c>
      <c r="M37">
        <v>0.32475269908718363</v>
      </c>
      <c r="N37">
        <v>0.36504953733560669</v>
      </c>
      <c r="O37">
        <v>0.33203867460197023</v>
      </c>
      <c r="AU37" t="s">
        <v>140</v>
      </c>
      <c r="AV37">
        <v>0.45836695904591745</v>
      </c>
      <c r="AW37">
        <v>0.48758157197500246</v>
      </c>
      <c r="AX37">
        <v>0.49649438896383785</v>
      </c>
      <c r="AY37">
        <v>0.36909689147554348</v>
      </c>
      <c r="AZ37">
        <v>0.3440649480523485</v>
      </c>
      <c r="BA37">
        <v>0.39055908230257652</v>
      </c>
      <c r="BB37">
        <v>0.25813620109665303</v>
      </c>
      <c r="BC37">
        <v>0.25481216124780742</v>
      </c>
      <c r="BD37">
        <v>0.26858422092139056</v>
      </c>
      <c r="BE37">
        <v>0.40536099555971028</v>
      </c>
      <c r="BF37">
        <v>0.41030467604466592</v>
      </c>
      <c r="BG37">
        <v>0.45179674916332918</v>
      </c>
      <c r="BI37" t="s">
        <v>150</v>
      </c>
      <c r="BJ37" t="s">
        <v>171</v>
      </c>
      <c r="BK37" t="s">
        <v>172</v>
      </c>
      <c r="BL37">
        <v>0.45830810593426169</v>
      </c>
    </row>
    <row r="38" spans="2:64" x14ac:dyDescent="0.45">
      <c r="B38" t="s">
        <v>141</v>
      </c>
      <c r="C38" t="s">
        <v>31</v>
      </c>
      <c r="D38">
        <v>0.30355731480305159</v>
      </c>
      <c r="E38">
        <v>0.29144571913693113</v>
      </c>
      <c r="F38">
        <v>0.27873967449612175</v>
      </c>
      <c r="G38">
        <v>0.30765990434872026</v>
      </c>
      <c r="H38">
        <v>0.34409350036511976</v>
      </c>
      <c r="I38">
        <v>0.30980533394149368</v>
      </c>
      <c r="J38">
        <v>0.40172704920156826</v>
      </c>
      <c r="K38">
        <v>0.42702765348999955</v>
      </c>
      <c r="L38">
        <v>0.37759370265962738</v>
      </c>
      <c r="M38">
        <v>0.31111305247364152</v>
      </c>
      <c r="N38">
        <v>0.34130244037970231</v>
      </c>
      <c r="O38">
        <v>0.30754096726951197</v>
      </c>
      <c r="AU38" t="s">
        <v>141</v>
      </c>
      <c r="AV38">
        <v>0.57495120476743078</v>
      </c>
      <c r="AW38">
        <v>0.60703249585397212</v>
      </c>
      <c r="AX38">
        <v>0.6217736394134834</v>
      </c>
      <c r="AY38">
        <v>0.51266321605237564</v>
      </c>
      <c r="AZ38">
        <v>0.4888484753867936</v>
      </c>
      <c r="BA38">
        <v>0.54513591442201892</v>
      </c>
      <c r="BB38">
        <v>0.36310294985318042</v>
      </c>
      <c r="BC38">
        <v>0.34597642875585927</v>
      </c>
      <c r="BD38">
        <v>0.40638346274000436</v>
      </c>
      <c r="BE38">
        <v>0.51280631767406337</v>
      </c>
      <c r="BF38">
        <v>0.51444019311156797</v>
      </c>
      <c r="BG38">
        <v>0.56131688164013138</v>
      </c>
      <c r="BI38" t="s">
        <v>151</v>
      </c>
      <c r="BJ38" t="s">
        <v>171</v>
      </c>
      <c r="BK38" t="s">
        <v>172</v>
      </c>
      <c r="BL38">
        <v>0.45318952850233457</v>
      </c>
    </row>
    <row r="39" spans="2:64" x14ac:dyDescent="0.45">
      <c r="B39" t="s">
        <v>142</v>
      </c>
      <c r="C39" t="s">
        <v>31</v>
      </c>
      <c r="D39">
        <v>0.29909298086387387</v>
      </c>
      <c r="E39">
        <v>0.29443263755151233</v>
      </c>
      <c r="F39">
        <v>0.27536276756369327</v>
      </c>
      <c r="G39">
        <v>0.29535274134916273</v>
      </c>
      <c r="H39">
        <v>0.33341412902693074</v>
      </c>
      <c r="I39">
        <v>0.29172391579304036</v>
      </c>
      <c r="J39">
        <v>0.35742268922482129</v>
      </c>
      <c r="K39">
        <v>0.3910596029527183</v>
      </c>
      <c r="L39">
        <v>0.39001894482672411</v>
      </c>
      <c r="M39">
        <v>0.31789318224410895</v>
      </c>
      <c r="N39">
        <v>0.33772893425743505</v>
      </c>
      <c r="O39">
        <v>0.32434141547880291</v>
      </c>
      <c r="AU39" t="s">
        <v>142</v>
      </c>
      <c r="AV39">
        <v>0.58922282615852817</v>
      </c>
      <c r="AW39">
        <v>0.61491732542677036</v>
      </c>
      <c r="AX39">
        <v>0.62218939342877311</v>
      </c>
      <c r="AY39">
        <v>0.54657357639368687</v>
      </c>
      <c r="AZ39">
        <v>0.51602678266448365</v>
      </c>
      <c r="BA39">
        <v>0.56629466685702479</v>
      </c>
      <c r="BB39">
        <v>0.37406113289919996</v>
      </c>
      <c r="BC39">
        <v>0.3453347252055794</v>
      </c>
      <c r="BD39">
        <v>0.37368519663814653</v>
      </c>
      <c r="BE39">
        <v>0.53174613226036549</v>
      </c>
      <c r="BF39">
        <v>0.52481865517930448</v>
      </c>
      <c r="BG39">
        <v>0.54895950205158084</v>
      </c>
      <c r="BI39" t="s">
        <v>152</v>
      </c>
      <c r="BJ39" t="s">
        <v>171</v>
      </c>
      <c r="BK39" t="s">
        <v>172</v>
      </c>
      <c r="BL39">
        <v>0.47509753996346288</v>
      </c>
    </row>
    <row r="40" spans="2:64" x14ac:dyDescent="0.45">
      <c r="B40" t="s">
        <v>143</v>
      </c>
      <c r="C40" t="s">
        <v>31</v>
      </c>
      <c r="D40">
        <v>0.31562747952573961</v>
      </c>
      <c r="E40">
        <v>0.30648879832418774</v>
      </c>
      <c r="F40">
        <v>0.28964427724061181</v>
      </c>
      <c r="G40">
        <v>0.32088127568552166</v>
      </c>
      <c r="H40">
        <v>0.35657360318747616</v>
      </c>
      <c r="I40">
        <v>0.318870028043091</v>
      </c>
      <c r="J40">
        <v>0.39601014200954887</v>
      </c>
      <c r="K40">
        <v>0.42197073935936302</v>
      </c>
      <c r="L40">
        <v>0.41096891532429292</v>
      </c>
      <c r="M40">
        <v>0.32477722565989448</v>
      </c>
      <c r="N40">
        <v>0.35339827260986573</v>
      </c>
      <c r="O40">
        <v>0.32404601334319522</v>
      </c>
      <c r="AU40" t="s">
        <v>143</v>
      </c>
      <c r="AV40">
        <v>0.54507502087681203</v>
      </c>
      <c r="AW40">
        <v>0.57873198288483008</v>
      </c>
      <c r="AX40">
        <v>0.58618941826411997</v>
      </c>
      <c r="AY40">
        <v>0.46909167213887276</v>
      </c>
      <c r="AZ40">
        <v>0.44236258141888751</v>
      </c>
      <c r="BA40">
        <v>0.48429297550576739</v>
      </c>
      <c r="BB40">
        <v>0.32655417986036972</v>
      </c>
      <c r="BC40">
        <v>0.31488110246765399</v>
      </c>
      <c r="BD40">
        <v>0.33058010700898183</v>
      </c>
      <c r="BE40">
        <v>0.4910513869805857</v>
      </c>
      <c r="BF40">
        <v>0.48634321543960118</v>
      </c>
      <c r="BG40">
        <v>0.52722253010240505</v>
      </c>
      <c r="BI40" t="s">
        <v>153</v>
      </c>
      <c r="BJ40" t="s">
        <v>171</v>
      </c>
      <c r="BK40" t="s">
        <v>172</v>
      </c>
      <c r="BL40">
        <v>0.48662245541604343</v>
      </c>
    </row>
    <row r="41" spans="2:64" x14ac:dyDescent="0.45">
      <c r="B41" t="s">
        <v>144</v>
      </c>
      <c r="C41" t="s">
        <v>31</v>
      </c>
      <c r="D41">
        <v>0.34138068890404355</v>
      </c>
      <c r="E41">
        <v>0.38963132056807742</v>
      </c>
      <c r="F41">
        <v>0.35879307716713954</v>
      </c>
      <c r="G41">
        <v>0.31873716668007129</v>
      </c>
      <c r="H41">
        <v>0.38109569966306484</v>
      </c>
      <c r="I41">
        <v>0.33493997770281991</v>
      </c>
      <c r="J41">
        <v>0.34760405303847541</v>
      </c>
      <c r="K41">
        <v>0.45528744602002469</v>
      </c>
      <c r="L41">
        <v>0.35905992984338148</v>
      </c>
      <c r="M41">
        <v>0.36330613711709719</v>
      </c>
      <c r="N41">
        <v>0.41724974157474054</v>
      </c>
      <c r="O41">
        <v>0.345843613944877</v>
      </c>
      <c r="AU41" t="s">
        <v>144</v>
      </c>
      <c r="AV41">
        <v>0.41962866455963216</v>
      </c>
      <c r="AW41">
        <v>0.39286858384070694</v>
      </c>
      <c r="AX41">
        <v>0.44144926800917617</v>
      </c>
      <c r="AY41">
        <v>0.33973395018706454</v>
      </c>
      <c r="AZ41">
        <v>0.25917749020206443</v>
      </c>
      <c r="BA41">
        <v>0.33499497527855154</v>
      </c>
      <c r="BB41">
        <v>0.16491867048090378</v>
      </c>
      <c r="BC41">
        <v>0.12656357705677909</v>
      </c>
      <c r="BD41">
        <v>0.17271153770198572</v>
      </c>
      <c r="BE41">
        <v>0.3092762665940903</v>
      </c>
      <c r="BF41">
        <v>0.27023578219816452</v>
      </c>
      <c r="BG41">
        <v>0.35381866387333943</v>
      </c>
      <c r="BI41" t="s">
        <v>154</v>
      </c>
      <c r="BJ41" t="s">
        <v>171</v>
      </c>
      <c r="BK41" t="s">
        <v>172</v>
      </c>
      <c r="BL41">
        <v>0.37182881148943103</v>
      </c>
    </row>
    <row r="42" spans="2:64" x14ac:dyDescent="0.45">
      <c r="B42" t="s">
        <v>145</v>
      </c>
      <c r="C42" t="s">
        <v>31</v>
      </c>
      <c r="D42">
        <v>0.3274544830409517</v>
      </c>
      <c r="E42">
        <v>0.37277054029728179</v>
      </c>
      <c r="F42">
        <v>0.32611394760069645</v>
      </c>
      <c r="G42">
        <v>0.35684849103118377</v>
      </c>
      <c r="H42">
        <v>0.4289883131060504</v>
      </c>
      <c r="I42">
        <v>0.3325692445125677</v>
      </c>
      <c r="J42">
        <v>0.34139316938028397</v>
      </c>
      <c r="K42">
        <v>0.45877659784725294</v>
      </c>
      <c r="L42">
        <v>0.35661915592984866</v>
      </c>
      <c r="M42">
        <v>0.3743903423212715</v>
      </c>
      <c r="N42">
        <v>0.43671213701049066</v>
      </c>
      <c r="O42">
        <v>0.340138115907756</v>
      </c>
      <c r="AU42" t="s">
        <v>145</v>
      </c>
      <c r="AV42">
        <v>0.40427175512337199</v>
      </c>
      <c r="AW42">
        <v>0.377989390248959</v>
      </c>
      <c r="AX42">
        <v>0.41698124875711112</v>
      </c>
      <c r="AY42">
        <v>0.30909477085190828</v>
      </c>
      <c r="AZ42">
        <v>0.24428031752068863</v>
      </c>
      <c r="BA42">
        <v>0.31759736307647857</v>
      </c>
      <c r="BB42">
        <v>0.14357158498954242</v>
      </c>
      <c r="BC42">
        <v>0.12071617971020297</v>
      </c>
      <c r="BD42">
        <v>0.16205063408160117</v>
      </c>
      <c r="BE42">
        <v>0.28309079683966942</v>
      </c>
      <c r="BF42">
        <v>0.2597424998690796</v>
      </c>
      <c r="BG42">
        <v>0.34290619208136441</v>
      </c>
      <c r="BI42" t="s">
        <v>155</v>
      </c>
      <c r="BJ42" t="s">
        <v>171</v>
      </c>
      <c r="BK42" t="s">
        <v>172</v>
      </c>
      <c r="BL42">
        <v>0.40666185735660743</v>
      </c>
    </row>
    <row r="43" spans="2:64" x14ac:dyDescent="0.45">
      <c r="B43" t="s">
        <v>146</v>
      </c>
      <c r="C43" t="s">
        <v>31</v>
      </c>
      <c r="D43">
        <v>0.34139074443540335</v>
      </c>
      <c r="E43">
        <v>0.36472050584759313</v>
      </c>
      <c r="F43">
        <v>0.36218292318516188</v>
      </c>
      <c r="G43">
        <v>0.33621146939172719</v>
      </c>
      <c r="H43">
        <v>0.3969947564805627</v>
      </c>
      <c r="I43">
        <v>0.34186191322718845</v>
      </c>
      <c r="J43">
        <v>0.34871976889592049</v>
      </c>
      <c r="K43">
        <v>0.46768779672635674</v>
      </c>
      <c r="L43">
        <v>0.36573207338365049</v>
      </c>
      <c r="M43">
        <v>0.38924234946507513</v>
      </c>
      <c r="N43">
        <v>0.41716946715262149</v>
      </c>
      <c r="O43">
        <v>0.3704133232843807</v>
      </c>
      <c r="AU43" t="s">
        <v>146</v>
      </c>
      <c r="AV43">
        <v>0.43013493596035124</v>
      </c>
      <c r="AW43">
        <v>0.40488268624600476</v>
      </c>
      <c r="AX43">
        <v>0.43633383031557288</v>
      </c>
      <c r="AY43">
        <v>0.33220072341230245</v>
      </c>
      <c r="AZ43">
        <v>0.28607356317034682</v>
      </c>
      <c r="BA43">
        <v>0.33931483551163971</v>
      </c>
      <c r="BB43">
        <v>0.15878625034830171</v>
      </c>
      <c r="BC43">
        <v>0.13810170787953188</v>
      </c>
      <c r="BD43">
        <v>0.1793985666400203</v>
      </c>
      <c r="BE43">
        <v>0.31607716907587363</v>
      </c>
      <c r="BF43">
        <v>0.2761362311834728</v>
      </c>
      <c r="BG43">
        <v>0.34416310201813627</v>
      </c>
      <c r="BI43" t="s">
        <v>156</v>
      </c>
      <c r="BJ43" t="s">
        <v>171</v>
      </c>
      <c r="BK43" t="s">
        <v>172</v>
      </c>
      <c r="BL43">
        <v>0.39325133832722603</v>
      </c>
    </row>
    <row r="44" spans="2:64" x14ac:dyDescent="0.45">
      <c r="B44" t="s">
        <v>147</v>
      </c>
      <c r="C44" t="s">
        <v>31</v>
      </c>
      <c r="D44">
        <v>0.31606297079284396</v>
      </c>
      <c r="E44">
        <v>0.34436702023411681</v>
      </c>
      <c r="F44">
        <v>0.31907562253627231</v>
      </c>
      <c r="G44">
        <v>0.33872903979894337</v>
      </c>
      <c r="H44">
        <v>0.41599364748297835</v>
      </c>
      <c r="I44">
        <v>0.32024573514686994</v>
      </c>
      <c r="J44">
        <v>0.36140140818689825</v>
      </c>
      <c r="K44">
        <v>0.4440811786612564</v>
      </c>
      <c r="L44">
        <v>0.35028811953481853</v>
      </c>
      <c r="M44">
        <v>0.34610667770746295</v>
      </c>
      <c r="N44">
        <v>0.41387428517282282</v>
      </c>
      <c r="O44">
        <v>0.34630068508211609</v>
      </c>
      <c r="AU44" t="s">
        <v>147</v>
      </c>
      <c r="AV44">
        <v>0.44912656483814689</v>
      </c>
      <c r="AW44">
        <v>0.42294865364230994</v>
      </c>
      <c r="AX44">
        <v>0.46145416108855652</v>
      </c>
      <c r="AY44">
        <v>0.35369112966137989</v>
      </c>
      <c r="AZ44">
        <v>0.29341840455507268</v>
      </c>
      <c r="BA44">
        <v>0.36837891374328824</v>
      </c>
      <c r="BB44">
        <v>0.16225786507456511</v>
      </c>
      <c r="BC44">
        <v>0.12800198468955892</v>
      </c>
      <c r="BD44">
        <v>0.16956380666431836</v>
      </c>
      <c r="BE44">
        <v>0.35209724946990717</v>
      </c>
      <c r="BF44">
        <v>0.30489521451739748</v>
      </c>
      <c r="BG44">
        <v>0.37280425363347769</v>
      </c>
      <c r="BI44" t="s">
        <v>157</v>
      </c>
      <c r="BJ44" t="s">
        <v>171</v>
      </c>
      <c r="BK44" t="s">
        <v>172</v>
      </c>
      <c r="BL44">
        <v>0.41385086405739679</v>
      </c>
    </row>
    <row r="45" spans="2:64" x14ac:dyDescent="0.45">
      <c r="B45" t="s">
        <v>148</v>
      </c>
      <c r="C45" t="s">
        <v>31</v>
      </c>
      <c r="D45">
        <v>0.3321924674944518</v>
      </c>
      <c r="E45">
        <v>0.34882086788382932</v>
      </c>
      <c r="F45">
        <v>0.31989543632485706</v>
      </c>
      <c r="G45">
        <v>0.32053596449781169</v>
      </c>
      <c r="H45">
        <v>0.35887525995143221</v>
      </c>
      <c r="I45">
        <v>0.32272609233127847</v>
      </c>
      <c r="J45">
        <v>0.36976108672058272</v>
      </c>
      <c r="K45">
        <v>0.47427665039129768</v>
      </c>
      <c r="L45">
        <v>0.35130827505566875</v>
      </c>
      <c r="M45">
        <v>0.37904889408629738</v>
      </c>
      <c r="N45">
        <v>0.39245667132911199</v>
      </c>
      <c r="O45">
        <v>0.36144820978354797</v>
      </c>
      <c r="AU45" t="s">
        <v>148</v>
      </c>
      <c r="AV45">
        <v>0.44013815534687695</v>
      </c>
      <c r="AW45">
        <v>0.41177810377847285</v>
      </c>
      <c r="AX45">
        <v>0.45072379462047613</v>
      </c>
      <c r="AY45">
        <v>0.33703868446300289</v>
      </c>
      <c r="AZ45">
        <v>0.28820235633330948</v>
      </c>
      <c r="BA45">
        <v>0.35890602919126924</v>
      </c>
      <c r="BB45">
        <v>0.17585340880023234</v>
      </c>
      <c r="BC45">
        <v>0.16714945328152725</v>
      </c>
      <c r="BD45">
        <v>0.1978465242127069</v>
      </c>
      <c r="BE45">
        <v>0.33442719032226187</v>
      </c>
      <c r="BF45">
        <v>0.30659000186806112</v>
      </c>
      <c r="BG45">
        <v>0.35397668381941072</v>
      </c>
      <c r="BI45" t="s">
        <v>158</v>
      </c>
      <c r="BJ45" t="s">
        <v>171</v>
      </c>
      <c r="BK45" t="s">
        <v>172</v>
      </c>
      <c r="BL45">
        <v>0.18887139180745147</v>
      </c>
    </row>
    <row r="46" spans="2:64" x14ac:dyDescent="0.45">
      <c r="B46" t="s">
        <v>149</v>
      </c>
      <c r="C46" t="s">
        <v>31</v>
      </c>
      <c r="D46">
        <v>0.3418831326877706</v>
      </c>
      <c r="E46">
        <v>0.37817692431065386</v>
      </c>
      <c r="F46">
        <v>0.34612845884592164</v>
      </c>
      <c r="G46">
        <v>0.29874713675008241</v>
      </c>
      <c r="H46">
        <v>0.36421989706593938</v>
      </c>
      <c r="I46">
        <v>0.33541916799721927</v>
      </c>
      <c r="J46">
        <v>0.36562249030014649</v>
      </c>
      <c r="K46">
        <v>0.4433217471495417</v>
      </c>
      <c r="L46">
        <v>0.3615159162847586</v>
      </c>
      <c r="M46">
        <v>0.35699923621859309</v>
      </c>
      <c r="N46">
        <v>0.39156952760055047</v>
      </c>
      <c r="O46">
        <v>0.33537029185363437</v>
      </c>
      <c r="AU46" t="s">
        <v>149</v>
      </c>
      <c r="AV46">
        <v>0.42530760052429001</v>
      </c>
      <c r="AW46">
        <v>0.40923434566438227</v>
      </c>
      <c r="AX46">
        <v>0.44566408557203574</v>
      </c>
      <c r="AY46">
        <v>0.35852009057068218</v>
      </c>
      <c r="AZ46">
        <v>0.27510254384927707</v>
      </c>
      <c r="BA46">
        <v>0.35356708432599432</v>
      </c>
      <c r="BB46">
        <v>0.17774223060075695</v>
      </c>
      <c r="BC46">
        <v>0.15812290426154813</v>
      </c>
      <c r="BD46">
        <v>0.20175056110831821</v>
      </c>
      <c r="BE46">
        <v>0.32712438804057969</v>
      </c>
      <c r="BF46">
        <v>0.30738047037264543</v>
      </c>
      <c r="BG46">
        <v>0.37709180100177331</v>
      </c>
      <c r="BI46" t="s">
        <v>159</v>
      </c>
      <c r="BJ46" t="s">
        <v>171</v>
      </c>
      <c r="BK46" t="s">
        <v>172</v>
      </c>
      <c r="BL46">
        <v>0.46691515963573338</v>
      </c>
    </row>
    <row r="47" spans="2:64" x14ac:dyDescent="0.45">
      <c r="B47" t="s">
        <v>150</v>
      </c>
      <c r="C47" t="s">
        <v>31</v>
      </c>
      <c r="D47">
        <v>0.33729527824854638</v>
      </c>
      <c r="E47">
        <v>0.35649767806271354</v>
      </c>
      <c r="F47">
        <v>0.33719284015905981</v>
      </c>
      <c r="G47">
        <v>0.32013291192565407</v>
      </c>
      <c r="H47">
        <v>0.37102439140397303</v>
      </c>
      <c r="I47">
        <v>0.33622516609152564</v>
      </c>
      <c r="J47">
        <v>0.36719191810116197</v>
      </c>
      <c r="K47">
        <v>0.44964306823435185</v>
      </c>
      <c r="L47">
        <v>0.35726275680616021</v>
      </c>
      <c r="M47">
        <v>0.3669182564066607</v>
      </c>
      <c r="N47">
        <v>0.41867493947834522</v>
      </c>
      <c r="O47">
        <v>0.34938867023217818</v>
      </c>
      <c r="AU47" t="s">
        <v>150</v>
      </c>
      <c r="AV47">
        <v>0.45140712389405346</v>
      </c>
      <c r="AW47">
        <v>0.42193216475161133</v>
      </c>
      <c r="AX47">
        <v>0.45830810593426169</v>
      </c>
      <c r="AY47">
        <v>0.3573097565721004</v>
      </c>
      <c r="AZ47">
        <v>0.29707462834307358</v>
      </c>
      <c r="BA47">
        <v>0.36789586473064945</v>
      </c>
      <c r="BB47">
        <v>0.17471401347386864</v>
      </c>
      <c r="BC47">
        <v>0.16278885534945839</v>
      </c>
      <c r="BD47">
        <v>0.20066914683279322</v>
      </c>
      <c r="BE47">
        <v>0.32946878422753634</v>
      </c>
      <c r="BF47">
        <v>0.29967077435542971</v>
      </c>
      <c r="BG47">
        <v>0.36311050337905271</v>
      </c>
      <c r="BI47" t="s">
        <v>160</v>
      </c>
      <c r="BJ47" t="s">
        <v>171</v>
      </c>
      <c r="BK47" t="s">
        <v>172</v>
      </c>
      <c r="BL47">
        <v>0.32091105798995079</v>
      </c>
    </row>
    <row r="48" spans="2:64" x14ac:dyDescent="0.45">
      <c r="B48" t="s">
        <v>151</v>
      </c>
      <c r="C48" t="s">
        <v>31</v>
      </c>
      <c r="D48">
        <v>0.34105785816274309</v>
      </c>
      <c r="E48">
        <v>0.36018808618800019</v>
      </c>
      <c r="F48">
        <v>0.32734773965398123</v>
      </c>
      <c r="G48">
        <v>0.32742829951089247</v>
      </c>
      <c r="H48">
        <v>0.39042514525699168</v>
      </c>
      <c r="I48">
        <v>0.34614399842231641</v>
      </c>
      <c r="J48">
        <v>0.40424103947123052</v>
      </c>
      <c r="K48">
        <v>0.45641987060032918</v>
      </c>
      <c r="L48">
        <v>0.3732014163157239</v>
      </c>
      <c r="M48">
        <v>0.37501882421729427</v>
      </c>
      <c r="N48">
        <v>0.41131836007292949</v>
      </c>
      <c r="O48">
        <v>0.36934102440213618</v>
      </c>
      <c r="AU48" t="s">
        <v>151</v>
      </c>
      <c r="AV48">
        <v>0.44262473253691631</v>
      </c>
      <c r="AW48">
        <v>0.40354737744424651</v>
      </c>
      <c r="AX48">
        <v>0.45319607909219706</v>
      </c>
      <c r="AY48">
        <v>0.31683390750188178</v>
      </c>
      <c r="AZ48">
        <v>0.27304272277977515</v>
      </c>
      <c r="BA48">
        <v>0.32801354413254452</v>
      </c>
      <c r="BB48">
        <v>0.17799687771936903</v>
      </c>
      <c r="BC48">
        <v>0.17838799742798994</v>
      </c>
      <c r="BD48">
        <v>0.18730258433485755</v>
      </c>
      <c r="BE48">
        <v>0.34020592798425886</v>
      </c>
      <c r="BF48">
        <v>0.31082470121079586</v>
      </c>
      <c r="BG48">
        <v>0.35814344260057246</v>
      </c>
      <c r="BI48" t="s">
        <v>161</v>
      </c>
      <c r="BJ48" t="s">
        <v>171</v>
      </c>
      <c r="BK48" t="s">
        <v>172</v>
      </c>
      <c r="BL48">
        <v>0.33533363498502627</v>
      </c>
    </row>
    <row r="49" spans="2:64" x14ac:dyDescent="0.45">
      <c r="B49" t="s">
        <v>152</v>
      </c>
      <c r="C49" t="s">
        <v>31</v>
      </c>
      <c r="D49">
        <v>0.34023506025883193</v>
      </c>
      <c r="E49">
        <v>0.34665736200241293</v>
      </c>
      <c r="F49">
        <v>0.33154036283815991</v>
      </c>
      <c r="G49">
        <v>0.32322787568210104</v>
      </c>
      <c r="H49">
        <v>0.3793769199857791</v>
      </c>
      <c r="I49">
        <v>0.32823640529432246</v>
      </c>
      <c r="J49">
        <v>0.41472585259713013</v>
      </c>
      <c r="K49">
        <v>0.46356122076954098</v>
      </c>
      <c r="L49">
        <v>0.39788707729628781</v>
      </c>
      <c r="M49">
        <v>0.35221809807880611</v>
      </c>
      <c r="N49">
        <v>0.41424352106845935</v>
      </c>
      <c r="O49">
        <v>0.34218158864471065</v>
      </c>
      <c r="AU49" t="s">
        <v>152</v>
      </c>
      <c r="AV49">
        <v>0.46030159025497758</v>
      </c>
      <c r="AW49">
        <v>0.44109371193109292</v>
      </c>
      <c r="AX49">
        <v>0.47509806909335517</v>
      </c>
      <c r="AY49">
        <v>0.34524059568418675</v>
      </c>
      <c r="AZ49">
        <v>0.28619700589673508</v>
      </c>
      <c r="BA49">
        <v>0.35309779001839431</v>
      </c>
      <c r="BB49">
        <v>0.19173227642816226</v>
      </c>
      <c r="BC49">
        <v>0.19550203367454363</v>
      </c>
      <c r="BD49">
        <v>0.20647517984136843</v>
      </c>
      <c r="BE49">
        <v>0.36190518160398866</v>
      </c>
      <c r="BF49">
        <v>0.34205091959951783</v>
      </c>
      <c r="BG49">
        <v>0.39757694693110501</v>
      </c>
      <c r="BI49" t="s">
        <v>162</v>
      </c>
      <c r="BJ49" t="s">
        <v>171</v>
      </c>
      <c r="BK49" t="s">
        <v>172</v>
      </c>
      <c r="BL49">
        <v>0.37763666337061891</v>
      </c>
    </row>
    <row r="50" spans="2:64" x14ac:dyDescent="0.45">
      <c r="B50" t="s">
        <v>153</v>
      </c>
      <c r="C50" t="s">
        <v>31</v>
      </c>
      <c r="D50">
        <v>0.34019456179022867</v>
      </c>
      <c r="E50">
        <v>0.33479816022309328</v>
      </c>
      <c r="F50">
        <v>0.32344642036039606</v>
      </c>
      <c r="G50">
        <v>0.31711028790590451</v>
      </c>
      <c r="H50">
        <v>0.36299996185088307</v>
      </c>
      <c r="I50">
        <v>0.33010719199490496</v>
      </c>
      <c r="J50">
        <v>0.36377833654030362</v>
      </c>
      <c r="K50">
        <v>0.41787699567022568</v>
      </c>
      <c r="L50">
        <v>0.37203403496060111</v>
      </c>
      <c r="M50">
        <v>0.31045962398867422</v>
      </c>
      <c r="N50">
        <v>0.3535663726349319</v>
      </c>
      <c r="O50">
        <v>0.32617769585601031</v>
      </c>
      <c r="AU50" t="s">
        <v>153</v>
      </c>
      <c r="AV50">
        <v>0.45337776078767039</v>
      </c>
      <c r="AW50">
        <v>0.47165744728504477</v>
      </c>
      <c r="AX50">
        <v>0.48665253373108042</v>
      </c>
      <c r="AY50">
        <v>0.37721572654265839</v>
      </c>
      <c r="AZ50">
        <v>0.33028869711413356</v>
      </c>
      <c r="BA50">
        <v>0.36399509882983205</v>
      </c>
      <c r="BB50">
        <v>0.23370475765740867</v>
      </c>
      <c r="BC50">
        <v>0.25048342101499343</v>
      </c>
      <c r="BD50">
        <v>0.22314802343888479</v>
      </c>
      <c r="BE50">
        <v>0.41229445839894091</v>
      </c>
      <c r="BF50">
        <v>0.40189104598899855</v>
      </c>
      <c r="BG50">
        <v>0.44208963250758149</v>
      </c>
      <c r="BI50" t="s">
        <v>163</v>
      </c>
      <c r="BJ50" t="s">
        <v>171</v>
      </c>
      <c r="BK50" t="s">
        <v>172</v>
      </c>
      <c r="BL50">
        <v>0.39674123806670736</v>
      </c>
    </row>
    <row r="51" spans="2:64" x14ac:dyDescent="0.45">
      <c r="B51" t="s">
        <v>154</v>
      </c>
      <c r="C51" t="s">
        <v>31</v>
      </c>
      <c r="D51">
        <v>0.38781743411959646</v>
      </c>
      <c r="E51">
        <v>0.39900310914129206</v>
      </c>
      <c r="F51">
        <v>0.35858380549317248</v>
      </c>
      <c r="G51">
        <v>0.36613728163264397</v>
      </c>
      <c r="H51">
        <v>0.41879205203418618</v>
      </c>
      <c r="I51">
        <v>0.34470187665205609</v>
      </c>
      <c r="J51">
        <v>0.4468782019620402</v>
      </c>
      <c r="K51">
        <v>0.50215793445376289</v>
      </c>
      <c r="L51">
        <v>0.40192869160271594</v>
      </c>
      <c r="M51">
        <v>0.35718770761238489</v>
      </c>
      <c r="N51">
        <v>0.36897467007950502</v>
      </c>
      <c r="O51">
        <v>0.36403865020095499</v>
      </c>
      <c r="AU51" t="s">
        <v>154</v>
      </c>
      <c r="AV51">
        <v>0.3387212263853856</v>
      </c>
      <c r="AW51">
        <v>0.35872243795204789</v>
      </c>
      <c r="AX51">
        <v>0.37186379390892638</v>
      </c>
      <c r="AY51">
        <v>0.23511486707071211</v>
      </c>
      <c r="AZ51">
        <v>0.22066609453970465</v>
      </c>
      <c r="BA51">
        <v>0.25194981173079611</v>
      </c>
      <c r="BB51">
        <v>0.16777645116419673</v>
      </c>
      <c r="BC51">
        <v>0.13460240491321193</v>
      </c>
      <c r="BD51">
        <v>0.14952181662613512</v>
      </c>
      <c r="BE51">
        <v>0.31569927942739545</v>
      </c>
      <c r="BF51">
        <v>0.29692349342065105</v>
      </c>
      <c r="BG51">
        <v>0.31454123849500765</v>
      </c>
      <c r="BI51" t="s">
        <v>134</v>
      </c>
      <c r="BJ51" t="s">
        <v>171</v>
      </c>
      <c r="BK51" t="s">
        <v>172</v>
      </c>
      <c r="BL51">
        <v>0.42936270240690522</v>
      </c>
    </row>
    <row r="52" spans="2:64" x14ac:dyDescent="0.45">
      <c r="B52" t="s">
        <v>155</v>
      </c>
      <c r="C52" t="s">
        <v>31</v>
      </c>
      <c r="D52">
        <v>0.37850226027238348</v>
      </c>
      <c r="E52">
        <v>0.38231877680706727</v>
      </c>
      <c r="F52">
        <v>0.36300548911597569</v>
      </c>
      <c r="G52">
        <v>0.33020117457633263</v>
      </c>
      <c r="H52">
        <v>0.41975125100727256</v>
      </c>
      <c r="I52">
        <v>0.33419924861681694</v>
      </c>
      <c r="J52">
        <v>0.38475322155562386</v>
      </c>
      <c r="K52">
        <v>0.49898599332441668</v>
      </c>
      <c r="L52">
        <v>0.36433202623918481</v>
      </c>
      <c r="M52">
        <v>0.32828754114333075</v>
      </c>
      <c r="N52">
        <v>0.36634009617108282</v>
      </c>
      <c r="O52">
        <v>0.35764814483575458</v>
      </c>
      <c r="AU52" t="s">
        <v>155</v>
      </c>
      <c r="AV52">
        <v>0.38357060543368754</v>
      </c>
      <c r="AW52">
        <v>0.39062424070457713</v>
      </c>
      <c r="AX52">
        <v>0.40666185735660743</v>
      </c>
      <c r="AY52">
        <v>0.30484738485810164</v>
      </c>
      <c r="AZ52">
        <v>0.23547352981062544</v>
      </c>
      <c r="BA52">
        <v>0.30899144774713327</v>
      </c>
      <c r="BB52">
        <v>0.20419018666936356</v>
      </c>
      <c r="BC52">
        <v>0.18218255123755805</v>
      </c>
      <c r="BD52">
        <v>0.19987448120234394</v>
      </c>
      <c r="BE52">
        <v>0.35290308516105762</v>
      </c>
      <c r="BF52">
        <v>0.32654717503260733</v>
      </c>
      <c r="BG52">
        <v>0.37030838535583821</v>
      </c>
      <c r="BI52" t="s">
        <v>135</v>
      </c>
      <c r="BJ52" t="s">
        <v>171</v>
      </c>
      <c r="BK52" t="s">
        <v>172</v>
      </c>
      <c r="BL52">
        <v>0.62210177113514131</v>
      </c>
    </row>
    <row r="53" spans="2:64" x14ac:dyDescent="0.45">
      <c r="B53" t="s">
        <v>156</v>
      </c>
      <c r="C53" t="s">
        <v>31</v>
      </c>
      <c r="D53">
        <v>0.38417524214137905</v>
      </c>
      <c r="E53">
        <v>0.41341078343605236</v>
      </c>
      <c r="F53">
        <v>0.36583214483309745</v>
      </c>
      <c r="G53">
        <v>0.31446103031389222</v>
      </c>
      <c r="H53">
        <v>0.41014904067195485</v>
      </c>
      <c r="I53">
        <v>0.32198526421609658</v>
      </c>
      <c r="J53">
        <v>0.39432952787852854</v>
      </c>
      <c r="K53">
        <v>0.51052705679376476</v>
      </c>
      <c r="L53">
        <v>0.38875895934987836</v>
      </c>
      <c r="M53">
        <v>0.35497852621421744</v>
      </c>
      <c r="N53">
        <v>0.3700099750789555</v>
      </c>
      <c r="O53">
        <v>0.34813353633893929</v>
      </c>
      <c r="AU53" t="s">
        <v>156</v>
      </c>
      <c r="AV53">
        <v>0.36275476500661413</v>
      </c>
      <c r="AW53">
        <v>0.36489405717589207</v>
      </c>
      <c r="AX53">
        <v>0.39325133832722603</v>
      </c>
      <c r="AY53">
        <v>0.30815668472139118</v>
      </c>
      <c r="AZ53">
        <v>0.24488264449918526</v>
      </c>
      <c r="BA53">
        <v>0.31413560084068759</v>
      </c>
      <c r="BB53">
        <v>0.20008511752875882</v>
      </c>
      <c r="BC53">
        <v>0.16095522679878807</v>
      </c>
      <c r="BD53">
        <v>0.19005742114910032</v>
      </c>
      <c r="BE53">
        <v>0.34086407034940625</v>
      </c>
      <c r="BF53">
        <v>0.31074899136034795</v>
      </c>
      <c r="BG53">
        <v>0.3644497047021017</v>
      </c>
      <c r="BI53" t="s">
        <v>136</v>
      </c>
      <c r="BJ53" t="s">
        <v>171</v>
      </c>
      <c r="BK53" t="s">
        <v>172</v>
      </c>
      <c r="BL53">
        <v>0.54579088615234805</v>
      </c>
    </row>
    <row r="54" spans="2:64" x14ac:dyDescent="0.45">
      <c r="B54" t="s">
        <v>157</v>
      </c>
      <c r="C54" t="s">
        <v>31</v>
      </c>
      <c r="D54">
        <v>0.36941305592857038</v>
      </c>
      <c r="E54">
        <v>0.37379517633149095</v>
      </c>
      <c r="F54">
        <v>0.34597397453878137</v>
      </c>
      <c r="G54">
        <v>0.31620276876643599</v>
      </c>
      <c r="H54">
        <v>0.40346508312623258</v>
      </c>
      <c r="I54">
        <v>0.34155803935220386</v>
      </c>
      <c r="J54">
        <v>0.3928009784389771</v>
      </c>
      <c r="K54">
        <v>0.47266162690268398</v>
      </c>
      <c r="L54">
        <v>0.35048958947182113</v>
      </c>
      <c r="M54">
        <v>0.34871131842877978</v>
      </c>
      <c r="N54">
        <v>0.37148804746760383</v>
      </c>
      <c r="O54">
        <v>0.34197583833290696</v>
      </c>
      <c r="AU54" t="s">
        <v>157</v>
      </c>
      <c r="AV54">
        <v>0.38039279987447228</v>
      </c>
      <c r="AW54">
        <v>0.38458215434270138</v>
      </c>
      <c r="AX54">
        <v>0.4138675701724352</v>
      </c>
      <c r="AY54">
        <v>0.33108460105563692</v>
      </c>
      <c r="AZ54">
        <v>0.25431773158875098</v>
      </c>
      <c r="BA54">
        <v>0.32524242697890604</v>
      </c>
      <c r="BB54">
        <v>0.17957477797695748</v>
      </c>
      <c r="BC54">
        <v>0.17783232224577464</v>
      </c>
      <c r="BD54">
        <v>0.20116005389256222</v>
      </c>
      <c r="BE54">
        <v>0.32833694106399625</v>
      </c>
      <c r="BF54">
        <v>0.32216246602224607</v>
      </c>
      <c r="BG54">
        <v>0.37059904153902351</v>
      </c>
      <c r="BI54" t="s">
        <v>137</v>
      </c>
      <c r="BJ54" t="s">
        <v>171</v>
      </c>
      <c r="BK54" t="s">
        <v>172</v>
      </c>
      <c r="BL54">
        <v>0.61392877677615387</v>
      </c>
    </row>
    <row r="55" spans="2:64" x14ac:dyDescent="0.45">
      <c r="B55" t="s">
        <v>158</v>
      </c>
      <c r="C55" t="s">
        <v>31</v>
      </c>
      <c r="D55">
        <v>0.49096642417461794</v>
      </c>
      <c r="E55">
        <v>0.49821047297262022</v>
      </c>
      <c r="F55">
        <v>0.46637192055567972</v>
      </c>
      <c r="G55">
        <v>0.48943012206879033</v>
      </c>
      <c r="H55">
        <v>0.46668524861899008</v>
      </c>
      <c r="I55">
        <v>0.47052243187490966</v>
      </c>
      <c r="J55">
        <v>0.50623498478143036</v>
      </c>
      <c r="K55">
        <v>0.43323092556146486</v>
      </c>
      <c r="L55">
        <v>0.41310844225353149</v>
      </c>
      <c r="M55">
        <v>0.48207643996353189</v>
      </c>
      <c r="N55">
        <v>0.48272395568234061</v>
      </c>
      <c r="O55">
        <v>0.4572725005322662</v>
      </c>
      <c r="AU55" t="s">
        <v>158</v>
      </c>
      <c r="AV55">
        <v>0.18801753753002998</v>
      </c>
      <c r="AW55">
        <v>0.18786120735957437</v>
      </c>
      <c r="AX55">
        <v>0.18887139180745147</v>
      </c>
      <c r="AY55">
        <v>0.1026718633887338</v>
      </c>
      <c r="AZ55">
        <v>0.12642932457984732</v>
      </c>
      <c r="BA55">
        <v>0.1147650461422897</v>
      </c>
      <c r="BB55">
        <v>3.0573107854520821E-2</v>
      </c>
      <c r="BC55">
        <v>6.4942002070535243E-2</v>
      </c>
      <c r="BD55">
        <v>4.8075035984533984E-2</v>
      </c>
      <c r="BE55">
        <v>0.10985597158645587</v>
      </c>
      <c r="BF55">
        <v>0.13699112625099252</v>
      </c>
      <c r="BG55">
        <v>0.14113047083742025</v>
      </c>
      <c r="BI55" t="s">
        <v>138</v>
      </c>
      <c r="BJ55" t="s">
        <v>171</v>
      </c>
      <c r="BK55" t="s">
        <v>172</v>
      </c>
      <c r="BL55">
        <v>0.61902525279896892</v>
      </c>
    </row>
    <row r="56" spans="2:64" x14ac:dyDescent="0.45">
      <c r="B56" t="s">
        <v>159</v>
      </c>
      <c r="C56" t="s">
        <v>31</v>
      </c>
      <c r="D56">
        <v>0.34253541098953527</v>
      </c>
      <c r="E56">
        <v>0.36470474918796775</v>
      </c>
      <c r="F56">
        <v>0.33329866652475892</v>
      </c>
      <c r="G56">
        <v>0.4247605162955293</v>
      </c>
      <c r="H56">
        <v>0.44349474108265263</v>
      </c>
      <c r="I56">
        <v>0.37511486718022174</v>
      </c>
      <c r="J56">
        <v>0.44281710253310269</v>
      </c>
      <c r="K56">
        <v>0.46793549085294428</v>
      </c>
      <c r="L56">
        <v>0.37178933490224186</v>
      </c>
      <c r="M56">
        <v>0.37889404870229287</v>
      </c>
      <c r="N56">
        <v>0.4257914589702817</v>
      </c>
      <c r="O56">
        <v>0.37013005067017235</v>
      </c>
      <c r="AU56" t="s">
        <v>159</v>
      </c>
      <c r="AV56">
        <v>0.44537475640774754</v>
      </c>
      <c r="AW56">
        <v>0.43127618614070967</v>
      </c>
      <c r="AX56">
        <v>0.46699436224390772</v>
      </c>
      <c r="AY56">
        <v>0.28137381154225732</v>
      </c>
      <c r="AZ56">
        <v>0.27334161819140534</v>
      </c>
      <c r="BA56">
        <v>0.29687560382216716</v>
      </c>
      <c r="BB56">
        <v>0.12221638179098714</v>
      </c>
      <c r="BC56">
        <v>0.12204070140115403</v>
      </c>
      <c r="BD56">
        <v>0.13256169595970568</v>
      </c>
      <c r="BE56">
        <v>0.34297761402137722</v>
      </c>
      <c r="BF56">
        <v>0.3314535279621369</v>
      </c>
      <c r="BG56">
        <v>0.36198358971283967</v>
      </c>
      <c r="BI56" t="s">
        <v>139</v>
      </c>
      <c r="BJ56" t="s">
        <v>171</v>
      </c>
      <c r="BK56" t="s">
        <v>172</v>
      </c>
      <c r="BL56">
        <v>0.60435059747794773</v>
      </c>
    </row>
    <row r="57" spans="2:64" x14ac:dyDescent="0.45">
      <c r="B57" t="s">
        <v>160</v>
      </c>
      <c r="C57" t="s">
        <v>31</v>
      </c>
      <c r="D57">
        <v>0.37887363995921858</v>
      </c>
      <c r="E57">
        <v>0.40063675696558076</v>
      </c>
      <c r="F57">
        <v>0.3498209688910196</v>
      </c>
      <c r="G57">
        <v>0.43621044753553873</v>
      </c>
      <c r="H57">
        <v>0.42990505199824847</v>
      </c>
      <c r="I57">
        <v>0.368064566523362</v>
      </c>
      <c r="J57">
        <v>0.4251561647726006</v>
      </c>
      <c r="K57">
        <v>0.47270373144453198</v>
      </c>
      <c r="L57">
        <v>0.36689968774864318</v>
      </c>
      <c r="M57">
        <v>0.39072839027630613</v>
      </c>
      <c r="N57">
        <v>0.43893847298228422</v>
      </c>
      <c r="O57">
        <v>0.37232724350640356</v>
      </c>
      <c r="AU57" t="s">
        <v>160</v>
      </c>
      <c r="AV57">
        <v>0.31725267859526485</v>
      </c>
      <c r="AW57">
        <v>0.30098484748895254</v>
      </c>
      <c r="AX57">
        <v>0.32095428521621261</v>
      </c>
      <c r="AY57">
        <v>0.22614146238584071</v>
      </c>
      <c r="AZ57">
        <v>0.21545893725832116</v>
      </c>
      <c r="BA57">
        <v>0.23408144310906354</v>
      </c>
      <c r="BB57">
        <v>0.10330380661054182</v>
      </c>
      <c r="BC57">
        <v>0.11181623039247385</v>
      </c>
      <c r="BD57">
        <v>0.12063321804851207</v>
      </c>
      <c r="BE57">
        <v>0.22982341465868716</v>
      </c>
      <c r="BF57">
        <v>0.24155405619819523</v>
      </c>
      <c r="BG57">
        <v>0.28617118379452078</v>
      </c>
      <c r="BI57" t="s">
        <v>140</v>
      </c>
      <c r="BJ57" t="s">
        <v>171</v>
      </c>
      <c r="BK57" t="s">
        <v>172</v>
      </c>
      <c r="BL57">
        <v>0.49649438896383785</v>
      </c>
    </row>
    <row r="58" spans="2:64" x14ac:dyDescent="0.45">
      <c r="B58" t="s">
        <v>161</v>
      </c>
      <c r="C58" t="s">
        <v>31</v>
      </c>
      <c r="D58">
        <v>0.39442454541208566</v>
      </c>
      <c r="E58">
        <v>0.42266772551393583</v>
      </c>
      <c r="F58">
        <v>0.37551650161897354</v>
      </c>
      <c r="G58">
        <v>0.37260797085381014</v>
      </c>
      <c r="H58">
        <v>0.41186532620895527</v>
      </c>
      <c r="I58">
        <v>0.36045413755919153</v>
      </c>
      <c r="J58">
        <v>0.44205694553937869</v>
      </c>
      <c r="K58">
        <v>0.45826073635437037</v>
      </c>
      <c r="L58">
        <v>0.38121807805280611</v>
      </c>
      <c r="M58">
        <v>0.40332961569809639</v>
      </c>
      <c r="N58">
        <v>0.38073724463937986</v>
      </c>
      <c r="O58">
        <v>0.3807594857617948</v>
      </c>
      <c r="AU58" t="s">
        <v>161</v>
      </c>
      <c r="AV58">
        <v>0.30715752181768136</v>
      </c>
      <c r="AW58">
        <v>0.31649772833987311</v>
      </c>
      <c r="AX58">
        <v>0.33539462930933395</v>
      </c>
      <c r="AY58">
        <v>0.22649171564791892</v>
      </c>
      <c r="AZ58">
        <v>0.24510916719860137</v>
      </c>
      <c r="BA58">
        <v>0.25165349858460301</v>
      </c>
      <c r="BB58">
        <v>0.12795358869160775</v>
      </c>
      <c r="BC58">
        <v>0.13114163302912851</v>
      </c>
      <c r="BD58">
        <v>0.12913195816056655</v>
      </c>
      <c r="BE58">
        <v>0.24714518559639986</v>
      </c>
      <c r="BF58">
        <v>0.27724786415184316</v>
      </c>
      <c r="BG58">
        <v>0.2798210867172306</v>
      </c>
      <c r="BI58" t="s">
        <v>141</v>
      </c>
      <c r="BJ58" t="s">
        <v>171</v>
      </c>
      <c r="BK58" t="s">
        <v>172</v>
      </c>
      <c r="BL58">
        <v>0.6217736394134834</v>
      </c>
    </row>
    <row r="59" spans="2:64" x14ac:dyDescent="0.45">
      <c r="B59" t="s">
        <v>162</v>
      </c>
      <c r="C59" t="s">
        <v>31</v>
      </c>
      <c r="D59">
        <v>0.3568165549974977</v>
      </c>
      <c r="E59">
        <v>0.39334156717944579</v>
      </c>
      <c r="F59">
        <v>0.35062766372994481</v>
      </c>
      <c r="G59">
        <v>0.35511402983587875</v>
      </c>
      <c r="H59">
        <v>0.42093538464533509</v>
      </c>
      <c r="I59">
        <v>0.34844397739208011</v>
      </c>
      <c r="J59">
        <v>0.38469584005607976</v>
      </c>
      <c r="K59">
        <v>0.49319414570436715</v>
      </c>
      <c r="L59">
        <v>0.37842510167170518</v>
      </c>
      <c r="M59">
        <v>0.38302758742886212</v>
      </c>
      <c r="N59">
        <v>0.42602152004287702</v>
      </c>
      <c r="O59">
        <v>0.34699594844597798</v>
      </c>
      <c r="AU59" t="s">
        <v>162</v>
      </c>
      <c r="AV59">
        <v>0.35397322866648684</v>
      </c>
      <c r="AW59">
        <v>0.35688647354042147</v>
      </c>
      <c r="AX59">
        <v>0.37763803947383845</v>
      </c>
      <c r="AY59">
        <v>0.25063804064404066</v>
      </c>
      <c r="AZ59">
        <v>0.20700608877148657</v>
      </c>
      <c r="BA59">
        <v>0.26765958924385075</v>
      </c>
      <c r="BB59">
        <v>0.12825820466637075</v>
      </c>
      <c r="BC59">
        <v>0.11707091403083993</v>
      </c>
      <c r="BD59">
        <v>0.13335801472580169</v>
      </c>
      <c r="BE59">
        <v>0.25295103398225172</v>
      </c>
      <c r="BF59">
        <v>0.25614690763266973</v>
      </c>
      <c r="BG59">
        <v>0.30746861692718597</v>
      </c>
      <c r="BI59" t="s">
        <v>142</v>
      </c>
      <c r="BJ59" t="s">
        <v>171</v>
      </c>
      <c r="BK59" t="s">
        <v>172</v>
      </c>
      <c r="BL59">
        <v>0.62218939342877311</v>
      </c>
    </row>
    <row r="60" spans="2:64" x14ac:dyDescent="0.45">
      <c r="B60" t="s">
        <v>163</v>
      </c>
      <c r="C60" t="s">
        <v>31</v>
      </c>
      <c r="D60">
        <v>0.36585978247787115</v>
      </c>
      <c r="E60">
        <v>0.38906063535726576</v>
      </c>
      <c r="F60">
        <v>0.36358889676900502</v>
      </c>
      <c r="G60">
        <v>0.35637587795661324</v>
      </c>
      <c r="H60">
        <v>0.41230131177335277</v>
      </c>
      <c r="I60">
        <v>0.35372052414464855</v>
      </c>
      <c r="J60">
        <v>0.41389235063996188</v>
      </c>
      <c r="K60">
        <v>0.46081632005366552</v>
      </c>
      <c r="L60">
        <v>0.39229715045772168</v>
      </c>
      <c r="M60">
        <v>0.40746434505727114</v>
      </c>
      <c r="N60">
        <v>0.42203435442211384</v>
      </c>
      <c r="O60">
        <v>0.35368977198303214</v>
      </c>
      <c r="AU60" t="s">
        <v>163</v>
      </c>
      <c r="AV60">
        <v>0.38524484362833572</v>
      </c>
      <c r="AW60">
        <v>0.37907564815227873</v>
      </c>
      <c r="AX60">
        <v>0.39674123806670736</v>
      </c>
      <c r="AY60">
        <v>0.2608317886074259</v>
      </c>
      <c r="AZ60">
        <v>0.23482783106191715</v>
      </c>
      <c r="BA60">
        <v>0.27533815217888324</v>
      </c>
      <c r="BB60">
        <v>0.12937590191930648</v>
      </c>
      <c r="BC60">
        <v>0.12263016628201806</v>
      </c>
      <c r="BD60">
        <v>0.13535949258060362</v>
      </c>
      <c r="BE60">
        <v>0.27807594517077705</v>
      </c>
      <c r="BF60">
        <v>0.27947012397185933</v>
      </c>
      <c r="BG60">
        <v>0.30324356147720927</v>
      </c>
      <c r="BI60" t="s">
        <v>143</v>
      </c>
      <c r="BJ60" t="s">
        <v>171</v>
      </c>
      <c r="BK60" t="s">
        <v>172</v>
      </c>
      <c r="BL60">
        <v>0.58618941826411997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9206B-AA2B-4163-8B15-2CDFB34D26FD}">
  <dimension ref="A9:S126"/>
  <sheetViews>
    <sheetView tabSelected="1" workbookViewId="0"/>
  </sheetViews>
  <sheetFormatPr defaultRowHeight="14.25" x14ac:dyDescent="0.45"/>
  <sheetData>
    <row r="9" spans="1:19" x14ac:dyDescent="0.45">
      <c r="C9" t="str">
        <f>IF(A11="x","DeActivated","~TFM_DINS-AT")</f>
        <v>~TFM_DINS-AT</v>
      </c>
      <c r="H9" t="str">
        <f>IF(A11="x","DeActivated","~TFM_DINS-AT")</f>
        <v>~TFM_DINS-AT</v>
      </c>
      <c r="L9" t="str">
        <f>IF(A11="x","DeActivated","~TFM_DINS-AT")</f>
        <v>~TFM_DINS-AT</v>
      </c>
      <c r="P9" t="str">
        <f>IF(A11="x","DeActivated","~TFM_INS-AT")</f>
        <v>~TFM_INS-AT</v>
      </c>
    </row>
    <row r="10" spans="1:19" x14ac:dyDescent="0.45">
      <c r="A10" t="s">
        <v>46</v>
      </c>
      <c r="C10" t="s">
        <v>173</v>
      </c>
      <c r="D10" t="s">
        <v>49</v>
      </c>
      <c r="E10" t="s">
        <v>48</v>
      </c>
      <c r="F10" t="s">
        <v>47</v>
      </c>
      <c r="H10" t="s">
        <v>47</v>
      </c>
      <c r="I10" t="s">
        <v>48</v>
      </c>
      <c r="J10" t="s">
        <v>49</v>
      </c>
      <c r="L10" t="s">
        <v>47</v>
      </c>
      <c r="M10" t="s">
        <v>48</v>
      </c>
      <c r="N10" t="s">
        <v>182</v>
      </c>
      <c r="P10" t="s">
        <v>183</v>
      </c>
      <c r="Q10" t="s">
        <v>48</v>
      </c>
      <c r="R10" t="s">
        <v>184</v>
      </c>
      <c r="S10" t="s">
        <v>185</v>
      </c>
    </row>
    <row r="11" spans="1:19" x14ac:dyDescent="0.45">
      <c r="C11">
        <v>8.2191780821917804E-2</v>
      </c>
      <c r="D11">
        <v>4.555602515973449E-2</v>
      </c>
      <c r="E11" t="s">
        <v>52</v>
      </c>
      <c r="F11" t="s">
        <v>174</v>
      </c>
      <c r="H11" t="s">
        <v>180</v>
      </c>
      <c r="I11" t="s">
        <v>52</v>
      </c>
      <c r="L11" t="s">
        <v>12</v>
      </c>
      <c r="M11" t="s">
        <v>52</v>
      </c>
      <c r="N11">
        <v>0.30034526717521914</v>
      </c>
      <c r="P11">
        <v>2020</v>
      </c>
      <c r="Q11" t="s">
        <v>37</v>
      </c>
      <c r="R11">
        <v>0.1928</v>
      </c>
      <c r="S11" t="s">
        <v>186</v>
      </c>
    </row>
    <row r="12" spans="1:19" x14ac:dyDescent="0.45">
      <c r="C12">
        <v>0.10273972602739725</v>
      </c>
      <c r="D12">
        <v>0.14672202471222937</v>
      </c>
      <c r="E12" t="s">
        <v>54</v>
      </c>
      <c r="F12" t="s">
        <v>174</v>
      </c>
      <c r="H12" t="s">
        <v>180</v>
      </c>
      <c r="I12" t="s">
        <v>54</v>
      </c>
      <c r="L12" t="s">
        <v>12</v>
      </c>
      <c r="M12" t="s">
        <v>54</v>
      </c>
      <c r="N12">
        <v>9.2653920732259198E-2</v>
      </c>
      <c r="P12">
        <v>2020</v>
      </c>
      <c r="Q12" t="s">
        <v>41</v>
      </c>
      <c r="R12">
        <v>0.17526666666666668</v>
      </c>
      <c r="S12" t="s">
        <v>186</v>
      </c>
    </row>
    <row r="13" spans="1:19" x14ac:dyDescent="0.45">
      <c r="C13">
        <v>6.1643835616438353E-2</v>
      </c>
      <c r="D13">
        <v>5.4297292593789633E-2</v>
      </c>
      <c r="E13" t="s">
        <v>55</v>
      </c>
      <c r="F13" t="s">
        <v>174</v>
      </c>
      <c r="H13" t="s">
        <v>180</v>
      </c>
      <c r="I13" t="s">
        <v>55</v>
      </c>
      <c r="L13" t="s">
        <v>12</v>
      </c>
      <c r="M13" t="s">
        <v>55</v>
      </c>
      <c r="N13">
        <v>8.6794467657741237E-2</v>
      </c>
      <c r="P13">
        <v>2020</v>
      </c>
      <c r="Q13" t="s">
        <v>43</v>
      </c>
      <c r="R13">
        <v>0.19456666666666667</v>
      </c>
      <c r="S13" t="s">
        <v>186</v>
      </c>
    </row>
    <row r="14" spans="1:19" x14ac:dyDescent="0.45">
      <c r="C14">
        <v>8.4018264840182655E-2</v>
      </c>
      <c r="D14">
        <v>4.6568381274395249E-2</v>
      </c>
      <c r="E14" t="s">
        <v>56</v>
      </c>
      <c r="F14" t="s">
        <v>174</v>
      </c>
      <c r="H14" t="s">
        <v>180</v>
      </c>
      <c r="I14" t="s">
        <v>56</v>
      </c>
      <c r="L14" t="s">
        <v>12</v>
      </c>
      <c r="M14" t="s">
        <v>56</v>
      </c>
      <c r="N14">
        <v>0.33200781381094258</v>
      </c>
      <c r="P14">
        <v>2020</v>
      </c>
      <c r="Q14" t="s">
        <v>45</v>
      </c>
      <c r="R14">
        <v>0.19109999999999996</v>
      </c>
      <c r="S14" t="s">
        <v>186</v>
      </c>
    </row>
    <row r="15" spans="1:19" x14ac:dyDescent="0.45">
      <c r="C15">
        <v>0.1050228310502283</v>
      </c>
      <c r="D15">
        <v>0.14998251415027888</v>
      </c>
      <c r="E15" t="s">
        <v>57</v>
      </c>
      <c r="F15" t="s">
        <v>174</v>
      </c>
      <c r="H15" t="s">
        <v>180</v>
      </c>
      <c r="I15" t="s">
        <v>57</v>
      </c>
      <c r="L15" t="s">
        <v>12</v>
      </c>
      <c r="M15" t="s">
        <v>57</v>
      </c>
      <c r="N15">
        <v>0.10909806879787531</v>
      </c>
      <c r="P15">
        <v>2021</v>
      </c>
      <c r="Q15" t="s">
        <v>37</v>
      </c>
      <c r="R15">
        <v>0.20653333333333335</v>
      </c>
      <c r="S15" t="s">
        <v>186</v>
      </c>
    </row>
    <row r="16" spans="1:19" x14ac:dyDescent="0.45">
      <c r="C16">
        <v>6.3013698630136991E-2</v>
      </c>
      <c r="D16">
        <v>5.5503899095873853E-2</v>
      </c>
      <c r="E16" t="s">
        <v>58</v>
      </c>
      <c r="F16" t="s">
        <v>174</v>
      </c>
      <c r="H16" t="s">
        <v>180</v>
      </c>
      <c r="I16" t="s">
        <v>58</v>
      </c>
      <c r="L16" t="s">
        <v>12</v>
      </c>
      <c r="M16" t="s">
        <v>58</v>
      </c>
      <c r="N16">
        <v>0.13826003426621325</v>
      </c>
      <c r="P16">
        <v>2021</v>
      </c>
      <c r="Q16" t="s">
        <v>41</v>
      </c>
      <c r="R16">
        <v>0.28960000000000002</v>
      </c>
      <c r="S16" t="s">
        <v>186</v>
      </c>
    </row>
    <row r="17" spans="3:19" x14ac:dyDescent="0.45">
      <c r="C17">
        <v>8.4018264840182655E-2</v>
      </c>
      <c r="D17">
        <v>4.6568381274395249E-2</v>
      </c>
      <c r="E17" t="s">
        <v>59</v>
      </c>
      <c r="F17" t="s">
        <v>174</v>
      </c>
      <c r="H17" t="s">
        <v>180</v>
      </c>
      <c r="I17" t="s">
        <v>59</v>
      </c>
      <c r="L17" t="s">
        <v>12</v>
      </c>
      <c r="M17" t="s">
        <v>59</v>
      </c>
      <c r="N17">
        <v>0.28464923621313631</v>
      </c>
      <c r="P17">
        <v>2021</v>
      </c>
      <c r="Q17" t="s">
        <v>43</v>
      </c>
      <c r="R17">
        <v>0.17736666666666667</v>
      </c>
      <c r="S17" t="s">
        <v>186</v>
      </c>
    </row>
    <row r="18" spans="3:19" x14ac:dyDescent="0.45">
      <c r="C18">
        <v>0.1050228310502283</v>
      </c>
      <c r="D18">
        <v>0.14998251415027888</v>
      </c>
      <c r="E18" t="s">
        <v>60</v>
      </c>
      <c r="F18" t="s">
        <v>174</v>
      </c>
      <c r="H18" t="s">
        <v>180</v>
      </c>
      <c r="I18" t="s">
        <v>60</v>
      </c>
      <c r="L18" t="s">
        <v>12</v>
      </c>
      <c r="M18" t="s">
        <v>60</v>
      </c>
      <c r="N18">
        <v>0.10454709145304419</v>
      </c>
      <c r="P18">
        <v>2021</v>
      </c>
      <c r="Q18" t="s">
        <v>45</v>
      </c>
      <c r="R18">
        <v>0.18889999999999998</v>
      </c>
      <c r="S18" t="s">
        <v>186</v>
      </c>
    </row>
    <row r="19" spans="3:19" x14ac:dyDescent="0.45">
      <c r="C19">
        <v>6.3013698630136991E-2</v>
      </c>
      <c r="D19">
        <v>5.5503899095873853E-2</v>
      </c>
      <c r="E19" t="s">
        <v>61</v>
      </c>
      <c r="F19" t="s">
        <v>174</v>
      </c>
      <c r="H19" t="s">
        <v>180</v>
      </c>
      <c r="I19" t="s">
        <v>61</v>
      </c>
      <c r="L19" t="s">
        <v>12</v>
      </c>
      <c r="M19" t="s">
        <v>61</v>
      </c>
      <c r="N19">
        <v>0.12874466516617544</v>
      </c>
      <c r="P19">
        <v>2022</v>
      </c>
      <c r="Q19" t="s">
        <v>37</v>
      </c>
      <c r="R19">
        <v>0.23839999999999997</v>
      </c>
      <c r="S19" t="s">
        <v>186</v>
      </c>
    </row>
    <row r="20" spans="3:19" x14ac:dyDescent="0.45">
      <c r="C20">
        <v>8.3105022831050229E-2</v>
      </c>
      <c r="D20">
        <v>4.6062203217064869E-2</v>
      </c>
      <c r="E20" t="s">
        <v>62</v>
      </c>
      <c r="F20" t="s">
        <v>174</v>
      </c>
      <c r="H20" t="s">
        <v>180</v>
      </c>
      <c r="I20" t="s">
        <v>62</v>
      </c>
      <c r="L20" t="s">
        <v>12</v>
      </c>
      <c r="M20" t="s">
        <v>62</v>
      </c>
      <c r="N20">
        <v>0.3044034693727764</v>
      </c>
      <c r="P20">
        <v>2022</v>
      </c>
      <c r="Q20" t="s">
        <v>41</v>
      </c>
      <c r="R20">
        <v>0.23150000000000001</v>
      </c>
      <c r="S20" t="s">
        <v>186</v>
      </c>
    </row>
    <row r="21" spans="3:19" x14ac:dyDescent="0.45">
      <c r="C21">
        <v>0.10388127853881278</v>
      </c>
      <c r="D21">
        <v>0.14835226943125412</v>
      </c>
      <c r="E21" t="s">
        <v>63</v>
      </c>
      <c r="F21" t="s">
        <v>174</v>
      </c>
      <c r="H21" t="s">
        <v>180</v>
      </c>
      <c r="I21" t="s">
        <v>63</v>
      </c>
      <c r="L21" t="s">
        <v>12</v>
      </c>
      <c r="M21" t="s">
        <v>63</v>
      </c>
      <c r="N21">
        <v>5.5767264172749798E-2</v>
      </c>
      <c r="P21">
        <v>2022</v>
      </c>
      <c r="Q21" t="s">
        <v>43</v>
      </c>
      <c r="R21">
        <v>0.12036666666666668</v>
      </c>
      <c r="S21" t="s">
        <v>186</v>
      </c>
    </row>
    <row r="22" spans="3:19" x14ac:dyDescent="0.45">
      <c r="C22">
        <v>6.2328767123287672E-2</v>
      </c>
      <c r="D22">
        <v>5.4900595844831736E-2</v>
      </c>
      <c r="E22" t="s">
        <v>64</v>
      </c>
      <c r="F22" t="s">
        <v>174</v>
      </c>
      <c r="H22" t="s">
        <v>180</v>
      </c>
      <c r="I22" t="s">
        <v>64</v>
      </c>
      <c r="L22" t="s">
        <v>12</v>
      </c>
      <c r="M22" t="s">
        <v>64</v>
      </c>
      <c r="N22">
        <v>9.1635802986375303E-2</v>
      </c>
      <c r="P22">
        <v>2022</v>
      </c>
      <c r="Q22" t="s">
        <v>45</v>
      </c>
      <c r="R22">
        <v>0.13536666666666666</v>
      </c>
      <c r="S22" t="s">
        <v>186</v>
      </c>
    </row>
    <row r="23" spans="3:19" x14ac:dyDescent="0.45">
      <c r="H23" t="s">
        <v>181</v>
      </c>
      <c r="I23" t="s">
        <v>52</v>
      </c>
      <c r="P23">
        <v>2025</v>
      </c>
      <c r="Q23" t="s">
        <v>37</v>
      </c>
      <c r="R23">
        <v>0.32003333333333334</v>
      </c>
      <c r="S23" t="s">
        <v>186</v>
      </c>
    </row>
    <row r="24" spans="3:19" x14ac:dyDescent="0.45">
      <c r="H24" t="s">
        <v>181</v>
      </c>
      <c r="I24" t="s">
        <v>54</v>
      </c>
      <c r="P24">
        <v>2025</v>
      </c>
      <c r="Q24" t="s">
        <v>41</v>
      </c>
      <c r="R24">
        <v>0.32726666666666665</v>
      </c>
      <c r="S24" t="s">
        <v>186</v>
      </c>
    </row>
    <row r="25" spans="3:19" x14ac:dyDescent="0.45">
      <c r="H25" t="s">
        <v>181</v>
      </c>
      <c r="I25" t="s">
        <v>55</v>
      </c>
      <c r="P25">
        <v>2025</v>
      </c>
      <c r="Q25" t="s">
        <v>43</v>
      </c>
      <c r="R25">
        <v>0.2446666666666667</v>
      </c>
      <c r="S25" t="s">
        <v>186</v>
      </c>
    </row>
    <row r="26" spans="3:19" x14ac:dyDescent="0.45">
      <c r="H26" t="s">
        <v>181</v>
      </c>
      <c r="I26" t="s">
        <v>56</v>
      </c>
      <c r="P26">
        <v>2025</v>
      </c>
      <c r="Q26" t="s">
        <v>45</v>
      </c>
      <c r="R26">
        <v>0.23916666666666667</v>
      </c>
      <c r="S26" t="s">
        <v>186</v>
      </c>
    </row>
    <row r="27" spans="3:19" x14ac:dyDescent="0.45">
      <c r="H27" t="s">
        <v>181</v>
      </c>
      <c r="I27" t="s">
        <v>57</v>
      </c>
      <c r="P27">
        <v>2026</v>
      </c>
      <c r="Q27" t="s">
        <v>37</v>
      </c>
      <c r="R27">
        <v>0.34260000000000002</v>
      </c>
      <c r="S27" t="s">
        <v>186</v>
      </c>
    </row>
    <row r="28" spans="3:19" x14ac:dyDescent="0.45">
      <c r="H28" t="s">
        <v>181</v>
      </c>
      <c r="I28" t="s">
        <v>58</v>
      </c>
      <c r="P28">
        <v>2026</v>
      </c>
      <c r="Q28" t="s">
        <v>41</v>
      </c>
      <c r="R28">
        <v>0.37166666666666665</v>
      </c>
      <c r="S28" t="s">
        <v>186</v>
      </c>
    </row>
    <row r="29" spans="3:19" x14ac:dyDescent="0.45">
      <c r="H29" t="s">
        <v>181</v>
      </c>
      <c r="I29" t="s">
        <v>59</v>
      </c>
      <c r="P29">
        <v>2026</v>
      </c>
      <c r="Q29" t="s">
        <v>43</v>
      </c>
      <c r="R29">
        <v>0.25059999999999999</v>
      </c>
      <c r="S29" t="s">
        <v>186</v>
      </c>
    </row>
    <row r="30" spans="3:19" x14ac:dyDescent="0.45">
      <c r="H30" t="s">
        <v>181</v>
      </c>
      <c r="I30" t="s">
        <v>60</v>
      </c>
      <c r="P30">
        <v>2026</v>
      </c>
      <c r="Q30" t="s">
        <v>45</v>
      </c>
      <c r="R30">
        <v>0.25303333333333333</v>
      </c>
      <c r="S30" t="s">
        <v>186</v>
      </c>
    </row>
    <row r="31" spans="3:19" x14ac:dyDescent="0.45">
      <c r="H31" t="s">
        <v>181</v>
      </c>
      <c r="I31" t="s">
        <v>61</v>
      </c>
      <c r="P31">
        <v>2027</v>
      </c>
      <c r="Q31" t="s">
        <v>37</v>
      </c>
      <c r="R31">
        <v>0.29649999999999999</v>
      </c>
      <c r="S31" t="s">
        <v>186</v>
      </c>
    </row>
    <row r="32" spans="3:19" x14ac:dyDescent="0.45">
      <c r="H32" t="s">
        <v>181</v>
      </c>
      <c r="I32" t="s">
        <v>62</v>
      </c>
      <c r="P32">
        <v>2027</v>
      </c>
      <c r="Q32" t="s">
        <v>41</v>
      </c>
      <c r="R32">
        <v>0.30259999999999998</v>
      </c>
      <c r="S32" t="s">
        <v>186</v>
      </c>
    </row>
    <row r="33" spans="8:19" x14ac:dyDescent="0.45">
      <c r="H33" t="s">
        <v>181</v>
      </c>
      <c r="I33" t="s">
        <v>63</v>
      </c>
      <c r="P33">
        <v>2027</v>
      </c>
      <c r="Q33" t="s">
        <v>43</v>
      </c>
      <c r="R33">
        <v>0.18333333333333335</v>
      </c>
      <c r="S33" t="s">
        <v>186</v>
      </c>
    </row>
    <row r="34" spans="8:19" x14ac:dyDescent="0.45">
      <c r="H34" t="s">
        <v>181</v>
      </c>
      <c r="I34" t="s">
        <v>64</v>
      </c>
      <c r="P34">
        <v>2027</v>
      </c>
      <c r="Q34" t="s">
        <v>45</v>
      </c>
      <c r="R34">
        <v>0.2286</v>
      </c>
      <c r="S34" t="s">
        <v>186</v>
      </c>
    </row>
    <row r="35" spans="8:19" x14ac:dyDescent="0.45">
      <c r="P35">
        <v>2028</v>
      </c>
      <c r="Q35" t="s">
        <v>37</v>
      </c>
      <c r="R35">
        <v>0.28813333333333335</v>
      </c>
      <c r="S35" t="s">
        <v>186</v>
      </c>
    </row>
    <row r="36" spans="8:19" x14ac:dyDescent="0.45">
      <c r="P36">
        <v>2028</v>
      </c>
      <c r="Q36" t="s">
        <v>41</v>
      </c>
      <c r="R36">
        <v>0.32773333333333338</v>
      </c>
      <c r="S36" t="s">
        <v>186</v>
      </c>
    </row>
    <row r="37" spans="8:19" x14ac:dyDescent="0.45">
      <c r="P37">
        <v>2028</v>
      </c>
      <c r="Q37" t="s">
        <v>43</v>
      </c>
      <c r="R37">
        <v>0.18840000000000001</v>
      </c>
      <c r="S37" t="s">
        <v>186</v>
      </c>
    </row>
    <row r="38" spans="8:19" x14ac:dyDescent="0.45">
      <c r="P38">
        <v>2028</v>
      </c>
      <c r="Q38" t="s">
        <v>45</v>
      </c>
      <c r="R38">
        <v>0.20659999999999998</v>
      </c>
      <c r="S38" t="s">
        <v>186</v>
      </c>
    </row>
    <row r="39" spans="8:19" x14ac:dyDescent="0.45">
      <c r="P39">
        <v>2029</v>
      </c>
      <c r="Q39" t="s">
        <v>37</v>
      </c>
      <c r="R39">
        <v>0.30890000000000001</v>
      </c>
      <c r="S39" t="s">
        <v>186</v>
      </c>
    </row>
    <row r="40" spans="8:19" x14ac:dyDescent="0.45">
      <c r="P40">
        <v>2029</v>
      </c>
      <c r="Q40" t="s">
        <v>41</v>
      </c>
      <c r="R40">
        <v>0.3382</v>
      </c>
      <c r="S40" t="s">
        <v>186</v>
      </c>
    </row>
    <row r="41" spans="8:19" x14ac:dyDescent="0.45">
      <c r="P41">
        <v>2029</v>
      </c>
      <c r="Q41" t="s">
        <v>43</v>
      </c>
      <c r="R41">
        <v>0.19136666666666668</v>
      </c>
      <c r="S41" t="s">
        <v>186</v>
      </c>
    </row>
    <row r="42" spans="8:19" x14ac:dyDescent="0.45">
      <c r="P42">
        <v>2029</v>
      </c>
      <c r="Q42" t="s">
        <v>45</v>
      </c>
      <c r="R42">
        <v>0.29533333333333339</v>
      </c>
      <c r="S42" t="s">
        <v>186</v>
      </c>
    </row>
    <row r="43" spans="8:19" x14ac:dyDescent="0.45">
      <c r="P43">
        <v>2030</v>
      </c>
      <c r="Q43" t="s">
        <v>37</v>
      </c>
      <c r="R43">
        <v>0.31983333333333336</v>
      </c>
      <c r="S43" t="s">
        <v>186</v>
      </c>
    </row>
    <row r="44" spans="8:19" x14ac:dyDescent="0.45">
      <c r="P44">
        <v>2030</v>
      </c>
      <c r="Q44" t="s">
        <v>41</v>
      </c>
      <c r="R44">
        <v>0.34233333333333338</v>
      </c>
      <c r="S44" t="s">
        <v>186</v>
      </c>
    </row>
    <row r="45" spans="8:19" x14ac:dyDescent="0.45">
      <c r="P45">
        <v>2030</v>
      </c>
      <c r="Q45" t="s">
        <v>43</v>
      </c>
      <c r="R45">
        <v>0.20220000000000002</v>
      </c>
      <c r="S45" t="s">
        <v>186</v>
      </c>
    </row>
    <row r="46" spans="8:19" x14ac:dyDescent="0.45">
      <c r="P46">
        <v>2030</v>
      </c>
      <c r="Q46" t="s">
        <v>45</v>
      </c>
      <c r="R46">
        <v>0.22879999999999998</v>
      </c>
      <c r="S46" t="s">
        <v>186</v>
      </c>
    </row>
    <row r="47" spans="8:19" x14ac:dyDescent="0.45">
      <c r="P47">
        <v>2031</v>
      </c>
      <c r="Q47" t="s">
        <v>37</v>
      </c>
      <c r="R47">
        <v>0.30259999999999998</v>
      </c>
      <c r="S47" t="s">
        <v>186</v>
      </c>
    </row>
    <row r="48" spans="8:19" x14ac:dyDescent="0.45">
      <c r="P48">
        <v>2031</v>
      </c>
      <c r="Q48" t="s">
        <v>41</v>
      </c>
      <c r="R48">
        <v>0.30776666666666669</v>
      </c>
      <c r="S48" t="s">
        <v>186</v>
      </c>
    </row>
    <row r="49" spans="16:19" x14ac:dyDescent="0.45">
      <c r="P49">
        <v>2031</v>
      </c>
      <c r="Q49" t="s">
        <v>43</v>
      </c>
      <c r="R49">
        <v>0.19779999999999998</v>
      </c>
      <c r="S49" t="s">
        <v>186</v>
      </c>
    </row>
    <row r="50" spans="16:19" x14ac:dyDescent="0.45">
      <c r="P50">
        <v>2031</v>
      </c>
      <c r="Q50" t="s">
        <v>45</v>
      </c>
      <c r="R50">
        <v>0.24779999999999999</v>
      </c>
      <c r="S50" t="s">
        <v>186</v>
      </c>
    </row>
    <row r="51" spans="16:19" x14ac:dyDescent="0.45">
      <c r="P51">
        <v>2032</v>
      </c>
      <c r="Q51" t="s">
        <v>37</v>
      </c>
      <c r="R51">
        <v>0.3167666666666667</v>
      </c>
      <c r="S51" t="s">
        <v>186</v>
      </c>
    </row>
    <row r="52" spans="16:19" x14ac:dyDescent="0.45">
      <c r="P52">
        <v>2032</v>
      </c>
      <c r="Q52" t="s">
        <v>41</v>
      </c>
      <c r="R52">
        <v>0.3227666666666667</v>
      </c>
      <c r="S52" t="s">
        <v>186</v>
      </c>
    </row>
    <row r="53" spans="16:19" x14ac:dyDescent="0.45">
      <c r="P53">
        <v>2032</v>
      </c>
      <c r="Q53" t="s">
        <v>43</v>
      </c>
      <c r="R53">
        <v>0.22673333333333334</v>
      </c>
      <c r="S53" t="s">
        <v>186</v>
      </c>
    </row>
    <row r="54" spans="16:19" x14ac:dyDescent="0.45">
      <c r="P54">
        <v>2032</v>
      </c>
      <c r="Q54" t="s">
        <v>45</v>
      </c>
      <c r="R54">
        <v>0.22766666666666668</v>
      </c>
      <c r="S54" t="s">
        <v>186</v>
      </c>
    </row>
    <row r="55" spans="16:19" x14ac:dyDescent="0.45">
      <c r="P55">
        <v>2033</v>
      </c>
      <c r="Q55" t="s">
        <v>37</v>
      </c>
      <c r="R55">
        <v>0.29386666666666666</v>
      </c>
      <c r="S55" t="s">
        <v>186</v>
      </c>
    </row>
    <row r="56" spans="16:19" x14ac:dyDescent="0.45">
      <c r="P56">
        <v>2033</v>
      </c>
      <c r="Q56" t="s">
        <v>41</v>
      </c>
      <c r="R56">
        <v>0.35000000000000003</v>
      </c>
      <c r="S56" t="s">
        <v>186</v>
      </c>
    </row>
    <row r="57" spans="16:19" x14ac:dyDescent="0.45">
      <c r="P57">
        <v>2033</v>
      </c>
      <c r="Q57" t="s">
        <v>43</v>
      </c>
      <c r="R57">
        <v>0.18733333333333335</v>
      </c>
      <c r="S57" t="s">
        <v>186</v>
      </c>
    </row>
    <row r="58" spans="16:19" x14ac:dyDescent="0.45">
      <c r="P58">
        <v>2033</v>
      </c>
      <c r="Q58" t="s">
        <v>45</v>
      </c>
      <c r="R58">
        <v>0.20950000000000002</v>
      </c>
      <c r="S58" t="s">
        <v>186</v>
      </c>
    </row>
    <row r="59" spans="16:19" x14ac:dyDescent="0.45">
      <c r="P59">
        <v>2034</v>
      </c>
      <c r="Q59" t="s">
        <v>37</v>
      </c>
      <c r="R59">
        <v>0.29860000000000003</v>
      </c>
      <c r="S59" t="s">
        <v>186</v>
      </c>
    </row>
    <row r="60" spans="16:19" x14ac:dyDescent="0.45">
      <c r="P60">
        <v>2034</v>
      </c>
      <c r="Q60" t="s">
        <v>41</v>
      </c>
      <c r="R60">
        <v>0.33856666666666668</v>
      </c>
      <c r="S60" t="s">
        <v>186</v>
      </c>
    </row>
    <row r="61" spans="16:19" x14ac:dyDescent="0.45">
      <c r="P61">
        <v>2034</v>
      </c>
      <c r="Q61" t="s">
        <v>43</v>
      </c>
      <c r="R61">
        <v>0.20516666666666664</v>
      </c>
      <c r="S61" t="s">
        <v>186</v>
      </c>
    </row>
    <row r="62" spans="16:19" x14ac:dyDescent="0.45">
      <c r="P62">
        <v>2034</v>
      </c>
      <c r="Q62" t="s">
        <v>45</v>
      </c>
      <c r="R62">
        <v>0.21740000000000001</v>
      </c>
      <c r="S62" t="s">
        <v>186</v>
      </c>
    </row>
    <row r="63" spans="16:19" x14ac:dyDescent="0.45">
      <c r="P63">
        <v>2035</v>
      </c>
      <c r="Q63" t="s">
        <v>37</v>
      </c>
      <c r="R63">
        <v>0.30656666666666665</v>
      </c>
      <c r="S63" t="s">
        <v>186</v>
      </c>
    </row>
    <row r="64" spans="16:19" x14ac:dyDescent="0.45">
      <c r="P64">
        <v>2035</v>
      </c>
      <c r="Q64" t="s">
        <v>41</v>
      </c>
      <c r="R64">
        <v>0.32976666666666665</v>
      </c>
      <c r="S64" t="s">
        <v>186</v>
      </c>
    </row>
    <row r="65" spans="16:19" x14ac:dyDescent="0.45">
      <c r="P65">
        <v>2035</v>
      </c>
      <c r="Q65" t="s">
        <v>43</v>
      </c>
      <c r="R65">
        <v>0.20076666666666665</v>
      </c>
      <c r="S65" t="s">
        <v>186</v>
      </c>
    </row>
    <row r="66" spans="16:19" x14ac:dyDescent="0.45">
      <c r="P66">
        <v>2035</v>
      </c>
      <c r="Q66" t="s">
        <v>45</v>
      </c>
      <c r="R66">
        <v>0.19193333333333332</v>
      </c>
      <c r="S66" t="s">
        <v>186</v>
      </c>
    </row>
    <row r="67" spans="16:19" x14ac:dyDescent="0.45">
      <c r="P67">
        <v>2036</v>
      </c>
      <c r="Q67" t="s">
        <v>37</v>
      </c>
      <c r="R67">
        <v>0.37280000000000002</v>
      </c>
      <c r="S67" t="s">
        <v>186</v>
      </c>
    </row>
    <row r="68" spans="16:19" x14ac:dyDescent="0.45">
      <c r="P68">
        <v>2036</v>
      </c>
      <c r="Q68" t="s">
        <v>41</v>
      </c>
      <c r="R68">
        <v>0.38203333333333328</v>
      </c>
      <c r="S68" t="s">
        <v>186</v>
      </c>
    </row>
    <row r="69" spans="16:19" x14ac:dyDescent="0.45">
      <c r="P69">
        <v>2036</v>
      </c>
      <c r="Q69" t="s">
        <v>43</v>
      </c>
      <c r="R69">
        <v>0.19276666666666667</v>
      </c>
      <c r="S69" t="s">
        <v>186</v>
      </c>
    </row>
    <row r="70" spans="16:19" x14ac:dyDescent="0.45">
      <c r="P70">
        <v>2036</v>
      </c>
      <c r="Q70" t="s">
        <v>45</v>
      </c>
      <c r="R70">
        <v>0.27233333333333337</v>
      </c>
      <c r="S70" t="s">
        <v>186</v>
      </c>
    </row>
    <row r="71" spans="16:19" x14ac:dyDescent="0.45">
      <c r="P71">
        <v>2037</v>
      </c>
      <c r="Q71" t="s">
        <v>37</v>
      </c>
      <c r="R71">
        <v>0.30116666666666664</v>
      </c>
      <c r="S71" t="s">
        <v>186</v>
      </c>
    </row>
    <row r="72" spans="16:19" x14ac:dyDescent="0.45">
      <c r="P72">
        <v>2037</v>
      </c>
      <c r="Q72" t="s">
        <v>41</v>
      </c>
      <c r="R72">
        <v>0.34026666666666666</v>
      </c>
      <c r="S72" t="s">
        <v>186</v>
      </c>
    </row>
    <row r="73" spans="16:19" x14ac:dyDescent="0.45">
      <c r="P73">
        <v>2037</v>
      </c>
      <c r="Q73" t="s">
        <v>43</v>
      </c>
      <c r="R73">
        <v>0.19603333333333331</v>
      </c>
      <c r="S73" t="s">
        <v>186</v>
      </c>
    </row>
    <row r="74" spans="16:19" x14ac:dyDescent="0.45">
      <c r="P74">
        <v>2037</v>
      </c>
      <c r="Q74" t="s">
        <v>45</v>
      </c>
      <c r="R74">
        <v>0.22156666666666669</v>
      </c>
      <c r="S74" t="s">
        <v>186</v>
      </c>
    </row>
    <row r="75" spans="16:19" x14ac:dyDescent="0.45">
      <c r="P75">
        <v>2038</v>
      </c>
      <c r="Q75" t="s">
        <v>37</v>
      </c>
      <c r="R75">
        <v>0.3450333333333333</v>
      </c>
      <c r="S75" t="s">
        <v>186</v>
      </c>
    </row>
    <row r="76" spans="16:19" x14ac:dyDescent="0.45">
      <c r="P76">
        <v>2038</v>
      </c>
      <c r="Q76" t="s">
        <v>41</v>
      </c>
      <c r="R76">
        <v>0.35016666666666668</v>
      </c>
      <c r="S76" t="s">
        <v>186</v>
      </c>
    </row>
    <row r="77" spans="16:19" x14ac:dyDescent="0.45">
      <c r="P77">
        <v>2038</v>
      </c>
      <c r="Q77" t="s">
        <v>43</v>
      </c>
      <c r="R77">
        <v>0.21280000000000002</v>
      </c>
      <c r="S77" t="s">
        <v>186</v>
      </c>
    </row>
    <row r="78" spans="16:19" x14ac:dyDescent="0.45">
      <c r="P78">
        <v>2038</v>
      </c>
      <c r="Q78" t="s">
        <v>45</v>
      </c>
      <c r="R78">
        <v>0.23713333333333333</v>
      </c>
      <c r="S78" t="s">
        <v>186</v>
      </c>
    </row>
    <row r="79" spans="16:19" x14ac:dyDescent="0.45">
      <c r="P79">
        <v>2039</v>
      </c>
      <c r="Q79" t="s">
        <v>37</v>
      </c>
      <c r="R79">
        <v>0.32426666666666665</v>
      </c>
      <c r="S79" t="s">
        <v>186</v>
      </c>
    </row>
    <row r="80" spans="16:19" x14ac:dyDescent="0.45">
      <c r="P80">
        <v>2039</v>
      </c>
      <c r="Q80" t="s">
        <v>41</v>
      </c>
      <c r="R80">
        <v>0.38946666666666668</v>
      </c>
      <c r="S80" t="s">
        <v>186</v>
      </c>
    </row>
    <row r="81" spans="16:19" x14ac:dyDescent="0.45">
      <c r="P81">
        <v>2039</v>
      </c>
      <c r="Q81" t="s">
        <v>43</v>
      </c>
      <c r="R81">
        <v>0.21703333333333333</v>
      </c>
      <c r="S81" t="s">
        <v>186</v>
      </c>
    </row>
    <row r="82" spans="16:19" x14ac:dyDescent="0.45">
      <c r="P82">
        <v>2039</v>
      </c>
      <c r="Q82" t="s">
        <v>45</v>
      </c>
      <c r="R82">
        <v>0.19233333333333333</v>
      </c>
      <c r="S82" t="s">
        <v>186</v>
      </c>
    </row>
    <row r="83" spans="16:19" x14ac:dyDescent="0.45">
      <c r="P83">
        <v>2040</v>
      </c>
      <c r="Q83" t="s">
        <v>37</v>
      </c>
      <c r="R83">
        <v>0.30743333333333328</v>
      </c>
      <c r="S83" t="s">
        <v>186</v>
      </c>
    </row>
    <row r="84" spans="16:19" x14ac:dyDescent="0.45">
      <c r="P84">
        <v>2040</v>
      </c>
      <c r="Q84" t="s">
        <v>41</v>
      </c>
      <c r="R84">
        <v>0.3323666666666667</v>
      </c>
      <c r="S84" t="s">
        <v>186</v>
      </c>
    </row>
    <row r="85" spans="16:19" x14ac:dyDescent="0.45">
      <c r="P85">
        <v>2040</v>
      </c>
      <c r="Q85" t="s">
        <v>43</v>
      </c>
      <c r="R85">
        <v>0.23306666666666667</v>
      </c>
      <c r="S85" t="s">
        <v>186</v>
      </c>
    </row>
    <row r="86" spans="16:19" x14ac:dyDescent="0.45">
      <c r="P86">
        <v>2040</v>
      </c>
      <c r="Q86" t="s">
        <v>45</v>
      </c>
      <c r="R86">
        <v>0.23723333333333332</v>
      </c>
      <c r="S86" t="s">
        <v>186</v>
      </c>
    </row>
    <row r="87" spans="16:19" x14ac:dyDescent="0.45">
      <c r="P87">
        <v>2041</v>
      </c>
      <c r="Q87" t="s">
        <v>37</v>
      </c>
      <c r="R87">
        <v>0.31993333333333335</v>
      </c>
      <c r="S87" t="s">
        <v>186</v>
      </c>
    </row>
    <row r="88" spans="16:19" x14ac:dyDescent="0.45">
      <c r="P88">
        <v>2041</v>
      </c>
      <c r="Q88" t="s">
        <v>41</v>
      </c>
      <c r="R88">
        <v>0.3620666666666667</v>
      </c>
      <c r="S88" t="s">
        <v>186</v>
      </c>
    </row>
    <row r="89" spans="16:19" x14ac:dyDescent="0.45">
      <c r="P89">
        <v>2041</v>
      </c>
      <c r="Q89" t="s">
        <v>43</v>
      </c>
      <c r="R89">
        <v>0.2069</v>
      </c>
      <c r="S89" t="s">
        <v>186</v>
      </c>
    </row>
    <row r="90" spans="16:19" x14ac:dyDescent="0.45">
      <c r="P90">
        <v>2041</v>
      </c>
      <c r="Q90" t="s">
        <v>45</v>
      </c>
      <c r="R90">
        <v>0.23903333333333335</v>
      </c>
      <c r="S90" t="s">
        <v>186</v>
      </c>
    </row>
    <row r="91" spans="16:19" x14ac:dyDescent="0.45">
      <c r="P91">
        <v>2042</v>
      </c>
      <c r="Q91" t="s">
        <v>37</v>
      </c>
      <c r="R91">
        <v>0.31433333333333335</v>
      </c>
      <c r="S91" t="s">
        <v>186</v>
      </c>
    </row>
    <row r="92" spans="16:19" x14ac:dyDescent="0.45">
      <c r="P92">
        <v>2042</v>
      </c>
      <c r="Q92" t="s">
        <v>41</v>
      </c>
      <c r="R92">
        <v>0.31546666666666673</v>
      </c>
      <c r="S92" t="s">
        <v>186</v>
      </c>
    </row>
    <row r="93" spans="16:19" x14ac:dyDescent="0.45">
      <c r="P93">
        <v>2042</v>
      </c>
      <c r="Q93" t="s">
        <v>43</v>
      </c>
      <c r="R93">
        <v>0.20426666666666668</v>
      </c>
      <c r="S93" t="s">
        <v>186</v>
      </c>
    </row>
    <row r="94" spans="16:19" x14ac:dyDescent="0.45">
      <c r="P94">
        <v>2042</v>
      </c>
      <c r="Q94" t="s">
        <v>45</v>
      </c>
      <c r="R94">
        <v>0.21929999999999997</v>
      </c>
      <c r="S94" t="s">
        <v>186</v>
      </c>
    </row>
    <row r="95" spans="16:19" x14ac:dyDescent="0.45">
      <c r="P95">
        <v>2043</v>
      </c>
      <c r="Q95" t="s">
        <v>37</v>
      </c>
      <c r="R95">
        <v>0.28986666666666666</v>
      </c>
      <c r="S95" t="s">
        <v>186</v>
      </c>
    </row>
    <row r="96" spans="16:19" x14ac:dyDescent="0.45">
      <c r="P96">
        <v>2043</v>
      </c>
      <c r="Q96" t="s">
        <v>41</v>
      </c>
      <c r="R96">
        <v>0.35949999999999999</v>
      </c>
      <c r="S96" t="s">
        <v>186</v>
      </c>
    </row>
    <row r="97" spans="16:19" x14ac:dyDescent="0.45">
      <c r="P97">
        <v>2043</v>
      </c>
      <c r="Q97" t="s">
        <v>43</v>
      </c>
      <c r="R97">
        <v>0.20263333333333333</v>
      </c>
      <c r="S97" t="s">
        <v>186</v>
      </c>
    </row>
    <row r="98" spans="16:19" x14ac:dyDescent="0.45">
      <c r="P98">
        <v>2043</v>
      </c>
      <c r="Q98" t="s">
        <v>45</v>
      </c>
      <c r="R98">
        <v>0.2215</v>
      </c>
      <c r="S98" t="s">
        <v>186</v>
      </c>
    </row>
    <row r="99" spans="16:19" x14ac:dyDescent="0.45">
      <c r="P99">
        <v>2044</v>
      </c>
      <c r="Q99" t="s">
        <v>37</v>
      </c>
      <c r="R99">
        <v>0.29596666666666666</v>
      </c>
      <c r="S99" t="s">
        <v>186</v>
      </c>
    </row>
    <row r="100" spans="16:19" x14ac:dyDescent="0.45">
      <c r="P100">
        <v>2044</v>
      </c>
      <c r="Q100" t="s">
        <v>41</v>
      </c>
      <c r="R100">
        <v>0.31086666666666668</v>
      </c>
      <c r="S100" t="s">
        <v>186</v>
      </c>
    </row>
    <row r="101" spans="16:19" x14ac:dyDescent="0.45">
      <c r="P101">
        <v>2044</v>
      </c>
      <c r="Q101" t="s">
        <v>43</v>
      </c>
      <c r="R101">
        <v>0.13103333333333333</v>
      </c>
      <c r="S101" t="s">
        <v>186</v>
      </c>
    </row>
    <row r="102" spans="16:19" x14ac:dyDescent="0.45">
      <c r="P102">
        <v>2044</v>
      </c>
      <c r="Q102" t="s">
        <v>45</v>
      </c>
      <c r="R102">
        <v>0.23450000000000001</v>
      </c>
      <c r="S102" t="s">
        <v>186</v>
      </c>
    </row>
    <row r="103" spans="16:19" x14ac:dyDescent="0.45">
      <c r="P103">
        <v>2045</v>
      </c>
      <c r="Q103" t="s">
        <v>37</v>
      </c>
      <c r="R103">
        <v>0.28609999999999997</v>
      </c>
      <c r="S103" t="s">
        <v>186</v>
      </c>
    </row>
    <row r="104" spans="16:19" x14ac:dyDescent="0.45">
      <c r="P104">
        <v>2045</v>
      </c>
      <c r="Q104" t="s">
        <v>41</v>
      </c>
      <c r="R104">
        <v>0.32653333333333329</v>
      </c>
      <c r="S104" t="s">
        <v>186</v>
      </c>
    </row>
    <row r="105" spans="16:19" x14ac:dyDescent="0.45">
      <c r="P105">
        <v>2045</v>
      </c>
      <c r="Q105" t="s">
        <v>43</v>
      </c>
      <c r="R105">
        <v>0.19526666666666667</v>
      </c>
      <c r="S105" t="s">
        <v>186</v>
      </c>
    </row>
    <row r="106" spans="16:19" x14ac:dyDescent="0.45">
      <c r="P106">
        <v>2045</v>
      </c>
      <c r="Q106" t="s">
        <v>45</v>
      </c>
      <c r="R106">
        <v>0.17756666666666665</v>
      </c>
      <c r="S106" t="s">
        <v>186</v>
      </c>
    </row>
    <row r="107" spans="16:19" x14ac:dyDescent="0.45">
      <c r="P107">
        <v>2046</v>
      </c>
      <c r="Q107" t="s">
        <v>37</v>
      </c>
      <c r="R107">
        <v>0.32646666666666668</v>
      </c>
      <c r="S107" t="s">
        <v>186</v>
      </c>
    </row>
    <row r="108" spans="16:19" x14ac:dyDescent="0.45">
      <c r="P108">
        <v>2046</v>
      </c>
      <c r="Q108" t="s">
        <v>41</v>
      </c>
      <c r="R108">
        <v>0.32569999999999993</v>
      </c>
      <c r="S108" t="s">
        <v>186</v>
      </c>
    </row>
    <row r="109" spans="16:19" x14ac:dyDescent="0.45">
      <c r="P109">
        <v>2046</v>
      </c>
      <c r="Q109" t="s">
        <v>43</v>
      </c>
      <c r="R109">
        <v>0.18556666666666666</v>
      </c>
      <c r="S109" t="s">
        <v>186</v>
      </c>
    </row>
    <row r="110" spans="16:19" x14ac:dyDescent="0.45">
      <c r="P110">
        <v>2046</v>
      </c>
      <c r="Q110" t="s">
        <v>45</v>
      </c>
      <c r="R110">
        <v>0.25856666666666667</v>
      </c>
      <c r="S110" t="s">
        <v>186</v>
      </c>
    </row>
    <row r="111" spans="16:19" x14ac:dyDescent="0.45">
      <c r="P111">
        <v>2047</v>
      </c>
      <c r="Q111" t="s">
        <v>37</v>
      </c>
      <c r="R111">
        <v>0.31430000000000002</v>
      </c>
      <c r="S111" t="s">
        <v>186</v>
      </c>
    </row>
    <row r="112" spans="16:19" x14ac:dyDescent="0.45">
      <c r="P112">
        <v>2047</v>
      </c>
      <c r="Q112" t="s">
        <v>41</v>
      </c>
      <c r="R112">
        <v>0.31966666666666671</v>
      </c>
      <c r="S112" t="s">
        <v>186</v>
      </c>
    </row>
    <row r="113" spans="16:19" x14ac:dyDescent="0.45">
      <c r="P113">
        <v>2047</v>
      </c>
      <c r="Q113" t="s">
        <v>43</v>
      </c>
      <c r="R113">
        <v>0.1623</v>
      </c>
      <c r="S113" t="s">
        <v>186</v>
      </c>
    </row>
    <row r="114" spans="16:19" x14ac:dyDescent="0.45">
      <c r="P114">
        <v>2047</v>
      </c>
      <c r="Q114" t="s">
        <v>45</v>
      </c>
      <c r="R114">
        <v>0.2177</v>
      </c>
      <c r="S114" t="s">
        <v>186</v>
      </c>
    </row>
    <row r="115" spans="16:19" x14ac:dyDescent="0.45">
      <c r="P115">
        <v>2048</v>
      </c>
      <c r="Q115" t="s">
        <v>37</v>
      </c>
      <c r="R115">
        <v>0.28489999999999999</v>
      </c>
      <c r="S115" t="s">
        <v>186</v>
      </c>
    </row>
    <row r="116" spans="16:19" x14ac:dyDescent="0.45">
      <c r="P116">
        <v>2048</v>
      </c>
      <c r="Q116" t="s">
        <v>41</v>
      </c>
      <c r="R116">
        <v>0.32293333333333335</v>
      </c>
      <c r="S116" t="s">
        <v>186</v>
      </c>
    </row>
    <row r="117" spans="16:19" x14ac:dyDescent="0.45">
      <c r="P117">
        <v>2048</v>
      </c>
      <c r="Q117" t="s">
        <v>43</v>
      </c>
      <c r="R117">
        <v>0.20363333333333333</v>
      </c>
      <c r="S117" t="s">
        <v>186</v>
      </c>
    </row>
    <row r="118" spans="16:19" x14ac:dyDescent="0.45">
      <c r="P118">
        <v>2048</v>
      </c>
      <c r="Q118" t="s">
        <v>45</v>
      </c>
      <c r="R118">
        <v>0.2359</v>
      </c>
      <c r="S118" t="s">
        <v>186</v>
      </c>
    </row>
    <row r="119" spans="16:19" x14ac:dyDescent="0.45">
      <c r="P119">
        <v>2049</v>
      </c>
      <c r="Q119" t="s">
        <v>37</v>
      </c>
      <c r="R119">
        <v>0.31936666666666663</v>
      </c>
      <c r="S119" t="s">
        <v>186</v>
      </c>
    </row>
    <row r="120" spans="16:19" x14ac:dyDescent="0.45">
      <c r="P120">
        <v>2049</v>
      </c>
      <c r="Q120" t="s">
        <v>41</v>
      </c>
      <c r="R120">
        <v>0.35413333333333336</v>
      </c>
      <c r="S120" t="s">
        <v>186</v>
      </c>
    </row>
    <row r="121" spans="16:19" x14ac:dyDescent="0.45">
      <c r="P121">
        <v>2049</v>
      </c>
      <c r="Q121" t="s">
        <v>43</v>
      </c>
      <c r="R121">
        <v>0.18579999999999999</v>
      </c>
      <c r="S121" t="s">
        <v>186</v>
      </c>
    </row>
    <row r="122" spans="16:19" x14ac:dyDescent="0.45">
      <c r="P122">
        <v>2049</v>
      </c>
      <c r="Q122" t="s">
        <v>45</v>
      </c>
      <c r="R122">
        <v>0.23020000000000004</v>
      </c>
      <c r="S122" t="s">
        <v>186</v>
      </c>
    </row>
    <row r="123" spans="16:19" x14ac:dyDescent="0.45">
      <c r="P123">
        <v>2050</v>
      </c>
      <c r="Q123" t="s">
        <v>37</v>
      </c>
      <c r="R123">
        <v>0.30759999999999998</v>
      </c>
      <c r="S123" t="s">
        <v>186</v>
      </c>
    </row>
    <row r="124" spans="16:19" x14ac:dyDescent="0.45">
      <c r="P124">
        <v>2050</v>
      </c>
      <c r="Q124" t="s">
        <v>41</v>
      </c>
      <c r="R124">
        <v>0.35573333333333329</v>
      </c>
      <c r="S124" t="s">
        <v>186</v>
      </c>
    </row>
    <row r="125" spans="16:19" x14ac:dyDescent="0.45">
      <c r="P125">
        <v>2050</v>
      </c>
      <c r="Q125" t="s">
        <v>43</v>
      </c>
      <c r="R125">
        <v>0.17353333333333332</v>
      </c>
      <c r="S125" t="s">
        <v>186</v>
      </c>
    </row>
    <row r="126" spans="16:19" x14ac:dyDescent="0.45">
      <c r="P126">
        <v>2050</v>
      </c>
      <c r="Q126" t="s">
        <v>45</v>
      </c>
      <c r="R126">
        <v>0.21530000000000002</v>
      </c>
      <c r="S126" t="s">
        <v>186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ev_charging_uc</vt:lpstr>
      <vt:lpstr>timeslice_def</vt:lpstr>
      <vt:lpstr>resource_profiles</vt:lpstr>
      <vt:lpstr>firmness</vt:lpstr>
      <vt:lpstr>load_demand_peak_hydro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2026-08-30T15:23:12Z</dcterms:modified>
</cp:coreProperties>
</file>