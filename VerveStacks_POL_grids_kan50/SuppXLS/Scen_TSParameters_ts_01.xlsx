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51\SuppXLS\"/>
    </mc:Choice>
  </mc:AlternateContent>
  <xr:revisionPtr revIDLastSave="0" documentId="13_ncr:1_{DD094304-2975-4748-843E-217A50486C7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AC9" i="9"/>
  <c r="Z9" i="9"/>
  <c r="R9" i="9"/>
  <c r="N9" i="9"/>
  <c r="J9" i="9"/>
  <c r="F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<sst xmlns="http://schemas.openxmlformats.org/spreadsheetml/2006/main" count="2043" uniqueCount="323">
  <si>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</si>
  <si>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</si>
  <si>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</si>
  <si>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</si>
  <si>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</si>
  <si>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</si>
  <si>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</si>
  <si>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</si>
  <si>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</si>
  <si>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</si>
  <si>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</si>
  <si>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</si>
  <si>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</si>
  <si>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</si>
  <si>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</si>
  <si>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</si>
  <si>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</si>
  <si>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</si>
  <si>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</si>
  <si>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</si>
  <si>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</si>
  <si>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</si>
  <si>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</si>
  <si>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</si>
  <si>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</si>
  <si>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</si>
  <si>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</si>
  <si>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</si>
  <si>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</si>
  <si>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</si>
  <si>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</si>
  <si>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</si>
  <si>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</si>
  <si>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</si>
  <si>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</si>
  <si>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</si>
  <si>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</si>
  <si>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</si>
  <si>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A</t>
  </si>
  <si>
    <t>a</t>
  </si>
  <si>
    <t>H</t>
  </si>
  <si>
    <t>ts_01</t>
  </si>
  <si>
    <t>commodity</t>
  </si>
  <si>
    <t>timeslice</t>
  </si>
  <si>
    <t>com_fr</t>
  </si>
  <si>
    <t>process</t>
  </si>
  <si>
    <t>elc_spv_POL_001</t>
  </si>
  <si>
    <t>AaH</t>
  </si>
  <si>
    <t>IMPNRGZ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</si>
  <si>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</si>
  <si>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</si>
  <si>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</si>
  <si>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</si>
  <si>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</si>
  <si>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</si>
  <si>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</si>
  <si>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</si>
  <si>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</si>
  <si>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</si>
  <si>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</si>
  <si>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</si>
  <si>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</si>
  <si>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</si>
  <si>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</si>
  <si>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</si>
  <si>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</si>
  <si>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</si>
  <si>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</si>
  <si>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elc_spv_POL_021</t>
  </si>
  <si>
    <t>elc_spv_POL_022</t>
  </si>
  <si>
    <t>elc_spv_POL_023</t>
  </si>
  <si>
    <t>elc_spv_POL_024</t>
  </si>
  <si>
    <t>elc_spv_POL_025</t>
  </si>
  <si>
    <t>elc_spv_POL_026</t>
  </si>
  <si>
    <t>elc_spv_POL_027</t>
  </si>
  <si>
    <t>elc_spv_POL_028</t>
  </si>
  <si>
    <t>elc_spv_POL_029</t>
  </si>
  <si>
    <t>elc_spv_POL_030</t>
  </si>
  <si>
    <t>elc_spv_POL_031</t>
  </si>
  <si>
    <t>elc_spv_POL_032</t>
  </si>
  <si>
    <t>elc_spv_POL_033</t>
  </si>
  <si>
    <t>elc_spv_POL_034</t>
  </si>
  <si>
    <t>elc_spv_POL_035</t>
  </si>
  <si>
    <t>elc_spv_POL_036</t>
  </si>
  <si>
    <t>elc_spv_POL_037</t>
  </si>
  <si>
    <t>elc_spv_POL_038</t>
  </si>
  <si>
    <t>elc_spv_POL_039</t>
  </si>
  <si>
    <t>elc_spv_POL_040</t>
  </si>
  <si>
    <t>elc_spv_POL_041</t>
  </si>
  <si>
    <t>elc_spv_POL_042</t>
  </si>
  <si>
    <t>elc_spv_POL_043</t>
  </si>
  <si>
    <t>elc_spv_POL_044</t>
  </si>
  <si>
    <t>elc_spv_POL_045</t>
  </si>
  <si>
    <t>elc_spv_POL_046</t>
  </si>
  <si>
    <t>elc_spv_POL_047</t>
  </si>
  <si>
    <t>elc_spv_POL_048</t>
  </si>
  <si>
    <t>elc_spv_POL_049</t>
  </si>
  <si>
    <t>elc_spv_POL_050</t>
  </si>
  <si>
    <t>elc_spv_POL_051</t>
  </si>
  <si>
    <t>elc_spv_POL_052</t>
  </si>
  <si>
    <t>elc_spv_POL_053</t>
  </si>
  <si>
    <t>elc_spv_POL_054</t>
  </si>
  <si>
    <t>elc_spv_POL_055</t>
  </si>
  <si>
    <t>elc_spv_POL_056</t>
  </si>
  <si>
    <t>elc_spv_POL_057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</si>
  <si>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</si>
  <si>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</si>
  <si>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</si>
  <si>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</si>
  <si>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</si>
  <si>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</si>
  <si>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</si>
  <si>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</si>
  <si>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</si>
  <si>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</si>
  <si>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</si>
  <si>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</si>
  <si>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</si>
  <si>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</si>
  <si>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</si>
  <si>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</si>
  <si>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</si>
  <si>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</si>
  <si>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</si>
  <si>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</si>
  <si>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elc_won_POL_021</t>
  </si>
  <si>
    <t>elc_won_POL_022</t>
  </si>
  <si>
    <t>elc_won_POL_023</t>
  </si>
  <si>
    <t>elc_won_POL_024</t>
  </si>
  <si>
    <t>elc_won_POL_025</t>
  </si>
  <si>
    <t>elc_won_POL_026</t>
  </si>
  <si>
    <t>elc_won_POL_027</t>
  </si>
  <si>
    <t>elc_won_POL_028</t>
  </si>
  <si>
    <t>elc_won_POL_029</t>
  </si>
  <si>
    <t>elc_won_POL_030</t>
  </si>
  <si>
    <t>elc_won_POL_031</t>
  </si>
  <si>
    <t>elc_won_POL_032</t>
  </si>
  <si>
    <t>elc_won_POL_033</t>
  </si>
  <si>
    <t>elc_won_POL_034</t>
  </si>
  <si>
    <t>elc_won_POL_035</t>
  </si>
  <si>
    <t>elc_won_POL_036</t>
  </si>
  <si>
    <t>elc_won_POL_037</t>
  </si>
  <si>
    <t>elc_won_POL_038</t>
  </si>
  <si>
    <t>elc_won_POL_039</t>
  </si>
  <si>
    <t>elc_won_POL_040</t>
  </si>
  <si>
    <t>elc_won_POL_041</t>
  </si>
  <si>
    <t>elc_won_POL_042</t>
  </si>
  <si>
    <t>elc_won_POL_043</t>
  </si>
  <si>
    <t>elc_won_POL_044</t>
  </si>
  <si>
    <t>elc_won_POL_045</t>
  </si>
  <si>
    <t>elc_won_POL_046</t>
  </si>
  <si>
    <t>elc_won_POL_047</t>
  </si>
  <si>
    <t>elc_won_POL_048</t>
  </si>
  <si>
    <t>elc_won_POL_049</t>
  </si>
  <si>
    <t>elc_won_POL_050</t>
  </si>
  <si>
    <t>elc_won_POL_051</t>
  </si>
  <si>
    <t>elc_won_POL_052</t>
  </si>
  <si>
    <t>elc_won_POL_053</t>
  </si>
  <si>
    <t>elc_won_POL_054</t>
  </si>
  <si>
    <t>elc_won_POL_055</t>
  </si>
  <si>
    <t>elc_won_POL_056</t>
  </si>
  <si>
    <t>elc_won_POL_057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</si>
  <si>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</si>
  <si>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</si>
  <si>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</si>
  <si>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</si>
  <si>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</si>
  <si>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</si>
  <si>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</si>
  <si>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</si>
  <si>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</si>
  <si>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</si>
  <si>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</si>
  <si>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</si>
  <si>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</si>
  <si>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</si>
  <si>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</si>
  <si>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</si>
  <si>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</si>
  <si>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</si>
  <si>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</si>
  <si>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</si>
  <si>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</si>
  <si>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</si>
  <si>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</si>
  <si>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</si>
  <si>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</si>
  <si>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</si>
  <si>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</si>
  <si>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</si>
  <si>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</si>
  <si>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</si>
  <si>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distr_solelc_spv_POL_021</t>
  </si>
  <si>
    <t>distr_solelc_spv_POL_022</t>
  </si>
  <si>
    <t>distr_solelc_spv_POL_023</t>
  </si>
  <si>
    <t>distr_solelc_spv_POL_024</t>
  </si>
  <si>
    <t>distr_solelc_spv_POL_025</t>
  </si>
  <si>
    <t>distr_solelc_spv_POL_026</t>
  </si>
  <si>
    <t>distr_solelc_spv_POL_027</t>
  </si>
  <si>
    <t>distr_solelc_spv_POL_028</t>
  </si>
  <si>
    <t>distr_solelc_spv_POL_029</t>
  </si>
  <si>
    <t>distr_solelc_spv_POL_030</t>
  </si>
  <si>
    <t>distr_solelc_spv_POL_031</t>
  </si>
  <si>
    <t>distr_solelc_spv_POL_032</t>
  </si>
  <si>
    <t>distr_solelc_spv_POL_033</t>
  </si>
  <si>
    <t>distr_solelc_spv_POL_034</t>
  </si>
  <si>
    <t>distr_solelc_spv_POL_035</t>
  </si>
  <si>
    <t>distr_solelc_spv_POL_036</t>
  </si>
  <si>
    <t>distr_solelc_spv_POL_037</t>
  </si>
  <si>
    <t>distr_solelc_spv_POL_038</t>
  </si>
  <si>
    <t>distr_solelc_spv_POL_039</t>
  </si>
  <si>
    <t>distr_solelc_spv_POL_040</t>
  </si>
  <si>
    <t>distr_solelc_spv_POL_041</t>
  </si>
  <si>
    <t>distr_solelc_spv_POL_042</t>
  </si>
  <si>
    <t>distr_solelc_spv_POL_043</t>
  </si>
  <si>
    <t>distr_solelc_spv_POL_044</t>
  </si>
  <si>
    <t>distr_solelc_spv_POL_045</t>
  </si>
  <si>
    <t>distr_solelc_spv_POL_046</t>
  </si>
  <si>
    <t>distr_solelc_spv_POL_047</t>
  </si>
  <si>
    <t>distr_solelc_spv_POL_048</t>
  </si>
  <si>
    <t>distr_solelc_spv_POL_049</t>
  </si>
  <si>
    <t>distr_solelc_spv_POL_050</t>
  </si>
  <si>
    <t>distr_solelc_spv_POL_051</t>
  </si>
  <si>
    <t>distr_solelc_spv_POL_052</t>
  </si>
  <si>
    <t>distr_solelc_spv_POL_053</t>
  </si>
  <si>
    <t>distr_solelc_spv_POL_054</t>
  </si>
  <si>
    <t>distr_solelc_spv_POL_055</t>
  </si>
  <si>
    <t>distr_solelc_spv_POL_056</t>
  </si>
  <si>
    <t>distr_solelc_spv_POL_057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</si>
  <si>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</si>
  <si>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</si>
  <si>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</si>
  <si>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</si>
  <si>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</si>
  <si>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</si>
  <si>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</si>
  <si>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</si>
  <si>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</si>
  <si>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</si>
  <si>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</si>
  <si>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</si>
  <si>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</si>
  <si>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</si>
  <si>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</si>
  <si>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</si>
  <si>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</si>
  <si>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</si>
  <si>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</si>
  <si>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</si>
  <si>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</si>
  <si>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</si>
  <si>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</si>
  <si>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</si>
  <si>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</si>
  <si>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</si>
  <si>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</si>
  <si>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</si>
  <si>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</si>
  <si>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</si>
  <si>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distr_wonelc_won_POL_021</t>
  </si>
  <si>
    <t>distr_wonelc_won_POL_022</t>
  </si>
  <si>
    <t>distr_wonelc_won_POL_023</t>
  </si>
  <si>
    <t>distr_wonelc_won_POL_024</t>
  </si>
  <si>
    <t>distr_wonelc_won_POL_025</t>
  </si>
  <si>
    <t>distr_wonelc_won_POL_026</t>
  </si>
  <si>
    <t>distr_wonelc_won_POL_027</t>
  </si>
  <si>
    <t>distr_wonelc_won_POL_028</t>
  </si>
  <si>
    <t>distr_wonelc_won_POL_029</t>
  </si>
  <si>
    <t>distr_wonelc_won_POL_030</t>
  </si>
  <si>
    <t>distr_wonelc_won_POL_031</t>
  </si>
  <si>
    <t>distr_wonelc_won_POL_032</t>
  </si>
  <si>
    <t>distr_wonelc_won_POL_033</t>
  </si>
  <si>
    <t>distr_wonelc_won_POL_034</t>
  </si>
  <si>
    <t>distr_wonelc_won_POL_035</t>
  </si>
  <si>
    <t>distr_wonelc_won_POL_036</t>
  </si>
  <si>
    <t>distr_wonelc_won_POL_037</t>
  </si>
  <si>
    <t>distr_wonelc_won_POL_038</t>
  </si>
  <si>
    <t>distr_wonelc_won_POL_039</t>
  </si>
  <si>
    <t>distr_wonelc_won_POL_040</t>
  </si>
  <si>
    <t>distr_wonelc_won_POL_041</t>
  </si>
  <si>
    <t>distr_wonelc_won_POL_042</t>
  </si>
  <si>
    <t>distr_wonelc_won_POL_043</t>
  </si>
  <si>
    <t>distr_wonelc_won_POL_044</t>
  </si>
  <si>
    <t>distr_wonelc_won_POL_045</t>
  </si>
  <si>
    <t>distr_wonelc_won_POL_046</t>
  </si>
  <si>
    <t>distr_wonelc_won_POL_047</t>
  </si>
  <si>
    <t>distr_wonelc_won_POL_048</t>
  </si>
  <si>
    <t>distr_wonelc_won_POL_049</t>
  </si>
  <si>
    <t>distr_wonelc_won_POL_050</t>
  </si>
  <si>
    <t>distr_wonelc_won_POL_051</t>
  </si>
  <si>
    <t>distr_wonelc_won_POL_052</t>
  </si>
  <si>
    <t>distr_wonelc_won_POL_053</t>
  </si>
  <si>
    <t>distr_wonelc_won_POL_054</t>
  </si>
  <si>
    <t>distr_wonelc_won_POL_055</t>
  </si>
  <si>
    <t>distr_wonelc_won_POL_056</t>
  </si>
  <si>
    <t>distr_wonelc_won_POL_057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</si>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</sst>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5" x14ac:dyDescent="0.25"/>
  <cols>
    <col min="8" max="8" width="9.42578125" bestFit="1" customWidth="1"/>
    <col min="9" max="9" width="10.5703125" bestFit="1" customWidth="1"/>
    <col min="10" max="10" width="9.42578125" bestFit="1" customWidth="1"/>
  </cols>
  <sheetData>
    <row r="10" spans="1:4" x14ac:dyDescent="0.25">
      <c r="A10" t="s">
        <v>41</v>
      </c>
      <c r="B10" s="5"/>
      <c r="C10" s="5" t="s">
        <v>313</v>
      </c>
      <c r="D10" t="s">
        <v>41</v>
      </c>
    </row>
    <row r="11" spans="1:4" x14ac:dyDescent="0.25">
      <c r="B11" s="5"/>
      <c r="C11" s="5" t="s">
        <v>314</v>
      </c>
      <c r="D11" t="s">
        <v>47</v>
      </c>
    </row>
    <row r="12" spans="1:4" x14ac:dyDescent="0.25">
      <c r="B12" s="5"/>
      <c r="C12" s="5" t="s">
        <v>315</v>
      </c>
      <c r="D12" t="s">
        <v>47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Not Required!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AaH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AaH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  <row r="33" spans="8:11" x14ac:dyDescent="0.2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62416-DE45-4A99-A91E-C35A7D2DE5CB}">
  <dimension ref="A9:G11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41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25">
      <c r="C11" t="s">
        <v>38</v>
      </c>
      <c r="D11" t="s">
        <v>39</v>
      </c>
      <c r="E11" t="s">
        <v>40</v>
      </c>
      <c r="F11" t="s">
        <v>38</v>
      </c>
      <c r="G1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547DB-8C05-4843-86D8-56D9FE8B0513}">
  <dimension ref="B9:O67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42</v>
      </c>
      <c r="C10" t="s">
        <v>43</v>
      </c>
      <c r="D10" t="s">
        <v>44</v>
      </c>
      <c r="E10" t="s">
        <v>45</v>
      </c>
      <c r="G10" t="s">
        <v>42</v>
      </c>
      <c r="H10" t="s">
        <v>43</v>
      </c>
      <c r="I10" t="s">
        <v>44</v>
      </c>
      <c r="J10" t="s">
        <v>45</v>
      </c>
      <c r="L10" t="s">
        <v>42</v>
      </c>
      <c r="M10" t="s">
        <v>43</v>
      </c>
      <c r="N10" t="s">
        <v>44</v>
      </c>
      <c r="O10" t="s">
        <v>45</v>
      </c>
    </row>
    <row r="11" spans="2:15" x14ac:dyDescent="0.25">
      <c r="B11" t="s">
        <v>46</v>
      </c>
      <c r="C11" t="s">
        <v>47</v>
      </c>
      <c r="D11">
        <v>1</v>
      </c>
      <c r="E11" t="s">
        <v>48</v>
      </c>
      <c r="G11" t="s">
        <v>105</v>
      </c>
      <c r="H11" t="s">
        <v>47</v>
      </c>
      <c r="I11">
        <v>1</v>
      </c>
      <c r="J11" t="s">
        <v>48</v>
      </c>
      <c r="L11" t="s">
        <v>162</v>
      </c>
      <c r="M11" t="s">
        <v>47</v>
      </c>
      <c r="N11">
        <v>1</v>
      </c>
      <c r="O11" t="s">
        <v>48</v>
      </c>
    </row>
    <row r="12" spans="2:15" x14ac:dyDescent="0.25">
      <c r="B12" t="s">
        <v>49</v>
      </c>
      <c r="C12" t="s">
        <v>47</v>
      </c>
      <c r="D12">
        <v>1</v>
      </c>
      <c r="E12" t="s">
        <v>48</v>
      </c>
      <c r="G12" t="s">
        <v>106</v>
      </c>
      <c r="H12" t="s">
        <v>47</v>
      </c>
      <c r="I12">
        <v>1</v>
      </c>
      <c r="J12" t="s">
        <v>48</v>
      </c>
      <c r="L12" t="s">
        <v>163</v>
      </c>
      <c r="M12" t="s">
        <v>47</v>
      </c>
      <c r="N12">
        <v>1</v>
      </c>
      <c r="O12" t="s">
        <v>48</v>
      </c>
    </row>
    <row r="13" spans="2:15" x14ac:dyDescent="0.25">
      <c r="B13" t="s">
        <v>50</v>
      </c>
      <c r="C13" t="s">
        <v>47</v>
      </c>
      <c r="D13">
        <v>1</v>
      </c>
      <c r="E13" t="s">
        <v>48</v>
      </c>
      <c r="G13" t="s">
        <v>107</v>
      </c>
      <c r="H13" t="s">
        <v>47</v>
      </c>
      <c r="I13">
        <v>1</v>
      </c>
      <c r="J13" t="s">
        <v>48</v>
      </c>
      <c r="L13" t="s">
        <v>164</v>
      </c>
      <c r="M13" t="s">
        <v>47</v>
      </c>
      <c r="N13">
        <v>1</v>
      </c>
      <c r="O13" t="s">
        <v>48</v>
      </c>
    </row>
    <row r="14" spans="2:15" x14ac:dyDescent="0.25">
      <c r="B14" t="s">
        <v>51</v>
      </c>
      <c r="C14" t="s">
        <v>47</v>
      </c>
      <c r="D14">
        <v>1</v>
      </c>
      <c r="E14" t="s">
        <v>48</v>
      </c>
      <c r="G14" t="s">
        <v>108</v>
      </c>
      <c r="H14" t="s">
        <v>47</v>
      </c>
      <c r="I14">
        <v>1</v>
      </c>
      <c r="J14" t="s">
        <v>48</v>
      </c>
      <c r="L14" t="s">
        <v>165</v>
      </c>
      <c r="M14" t="s">
        <v>47</v>
      </c>
      <c r="N14">
        <v>1</v>
      </c>
      <c r="O14" t="s">
        <v>48</v>
      </c>
    </row>
    <row r="15" spans="2:15" x14ac:dyDescent="0.25">
      <c r="B15" t="s">
        <v>52</v>
      </c>
      <c r="C15" t="s">
        <v>47</v>
      </c>
      <c r="D15">
        <v>1</v>
      </c>
      <c r="E15" t="s">
        <v>48</v>
      </c>
      <c r="G15" t="s">
        <v>109</v>
      </c>
      <c r="H15" t="s">
        <v>47</v>
      </c>
      <c r="I15">
        <v>1</v>
      </c>
      <c r="J15" t="s">
        <v>48</v>
      </c>
      <c r="L15" t="s">
        <v>166</v>
      </c>
      <c r="M15" t="s">
        <v>47</v>
      </c>
      <c r="N15">
        <v>1</v>
      </c>
      <c r="O15" t="s">
        <v>48</v>
      </c>
    </row>
    <row r="16" spans="2:15" x14ac:dyDescent="0.25">
      <c r="B16" t="s">
        <v>53</v>
      </c>
      <c r="C16" t="s">
        <v>47</v>
      </c>
      <c r="D16">
        <v>1</v>
      </c>
      <c r="E16" t="s">
        <v>48</v>
      </c>
      <c r="G16" t="s">
        <v>110</v>
      </c>
      <c r="H16" t="s">
        <v>47</v>
      </c>
      <c r="I16">
        <v>1</v>
      </c>
      <c r="J16" t="s">
        <v>48</v>
      </c>
      <c r="L16" t="s">
        <v>167</v>
      </c>
      <c r="M16" t="s">
        <v>47</v>
      </c>
      <c r="N16">
        <v>1</v>
      </c>
      <c r="O16" t="s">
        <v>48</v>
      </c>
    </row>
    <row r="17" spans="2:15" x14ac:dyDescent="0.25">
      <c r="B17" t="s">
        <v>54</v>
      </c>
      <c r="C17" t="s">
        <v>47</v>
      </c>
      <c r="D17">
        <v>1</v>
      </c>
      <c r="E17" t="s">
        <v>48</v>
      </c>
      <c r="G17" t="s">
        <v>111</v>
      </c>
      <c r="H17" t="s">
        <v>47</v>
      </c>
      <c r="I17">
        <v>1</v>
      </c>
      <c r="J17" t="s">
        <v>48</v>
      </c>
      <c r="L17" t="s">
        <v>168</v>
      </c>
      <c r="M17" t="s">
        <v>47</v>
      </c>
      <c r="N17">
        <v>1</v>
      </c>
      <c r="O17" t="s">
        <v>48</v>
      </c>
    </row>
    <row r="18" spans="2:15" x14ac:dyDescent="0.25">
      <c r="B18" t="s">
        <v>55</v>
      </c>
      <c r="C18" t="s">
        <v>47</v>
      </c>
      <c r="D18">
        <v>1</v>
      </c>
      <c r="E18" t="s">
        <v>48</v>
      </c>
      <c r="G18" t="s">
        <v>112</v>
      </c>
      <c r="H18" t="s">
        <v>47</v>
      </c>
      <c r="I18">
        <v>1</v>
      </c>
      <c r="J18" t="s">
        <v>48</v>
      </c>
      <c r="L18" t="s">
        <v>169</v>
      </c>
      <c r="M18" t="s">
        <v>47</v>
      </c>
      <c r="N18">
        <v>1</v>
      </c>
      <c r="O18" t="s">
        <v>48</v>
      </c>
    </row>
    <row r="19" spans="2:15" x14ac:dyDescent="0.25">
      <c r="B19" t="s">
        <v>56</v>
      </c>
      <c r="C19" t="s">
        <v>47</v>
      </c>
      <c r="D19">
        <v>1</v>
      </c>
      <c r="E19" t="s">
        <v>48</v>
      </c>
      <c r="G19" t="s">
        <v>113</v>
      </c>
      <c r="H19" t="s">
        <v>47</v>
      </c>
      <c r="I19">
        <v>1</v>
      </c>
      <c r="J19" t="s">
        <v>48</v>
      </c>
      <c r="L19" t="s">
        <v>170</v>
      </c>
      <c r="M19" t="s">
        <v>47</v>
      </c>
      <c r="N19">
        <v>1</v>
      </c>
      <c r="O19" t="s">
        <v>48</v>
      </c>
    </row>
    <row r="20" spans="2:15" x14ac:dyDescent="0.25">
      <c r="B20" t="s">
        <v>57</v>
      </c>
      <c r="C20" t="s">
        <v>47</v>
      </c>
      <c r="D20">
        <v>1</v>
      </c>
      <c r="E20" t="s">
        <v>48</v>
      </c>
      <c r="G20" t="s">
        <v>114</v>
      </c>
      <c r="H20" t="s">
        <v>47</v>
      </c>
      <c r="I20">
        <v>1</v>
      </c>
      <c r="J20" t="s">
        <v>48</v>
      </c>
      <c r="L20" t="s">
        <v>171</v>
      </c>
      <c r="M20" t="s">
        <v>47</v>
      </c>
      <c r="N20">
        <v>1</v>
      </c>
      <c r="O20" t="s">
        <v>48</v>
      </c>
    </row>
    <row r="21" spans="2:15" x14ac:dyDescent="0.25">
      <c r="B21" t="s">
        <v>58</v>
      </c>
      <c r="C21" t="s">
        <v>47</v>
      </c>
      <c r="D21">
        <v>1</v>
      </c>
      <c r="E21" t="s">
        <v>48</v>
      </c>
      <c r="G21" t="s">
        <v>115</v>
      </c>
      <c r="H21" t="s">
        <v>47</v>
      </c>
      <c r="I21">
        <v>1</v>
      </c>
      <c r="J21" t="s">
        <v>48</v>
      </c>
    </row>
    <row r="22" spans="2:15" x14ac:dyDescent="0.25">
      <c r="B22" t="s">
        <v>59</v>
      </c>
      <c r="C22" t="s">
        <v>47</v>
      </c>
      <c r="D22">
        <v>1</v>
      </c>
      <c r="E22" t="s">
        <v>48</v>
      </c>
      <c r="G22" t="s">
        <v>116</v>
      </c>
      <c r="H22" t="s">
        <v>47</v>
      </c>
      <c r="I22">
        <v>1</v>
      </c>
      <c r="J22" t="s">
        <v>48</v>
      </c>
    </row>
    <row r="23" spans="2:15" x14ac:dyDescent="0.25">
      <c r="B23" t="s">
        <v>60</v>
      </c>
      <c r="C23" t="s">
        <v>47</v>
      </c>
      <c r="D23">
        <v>1</v>
      </c>
      <c r="E23" t="s">
        <v>48</v>
      </c>
      <c r="G23" t="s">
        <v>117</v>
      </c>
      <c r="H23" t="s">
        <v>47</v>
      </c>
      <c r="I23">
        <v>1</v>
      </c>
      <c r="J23" t="s">
        <v>48</v>
      </c>
    </row>
    <row r="24" spans="2:15" x14ac:dyDescent="0.25">
      <c r="B24" t="s">
        <v>61</v>
      </c>
      <c r="C24" t="s">
        <v>47</v>
      </c>
      <c r="D24">
        <v>1</v>
      </c>
      <c r="E24" t="s">
        <v>48</v>
      </c>
      <c r="G24" t="s">
        <v>118</v>
      </c>
      <c r="H24" t="s">
        <v>47</v>
      </c>
      <c r="I24">
        <v>1</v>
      </c>
      <c r="J24" t="s">
        <v>48</v>
      </c>
    </row>
    <row r="25" spans="2:15" x14ac:dyDescent="0.25">
      <c r="B25" t="s">
        <v>62</v>
      </c>
      <c r="C25" t="s">
        <v>47</v>
      </c>
      <c r="D25">
        <v>1</v>
      </c>
      <c r="E25" t="s">
        <v>48</v>
      </c>
      <c r="G25" t="s">
        <v>119</v>
      </c>
      <c r="H25" t="s">
        <v>47</v>
      </c>
      <c r="I25">
        <v>1</v>
      </c>
      <c r="J25" t="s">
        <v>48</v>
      </c>
    </row>
    <row r="26" spans="2:15" x14ac:dyDescent="0.25">
      <c r="B26" t="s">
        <v>63</v>
      </c>
      <c r="C26" t="s">
        <v>47</v>
      </c>
      <c r="D26">
        <v>1</v>
      </c>
      <c r="E26" t="s">
        <v>48</v>
      </c>
      <c r="G26" t="s">
        <v>120</v>
      </c>
      <c r="H26" t="s">
        <v>47</v>
      </c>
      <c r="I26">
        <v>1</v>
      </c>
      <c r="J26" t="s">
        <v>48</v>
      </c>
    </row>
    <row r="27" spans="2:15" x14ac:dyDescent="0.25">
      <c r="B27" t="s">
        <v>64</v>
      </c>
      <c r="C27" t="s">
        <v>47</v>
      </c>
      <c r="D27">
        <v>1</v>
      </c>
      <c r="E27" t="s">
        <v>48</v>
      </c>
      <c r="G27" t="s">
        <v>121</v>
      </c>
      <c r="H27" t="s">
        <v>47</v>
      </c>
      <c r="I27">
        <v>1</v>
      </c>
      <c r="J27" t="s">
        <v>48</v>
      </c>
    </row>
    <row r="28" spans="2:15" x14ac:dyDescent="0.25">
      <c r="B28" t="s">
        <v>65</v>
      </c>
      <c r="C28" t="s">
        <v>47</v>
      </c>
      <c r="D28">
        <v>1</v>
      </c>
      <c r="E28" t="s">
        <v>48</v>
      </c>
      <c r="G28" t="s">
        <v>122</v>
      </c>
      <c r="H28" t="s">
        <v>47</v>
      </c>
      <c r="I28">
        <v>1</v>
      </c>
      <c r="J28" t="s">
        <v>48</v>
      </c>
    </row>
    <row r="29" spans="2:15" x14ac:dyDescent="0.25">
      <c r="B29" t="s">
        <v>66</v>
      </c>
      <c r="C29" t="s">
        <v>47</v>
      </c>
      <c r="D29">
        <v>1</v>
      </c>
      <c r="E29" t="s">
        <v>48</v>
      </c>
      <c r="G29" t="s">
        <v>123</v>
      </c>
      <c r="H29" t="s">
        <v>47</v>
      </c>
      <c r="I29">
        <v>1</v>
      </c>
      <c r="J29" t="s">
        <v>48</v>
      </c>
    </row>
    <row r="30" spans="2:15" x14ac:dyDescent="0.25">
      <c r="B30" t="s">
        <v>67</v>
      </c>
      <c r="C30" t="s">
        <v>47</v>
      </c>
      <c r="D30">
        <v>1</v>
      </c>
      <c r="E30" t="s">
        <v>48</v>
      </c>
      <c r="G30" t="s">
        <v>124</v>
      </c>
      <c r="H30" t="s">
        <v>47</v>
      </c>
      <c r="I30">
        <v>1</v>
      </c>
      <c r="J30" t="s">
        <v>48</v>
      </c>
    </row>
    <row r="31" spans="2:15" x14ac:dyDescent="0.25">
      <c r="B31" t="s">
        <v>68</v>
      </c>
      <c r="C31" t="s">
        <v>47</v>
      </c>
      <c r="D31">
        <v>1</v>
      </c>
      <c r="E31" t="s">
        <v>48</v>
      </c>
      <c r="G31" t="s">
        <v>125</v>
      </c>
      <c r="H31" t="s">
        <v>47</v>
      </c>
      <c r="I31">
        <v>1</v>
      </c>
      <c r="J31" t="s">
        <v>48</v>
      </c>
    </row>
    <row r="32" spans="2:15" x14ac:dyDescent="0.25">
      <c r="B32" t="s">
        <v>69</v>
      </c>
      <c r="C32" t="s">
        <v>47</v>
      </c>
      <c r="D32">
        <v>1</v>
      </c>
      <c r="E32" t="s">
        <v>48</v>
      </c>
      <c r="G32" t="s">
        <v>126</v>
      </c>
      <c r="H32" t="s">
        <v>47</v>
      </c>
      <c r="I32">
        <v>1</v>
      </c>
      <c r="J32" t="s">
        <v>48</v>
      </c>
    </row>
    <row r="33" spans="2:10" x14ac:dyDescent="0.25">
      <c r="B33" t="s">
        <v>70</v>
      </c>
      <c r="C33" t="s">
        <v>47</v>
      </c>
      <c r="D33">
        <v>1</v>
      </c>
      <c r="E33" t="s">
        <v>48</v>
      </c>
      <c r="G33" t="s">
        <v>127</v>
      </c>
      <c r="H33" t="s">
        <v>47</v>
      </c>
      <c r="I33">
        <v>1</v>
      </c>
      <c r="J33" t="s">
        <v>48</v>
      </c>
    </row>
    <row r="34" spans="2:10" x14ac:dyDescent="0.25">
      <c r="B34" t="s">
        <v>71</v>
      </c>
      <c r="C34" t="s">
        <v>47</v>
      </c>
      <c r="D34">
        <v>1</v>
      </c>
      <c r="E34" t="s">
        <v>48</v>
      </c>
      <c r="G34" t="s">
        <v>128</v>
      </c>
      <c r="H34" t="s">
        <v>47</v>
      </c>
      <c r="I34">
        <v>1</v>
      </c>
      <c r="J34" t="s">
        <v>48</v>
      </c>
    </row>
    <row r="35" spans="2:10" x14ac:dyDescent="0.25">
      <c r="B35" t="s">
        <v>72</v>
      </c>
      <c r="C35" t="s">
        <v>47</v>
      </c>
      <c r="D35">
        <v>1</v>
      </c>
      <c r="E35" t="s">
        <v>48</v>
      </c>
      <c r="G35" t="s">
        <v>129</v>
      </c>
      <c r="H35" t="s">
        <v>47</v>
      </c>
      <c r="I35">
        <v>1</v>
      </c>
      <c r="J35" t="s">
        <v>48</v>
      </c>
    </row>
    <row r="36" spans="2:10" x14ac:dyDescent="0.25">
      <c r="B36" t="s">
        <v>73</v>
      </c>
      <c r="C36" t="s">
        <v>47</v>
      </c>
      <c r="D36">
        <v>1</v>
      </c>
      <c r="E36" t="s">
        <v>48</v>
      </c>
      <c r="G36" t="s">
        <v>130</v>
      </c>
      <c r="H36" t="s">
        <v>47</v>
      </c>
      <c r="I36">
        <v>1</v>
      </c>
      <c r="J36" t="s">
        <v>48</v>
      </c>
    </row>
    <row r="37" spans="2:10" x14ac:dyDescent="0.25">
      <c r="B37" t="s">
        <v>74</v>
      </c>
      <c r="C37" t="s">
        <v>47</v>
      </c>
      <c r="D37">
        <v>1</v>
      </c>
      <c r="E37" t="s">
        <v>48</v>
      </c>
      <c r="G37" t="s">
        <v>131</v>
      </c>
      <c r="H37" t="s">
        <v>47</v>
      </c>
      <c r="I37">
        <v>1</v>
      </c>
      <c r="J37" t="s">
        <v>48</v>
      </c>
    </row>
    <row r="38" spans="2:10" x14ac:dyDescent="0.25">
      <c r="B38" t="s">
        <v>75</v>
      </c>
      <c r="C38" t="s">
        <v>47</v>
      </c>
      <c r="D38">
        <v>1</v>
      </c>
      <c r="E38" t="s">
        <v>48</v>
      </c>
      <c r="G38" t="s">
        <v>132</v>
      </c>
      <c r="H38" t="s">
        <v>47</v>
      </c>
      <c r="I38">
        <v>1</v>
      </c>
      <c r="J38" t="s">
        <v>48</v>
      </c>
    </row>
    <row r="39" spans="2:10" x14ac:dyDescent="0.25">
      <c r="B39" t="s">
        <v>76</v>
      </c>
      <c r="C39" t="s">
        <v>47</v>
      </c>
      <c r="D39">
        <v>1</v>
      </c>
      <c r="E39" t="s">
        <v>48</v>
      </c>
      <c r="G39" t="s">
        <v>133</v>
      </c>
      <c r="H39" t="s">
        <v>47</v>
      </c>
      <c r="I39">
        <v>1</v>
      </c>
      <c r="J39" t="s">
        <v>48</v>
      </c>
    </row>
    <row r="40" spans="2:10" x14ac:dyDescent="0.25">
      <c r="B40" t="s">
        <v>77</v>
      </c>
      <c r="C40" t="s">
        <v>47</v>
      </c>
      <c r="D40">
        <v>1</v>
      </c>
      <c r="E40" t="s">
        <v>48</v>
      </c>
      <c r="G40" t="s">
        <v>134</v>
      </c>
      <c r="H40" t="s">
        <v>47</v>
      </c>
      <c r="I40">
        <v>1</v>
      </c>
      <c r="J40" t="s">
        <v>48</v>
      </c>
    </row>
    <row r="41" spans="2:10" x14ac:dyDescent="0.25">
      <c r="B41" t="s">
        <v>78</v>
      </c>
      <c r="C41" t="s">
        <v>47</v>
      </c>
      <c r="D41">
        <v>1</v>
      </c>
      <c r="E41" t="s">
        <v>48</v>
      </c>
      <c r="G41" t="s">
        <v>135</v>
      </c>
      <c r="H41" t="s">
        <v>47</v>
      </c>
      <c r="I41">
        <v>1</v>
      </c>
      <c r="J41" t="s">
        <v>48</v>
      </c>
    </row>
    <row r="42" spans="2:10" x14ac:dyDescent="0.25">
      <c r="B42" t="s">
        <v>79</v>
      </c>
      <c r="C42" t="s">
        <v>47</v>
      </c>
      <c r="D42">
        <v>1</v>
      </c>
      <c r="E42" t="s">
        <v>48</v>
      </c>
      <c r="G42" t="s">
        <v>136</v>
      </c>
      <c r="H42" t="s">
        <v>47</v>
      </c>
      <c r="I42">
        <v>1</v>
      </c>
      <c r="J42" t="s">
        <v>48</v>
      </c>
    </row>
    <row r="43" spans="2:10" x14ac:dyDescent="0.25">
      <c r="B43" t="s">
        <v>80</v>
      </c>
      <c r="C43" t="s">
        <v>47</v>
      </c>
      <c r="D43">
        <v>1</v>
      </c>
      <c r="E43" t="s">
        <v>48</v>
      </c>
      <c r="G43" t="s">
        <v>137</v>
      </c>
      <c r="H43" t="s">
        <v>47</v>
      </c>
      <c r="I43">
        <v>1</v>
      </c>
      <c r="J43" t="s">
        <v>48</v>
      </c>
    </row>
    <row r="44" spans="2:10" x14ac:dyDescent="0.25">
      <c r="B44" t="s">
        <v>81</v>
      </c>
      <c r="C44" t="s">
        <v>47</v>
      </c>
      <c r="D44">
        <v>1</v>
      </c>
      <c r="E44" t="s">
        <v>48</v>
      </c>
      <c r="G44" t="s">
        <v>138</v>
      </c>
      <c r="H44" t="s">
        <v>47</v>
      </c>
      <c r="I44">
        <v>1</v>
      </c>
      <c r="J44" t="s">
        <v>48</v>
      </c>
    </row>
    <row r="45" spans="2:10" x14ac:dyDescent="0.25">
      <c r="B45" t="s">
        <v>82</v>
      </c>
      <c r="C45" t="s">
        <v>47</v>
      </c>
      <c r="D45">
        <v>1</v>
      </c>
      <c r="E45" t="s">
        <v>48</v>
      </c>
      <c r="G45" t="s">
        <v>139</v>
      </c>
      <c r="H45" t="s">
        <v>47</v>
      </c>
      <c r="I45">
        <v>1</v>
      </c>
      <c r="J45" t="s">
        <v>48</v>
      </c>
    </row>
    <row r="46" spans="2:10" x14ac:dyDescent="0.25">
      <c r="B46" t="s">
        <v>83</v>
      </c>
      <c r="C46" t="s">
        <v>47</v>
      </c>
      <c r="D46">
        <v>1</v>
      </c>
      <c r="E46" t="s">
        <v>48</v>
      </c>
      <c r="G46" t="s">
        <v>140</v>
      </c>
      <c r="H46" t="s">
        <v>47</v>
      </c>
      <c r="I46">
        <v>1</v>
      </c>
      <c r="J46" t="s">
        <v>48</v>
      </c>
    </row>
    <row r="47" spans="2:10" x14ac:dyDescent="0.25">
      <c r="B47" t="s">
        <v>84</v>
      </c>
      <c r="C47" t="s">
        <v>47</v>
      </c>
      <c r="D47">
        <v>1</v>
      </c>
      <c r="E47" t="s">
        <v>48</v>
      </c>
      <c r="G47" t="s">
        <v>141</v>
      </c>
      <c r="H47" t="s">
        <v>47</v>
      </c>
      <c r="I47">
        <v>1</v>
      </c>
      <c r="J47" t="s">
        <v>48</v>
      </c>
    </row>
    <row r="48" spans="2:10" x14ac:dyDescent="0.25">
      <c r="B48" t="s">
        <v>85</v>
      </c>
      <c r="C48" t="s">
        <v>47</v>
      </c>
      <c r="D48">
        <v>1</v>
      </c>
      <c r="E48" t="s">
        <v>48</v>
      </c>
      <c r="G48" t="s">
        <v>142</v>
      </c>
      <c r="H48" t="s">
        <v>47</v>
      </c>
      <c r="I48">
        <v>1</v>
      </c>
      <c r="J48" t="s">
        <v>48</v>
      </c>
    </row>
    <row r="49" spans="2:10" x14ac:dyDescent="0.25">
      <c r="B49" t="s">
        <v>86</v>
      </c>
      <c r="C49" t="s">
        <v>47</v>
      </c>
      <c r="D49">
        <v>1</v>
      </c>
      <c r="E49" t="s">
        <v>48</v>
      </c>
      <c r="G49" t="s">
        <v>143</v>
      </c>
      <c r="H49" t="s">
        <v>47</v>
      </c>
      <c r="I49">
        <v>1</v>
      </c>
      <c r="J49" t="s">
        <v>48</v>
      </c>
    </row>
    <row r="50" spans="2:10" x14ac:dyDescent="0.25">
      <c r="B50" t="s">
        <v>87</v>
      </c>
      <c r="C50" t="s">
        <v>47</v>
      </c>
      <c r="D50">
        <v>1</v>
      </c>
      <c r="E50" t="s">
        <v>48</v>
      </c>
      <c r="G50" t="s">
        <v>144</v>
      </c>
      <c r="H50" t="s">
        <v>47</v>
      </c>
      <c r="I50">
        <v>1</v>
      </c>
      <c r="J50" t="s">
        <v>48</v>
      </c>
    </row>
    <row r="51" spans="2:10" x14ac:dyDescent="0.25">
      <c r="B51" t="s">
        <v>88</v>
      </c>
      <c r="C51" t="s">
        <v>47</v>
      </c>
      <c r="D51">
        <v>1</v>
      </c>
      <c r="E51" t="s">
        <v>48</v>
      </c>
      <c r="G51" t="s">
        <v>145</v>
      </c>
      <c r="H51" t="s">
        <v>47</v>
      </c>
      <c r="I51">
        <v>1</v>
      </c>
      <c r="J51" t="s">
        <v>48</v>
      </c>
    </row>
    <row r="52" spans="2:10" x14ac:dyDescent="0.25">
      <c r="B52" t="s">
        <v>89</v>
      </c>
      <c r="C52" t="s">
        <v>47</v>
      </c>
      <c r="D52">
        <v>1</v>
      </c>
      <c r="E52" t="s">
        <v>48</v>
      </c>
      <c r="G52" t="s">
        <v>146</v>
      </c>
      <c r="H52" t="s">
        <v>47</v>
      </c>
      <c r="I52">
        <v>1</v>
      </c>
      <c r="J52" t="s">
        <v>48</v>
      </c>
    </row>
    <row r="53" spans="2:10" x14ac:dyDescent="0.25">
      <c r="B53" t="s">
        <v>90</v>
      </c>
      <c r="C53" t="s">
        <v>47</v>
      </c>
      <c r="D53">
        <v>1</v>
      </c>
      <c r="E53" t="s">
        <v>48</v>
      </c>
      <c r="G53" t="s">
        <v>147</v>
      </c>
      <c r="H53" t="s">
        <v>47</v>
      </c>
      <c r="I53">
        <v>1</v>
      </c>
      <c r="J53" t="s">
        <v>48</v>
      </c>
    </row>
    <row r="54" spans="2:10" x14ac:dyDescent="0.25">
      <c r="B54" t="s">
        <v>91</v>
      </c>
      <c r="C54" t="s">
        <v>47</v>
      </c>
      <c r="D54">
        <v>1</v>
      </c>
      <c r="E54" t="s">
        <v>48</v>
      </c>
      <c r="G54" t="s">
        <v>148</v>
      </c>
      <c r="H54" t="s">
        <v>47</v>
      </c>
      <c r="I54">
        <v>1</v>
      </c>
      <c r="J54" t="s">
        <v>48</v>
      </c>
    </row>
    <row r="55" spans="2:10" x14ac:dyDescent="0.25">
      <c r="B55" t="s">
        <v>92</v>
      </c>
      <c r="C55" t="s">
        <v>47</v>
      </c>
      <c r="D55">
        <v>1</v>
      </c>
      <c r="E55" t="s">
        <v>48</v>
      </c>
      <c r="G55" t="s">
        <v>149</v>
      </c>
      <c r="H55" t="s">
        <v>47</v>
      </c>
      <c r="I55">
        <v>1</v>
      </c>
      <c r="J55" t="s">
        <v>48</v>
      </c>
    </row>
    <row r="56" spans="2:10" x14ac:dyDescent="0.25">
      <c r="B56" t="s">
        <v>93</v>
      </c>
      <c r="C56" t="s">
        <v>47</v>
      </c>
      <c r="D56">
        <v>1</v>
      </c>
      <c r="E56" t="s">
        <v>48</v>
      </c>
      <c r="G56" t="s">
        <v>150</v>
      </c>
      <c r="H56" t="s">
        <v>47</v>
      </c>
      <c r="I56">
        <v>1</v>
      </c>
      <c r="J56" t="s">
        <v>48</v>
      </c>
    </row>
    <row r="57" spans="2:10" x14ac:dyDescent="0.25">
      <c r="B57" t="s">
        <v>94</v>
      </c>
      <c r="C57" t="s">
        <v>47</v>
      </c>
      <c r="D57">
        <v>1</v>
      </c>
      <c r="E57" t="s">
        <v>48</v>
      </c>
      <c r="G57" t="s">
        <v>151</v>
      </c>
      <c r="H57" t="s">
        <v>47</v>
      </c>
      <c r="I57">
        <v>1</v>
      </c>
      <c r="J57" t="s">
        <v>48</v>
      </c>
    </row>
    <row r="58" spans="2:10" x14ac:dyDescent="0.25">
      <c r="B58" t="s">
        <v>95</v>
      </c>
      <c r="C58" t="s">
        <v>47</v>
      </c>
      <c r="D58">
        <v>1</v>
      </c>
      <c r="E58" t="s">
        <v>48</v>
      </c>
      <c r="G58" t="s">
        <v>152</v>
      </c>
      <c r="H58" t="s">
        <v>47</v>
      </c>
      <c r="I58">
        <v>1</v>
      </c>
      <c r="J58" t="s">
        <v>48</v>
      </c>
    </row>
    <row r="59" spans="2:10" x14ac:dyDescent="0.25">
      <c r="B59" t="s">
        <v>96</v>
      </c>
      <c r="C59" t="s">
        <v>47</v>
      </c>
      <c r="D59">
        <v>1</v>
      </c>
      <c r="E59" t="s">
        <v>48</v>
      </c>
      <c r="G59" t="s">
        <v>153</v>
      </c>
      <c r="H59" t="s">
        <v>47</v>
      </c>
      <c r="I59">
        <v>1</v>
      </c>
      <c r="J59" t="s">
        <v>48</v>
      </c>
    </row>
    <row r="60" spans="2:10" x14ac:dyDescent="0.25">
      <c r="B60" t="s">
        <v>97</v>
      </c>
      <c r="C60" t="s">
        <v>47</v>
      </c>
      <c r="D60">
        <v>1</v>
      </c>
      <c r="E60" t="s">
        <v>48</v>
      </c>
      <c r="G60" t="s">
        <v>154</v>
      </c>
      <c r="H60" t="s">
        <v>47</v>
      </c>
      <c r="I60">
        <v>1</v>
      </c>
      <c r="J60" t="s">
        <v>48</v>
      </c>
    </row>
    <row r="61" spans="2:10" x14ac:dyDescent="0.25">
      <c r="B61" t="s">
        <v>98</v>
      </c>
      <c r="C61" t="s">
        <v>47</v>
      </c>
      <c r="D61">
        <v>1</v>
      </c>
      <c r="E61" t="s">
        <v>48</v>
      </c>
      <c r="G61" t="s">
        <v>155</v>
      </c>
      <c r="H61" t="s">
        <v>47</v>
      </c>
      <c r="I61">
        <v>1</v>
      </c>
      <c r="J61" t="s">
        <v>48</v>
      </c>
    </row>
    <row r="62" spans="2:10" x14ac:dyDescent="0.25">
      <c r="B62" t="s">
        <v>99</v>
      </c>
      <c r="C62" t="s">
        <v>47</v>
      </c>
      <c r="D62">
        <v>1</v>
      </c>
      <c r="E62" t="s">
        <v>48</v>
      </c>
      <c r="G62" t="s">
        <v>156</v>
      </c>
      <c r="H62" t="s">
        <v>47</v>
      </c>
      <c r="I62">
        <v>1</v>
      </c>
      <c r="J62" t="s">
        <v>48</v>
      </c>
    </row>
    <row r="63" spans="2:10" x14ac:dyDescent="0.25">
      <c r="B63" t="s">
        <v>100</v>
      </c>
      <c r="C63" t="s">
        <v>47</v>
      </c>
      <c r="D63">
        <v>1</v>
      </c>
      <c r="E63" t="s">
        <v>48</v>
      </c>
      <c r="G63" t="s">
        <v>157</v>
      </c>
      <c r="H63" t="s">
        <v>47</v>
      </c>
      <c r="I63">
        <v>1</v>
      </c>
      <c r="J63" t="s">
        <v>48</v>
      </c>
    </row>
    <row r="64" spans="2:10" x14ac:dyDescent="0.25">
      <c r="B64" t="s">
        <v>101</v>
      </c>
      <c r="C64" t="s">
        <v>47</v>
      </c>
      <c r="D64">
        <v>1</v>
      </c>
      <c r="E64" t="s">
        <v>48</v>
      </c>
      <c r="G64" t="s">
        <v>158</v>
      </c>
      <c r="H64" t="s">
        <v>47</v>
      </c>
      <c r="I64">
        <v>1</v>
      </c>
      <c r="J64" t="s">
        <v>48</v>
      </c>
    </row>
    <row r="65" spans="2:10" x14ac:dyDescent="0.25">
      <c r="B65" t="s">
        <v>102</v>
      </c>
      <c r="C65" t="s">
        <v>47</v>
      </c>
      <c r="D65">
        <v>1</v>
      </c>
      <c r="E65" t="s">
        <v>48</v>
      </c>
      <c r="G65" t="s">
        <v>159</v>
      </c>
      <c r="H65" t="s">
        <v>47</v>
      </c>
      <c r="I65">
        <v>1</v>
      </c>
      <c r="J65" t="s">
        <v>48</v>
      </c>
    </row>
    <row r="66" spans="2:10" x14ac:dyDescent="0.25">
      <c r="B66" t="s">
        <v>103</v>
      </c>
      <c r="C66" t="s">
        <v>47</v>
      </c>
      <c r="D66">
        <v>1</v>
      </c>
      <c r="E66" t="s">
        <v>48</v>
      </c>
      <c r="G66" t="s">
        <v>160</v>
      </c>
      <c r="H66" t="s">
        <v>47</v>
      </c>
      <c r="I66">
        <v>1</v>
      </c>
      <c r="J66" t="s">
        <v>48</v>
      </c>
    </row>
    <row r="67" spans="2:10" x14ac:dyDescent="0.25">
      <c r="B67" t="s">
        <v>104</v>
      </c>
      <c r="C67" t="s">
        <v>47</v>
      </c>
      <c r="D67">
        <v>1</v>
      </c>
      <c r="E67" t="s">
        <v>48</v>
      </c>
      <c r="G67" t="s">
        <v>161</v>
      </c>
      <c r="H67" t="s">
        <v>47</v>
      </c>
      <c r="I67">
        <v>1</v>
      </c>
      <c r="J67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C9DF-3384-4BD1-9FBD-CED67E3353CE}">
  <dimension ref="B9:AF134"/>
  <sheetViews>
    <sheetView workbookViewId="0"/>
  </sheetViews>
  <sheetFormatPr defaultRowHeight="15" x14ac:dyDescent="0.25"/>
  <sheetData>
    <row r="9" spans="2:32" x14ac:dyDescent="0.25">
      <c r="B9" t="str">
        <f>IF(A11="x","DeActivated","~TFM_DINS-TSL: attribute=FLO_EMIS; other_indexes=ACT")</f>
        <v>~TFM_DINS-TSL: attribute=FLO_EMIS; other_indexes=ACT</v>
      </c>
      <c r="F9" t="str">
        <f>IF(A11="x","DeActivated","~TFM_DINS-TSL: attribute=FLO_SHAR; limtype=FX")</f>
        <v>~TFM_DINS-TSL: attribute=FLO_SHAR; limtype=FX</v>
      </c>
      <c r="J9" t="str">
        <f>IF(A11="x","DeActivated","~TFM_DINS-TSL: attribute=FLO_SHAR; limtype=FX")</f>
        <v>~TFM_DINS-TSL: attribute=FLO_SHAR; limtype=FX</v>
      </c>
      <c r="N9" t="str">
        <f>IF(A11="x","DeActivated","~TFM_DINS-TSL: attribute=FLO_SHAR; limtype=FX")</f>
        <v>~TFM_DINS-TSL: attribute=FLO_SHAR; limtype=FX</v>
      </c>
      <c r="R9" t="str">
        <f>IF(A11="x","DeActivated","~TFM_INS")</f>
        <v>~TFM_INS</v>
      </c>
      <c r="Z9" t="str">
        <f>IF(A11="x","DeActivated","~TFM_DINS-TSL: attribute=NCAP_PKCNT")</f>
        <v>~TFM_DINS-TSL: attribute=NCAP_PKCNT</v>
      </c>
      <c r="AC9" t="str">
        <f>IF(A11="x","DeActivated","~TFM_DINS-AT")</f>
        <v>~TFM_DINS-AT</v>
      </c>
    </row>
    <row r="10" spans="2:32" x14ac:dyDescent="0.25">
      <c r="B10" t="s">
        <v>45</v>
      </c>
      <c r="C10" t="s">
        <v>42</v>
      </c>
      <c r="D10" t="s">
        <v>47</v>
      </c>
      <c r="F10" t="s">
        <v>45</v>
      </c>
      <c r="G10" t="s">
        <v>42</v>
      </c>
      <c r="H10" t="s">
        <v>47</v>
      </c>
      <c r="J10" t="s">
        <v>45</v>
      </c>
      <c r="K10" t="s">
        <v>42</v>
      </c>
      <c r="L10" t="s">
        <v>47</v>
      </c>
      <c r="N10" t="s">
        <v>45</v>
      </c>
      <c r="O10" t="s">
        <v>42</v>
      </c>
      <c r="P10" t="s">
        <v>47</v>
      </c>
      <c r="R10" t="s">
        <v>299</v>
      </c>
      <c r="S10" t="s">
        <v>45</v>
      </c>
      <c r="T10" t="s">
        <v>42</v>
      </c>
      <c r="U10" t="s">
        <v>300</v>
      </c>
      <c r="V10" t="s">
        <v>301</v>
      </c>
      <c r="W10" t="s">
        <v>302</v>
      </c>
      <c r="X10" t="s">
        <v>43</v>
      </c>
      <c r="Z10" t="s">
        <v>45</v>
      </c>
      <c r="AA10" t="s">
        <v>47</v>
      </c>
      <c r="AC10" t="s">
        <v>45</v>
      </c>
      <c r="AD10" t="s">
        <v>42</v>
      </c>
      <c r="AE10" t="s">
        <v>307</v>
      </c>
      <c r="AF10" t="s">
        <v>308</v>
      </c>
    </row>
    <row r="11" spans="2:32" x14ac:dyDescent="0.25">
      <c r="B11" t="s">
        <v>172</v>
      </c>
      <c r="C11" t="s">
        <v>31</v>
      </c>
      <c r="D11">
        <v>0.63011104610510116</v>
      </c>
      <c r="F11" t="s">
        <v>172</v>
      </c>
      <c r="G11" t="s">
        <v>296</v>
      </c>
      <c r="H11">
        <v>0.29598660449562608</v>
      </c>
      <c r="J11" t="s">
        <v>172</v>
      </c>
      <c r="K11" t="s">
        <v>297</v>
      </c>
      <c r="L11">
        <v>0.16695557875190686</v>
      </c>
      <c r="N11" t="s">
        <v>172</v>
      </c>
      <c r="O11" t="s">
        <v>298</v>
      </c>
      <c r="P11">
        <v>3.6018432489027109E-4</v>
      </c>
      <c r="R11" t="s">
        <v>303</v>
      </c>
      <c r="S11" t="s">
        <v>304</v>
      </c>
      <c r="T11" t="s">
        <v>305</v>
      </c>
      <c r="U11">
        <v>0</v>
      </c>
      <c r="V11" t="s">
        <v>306</v>
      </c>
      <c r="W11">
        <v>3</v>
      </c>
      <c r="X11" t="s">
        <v>47</v>
      </c>
      <c r="Z11" t="s">
        <v>172</v>
      </c>
      <c r="AA11">
        <v>0.11391107602748705</v>
      </c>
      <c r="AC11" t="s">
        <v>172</v>
      </c>
      <c r="AD11" t="s">
        <v>309</v>
      </c>
      <c r="AE11" t="s">
        <v>310</v>
      </c>
      <c r="AF11">
        <v>0.11391107602748705</v>
      </c>
    </row>
    <row r="12" spans="2:32" x14ac:dyDescent="0.25">
      <c r="B12" t="s">
        <v>173</v>
      </c>
      <c r="C12" t="s">
        <v>31</v>
      </c>
      <c r="D12">
        <v>0.62619194383387655</v>
      </c>
      <c r="F12" t="s">
        <v>173</v>
      </c>
      <c r="G12" t="s">
        <v>296</v>
      </c>
      <c r="H12">
        <v>0.2719259638468986</v>
      </c>
      <c r="J12" t="s">
        <v>173</v>
      </c>
      <c r="K12" t="s">
        <v>297</v>
      </c>
      <c r="L12">
        <v>0.18644487708840715</v>
      </c>
      <c r="N12" t="s">
        <v>173</v>
      </c>
      <c r="O12" t="s">
        <v>298</v>
      </c>
      <c r="P12">
        <v>5.4699045078332833E-4</v>
      </c>
      <c r="Z12" t="s">
        <v>173</v>
      </c>
      <c r="AA12">
        <v>0.11410672101653599</v>
      </c>
      <c r="AC12" t="s">
        <v>173</v>
      </c>
      <c r="AD12" t="s">
        <v>309</v>
      </c>
      <c r="AE12" t="s">
        <v>310</v>
      </c>
      <c r="AF12">
        <v>0.11410672101653599</v>
      </c>
    </row>
    <row r="13" spans="2:32" x14ac:dyDescent="0.25">
      <c r="B13" t="s">
        <v>174</v>
      </c>
      <c r="C13" t="s">
        <v>31</v>
      </c>
      <c r="D13">
        <v>0.62968526030299188</v>
      </c>
      <c r="F13" t="s">
        <v>174</v>
      </c>
      <c r="G13" t="s">
        <v>296</v>
      </c>
      <c r="H13">
        <v>0.29193253255565282</v>
      </c>
      <c r="J13" t="s">
        <v>174</v>
      </c>
      <c r="K13" t="s">
        <v>297</v>
      </c>
      <c r="L13">
        <v>0.17180728915223825</v>
      </c>
      <c r="N13" t="s">
        <v>174</v>
      </c>
      <c r="O13" t="s">
        <v>298</v>
      </c>
      <c r="P13">
        <v>0</v>
      </c>
      <c r="Z13" t="s">
        <v>174</v>
      </c>
      <c r="AA13">
        <v>0.11296547356238304</v>
      </c>
      <c r="AC13" t="s">
        <v>174</v>
      </c>
      <c r="AD13" t="s">
        <v>309</v>
      </c>
      <c r="AE13" t="s">
        <v>310</v>
      </c>
      <c r="AF13">
        <v>0.11296547356238304</v>
      </c>
    </row>
    <row r="14" spans="2:32" x14ac:dyDescent="0.25">
      <c r="B14" t="s">
        <v>175</v>
      </c>
      <c r="C14" t="s">
        <v>31</v>
      </c>
      <c r="D14">
        <v>0.62565537247386993</v>
      </c>
      <c r="F14" t="s">
        <v>175</v>
      </c>
      <c r="G14" t="s">
        <v>296</v>
      </c>
      <c r="H14">
        <v>0.28031497041138054</v>
      </c>
      <c r="J14" t="s">
        <v>175</v>
      </c>
      <c r="K14" t="s">
        <v>297</v>
      </c>
      <c r="L14">
        <v>0.17424281934509925</v>
      </c>
      <c r="N14" t="s">
        <v>175</v>
      </c>
      <c r="O14" t="s">
        <v>298</v>
      </c>
      <c r="P14">
        <v>9.7110922406034781E-4</v>
      </c>
      <c r="Z14" t="s">
        <v>175</v>
      </c>
      <c r="AA14">
        <v>0.11353819189047255</v>
      </c>
      <c r="AC14" t="s">
        <v>175</v>
      </c>
      <c r="AD14" t="s">
        <v>309</v>
      </c>
      <c r="AE14" t="s">
        <v>310</v>
      </c>
      <c r="AF14">
        <v>0.11353819189047255</v>
      </c>
    </row>
    <row r="15" spans="2:32" x14ac:dyDescent="0.25">
      <c r="B15" t="s">
        <v>176</v>
      </c>
      <c r="C15" t="s">
        <v>31</v>
      </c>
      <c r="D15">
        <v>0.62348182557862131</v>
      </c>
      <c r="F15" t="s">
        <v>176</v>
      </c>
      <c r="G15" t="s">
        <v>296</v>
      </c>
      <c r="H15">
        <v>0.27261766034748636</v>
      </c>
      <c r="J15" t="s">
        <v>176</v>
      </c>
      <c r="K15" t="s">
        <v>297</v>
      </c>
      <c r="L15">
        <v>0.17900079516392761</v>
      </c>
      <c r="N15" t="s">
        <v>176</v>
      </c>
      <c r="O15" t="s">
        <v>298</v>
      </c>
      <c r="P15">
        <v>8.416128131341602E-4</v>
      </c>
      <c r="Z15" t="s">
        <v>176</v>
      </c>
      <c r="AA15">
        <v>0.11436928186387632</v>
      </c>
      <c r="AC15" t="s">
        <v>176</v>
      </c>
      <c r="AD15" t="s">
        <v>309</v>
      </c>
      <c r="AE15" t="s">
        <v>310</v>
      </c>
      <c r="AF15">
        <v>0.11436928186387632</v>
      </c>
    </row>
    <row r="16" spans="2:32" x14ac:dyDescent="0.25">
      <c r="B16" t="s">
        <v>177</v>
      </c>
      <c r="C16" t="s">
        <v>31</v>
      </c>
      <c r="D16">
        <v>0.6196633158737852</v>
      </c>
      <c r="F16" t="s">
        <v>177</v>
      </c>
      <c r="G16" t="s">
        <v>296</v>
      </c>
      <c r="H16">
        <v>0.2963160116929891</v>
      </c>
      <c r="J16" t="s">
        <v>177</v>
      </c>
      <c r="K16" t="s">
        <v>297</v>
      </c>
      <c r="L16">
        <v>0.15437172677317851</v>
      </c>
      <c r="N16" t="s">
        <v>177</v>
      </c>
      <c r="O16" t="s">
        <v>298</v>
      </c>
      <c r="P16">
        <v>0</v>
      </c>
      <c r="Z16" t="s">
        <v>177</v>
      </c>
      <c r="AA16">
        <v>0.1131603596978495</v>
      </c>
      <c r="AC16" t="s">
        <v>177</v>
      </c>
      <c r="AD16" t="s">
        <v>309</v>
      </c>
      <c r="AE16" t="s">
        <v>310</v>
      </c>
      <c r="AF16">
        <v>0.1131603596978495</v>
      </c>
    </row>
    <row r="17" spans="2:32" x14ac:dyDescent="0.25">
      <c r="B17" t="s">
        <v>178</v>
      </c>
      <c r="C17" t="s">
        <v>31</v>
      </c>
      <c r="D17">
        <v>0.61750926994379418</v>
      </c>
      <c r="F17" t="s">
        <v>178</v>
      </c>
      <c r="G17" t="s">
        <v>296</v>
      </c>
      <c r="H17">
        <v>0.28358186249048911</v>
      </c>
      <c r="J17" t="s">
        <v>178</v>
      </c>
      <c r="K17" t="s">
        <v>297</v>
      </c>
      <c r="L17">
        <v>0.16093748773077771</v>
      </c>
      <c r="N17" t="s">
        <v>178</v>
      </c>
      <c r="O17" t="s">
        <v>298</v>
      </c>
      <c r="P17">
        <v>4.660128241636268E-4</v>
      </c>
      <c r="Z17" t="s">
        <v>178</v>
      </c>
      <c r="AA17">
        <v>0.11861051261448252</v>
      </c>
      <c r="AC17" t="s">
        <v>178</v>
      </c>
      <c r="AD17" t="s">
        <v>309</v>
      </c>
      <c r="AE17" t="s">
        <v>310</v>
      </c>
      <c r="AF17">
        <v>0.11861051261448252</v>
      </c>
    </row>
    <row r="18" spans="2:32" x14ac:dyDescent="0.25">
      <c r="B18" t="s">
        <v>179</v>
      </c>
      <c r="C18" t="s">
        <v>31</v>
      </c>
      <c r="D18">
        <v>0.63137772648541957</v>
      </c>
      <c r="F18" t="s">
        <v>179</v>
      </c>
      <c r="G18" t="s">
        <v>296</v>
      </c>
      <c r="H18">
        <v>0.29195284969809143</v>
      </c>
      <c r="J18" t="s">
        <v>179</v>
      </c>
      <c r="K18" t="s">
        <v>297</v>
      </c>
      <c r="L18">
        <v>0.1726909727090287</v>
      </c>
      <c r="N18" t="s">
        <v>179</v>
      </c>
      <c r="O18" t="s">
        <v>298</v>
      </c>
      <c r="P18">
        <v>7.8329135510139846E-4</v>
      </c>
      <c r="Z18" t="s">
        <v>179</v>
      </c>
      <c r="AA18">
        <v>0.11717036776771919</v>
      </c>
      <c r="AC18" t="s">
        <v>179</v>
      </c>
      <c r="AD18" t="s">
        <v>309</v>
      </c>
      <c r="AE18" t="s">
        <v>310</v>
      </c>
      <c r="AF18">
        <v>0.11717036776771919</v>
      </c>
    </row>
    <row r="19" spans="2:32" x14ac:dyDescent="0.25">
      <c r="B19" t="s">
        <v>180</v>
      </c>
      <c r="C19" t="s">
        <v>31</v>
      </c>
      <c r="D19">
        <v>0.62980055373754407</v>
      </c>
      <c r="F19" t="s">
        <v>180</v>
      </c>
      <c r="G19" t="s">
        <v>296</v>
      </c>
      <c r="H19">
        <v>0.28570228967478345</v>
      </c>
      <c r="J19" t="s">
        <v>180</v>
      </c>
      <c r="K19" t="s">
        <v>297</v>
      </c>
      <c r="L19">
        <v>0.17725595672812175</v>
      </c>
      <c r="N19" t="s">
        <v>180</v>
      </c>
      <c r="O19" t="s">
        <v>298</v>
      </c>
      <c r="P19">
        <v>0</v>
      </c>
      <c r="Z19" t="s">
        <v>180</v>
      </c>
      <c r="AA19">
        <v>0.11991763444217129</v>
      </c>
      <c r="AC19" t="s">
        <v>180</v>
      </c>
      <c r="AD19" t="s">
        <v>309</v>
      </c>
      <c r="AE19" t="s">
        <v>310</v>
      </c>
      <c r="AF19">
        <v>0.11991763444217129</v>
      </c>
    </row>
    <row r="20" spans="2:32" x14ac:dyDescent="0.25">
      <c r="B20" t="s">
        <v>181</v>
      </c>
      <c r="C20" t="s">
        <v>31</v>
      </c>
      <c r="D20">
        <v>0.63051810399572739</v>
      </c>
      <c r="F20" t="s">
        <v>181</v>
      </c>
      <c r="G20" t="s">
        <v>296</v>
      </c>
      <c r="H20">
        <v>0.28618050499296127</v>
      </c>
      <c r="J20" t="s">
        <v>181</v>
      </c>
      <c r="K20" t="s">
        <v>297</v>
      </c>
      <c r="L20">
        <v>0.17590063755150614</v>
      </c>
      <c r="N20" t="s">
        <v>181</v>
      </c>
      <c r="O20" t="s">
        <v>298</v>
      </c>
      <c r="P20">
        <v>5.239843540562237E-4</v>
      </c>
      <c r="Z20" t="s">
        <v>181</v>
      </c>
      <c r="AA20">
        <v>0.1175999301083421</v>
      </c>
      <c r="AC20" t="s">
        <v>181</v>
      </c>
      <c r="AD20" t="s">
        <v>309</v>
      </c>
      <c r="AE20" t="s">
        <v>310</v>
      </c>
      <c r="AF20">
        <v>0.1175999301083421</v>
      </c>
    </row>
    <row r="21" spans="2:32" x14ac:dyDescent="0.25">
      <c r="B21" t="s">
        <v>182</v>
      </c>
      <c r="C21" t="s">
        <v>31</v>
      </c>
      <c r="D21">
        <v>0.6285483518887659</v>
      </c>
      <c r="F21" t="s">
        <v>182</v>
      </c>
      <c r="G21" t="s">
        <v>296</v>
      </c>
      <c r="H21">
        <v>0.28095432349540483</v>
      </c>
      <c r="J21" t="s">
        <v>182</v>
      </c>
      <c r="K21" t="s">
        <v>297</v>
      </c>
      <c r="L21">
        <v>0.17966500292195636</v>
      </c>
      <c r="N21" t="s">
        <v>182</v>
      </c>
      <c r="O21" t="s">
        <v>298</v>
      </c>
      <c r="P21">
        <v>1.1066539659060656E-3</v>
      </c>
      <c r="Z21" t="s">
        <v>182</v>
      </c>
      <c r="AA21">
        <v>0.11537418231645434</v>
      </c>
      <c r="AC21" t="s">
        <v>182</v>
      </c>
      <c r="AD21" t="s">
        <v>309</v>
      </c>
      <c r="AE21" t="s">
        <v>310</v>
      </c>
      <c r="AF21">
        <v>0.11537418231645434</v>
      </c>
    </row>
    <row r="22" spans="2:32" x14ac:dyDescent="0.25">
      <c r="B22" t="s">
        <v>183</v>
      </c>
      <c r="C22" t="s">
        <v>31</v>
      </c>
      <c r="D22">
        <v>0.62173308010011652</v>
      </c>
      <c r="F22" t="s">
        <v>183</v>
      </c>
      <c r="G22" t="s">
        <v>296</v>
      </c>
      <c r="H22">
        <v>0.29472911005262925</v>
      </c>
      <c r="J22" t="s">
        <v>183</v>
      </c>
      <c r="K22" t="s">
        <v>297</v>
      </c>
      <c r="L22">
        <v>0.15916576314619316</v>
      </c>
      <c r="N22" t="s">
        <v>183</v>
      </c>
      <c r="O22" t="s">
        <v>298</v>
      </c>
      <c r="P22">
        <v>0</v>
      </c>
      <c r="Z22" t="s">
        <v>183</v>
      </c>
      <c r="AA22">
        <v>0.11251028949234958</v>
      </c>
      <c r="AC22" t="s">
        <v>183</v>
      </c>
      <c r="AD22" t="s">
        <v>309</v>
      </c>
      <c r="AE22" t="s">
        <v>310</v>
      </c>
      <c r="AF22">
        <v>0.11251028949234958</v>
      </c>
    </row>
    <row r="23" spans="2:32" x14ac:dyDescent="0.25">
      <c r="B23" t="s">
        <v>184</v>
      </c>
      <c r="C23" t="s">
        <v>31</v>
      </c>
      <c r="D23">
        <v>0.62783478072195553</v>
      </c>
      <c r="F23" t="s">
        <v>184</v>
      </c>
      <c r="G23" t="s">
        <v>296</v>
      </c>
      <c r="H23">
        <v>0.28280847079138499</v>
      </c>
      <c r="J23" t="s">
        <v>184</v>
      </c>
      <c r="K23" t="s">
        <v>297</v>
      </c>
      <c r="L23">
        <v>0.17572836178821349</v>
      </c>
      <c r="N23" t="s">
        <v>184</v>
      </c>
      <c r="O23" t="s">
        <v>298</v>
      </c>
      <c r="P23">
        <v>5.954298450477029E-4</v>
      </c>
      <c r="Z23" t="s">
        <v>184</v>
      </c>
      <c r="AA23">
        <v>0.12158428815969824</v>
      </c>
      <c r="AC23" t="s">
        <v>184</v>
      </c>
      <c r="AD23" t="s">
        <v>309</v>
      </c>
      <c r="AE23" t="s">
        <v>310</v>
      </c>
      <c r="AF23">
        <v>0.12158428815969824</v>
      </c>
    </row>
    <row r="24" spans="2:32" x14ac:dyDescent="0.25">
      <c r="B24" t="s">
        <v>185</v>
      </c>
      <c r="C24" t="s">
        <v>31</v>
      </c>
      <c r="D24">
        <v>0.62952738962231281</v>
      </c>
      <c r="F24" t="s">
        <v>185</v>
      </c>
      <c r="G24" t="s">
        <v>296</v>
      </c>
      <c r="H24">
        <v>0.28132404714522397</v>
      </c>
      <c r="J24" t="s">
        <v>185</v>
      </c>
      <c r="K24" t="s">
        <v>297</v>
      </c>
      <c r="L24">
        <v>0.17902863692846815</v>
      </c>
      <c r="N24" t="s">
        <v>185</v>
      </c>
      <c r="O24" t="s">
        <v>298</v>
      </c>
      <c r="P24">
        <v>9.3068893137651361E-4</v>
      </c>
      <c r="Z24" t="s">
        <v>185</v>
      </c>
      <c r="AA24">
        <v>0.11552740364842418</v>
      </c>
      <c r="AC24" t="s">
        <v>185</v>
      </c>
      <c r="AD24" t="s">
        <v>309</v>
      </c>
      <c r="AE24" t="s">
        <v>310</v>
      </c>
      <c r="AF24">
        <v>0.11552740364842418</v>
      </c>
    </row>
    <row r="25" spans="2:32" x14ac:dyDescent="0.25">
      <c r="B25" t="s">
        <v>186</v>
      </c>
      <c r="C25" t="s">
        <v>31</v>
      </c>
      <c r="D25">
        <v>0.62951374046559549</v>
      </c>
      <c r="F25" t="s">
        <v>186</v>
      </c>
      <c r="G25" t="s">
        <v>296</v>
      </c>
      <c r="H25">
        <v>0.27676139590645421</v>
      </c>
      <c r="J25" t="s">
        <v>186</v>
      </c>
      <c r="K25" t="s">
        <v>297</v>
      </c>
      <c r="L25">
        <v>0.18568530860928664</v>
      </c>
      <c r="N25" t="s">
        <v>186</v>
      </c>
      <c r="O25" t="s">
        <v>298</v>
      </c>
      <c r="P25">
        <v>8.8372231508915733E-4</v>
      </c>
      <c r="Z25" t="s">
        <v>186</v>
      </c>
      <c r="AA25">
        <v>0.11414581407597467</v>
      </c>
      <c r="AC25" t="s">
        <v>186</v>
      </c>
      <c r="AD25" t="s">
        <v>309</v>
      </c>
      <c r="AE25" t="s">
        <v>310</v>
      </c>
      <c r="AF25">
        <v>0.11414581407597467</v>
      </c>
    </row>
    <row r="26" spans="2:32" x14ac:dyDescent="0.25">
      <c r="B26" t="s">
        <v>187</v>
      </c>
      <c r="C26" t="s">
        <v>31</v>
      </c>
      <c r="D26">
        <v>0.61844764510488759</v>
      </c>
      <c r="F26" t="s">
        <v>187</v>
      </c>
      <c r="G26" t="s">
        <v>296</v>
      </c>
      <c r="H26">
        <v>0.29295878881461285</v>
      </c>
      <c r="J26" t="s">
        <v>187</v>
      </c>
      <c r="K26" t="s">
        <v>297</v>
      </c>
      <c r="L26">
        <v>0.15623127674638568</v>
      </c>
      <c r="N26" t="s">
        <v>187</v>
      </c>
      <c r="O26" t="s">
        <v>298</v>
      </c>
      <c r="P26">
        <v>8.5219883195468757E-5</v>
      </c>
      <c r="Z26" t="s">
        <v>187</v>
      </c>
      <c r="AA26">
        <v>0.11776817921518076</v>
      </c>
      <c r="AC26" t="s">
        <v>187</v>
      </c>
      <c r="AD26" t="s">
        <v>309</v>
      </c>
      <c r="AE26" t="s">
        <v>310</v>
      </c>
      <c r="AF26">
        <v>0.11776817921518076</v>
      </c>
    </row>
    <row r="27" spans="2:32" x14ac:dyDescent="0.25">
      <c r="B27" t="s">
        <v>188</v>
      </c>
      <c r="C27" t="s">
        <v>31</v>
      </c>
      <c r="D27">
        <v>0.62617548549343804</v>
      </c>
      <c r="F27" t="s">
        <v>188</v>
      </c>
      <c r="G27" t="s">
        <v>296</v>
      </c>
      <c r="H27">
        <v>0.29451125126869937</v>
      </c>
      <c r="J27" t="s">
        <v>188</v>
      </c>
      <c r="K27" t="s">
        <v>297</v>
      </c>
      <c r="L27">
        <v>0.16584001123158298</v>
      </c>
      <c r="N27" t="s">
        <v>188</v>
      </c>
      <c r="O27" t="s">
        <v>298</v>
      </c>
      <c r="P27">
        <v>0</v>
      </c>
      <c r="Z27" t="s">
        <v>188</v>
      </c>
      <c r="AA27">
        <v>0.10993303811599589</v>
      </c>
      <c r="AC27" t="s">
        <v>188</v>
      </c>
      <c r="AD27" t="s">
        <v>309</v>
      </c>
      <c r="AE27" t="s">
        <v>310</v>
      </c>
      <c r="AF27">
        <v>0.10993303811599589</v>
      </c>
    </row>
    <row r="28" spans="2:32" x14ac:dyDescent="0.25">
      <c r="B28" t="s">
        <v>189</v>
      </c>
      <c r="C28" t="s">
        <v>31</v>
      </c>
      <c r="D28">
        <v>0.62900413136623234</v>
      </c>
      <c r="F28" t="s">
        <v>189</v>
      </c>
      <c r="G28" t="s">
        <v>296</v>
      </c>
      <c r="H28">
        <v>0.28518896897835899</v>
      </c>
      <c r="J28" t="s">
        <v>189</v>
      </c>
      <c r="K28" t="s">
        <v>297</v>
      </c>
      <c r="L28">
        <v>0.17582983185452936</v>
      </c>
      <c r="N28" t="s">
        <v>189</v>
      </c>
      <c r="O28" t="s">
        <v>298</v>
      </c>
      <c r="P28">
        <v>0</v>
      </c>
      <c r="Z28" t="s">
        <v>189</v>
      </c>
      <c r="AA28">
        <v>0.12079626960569213</v>
      </c>
      <c r="AC28" t="s">
        <v>189</v>
      </c>
      <c r="AD28" t="s">
        <v>309</v>
      </c>
      <c r="AE28" t="s">
        <v>310</v>
      </c>
      <c r="AF28">
        <v>0.12079626960569213</v>
      </c>
    </row>
    <row r="29" spans="2:32" x14ac:dyDescent="0.25">
      <c r="B29" t="s">
        <v>190</v>
      </c>
      <c r="C29" t="s">
        <v>31</v>
      </c>
      <c r="D29">
        <v>0.62017700110653873</v>
      </c>
      <c r="F29" t="s">
        <v>190</v>
      </c>
      <c r="G29" t="s">
        <v>296</v>
      </c>
      <c r="H29">
        <v>0.27711710481247492</v>
      </c>
      <c r="J29" t="s">
        <v>190</v>
      </c>
      <c r="K29" t="s">
        <v>297</v>
      </c>
      <c r="L29">
        <v>0.17179800535934117</v>
      </c>
      <c r="N29" t="s">
        <v>190</v>
      </c>
      <c r="O29" t="s">
        <v>298</v>
      </c>
      <c r="P29">
        <v>4.860419659509794E-4</v>
      </c>
      <c r="Z29" t="s">
        <v>190</v>
      </c>
      <c r="AA29">
        <v>0.11610506812468832</v>
      </c>
      <c r="AC29" t="s">
        <v>190</v>
      </c>
      <c r="AD29" t="s">
        <v>309</v>
      </c>
      <c r="AE29" t="s">
        <v>310</v>
      </c>
      <c r="AF29">
        <v>0.11610506812468832</v>
      </c>
    </row>
    <row r="30" spans="2:32" x14ac:dyDescent="0.25">
      <c r="B30" t="s">
        <v>191</v>
      </c>
      <c r="C30" t="s">
        <v>31</v>
      </c>
      <c r="D30">
        <v>0.63375196355669017</v>
      </c>
      <c r="F30" t="s">
        <v>191</v>
      </c>
      <c r="G30" t="s">
        <v>296</v>
      </c>
      <c r="H30">
        <v>0.28183000123182295</v>
      </c>
      <c r="J30" t="s">
        <v>191</v>
      </c>
      <c r="K30" t="s">
        <v>297</v>
      </c>
      <c r="L30">
        <v>0.18760240042735768</v>
      </c>
      <c r="N30" t="s">
        <v>191</v>
      </c>
      <c r="O30" t="s">
        <v>298</v>
      </c>
      <c r="P30">
        <v>8.4461736213571007E-4</v>
      </c>
      <c r="Z30" t="s">
        <v>191</v>
      </c>
      <c r="AA30">
        <v>0.11341373153732566</v>
      </c>
      <c r="AC30" t="s">
        <v>191</v>
      </c>
      <c r="AD30" t="s">
        <v>309</v>
      </c>
      <c r="AE30" t="s">
        <v>310</v>
      </c>
      <c r="AF30">
        <v>0.11341373153732566</v>
      </c>
    </row>
    <row r="31" spans="2:32" x14ac:dyDescent="0.25">
      <c r="B31" t="s">
        <v>192</v>
      </c>
      <c r="C31" t="s">
        <v>31</v>
      </c>
      <c r="D31">
        <v>0.61960752566667632</v>
      </c>
      <c r="F31" t="s">
        <v>192</v>
      </c>
      <c r="G31" t="s">
        <v>296</v>
      </c>
      <c r="H31">
        <v>0.27990879672655944</v>
      </c>
      <c r="J31" t="s">
        <v>192</v>
      </c>
      <c r="K31" t="s">
        <v>297</v>
      </c>
      <c r="L31">
        <v>0.16676285091122089</v>
      </c>
      <c r="N31" t="s">
        <v>192</v>
      </c>
      <c r="O31" t="s">
        <v>298</v>
      </c>
      <c r="P31">
        <v>2.3152315445680412E-4</v>
      </c>
      <c r="Z31" t="s">
        <v>192</v>
      </c>
      <c r="AA31">
        <v>0.11883966682526256</v>
      </c>
      <c r="AC31" t="s">
        <v>192</v>
      </c>
      <c r="AD31" t="s">
        <v>309</v>
      </c>
      <c r="AE31" t="s">
        <v>310</v>
      </c>
      <c r="AF31">
        <v>0.11883966682526256</v>
      </c>
    </row>
    <row r="32" spans="2:32" x14ac:dyDescent="0.25">
      <c r="B32" t="s">
        <v>193</v>
      </c>
      <c r="C32" t="s">
        <v>31</v>
      </c>
      <c r="D32">
        <v>0.62203472905787649</v>
      </c>
      <c r="F32" t="s">
        <v>193</v>
      </c>
      <c r="G32" t="s">
        <v>296</v>
      </c>
      <c r="H32">
        <v>0.29152588741217694</v>
      </c>
      <c r="J32" t="s">
        <v>193</v>
      </c>
      <c r="K32" t="s">
        <v>297</v>
      </c>
      <c r="L32">
        <v>0.16072917052361224</v>
      </c>
      <c r="N32" t="s">
        <v>193</v>
      </c>
      <c r="O32" t="s">
        <v>298</v>
      </c>
      <c r="P32">
        <v>4.7410890776298131E-4</v>
      </c>
      <c r="Z32" t="s">
        <v>193</v>
      </c>
      <c r="AA32">
        <v>0.11417405362997918</v>
      </c>
      <c r="AC32" t="s">
        <v>193</v>
      </c>
      <c r="AD32" t="s">
        <v>309</v>
      </c>
      <c r="AE32" t="s">
        <v>310</v>
      </c>
      <c r="AF32">
        <v>0.11417405362997918</v>
      </c>
    </row>
    <row r="33" spans="2:32" x14ac:dyDescent="0.25">
      <c r="B33" t="s">
        <v>194</v>
      </c>
      <c r="C33" t="s">
        <v>31</v>
      </c>
      <c r="D33">
        <v>0.62306202811124733</v>
      </c>
      <c r="F33" t="s">
        <v>194</v>
      </c>
      <c r="G33" t="s">
        <v>296</v>
      </c>
      <c r="H33">
        <v>0.28127223880194013</v>
      </c>
      <c r="J33" t="s">
        <v>194</v>
      </c>
      <c r="K33" t="s">
        <v>297</v>
      </c>
      <c r="L33">
        <v>0.17089867538687986</v>
      </c>
      <c r="N33" t="s">
        <v>194</v>
      </c>
      <c r="O33" t="s">
        <v>298</v>
      </c>
      <c r="P33">
        <v>8.3429509945515666E-4</v>
      </c>
      <c r="Z33" t="s">
        <v>194</v>
      </c>
      <c r="AA33">
        <v>0.11361943621418411</v>
      </c>
      <c r="AC33" t="s">
        <v>194</v>
      </c>
      <c r="AD33" t="s">
        <v>309</v>
      </c>
      <c r="AE33" t="s">
        <v>310</v>
      </c>
      <c r="AF33">
        <v>0.11361943621418411</v>
      </c>
    </row>
    <row r="34" spans="2:32" x14ac:dyDescent="0.25">
      <c r="B34" t="s">
        <v>195</v>
      </c>
      <c r="C34" t="s">
        <v>31</v>
      </c>
      <c r="D34">
        <v>0.63041358049712493</v>
      </c>
      <c r="F34" t="s">
        <v>195</v>
      </c>
      <c r="G34" t="s">
        <v>296</v>
      </c>
      <c r="H34">
        <v>0.28773022752230232</v>
      </c>
      <c r="J34" t="s">
        <v>195</v>
      </c>
      <c r="K34" t="s">
        <v>297</v>
      </c>
      <c r="L34">
        <v>0.17541951356833779</v>
      </c>
      <c r="N34" t="s">
        <v>195</v>
      </c>
      <c r="O34" t="s">
        <v>298</v>
      </c>
      <c r="P34">
        <v>8.507519675305365E-5</v>
      </c>
      <c r="Z34" t="s">
        <v>195</v>
      </c>
      <c r="AA34">
        <v>0.11830154446988723</v>
      </c>
      <c r="AC34" t="s">
        <v>195</v>
      </c>
      <c r="AD34" t="s">
        <v>309</v>
      </c>
      <c r="AE34" t="s">
        <v>310</v>
      </c>
      <c r="AF34">
        <v>0.11830154446988723</v>
      </c>
    </row>
    <row r="35" spans="2:32" x14ac:dyDescent="0.25">
      <c r="B35" t="s">
        <v>196</v>
      </c>
      <c r="C35" t="s">
        <v>31</v>
      </c>
      <c r="D35">
        <v>0.63033867068506888</v>
      </c>
      <c r="F35" t="s">
        <v>196</v>
      </c>
      <c r="G35" t="s">
        <v>296</v>
      </c>
      <c r="H35">
        <v>0.28967324504278819</v>
      </c>
      <c r="J35" t="s">
        <v>196</v>
      </c>
      <c r="K35" t="s">
        <v>297</v>
      </c>
      <c r="L35">
        <v>0.17288317990213684</v>
      </c>
      <c r="N35" t="s">
        <v>196</v>
      </c>
      <c r="O35" t="s">
        <v>298</v>
      </c>
      <c r="P35">
        <v>3.3062805203311427E-4</v>
      </c>
      <c r="Z35" t="s">
        <v>196</v>
      </c>
      <c r="AA35">
        <v>0.11587891615269977</v>
      </c>
      <c r="AC35" t="s">
        <v>196</v>
      </c>
      <c r="AD35" t="s">
        <v>309</v>
      </c>
      <c r="AE35" t="s">
        <v>310</v>
      </c>
      <c r="AF35">
        <v>0.11587891615269977</v>
      </c>
    </row>
    <row r="36" spans="2:32" x14ac:dyDescent="0.25">
      <c r="B36" t="s">
        <v>197</v>
      </c>
      <c r="C36" t="s">
        <v>31</v>
      </c>
      <c r="D36">
        <v>0.62369993681633473</v>
      </c>
      <c r="F36" t="s">
        <v>197</v>
      </c>
      <c r="G36" t="s">
        <v>296</v>
      </c>
      <c r="H36">
        <v>0.29512496778688235</v>
      </c>
      <c r="J36" t="s">
        <v>197</v>
      </c>
      <c r="K36" t="s">
        <v>297</v>
      </c>
      <c r="L36">
        <v>0.16188521563872887</v>
      </c>
      <c r="N36" t="s">
        <v>197</v>
      </c>
      <c r="O36" t="s">
        <v>298</v>
      </c>
      <c r="P36">
        <v>0</v>
      </c>
      <c r="Z36" t="s">
        <v>197</v>
      </c>
      <c r="AA36">
        <v>0.1121445292662429</v>
      </c>
      <c r="AC36" t="s">
        <v>197</v>
      </c>
      <c r="AD36" t="s">
        <v>309</v>
      </c>
      <c r="AE36" t="s">
        <v>310</v>
      </c>
      <c r="AF36">
        <v>0.1121445292662429</v>
      </c>
    </row>
    <row r="37" spans="2:32" x14ac:dyDescent="0.25">
      <c r="B37" t="s">
        <v>198</v>
      </c>
      <c r="C37" t="s">
        <v>31</v>
      </c>
      <c r="D37">
        <v>0.61750184514656348</v>
      </c>
      <c r="F37" t="s">
        <v>198</v>
      </c>
      <c r="G37" t="s">
        <v>296</v>
      </c>
      <c r="H37">
        <v>0.29597962512872578</v>
      </c>
      <c r="J37" t="s">
        <v>198</v>
      </c>
      <c r="K37" t="s">
        <v>297</v>
      </c>
      <c r="L37">
        <v>0.15085502440324905</v>
      </c>
      <c r="N37" t="s">
        <v>198</v>
      </c>
      <c r="O37" t="s">
        <v>298</v>
      </c>
      <c r="P37">
        <v>2.7234760874096366E-4</v>
      </c>
      <c r="Z37" t="s">
        <v>198</v>
      </c>
      <c r="AA37">
        <v>0.11741129251303135</v>
      </c>
      <c r="AC37" t="s">
        <v>198</v>
      </c>
      <c r="AD37" t="s">
        <v>309</v>
      </c>
      <c r="AE37" t="s">
        <v>310</v>
      </c>
      <c r="AF37">
        <v>0.11741129251303135</v>
      </c>
    </row>
    <row r="38" spans="2:32" x14ac:dyDescent="0.25">
      <c r="B38" t="s">
        <v>199</v>
      </c>
      <c r="C38" t="s">
        <v>31</v>
      </c>
      <c r="D38">
        <v>0.62000759526307081</v>
      </c>
      <c r="F38" t="s">
        <v>199</v>
      </c>
      <c r="G38" t="s">
        <v>296</v>
      </c>
      <c r="H38">
        <v>0.29797643304180482</v>
      </c>
      <c r="J38" t="s">
        <v>199</v>
      </c>
      <c r="K38" t="s">
        <v>297</v>
      </c>
      <c r="L38">
        <v>0.15297151157841979</v>
      </c>
      <c r="N38" t="s">
        <v>199</v>
      </c>
      <c r="O38" t="s">
        <v>298</v>
      </c>
      <c r="P38">
        <v>1.1382117963593244E-4</v>
      </c>
      <c r="Z38" t="s">
        <v>199</v>
      </c>
      <c r="AA38">
        <v>0.11584059474974234</v>
      </c>
      <c r="AC38" t="s">
        <v>199</v>
      </c>
      <c r="AD38" t="s">
        <v>309</v>
      </c>
      <c r="AE38" t="s">
        <v>310</v>
      </c>
      <c r="AF38">
        <v>0.11584059474974234</v>
      </c>
    </row>
    <row r="39" spans="2:32" x14ac:dyDescent="0.25">
      <c r="B39" t="s">
        <v>200</v>
      </c>
      <c r="C39" t="s">
        <v>31</v>
      </c>
      <c r="D39">
        <v>0.61747519568153586</v>
      </c>
      <c r="F39" t="s">
        <v>200</v>
      </c>
      <c r="G39" t="s">
        <v>296</v>
      </c>
      <c r="H39">
        <v>0.29314411212385261</v>
      </c>
      <c r="J39" t="s">
        <v>200</v>
      </c>
      <c r="K39" t="s">
        <v>297</v>
      </c>
      <c r="L39">
        <v>0.14957764013501329</v>
      </c>
      <c r="N39" t="s">
        <v>200</v>
      </c>
      <c r="O39" t="s">
        <v>298</v>
      </c>
      <c r="P39">
        <v>4.473870013088649E-4</v>
      </c>
      <c r="Z39" t="s">
        <v>200</v>
      </c>
      <c r="AA39">
        <v>0.11833307649489375</v>
      </c>
      <c r="AC39" t="s">
        <v>200</v>
      </c>
      <c r="AD39" t="s">
        <v>309</v>
      </c>
      <c r="AE39" t="s">
        <v>310</v>
      </c>
      <c r="AF39">
        <v>0.11833307649489375</v>
      </c>
    </row>
    <row r="40" spans="2:32" x14ac:dyDescent="0.25">
      <c r="B40" t="s">
        <v>201</v>
      </c>
      <c r="C40" t="s">
        <v>31</v>
      </c>
      <c r="D40">
        <v>0.61745060472857216</v>
      </c>
      <c r="F40" t="s">
        <v>201</v>
      </c>
      <c r="G40" t="s">
        <v>296</v>
      </c>
      <c r="H40">
        <v>0.29057908443492891</v>
      </c>
      <c r="J40" t="s">
        <v>201</v>
      </c>
      <c r="K40" t="s">
        <v>297</v>
      </c>
      <c r="L40">
        <v>0.15243366973092035</v>
      </c>
      <c r="N40" t="s">
        <v>201</v>
      </c>
      <c r="O40" t="s">
        <v>298</v>
      </c>
      <c r="P40">
        <v>4.2313552493177518E-4</v>
      </c>
      <c r="Z40" t="s">
        <v>201</v>
      </c>
      <c r="AA40">
        <v>0.11807057314117857</v>
      </c>
      <c r="AC40" t="s">
        <v>201</v>
      </c>
      <c r="AD40" t="s">
        <v>309</v>
      </c>
      <c r="AE40" t="s">
        <v>310</v>
      </c>
      <c r="AF40">
        <v>0.11807057314117857</v>
      </c>
    </row>
    <row r="41" spans="2:32" x14ac:dyDescent="0.25">
      <c r="B41" t="s">
        <v>202</v>
      </c>
      <c r="C41" t="s">
        <v>31</v>
      </c>
      <c r="D41">
        <v>0.62087332098672365</v>
      </c>
      <c r="F41" t="s">
        <v>202</v>
      </c>
      <c r="G41" t="s">
        <v>296</v>
      </c>
      <c r="H41">
        <v>0.27774588713279175</v>
      </c>
      <c r="J41" t="s">
        <v>202</v>
      </c>
      <c r="K41" t="s">
        <v>297</v>
      </c>
      <c r="L41">
        <v>0.17360303376066422</v>
      </c>
      <c r="N41" t="s">
        <v>202</v>
      </c>
      <c r="O41" t="s">
        <v>298</v>
      </c>
      <c r="P41">
        <v>2.3110290787625877E-4</v>
      </c>
      <c r="Z41" t="s">
        <v>202</v>
      </c>
      <c r="AA41">
        <v>0.1172994989202811</v>
      </c>
      <c r="AC41" t="s">
        <v>202</v>
      </c>
      <c r="AD41" t="s">
        <v>309</v>
      </c>
      <c r="AE41" t="s">
        <v>310</v>
      </c>
      <c r="AF41">
        <v>0.1172994989202811</v>
      </c>
    </row>
    <row r="42" spans="2:32" x14ac:dyDescent="0.25">
      <c r="B42" t="s">
        <v>203</v>
      </c>
      <c r="C42" t="s">
        <v>31</v>
      </c>
      <c r="D42">
        <v>0.61813031464487755</v>
      </c>
      <c r="F42" t="s">
        <v>203</v>
      </c>
      <c r="G42" t="s">
        <v>296</v>
      </c>
      <c r="H42">
        <v>0.28489671286301632</v>
      </c>
      <c r="J42" t="s">
        <v>203</v>
      </c>
      <c r="K42" t="s">
        <v>297</v>
      </c>
      <c r="L42">
        <v>0.16091058325626525</v>
      </c>
      <c r="N42" t="s">
        <v>203</v>
      </c>
      <c r="O42" t="s">
        <v>298</v>
      </c>
      <c r="P42">
        <v>6.3112638617185131E-4</v>
      </c>
      <c r="Z42" t="s">
        <v>203</v>
      </c>
      <c r="AA42">
        <v>0.11451234618600438</v>
      </c>
      <c r="AC42" t="s">
        <v>203</v>
      </c>
      <c r="AD42" t="s">
        <v>309</v>
      </c>
      <c r="AE42" t="s">
        <v>310</v>
      </c>
      <c r="AF42">
        <v>0.11451234618600438</v>
      </c>
    </row>
    <row r="43" spans="2:32" x14ac:dyDescent="0.25">
      <c r="B43" t="s">
        <v>204</v>
      </c>
      <c r="C43" t="s">
        <v>31</v>
      </c>
      <c r="D43">
        <v>0.61987434329267643</v>
      </c>
      <c r="F43" t="s">
        <v>204</v>
      </c>
      <c r="G43" t="s">
        <v>296</v>
      </c>
      <c r="H43">
        <v>0.28618285851897329</v>
      </c>
      <c r="J43" t="s">
        <v>204</v>
      </c>
      <c r="K43" t="s">
        <v>297</v>
      </c>
      <c r="L43">
        <v>0.16093413761525291</v>
      </c>
      <c r="N43" t="s">
        <v>204</v>
      </c>
      <c r="O43" t="s">
        <v>298</v>
      </c>
      <c r="P43">
        <v>5.1767733413741806E-4</v>
      </c>
      <c r="Z43" t="s">
        <v>204</v>
      </c>
      <c r="AA43">
        <v>0.11684840464352607</v>
      </c>
      <c r="AC43" t="s">
        <v>204</v>
      </c>
      <c r="AD43" t="s">
        <v>309</v>
      </c>
      <c r="AE43" t="s">
        <v>310</v>
      </c>
      <c r="AF43">
        <v>0.11684840464352607</v>
      </c>
    </row>
    <row r="44" spans="2:32" x14ac:dyDescent="0.25">
      <c r="B44" t="s">
        <v>205</v>
      </c>
      <c r="C44" t="s">
        <v>31</v>
      </c>
      <c r="D44">
        <v>0.62158218230408635</v>
      </c>
      <c r="F44" t="s">
        <v>205</v>
      </c>
      <c r="G44" t="s">
        <v>296</v>
      </c>
      <c r="H44">
        <v>0.28810991342749365</v>
      </c>
      <c r="J44" t="s">
        <v>205</v>
      </c>
      <c r="K44" t="s">
        <v>297</v>
      </c>
      <c r="L44">
        <v>0.16198710046330747</v>
      </c>
      <c r="N44" t="s">
        <v>205</v>
      </c>
      <c r="O44" t="s">
        <v>298</v>
      </c>
      <c r="P44">
        <v>3.3697592152217101E-4</v>
      </c>
      <c r="Z44" t="s">
        <v>205</v>
      </c>
      <c r="AA44">
        <v>0.11671692389058896</v>
      </c>
      <c r="AC44" t="s">
        <v>205</v>
      </c>
      <c r="AD44" t="s">
        <v>309</v>
      </c>
      <c r="AE44" t="s">
        <v>310</v>
      </c>
      <c r="AF44">
        <v>0.11671692389058896</v>
      </c>
    </row>
    <row r="45" spans="2:32" x14ac:dyDescent="0.25">
      <c r="B45" t="s">
        <v>206</v>
      </c>
      <c r="C45" t="s">
        <v>31</v>
      </c>
      <c r="D45">
        <v>0.62003033942649644</v>
      </c>
      <c r="F45" t="s">
        <v>206</v>
      </c>
      <c r="G45" t="s">
        <v>296</v>
      </c>
      <c r="H45">
        <v>0.29276834014775588</v>
      </c>
      <c r="J45" t="s">
        <v>206</v>
      </c>
      <c r="K45" t="s">
        <v>297</v>
      </c>
      <c r="L45">
        <v>0.15706281766635061</v>
      </c>
      <c r="N45" t="s">
        <v>206</v>
      </c>
      <c r="O45" t="s">
        <v>298</v>
      </c>
      <c r="P45">
        <v>4.0580125520854572E-4</v>
      </c>
      <c r="Z45" t="s">
        <v>206</v>
      </c>
      <c r="AA45">
        <v>0.11506807334104933</v>
      </c>
      <c r="AC45" t="s">
        <v>206</v>
      </c>
      <c r="AD45" t="s">
        <v>309</v>
      </c>
      <c r="AE45" t="s">
        <v>310</v>
      </c>
      <c r="AF45">
        <v>0.11506807334104933</v>
      </c>
    </row>
    <row r="46" spans="2:32" x14ac:dyDescent="0.25">
      <c r="B46" t="s">
        <v>207</v>
      </c>
      <c r="C46" t="s">
        <v>31</v>
      </c>
      <c r="D46">
        <v>0.62962837712762787</v>
      </c>
      <c r="F46" t="s">
        <v>207</v>
      </c>
      <c r="G46" t="s">
        <v>296</v>
      </c>
      <c r="H46">
        <v>0.29568526077757873</v>
      </c>
      <c r="J46" t="s">
        <v>207</v>
      </c>
      <c r="K46" t="s">
        <v>297</v>
      </c>
      <c r="L46">
        <v>0.16757299618813809</v>
      </c>
      <c r="N46" t="s">
        <v>207</v>
      </c>
      <c r="O46" t="s">
        <v>298</v>
      </c>
      <c r="P46">
        <v>2.07289662273176E-5</v>
      </c>
      <c r="Z46" t="s">
        <v>207</v>
      </c>
      <c r="AA46">
        <v>0.11450684936003921</v>
      </c>
      <c r="AC46" t="s">
        <v>207</v>
      </c>
      <c r="AD46" t="s">
        <v>309</v>
      </c>
      <c r="AE46" t="s">
        <v>310</v>
      </c>
      <c r="AF46">
        <v>0.11450684936003921</v>
      </c>
    </row>
    <row r="47" spans="2:32" x14ac:dyDescent="0.25">
      <c r="B47" t="s">
        <v>208</v>
      </c>
      <c r="C47" t="s">
        <v>31</v>
      </c>
      <c r="D47">
        <v>0.62784721287030021</v>
      </c>
      <c r="F47" t="s">
        <v>208</v>
      </c>
      <c r="G47" t="s">
        <v>296</v>
      </c>
      <c r="H47">
        <v>0.29442646596533911</v>
      </c>
      <c r="J47" t="s">
        <v>208</v>
      </c>
      <c r="K47" t="s">
        <v>297</v>
      </c>
      <c r="L47">
        <v>0.16414751645305489</v>
      </c>
      <c r="N47" t="s">
        <v>208</v>
      </c>
      <c r="O47" t="s">
        <v>298</v>
      </c>
      <c r="P47">
        <v>5.971034524042964E-4</v>
      </c>
      <c r="Z47" t="s">
        <v>208</v>
      </c>
      <c r="AA47">
        <v>0.11450006176847115</v>
      </c>
      <c r="AC47" t="s">
        <v>208</v>
      </c>
      <c r="AD47" t="s">
        <v>309</v>
      </c>
      <c r="AE47" t="s">
        <v>310</v>
      </c>
      <c r="AF47">
        <v>0.11450006176847115</v>
      </c>
    </row>
    <row r="48" spans="2:32" x14ac:dyDescent="0.25">
      <c r="B48" t="s">
        <v>209</v>
      </c>
      <c r="C48" t="s">
        <v>31</v>
      </c>
      <c r="D48">
        <v>0.61868764206432536</v>
      </c>
      <c r="F48" t="s">
        <v>209</v>
      </c>
      <c r="G48" t="s">
        <v>296</v>
      </c>
      <c r="H48">
        <v>0.28132781399390161</v>
      </c>
      <c r="J48" t="s">
        <v>209</v>
      </c>
      <c r="K48" t="s">
        <v>297</v>
      </c>
      <c r="L48">
        <v>0.16513083926766087</v>
      </c>
      <c r="N48" t="s">
        <v>209</v>
      </c>
      <c r="O48" t="s">
        <v>298</v>
      </c>
      <c r="P48">
        <v>5.4897534142587352E-4</v>
      </c>
      <c r="Z48" t="s">
        <v>209</v>
      </c>
      <c r="AA48">
        <v>0.11558940308115837</v>
      </c>
      <c r="AC48" t="s">
        <v>209</v>
      </c>
      <c r="AD48" t="s">
        <v>309</v>
      </c>
      <c r="AE48" t="s">
        <v>310</v>
      </c>
      <c r="AF48">
        <v>0.11558940308115837</v>
      </c>
    </row>
    <row r="49" spans="2:32" x14ac:dyDescent="0.25">
      <c r="B49" t="s">
        <v>210</v>
      </c>
      <c r="C49" t="s">
        <v>31</v>
      </c>
      <c r="D49">
        <v>0.61910021515003255</v>
      </c>
      <c r="F49" t="s">
        <v>210</v>
      </c>
      <c r="G49" t="s">
        <v>296</v>
      </c>
      <c r="H49">
        <v>0.29552320422961814</v>
      </c>
      <c r="J49" t="s">
        <v>210</v>
      </c>
      <c r="K49" t="s">
        <v>297</v>
      </c>
      <c r="L49">
        <v>0.15495166059827495</v>
      </c>
      <c r="N49" t="s">
        <v>210</v>
      </c>
      <c r="O49" t="s">
        <v>298</v>
      </c>
      <c r="P49">
        <v>1.9942458066766748E-4</v>
      </c>
      <c r="Z49" t="s">
        <v>210</v>
      </c>
      <c r="AA49">
        <v>0.11316324842129753</v>
      </c>
      <c r="AC49" t="s">
        <v>210</v>
      </c>
      <c r="AD49" t="s">
        <v>309</v>
      </c>
      <c r="AE49" t="s">
        <v>310</v>
      </c>
      <c r="AF49">
        <v>0.11316324842129753</v>
      </c>
    </row>
    <row r="50" spans="2:32" x14ac:dyDescent="0.25">
      <c r="B50" t="s">
        <v>211</v>
      </c>
      <c r="C50" t="s">
        <v>31</v>
      </c>
      <c r="D50">
        <v>0.62332968982863091</v>
      </c>
      <c r="F50" t="s">
        <v>211</v>
      </c>
      <c r="G50" t="s">
        <v>296</v>
      </c>
      <c r="H50">
        <v>0.29364188669019797</v>
      </c>
      <c r="J50" t="s">
        <v>211</v>
      </c>
      <c r="K50" t="s">
        <v>297</v>
      </c>
      <c r="L50">
        <v>0.15959770131496887</v>
      </c>
      <c r="N50" t="s">
        <v>211</v>
      </c>
      <c r="O50" t="s">
        <v>298</v>
      </c>
      <c r="P50">
        <v>4.0555069737044635E-4</v>
      </c>
      <c r="Z50" t="s">
        <v>211</v>
      </c>
      <c r="AA50">
        <v>0.11447032390712526</v>
      </c>
      <c r="AC50" t="s">
        <v>211</v>
      </c>
      <c r="AD50" t="s">
        <v>309</v>
      </c>
      <c r="AE50" t="s">
        <v>310</v>
      </c>
      <c r="AF50">
        <v>0.11447032390712526</v>
      </c>
    </row>
    <row r="51" spans="2:32" x14ac:dyDescent="0.25">
      <c r="B51" t="s">
        <v>212</v>
      </c>
      <c r="C51" t="s">
        <v>31</v>
      </c>
      <c r="D51">
        <v>0.61958826945963752</v>
      </c>
      <c r="F51" t="s">
        <v>212</v>
      </c>
      <c r="G51" t="s">
        <v>296</v>
      </c>
      <c r="H51">
        <v>0.29045730522106267</v>
      </c>
      <c r="J51" t="s">
        <v>212</v>
      </c>
      <c r="K51" t="s">
        <v>297</v>
      </c>
      <c r="L51">
        <v>0.15915460339914891</v>
      </c>
      <c r="N51" t="s">
        <v>212</v>
      </c>
      <c r="O51" t="s">
        <v>298</v>
      </c>
      <c r="P51">
        <v>2.9600950461313786E-4</v>
      </c>
      <c r="Z51" t="s">
        <v>212</v>
      </c>
      <c r="AA51">
        <v>0.11381713543317787</v>
      </c>
      <c r="AC51" t="s">
        <v>212</v>
      </c>
      <c r="AD51" t="s">
        <v>309</v>
      </c>
      <c r="AE51" t="s">
        <v>310</v>
      </c>
      <c r="AF51">
        <v>0.11381713543317787</v>
      </c>
    </row>
    <row r="52" spans="2:32" x14ac:dyDescent="0.25">
      <c r="B52" t="s">
        <v>213</v>
      </c>
      <c r="C52" t="s">
        <v>31</v>
      </c>
      <c r="D52">
        <v>0.63094766846443973</v>
      </c>
      <c r="F52" t="s">
        <v>213</v>
      </c>
      <c r="G52" t="s">
        <v>296</v>
      </c>
      <c r="H52">
        <v>0.28302733046604955</v>
      </c>
      <c r="J52" t="s">
        <v>213</v>
      </c>
      <c r="K52" t="s">
        <v>297</v>
      </c>
      <c r="L52">
        <v>0.18104829171223477</v>
      </c>
      <c r="N52" t="s">
        <v>213</v>
      </c>
      <c r="O52" t="s">
        <v>298</v>
      </c>
      <c r="P52">
        <v>3.2173296517882638E-4</v>
      </c>
      <c r="Z52" t="s">
        <v>213</v>
      </c>
      <c r="AA52">
        <v>0.11989325398119709</v>
      </c>
      <c r="AC52" t="s">
        <v>213</v>
      </c>
      <c r="AD52" t="s">
        <v>309</v>
      </c>
      <c r="AE52" t="s">
        <v>310</v>
      </c>
      <c r="AF52">
        <v>0.11989325398119709</v>
      </c>
    </row>
    <row r="53" spans="2:32" x14ac:dyDescent="0.25">
      <c r="B53" t="s">
        <v>214</v>
      </c>
      <c r="C53" t="s">
        <v>31</v>
      </c>
      <c r="D53">
        <v>0.6182656836296162</v>
      </c>
      <c r="F53" t="s">
        <v>214</v>
      </c>
      <c r="G53" t="s">
        <v>296</v>
      </c>
      <c r="H53">
        <v>0.29519646334702998</v>
      </c>
      <c r="J53" t="s">
        <v>214</v>
      </c>
      <c r="K53" t="s">
        <v>297</v>
      </c>
      <c r="L53">
        <v>0.15412640856955678</v>
      </c>
      <c r="N53" t="s">
        <v>214</v>
      </c>
      <c r="O53" t="s">
        <v>298</v>
      </c>
      <c r="P53">
        <v>0</v>
      </c>
      <c r="Z53" t="s">
        <v>214</v>
      </c>
      <c r="AA53">
        <v>0.11376551699921481</v>
      </c>
      <c r="AC53" t="s">
        <v>214</v>
      </c>
      <c r="AD53" t="s">
        <v>309</v>
      </c>
      <c r="AE53" t="s">
        <v>310</v>
      </c>
      <c r="AF53">
        <v>0.11376551699921481</v>
      </c>
    </row>
    <row r="54" spans="2:32" x14ac:dyDescent="0.25">
      <c r="B54" t="s">
        <v>215</v>
      </c>
      <c r="C54" t="s">
        <v>31</v>
      </c>
      <c r="D54">
        <v>0.62435877182525967</v>
      </c>
      <c r="F54" t="s">
        <v>215</v>
      </c>
      <c r="G54" t="s">
        <v>296</v>
      </c>
      <c r="H54">
        <v>0.28206425528558932</v>
      </c>
      <c r="J54" t="s">
        <v>215</v>
      </c>
      <c r="K54" t="s">
        <v>297</v>
      </c>
      <c r="L54">
        <v>0.17198953677341872</v>
      </c>
      <c r="N54" t="s">
        <v>215</v>
      </c>
      <c r="O54" t="s">
        <v>298</v>
      </c>
      <c r="P54">
        <v>9.4483842794238003E-4</v>
      </c>
      <c r="Z54" t="s">
        <v>215</v>
      </c>
      <c r="AA54">
        <v>0.11430807318719598</v>
      </c>
      <c r="AC54" t="s">
        <v>215</v>
      </c>
      <c r="AD54" t="s">
        <v>309</v>
      </c>
      <c r="AE54" t="s">
        <v>310</v>
      </c>
      <c r="AF54">
        <v>0.11430807318719598</v>
      </c>
    </row>
    <row r="55" spans="2:32" x14ac:dyDescent="0.25">
      <c r="B55" t="s">
        <v>216</v>
      </c>
      <c r="C55" t="s">
        <v>31</v>
      </c>
      <c r="D55">
        <v>0.62191141595299115</v>
      </c>
      <c r="F55" t="s">
        <v>216</v>
      </c>
      <c r="G55" t="s">
        <v>296</v>
      </c>
      <c r="H55">
        <v>0.29138193334643842</v>
      </c>
      <c r="J55" t="s">
        <v>216</v>
      </c>
      <c r="K55" t="s">
        <v>297</v>
      </c>
      <c r="L55">
        <v>0.16061840429466767</v>
      </c>
      <c r="N55" t="s">
        <v>216</v>
      </c>
      <c r="O55" t="s">
        <v>298</v>
      </c>
      <c r="P55">
        <v>6.1403244612109084E-4</v>
      </c>
      <c r="Z55" t="s">
        <v>216</v>
      </c>
      <c r="AA55">
        <v>0.11450741100589429</v>
      </c>
      <c r="AC55" t="s">
        <v>216</v>
      </c>
      <c r="AD55" t="s">
        <v>309</v>
      </c>
      <c r="AE55" t="s">
        <v>310</v>
      </c>
      <c r="AF55">
        <v>0.11450741100589429</v>
      </c>
    </row>
    <row r="56" spans="2:32" x14ac:dyDescent="0.25">
      <c r="B56" t="s">
        <v>217</v>
      </c>
      <c r="C56" t="s">
        <v>31</v>
      </c>
      <c r="D56">
        <v>0.63181587632710912</v>
      </c>
      <c r="F56" t="s">
        <v>217</v>
      </c>
      <c r="G56" t="s">
        <v>296</v>
      </c>
      <c r="H56">
        <v>0.2796763767804471</v>
      </c>
      <c r="J56" t="s">
        <v>217</v>
      </c>
      <c r="K56" t="s">
        <v>297</v>
      </c>
      <c r="L56">
        <v>0.18644131988075471</v>
      </c>
      <c r="N56" t="s">
        <v>217</v>
      </c>
      <c r="O56" t="s">
        <v>298</v>
      </c>
      <c r="P56">
        <v>1.037787079350727E-3</v>
      </c>
      <c r="Z56" t="s">
        <v>217</v>
      </c>
      <c r="AA56">
        <v>0.11312130055828713</v>
      </c>
      <c r="AC56" t="s">
        <v>217</v>
      </c>
      <c r="AD56" t="s">
        <v>309</v>
      </c>
      <c r="AE56" t="s">
        <v>310</v>
      </c>
      <c r="AF56">
        <v>0.11312130055828713</v>
      </c>
    </row>
    <row r="57" spans="2:32" x14ac:dyDescent="0.25">
      <c r="B57" t="s">
        <v>218</v>
      </c>
      <c r="C57" t="s">
        <v>31</v>
      </c>
      <c r="D57">
        <v>0.62454354762882114</v>
      </c>
      <c r="F57" t="s">
        <v>218</v>
      </c>
      <c r="G57" t="s">
        <v>296</v>
      </c>
      <c r="H57">
        <v>0.29159751870902734</v>
      </c>
      <c r="J57" t="s">
        <v>218</v>
      </c>
      <c r="K57" t="s">
        <v>297</v>
      </c>
      <c r="L57">
        <v>0.16528164070303883</v>
      </c>
      <c r="N57" t="s">
        <v>218</v>
      </c>
      <c r="O57" t="s">
        <v>298</v>
      </c>
      <c r="P57">
        <v>1.6818425176234454E-6</v>
      </c>
      <c r="Z57" t="s">
        <v>218</v>
      </c>
      <c r="AA57">
        <v>0.11388303130957449</v>
      </c>
      <c r="AC57" t="s">
        <v>218</v>
      </c>
      <c r="AD57" t="s">
        <v>309</v>
      </c>
      <c r="AE57" t="s">
        <v>310</v>
      </c>
      <c r="AF57">
        <v>0.11388303130957449</v>
      </c>
    </row>
    <row r="58" spans="2:32" x14ac:dyDescent="0.25">
      <c r="B58" t="s">
        <v>219</v>
      </c>
      <c r="C58" t="s">
        <v>31</v>
      </c>
      <c r="D58">
        <v>0.61962557956879627</v>
      </c>
      <c r="F58" t="s">
        <v>219</v>
      </c>
      <c r="G58" t="s">
        <v>296</v>
      </c>
      <c r="H58">
        <v>0.2961919593208886</v>
      </c>
      <c r="J58" t="s">
        <v>219</v>
      </c>
      <c r="K58" t="s">
        <v>297</v>
      </c>
      <c r="L58">
        <v>0.15366306397757282</v>
      </c>
      <c r="N58" t="s">
        <v>219</v>
      </c>
      <c r="O58" t="s">
        <v>298</v>
      </c>
      <c r="P58">
        <v>3.1489473820328563E-4</v>
      </c>
      <c r="Z58" t="s">
        <v>219</v>
      </c>
      <c r="AA58">
        <v>0.1146300719260761</v>
      </c>
      <c r="AC58" t="s">
        <v>219</v>
      </c>
      <c r="AD58" t="s">
        <v>309</v>
      </c>
      <c r="AE58" t="s">
        <v>310</v>
      </c>
      <c r="AF58">
        <v>0.1146300719260761</v>
      </c>
    </row>
    <row r="59" spans="2:32" x14ac:dyDescent="0.25">
      <c r="B59" t="s">
        <v>220</v>
      </c>
      <c r="C59" t="s">
        <v>31</v>
      </c>
      <c r="D59">
        <v>0.62638857091815037</v>
      </c>
      <c r="F59" t="s">
        <v>220</v>
      </c>
      <c r="G59" t="s">
        <v>296</v>
      </c>
      <c r="H59">
        <v>0.28524286234578389</v>
      </c>
      <c r="J59" t="s">
        <v>220</v>
      </c>
      <c r="K59" t="s">
        <v>297</v>
      </c>
      <c r="L59">
        <v>0.17179305210853976</v>
      </c>
      <c r="N59" t="s">
        <v>220</v>
      </c>
      <c r="O59" t="s">
        <v>298</v>
      </c>
      <c r="P59">
        <v>6.6243015096214641E-4</v>
      </c>
      <c r="Z59" t="s">
        <v>220</v>
      </c>
      <c r="AA59">
        <v>0.11950292136887473</v>
      </c>
      <c r="AC59" t="s">
        <v>220</v>
      </c>
      <c r="AD59" t="s">
        <v>309</v>
      </c>
      <c r="AE59" t="s">
        <v>310</v>
      </c>
      <c r="AF59">
        <v>0.11950292136887473</v>
      </c>
    </row>
    <row r="60" spans="2:32" x14ac:dyDescent="0.25">
      <c r="B60" t="s">
        <v>221</v>
      </c>
      <c r="C60" t="s">
        <v>31</v>
      </c>
      <c r="D60">
        <v>0.63082758600402067</v>
      </c>
      <c r="F60" t="s">
        <v>221</v>
      </c>
      <c r="G60" t="s">
        <v>296</v>
      </c>
      <c r="H60">
        <v>0.29054527920504158</v>
      </c>
      <c r="J60" t="s">
        <v>221</v>
      </c>
      <c r="K60" t="s">
        <v>297</v>
      </c>
      <c r="L60">
        <v>0.17418340793562589</v>
      </c>
      <c r="N60" t="s">
        <v>221</v>
      </c>
      <c r="O60" t="s">
        <v>298</v>
      </c>
      <c r="P60">
        <v>0</v>
      </c>
      <c r="Z60" t="s">
        <v>221</v>
      </c>
      <c r="AA60">
        <v>0.11438560471576729</v>
      </c>
      <c r="AC60" t="s">
        <v>221</v>
      </c>
      <c r="AD60" t="s">
        <v>309</v>
      </c>
      <c r="AE60" t="s">
        <v>310</v>
      </c>
      <c r="AF60">
        <v>0.11438560471576729</v>
      </c>
    </row>
    <row r="61" spans="2:32" x14ac:dyDescent="0.25">
      <c r="B61" t="s">
        <v>222</v>
      </c>
      <c r="C61" t="s">
        <v>31</v>
      </c>
      <c r="D61">
        <v>0.61926144602650723</v>
      </c>
      <c r="F61" t="s">
        <v>222</v>
      </c>
      <c r="G61" t="s">
        <v>296</v>
      </c>
      <c r="H61">
        <v>0.29577222200192127</v>
      </c>
      <c r="J61" t="s">
        <v>222</v>
      </c>
      <c r="K61" t="s">
        <v>297</v>
      </c>
      <c r="L61">
        <v>0.15208350147228375</v>
      </c>
      <c r="N61" t="s">
        <v>222</v>
      </c>
      <c r="O61" t="s">
        <v>298</v>
      </c>
      <c r="P61">
        <v>2.8144709103882724E-4</v>
      </c>
      <c r="Z61" t="s">
        <v>222</v>
      </c>
      <c r="AA61">
        <v>0.11670703837668787</v>
      </c>
      <c r="AC61" t="s">
        <v>222</v>
      </c>
      <c r="AD61" t="s">
        <v>309</v>
      </c>
      <c r="AE61" t="s">
        <v>310</v>
      </c>
      <c r="AF61">
        <v>0.11670703837668787</v>
      </c>
    </row>
    <row r="62" spans="2:32" x14ac:dyDescent="0.25">
      <c r="B62" t="s">
        <v>223</v>
      </c>
      <c r="C62" t="s">
        <v>31</v>
      </c>
      <c r="D62">
        <v>0.61798995804886525</v>
      </c>
      <c r="F62" t="s">
        <v>223</v>
      </c>
      <c r="G62" t="s">
        <v>296</v>
      </c>
      <c r="H62">
        <v>0.29572950076606463</v>
      </c>
      <c r="J62" t="s">
        <v>223</v>
      </c>
      <c r="K62" t="s">
        <v>297</v>
      </c>
      <c r="L62">
        <v>0.1484017208016481</v>
      </c>
      <c r="N62" t="s">
        <v>223</v>
      </c>
      <c r="O62" t="s">
        <v>298</v>
      </c>
      <c r="P62">
        <v>2.484427803418863E-4</v>
      </c>
      <c r="Z62" t="s">
        <v>223</v>
      </c>
      <c r="AA62">
        <v>0.11899316720152425</v>
      </c>
      <c r="AC62" t="s">
        <v>223</v>
      </c>
      <c r="AD62" t="s">
        <v>309</v>
      </c>
      <c r="AE62" t="s">
        <v>310</v>
      </c>
      <c r="AF62">
        <v>0.11899316720152425</v>
      </c>
    </row>
    <row r="63" spans="2:32" x14ac:dyDescent="0.25">
      <c r="B63" t="s">
        <v>224</v>
      </c>
      <c r="C63" t="s">
        <v>31</v>
      </c>
      <c r="D63">
        <v>0.63129223794637845</v>
      </c>
      <c r="F63" t="s">
        <v>224</v>
      </c>
      <c r="G63" t="s">
        <v>296</v>
      </c>
      <c r="H63">
        <v>0.29550586166964937</v>
      </c>
      <c r="J63" t="s">
        <v>224</v>
      </c>
      <c r="K63" t="s">
        <v>297</v>
      </c>
      <c r="L63">
        <v>0.16854972901275167</v>
      </c>
      <c r="N63" t="s">
        <v>224</v>
      </c>
      <c r="O63" t="s">
        <v>298</v>
      </c>
      <c r="P63">
        <v>7.3768126249683927E-4</v>
      </c>
      <c r="Z63" t="s">
        <v>224</v>
      </c>
      <c r="AA63">
        <v>0.11649270329290488</v>
      </c>
      <c r="AC63" t="s">
        <v>224</v>
      </c>
      <c r="AD63" t="s">
        <v>309</v>
      </c>
      <c r="AE63" t="s">
        <v>310</v>
      </c>
      <c r="AF63">
        <v>0.11649270329290488</v>
      </c>
    </row>
    <row r="64" spans="2:32" x14ac:dyDescent="0.25">
      <c r="B64" t="s">
        <v>225</v>
      </c>
      <c r="C64" t="s">
        <v>31</v>
      </c>
      <c r="D64">
        <v>0.62379029949325149</v>
      </c>
      <c r="F64" t="s">
        <v>225</v>
      </c>
      <c r="G64" t="s">
        <v>296</v>
      </c>
      <c r="H64">
        <v>0.28699462979473739</v>
      </c>
      <c r="J64" t="s">
        <v>225</v>
      </c>
      <c r="K64" t="s">
        <v>297</v>
      </c>
      <c r="L64">
        <v>0.16598941733418915</v>
      </c>
      <c r="N64" t="s">
        <v>225</v>
      </c>
      <c r="O64" t="s">
        <v>298</v>
      </c>
      <c r="P64">
        <v>8.4875010653168333E-4</v>
      </c>
      <c r="Z64" t="s">
        <v>225</v>
      </c>
      <c r="AA64">
        <v>0.11564587555617621</v>
      </c>
      <c r="AC64" t="s">
        <v>225</v>
      </c>
      <c r="AD64" t="s">
        <v>309</v>
      </c>
      <c r="AE64" t="s">
        <v>310</v>
      </c>
      <c r="AF64">
        <v>0.11564587555617621</v>
      </c>
    </row>
    <row r="65" spans="2:32" x14ac:dyDescent="0.25">
      <c r="B65" t="s">
        <v>226</v>
      </c>
      <c r="C65" t="s">
        <v>31</v>
      </c>
      <c r="D65">
        <v>0.62103607106685521</v>
      </c>
      <c r="F65" t="s">
        <v>226</v>
      </c>
      <c r="G65" t="s">
        <v>296</v>
      </c>
      <c r="H65">
        <v>0.29600041039005742</v>
      </c>
      <c r="J65" t="s">
        <v>226</v>
      </c>
      <c r="K65" t="s">
        <v>297</v>
      </c>
      <c r="L65">
        <v>0.15657914571520953</v>
      </c>
      <c r="N65" t="s">
        <v>226</v>
      </c>
      <c r="O65" t="s">
        <v>298</v>
      </c>
      <c r="P65">
        <v>5.5356755150615735E-5</v>
      </c>
      <c r="Z65" t="s">
        <v>226</v>
      </c>
      <c r="AA65">
        <v>0.11295452148582305</v>
      </c>
      <c r="AC65" t="s">
        <v>226</v>
      </c>
      <c r="AD65" t="s">
        <v>309</v>
      </c>
      <c r="AE65" t="s">
        <v>310</v>
      </c>
      <c r="AF65">
        <v>0.11295452148582305</v>
      </c>
    </row>
    <row r="66" spans="2:32" x14ac:dyDescent="0.25">
      <c r="B66" t="s">
        <v>227</v>
      </c>
      <c r="C66" t="s">
        <v>31</v>
      </c>
      <c r="D66">
        <v>0.62876809673054135</v>
      </c>
      <c r="F66" t="s">
        <v>227</v>
      </c>
      <c r="G66" t="s">
        <v>296</v>
      </c>
      <c r="H66">
        <v>0.28316110673159184</v>
      </c>
      <c r="J66" t="s">
        <v>227</v>
      </c>
      <c r="K66" t="s">
        <v>297</v>
      </c>
      <c r="L66">
        <v>0.1746662456546022</v>
      </c>
      <c r="N66" t="s">
        <v>227</v>
      </c>
      <c r="O66" t="s">
        <v>298</v>
      </c>
      <c r="P66">
        <v>5.7474327270581676E-4</v>
      </c>
      <c r="Z66" t="s">
        <v>227</v>
      </c>
      <c r="AA66">
        <v>0.12017492645707303</v>
      </c>
      <c r="AC66" t="s">
        <v>227</v>
      </c>
      <c r="AD66" t="s">
        <v>309</v>
      </c>
      <c r="AE66" t="s">
        <v>310</v>
      </c>
      <c r="AF66">
        <v>0.12017492645707303</v>
      </c>
    </row>
    <row r="67" spans="2:32" x14ac:dyDescent="0.25">
      <c r="B67" t="s">
        <v>228</v>
      </c>
      <c r="C67" t="s">
        <v>31</v>
      </c>
      <c r="D67">
        <v>0.62212603825766899</v>
      </c>
      <c r="F67" t="s">
        <v>228</v>
      </c>
      <c r="G67" t="s">
        <v>296</v>
      </c>
      <c r="H67">
        <v>0.27646111853228572</v>
      </c>
      <c r="J67" t="s">
        <v>228</v>
      </c>
      <c r="K67" t="s">
        <v>297</v>
      </c>
      <c r="L67">
        <v>0.17482552129563539</v>
      </c>
      <c r="N67" t="s">
        <v>228</v>
      </c>
      <c r="O67" t="s">
        <v>298</v>
      </c>
      <c r="P67">
        <v>6.8524656404680951E-4</v>
      </c>
      <c r="Z67" t="s">
        <v>228</v>
      </c>
      <c r="AA67">
        <v>0.11482177946568453</v>
      </c>
      <c r="AC67" t="s">
        <v>228</v>
      </c>
      <c r="AD67" t="s">
        <v>309</v>
      </c>
      <c r="AE67" t="s">
        <v>310</v>
      </c>
      <c r="AF67">
        <v>0.11482177946568453</v>
      </c>
    </row>
    <row r="68" spans="2:32" x14ac:dyDescent="0.25">
      <c r="B68" t="s">
        <v>229</v>
      </c>
      <c r="C68" t="s">
        <v>31</v>
      </c>
      <c r="D68">
        <v>0.36227622151689931</v>
      </c>
      <c r="F68" t="s">
        <v>229</v>
      </c>
      <c r="G68" t="s">
        <v>296</v>
      </c>
      <c r="H68">
        <v>2.5310648335373196E-2</v>
      </c>
      <c r="J68" t="s">
        <v>229</v>
      </c>
      <c r="K68" t="s">
        <v>297</v>
      </c>
      <c r="L68">
        <v>3.397403098914991E-2</v>
      </c>
      <c r="N68" t="s">
        <v>229</v>
      </c>
      <c r="O68" t="s">
        <v>298</v>
      </c>
      <c r="P68">
        <v>0.17905607151607539</v>
      </c>
      <c r="Z68" t="s">
        <v>229</v>
      </c>
      <c r="AA68">
        <v>0.31424382551286417</v>
      </c>
      <c r="AC68" t="s">
        <v>239</v>
      </c>
      <c r="AD68" t="s">
        <v>309</v>
      </c>
      <c r="AE68" t="s">
        <v>310</v>
      </c>
      <c r="AF68">
        <v>0.28143980746277003</v>
      </c>
    </row>
    <row r="69" spans="2:32" x14ac:dyDescent="0.25">
      <c r="B69" t="s">
        <v>230</v>
      </c>
      <c r="C69" t="s">
        <v>31</v>
      </c>
      <c r="D69">
        <v>0.33644887906930077</v>
      </c>
      <c r="F69" t="s">
        <v>230</v>
      </c>
      <c r="G69" t="s">
        <v>296</v>
      </c>
      <c r="H69">
        <v>2.1057347866295355E-2</v>
      </c>
      <c r="J69" t="s">
        <v>230</v>
      </c>
      <c r="K69" t="s">
        <v>297</v>
      </c>
      <c r="L69">
        <v>2.5847305205479513E-2</v>
      </c>
      <c r="N69" t="s">
        <v>230</v>
      </c>
      <c r="O69" t="s">
        <v>298</v>
      </c>
      <c r="P69">
        <v>0.15880655572778729</v>
      </c>
      <c r="Z69" t="s">
        <v>230</v>
      </c>
      <c r="AA69">
        <v>0.41180785043277218</v>
      </c>
      <c r="AC69" t="s">
        <v>240</v>
      </c>
      <c r="AD69" t="s">
        <v>309</v>
      </c>
      <c r="AE69" t="s">
        <v>310</v>
      </c>
      <c r="AF69">
        <v>0.28522441633137907</v>
      </c>
    </row>
    <row r="70" spans="2:32" x14ac:dyDescent="0.25">
      <c r="B70" t="s">
        <v>231</v>
      </c>
      <c r="C70" t="s">
        <v>31</v>
      </c>
      <c r="D70">
        <v>0.31144392648516467</v>
      </c>
      <c r="F70" t="s">
        <v>231</v>
      </c>
      <c r="G70" t="s">
        <v>296</v>
      </c>
      <c r="H70">
        <v>1.9508893624684304E-2</v>
      </c>
      <c r="J70" t="s">
        <v>231</v>
      </c>
      <c r="K70" t="s">
        <v>297</v>
      </c>
      <c r="L70">
        <v>2.1664205591800316E-2</v>
      </c>
      <c r="N70" t="s">
        <v>231</v>
      </c>
      <c r="O70" t="s">
        <v>298</v>
      </c>
      <c r="P70">
        <v>0.13181391045551208</v>
      </c>
      <c r="Z70" t="s">
        <v>231</v>
      </c>
      <c r="AA70">
        <v>0.51745356846479573</v>
      </c>
      <c r="AC70" t="s">
        <v>241</v>
      </c>
      <c r="AD70" t="s">
        <v>309</v>
      </c>
      <c r="AE70" t="s">
        <v>310</v>
      </c>
      <c r="AF70">
        <v>0.27984086496004434</v>
      </c>
    </row>
    <row r="71" spans="2:32" x14ac:dyDescent="0.25">
      <c r="B71" t="s">
        <v>232</v>
      </c>
      <c r="C71" t="s">
        <v>31</v>
      </c>
      <c r="D71">
        <v>0.33692969272103007</v>
      </c>
      <c r="F71" t="s">
        <v>232</v>
      </c>
      <c r="G71" t="s">
        <v>296</v>
      </c>
      <c r="H71">
        <v>1.9459366281678155E-2</v>
      </c>
      <c r="J71" t="s">
        <v>232</v>
      </c>
      <c r="K71" t="s">
        <v>297</v>
      </c>
      <c r="L71">
        <v>2.5800847399643629E-2</v>
      </c>
      <c r="N71" t="s">
        <v>232</v>
      </c>
      <c r="O71" t="s">
        <v>298</v>
      </c>
      <c r="P71">
        <v>0.1588487426580828</v>
      </c>
      <c r="Z71" t="s">
        <v>232</v>
      </c>
      <c r="AA71">
        <v>0.38763032181684814</v>
      </c>
      <c r="AC71" t="s">
        <v>242</v>
      </c>
      <c r="AD71" t="s">
        <v>309</v>
      </c>
      <c r="AE71" t="s">
        <v>310</v>
      </c>
      <c r="AF71">
        <v>0.25662681941412235</v>
      </c>
    </row>
    <row r="72" spans="2:32" x14ac:dyDescent="0.25">
      <c r="B72" t="s">
        <v>233</v>
      </c>
      <c r="C72" t="s">
        <v>31</v>
      </c>
      <c r="D72">
        <v>0.32053763534046065</v>
      </c>
      <c r="F72" t="s">
        <v>233</v>
      </c>
      <c r="G72" t="s">
        <v>296</v>
      </c>
      <c r="H72">
        <v>1.8254829594387432E-2</v>
      </c>
      <c r="J72" t="s">
        <v>233</v>
      </c>
      <c r="K72" t="s">
        <v>297</v>
      </c>
      <c r="L72">
        <v>2.1930325707398949E-2</v>
      </c>
      <c r="N72" t="s">
        <v>233</v>
      </c>
      <c r="O72" t="s">
        <v>298</v>
      </c>
      <c r="P72">
        <v>0.14400253525931994</v>
      </c>
      <c r="Z72" t="s">
        <v>233</v>
      </c>
      <c r="AA72">
        <v>0.48247761506527032</v>
      </c>
      <c r="AC72" t="s">
        <v>243</v>
      </c>
      <c r="AD72" t="s">
        <v>309</v>
      </c>
      <c r="AE72" t="s">
        <v>310</v>
      </c>
      <c r="AF72">
        <v>0.27548333630107791</v>
      </c>
    </row>
    <row r="73" spans="2:32" x14ac:dyDescent="0.25">
      <c r="B73" t="s">
        <v>234</v>
      </c>
      <c r="C73" t="s">
        <v>31</v>
      </c>
      <c r="D73">
        <v>0.31209415558818987</v>
      </c>
      <c r="F73" t="s">
        <v>234</v>
      </c>
      <c r="G73" t="s">
        <v>296</v>
      </c>
      <c r="H73">
        <v>1.8729815635806661E-2</v>
      </c>
      <c r="J73" t="s">
        <v>234</v>
      </c>
      <c r="K73" t="s">
        <v>297</v>
      </c>
      <c r="L73">
        <v>2.2860925373717315E-2</v>
      </c>
      <c r="N73" t="s">
        <v>234</v>
      </c>
      <c r="O73" t="s">
        <v>298</v>
      </c>
      <c r="P73">
        <v>0.13592105808156874</v>
      </c>
      <c r="Z73" t="s">
        <v>234</v>
      </c>
      <c r="AA73">
        <v>0.51020534925556693</v>
      </c>
      <c r="AC73" t="s">
        <v>244</v>
      </c>
      <c r="AD73" t="s">
        <v>309</v>
      </c>
      <c r="AE73" t="s">
        <v>310</v>
      </c>
      <c r="AF73">
        <v>0.26232011185642728</v>
      </c>
    </row>
    <row r="74" spans="2:32" x14ac:dyDescent="0.25">
      <c r="B74" t="s">
        <v>235</v>
      </c>
      <c r="C74" t="s">
        <v>31</v>
      </c>
      <c r="D74">
        <v>0.30939087029056495</v>
      </c>
      <c r="F74" t="s">
        <v>235</v>
      </c>
      <c r="G74" t="s">
        <v>296</v>
      </c>
      <c r="H74">
        <v>2.1322996581810076E-2</v>
      </c>
      <c r="J74" t="s">
        <v>235</v>
      </c>
      <c r="K74" t="s">
        <v>297</v>
      </c>
      <c r="L74">
        <v>2.3191713333780117E-2</v>
      </c>
      <c r="N74" t="s">
        <v>235</v>
      </c>
      <c r="O74" t="s">
        <v>298</v>
      </c>
      <c r="P74">
        <v>0.1294958644024829</v>
      </c>
      <c r="Z74" t="s">
        <v>235</v>
      </c>
      <c r="AA74">
        <v>0.52219102755437452</v>
      </c>
      <c r="AC74" t="s">
        <v>245</v>
      </c>
      <c r="AD74" t="s">
        <v>309</v>
      </c>
      <c r="AE74" t="s">
        <v>310</v>
      </c>
      <c r="AF74">
        <v>0.25307480869513993</v>
      </c>
    </row>
    <row r="75" spans="2:32" x14ac:dyDescent="0.25">
      <c r="B75" t="s">
        <v>236</v>
      </c>
      <c r="C75" t="s">
        <v>31</v>
      </c>
      <c r="D75">
        <v>0.31378944827214494</v>
      </c>
      <c r="F75" t="s">
        <v>236</v>
      </c>
      <c r="G75" t="s">
        <v>296</v>
      </c>
      <c r="H75">
        <v>1.8264762453420253E-2</v>
      </c>
      <c r="J75" t="s">
        <v>236</v>
      </c>
      <c r="K75" t="s">
        <v>297</v>
      </c>
      <c r="L75">
        <v>2.3234208308842035E-2</v>
      </c>
      <c r="N75" t="s">
        <v>236</v>
      </c>
      <c r="O75" t="s">
        <v>298</v>
      </c>
      <c r="P75">
        <v>0.13974424215207959</v>
      </c>
      <c r="Z75" t="s">
        <v>236</v>
      </c>
      <c r="AA75">
        <v>0.49995878638192809</v>
      </c>
      <c r="AC75" t="s">
        <v>246</v>
      </c>
      <c r="AD75" t="s">
        <v>309</v>
      </c>
      <c r="AE75" t="s">
        <v>310</v>
      </c>
      <c r="AF75">
        <v>0.3164133891093302</v>
      </c>
    </row>
    <row r="76" spans="2:32" x14ac:dyDescent="0.25">
      <c r="B76" t="s">
        <v>237</v>
      </c>
      <c r="C76" t="s">
        <v>31</v>
      </c>
      <c r="D76">
        <v>0.31491205614824835</v>
      </c>
      <c r="F76" t="s">
        <v>237</v>
      </c>
      <c r="G76" t="s">
        <v>296</v>
      </c>
      <c r="H76">
        <v>1.9222826342789875E-2</v>
      </c>
      <c r="J76" t="s">
        <v>237</v>
      </c>
      <c r="K76" t="s">
        <v>297</v>
      </c>
      <c r="L76">
        <v>2.2345529177025501E-2</v>
      </c>
      <c r="N76" t="s">
        <v>237</v>
      </c>
      <c r="O76" t="s">
        <v>298</v>
      </c>
      <c r="P76">
        <v>0.13810456224960668</v>
      </c>
      <c r="Z76" t="s">
        <v>237</v>
      </c>
      <c r="AA76">
        <v>0.50996771446983047</v>
      </c>
      <c r="AC76" t="s">
        <v>247</v>
      </c>
      <c r="AD76" t="s">
        <v>309</v>
      </c>
      <c r="AE76" t="s">
        <v>310</v>
      </c>
      <c r="AF76">
        <v>0.33136662153899016</v>
      </c>
    </row>
    <row r="77" spans="2:32" x14ac:dyDescent="0.25">
      <c r="B77" t="s">
        <v>238</v>
      </c>
      <c r="C77" t="s">
        <v>31</v>
      </c>
      <c r="D77">
        <v>0.31833189206528678</v>
      </c>
      <c r="F77" t="s">
        <v>238</v>
      </c>
      <c r="G77" t="s">
        <v>296</v>
      </c>
      <c r="H77">
        <v>1.9280896736730464E-2</v>
      </c>
      <c r="J77" t="s">
        <v>238</v>
      </c>
      <c r="K77" t="s">
        <v>297</v>
      </c>
      <c r="L77">
        <v>2.3389528553231211E-2</v>
      </c>
      <c r="N77" t="s">
        <v>238</v>
      </c>
      <c r="O77" t="s">
        <v>298</v>
      </c>
      <c r="P77">
        <v>0.1424090489697242</v>
      </c>
      <c r="Z77" t="s">
        <v>238</v>
      </c>
      <c r="AA77">
        <v>0.48578368633346136</v>
      </c>
      <c r="AC77" t="s">
        <v>248</v>
      </c>
      <c r="AD77" t="s">
        <v>309</v>
      </c>
      <c r="AE77" t="s">
        <v>310</v>
      </c>
      <c r="AF77">
        <v>0.35091134206178975</v>
      </c>
    </row>
    <row r="78" spans="2:32" x14ac:dyDescent="0.25">
      <c r="B78" t="s">
        <v>239</v>
      </c>
      <c r="C78" t="s">
        <v>31</v>
      </c>
      <c r="D78">
        <v>0.35475915079086601</v>
      </c>
      <c r="F78" t="s">
        <v>239</v>
      </c>
      <c r="G78" t="s">
        <v>296</v>
      </c>
      <c r="H78">
        <v>3.0022447682048699E-2</v>
      </c>
      <c r="J78" t="s">
        <v>239</v>
      </c>
      <c r="K78" t="s">
        <v>297</v>
      </c>
      <c r="L78">
        <v>3.3703714245513779E-2</v>
      </c>
      <c r="N78" t="s">
        <v>239</v>
      </c>
      <c r="O78" t="s">
        <v>298</v>
      </c>
      <c r="P78">
        <v>0.17243893517830819</v>
      </c>
      <c r="Z78" t="s">
        <v>239</v>
      </c>
      <c r="AA78">
        <v>0.28277587355030653</v>
      </c>
      <c r="AC78" t="s">
        <v>249</v>
      </c>
      <c r="AD78" t="s">
        <v>309</v>
      </c>
      <c r="AE78" t="s">
        <v>310</v>
      </c>
      <c r="AF78">
        <v>0.29577930399663882</v>
      </c>
    </row>
    <row r="79" spans="2:32" x14ac:dyDescent="0.25">
      <c r="B79" t="s">
        <v>240</v>
      </c>
      <c r="C79" t="s">
        <v>31</v>
      </c>
      <c r="D79">
        <v>0.36346051099758792</v>
      </c>
      <c r="F79" t="s">
        <v>240</v>
      </c>
      <c r="G79" t="s">
        <v>296</v>
      </c>
      <c r="H79">
        <v>2.3300415831792931E-2</v>
      </c>
      <c r="J79" t="s">
        <v>240</v>
      </c>
      <c r="K79" t="s">
        <v>297</v>
      </c>
      <c r="L79">
        <v>3.0559571985237496E-2</v>
      </c>
      <c r="N79" t="s">
        <v>240</v>
      </c>
      <c r="O79" t="s">
        <v>298</v>
      </c>
      <c r="P79">
        <v>0.19309073037493693</v>
      </c>
      <c r="Z79" t="s">
        <v>240</v>
      </c>
      <c r="AA79">
        <v>0.28648374479516486</v>
      </c>
      <c r="AC79" t="s">
        <v>250</v>
      </c>
      <c r="AD79" t="s">
        <v>309</v>
      </c>
      <c r="AE79" t="s">
        <v>310</v>
      </c>
      <c r="AF79">
        <v>0.23850959125242938</v>
      </c>
    </row>
    <row r="80" spans="2:32" x14ac:dyDescent="0.25">
      <c r="B80" t="s">
        <v>241</v>
      </c>
      <c r="C80" t="s">
        <v>31</v>
      </c>
      <c r="D80">
        <v>0.36134800007634027</v>
      </c>
      <c r="F80" t="s">
        <v>241</v>
      </c>
      <c r="G80" t="s">
        <v>296</v>
      </c>
      <c r="H80">
        <v>2.8331413779241664E-2</v>
      </c>
      <c r="J80" t="s">
        <v>241</v>
      </c>
      <c r="K80" t="s">
        <v>297</v>
      </c>
      <c r="L80">
        <v>3.2167467719486233E-2</v>
      </c>
      <c r="N80" t="s">
        <v>241</v>
      </c>
      <c r="O80" t="s">
        <v>298</v>
      </c>
      <c r="P80">
        <v>0.17964187497002718</v>
      </c>
      <c r="Z80" t="s">
        <v>241</v>
      </c>
      <c r="AA80">
        <v>0.28134613819152016</v>
      </c>
      <c r="AC80" t="s">
        <v>251</v>
      </c>
      <c r="AD80" t="s">
        <v>309</v>
      </c>
      <c r="AE80" t="s">
        <v>310</v>
      </c>
      <c r="AF80">
        <v>0.38964066910934869</v>
      </c>
    </row>
    <row r="81" spans="2:32" x14ac:dyDescent="0.25">
      <c r="B81" t="s">
        <v>242</v>
      </c>
      <c r="C81" t="s">
        <v>31</v>
      </c>
      <c r="D81">
        <v>0.37589608021292314</v>
      </c>
      <c r="F81" t="s">
        <v>242</v>
      </c>
      <c r="G81" t="s">
        <v>296</v>
      </c>
      <c r="H81">
        <v>2.6110588172587188E-2</v>
      </c>
      <c r="J81" t="s">
        <v>242</v>
      </c>
      <c r="K81" t="s">
        <v>297</v>
      </c>
      <c r="L81">
        <v>3.2536664695869209E-2</v>
      </c>
      <c r="N81" t="s">
        <v>242</v>
      </c>
      <c r="O81" t="s">
        <v>298</v>
      </c>
      <c r="P81">
        <v>0.19774718335075975</v>
      </c>
      <c r="Z81" t="s">
        <v>242</v>
      </c>
      <c r="AA81">
        <v>0.25784755788628355</v>
      </c>
      <c r="AC81" t="s">
        <v>252</v>
      </c>
      <c r="AD81" t="s">
        <v>309</v>
      </c>
      <c r="AE81" t="s">
        <v>310</v>
      </c>
      <c r="AF81">
        <v>0.28498241048704176</v>
      </c>
    </row>
    <row r="82" spans="2:32" x14ac:dyDescent="0.25">
      <c r="B82" t="s">
        <v>243</v>
      </c>
      <c r="C82" t="s">
        <v>31</v>
      </c>
      <c r="D82">
        <v>0.373369028032214</v>
      </c>
      <c r="F82" t="s">
        <v>243</v>
      </c>
      <c r="G82" t="s">
        <v>296</v>
      </c>
      <c r="H82">
        <v>2.4229649788197062E-2</v>
      </c>
      <c r="J82" t="s">
        <v>243</v>
      </c>
      <c r="K82" t="s">
        <v>297</v>
      </c>
      <c r="L82">
        <v>3.171663105662028E-2</v>
      </c>
      <c r="N82" t="s">
        <v>243</v>
      </c>
      <c r="O82" t="s">
        <v>298</v>
      </c>
      <c r="P82">
        <v>0.19829097802638981</v>
      </c>
      <c r="Z82" t="s">
        <v>243</v>
      </c>
      <c r="AA82">
        <v>0.27675434216905398</v>
      </c>
      <c r="AC82" t="s">
        <v>253</v>
      </c>
      <c r="AD82" t="s">
        <v>309</v>
      </c>
      <c r="AE82" t="s">
        <v>310</v>
      </c>
      <c r="AF82">
        <v>0.27995704661425019</v>
      </c>
    </row>
    <row r="83" spans="2:32" x14ac:dyDescent="0.25">
      <c r="B83" t="s">
        <v>244</v>
      </c>
      <c r="C83" t="s">
        <v>31</v>
      </c>
      <c r="D83">
        <v>0.37409877422917476</v>
      </c>
      <c r="F83" t="s">
        <v>244</v>
      </c>
      <c r="G83" t="s">
        <v>296</v>
      </c>
      <c r="H83">
        <v>2.9798343670317959E-2</v>
      </c>
      <c r="J83" t="s">
        <v>244</v>
      </c>
      <c r="K83" t="s">
        <v>297</v>
      </c>
      <c r="L83">
        <v>4.0418086688569888E-2</v>
      </c>
      <c r="N83" t="s">
        <v>244</v>
      </c>
      <c r="O83" t="s">
        <v>298</v>
      </c>
      <c r="P83">
        <v>0.18465718055546113</v>
      </c>
      <c r="Z83" t="s">
        <v>244</v>
      </c>
      <c r="AA83">
        <v>0.26411717369073834</v>
      </c>
      <c r="AC83" t="s">
        <v>254</v>
      </c>
      <c r="AD83" t="s">
        <v>309</v>
      </c>
      <c r="AE83" t="s">
        <v>310</v>
      </c>
      <c r="AF83">
        <v>0.25028270034429928</v>
      </c>
    </row>
    <row r="84" spans="2:32" x14ac:dyDescent="0.25">
      <c r="B84" t="s">
        <v>245</v>
      </c>
      <c r="C84" t="s">
        <v>31</v>
      </c>
      <c r="D84">
        <v>0.38272070256774876</v>
      </c>
      <c r="F84" t="s">
        <v>245</v>
      </c>
      <c r="G84" t="s">
        <v>296</v>
      </c>
      <c r="H84">
        <v>2.467669687360987E-2</v>
      </c>
      <c r="J84" t="s">
        <v>245</v>
      </c>
      <c r="K84" t="s">
        <v>297</v>
      </c>
      <c r="L84">
        <v>3.7507305437245966E-2</v>
      </c>
      <c r="N84" t="s">
        <v>245</v>
      </c>
      <c r="O84" t="s">
        <v>298</v>
      </c>
      <c r="P84">
        <v>0.20251591075405864</v>
      </c>
      <c r="Z84" t="s">
        <v>245</v>
      </c>
      <c r="AA84">
        <v>0.25476783613868159</v>
      </c>
      <c r="AC84" t="s">
        <v>255</v>
      </c>
      <c r="AD84" t="s">
        <v>309</v>
      </c>
      <c r="AE84" t="s">
        <v>310</v>
      </c>
      <c r="AF84">
        <v>0.26484669107426273</v>
      </c>
    </row>
    <row r="85" spans="2:32" x14ac:dyDescent="0.25">
      <c r="B85" t="s">
        <v>246</v>
      </c>
      <c r="C85" t="s">
        <v>31</v>
      </c>
      <c r="D85">
        <v>0.3574219594703969</v>
      </c>
      <c r="F85" t="s">
        <v>246</v>
      </c>
      <c r="G85" t="s">
        <v>296</v>
      </c>
      <c r="H85">
        <v>2.8311989115346711E-2</v>
      </c>
      <c r="J85" t="s">
        <v>246</v>
      </c>
      <c r="K85" t="s">
        <v>297</v>
      </c>
      <c r="L85">
        <v>3.550205267147391E-2</v>
      </c>
      <c r="N85" t="s">
        <v>246</v>
      </c>
      <c r="O85" t="s">
        <v>298</v>
      </c>
      <c r="P85">
        <v>0.1709634503835479</v>
      </c>
      <c r="Z85" t="s">
        <v>246</v>
      </c>
      <c r="AA85">
        <v>0.31766656198098692</v>
      </c>
      <c r="AC85" t="s">
        <v>256</v>
      </c>
      <c r="AD85" t="s">
        <v>309</v>
      </c>
      <c r="AE85" t="s">
        <v>310</v>
      </c>
      <c r="AF85">
        <v>0.38101225523436261</v>
      </c>
    </row>
    <row r="86" spans="2:32" x14ac:dyDescent="0.25">
      <c r="B86" t="s">
        <v>247</v>
      </c>
      <c r="C86" t="s">
        <v>31</v>
      </c>
      <c r="D86">
        <v>0.34760107469167928</v>
      </c>
      <c r="F86" t="s">
        <v>247</v>
      </c>
      <c r="G86" t="s">
        <v>296</v>
      </c>
      <c r="H86">
        <v>2.5844695887923378E-2</v>
      </c>
      <c r="J86" t="s">
        <v>247</v>
      </c>
      <c r="K86" t="s">
        <v>297</v>
      </c>
      <c r="L86">
        <v>3.0630906412849126E-2</v>
      </c>
      <c r="N86" t="s">
        <v>247</v>
      </c>
      <c r="O86" t="s">
        <v>298</v>
      </c>
      <c r="P86">
        <v>0.16730942091753143</v>
      </c>
      <c r="Z86" t="s">
        <v>247</v>
      </c>
      <c r="AA86">
        <v>0.33263881862534456</v>
      </c>
      <c r="AC86" t="s">
        <v>257</v>
      </c>
      <c r="AD86" t="s">
        <v>309</v>
      </c>
      <c r="AE86" t="s">
        <v>310</v>
      </c>
      <c r="AF86">
        <v>0.26721912706060319</v>
      </c>
    </row>
    <row r="87" spans="2:32" x14ac:dyDescent="0.25">
      <c r="B87" t="s">
        <v>248</v>
      </c>
      <c r="C87" t="s">
        <v>31</v>
      </c>
      <c r="D87">
        <v>0.34726994841684483</v>
      </c>
      <c r="F87" t="s">
        <v>248</v>
      </c>
      <c r="G87" t="s">
        <v>296</v>
      </c>
      <c r="H87">
        <v>2.532833624672148E-2</v>
      </c>
      <c r="J87" t="s">
        <v>248</v>
      </c>
      <c r="K87" t="s">
        <v>297</v>
      </c>
      <c r="L87">
        <v>3.1484154316345214E-2</v>
      </c>
      <c r="N87" t="s">
        <v>248</v>
      </c>
      <c r="O87" t="s">
        <v>298</v>
      </c>
      <c r="P87">
        <v>0.16659397627514558</v>
      </c>
      <c r="Z87" t="s">
        <v>248</v>
      </c>
      <c r="AA87">
        <v>0.35247351193122012</v>
      </c>
      <c r="AC87" t="s">
        <v>258</v>
      </c>
      <c r="AD87" t="s">
        <v>309</v>
      </c>
      <c r="AE87" t="s">
        <v>310</v>
      </c>
      <c r="AF87">
        <v>0.28963643777698056</v>
      </c>
    </row>
    <row r="88" spans="2:32" x14ac:dyDescent="0.25">
      <c r="B88" t="s">
        <v>249</v>
      </c>
      <c r="C88" t="s">
        <v>31</v>
      </c>
      <c r="D88">
        <v>0.35749695413736293</v>
      </c>
      <c r="F88" t="s">
        <v>249</v>
      </c>
      <c r="G88" t="s">
        <v>296</v>
      </c>
      <c r="H88">
        <v>2.5036312400896939E-2</v>
      </c>
      <c r="J88" t="s">
        <v>249</v>
      </c>
      <c r="K88" t="s">
        <v>297</v>
      </c>
      <c r="L88">
        <v>3.3427700925675971E-2</v>
      </c>
      <c r="N88" t="s">
        <v>249</v>
      </c>
      <c r="O88" t="s">
        <v>298</v>
      </c>
      <c r="P88">
        <v>0.18057417374573109</v>
      </c>
      <c r="Z88" t="s">
        <v>249</v>
      </c>
      <c r="AA88">
        <v>0.29815783519503858</v>
      </c>
      <c r="AC88" t="s">
        <v>259</v>
      </c>
      <c r="AD88" t="s">
        <v>309</v>
      </c>
      <c r="AE88" t="s">
        <v>310</v>
      </c>
      <c r="AF88">
        <v>0.27751646146076564</v>
      </c>
    </row>
    <row r="89" spans="2:32" x14ac:dyDescent="0.25">
      <c r="B89" t="s">
        <v>250</v>
      </c>
      <c r="C89" t="s">
        <v>31</v>
      </c>
      <c r="D89">
        <v>0.3883665096399157</v>
      </c>
      <c r="F89" t="s">
        <v>250</v>
      </c>
      <c r="G89" t="s">
        <v>296</v>
      </c>
      <c r="H89">
        <v>2.5848569506404798E-2</v>
      </c>
      <c r="J89" t="s">
        <v>250</v>
      </c>
      <c r="K89" t="s">
        <v>297</v>
      </c>
      <c r="L89">
        <v>3.4780833555799605E-2</v>
      </c>
      <c r="N89" t="s">
        <v>250</v>
      </c>
      <c r="O89" t="s">
        <v>298</v>
      </c>
      <c r="P89">
        <v>0.20356014603733072</v>
      </c>
      <c r="Z89" t="s">
        <v>250</v>
      </c>
      <c r="AA89">
        <v>0.24031626450200014</v>
      </c>
      <c r="AC89" t="s">
        <v>260</v>
      </c>
      <c r="AD89" t="s">
        <v>309</v>
      </c>
      <c r="AE89" t="s">
        <v>310</v>
      </c>
      <c r="AF89">
        <v>0.28493635292348196</v>
      </c>
    </row>
    <row r="90" spans="2:32" x14ac:dyDescent="0.25">
      <c r="B90" t="s">
        <v>251</v>
      </c>
      <c r="C90" t="s">
        <v>31</v>
      </c>
      <c r="D90">
        <v>0.34203675640442116</v>
      </c>
      <c r="F90" t="s">
        <v>251</v>
      </c>
      <c r="G90" t="s">
        <v>296</v>
      </c>
      <c r="H90">
        <v>2.4551601725465558E-2</v>
      </c>
      <c r="J90" t="s">
        <v>251</v>
      </c>
      <c r="K90" t="s">
        <v>297</v>
      </c>
      <c r="L90">
        <v>3.0087877283626028E-2</v>
      </c>
      <c r="N90" t="s">
        <v>251</v>
      </c>
      <c r="O90" t="s">
        <v>298</v>
      </c>
      <c r="P90">
        <v>0.15818814714926771</v>
      </c>
      <c r="Z90" t="s">
        <v>251</v>
      </c>
      <c r="AA90">
        <v>0.39105072117322359</v>
      </c>
      <c r="AC90" t="s">
        <v>261</v>
      </c>
      <c r="AD90" t="s">
        <v>309</v>
      </c>
      <c r="AE90" t="s">
        <v>310</v>
      </c>
      <c r="AF90">
        <v>0.24319396663217149</v>
      </c>
    </row>
    <row r="91" spans="2:32" x14ac:dyDescent="0.25">
      <c r="B91" t="s">
        <v>252</v>
      </c>
      <c r="C91" t="s">
        <v>31</v>
      </c>
      <c r="D91">
        <v>0.36429316644087301</v>
      </c>
      <c r="F91" t="s">
        <v>252</v>
      </c>
      <c r="G91" t="s">
        <v>296</v>
      </c>
      <c r="H91">
        <v>2.5249808258706874E-2</v>
      </c>
      <c r="J91" t="s">
        <v>252</v>
      </c>
      <c r="K91" t="s">
        <v>297</v>
      </c>
      <c r="L91">
        <v>3.1835375180797432E-2</v>
      </c>
      <c r="N91" t="s">
        <v>252</v>
      </c>
      <c r="O91" t="s">
        <v>298</v>
      </c>
      <c r="P91">
        <v>0.18732111423358602</v>
      </c>
      <c r="Z91" t="s">
        <v>252</v>
      </c>
      <c r="AA91">
        <v>0.28587222461475598</v>
      </c>
      <c r="AC91" t="s">
        <v>262</v>
      </c>
      <c r="AD91" t="s">
        <v>309</v>
      </c>
      <c r="AE91" t="s">
        <v>310</v>
      </c>
      <c r="AF91">
        <v>0.31572124525055528</v>
      </c>
    </row>
    <row r="92" spans="2:32" x14ac:dyDescent="0.25">
      <c r="B92" t="s">
        <v>253</v>
      </c>
      <c r="C92" t="s">
        <v>31</v>
      </c>
      <c r="D92">
        <v>0.36705721210967096</v>
      </c>
      <c r="F92" t="s">
        <v>253</v>
      </c>
      <c r="G92" t="s">
        <v>296</v>
      </c>
      <c r="H92">
        <v>2.5525237186715538E-2</v>
      </c>
      <c r="J92" t="s">
        <v>253</v>
      </c>
      <c r="K92" t="s">
        <v>297</v>
      </c>
      <c r="L92">
        <v>3.2454475252382591E-2</v>
      </c>
      <c r="N92" t="s">
        <v>253</v>
      </c>
      <c r="O92" t="s">
        <v>298</v>
      </c>
      <c r="P92">
        <v>0.19030663941828979</v>
      </c>
      <c r="Z92" t="s">
        <v>253</v>
      </c>
      <c r="AA92">
        <v>0.28127175441041202</v>
      </c>
      <c r="AC92" t="s">
        <v>263</v>
      </c>
      <c r="AD92" t="s">
        <v>309</v>
      </c>
      <c r="AE92" t="s">
        <v>310</v>
      </c>
      <c r="AF92">
        <v>0.32514828885906444</v>
      </c>
    </row>
    <row r="93" spans="2:32" x14ac:dyDescent="0.25">
      <c r="B93" t="s">
        <v>254</v>
      </c>
      <c r="C93" t="s">
        <v>31</v>
      </c>
      <c r="D93">
        <v>0.40592614908014896</v>
      </c>
      <c r="F93" t="s">
        <v>254</v>
      </c>
      <c r="G93" t="s">
        <v>296</v>
      </c>
      <c r="H93">
        <v>3.0548979408596872E-2</v>
      </c>
      <c r="J93" t="s">
        <v>254</v>
      </c>
      <c r="K93" t="s">
        <v>297</v>
      </c>
      <c r="L93">
        <v>3.8033677485804121E-2</v>
      </c>
      <c r="N93" t="s">
        <v>254</v>
      </c>
      <c r="O93" t="s">
        <v>298</v>
      </c>
      <c r="P93">
        <v>0.20997835470647006</v>
      </c>
      <c r="Z93" t="s">
        <v>254</v>
      </c>
      <c r="AA93">
        <v>0.2519746211435025</v>
      </c>
      <c r="AC93" t="s">
        <v>264</v>
      </c>
      <c r="AD93" t="s">
        <v>309</v>
      </c>
      <c r="AE93" t="s">
        <v>310</v>
      </c>
      <c r="AF93">
        <v>0.26909812949839212</v>
      </c>
    </row>
    <row r="94" spans="2:32" x14ac:dyDescent="0.25">
      <c r="B94" t="s">
        <v>255</v>
      </c>
      <c r="C94" t="s">
        <v>31</v>
      </c>
      <c r="D94">
        <v>0.36630790429790128</v>
      </c>
      <c r="F94" t="s">
        <v>255</v>
      </c>
      <c r="G94" t="s">
        <v>296</v>
      </c>
      <c r="H94">
        <v>2.7851123906609477E-2</v>
      </c>
      <c r="J94" t="s">
        <v>255</v>
      </c>
      <c r="K94" t="s">
        <v>297</v>
      </c>
      <c r="L94">
        <v>3.7428415791581994E-2</v>
      </c>
      <c r="N94" t="s">
        <v>255</v>
      </c>
      <c r="O94" t="s">
        <v>298</v>
      </c>
      <c r="P94">
        <v>0.18131516086590516</v>
      </c>
      <c r="Z94" t="s">
        <v>255</v>
      </c>
      <c r="AA94">
        <v>0.26622697496558045</v>
      </c>
      <c r="AC94" t="s">
        <v>265</v>
      </c>
      <c r="AD94" t="s">
        <v>309</v>
      </c>
      <c r="AE94" t="s">
        <v>310</v>
      </c>
      <c r="AF94">
        <v>0.24185030017165637</v>
      </c>
    </row>
    <row r="95" spans="2:32" x14ac:dyDescent="0.25">
      <c r="B95" t="s">
        <v>256</v>
      </c>
      <c r="C95" t="s">
        <v>31</v>
      </c>
      <c r="D95">
        <v>0.33284866603411772</v>
      </c>
      <c r="F95" t="s">
        <v>256</v>
      </c>
      <c r="G95" t="s">
        <v>296</v>
      </c>
      <c r="H95">
        <v>2.1155950311278076E-2</v>
      </c>
      <c r="J95" t="s">
        <v>256</v>
      </c>
      <c r="K95" t="s">
        <v>297</v>
      </c>
      <c r="L95">
        <v>2.5093109606129631E-2</v>
      </c>
      <c r="N95" t="s">
        <v>256</v>
      </c>
      <c r="O95" t="s">
        <v>298</v>
      </c>
      <c r="P95">
        <v>0.15878160744698214</v>
      </c>
      <c r="Z95" t="s">
        <v>256</v>
      </c>
      <c r="AA95">
        <v>0.38253882710281578</v>
      </c>
      <c r="AC95" t="s">
        <v>266</v>
      </c>
      <c r="AD95" t="s">
        <v>309</v>
      </c>
      <c r="AE95" t="s">
        <v>310</v>
      </c>
      <c r="AF95">
        <v>0.25477321484996873</v>
      </c>
    </row>
    <row r="96" spans="2:32" x14ac:dyDescent="0.25">
      <c r="B96" t="s">
        <v>257</v>
      </c>
      <c r="C96" t="s">
        <v>31</v>
      </c>
      <c r="D96">
        <v>0.37226851335619471</v>
      </c>
      <c r="F96" t="s">
        <v>257</v>
      </c>
      <c r="G96" t="s">
        <v>296</v>
      </c>
      <c r="H96">
        <v>2.2705767827180093E-2</v>
      </c>
      <c r="J96" t="s">
        <v>257</v>
      </c>
      <c r="K96" t="s">
        <v>297</v>
      </c>
      <c r="L96">
        <v>3.3039879714139971E-2</v>
      </c>
      <c r="N96" t="s">
        <v>257</v>
      </c>
      <c r="O96" t="s">
        <v>298</v>
      </c>
      <c r="P96">
        <v>0.19831782174184287</v>
      </c>
      <c r="Z96" t="s">
        <v>257</v>
      </c>
      <c r="AA96">
        <v>0.26895223743968355</v>
      </c>
      <c r="AC96" t="s">
        <v>267</v>
      </c>
      <c r="AD96" t="s">
        <v>309</v>
      </c>
      <c r="AE96" t="s">
        <v>310</v>
      </c>
      <c r="AF96">
        <v>0.19250748089128375</v>
      </c>
    </row>
    <row r="97" spans="2:32" x14ac:dyDescent="0.25">
      <c r="B97" t="s">
        <v>258</v>
      </c>
      <c r="C97" t="s">
        <v>31</v>
      </c>
      <c r="D97">
        <v>0.3622193379489273</v>
      </c>
      <c r="F97" t="s">
        <v>258</v>
      </c>
      <c r="G97" t="s">
        <v>296</v>
      </c>
      <c r="H97">
        <v>2.5519361154989054E-2</v>
      </c>
      <c r="J97" t="s">
        <v>258</v>
      </c>
      <c r="K97" t="s">
        <v>297</v>
      </c>
      <c r="L97">
        <v>3.330954874928007E-2</v>
      </c>
      <c r="N97" t="s">
        <v>258</v>
      </c>
      <c r="O97" t="s">
        <v>298</v>
      </c>
      <c r="P97">
        <v>0.18510917568448354</v>
      </c>
      <c r="Z97" t="s">
        <v>258</v>
      </c>
      <c r="AA97">
        <v>0.2911584055055309</v>
      </c>
      <c r="AC97" t="s">
        <v>268</v>
      </c>
      <c r="AD97" t="s">
        <v>309</v>
      </c>
      <c r="AE97" t="s">
        <v>310</v>
      </c>
      <c r="AF97">
        <v>0.21896952606128017</v>
      </c>
    </row>
    <row r="98" spans="2:32" x14ac:dyDescent="0.25">
      <c r="B98" t="s">
        <v>259</v>
      </c>
      <c r="C98" t="s">
        <v>31</v>
      </c>
      <c r="D98">
        <v>0.37037729221353199</v>
      </c>
      <c r="F98" t="s">
        <v>259</v>
      </c>
      <c r="G98" t="s">
        <v>296</v>
      </c>
      <c r="H98">
        <v>2.3180353205624754E-2</v>
      </c>
      <c r="J98" t="s">
        <v>259</v>
      </c>
      <c r="K98" t="s">
        <v>297</v>
      </c>
      <c r="L98">
        <v>3.2093021542921478E-2</v>
      </c>
      <c r="N98" t="s">
        <v>259</v>
      </c>
      <c r="O98" t="s">
        <v>298</v>
      </c>
      <c r="P98">
        <v>0.19354470008478658</v>
      </c>
      <c r="Z98" t="s">
        <v>259</v>
      </c>
      <c r="AA98">
        <v>0.27963809647675719</v>
      </c>
      <c r="AC98" t="s">
        <v>269</v>
      </c>
      <c r="AD98" t="s">
        <v>309</v>
      </c>
      <c r="AE98" t="s">
        <v>310</v>
      </c>
      <c r="AF98">
        <v>0.28767496910792267</v>
      </c>
    </row>
    <row r="99" spans="2:32" x14ac:dyDescent="0.25">
      <c r="B99" t="s">
        <v>260</v>
      </c>
      <c r="C99" t="s">
        <v>31</v>
      </c>
      <c r="D99">
        <v>0.36292294650377876</v>
      </c>
      <c r="F99" t="s">
        <v>260</v>
      </c>
      <c r="G99" t="s">
        <v>296</v>
      </c>
      <c r="H99">
        <v>2.8742529207644599E-2</v>
      </c>
      <c r="J99" t="s">
        <v>260</v>
      </c>
      <c r="K99" t="s">
        <v>297</v>
      </c>
      <c r="L99">
        <v>3.7920523746338586E-2</v>
      </c>
      <c r="N99" t="s">
        <v>260</v>
      </c>
      <c r="O99" t="s">
        <v>298</v>
      </c>
      <c r="P99">
        <v>0.17847736287016502</v>
      </c>
      <c r="Z99" t="s">
        <v>260</v>
      </c>
      <c r="AA99">
        <v>0.28706347345207783</v>
      </c>
      <c r="AC99" t="s">
        <v>270</v>
      </c>
      <c r="AD99" t="s">
        <v>309</v>
      </c>
      <c r="AE99" t="s">
        <v>310</v>
      </c>
      <c r="AF99">
        <v>0.27748626907630131</v>
      </c>
    </row>
    <row r="100" spans="2:32" x14ac:dyDescent="0.25">
      <c r="B100" t="s">
        <v>261</v>
      </c>
      <c r="C100" t="s">
        <v>31</v>
      </c>
      <c r="D100">
        <v>0.3829304855527399</v>
      </c>
      <c r="F100" t="s">
        <v>261</v>
      </c>
      <c r="G100" t="s">
        <v>296</v>
      </c>
      <c r="H100">
        <v>2.7860136508312577E-2</v>
      </c>
      <c r="J100" t="s">
        <v>261</v>
      </c>
      <c r="K100" t="s">
        <v>297</v>
      </c>
      <c r="L100">
        <v>3.5385834886033744E-2</v>
      </c>
      <c r="N100" t="s">
        <v>261</v>
      </c>
      <c r="O100" t="s">
        <v>298</v>
      </c>
      <c r="P100">
        <v>0.20173263229528807</v>
      </c>
      <c r="Z100" t="s">
        <v>261</v>
      </c>
      <c r="AA100">
        <v>0.24444868829326979</v>
      </c>
      <c r="AC100" t="s">
        <v>271</v>
      </c>
      <c r="AD100" t="s">
        <v>309</v>
      </c>
      <c r="AE100" t="s">
        <v>310</v>
      </c>
      <c r="AF100">
        <v>0.24635514985243992</v>
      </c>
    </row>
    <row r="101" spans="2:32" x14ac:dyDescent="0.25">
      <c r="B101" t="s">
        <v>262</v>
      </c>
      <c r="C101" t="s">
        <v>31</v>
      </c>
      <c r="D101">
        <v>0.34978192451150841</v>
      </c>
      <c r="F101" t="s">
        <v>262</v>
      </c>
      <c r="G101" t="s">
        <v>296</v>
      </c>
      <c r="H101">
        <v>2.7221225489079869E-2</v>
      </c>
      <c r="J101" t="s">
        <v>262</v>
      </c>
      <c r="K101" t="s">
        <v>297</v>
      </c>
      <c r="L101">
        <v>3.1561540303140324E-2</v>
      </c>
      <c r="N101" t="s">
        <v>262</v>
      </c>
      <c r="O101" t="s">
        <v>298</v>
      </c>
      <c r="P101">
        <v>0.16895867133932502</v>
      </c>
      <c r="Z101" t="s">
        <v>262</v>
      </c>
      <c r="AA101">
        <v>0.31698131535541019</v>
      </c>
      <c r="AC101" t="s">
        <v>272</v>
      </c>
      <c r="AD101" t="s">
        <v>309</v>
      </c>
      <c r="AE101" t="s">
        <v>310</v>
      </c>
      <c r="AF101">
        <v>0.25832714135592461</v>
      </c>
    </row>
    <row r="102" spans="2:32" x14ac:dyDescent="0.25">
      <c r="B102" t="s">
        <v>263</v>
      </c>
      <c r="C102" t="s">
        <v>31</v>
      </c>
      <c r="D102">
        <v>0.34494310482718971</v>
      </c>
      <c r="F102" t="s">
        <v>263</v>
      </c>
      <c r="G102" t="s">
        <v>296</v>
      </c>
      <c r="H102">
        <v>2.6588359035191141E-2</v>
      </c>
      <c r="J102" t="s">
        <v>263</v>
      </c>
      <c r="K102" t="s">
        <v>297</v>
      </c>
      <c r="L102">
        <v>3.1247780665364346E-2</v>
      </c>
      <c r="N102" t="s">
        <v>263</v>
      </c>
      <c r="O102" t="s">
        <v>298</v>
      </c>
      <c r="P102">
        <v>0.16662848701484304</v>
      </c>
      <c r="Z102" t="s">
        <v>263</v>
      </c>
      <c r="AA102">
        <v>0.32620114372569409</v>
      </c>
      <c r="AC102" t="s">
        <v>273</v>
      </c>
      <c r="AD102" t="s">
        <v>309</v>
      </c>
      <c r="AE102" t="s">
        <v>310</v>
      </c>
      <c r="AF102">
        <v>0.28965194896869478</v>
      </c>
    </row>
    <row r="103" spans="2:32" x14ac:dyDescent="0.25">
      <c r="B103" t="s">
        <v>264</v>
      </c>
      <c r="C103" t="s">
        <v>31</v>
      </c>
      <c r="D103">
        <v>0.36789417063895158</v>
      </c>
      <c r="F103" t="s">
        <v>264</v>
      </c>
      <c r="G103" t="s">
        <v>296</v>
      </c>
      <c r="H103">
        <v>2.9047633074992946E-2</v>
      </c>
      <c r="J103" t="s">
        <v>264</v>
      </c>
      <c r="K103" t="s">
        <v>297</v>
      </c>
      <c r="L103">
        <v>3.8229323986275141E-2</v>
      </c>
      <c r="N103" t="s">
        <v>264</v>
      </c>
      <c r="O103" t="s">
        <v>298</v>
      </c>
      <c r="P103">
        <v>0.18049631105475025</v>
      </c>
      <c r="Z103" t="s">
        <v>264</v>
      </c>
      <c r="AA103">
        <v>0.27035342361179471</v>
      </c>
      <c r="AC103" t="s">
        <v>274</v>
      </c>
      <c r="AD103" t="s">
        <v>309</v>
      </c>
      <c r="AE103" t="s">
        <v>310</v>
      </c>
      <c r="AF103">
        <v>0.28558768106636795</v>
      </c>
    </row>
    <row r="104" spans="2:32" x14ac:dyDescent="0.25">
      <c r="B104" t="s">
        <v>265</v>
      </c>
      <c r="C104" t="s">
        <v>31</v>
      </c>
      <c r="D104">
        <v>0.38921460341840292</v>
      </c>
      <c r="F104" t="s">
        <v>265</v>
      </c>
      <c r="G104" t="s">
        <v>296</v>
      </c>
      <c r="H104">
        <v>3.029559755542981E-2</v>
      </c>
      <c r="J104" t="s">
        <v>265</v>
      </c>
      <c r="K104" t="s">
        <v>297</v>
      </c>
      <c r="L104">
        <v>3.4256058317196525E-2</v>
      </c>
      <c r="N104" t="s">
        <v>265</v>
      </c>
      <c r="O104" t="s">
        <v>298</v>
      </c>
      <c r="P104">
        <v>0.20364315295035265</v>
      </c>
      <c r="Z104" t="s">
        <v>265</v>
      </c>
      <c r="AA104">
        <v>0.24358146504392295</v>
      </c>
      <c r="AC104" t="s">
        <v>275</v>
      </c>
      <c r="AD104" t="s">
        <v>309</v>
      </c>
      <c r="AE104" t="s">
        <v>310</v>
      </c>
      <c r="AF104">
        <v>0.2843916792740564</v>
      </c>
    </row>
    <row r="105" spans="2:32" x14ac:dyDescent="0.25">
      <c r="B105" t="s">
        <v>266</v>
      </c>
      <c r="C105" t="s">
        <v>31</v>
      </c>
      <c r="D105">
        <v>0.3809793216072408</v>
      </c>
      <c r="F105" t="s">
        <v>266</v>
      </c>
      <c r="G105" t="s">
        <v>296</v>
      </c>
      <c r="H105">
        <v>3.1950011184635863E-2</v>
      </c>
      <c r="J105" t="s">
        <v>266</v>
      </c>
      <c r="K105" t="s">
        <v>297</v>
      </c>
      <c r="L105">
        <v>3.7560186461904448E-2</v>
      </c>
      <c r="N105" t="s">
        <v>266</v>
      </c>
      <c r="O105" t="s">
        <v>298</v>
      </c>
      <c r="P105">
        <v>0.19130540880757918</v>
      </c>
      <c r="Z105" t="s">
        <v>266</v>
      </c>
      <c r="AA105">
        <v>0.25629285308006156</v>
      </c>
      <c r="AC105" t="s">
        <v>276</v>
      </c>
      <c r="AD105" t="s">
        <v>309</v>
      </c>
      <c r="AE105" t="s">
        <v>310</v>
      </c>
      <c r="AF105">
        <v>0.25170822343125976</v>
      </c>
    </row>
    <row r="106" spans="2:32" x14ac:dyDescent="0.25">
      <c r="B106" t="s">
        <v>267</v>
      </c>
      <c r="C106" t="s">
        <v>31</v>
      </c>
      <c r="D106">
        <v>0.40287623519159677</v>
      </c>
      <c r="F106" t="s">
        <v>267</v>
      </c>
      <c r="G106" t="s">
        <v>296</v>
      </c>
      <c r="H106">
        <v>3.2620614858185598E-2</v>
      </c>
      <c r="J106" t="s">
        <v>267</v>
      </c>
      <c r="K106" t="s">
        <v>297</v>
      </c>
      <c r="L106">
        <v>3.793611261089129E-2</v>
      </c>
      <c r="N106" t="s">
        <v>267</v>
      </c>
      <c r="O106" t="s">
        <v>298</v>
      </c>
      <c r="P106">
        <v>0.21329013553307027</v>
      </c>
      <c r="Z106" t="s">
        <v>267</v>
      </c>
      <c r="AA106">
        <v>0.19443508917237606</v>
      </c>
      <c r="AC106" t="s">
        <v>277</v>
      </c>
      <c r="AD106" t="s">
        <v>309</v>
      </c>
      <c r="AE106" t="s">
        <v>310</v>
      </c>
      <c r="AF106">
        <v>0.23666118533993596</v>
      </c>
    </row>
    <row r="107" spans="2:32" x14ac:dyDescent="0.25">
      <c r="B107" t="s">
        <v>268</v>
      </c>
      <c r="C107" t="s">
        <v>31</v>
      </c>
      <c r="D107">
        <v>0.38679604477224699</v>
      </c>
      <c r="F107" t="s">
        <v>268</v>
      </c>
      <c r="G107" t="s">
        <v>296</v>
      </c>
      <c r="H107">
        <v>2.9697904518725091E-2</v>
      </c>
      <c r="J107" t="s">
        <v>268</v>
      </c>
      <c r="K107" t="s">
        <v>297</v>
      </c>
      <c r="L107">
        <v>3.8052111966330564E-2</v>
      </c>
      <c r="N107" t="s">
        <v>268</v>
      </c>
      <c r="O107" t="s">
        <v>298</v>
      </c>
      <c r="P107">
        <v>0.19840509931710448</v>
      </c>
      <c r="Z107" t="s">
        <v>268</v>
      </c>
      <c r="AA107">
        <v>0.22055800574632375</v>
      </c>
      <c r="AC107" t="s">
        <v>278</v>
      </c>
      <c r="AD107" t="s">
        <v>309</v>
      </c>
      <c r="AE107" t="s">
        <v>310</v>
      </c>
      <c r="AF107">
        <v>0.28600488862540774</v>
      </c>
    </row>
    <row r="108" spans="2:32" x14ac:dyDescent="0.25">
      <c r="B108" t="s">
        <v>269</v>
      </c>
      <c r="C108" t="s">
        <v>31</v>
      </c>
      <c r="D108">
        <v>0.36919411621650444</v>
      </c>
      <c r="F108" t="s">
        <v>269</v>
      </c>
      <c r="G108" t="s">
        <v>296</v>
      </c>
      <c r="H108">
        <v>2.0881502591312568E-2</v>
      </c>
      <c r="J108" t="s">
        <v>269</v>
      </c>
      <c r="K108" t="s">
        <v>297</v>
      </c>
      <c r="L108">
        <v>3.0604295821956617E-2</v>
      </c>
      <c r="N108" t="s">
        <v>269</v>
      </c>
      <c r="O108" t="s">
        <v>298</v>
      </c>
      <c r="P108">
        <v>0.19776409181599269</v>
      </c>
      <c r="Z108" t="s">
        <v>269</v>
      </c>
      <c r="AA108">
        <v>0.28939357484049522</v>
      </c>
      <c r="AC108" t="s">
        <v>279</v>
      </c>
      <c r="AD108" t="s">
        <v>309</v>
      </c>
      <c r="AE108" t="s">
        <v>310</v>
      </c>
      <c r="AF108">
        <v>0.28071200302126081</v>
      </c>
    </row>
    <row r="109" spans="2:32" x14ac:dyDescent="0.25">
      <c r="B109" t="s">
        <v>270</v>
      </c>
      <c r="C109" t="s">
        <v>31</v>
      </c>
      <c r="D109">
        <v>0.36498359175099643</v>
      </c>
      <c r="F109" t="s">
        <v>270</v>
      </c>
      <c r="G109" t="s">
        <v>296</v>
      </c>
      <c r="H109">
        <v>2.5574883335583026E-2</v>
      </c>
      <c r="J109" t="s">
        <v>270</v>
      </c>
      <c r="K109" t="s">
        <v>297</v>
      </c>
      <c r="L109">
        <v>3.2086861732691298E-2</v>
      </c>
      <c r="N109" t="s">
        <v>270</v>
      </c>
      <c r="O109" t="s">
        <v>298</v>
      </c>
      <c r="P109">
        <v>0.19175239736733032</v>
      </c>
      <c r="Z109" t="s">
        <v>270</v>
      </c>
      <c r="AA109">
        <v>0.27922395512602827</v>
      </c>
      <c r="AC109" t="s">
        <v>280</v>
      </c>
      <c r="AD109" t="s">
        <v>309</v>
      </c>
      <c r="AE109" t="s">
        <v>310</v>
      </c>
      <c r="AF109">
        <v>0.40321759388304462</v>
      </c>
    </row>
    <row r="110" spans="2:32" x14ac:dyDescent="0.25">
      <c r="B110" t="s">
        <v>271</v>
      </c>
      <c r="C110" t="s">
        <v>31</v>
      </c>
      <c r="D110">
        <v>0.3820028495413067</v>
      </c>
      <c r="F110" t="s">
        <v>271</v>
      </c>
      <c r="G110" t="s">
        <v>296</v>
      </c>
      <c r="H110">
        <v>2.8526772672570155E-2</v>
      </c>
      <c r="J110" t="s">
        <v>271</v>
      </c>
      <c r="K110" t="s">
        <v>297</v>
      </c>
      <c r="L110">
        <v>3.6356092275076149E-2</v>
      </c>
      <c r="N110" t="s">
        <v>271</v>
      </c>
      <c r="O110" t="s">
        <v>298</v>
      </c>
      <c r="P110">
        <v>0.19543542392560867</v>
      </c>
      <c r="Z110" t="s">
        <v>271</v>
      </c>
      <c r="AA110">
        <v>0.24782805478139983</v>
      </c>
      <c r="AC110" t="s">
        <v>281</v>
      </c>
      <c r="AD110" t="s">
        <v>309</v>
      </c>
      <c r="AE110" t="s">
        <v>310</v>
      </c>
      <c r="AF110">
        <v>0.21845032580977755</v>
      </c>
    </row>
    <row r="111" spans="2:32" x14ac:dyDescent="0.25">
      <c r="B111" t="s">
        <v>272</v>
      </c>
      <c r="C111" t="s">
        <v>31</v>
      </c>
      <c r="D111">
        <v>0.37941778395599701</v>
      </c>
      <c r="F111" t="s">
        <v>272</v>
      </c>
      <c r="G111" t="s">
        <v>296</v>
      </c>
      <c r="H111">
        <v>2.5029768244653729E-2</v>
      </c>
      <c r="J111" t="s">
        <v>272</v>
      </c>
      <c r="K111" t="s">
        <v>297</v>
      </c>
      <c r="L111">
        <v>3.4248793253544206E-2</v>
      </c>
      <c r="N111" t="s">
        <v>272</v>
      </c>
      <c r="O111" t="s">
        <v>298</v>
      </c>
      <c r="P111">
        <v>0.19725004779981992</v>
      </c>
      <c r="Z111" t="s">
        <v>272</v>
      </c>
      <c r="AA111">
        <v>0.25969015627467662</v>
      </c>
      <c r="AC111" t="s">
        <v>282</v>
      </c>
      <c r="AD111" t="s">
        <v>309</v>
      </c>
      <c r="AE111" t="s">
        <v>310</v>
      </c>
      <c r="AF111">
        <v>0.25925655159301914</v>
      </c>
    </row>
    <row r="112" spans="2:32" x14ac:dyDescent="0.25">
      <c r="B112" t="s">
        <v>273</v>
      </c>
      <c r="C112" t="s">
        <v>31</v>
      </c>
      <c r="D112">
        <v>0.36281307791360085</v>
      </c>
      <c r="F112" t="s">
        <v>273</v>
      </c>
      <c r="G112" t="s">
        <v>296</v>
      </c>
      <c r="H112">
        <v>2.5995560574472772E-2</v>
      </c>
      <c r="J112" t="s">
        <v>273</v>
      </c>
      <c r="K112" t="s">
        <v>297</v>
      </c>
      <c r="L112">
        <v>3.3924770068507873E-2</v>
      </c>
      <c r="N112" t="s">
        <v>273</v>
      </c>
      <c r="O112" t="s">
        <v>298</v>
      </c>
      <c r="P112">
        <v>0.18532902230388149</v>
      </c>
      <c r="Z112" t="s">
        <v>273</v>
      </c>
      <c r="AA112">
        <v>0.29129415511570989</v>
      </c>
      <c r="AC112" t="s">
        <v>283</v>
      </c>
      <c r="AD112" t="s">
        <v>309</v>
      </c>
      <c r="AE112" t="s">
        <v>310</v>
      </c>
      <c r="AF112">
        <v>0.28978445205865433</v>
      </c>
    </row>
    <row r="113" spans="2:32" x14ac:dyDescent="0.25">
      <c r="B113" t="s">
        <v>274</v>
      </c>
      <c r="C113" t="s">
        <v>31</v>
      </c>
      <c r="D113">
        <v>0.34991017998543367</v>
      </c>
      <c r="F113" t="s">
        <v>274</v>
      </c>
      <c r="G113" t="s">
        <v>296</v>
      </c>
      <c r="H113">
        <v>2.5859935075972503E-2</v>
      </c>
      <c r="J113" t="s">
        <v>274</v>
      </c>
      <c r="K113" t="s">
        <v>297</v>
      </c>
      <c r="L113">
        <v>3.0403800909470605E-2</v>
      </c>
      <c r="N113" t="s">
        <v>274</v>
      </c>
      <c r="O113" t="s">
        <v>298</v>
      </c>
      <c r="P113">
        <v>0.17446758412563218</v>
      </c>
      <c r="Z113" t="s">
        <v>274</v>
      </c>
      <c r="AA113">
        <v>0.28711287398551549</v>
      </c>
      <c r="AC113" t="s">
        <v>284</v>
      </c>
      <c r="AD113" t="s">
        <v>309</v>
      </c>
      <c r="AE113" t="s">
        <v>310</v>
      </c>
      <c r="AF113">
        <v>0.27569602224562312</v>
      </c>
    </row>
    <row r="114" spans="2:32" x14ac:dyDescent="0.25">
      <c r="B114" t="s">
        <v>275</v>
      </c>
      <c r="C114" t="s">
        <v>31</v>
      </c>
      <c r="D114">
        <v>0.36074004301545309</v>
      </c>
      <c r="F114" t="s">
        <v>275</v>
      </c>
      <c r="G114" t="s">
        <v>296</v>
      </c>
      <c r="H114">
        <v>2.9855422486903576E-2</v>
      </c>
      <c r="J114" t="s">
        <v>275</v>
      </c>
      <c r="K114" t="s">
        <v>297</v>
      </c>
      <c r="L114">
        <v>3.7060303791803834E-2</v>
      </c>
      <c r="N114" t="s">
        <v>275</v>
      </c>
      <c r="O114" t="s">
        <v>298</v>
      </c>
      <c r="P114">
        <v>0.17453353713414879</v>
      </c>
      <c r="Z114" t="s">
        <v>275</v>
      </c>
      <c r="AA114">
        <v>0.28559033790028066</v>
      </c>
      <c r="AC114" t="s">
        <v>285</v>
      </c>
      <c r="AD114" t="s">
        <v>309</v>
      </c>
      <c r="AE114" t="s">
        <v>310</v>
      </c>
      <c r="AF114">
        <v>0.27186268570730426</v>
      </c>
    </row>
    <row r="115" spans="2:32" x14ac:dyDescent="0.25">
      <c r="B115" t="s">
        <v>276</v>
      </c>
      <c r="C115" t="s">
        <v>31</v>
      </c>
      <c r="D115">
        <v>0.37754727361634011</v>
      </c>
      <c r="F115" t="s">
        <v>276</v>
      </c>
      <c r="G115" t="s">
        <v>296</v>
      </c>
      <c r="H115">
        <v>2.6698587194809574E-2</v>
      </c>
      <c r="J115" t="s">
        <v>276</v>
      </c>
      <c r="K115" t="s">
        <v>297</v>
      </c>
      <c r="L115">
        <v>3.4959594492597598E-2</v>
      </c>
      <c r="N115" t="s">
        <v>276</v>
      </c>
      <c r="O115" t="s">
        <v>298</v>
      </c>
      <c r="P115">
        <v>0.19839366852053245</v>
      </c>
      <c r="Z115" t="s">
        <v>276</v>
      </c>
      <c r="AA115">
        <v>0.25311607383242091</v>
      </c>
      <c r="AC115" t="s">
        <v>286</v>
      </c>
      <c r="AD115" t="s">
        <v>309</v>
      </c>
      <c r="AE115" t="s">
        <v>310</v>
      </c>
      <c r="AF115">
        <v>0.25300703798674029</v>
      </c>
    </row>
    <row r="116" spans="2:32" x14ac:dyDescent="0.25">
      <c r="B116" t="s">
        <v>277</v>
      </c>
      <c r="C116" t="s">
        <v>31</v>
      </c>
      <c r="D116">
        <v>0.38953483056671617</v>
      </c>
      <c r="F116" t="s">
        <v>277</v>
      </c>
      <c r="G116" t="s">
        <v>296</v>
      </c>
      <c r="H116">
        <v>2.9520901407311378E-2</v>
      </c>
      <c r="J116" t="s">
        <v>277</v>
      </c>
      <c r="K116" t="s">
        <v>297</v>
      </c>
      <c r="L116">
        <v>3.7443457995649909E-2</v>
      </c>
      <c r="N116" t="s">
        <v>277</v>
      </c>
      <c r="O116" t="s">
        <v>298</v>
      </c>
      <c r="P116">
        <v>0.20275201809847493</v>
      </c>
      <c r="Z116" t="s">
        <v>277</v>
      </c>
      <c r="AA116">
        <v>0.2384449728040019</v>
      </c>
      <c r="AC116" t="s">
        <v>287</v>
      </c>
      <c r="AD116" t="s">
        <v>309</v>
      </c>
      <c r="AE116" t="s">
        <v>310</v>
      </c>
      <c r="AF116">
        <v>0.30905193392771246</v>
      </c>
    </row>
    <row r="117" spans="2:32" x14ac:dyDescent="0.25">
      <c r="B117" t="s">
        <v>278</v>
      </c>
      <c r="C117" t="s">
        <v>31</v>
      </c>
      <c r="D117">
        <v>0.36187611793661467</v>
      </c>
      <c r="F117" t="s">
        <v>278</v>
      </c>
      <c r="G117" t="s">
        <v>296</v>
      </c>
      <c r="H117">
        <v>2.7736147456302273E-2</v>
      </c>
      <c r="J117" t="s">
        <v>278</v>
      </c>
      <c r="K117" t="s">
        <v>297</v>
      </c>
      <c r="L117">
        <v>3.9300920814132875E-2</v>
      </c>
      <c r="N117" t="s">
        <v>278</v>
      </c>
      <c r="O117" t="s">
        <v>298</v>
      </c>
      <c r="P117">
        <v>0.17543821929863851</v>
      </c>
      <c r="Z117" t="s">
        <v>278</v>
      </c>
      <c r="AA117">
        <v>0.28809589732214136</v>
      </c>
      <c r="AC117" t="s">
        <v>288</v>
      </c>
      <c r="AD117" t="s">
        <v>309</v>
      </c>
      <c r="AE117" t="s">
        <v>310</v>
      </c>
      <c r="AF117">
        <v>0.28732283041099105</v>
      </c>
    </row>
    <row r="118" spans="2:32" x14ac:dyDescent="0.25">
      <c r="B118" t="s">
        <v>279</v>
      </c>
      <c r="C118" t="s">
        <v>31</v>
      </c>
      <c r="D118">
        <v>0.35596963218656263</v>
      </c>
      <c r="F118" t="s">
        <v>279</v>
      </c>
      <c r="G118" t="s">
        <v>296</v>
      </c>
      <c r="H118">
        <v>2.6414462598785802E-2</v>
      </c>
      <c r="J118" t="s">
        <v>279</v>
      </c>
      <c r="K118" t="s">
        <v>297</v>
      </c>
      <c r="L118">
        <v>3.54521326741635E-2</v>
      </c>
      <c r="N118" t="s">
        <v>279</v>
      </c>
      <c r="O118" t="s">
        <v>298</v>
      </c>
      <c r="P118">
        <v>0.17642468528351618</v>
      </c>
      <c r="Z118" t="s">
        <v>279</v>
      </c>
      <c r="AA118">
        <v>0.28253447418780325</v>
      </c>
      <c r="AC118" t="s">
        <v>289</v>
      </c>
      <c r="AD118" t="s">
        <v>309</v>
      </c>
      <c r="AE118" t="s">
        <v>310</v>
      </c>
      <c r="AF118">
        <v>0.26439150792380983</v>
      </c>
    </row>
    <row r="119" spans="2:32" x14ac:dyDescent="0.25">
      <c r="B119" t="s">
        <v>280</v>
      </c>
      <c r="C119" t="s">
        <v>31</v>
      </c>
      <c r="D119">
        <v>0.33734088903551146</v>
      </c>
      <c r="F119" t="s">
        <v>280</v>
      </c>
      <c r="G119" t="s">
        <v>296</v>
      </c>
      <c r="H119">
        <v>2.1580792371741788E-2</v>
      </c>
      <c r="J119" t="s">
        <v>280</v>
      </c>
      <c r="K119" t="s">
        <v>297</v>
      </c>
      <c r="L119">
        <v>2.6275591891801807E-2</v>
      </c>
      <c r="N119" t="s">
        <v>280</v>
      </c>
      <c r="O119" t="s">
        <v>298</v>
      </c>
      <c r="P119">
        <v>0.15940978790728408</v>
      </c>
      <c r="Z119" t="s">
        <v>280</v>
      </c>
      <c r="AA119">
        <v>0.40467074860341062</v>
      </c>
      <c r="AC119" t="s">
        <v>290</v>
      </c>
      <c r="AD119" t="s">
        <v>309</v>
      </c>
      <c r="AE119" t="s">
        <v>310</v>
      </c>
      <c r="AF119">
        <v>0.17225534326277633</v>
      </c>
    </row>
    <row r="120" spans="2:32" x14ac:dyDescent="0.25">
      <c r="B120" t="s">
        <v>281</v>
      </c>
      <c r="C120" t="s">
        <v>31</v>
      </c>
      <c r="D120">
        <v>0.40061714164021484</v>
      </c>
      <c r="F120" t="s">
        <v>281</v>
      </c>
      <c r="G120" t="s">
        <v>296</v>
      </c>
      <c r="H120">
        <v>2.6781911862374795E-2</v>
      </c>
      <c r="J120" t="s">
        <v>281</v>
      </c>
      <c r="K120" t="s">
        <v>297</v>
      </c>
      <c r="L120">
        <v>3.937714617116056E-2</v>
      </c>
      <c r="N120" t="s">
        <v>281</v>
      </c>
      <c r="O120" t="s">
        <v>298</v>
      </c>
      <c r="P120">
        <v>0.2133076367287664</v>
      </c>
      <c r="Z120" t="s">
        <v>281</v>
      </c>
      <c r="AA120">
        <v>0.22067565522468008</v>
      </c>
      <c r="AC120" t="s">
        <v>291</v>
      </c>
      <c r="AD120" t="s">
        <v>309</v>
      </c>
      <c r="AE120" t="s">
        <v>310</v>
      </c>
      <c r="AF120">
        <v>0.30814054378504507</v>
      </c>
    </row>
    <row r="121" spans="2:32" x14ac:dyDescent="0.25">
      <c r="B121" t="s">
        <v>282</v>
      </c>
      <c r="C121" t="s">
        <v>31</v>
      </c>
      <c r="D121">
        <v>0.36906986903898559</v>
      </c>
      <c r="F121" t="s">
        <v>282</v>
      </c>
      <c r="G121" t="s">
        <v>296</v>
      </c>
      <c r="H121">
        <v>2.6430511624400743E-2</v>
      </c>
      <c r="J121" t="s">
        <v>282</v>
      </c>
      <c r="K121" t="s">
        <v>297</v>
      </c>
      <c r="L121">
        <v>3.2702004844417959E-2</v>
      </c>
      <c r="N121" t="s">
        <v>282</v>
      </c>
      <c r="O121" t="s">
        <v>298</v>
      </c>
      <c r="P121">
        <v>0.1932815461529972</v>
      </c>
      <c r="Z121" t="s">
        <v>282</v>
      </c>
      <c r="AA121">
        <v>0.26109716750790879</v>
      </c>
      <c r="AC121" t="s">
        <v>292</v>
      </c>
      <c r="AD121" t="s">
        <v>309</v>
      </c>
      <c r="AE121" t="s">
        <v>310</v>
      </c>
      <c r="AF121">
        <v>0.28562119604747083</v>
      </c>
    </row>
    <row r="122" spans="2:32" x14ac:dyDescent="0.25">
      <c r="B122" t="s">
        <v>283</v>
      </c>
      <c r="C122" t="s">
        <v>31</v>
      </c>
      <c r="D122">
        <v>0.36408551196647304</v>
      </c>
      <c r="F122" t="s">
        <v>283</v>
      </c>
      <c r="G122" t="s">
        <v>296</v>
      </c>
      <c r="H122">
        <v>2.8405177356190265E-2</v>
      </c>
      <c r="J122" t="s">
        <v>283</v>
      </c>
      <c r="K122" t="s">
        <v>297</v>
      </c>
      <c r="L122">
        <v>3.5227540852790576E-2</v>
      </c>
      <c r="N122" t="s">
        <v>283</v>
      </c>
      <c r="O122" t="s">
        <v>298</v>
      </c>
      <c r="P122">
        <v>0.18286390770612748</v>
      </c>
      <c r="Z122" t="s">
        <v>283</v>
      </c>
      <c r="AA122">
        <v>0.291654701251152</v>
      </c>
      <c r="AC122" t="s">
        <v>293</v>
      </c>
      <c r="AD122" t="s">
        <v>309</v>
      </c>
      <c r="AE122" t="s">
        <v>310</v>
      </c>
      <c r="AF122">
        <v>0.26385803092049154</v>
      </c>
    </row>
    <row r="123" spans="2:32" x14ac:dyDescent="0.25">
      <c r="B123" t="s">
        <v>284</v>
      </c>
      <c r="C123" t="s">
        <v>31</v>
      </c>
      <c r="D123">
        <v>0.36185809933483754</v>
      </c>
      <c r="F123" t="s">
        <v>284</v>
      </c>
      <c r="G123" t="s">
        <v>296</v>
      </c>
      <c r="H123">
        <v>2.2958251980480529E-2</v>
      </c>
      <c r="J123" t="s">
        <v>284</v>
      </c>
      <c r="K123" t="s">
        <v>297</v>
      </c>
      <c r="L123">
        <v>3.2154996091853814E-2</v>
      </c>
      <c r="N123" t="s">
        <v>284</v>
      </c>
      <c r="O123" t="s">
        <v>298</v>
      </c>
      <c r="P123">
        <v>0.18996694086049448</v>
      </c>
      <c r="Z123" t="s">
        <v>284</v>
      </c>
      <c r="AA123">
        <v>0.27758845260778869</v>
      </c>
      <c r="AC123" t="s">
        <v>294</v>
      </c>
      <c r="AD123" t="s">
        <v>309</v>
      </c>
      <c r="AE123" t="s">
        <v>310</v>
      </c>
      <c r="AF123">
        <v>0.36046179683963275</v>
      </c>
    </row>
    <row r="124" spans="2:32" x14ac:dyDescent="0.25">
      <c r="B124" t="s">
        <v>285</v>
      </c>
      <c r="C124" t="s">
        <v>31</v>
      </c>
      <c r="D124">
        <v>0.36325480558020623</v>
      </c>
      <c r="F124" t="s">
        <v>285</v>
      </c>
      <c r="G124" t="s">
        <v>296</v>
      </c>
      <c r="H124">
        <v>2.861158249243901E-2</v>
      </c>
      <c r="J124" t="s">
        <v>285</v>
      </c>
      <c r="K124" t="s">
        <v>297</v>
      </c>
      <c r="L124">
        <v>3.672107108263651E-2</v>
      </c>
      <c r="N124" t="s">
        <v>285</v>
      </c>
      <c r="O124" t="s">
        <v>298</v>
      </c>
      <c r="P124">
        <v>0.17785526081261394</v>
      </c>
      <c r="Z124" t="s">
        <v>285</v>
      </c>
      <c r="AA124">
        <v>0.2732720030108361</v>
      </c>
      <c r="AC124" t="s">
        <v>295</v>
      </c>
      <c r="AD124" t="s">
        <v>309</v>
      </c>
      <c r="AE124" t="s">
        <v>310</v>
      </c>
      <c r="AF124">
        <v>0.2535625834471753</v>
      </c>
    </row>
    <row r="125" spans="2:32" x14ac:dyDescent="0.25">
      <c r="B125" t="s">
        <v>286</v>
      </c>
      <c r="C125" t="s">
        <v>31</v>
      </c>
      <c r="D125">
        <v>0.3624771542956659</v>
      </c>
      <c r="F125" t="s">
        <v>286</v>
      </c>
      <c r="G125" t="s">
        <v>296</v>
      </c>
      <c r="H125">
        <v>2.9212125389344028E-2</v>
      </c>
      <c r="J125" t="s">
        <v>286</v>
      </c>
      <c r="K125" t="s">
        <v>297</v>
      </c>
      <c r="L125">
        <v>3.5774132638220171E-2</v>
      </c>
      <c r="N125" t="s">
        <v>286</v>
      </c>
      <c r="O125" t="s">
        <v>298</v>
      </c>
      <c r="P125">
        <v>0.18113563294526358</v>
      </c>
      <c r="Z125" t="s">
        <v>286</v>
      </c>
      <c r="AA125">
        <v>0.25502675309975387</v>
      </c>
      <c r="AC125" t="s">
        <v>229</v>
      </c>
      <c r="AD125" t="s">
        <v>309</v>
      </c>
      <c r="AE125" t="s">
        <v>310</v>
      </c>
      <c r="AF125">
        <v>0.31280590717688694</v>
      </c>
    </row>
    <row r="126" spans="2:32" x14ac:dyDescent="0.25">
      <c r="B126" t="s">
        <v>287</v>
      </c>
      <c r="C126" t="s">
        <v>31</v>
      </c>
      <c r="D126">
        <v>0.3542644522570419</v>
      </c>
      <c r="F126" t="s">
        <v>287</v>
      </c>
      <c r="G126" t="s">
        <v>296</v>
      </c>
      <c r="H126">
        <v>2.4367590350355788E-2</v>
      </c>
      <c r="J126" t="s">
        <v>287</v>
      </c>
      <c r="K126" t="s">
        <v>297</v>
      </c>
      <c r="L126">
        <v>3.3333222906136155E-2</v>
      </c>
      <c r="N126" t="s">
        <v>287</v>
      </c>
      <c r="O126" t="s">
        <v>298</v>
      </c>
      <c r="P126">
        <v>0.17562184593780727</v>
      </c>
      <c r="Z126" t="s">
        <v>287</v>
      </c>
      <c r="AA126">
        <v>0.3107132121290917</v>
      </c>
      <c r="AC126" t="s">
        <v>230</v>
      </c>
      <c r="AD126" t="s">
        <v>309</v>
      </c>
      <c r="AE126" t="s">
        <v>310</v>
      </c>
      <c r="AF126">
        <v>0.41007520889953808</v>
      </c>
    </row>
    <row r="127" spans="2:32" x14ac:dyDescent="0.25">
      <c r="B127" t="s">
        <v>288</v>
      </c>
      <c r="C127" t="s">
        <v>31</v>
      </c>
      <c r="D127">
        <v>0.36158140956814261</v>
      </c>
      <c r="F127" t="s">
        <v>288</v>
      </c>
      <c r="G127" t="s">
        <v>296</v>
      </c>
      <c r="H127">
        <v>2.9151777040520535E-2</v>
      </c>
      <c r="J127" t="s">
        <v>288</v>
      </c>
      <c r="K127" t="s">
        <v>297</v>
      </c>
      <c r="L127">
        <v>3.2461379999488157E-2</v>
      </c>
      <c r="N127" t="s">
        <v>288</v>
      </c>
      <c r="O127" t="s">
        <v>298</v>
      </c>
      <c r="P127">
        <v>0.17860122295344241</v>
      </c>
      <c r="Z127" t="s">
        <v>288</v>
      </c>
      <c r="AA127">
        <v>0.28848353820139561</v>
      </c>
      <c r="AC127" t="s">
        <v>231</v>
      </c>
      <c r="AD127" t="s">
        <v>309</v>
      </c>
      <c r="AE127" t="s">
        <v>310</v>
      </c>
      <c r="AF127">
        <v>0.5152966414473007</v>
      </c>
    </row>
    <row r="128" spans="2:32" x14ac:dyDescent="0.25">
      <c r="B128" t="s">
        <v>289</v>
      </c>
      <c r="C128" t="s">
        <v>31</v>
      </c>
      <c r="D128">
        <v>0.37947244476145731</v>
      </c>
      <c r="F128" t="s">
        <v>289</v>
      </c>
      <c r="G128" t="s">
        <v>296</v>
      </c>
      <c r="H128">
        <v>2.9484922001951967E-2</v>
      </c>
      <c r="J128" t="s">
        <v>289</v>
      </c>
      <c r="K128" t="s">
        <v>297</v>
      </c>
      <c r="L128">
        <v>3.5778738277228737E-2</v>
      </c>
      <c r="N128" t="s">
        <v>289</v>
      </c>
      <c r="O128" t="s">
        <v>298</v>
      </c>
      <c r="P128">
        <v>0.19488456263384463</v>
      </c>
      <c r="Z128" t="s">
        <v>289</v>
      </c>
      <c r="AA128">
        <v>0.26611588927285934</v>
      </c>
      <c r="AC128" t="s">
        <v>232</v>
      </c>
      <c r="AD128" t="s">
        <v>309</v>
      </c>
      <c r="AE128" t="s">
        <v>310</v>
      </c>
      <c r="AF128">
        <v>0.38615691401069435</v>
      </c>
    </row>
    <row r="129" spans="2:32" x14ac:dyDescent="0.25">
      <c r="B129" t="s">
        <v>290</v>
      </c>
      <c r="C129" t="s">
        <v>31</v>
      </c>
      <c r="D129">
        <v>0.42650695041350833</v>
      </c>
      <c r="F129" t="s">
        <v>290</v>
      </c>
      <c r="G129" t="s">
        <v>296</v>
      </c>
      <c r="H129">
        <v>3.1301739134126157E-2</v>
      </c>
      <c r="J129" t="s">
        <v>290</v>
      </c>
      <c r="K129" t="s">
        <v>297</v>
      </c>
      <c r="L129">
        <v>4.0369742033026401E-2</v>
      </c>
      <c r="N129" t="s">
        <v>290</v>
      </c>
      <c r="O129" t="s">
        <v>298</v>
      </c>
      <c r="P129">
        <v>0.23591605586685793</v>
      </c>
      <c r="Z129" t="s">
        <v>290</v>
      </c>
      <c r="AA129">
        <v>0.17378841270848233</v>
      </c>
      <c r="AC129" t="s">
        <v>233</v>
      </c>
      <c r="AD129" t="s">
        <v>309</v>
      </c>
      <c r="AE129" t="s">
        <v>310</v>
      </c>
      <c r="AF129">
        <v>0.47992810948564063</v>
      </c>
    </row>
    <row r="130" spans="2:32" x14ac:dyDescent="0.25">
      <c r="B130" t="s">
        <v>291</v>
      </c>
      <c r="C130" t="s">
        <v>31</v>
      </c>
      <c r="D130">
        <v>0.35688372104131866</v>
      </c>
      <c r="F130" t="s">
        <v>291</v>
      </c>
      <c r="G130" t="s">
        <v>296</v>
      </c>
      <c r="H130">
        <v>2.9608668566037624E-2</v>
      </c>
      <c r="J130" t="s">
        <v>291</v>
      </c>
      <c r="K130" t="s">
        <v>297</v>
      </c>
      <c r="L130">
        <v>3.3293162555947949E-2</v>
      </c>
      <c r="N130" t="s">
        <v>291</v>
      </c>
      <c r="O130" t="s">
        <v>298</v>
      </c>
      <c r="P130">
        <v>0.17153966753202562</v>
      </c>
      <c r="Z130" t="s">
        <v>291</v>
      </c>
      <c r="AA130">
        <v>0.30917046850743346</v>
      </c>
      <c r="AC130" t="s">
        <v>234</v>
      </c>
      <c r="AD130" t="s">
        <v>309</v>
      </c>
      <c r="AE130" t="s">
        <v>310</v>
      </c>
      <c r="AF130">
        <v>0.50865990919920567</v>
      </c>
    </row>
    <row r="131" spans="2:32" x14ac:dyDescent="0.25">
      <c r="B131" t="s">
        <v>292</v>
      </c>
      <c r="C131" t="s">
        <v>31</v>
      </c>
      <c r="D131">
        <v>0.35845120038927952</v>
      </c>
      <c r="F131" t="s">
        <v>292</v>
      </c>
      <c r="G131" t="s">
        <v>296</v>
      </c>
      <c r="H131">
        <v>2.5666806711810593E-2</v>
      </c>
      <c r="J131" t="s">
        <v>292</v>
      </c>
      <c r="K131" t="s">
        <v>297</v>
      </c>
      <c r="L131">
        <v>3.3931945086669267E-2</v>
      </c>
      <c r="N131" t="s">
        <v>292</v>
      </c>
      <c r="O131" t="s">
        <v>298</v>
      </c>
      <c r="P131">
        <v>0.18225990531985506</v>
      </c>
      <c r="Z131" t="s">
        <v>292</v>
      </c>
      <c r="AA131">
        <v>0.28754097911914067</v>
      </c>
      <c r="AC131" t="s">
        <v>235</v>
      </c>
      <c r="AD131" t="s">
        <v>309</v>
      </c>
      <c r="AE131" t="s">
        <v>310</v>
      </c>
      <c r="AF131">
        <v>0.5211444347190376</v>
      </c>
    </row>
    <row r="132" spans="2:32" x14ac:dyDescent="0.25">
      <c r="B132" t="s">
        <v>293</v>
      </c>
      <c r="C132" t="s">
        <v>31</v>
      </c>
      <c r="D132">
        <v>0.36529417235306916</v>
      </c>
      <c r="F132" t="s">
        <v>293</v>
      </c>
      <c r="G132" t="s">
        <v>296</v>
      </c>
      <c r="H132">
        <v>3.2415144560358419E-2</v>
      </c>
      <c r="J132" t="s">
        <v>293</v>
      </c>
      <c r="K132" t="s">
        <v>297</v>
      </c>
      <c r="L132">
        <v>4.0397623601327974E-2</v>
      </c>
      <c r="N132" t="s">
        <v>293</v>
      </c>
      <c r="O132" t="s">
        <v>298</v>
      </c>
      <c r="P132">
        <v>0.173772217755365</v>
      </c>
      <c r="Z132" t="s">
        <v>293</v>
      </c>
      <c r="AA132">
        <v>0.26549032844846787</v>
      </c>
      <c r="AC132" t="s">
        <v>236</v>
      </c>
      <c r="AD132" t="s">
        <v>309</v>
      </c>
      <c r="AE132" t="s">
        <v>310</v>
      </c>
      <c r="AF132">
        <v>0.49784320132812371</v>
      </c>
    </row>
    <row r="133" spans="2:32" x14ac:dyDescent="0.25">
      <c r="B133" t="s">
        <v>294</v>
      </c>
      <c r="C133" t="s">
        <v>31</v>
      </c>
      <c r="D133">
        <v>0.341614743222735</v>
      </c>
      <c r="F133" t="s">
        <v>294</v>
      </c>
      <c r="G133" t="s">
        <v>296</v>
      </c>
      <c r="H133">
        <v>2.4475335412437408E-2</v>
      </c>
      <c r="J133" t="s">
        <v>294</v>
      </c>
      <c r="K133" t="s">
        <v>297</v>
      </c>
      <c r="L133">
        <v>3.1278072162007599E-2</v>
      </c>
      <c r="N133" t="s">
        <v>294</v>
      </c>
      <c r="O133" t="s">
        <v>298</v>
      </c>
      <c r="P133">
        <v>0.16255515614087254</v>
      </c>
      <c r="Z133" t="s">
        <v>294</v>
      </c>
      <c r="AA133">
        <v>0.36221807458987898</v>
      </c>
      <c r="AC133" t="s">
        <v>237</v>
      </c>
      <c r="AD133" t="s">
        <v>309</v>
      </c>
      <c r="AE133" t="s">
        <v>310</v>
      </c>
      <c r="AF133">
        <v>0.50897977185199361</v>
      </c>
    </row>
    <row r="134" spans="2:32" x14ac:dyDescent="0.25">
      <c r="B134" t="s">
        <v>295</v>
      </c>
      <c r="C134" t="s">
        <v>31</v>
      </c>
      <c r="D134">
        <v>0.37872424512342956</v>
      </c>
      <c r="F134" t="s">
        <v>295</v>
      </c>
      <c r="G134" t="s">
        <v>296</v>
      </c>
      <c r="H134">
        <v>2.5192149197176134E-2</v>
      </c>
      <c r="J134" t="s">
        <v>295</v>
      </c>
      <c r="K134" t="s">
        <v>297</v>
      </c>
      <c r="L134">
        <v>3.2855478643027486E-2</v>
      </c>
      <c r="N134" t="s">
        <v>295</v>
      </c>
      <c r="O134" t="s">
        <v>298</v>
      </c>
      <c r="P134">
        <v>0.20303760582492789</v>
      </c>
      <c r="Z134" t="s">
        <v>295</v>
      </c>
      <c r="AA134">
        <v>0.25500120417937683</v>
      </c>
      <c r="AC134" t="s">
        <v>238</v>
      </c>
      <c r="AD134" t="s">
        <v>309</v>
      </c>
      <c r="AE134" t="s">
        <v>310</v>
      </c>
      <c r="AF134">
        <v>0.48452774237819629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3CEA-1C0D-4623-8A90-73A17BC53108}">
  <dimension ref="A9:S39"/>
  <sheetViews>
    <sheetView tabSelected="1" workbookViewId="0"/>
  </sheetViews>
  <sheetFormatPr defaultRowHeight="15" x14ac:dyDescent="0.25"/>
  <sheetData>
    <row r="9" spans="1:19" x14ac:dyDescent="0.2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25">
      <c r="A10" t="s">
        <v>41</v>
      </c>
      <c r="C10" t="s">
        <v>311</v>
      </c>
      <c r="D10" t="s">
        <v>44</v>
      </c>
      <c r="E10" t="s">
        <v>43</v>
      </c>
      <c r="F10" t="s">
        <v>42</v>
      </c>
      <c r="H10" t="s">
        <v>42</v>
      </c>
      <c r="I10" t="s">
        <v>43</v>
      </c>
      <c r="J10" t="s">
        <v>44</v>
      </c>
      <c r="L10" t="s">
        <v>42</v>
      </c>
      <c r="M10" t="s">
        <v>43</v>
      </c>
      <c r="N10" t="s">
        <v>318</v>
      </c>
      <c r="P10" t="s">
        <v>319</v>
      </c>
      <c r="Q10" t="s">
        <v>43</v>
      </c>
      <c r="R10" t="s">
        <v>320</v>
      </c>
      <c r="S10" t="s">
        <v>321</v>
      </c>
    </row>
    <row r="11" spans="1:19" x14ac:dyDescent="0.25">
      <c r="C11">
        <v>1</v>
      </c>
      <c r="D11">
        <v>1.0000000000000002</v>
      </c>
      <c r="E11" t="s">
        <v>47</v>
      </c>
      <c r="F11" t="s">
        <v>312</v>
      </c>
      <c r="H11" t="s">
        <v>316</v>
      </c>
      <c r="I11" t="s">
        <v>47</v>
      </c>
      <c r="J11">
        <v>1</v>
      </c>
      <c r="L11" t="s">
        <v>12</v>
      </c>
      <c r="M11" t="s">
        <v>47</v>
      </c>
      <c r="N11">
        <v>0.22677421853655755</v>
      </c>
      <c r="P11">
        <v>2020</v>
      </c>
      <c r="Q11" t="s">
        <v>38</v>
      </c>
      <c r="R11">
        <v>0.18843767577479634</v>
      </c>
      <c r="S11" t="s">
        <v>322</v>
      </c>
    </row>
    <row r="12" spans="1:19" x14ac:dyDescent="0.25">
      <c r="H12" t="s">
        <v>317</v>
      </c>
      <c r="I12" t="s">
        <v>47</v>
      </c>
      <c r="J12">
        <v>1</v>
      </c>
      <c r="P12">
        <v>2021</v>
      </c>
      <c r="Q12" t="s">
        <v>38</v>
      </c>
      <c r="R12">
        <v>0.21560142735733026</v>
      </c>
      <c r="S12" t="s">
        <v>322</v>
      </c>
    </row>
    <row r="13" spans="1:19" x14ac:dyDescent="0.25">
      <c r="P13">
        <v>2022</v>
      </c>
      <c r="Q13" t="s">
        <v>38</v>
      </c>
      <c r="R13">
        <v>0.18139392213618674</v>
      </c>
      <c r="S13" t="s">
        <v>322</v>
      </c>
    </row>
    <row r="14" spans="1:19" x14ac:dyDescent="0.25">
      <c r="P14">
        <v>2025</v>
      </c>
      <c r="Q14" t="s">
        <v>38</v>
      </c>
      <c r="R14">
        <v>0.19461666666666666</v>
      </c>
      <c r="S14" t="s">
        <v>322</v>
      </c>
    </row>
    <row r="15" spans="1:19" x14ac:dyDescent="0.25">
      <c r="P15">
        <v>2026</v>
      </c>
      <c r="Q15" t="s">
        <v>38</v>
      </c>
      <c r="R15">
        <v>0.19336666666666666</v>
      </c>
      <c r="S15" t="s">
        <v>322</v>
      </c>
    </row>
    <row r="16" spans="1:19" x14ac:dyDescent="0.25">
      <c r="P16">
        <v>2027</v>
      </c>
      <c r="Q16" t="s">
        <v>38</v>
      </c>
      <c r="R16">
        <v>0.20275000000000001</v>
      </c>
      <c r="S16" t="s">
        <v>322</v>
      </c>
    </row>
    <row r="17" spans="16:19" x14ac:dyDescent="0.25">
      <c r="P17">
        <v>2028</v>
      </c>
      <c r="Q17" t="s">
        <v>38</v>
      </c>
      <c r="R17">
        <v>0.17006666666666667</v>
      </c>
      <c r="S17" t="s">
        <v>322</v>
      </c>
    </row>
    <row r="18" spans="16:19" x14ac:dyDescent="0.25">
      <c r="P18">
        <v>2029</v>
      </c>
      <c r="Q18" t="s">
        <v>38</v>
      </c>
      <c r="R18">
        <v>0.16963333333333333</v>
      </c>
      <c r="S18" t="s">
        <v>322</v>
      </c>
    </row>
    <row r="19" spans="16:19" x14ac:dyDescent="0.25">
      <c r="P19">
        <v>2030</v>
      </c>
      <c r="Q19" t="s">
        <v>38</v>
      </c>
      <c r="R19">
        <v>0.16924166666666665</v>
      </c>
      <c r="S19" t="s">
        <v>322</v>
      </c>
    </row>
    <row r="20" spans="16:19" x14ac:dyDescent="0.25">
      <c r="P20">
        <v>2031</v>
      </c>
      <c r="Q20" t="s">
        <v>38</v>
      </c>
      <c r="R20">
        <v>0.16455833333333333</v>
      </c>
      <c r="S20" t="s">
        <v>322</v>
      </c>
    </row>
    <row r="21" spans="16:19" x14ac:dyDescent="0.25">
      <c r="P21">
        <v>2032</v>
      </c>
      <c r="Q21" t="s">
        <v>38</v>
      </c>
      <c r="R21">
        <v>0.17049166666666671</v>
      </c>
      <c r="S21" t="s">
        <v>322</v>
      </c>
    </row>
    <row r="22" spans="16:19" x14ac:dyDescent="0.25">
      <c r="P22">
        <v>2033</v>
      </c>
      <c r="Q22" t="s">
        <v>38</v>
      </c>
      <c r="R22">
        <v>0.23421666666666666</v>
      </c>
      <c r="S22" t="s">
        <v>322</v>
      </c>
    </row>
    <row r="23" spans="16:19" x14ac:dyDescent="0.25">
      <c r="P23">
        <v>2034</v>
      </c>
      <c r="Q23" t="s">
        <v>38</v>
      </c>
      <c r="R23">
        <v>0.21967499999999998</v>
      </c>
      <c r="S23" t="s">
        <v>322</v>
      </c>
    </row>
    <row r="24" spans="16:19" x14ac:dyDescent="0.25">
      <c r="P24">
        <v>2035</v>
      </c>
      <c r="Q24" t="s">
        <v>38</v>
      </c>
      <c r="R24">
        <v>0.22216666666666665</v>
      </c>
      <c r="S24" t="s">
        <v>322</v>
      </c>
    </row>
    <row r="25" spans="16:19" x14ac:dyDescent="0.25">
      <c r="P25">
        <v>2036</v>
      </c>
      <c r="Q25" t="s">
        <v>38</v>
      </c>
      <c r="R25">
        <v>0.22770833333333332</v>
      </c>
      <c r="S25" t="s">
        <v>322</v>
      </c>
    </row>
    <row r="26" spans="16:19" x14ac:dyDescent="0.25">
      <c r="P26">
        <v>2037</v>
      </c>
      <c r="Q26" t="s">
        <v>38</v>
      </c>
      <c r="R26">
        <v>0.22924166666666665</v>
      </c>
      <c r="S26" t="s">
        <v>322</v>
      </c>
    </row>
    <row r="27" spans="16:19" x14ac:dyDescent="0.25">
      <c r="P27">
        <v>2038</v>
      </c>
      <c r="Q27" t="s">
        <v>38</v>
      </c>
      <c r="R27">
        <v>0.22686666666666666</v>
      </c>
      <c r="S27" t="s">
        <v>322</v>
      </c>
    </row>
    <row r="28" spans="16:19" x14ac:dyDescent="0.25">
      <c r="P28">
        <v>2039</v>
      </c>
      <c r="Q28" t="s">
        <v>38</v>
      </c>
      <c r="R28">
        <v>0.20100833333333332</v>
      </c>
      <c r="S28" t="s">
        <v>322</v>
      </c>
    </row>
    <row r="29" spans="16:19" x14ac:dyDescent="0.25">
      <c r="P29">
        <v>2040</v>
      </c>
      <c r="Q29" t="s">
        <v>38</v>
      </c>
      <c r="R29">
        <v>0.19755</v>
      </c>
      <c r="S29" t="s">
        <v>322</v>
      </c>
    </row>
    <row r="30" spans="16:19" x14ac:dyDescent="0.25">
      <c r="P30">
        <v>2041</v>
      </c>
      <c r="Q30" t="s">
        <v>38</v>
      </c>
      <c r="R30">
        <v>0.20085</v>
      </c>
      <c r="S30" t="s">
        <v>322</v>
      </c>
    </row>
    <row r="31" spans="16:19" x14ac:dyDescent="0.25">
      <c r="P31">
        <v>2042</v>
      </c>
      <c r="Q31" t="s">
        <v>38</v>
      </c>
      <c r="R31">
        <v>0.22047499999999998</v>
      </c>
      <c r="S31" t="s">
        <v>322</v>
      </c>
    </row>
    <row r="32" spans="16:19" x14ac:dyDescent="0.25">
      <c r="P32">
        <v>2043</v>
      </c>
      <c r="Q32" t="s">
        <v>38</v>
      </c>
      <c r="R32">
        <v>0.22735833333333333</v>
      </c>
      <c r="S32" t="s">
        <v>322</v>
      </c>
    </row>
    <row r="33" spans="16:19" x14ac:dyDescent="0.25">
      <c r="P33">
        <v>2044</v>
      </c>
      <c r="Q33" t="s">
        <v>38</v>
      </c>
      <c r="R33">
        <v>0.23075833333333332</v>
      </c>
      <c r="S33" t="s">
        <v>322</v>
      </c>
    </row>
    <row r="34" spans="16:19" x14ac:dyDescent="0.25">
      <c r="P34">
        <v>2045</v>
      </c>
      <c r="Q34" t="s">
        <v>38</v>
      </c>
      <c r="R34">
        <v>0.16792500000000002</v>
      </c>
      <c r="S34" t="s">
        <v>322</v>
      </c>
    </row>
    <row r="35" spans="16:19" x14ac:dyDescent="0.25">
      <c r="P35">
        <v>2046</v>
      </c>
      <c r="Q35" t="s">
        <v>38</v>
      </c>
      <c r="R35">
        <v>0.16623333333333334</v>
      </c>
      <c r="S35" t="s">
        <v>322</v>
      </c>
    </row>
    <row r="36" spans="16:19" x14ac:dyDescent="0.25">
      <c r="P36">
        <v>2047</v>
      </c>
      <c r="Q36" t="s">
        <v>38</v>
      </c>
      <c r="R36">
        <v>0.20014166666666666</v>
      </c>
      <c r="S36" t="s">
        <v>322</v>
      </c>
    </row>
    <row r="37" spans="16:19" x14ac:dyDescent="0.25">
      <c r="P37">
        <v>2048</v>
      </c>
      <c r="Q37" t="s">
        <v>38</v>
      </c>
      <c r="R37">
        <v>0.19996666666666665</v>
      </c>
      <c r="S37" t="s">
        <v>322</v>
      </c>
    </row>
    <row r="38" spans="16:19" x14ac:dyDescent="0.25">
      <c r="P38">
        <v>2049</v>
      </c>
      <c r="Q38" t="s">
        <v>38</v>
      </c>
      <c r="R38">
        <v>0.19070833333333334</v>
      </c>
      <c r="S38" t="s">
        <v>322</v>
      </c>
    </row>
    <row r="39" spans="16:19" x14ac:dyDescent="0.25">
      <c r="P39">
        <v>2050</v>
      </c>
      <c r="Q39" t="s">
        <v>38</v>
      </c>
      <c r="R39">
        <v>0.19342500000000004</v>
      </c>
      <c r="S39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 EMR License 2</cp:lastModifiedBy>
  <dcterms:created xsi:type="dcterms:W3CDTF">2025-07-17T06:23:24Z</dcterms:created>
  <dcterms:modified xsi:type="dcterms:W3CDTF">2026-09-28T11:04:03Z</dcterms:modified>
</cp:coreProperties>
</file>