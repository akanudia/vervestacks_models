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_models\MyModels\VerveStacks_POL_grids_kan50\SuppXLS\"/>
    </mc:Choice>
  </mc:AlternateContent>
  <bookViews>
    <workbookView xWindow="-108" yWindow="-108" windowWidth="23256" windowHeight="12456" activeTab="1"/>
  </bookViews>
  <sheets>
    <sheet name="Controller" sheetId="3" r:id="rId3"/>
    <sheet name="VEDA" sheetId="5" r:id="rId4"/>
    <sheet name="Scenario_View" sheetId="4" r:id="rId5"/>
    <sheet name="CO2_t" sheetId="6" r:id="rId6"/>
    <sheet name="Prices" sheetId="7" r:id="rId7"/>
    <sheet name="Data" sheetId="1" r:id="rId8"/>
    <sheet name="Sheet4" sheetId="8" r:id="rId9"/>
  </sheets>
  <externalReferences>
    <externalReference r:id="rId11"/>
  </externalReference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<sst xmlns="http://schemas.openxmlformats.org/spreadsheetml/2006/main" count="193" uniqueCount="113">
  <si>
    <t>Key</t>
  </si>
  <si>
    <t>Value</t>
  </si>
  <si>
    <t>Variable</t>
  </si>
  <si>
    <t>Time Period</t>
  </si>
  <si>
    <t>case_no</t>
  </si>
  <si>
    <t>scen</t>
  </si>
  <si>
    <t>priority</t>
  </si>
  <si>
    <t>hydrogen_allsect</t>
  </si>
  <si>
    <t>elc_industry</t>
  </si>
  <si>
    <t>elc_buildings</t>
  </si>
  <si>
    <t>elc_transport</t>
  </si>
  <si>
    <t>Scenario 7</t>
  </si>
  <si>
    <t>elc_roadtransport</t>
  </si>
  <si>
    <t>Scenario 6</t>
  </si>
  <si>
    <t>het_industry</t>
  </si>
  <si>
    <t>Scenario 5</t>
  </si>
  <si>
    <t>het_buildings</t>
  </si>
  <si>
    <t>~Inputcell: 1-4</t>
  </si>
  <si>
    <t>co2net</t>
  </si>
  <si>
    <t>NZ</t>
  </si>
  <si>
    <t>Mitig</t>
  </si>
  <si>
    <t>Mild</t>
  </si>
  <si>
    <t>Ref</t>
  </si>
  <si>
    <t>Variable 9</t>
  </si>
  <si>
    <t>1-8</t>
  </si>
  <si>
    <t>Active Scenario</t>
  </si>
  <si>
    <t>Variable List</t>
  </si>
  <si>
    <t>Scenario List</t>
  </si>
  <si>
    <t>Scenario Controller</t>
  </si>
  <si>
    <t>Scenario</t>
  </si>
  <si>
    <t>Variable 10</t>
  </si>
  <si>
    <t>Scenario names and variable names are controlled centrally from the Controller lists. The active scenario is driven by Controller!D18; B2 shows 'Scenario name - X'. This view uses the Data helper key to retrieve the selected scenario values while preserving blanks and real zeros.</t>
  </si>
  <si>
    <t>commodity</t>
  </si>
  <si>
    <t>attribute</t>
  </si>
  <si>
    <t>lo</t>
  </si>
  <si>
    <t>cap_bnd</t>
  </si>
  <si>
    <t>Trd_electricity export</t>
  </si>
  <si>
    <t>~tfm_ins-ts: region=POL</t>
  </si>
  <si>
    <t>process</t>
  </si>
  <si>
    <t>limtype</t>
  </si>
  <si>
    <t>non-road transport demand assumed to be constant</t>
  </si>
  <si>
    <t>FX</t>
  </si>
  <si>
    <t>ACT_BND</t>
  </si>
  <si>
    <t>com_taxnet</t>
  </si>
  <si>
    <t>wood_ZielonaGora_POL</t>
  </si>
  <si>
    <t>biofuels_Swidnica_POL</t>
  </si>
  <si>
    <t>wood_Olsztyn_POL</t>
  </si>
  <si>
    <t>wood_Olesnica_POL</t>
  </si>
  <si>
    <t>wood_Mielec_POL</t>
  </si>
  <si>
    <t>wood_Koszalin_POL</t>
  </si>
  <si>
    <t>wood_Kielce_POL</t>
  </si>
  <si>
    <t>wood_Grajewo_POL</t>
  </si>
  <si>
    <t>wood_Elk_POL</t>
  </si>
  <si>
    <t>steel_Sosnowiec_POL</t>
  </si>
  <si>
    <t>steel_OstrowiecSwietokrz_POL</t>
  </si>
  <si>
    <t>steel_Krakow_POL</t>
  </si>
  <si>
    <t>steel_Katowice_POL</t>
  </si>
  <si>
    <t>soda_ash_Bydgoszcz_POL</t>
  </si>
  <si>
    <t>pulp_paper_Lomza_POL</t>
  </si>
  <si>
    <t>pulp_paper_Kwidzyn_POL</t>
  </si>
  <si>
    <t>pulp_paper_Grudziadz_POL</t>
  </si>
  <si>
    <t>pulp_paper_GorzowWielkopolski_POL</t>
  </si>
  <si>
    <t>petchem_Plock_POL</t>
  </si>
  <si>
    <t>petchem_Katowice_POL</t>
  </si>
  <si>
    <t>petchem_Gdansk_POL</t>
  </si>
  <si>
    <t>non_ferrous_Lubin_POL</t>
  </si>
  <si>
    <t>non_ferrous_Legnica_POL</t>
  </si>
  <si>
    <t>non_ferrous_Katowice_POL</t>
  </si>
  <si>
    <t>non_ferrous_Gliwice_POL</t>
  </si>
  <si>
    <t>lime_OstrowiecSwietokrz_POL</t>
  </si>
  <si>
    <t>lime_Kielce_POL</t>
  </si>
  <si>
    <t>lime_KedzierzynKozle_POL</t>
  </si>
  <si>
    <t>lime_Czestochowa_POL</t>
  </si>
  <si>
    <t>lime_Bydgoszcz_POL</t>
  </si>
  <si>
    <t>glass_PiotrkowTrybunalsk_POL</t>
  </si>
  <si>
    <t>glass_Katowice_POL</t>
  </si>
  <si>
    <t>glass_Debica_POL</t>
  </si>
  <si>
    <t>glass_Czestochowa_POL</t>
  </si>
  <si>
    <t>fertilizer_Wloclawek_POL</t>
  </si>
  <si>
    <t>fertilizer_Tarnow_POL</t>
  </si>
  <si>
    <t>fertilizer_Pulawy_POL</t>
  </si>
  <si>
    <t>fertilizer_Police_POL</t>
  </si>
  <si>
    <t>fertilizer_KedzierzynKozle_POL</t>
  </si>
  <si>
    <t>chemicals_Legnica_POL</t>
  </si>
  <si>
    <t>chemicals_Katowice_POL</t>
  </si>
  <si>
    <t>cement_Radomsko_POL</t>
  </si>
  <si>
    <t>cement_OstrowiecSwietokrz_POL</t>
  </si>
  <si>
    <t>cement_Kielce_POL</t>
  </si>
  <si>
    <t>cement_KedzierzynKozle_POL</t>
  </si>
  <si>
    <t>cement_Czestochowa_POL</t>
  </si>
  <si>
    <t>cement_Chelm_POL</t>
  </si>
  <si>
    <t>cement_Bydgoszcz_POL</t>
  </si>
  <si>
    <t>Stock</t>
  </si>
  <si>
    <t>Bioenergy</t>
  </si>
  <si>
    <t>Oil</t>
  </si>
  <si>
    <t>Coal</t>
  </si>
  <si>
    <t>Gas</t>
  </si>
  <si>
    <t>pset_co</t>
  </si>
  <si>
    <t>~TFM_INS-TS: region=POL; attribute=flo_cost;pset_pn=-IMP*Z</t>
  </si>
  <si>
    <t>Trd_electricity import</t>
  </si>
  <si>
    <t>demand</t>
  </si>
  <si>
    <t>~TFM_INS-TS: region=POL</t>
  </si>
  <si>
    <t>START</t>
  </si>
  <si>
    <t>pset_pn</t>
  </si>
  <si>
    <t>value</t>
  </si>
  <si>
    <t>Attribute</t>
  </si>
  <si>
    <t>~TFM_INS</t>
  </si>
  <si>
    <t>*_ogc*</t>
  </si>
  <si>
    <t>Scenario 10</t>
  </si>
  <si>
    <t>~Scenmap</t>
  </si>
  <si>
    <t>Scenario 8</t>
  </si>
  <si>
    <t>Scenario 9</t>
  </si>
  <si>
    <t>co2price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</si>
</sst>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name val="Carlito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b/>
      <sz val="11"/>
      <name val="Carlito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theme="0" tint="-0.249970003962517"/>
      <name val="Calibri"/>
      <family val="2"/>
    </font>
    <font>
      <sz val="11"/>
      <color rgb="FFFF0000"/>
      <name val="Carlito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249889999628067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theme="0" tint="-0.14991000294685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80002641678"/>
      </bottom>
    </border>
    <border>
      <left/>
      <right/>
      <top/>
      <bottom style="double">
        <color rgb="FFFF8001"/>
      </bottom>
    </border>
    <border>
      <left/>
      <right/>
      <top/>
      <bottom style="medium">
        <color rgb="FF46B1E1"/>
      </bottom>
    </border>
    <border>
      <left/>
      <right/>
      <top/>
      <bottom style="thick">
        <color rgb="FF64BEE6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1" applyNumberFormat="0" applyFill="0" applyAlignment="0" applyProtection="0"/>
    <xf numFmtId="0" fontId="7" fillId="2" borderId="0" applyNumberFormat="0" applyBorder="0" applyAlignment="0" applyProtection="0"/>
    <xf numFmtId="0" fontId="8" fillId="3" borderId="2" applyNumberFormat="0" applyAlignment="0" applyProtection="0"/>
    <xf numFmtId="0" fontId="11" fillId="0" borderId="3" applyNumberFormat="0" applyFill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0" borderId="4" applyNumberFormat="0" applyFill="0" applyAlignment="0" applyProtection="0"/>
    <xf numFmtId="0" fontId="11" fillId="0" borderId="3">
      <alignment/>
      <protection/>
    </xf>
    <xf numFmtId="0" fontId="2" fillId="0" borderId="0">
      <alignment/>
      <protection/>
    </xf>
    <xf numFmtId="0" fontId="12" fillId="0" borderId="1">
      <alignment/>
      <protection/>
    </xf>
  </cellStyleXfs>
  <cellXfs count="35">
    <xf numFmtId="0" fontId="0" fillId="0" borderId="0" xfId="0"/>
    <xf numFmtId="0" fontId="3" fillId="6" borderId="0" xfId="0" applyFont="1" applyFill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2" fontId="0" fillId="7" borderId="0" xfId="0" applyNumberFormat="1" applyFill="1"/>
    <xf numFmtId="0" fontId="5" fillId="8" borderId="0" xfId="0" applyFont="1" applyFill="1"/>
    <xf numFmtId="0" fontId="3" fillId="6" borderId="0" xfId="0" applyFont="1" applyFill="1" applyAlignment="1">
      <alignment horizontal="center" vertical="center"/>
    </xf>
    <xf numFmtId="49" fontId="0" fillId="0" borderId="0" xfId="0" applyNumberFormat="1"/>
    <xf numFmtId="0" fontId="7" fillId="2" borderId="0" xfId="21"/>
    <xf numFmtId="0" fontId="8" fillId="3" borderId="2" xfId="22"/>
    <xf numFmtId="0" fontId="9" fillId="0" borderId="0" xfId="0" applyFont="1"/>
    <xf numFmtId="0" fontId="6" fillId="0" borderId="1" xfId="20"/>
    <xf numFmtId="0" fontId="0" fillId="9" borderId="0" xfId="0" applyFill="1"/>
    <xf numFmtId="0" fontId="10" fillId="0" borderId="0" xfId="0" applyFont="1"/>
    <xf numFmtId="0" fontId="5" fillId="10" borderId="0" xfId="0" applyFont="1" applyFill="1" applyAlignment="1">
      <alignment horizontal="center"/>
    </xf>
    <xf numFmtId="0" fontId="11" fillId="0" borderId="3" xfId="23"/>
    <xf numFmtId="0" fontId="14" fillId="5" borderId="0" xfId="25"/>
    <xf numFmtId="164" fontId="0" fillId="0" borderId="0" xfId="0" applyNumberFormat="1"/>
    <xf numFmtId="0" fontId="16" fillId="0" borderId="0" xfId="0" applyFont="1"/>
    <xf numFmtId="0" fontId="13" fillId="4" borderId="0" xfId="24"/>
    <xf numFmtId="0" fontId="0" fillId="11" borderId="0" xfId="0" applyFill="1"/>
    <xf numFmtId="0" fontId="15" fillId="0" borderId="4" xfId="26"/>
    <xf numFmtId="0" fontId="11" fillId="0" borderId="3" xfId="27">
      <alignment/>
      <protection/>
    </xf>
    <xf numFmtId="0" fontId="2" fillId="0" borderId="0" xfId="28">
      <alignment/>
      <protection/>
    </xf>
    <xf numFmtId="0" fontId="12" fillId="0" borderId="1" xfId="29">
      <alignment/>
      <protection/>
    </xf>
    <xf numFmtId="164" fontId="2" fillId="0" borderId="0" xfId="28" applyNumberFormat="1">
      <alignment/>
      <protection/>
    </xf>
    <xf numFmtId="0" fontId="0" fillId="12" borderId="0" xfId="0" applyFill="1"/>
    <xf numFmtId="0" fontId="4" fillId="6" borderId="0" xfId="0" applyFont="1" applyFill="1" applyAlignment="1">
      <alignment horizontal="center" vertical="center"/>
    </xf>
    <xf numFmtId="0" fontId="0" fillId="13" borderId="0" xfId="0" applyFill="1" applyAlignment="1">
      <alignment wrapText="1"/>
    </xf>
    <xf numFmtId="0" fontId="17" fillId="0" borderId="0" xfId="0" applyFont="1"/>
    <xf numFmtId="0" fontId="6" fillId="0" borderId="5" xfId="20"/>
    <xf numFmtId="0" fontId="0" fillId="14" borderId="0" xfId="0" applyFill="1"/>
    <xf numFmtId="0" fontId="11" fillId="0" borderId="6" xfId="23"/>
    <xf numFmtId="0" fontId="11" fillId="0" borderId="6" xfId="27">
      <alignment/>
      <protection/>
    </xf>
    <xf numFmtId="0" fontId="12" fillId="0" borderId="5" xfId="29">
      <alignment/>
      <protection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ing 3" xfId="20"/>
    <cellStyle name="Good" xfId="21"/>
    <cellStyle name="Input" xfId="22"/>
    <cellStyle name="Heading 2" xfId="23" builtinId="17"/>
    <cellStyle name="Bad" xfId="24" builtinId="27"/>
    <cellStyle name="Neutral" xfId="25" builtinId="28"/>
    <cellStyle name="Linked Cell" xfId="26" builtinId="24"/>
    <cellStyle name="Heading 2 2" xfId="27"/>
    <cellStyle name="Normal 2" xfId="28"/>
    <cellStyle name="Heading 3 2" xfId="29"/>
  </cellStyles>
  <dxfs count="1">
    <dxf>
      <fill>
        <patternFill>
          <bgColor rgb="FFF7FB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1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rocco/Desktop/VerveStacks_POL_grids_kan50/SuppXLS/Scen_Par-AR6_R10pp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ller"/>
      <sheetName val="Veda"/>
      <sheetName val="CO2_t"/>
      <sheetName val="fuel_prices"/>
      <sheetName val="iea_data"/>
      <sheetName val="ar6_r10"/>
    </sheetNames>
    <sheetDataSet>
      <sheetData sheetId="0"/>
      <sheetData sheetId="1">
        <row r="26">
          <cell r="N26" t="str">
            <v>~TFM_INS-TS: region=POL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 topLeftCell="D1">
      <selection pane="topLeft" activeCell="E4" sqref="E4"/>
    </sheetView>
  </sheetViews>
  <sheetFormatPr defaultRowHeight="13.8"/>
  <cols>
    <col min="1" max="1" width="22" customWidth="1"/>
    <col min="2" max="2" width="20" customWidth="1"/>
    <col min="3" max="4" width="14" customWidth="1"/>
    <col min="8" max="8" width="16" customWidth="1"/>
  </cols>
  <sheetData>
    <row r="1" spans="1:10" ht="17.4">
      <c r="A1" s="27" t="s">
        <v>28</v>
      </c>
      <c r="B1" s="27"/>
      <c r="C1" s="27"/>
      <c r="D1" s="27"/>
      <c r="H1" t="s">
        <v>27</v>
      </c>
      <c r="J1" t="s">
        <v>26</v>
      </c>
    </row>
    <row r="2" spans="1:10" ht="13.8">
      <c r="A2" s="5" t="s">
        <v>25</v>
      </c>
      <c r="B2" s="14" t="str">
        <f>IFERROR(INDEX($B$13:$B$20,MATCH($D$7,$C$13:$C$20,0)),"")</f>
        <v>Mild</v>
      </c>
      <c r="H2" t="s">
        <v>22</v>
      </c>
      <c r="J2" s="13" t="s">
        <v>7</v>
      </c>
    </row>
    <row r="3" spans="8:10" ht="13.8">
      <c r="H3" t="s">
        <v>21</v>
      </c>
      <c r="J3" s="13" t="s">
        <v>8</v>
      </c>
    </row>
    <row r="4" spans="5:10" ht="13.8">
      <c r="E4" s="7" t="s">
        <v>24</v>
      </c>
      <c r="H4" t="s">
        <v>20</v>
      </c>
      <c r="J4" s="13" t="s">
        <v>9</v>
      </c>
    </row>
    <row r="5" spans="8:10" ht="13.8">
      <c r="H5" t="s">
        <v>19</v>
      </c>
      <c r="J5" s="13" t="s">
        <v>10</v>
      </c>
    </row>
    <row r="6" spans="4:10" ht="13.8" customHeight="1">
      <c r="D6" s="8" t="s">
        <v>17</v>
      </c>
      <c r="H6" t="s">
        <v>15</v>
      </c>
      <c r="J6" s="13" t="s">
        <v>12</v>
      </c>
    </row>
    <row r="7" spans="4:10" ht="14.4">
      <c r="D7" s="9">
        <v>2</v>
      </c>
      <c r="H7" t="s">
        <v>13</v>
      </c>
      <c r="J7" s="13" t="s">
        <v>14</v>
      </c>
    </row>
    <row r="8" spans="8:10" ht="13.8">
      <c r="H8" t="s">
        <v>11</v>
      </c>
      <c r="J8" s="13" t="s">
        <v>16</v>
      </c>
    </row>
    <row r="9" spans="4:10" ht="14.4">
      <c r="D9" s="8">
        <f>VLOOKUP(D7,$C$13:$D$20,2,FALSE)</f>
        <v>150</v>
      </c>
      <c r="H9" t="s">
        <v>110</v>
      </c>
      <c r="J9" s="13" t="s">
        <v>18</v>
      </c>
    </row>
    <row r="10" spans="8:10" ht="13.8">
      <c r="H10" t="s">
        <v>111</v>
      </c>
      <c r="J10" t="s">
        <v>23</v>
      </c>
    </row>
    <row r="11" spans="2:10" ht="14.4">
      <c r="B11" s="29" t="s">
        <v>109</v>
      </c>
      <c r="H11" t="s">
        <v>108</v>
      </c>
      <c r="J11" t="s">
        <v>30</v>
      </c>
    </row>
    <row r="12" spans="1:4" ht="15" thickBot="1">
      <c r="A12" s="30" t="s">
        <v>6</v>
      </c>
      <c r="B12" s="30" t="s">
        <v>5</v>
      </c>
      <c r="C12" s="30" t="s">
        <v>4</v>
      </c>
      <c r="D12" s="30" t="s">
        <v>112</v>
      </c>
    </row>
    <row r="13" spans="1:4" ht="13.8">
      <c r="A13">
        <v>5</v>
      </c>
      <c r="B13" t="str">
        <f>$H2</f>
        <v>Ref</v>
      </c>
      <c r="C13">
        <v>1</v>
      </c>
      <c r="D13" s="31">
        <v>0</v>
      </c>
    </row>
    <row r="14" spans="1:4" ht="13.8">
      <c r="A14">
        <v>5</v>
      </c>
      <c r="B14" t="str">
        <f>$H3</f>
        <v>Mild</v>
      </c>
      <c r="C14">
        <f>C13+1</f>
        <v>2</v>
      </c>
      <c r="D14" s="31">
        <v>150</v>
      </c>
    </row>
    <row r="15" spans="1:4" ht="13.8">
      <c r="A15">
        <v>5</v>
      </c>
      <c r="B15" t="str">
        <f>$H4</f>
        <v>Mitig</v>
      </c>
      <c r="C15">
        <f>C14+1</f>
        <v>3</v>
      </c>
      <c r="D15" s="31">
        <v>250</v>
      </c>
    </row>
    <row r="16" spans="1:4" ht="13.8">
      <c r="A16">
        <v>5</v>
      </c>
      <c r="B16" t="str">
        <f>$H5</f>
        <v>NZ</v>
      </c>
      <c r="C16">
        <f>C15+1</f>
        <v>4</v>
      </c>
      <c r="D16" s="31">
        <v>450</v>
      </c>
    </row>
    <row r="17" spans="1:4" ht="13.8">
      <c r="A17">
        <v>5</v>
      </c>
      <c r="B17" t="str">
        <f>$H6</f>
        <v>Scenario 5</v>
      </c>
      <c r="C17">
        <f>C16+1</f>
        <v>5</v>
      </c>
      <c r="D17" s="31"/>
    </row>
    <row r="18" spans="1:4" ht="13.8">
      <c r="A18">
        <v>5</v>
      </c>
      <c r="B18" t="str">
        <f>$H7</f>
        <v>Scenario 6</v>
      </c>
      <c r="C18">
        <f>C17+1</f>
        <v>6</v>
      </c>
      <c r="D18" s="31"/>
    </row>
    <row r="19" spans="1:4" ht="13.8">
      <c r="A19">
        <v>5</v>
      </c>
      <c r="B19" t="str">
        <f>$H8</f>
        <v>Scenario 7</v>
      </c>
      <c r="C19">
        <f>C18+1</f>
        <v>7</v>
      </c>
      <c r="D19" s="31"/>
    </row>
    <row r="20" spans="1:4" ht="13.8">
      <c r="A20">
        <v>5</v>
      </c>
      <c r="B20" t="str">
        <f>$H9</f>
        <v>Scenario 8</v>
      </c>
      <c r="C20">
        <f>C19+1</f>
        <v>8</v>
      </c>
      <c r="D20" s="31"/>
    </row>
  </sheetData>
  <mergeCells count="1">
    <mergeCell ref="A1:D1"/>
  </mergeCells>
  <dataValidations count="1">
    <dataValidation sqref="B2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E14090-757C-49DC-8A20-55C44FF3B02F}">
  <dimension ref="B3:L26"/>
  <sheetViews>
    <sheetView tabSelected="1" workbookViewId="0" topLeftCell="A1">
      <selection pane="topLeft" activeCell="C12" sqref="C12:I12"/>
    </sheetView>
  </sheetViews>
  <sheetFormatPr defaultRowHeight="13.8"/>
  <cols>
    <col min="2" max="2" width="24.75" bestFit="1" customWidth="1"/>
  </cols>
  <sheetData>
    <row r="3" spans="2:2" ht="18" thickBot="1">
      <c r="B3" s="32" t="s">
        <v>101</v>
      </c>
    </row>
    <row r="4" spans="2:10" ht="15.6" thickTop="1" thickBot="1">
      <c r="B4" s="30" t="s">
        <v>32</v>
      </c>
      <c r="C4" s="30">
        <v>2022</v>
      </c>
      <c r="D4" s="30">
        <v>2025</v>
      </c>
      <c r="E4" s="30">
        <v>2030</v>
      </c>
      <c r="F4" s="30">
        <v>2035</v>
      </c>
      <c r="G4" s="30">
        <v>2040</v>
      </c>
      <c r="H4" s="30">
        <v>2045</v>
      </c>
      <c r="I4" s="30">
        <v>2050</v>
      </c>
      <c r="J4" s="30" t="s">
        <v>33</v>
      </c>
    </row>
    <row r="5" spans="2:12" ht="14.4">
      <c r="B5" s="16" t="s">
        <v>7</v>
      </c>
      <c r="C5" s="17">
        <f>Scenario_View!B4</f>
        <v>0</v>
      </c>
      <c r="D5" s="17">
        <f>Scenario_View!C4</f>
        <v>0</v>
      </c>
      <c r="E5" s="17">
        <f>Scenario_View!D4</f>
        <v>0</v>
      </c>
      <c r="F5" s="17">
        <f>Scenario_View!E4</f>
        <v>0</v>
      </c>
      <c r="G5" s="17">
        <f>Scenario_View!F4</f>
        <v>0</v>
      </c>
      <c r="H5" s="17">
        <f>Scenario_View!G4</f>
        <v>0</v>
      </c>
      <c r="I5" s="17">
        <f>Scenario_View!H4</f>
        <v>0</v>
      </c>
      <c r="J5" t="s">
        <v>100</v>
      </c>
      <c r="L5" s="18"/>
    </row>
    <row r="6" spans="2:10" ht="14.4">
      <c r="B6" s="16" t="s">
        <v>8</v>
      </c>
      <c r="C6" s="17">
        <f>Scenario_View!B5</f>
        <v>65.478899999999996</v>
      </c>
      <c r="D6" s="17">
        <f>Scenario_View!C5</f>
        <v>68.752844999999994</v>
      </c>
      <c r="E6" s="17">
        <f>Scenario_View!D5</f>
        <v>72.19048724999999</v>
      </c>
      <c r="F6" s="17">
        <f>Scenario_View!E5</f>
        <v>75.800011612499986</v>
      </c>
      <c r="G6" s="17">
        <f>Scenario_View!F5</f>
        <v>79.590012193124991</v>
      </c>
      <c r="H6" s="17">
        <f>Scenario_View!G5</f>
        <v>83.569512802781247</v>
      </c>
      <c r="I6" s="17">
        <f>Scenario_View!H5</f>
        <v>87.747988442920303</v>
      </c>
      <c r="J6" t="s">
        <v>100</v>
      </c>
    </row>
    <row r="7" spans="2:10" ht="14.4">
      <c r="B7" s="16" t="s">
        <v>9</v>
      </c>
      <c r="C7" s="17">
        <f>Scenario_View!B6</f>
        <v>104.41229999999999</v>
      </c>
      <c r="D7" s="17">
        <f>Scenario_View!C6</f>
        <v>109.63291499999998</v>
      </c>
      <c r="E7" s="17">
        <f>Scenario_View!D6</f>
        <v>115.11456074999998</v>
      </c>
      <c r="F7" s="17">
        <f>Scenario_View!E6</f>
        <v>120.87028878749999</v>
      </c>
      <c r="G7" s="17">
        <f>Scenario_View!F6</f>
        <v>126.91380322687499</v>
      </c>
      <c r="H7" s="17">
        <f>Scenario_View!G6</f>
        <v>133.25949338821874</v>
      </c>
      <c r="I7" s="17">
        <f>Scenario_View!H6</f>
        <v>139.92246805762969</v>
      </c>
      <c r="J7" t="s">
        <v>100</v>
      </c>
    </row>
    <row r="8" spans="2:12" ht="14.4">
      <c r="B8" s="16" t="s">
        <v>10</v>
      </c>
      <c r="C8" s="17">
        <f>Scenario_View!B7</f>
        <v>5.3090999999999999</v>
      </c>
      <c r="D8" s="17">
        <f>Scenario_View!C7</f>
        <v>5.5745550000000001</v>
      </c>
      <c r="E8" s="17">
        <f>Scenario_View!D7</f>
        <v>5.85328275</v>
      </c>
      <c r="F8" s="17">
        <f>Scenario_View!E7</f>
        <v>6.1459468875000001</v>
      </c>
      <c r="G8" s="17">
        <f>Scenario_View!F7</f>
        <v>6.4532442318749998</v>
      </c>
      <c r="H8" s="17">
        <f>Scenario_View!G7</f>
        <v>6.7759064434687497</v>
      </c>
      <c r="I8" s="17">
        <f>Scenario_View!H7</f>
        <v>7.1147017656421871</v>
      </c>
      <c r="J8" t="s">
        <v>100</v>
      </c>
      <c r="L8" s="18" t="s">
        <v>40</v>
      </c>
    </row>
    <row r="9" spans="2:10" ht="14.4">
      <c r="B9" s="16" t="s">
        <v>12</v>
      </c>
      <c r="C9" s="17">
        <f>Scenario_View!B8</f>
        <v>1.7697000000000287</v>
      </c>
      <c r="D9" s="17">
        <f>Scenario_View!C8</f>
        <v>1.8581850000000302</v>
      </c>
      <c r="E9" s="17">
        <f>Scenario_View!D8</f>
        <v>1.9510942500000317</v>
      </c>
      <c r="F9" s="17">
        <f>Scenario_View!E8</f>
        <v>2.0486489625000335</v>
      </c>
      <c r="G9" s="17">
        <f>Scenario_View!F8</f>
        <v>2.1510814106250353</v>
      </c>
      <c r="H9" s="17">
        <f>Scenario_View!G8</f>
        <v>2.2586354811562872</v>
      </c>
      <c r="I9" s="17">
        <f>Scenario_View!H8</f>
        <v>2.3715672552141016</v>
      </c>
      <c r="J9" t="s">
        <v>100</v>
      </c>
    </row>
    <row r="10" spans="2:10" ht="14.4">
      <c r="B10" s="19" t="s">
        <v>14</v>
      </c>
      <c r="C10" s="17">
        <f>Scenario_View!B9</f>
        <v>9.7690000000000001</v>
      </c>
      <c r="D10" s="17">
        <f>Scenario_View!C9</f>
        <v>10.25745</v>
      </c>
      <c r="E10" s="17">
        <f>Scenario_View!D9</f>
        <v>10.770322500000001</v>
      </c>
      <c r="F10" s="17">
        <f>Scenario_View!E9</f>
        <v>11.308838625</v>
      </c>
      <c r="G10" s="17">
        <f>Scenario_View!F9</f>
        <v>11.87428055625</v>
      </c>
      <c r="H10" s="17">
        <f>Scenario_View!G9</f>
        <v>12.467994584062499</v>
      </c>
      <c r="I10" s="17">
        <f>Scenario_View!H9</f>
        <v>13.091394313265624</v>
      </c>
      <c r="J10" s="19" t="s">
        <v>100</v>
      </c>
    </row>
    <row r="11" spans="2:10" ht="14.4">
      <c r="B11" s="19" t="s">
        <v>16</v>
      </c>
      <c r="C11" s="17">
        <f>Scenario_View!B10</f>
        <v>55.512999999999998</v>
      </c>
      <c r="D11" s="17">
        <f>Scenario_View!C10</f>
        <v>55.512999999999998</v>
      </c>
      <c r="E11" s="17">
        <f>Scenario_View!D10</f>
        <v>55.512999999999998</v>
      </c>
      <c r="F11" s="17">
        <f>Scenario_View!E10</f>
        <v>55.512999999999998</v>
      </c>
      <c r="G11" s="17">
        <f>Scenario_View!F10</f>
        <v>55.512999999999998</v>
      </c>
      <c r="H11" s="17">
        <f>Scenario_View!G10</f>
        <v>55.512999999999998</v>
      </c>
      <c r="I11" s="17">
        <f>Scenario_View!H10</f>
        <v>55.512999999999998</v>
      </c>
      <c r="J11" s="19" t="s">
        <v>100</v>
      </c>
    </row>
    <row r="12" spans="2:10" ht="13.8">
      <c r="B12" s="20" t="s">
        <v>18</v>
      </c>
      <c r="C12" s="3">
        <f>Scenario_View!B11/1000</f>
        <v>0</v>
      </c>
      <c r="D12" s="3">
        <f>Scenario_View!C11/1000</f>
        <v>0.016071428571427532</v>
      </c>
      <c r="E12" s="3">
        <f>Scenario_View!D11/1000</f>
        <v>0.042857142857143114</v>
      </c>
      <c r="F12" s="3">
        <f>Scenario_View!E11/1000</f>
        <v>0.069642857142856882</v>
      </c>
      <c r="G12" s="3">
        <f>Scenario_View!F11/1000</f>
        <v>0.096428571428570656</v>
      </c>
      <c r="H12" s="3">
        <f>Scenario_View!G11/1000</f>
        <v>0.12321428571428442</v>
      </c>
      <c r="I12" s="3">
        <f>Scenario_View!H11/1000</f>
        <v>0.14999999999999999</v>
      </c>
      <c r="J12" s="20" t="s">
        <v>43</v>
      </c>
    </row>
    <row r="17" spans="2:2" ht="18" thickBot="1">
      <c r="B17" s="32" t="s">
        <v>101</v>
      </c>
    </row>
    <row r="18" spans="2:11" ht="15.6" thickTop="1" thickBot="1">
      <c r="B18" s="30" t="s">
        <v>38</v>
      </c>
      <c r="C18" s="30">
        <v>2022</v>
      </c>
      <c r="D18" s="30">
        <v>2025</v>
      </c>
      <c r="E18" s="30">
        <v>2030</v>
      </c>
      <c r="F18" s="30">
        <v>2035</v>
      </c>
      <c r="G18" s="30">
        <v>2040</v>
      </c>
      <c r="H18" s="30">
        <v>2045</v>
      </c>
      <c r="I18" s="30">
        <v>2050</v>
      </c>
      <c r="J18" s="30" t="s">
        <v>33</v>
      </c>
      <c r="K18" s="30" t="s">
        <v>39</v>
      </c>
    </row>
    <row r="19" spans="2:11" ht="15" thickBot="1">
      <c r="B19" t="s">
        <v>99</v>
      </c>
      <c r="C19" s="21">
        <v>15.24</v>
      </c>
      <c r="E19" s="17"/>
      <c r="F19" s="17"/>
      <c r="G19" s="17"/>
      <c r="H19" s="17"/>
      <c r="I19" s="17"/>
      <c r="J19" t="s">
        <v>42</v>
      </c>
      <c r="K19" t="s">
        <v>41</v>
      </c>
    </row>
    <row r="20" spans="2:11" ht="15.6" thickTop="1" thickBot="1">
      <c r="B20" t="s">
        <v>36</v>
      </c>
      <c r="C20" s="21">
        <v>16.91</v>
      </c>
      <c r="E20" s="17"/>
      <c r="F20" s="17"/>
      <c r="G20" s="17"/>
      <c r="H20" s="17"/>
      <c r="I20" s="17"/>
      <c r="J20" t="s">
        <v>42</v>
      </c>
      <c r="K20" t="s">
        <v>41</v>
      </c>
    </row>
    <row r="21" ht="14.4" thickTop="1"/>
    <row r="23" spans="2:2" ht="13.8">
      <c r="B23" t="s">
        <v>37</v>
      </c>
    </row>
    <row r="24" spans="2:7" ht="13.8">
      <c r="B24" t="s">
        <v>38</v>
      </c>
      <c r="C24" t="s">
        <v>39</v>
      </c>
      <c r="D24">
        <v>2024</v>
      </c>
      <c r="E24">
        <v>2030</v>
      </c>
      <c r="F24">
        <v>2040</v>
      </c>
      <c r="G24" t="s">
        <v>33</v>
      </c>
    </row>
    <row r="25" spans="2:7" ht="13.8">
      <c r="B25" t="s">
        <v>36</v>
      </c>
      <c r="C25" t="s">
        <v>34</v>
      </c>
      <c r="D25">
        <v>1.455</v>
      </c>
      <c r="E25">
        <v>1.881</v>
      </c>
      <c r="F25">
        <v>1.881</v>
      </c>
      <c r="G25" t="s">
        <v>35</v>
      </c>
    </row>
    <row r="26" spans="2:7" ht="13.8">
      <c r="B26" t="s">
        <v>99</v>
      </c>
      <c r="C26" t="s">
        <v>34</v>
      </c>
      <c r="D26">
        <v>1.80</v>
      </c>
      <c r="E26">
        <v>3.30</v>
      </c>
      <c r="F26">
        <v>3.30</v>
      </c>
      <c r="G2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 topLeftCell="A1">
      <selection pane="topLeft" activeCell="B11" sqref="B11"/>
    </sheetView>
  </sheetViews>
  <sheetFormatPr defaultRowHeight="13.8"/>
  <cols>
    <col min="1" max="1" width="20" customWidth="1"/>
    <col min="2" max="8" width="12" customWidth="1"/>
  </cols>
  <sheetData>
    <row r="1" spans="1:8" ht="17.4">
      <c r="A1" s="27" t="str">
        <f>"Active Scenario: "&amp;Controller!$B$2</f>
        <v>Active Scenario: Mild</v>
      </c>
      <c r="B1" s="27"/>
      <c r="C1" s="27"/>
      <c r="D1" s="27"/>
      <c r="E1" s="27"/>
      <c r="F1" s="27"/>
      <c r="G1" s="27"/>
      <c r="H1" s="27"/>
    </row>
    <row r="3" spans="1:8" ht="13.8">
      <c r="A3" s="6" t="s">
        <v>2</v>
      </c>
      <c r="B3" s="6">
        <v>2022</v>
      </c>
      <c r="C3" s="6">
        <v>2025</v>
      </c>
      <c r="D3" s="6">
        <v>2030</v>
      </c>
      <c r="E3" s="6">
        <v>2035</v>
      </c>
      <c r="F3" s="6">
        <v>2040</v>
      </c>
      <c r="G3" s="6">
        <v>2045</v>
      </c>
      <c r="H3" s="6">
        <v>2050</v>
      </c>
    </row>
    <row r="4" spans="1:8" ht="13.8">
      <c r="A4" s="5" t="str">
        <f>Controller!J2</f>
        <v>hydrogen_allsect</v>
      </c>
      <c r="B4" s="3">
        <f>IFERROR(IF(INDEX(Data!$D$2:$D$701,MATCH(Controller!$B$2&amp;"|"&amp;$A4&amp;"|"&amp;B$3,Data!$E$2:$E$701,0))="","",INDEX(Data!$D$2:$D$701,MATCH(Controller!$B$2&amp;"|"&amp;$A4&amp;"|"&amp;B$3,Data!$E$2:$E$701,0))),"")</f>
        <v>0</v>
      </c>
      <c r="C4" s="3">
        <f>IFERROR(IF(INDEX(Data!$D$2:$D$701,MATCH(Controller!$B$2&amp;"|"&amp;$A4&amp;"|"&amp;C$3,Data!$E$2:$E$701,0))="","",INDEX(Data!$D$2:$D$701,MATCH(Controller!$B$2&amp;"|"&amp;$A4&amp;"|"&amp;C$3,Data!$E$2:$E$701,0))),"")</f>
        <v>0</v>
      </c>
      <c r="D4" s="3">
        <f>IFERROR(IF(INDEX(Data!$D$2:$D$701,MATCH(Controller!$B$2&amp;"|"&amp;$A4&amp;"|"&amp;D$3,Data!$E$2:$E$701,0))="","",INDEX(Data!$D$2:$D$701,MATCH(Controller!$B$2&amp;"|"&amp;$A4&amp;"|"&amp;D$3,Data!$E$2:$E$701,0))),"")</f>
        <v>0</v>
      </c>
      <c r="E4" s="3">
        <f>IFERROR(IF(INDEX(Data!$D$2:$D$701,MATCH(Controller!$B$2&amp;"|"&amp;$A4&amp;"|"&amp;E$3,Data!$E$2:$E$701,0))="","",INDEX(Data!$D$2:$D$701,MATCH(Controller!$B$2&amp;"|"&amp;$A4&amp;"|"&amp;E$3,Data!$E$2:$E$701,0))),"")</f>
        <v>0</v>
      </c>
      <c r="F4" s="3">
        <f>IFERROR(IF(INDEX(Data!$D$2:$D$701,MATCH(Controller!$B$2&amp;"|"&amp;$A4&amp;"|"&amp;F$3,Data!$E$2:$E$701,0))="","",INDEX(Data!$D$2:$D$701,MATCH(Controller!$B$2&amp;"|"&amp;$A4&amp;"|"&amp;F$3,Data!$E$2:$E$701,0))),"")</f>
        <v>0</v>
      </c>
      <c r="G4" s="3">
        <f>IFERROR(IF(INDEX(Data!$D$2:$D$701,MATCH(Controller!$B$2&amp;"|"&amp;$A4&amp;"|"&amp;G$3,Data!$E$2:$E$701,0))="","",INDEX(Data!$D$2:$D$701,MATCH(Controller!$B$2&amp;"|"&amp;$A4&amp;"|"&amp;G$3,Data!$E$2:$E$701,0))),"")</f>
        <v>0</v>
      </c>
      <c r="H4" s="3">
        <f>IFERROR(IF(INDEX(Data!$D$2:$D$701,MATCH(Controller!$B$2&amp;"|"&amp;$A4&amp;"|"&amp;H$3,Data!$E$2:$E$701,0))="","",INDEX(Data!$D$2:$D$701,MATCH(Controller!$B$2&amp;"|"&amp;$A4&amp;"|"&amp;H$3,Data!$E$2:$E$701,0))),"")</f>
        <v>0</v>
      </c>
    </row>
    <row r="5" spans="1:8" ht="13.8">
      <c r="A5" s="5" t="str">
        <f>Controller!J3</f>
        <v>elc_industry</v>
      </c>
      <c r="B5" s="3">
        <f>IFERROR(IF(INDEX(Data!$D$2:$D$701,MATCH(Controller!$B$2&amp;"|"&amp;$A5&amp;"|"&amp;B$3,Data!$E$2:$E$701,0))="","",INDEX(Data!$D$2:$D$701,MATCH(Controller!$B$2&amp;"|"&amp;$A5&amp;"|"&amp;B$3,Data!$E$2:$E$701,0))),"")</f>
        <v>65.478899999999996</v>
      </c>
      <c r="C5" s="3">
        <f>IFERROR(IF(INDEX(Data!$D$2:$D$701,MATCH(Controller!$B$2&amp;"|"&amp;$A5&amp;"|"&amp;C$3,Data!$E$2:$E$701,0))="","",INDEX(Data!$D$2:$D$701,MATCH(Controller!$B$2&amp;"|"&amp;$A5&amp;"|"&amp;C$3,Data!$E$2:$E$701,0))),"")</f>
        <v>68.752844999999994</v>
      </c>
      <c r="D5" s="3">
        <f>IFERROR(IF(INDEX(Data!$D$2:$D$701,MATCH(Controller!$B$2&amp;"|"&amp;$A5&amp;"|"&amp;D$3,Data!$E$2:$E$701,0))="","",INDEX(Data!$D$2:$D$701,MATCH(Controller!$B$2&amp;"|"&amp;$A5&amp;"|"&amp;D$3,Data!$E$2:$E$701,0))),"")</f>
        <v>72.19048724999999</v>
      </c>
      <c r="E5" s="3">
        <f>IFERROR(IF(INDEX(Data!$D$2:$D$701,MATCH(Controller!$B$2&amp;"|"&amp;$A5&amp;"|"&amp;E$3,Data!$E$2:$E$701,0))="","",INDEX(Data!$D$2:$D$701,MATCH(Controller!$B$2&amp;"|"&amp;$A5&amp;"|"&amp;E$3,Data!$E$2:$E$701,0))),"")</f>
        <v>75.800011612499986</v>
      </c>
      <c r="F5" s="3">
        <f>IFERROR(IF(INDEX(Data!$D$2:$D$701,MATCH(Controller!$B$2&amp;"|"&amp;$A5&amp;"|"&amp;F$3,Data!$E$2:$E$701,0))="","",INDEX(Data!$D$2:$D$701,MATCH(Controller!$B$2&amp;"|"&amp;$A5&amp;"|"&amp;F$3,Data!$E$2:$E$701,0))),"")</f>
        <v>79.590012193124991</v>
      </c>
      <c r="G5" s="3">
        <f>IFERROR(IF(INDEX(Data!$D$2:$D$701,MATCH(Controller!$B$2&amp;"|"&amp;$A5&amp;"|"&amp;G$3,Data!$E$2:$E$701,0))="","",INDEX(Data!$D$2:$D$701,MATCH(Controller!$B$2&amp;"|"&amp;$A5&amp;"|"&amp;G$3,Data!$E$2:$E$701,0))),"")</f>
        <v>83.569512802781247</v>
      </c>
      <c r="H5" s="3">
        <f>IFERROR(IF(INDEX(Data!$D$2:$D$701,MATCH(Controller!$B$2&amp;"|"&amp;$A5&amp;"|"&amp;H$3,Data!$E$2:$E$701,0))="","",INDEX(Data!$D$2:$D$701,MATCH(Controller!$B$2&amp;"|"&amp;$A5&amp;"|"&amp;H$3,Data!$E$2:$E$701,0))),"")</f>
        <v>87.747988442920303</v>
      </c>
    </row>
    <row r="6" spans="1:8" ht="13.8">
      <c r="A6" s="5" t="str">
        <f>Controller!J4</f>
        <v>elc_buildings</v>
      </c>
      <c r="B6" s="3">
        <f>IFERROR(IF(INDEX(Data!$D$2:$D$701,MATCH(Controller!$B$2&amp;"|"&amp;$A6&amp;"|"&amp;B$3,Data!$E$2:$E$701,0))="","",INDEX(Data!$D$2:$D$701,MATCH(Controller!$B$2&amp;"|"&amp;$A6&amp;"|"&amp;B$3,Data!$E$2:$E$701,0))),"")</f>
        <v>104.41229999999999</v>
      </c>
      <c r="C6" s="3">
        <f>IFERROR(IF(INDEX(Data!$D$2:$D$701,MATCH(Controller!$B$2&amp;"|"&amp;$A6&amp;"|"&amp;C$3,Data!$E$2:$E$701,0))="","",INDEX(Data!$D$2:$D$701,MATCH(Controller!$B$2&amp;"|"&amp;$A6&amp;"|"&amp;C$3,Data!$E$2:$E$701,0))),"")</f>
        <v>109.63291499999998</v>
      </c>
      <c r="D6" s="3">
        <f>IFERROR(IF(INDEX(Data!$D$2:$D$701,MATCH(Controller!$B$2&amp;"|"&amp;$A6&amp;"|"&amp;D$3,Data!$E$2:$E$701,0))="","",INDEX(Data!$D$2:$D$701,MATCH(Controller!$B$2&amp;"|"&amp;$A6&amp;"|"&amp;D$3,Data!$E$2:$E$701,0))),"")</f>
        <v>115.11456074999998</v>
      </c>
      <c r="E6" s="3">
        <f>IFERROR(IF(INDEX(Data!$D$2:$D$701,MATCH(Controller!$B$2&amp;"|"&amp;$A6&amp;"|"&amp;E$3,Data!$E$2:$E$701,0))="","",INDEX(Data!$D$2:$D$701,MATCH(Controller!$B$2&amp;"|"&amp;$A6&amp;"|"&amp;E$3,Data!$E$2:$E$701,0))),"")</f>
        <v>120.87028878749999</v>
      </c>
      <c r="F6" s="3">
        <f>IFERROR(IF(INDEX(Data!$D$2:$D$701,MATCH(Controller!$B$2&amp;"|"&amp;$A6&amp;"|"&amp;F$3,Data!$E$2:$E$701,0))="","",INDEX(Data!$D$2:$D$701,MATCH(Controller!$B$2&amp;"|"&amp;$A6&amp;"|"&amp;F$3,Data!$E$2:$E$701,0))),"")</f>
        <v>126.91380322687499</v>
      </c>
      <c r="G6" s="3">
        <f>IFERROR(IF(INDEX(Data!$D$2:$D$701,MATCH(Controller!$B$2&amp;"|"&amp;$A6&amp;"|"&amp;G$3,Data!$E$2:$E$701,0))="","",INDEX(Data!$D$2:$D$701,MATCH(Controller!$B$2&amp;"|"&amp;$A6&amp;"|"&amp;G$3,Data!$E$2:$E$701,0))),"")</f>
        <v>133.25949338821874</v>
      </c>
      <c r="H6" s="3">
        <f>IFERROR(IF(INDEX(Data!$D$2:$D$701,MATCH(Controller!$B$2&amp;"|"&amp;$A6&amp;"|"&amp;H$3,Data!$E$2:$E$701,0))="","",INDEX(Data!$D$2:$D$701,MATCH(Controller!$B$2&amp;"|"&amp;$A6&amp;"|"&amp;H$3,Data!$E$2:$E$701,0))),"")</f>
        <v>139.92246805762969</v>
      </c>
    </row>
    <row r="7" spans="1:8" ht="13.8">
      <c r="A7" s="5" t="str">
        <f>Controller!J5</f>
        <v>elc_transport</v>
      </c>
      <c r="B7" s="3">
        <f>IFERROR(IF(INDEX(Data!$D$2:$D$701,MATCH(Controller!$B$2&amp;"|"&amp;$A7&amp;"|"&amp;B$3,Data!$E$2:$E$701,0))="","",INDEX(Data!$D$2:$D$701,MATCH(Controller!$B$2&amp;"|"&amp;$A7&amp;"|"&amp;B$3,Data!$E$2:$E$701,0))),"")</f>
        <v>5.3090999999999999</v>
      </c>
      <c r="C7" s="3">
        <f>IFERROR(IF(INDEX(Data!$D$2:$D$701,MATCH(Controller!$B$2&amp;"|"&amp;$A7&amp;"|"&amp;C$3,Data!$E$2:$E$701,0))="","",INDEX(Data!$D$2:$D$701,MATCH(Controller!$B$2&amp;"|"&amp;$A7&amp;"|"&amp;C$3,Data!$E$2:$E$701,0))),"")</f>
        <v>5.5745550000000001</v>
      </c>
      <c r="D7" s="3">
        <f>IFERROR(IF(INDEX(Data!$D$2:$D$701,MATCH(Controller!$B$2&amp;"|"&amp;$A7&amp;"|"&amp;D$3,Data!$E$2:$E$701,0))="","",INDEX(Data!$D$2:$D$701,MATCH(Controller!$B$2&amp;"|"&amp;$A7&amp;"|"&amp;D$3,Data!$E$2:$E$701,0))),"")</f>
        <v>5.85328275</v>
      </c>
      <c r="E7" s="3">
        <f>IFERROR(IF(INDEX(Data!$D$2:$D$701,MATCH(Controller!$B$2&amp;"|"&amp;$A7&amp;"|"&amp;E$3,Data!$E$2:$E$701,0))="","",INDEX(Data!$D$2:$D$701,MATCH(Controller!$B$2&amp;"|"&amp;$A7&amp;"|"&amp;E$3,Data!$E$2:$E$701,0))),"")</f>
        <v>6.1459468875000001</v>
      </c>
      <c r="F7" s="3">
        <f>IFERROR(IF(INDEX(Data!$D$2:$D$701,MATCH(Controller!$B$2&amp;"|"&amp;$A7&amp;"|"&amp;F$3,Data!$E$2:$E$701,0))="","",INDEX(Data!$D$2:$D$701,MATCH(Controller!$B$2&amp;"|"&amp;$A7&amp;"|"&amp;F$3,Data!$E$2:$E$701,0))),"")</f>
        <v>6.4532442318749998</v>
      </c>
      <c r="G7" s="3">
        <f>IFERROR(IF(INDEX(Data!$D$2:$D$701,MATCH(Controller!$B$2&amp;"|"&amp;$A7&amp;"|"&amp;G$3,Data!$E$2:$E$701,0))="","",INDEX(Data!$D$2:$D$701,MATCH(Controller!$B$2&amp;"|"&amp;$A7&amp;"|"&amp;G$3,Data!$E$2:$E$701,0))),"")</f>
        <v>6.7759064434687497</v>
      </c>
      <c r="H7" s="3">
        <f>IFERROR(IF(INDEX(Data!$D$2:$D$701,MATCH(Controller!$B$2&amp;"|"&amp;$A7&amp;"|"&amp;H$3,Data!$E$2:$E$701,0))="","",INDEX(Data!$D$2:$D$701,MATCH(Controller!$B$2&amp;"|"&amp;$A7&amp;"|"&amp;H$3,Data!$E$2:$E$701,0))),"")</f>
        <v>7.1147017656421871</v>
      </c>
    </row>
    <row r="8" spans="1:8" ht="13.8">
      <c r="A8" s="5" t="str">
        <f>Controller!J6</f>
        <v>elc_roadtransport</v>
      </c>
      <c r="B8" s="3">
        <f>IFERROR(IF(INDEX(Data!$D$2:$D$701,MATCH(Controller!$B$2&amp;"|"&amp;$A8&amp;"|"&amp;B$3,Data!$E$2:$E$701,0))="","",INDEX(Data!$D$2:$D$701,MATCH(Controller!$B$2&amp;"|"&amp;$A8&amp;"|"&amp;B$3,Data!$E$2:$E$701,0))),"")</f>
        <v>1.7697000000000287</v>
      </c>
      <c r="C8" s="3">
        <f>IFERROR(IF(INDEX(Data!$D$2:$D$701,MATCH(Controller!$B$2&amp;"|"&amp;$A8&amp;"|"&amp;C$3,Data!$E$2:$E$701,0))="","",INDEX(Data!$D$2:$D$701,MATCH(Controller!$B$2&amp;"|"&amp;$A8&amp;"|"&amp;C$3,Data!$E$2:$E$701,0))),"")</f>
        <v>1.8581850000000302</v>
      </c>
      <c r="D8" s="3">
        <f>IFERROR(IF(INDEX(Data!$D$2:$D$701,MATCH(Controller!$B$2&amp;"|"&amp;$A8&amp;"|"&amp;D$3,Data!$E$2:$E$701,0))="","",INDEX(Data!$D$2:$D$701,MATCH(Controller!$B$2&amp;"|"&amp;$A8&amp;"|"&amp;D$3,Data!$E$2:$E$701,0))),"")</f>
        <v>1.9510942500000317</v>
      </c>
      <c r="E8" s="3">
        <f>IFERROR(IF(INDEX(Data!$D$2:$D$701,MATCH(Controller!$B$2&amp;"|"&amp;$A8&amp;"|"&amp;E$3,Data!$E$2:$E$701,0))="","",INDEX(Data!$D$2:$D$701,MATCH(Controller!$B$2&amp;"|"&amp;$A8&amp;"|"&amp;E$3,Data!$E$2:$E$701,0))),"")</f>
        <v>2.0486489625000335</v>
      </c>
      <c r="F8" s="3">
        <f>IFERROR(IF(INDEX(Data!$D$2:$D$701,MATCH(Controller!$B$2&amp;"|"&amp;$A8&amp;"|"&amp;F$3,Data!$E$2:$E$701,0))="","",INDEX(Data!$D$2:$D$701,MATCH(Controller!$B$2&amp;"|"&amp;$A8&amp;"|"&amp;F$3,Data!$E$2:$E$701,0))),"")</f>
        <v>2.1510814106250353</v>
      </c>
      <c r="G8" s="3">
        <f>IFERROR(IF(INDEX(Data!$D$2:$D$701,MATCH(Controller!$B$2&amp;"|"&amp;$A8&amp;"|"&amp;G$3,Data!$E$2:$E$701,0))="","",INDEX(Data!$D$2:$D$701,MATCH(Controller!$B$2&amp;"|"&amp;$A8&amp;"|"&amp;G$3,Data!$E$2:$E$701,0))),"")</f>
        <v>2.2586354811562872</v>
      </c>
      <c r="H8" s="3">
        <f>IFERROR(IF(INDEX(Data!$D$2:$D$701,MATCH(Controller!$B$2&amp;"|"&amp;$A8&amp;"|"&amp;H$3,Data!$E$2:$E$701,0))="","",INDEX(Data!$D$2:$D$701,MATCH(Controller!$B$2&amp;"|"&amp;$A8&amp;"|"&amp;H$3,Data!$E$2:$E$701,0))),"")</f>
        <v>2.3715672552141016</v>
      </c>
    </row>
    <row r="9" spans="1:8" ht="13.8">
      <c r="A9" s="5" t="str">
        <f>Controller!J7</f>
        <v>het_industry</v>
      </c>
      <c r="B9" s="3">
        <f>IFERROR(IF(INDEX(Data!$D$2:$D$701,MATCH(Controller!$B$2&amp;"|"&amp;$A9&amp;"|"&amp;B$3,Data!$E$2:$E$701,0))="","",INDEX(Data!$D$2:$D$701,MATCH(Controller!$B$2&amp;"|"&amp;$A9&amp;"|"&amp;B$3,Data!$E$2:$E$701,0))),"")</f>
        <v>9.7690000000000001</v>
      </c>
      <c r="C9" s="3">
        <f>IFERROR(IF(INDEX(Data!$D$2:$D$701,MATCH(Controller!$B$2&amp;"|"&amp;$A9&amp;"|"&amp;C$3,Data!$E$2:$E$701,0))="","",INDEX(Data!$D$2:$D$701,MATCH(Controller!$B$2&amp;"|"&amp;$A9&amp;"|"&amp;C$3,Data!$E$2:$E$701,0))),"")</f>
        <v>10.25745</v>
      </c>
      <c r="D9" s="3">
        <f>IFERROR(IF(INDEX(Data!$D$2:$D$701,MATCH(Controller!$B$2&amp;"|"&amp;$A9&amp;"|"&amp;D$3,Data!$E$2:$E$701,0))="","",INDEX(Data!$D$2:$D$701,MATCH(Controller!$B$2&amp;"|"&amp;$A9&amp;"|"&amp;D$3,Data!$E$2:$E$701,0))),"")</f>
        <v>10.770322500000001</v>
      </c>
      <c r="E9" s="3">
        <f>IFERROR(IF(INDEX(Data!$D$2:$D$701,MATCH(Controller!$B$2&amp;"|"&amp;$A9&amp;"|"&amp;E$3,Data!$E$2:$E$701,0))="","",INDEX(Data!$D$2:$D$701,MATCH(Controller!$B$2&amp;"|"&amp;$A9&amp;"|"&amp;E$3,Data!$E$2:$E$701,0))),"")</f>
        <v>11.308838625</v>
      </c>
      <c r="F9" s="3">
        <f>IFERROR(IF(INDEX(Data!$D$2:$D$701,MATCH(Controller!$B$2&amp;"|"&amp;$A9&amp;"|"&amp;F$3,Data!$E$2:$E$701,0))="","",INDEX(Data!$D$2:$D$701,MATCH(Controller!$B$2&amp;"|"&amp;$A9&amp;"|"&amp;F$3,Data!$E$2:$E$701,0))),"")</f>
        <v>11.87428055625</v>
      </c>
      <c r="G9" s="3">
        <f>IFERROR(IF(INDEX(Data!$D$2:$D$701,MATCH(Controller!$B$2&amp;"|"&amp;$A9&amp;"|"&amp;G$3,Data!$E$2:$E$701,0))="","",INDEX(Data!$D$2:$D$701,MATCH(Controller!$B$2&amp;"|"&amp;$A9&amp;"|"&amp;G$3,Data!$E$2:$E$701,0))),"")</f>
        <v>12.467994584062499</v>
      </c>
      <c r="H9" s="3">
        <f>IFERROR(IF(INDEX(Data!$D$2:$D$701,MATCH(Controller!$B$2&amp;"|"&amp;$A9&amp;"|"&amp;H$3,Data!$E$2:$E$701,0))="","",INDEX(Data!$D$2:$D$701,MATCH(Controller!$B$2&amp;"|"&amp;$A9&amp;"|"&amp;H$3,Data!$E$2:$E$701,0))),"")</f>
        <v>13.091394313265624</v>
      </c>
    </row>
    <row r="10" spans="1:8" ht="13.8">
      <c r="A10" s="5" t="str">
        <f>Controller!J8</f>
        <v>het_buildings</v>
      </c>
      <c r="B10" s="3">
        <f>IFERROR(IF(INDEX(Data!$D$2:$D$701,MATCH(Controller!$B$2&amp;"|"&amp;$A10&amp;"|"&amp;B$3,Data!$E$2:$E$701,0))="","",INDEX(Data!$D$2:$D$701,MATCH(Controller!$B$2&amp;"|"&amp;$A10&amp;"|"&amp;B$3,Data!$E$2:$E$701,0))),"")</f>
        <v>55.512999999999998</v>
      </c>
      <c r="C10" s="3">
        <f>IFERROR(IF(INDEX(Data!$D$2:$D$701,MATCH(Controller!$B$2&amp;"|"&amp;$A10&amp;"|"&amp;C$3,Data!$E$2:$E$701,0))="","",INDEX(Data!$D$2:$D$701,MATCH(Controller!$B$2&amp;"|"&amp;$A10&amp;"|"&amp;C$3,Data!$E$2:$E$701,0))),"")</f>
        <v>55.512999999999998</v>
      </c>
      <c r="D10" s="3">
        <f>IFERROR(IF(INDEX(Data!$D$2:$D$701,MATCH(Controller!$B$2&amp;"|"&amp;$A10&amp;"|"&amp;D$3,Data!$E$2:$E$701,0))="","",INDEX(Data!$D$2:$D$701,MATCH(Controller!$B$2&amp;"|"&amp;$A10&amp;"|"&amp;D$3,Data!$E$2:$E$701,0))),"")</f>
        <v>55.512999999999998</v>
      </c>
      <c r="E10" s="3">
        <f>IFERROR(IF(INDEX(Data!$D$2:$D$701,MATCH(Controller!$B$2&amp;"|"&amp;$A10&amp;"|"&amp;E$3,Data!$E$2:$E$701,0))="","",INDEX(Data!$D$2:$D$701,MATCH(Controller!$B$2&amp;"|"&amp;$A10&amp;"|"&amp;E$3,Data!$E$2:$E$701,0))),"")</f>
        <v>55.512999999999998</v>
      </c>
      <c r="F10" s="3">
        <f>IFERROR(IF(INDEX(Data!$D$2:$D$701,MATCH(Controller!$B$2&amp;"|"&amp;$A10&amp;"|"&amp;F$3,Data!$E$2:$E$701,0))="","",INDEX(Data!$D$2:$D$701,MATCH(Controller!$B$2&amp;"|"&amp;$A10&amp;"|"&amp;F$3,Data!$E$2:$E$701,0))),"")</f>
        <v>55.512999999999998</v>
      </c>
      <c r="G10" s="3">
        <f>IFERROR(IF(INDEX(Data!$D$2:$D$701,MATCH(Controller!$B$2&amp;"|"&amp;$A10&amp;"|"&amp;G$3,Data!$E$2:$E$701,0))="","",INDEX(Data!$D$2:$D$701,MATCH(Controller!$B$2&amp;"|"&amp;$A10&amp;"|"&amp;G$3,Data!$E$2:$E$701,0))),"")</f>
        <v>55.512999999999998</v>
      </c>
      <c r="H10" s="3">
        <f>IFERROR(IF(INDEX(Data!$D$2:$D$701,MATCH(Controller!$B$2&amp;"|"&amp;$A10&amp;"|"&amp;H$3,Data!$E$2:$E$701,0))="","",INDEX(Data!$D$2:$D$701,MATCH(Controller!$B$2&amp;"|"&amp;$A10&amp;"|"&amp;H$3,Data!$E$2:$E$701,0))),"")</f>
        <v>55.512999999999998</v>
      </c>
    </row>
    <row r="11" spans="1:8" ht="13.8">
      <c r="A11" s="5" t="str">
        <f>Controller!J9</f>
        <v>co2net</v>
      </c>
      <c r="B11" s="3">
        <f>IFERROR(IF(INDEX(Data!$D$2:$D$701,MATCH(Controller!$B$2&amp;"|"&amp;$A11&amp;"|"&amp;B$3,Data!$E$2:$E$701,0))="","",INDEX(Data!$D$2:$D$701,MATCH(Controller!$B$2&amp;"|"&amp;$A11&amp;"|"&amp;B$3,Data!$E$2:$E$701,0))),"")</f>
        <v>0</v>
      </c>
      <c r="C11" s="3">
        <f>IFERROR(IF(INDEX(Data!$D$2:$D$701,MATCH(Controller!$B$2&amp;"|"&amp;$A11&amp;"|"&amp;C$3,Data!$E$2:$E$701,0))="","",INDEX(Data!$D$2:$D$701,MATCH(Controller!$B$2&amp;"|"&amp;$A11&amp;"|"&amp;C$3,Data!$E$2:$E$701,0))),"")</f>
        <v>16.071428571427532</v>
      </c>
      <c r="D11" s="3">
        <f>IFERROR(IF(INDEX(Data!$D$2:$D$701,MATCH(Controller!$B$2&amp;"|"&amp;$A11&amp;"|"&amp;D$3,Data!$E$2:$E$701,0))="","",INDEX(Data!$D$2:$D$701,MATCH(Controller!$B$2&amp;"|"&amp;$A11&amp;"|"&amp;D$3,Data!$E$2:$E$701,0))),"")</f>
        <v>42.857142857143117</v>
      </c>
      <c r="E11" s="3">
        <f>IFERROR(IF(INDEX(Data!$D$2:$D$701,MATCH(Controller!$B$2&amp;"|"&amp;$A11&amp;"|"&amp;E$3,Data!$E$2:$E$701,0))="","",INDEX(Data!$D$2:$D$701,MATCH(Controller!$B$2&amp;"|"&amp;$A11&amp;"|"&amp;E$3,Data!$E$2:$E$701,0))),"")</f>
        <v>69.642857142856883</v>
      </c>
      <c r="F11" s="3">
        <f>IFERROR(IF(INDEX(Data!$D$2:$D$701,MATCH(Controller!$B$2&amp;"|"&amp;$A11&amp;"|"&amp;F$3,Data!$E$2:$E$701,0))="","",INDEX(Data!$D$2:$D$701,MATCH(Controller!$B$2&amp;"|"&amp;$A11&amp;"|"&amp;F$3,Data!$E$2:$E$701,0))),"")</f>
        <v>96.428571428570649</v>
      </c>
      <c r="G11" s="3">
        <f>IFERROR(IF(INDEX(Data!$D$2:$D$701,MATCH(Controller!$B$2&amp;"|"&amp;$A11&amp;"|"&amp;G$3,Data!$E$2:$E$701,0))="","",INDEX(Data!$D$2:$D$701,MATCH(Controller!$B$2&amp;"|"&amp;$A11&amp;"|"&amp;G$3,Data!$E$2:$E$701,0))),"")</f>
        <v>123.21428571428442</v>
      </c>
      <c r="H11" s="3">
        <f>IFERROR(IF(INDEX(Data!$D$2:$D$701,MATCH(Controller!$B$2&amp;"|"&amp;$A11&amp;"|"&amp;H$3,Data!$E$2:$E$701,0))="","",INDEX(Data!$D$2:$D$701,MATCH(Controller!$B$2&amp;"|"&amp;$A11&amp;"|"&amp;H$3,Data!$E$2:$E$701,0))),"")</f>
        <v>150</v>
      </c>
    </row>
    <row r="12" spans="1:8" ht="13.8">
      <c r="A12" s="5" t="str">
        <f>Controller!J10</f>
        <v>Variable 9</v>
      </c>
      <c r="B12" s="3" t="str">
        <f>IFERROR(IF(INDEX(Data!$D$2:$D$701,MATCH(Controller!$B$2&amp;"|"&amp;$A12&amp;"|"&amp;B$3,Data!$E$2:$E$701,0))="","",INDEX(Data!$D$2:$D$701,MATCH(Controller!$B$2&amp;"|"&amp;$A12&amp;"|"&amp;B$3,Data!$E$2:$E$701,0))),"")</f>
        <v/>
      </c>
      <c r="C12" s="3" t="str">
        <f>IFERROR(IF(INDEX(Data!$D$2:$D$701,MATCH(Controller!$B$2&amp;"|"&amp;$A12&amp;"|"&amp;C$3,Data!$E$2:$E$701,0))="","",INDEX(Data!$D$2:$D$701,MATCH(Controller!$B$2&amp;"|"&amp;$A12&amp;"|"&amp;C$3,Data!$E$2:$E$701,0))),"")</f>
        <v/>
      </c>
      <c r="D12" s="3" t="str">
        <f>IFERROR(IF(INDEX(Data!$D$2:$D$701,MATCH(Controller!$B$2&amp;"|"&amp;$A12&amp;"|"&amp;D$3,Data!$E$2:$E$701,0))="","",INDEX(Data!$D$2:$D$701,MATCH(Controller!$B$2&amp;"|"&amp;$A12&amp;"|"&amp;D$3,Data!$E$2:$E$701,0))),"")</f>
        <v/>
      </c>
      <c r="E12" s="3" t="str">
        <f>IFERROR(IF(INDEX(Data!$D$2:$D$701,MATCH(Controller!$B$2&amp;"|"&amp;$A12&amp;"|"&amp;E$3,Data!$E$2:$E$701,0))="","",INDEX(Data!$D$2:$D$701,MATCH(Controller!$B$2&amp;"|"&amp;$A12&amp;"|"&amp;E$3,Data!$E$2:$E$701,0))),"")</f>
        <v/>
      </c>
      <c r="F12" s="3" t="str">
        <f>IFERROR(IF(INDEX(Data!$D$2:$D$701,MATCH(Controller!$B$2&amp;"|"&amp;$A12&amp;"|"&amp;F$3,Data!$E$2:$E$701,0))="","",INDEX(Data!$D$2:$D$701,MATCH(Controller!$B$2&amp;"|"&amp;$A12&amp;"|"&amp;F$3,Data!$E$2:$E$701,0))),"")</f>
        <v/>
      </c>
      <c r="G12" s="3" t="str">
        <f>IFERROR(IF(INDEX(Data!$D$2:$D$701,MATCH(Controller!$B$2&amp;"|"&amp;$A12&amp;"|"&amp;G$3,Data!$E$2:$E$701,0))="","",INDEX(Data!$D$2:$D$701,MATCH(Controller!$B$2&amp;"|"&amp;$A12&amp;"|"&amp;G$3,Data!$E$2:$E$701,0))),"")</f>
        <v/>
      </c>
      <c r="H12" s="3" t="str">
        <f>IFERROR(IF(INDEX(Data!$D$2:$D$701,MATCH(Controller!$B$2&amp;"|"&amp;$A12&amp;"|"&amp;H$3,Data!$E$2:$E$701,0))="","",INDEX(Data!$D$2:$D$701,MATCH(Controller!$B$2&amp;"|"&amp;$A12&amp;"|"&amp;H$3,Data!$E$2:$E$701,0))),"")</f>
        <v/>
      </c>
    </row>
    <row r="13" spans="1:8" ht="13.8">
      <c r="A13" s="5" t="str">
        <f>Controller!J11</f>
        <v>Variable 10</v>
      </c>
      <c r="B13" s="3" t="str">
        <f>IFERROR(IF(INDEX(Data!$D$2:$D$701,MATCH(Controller!$B$2&amp;"|"&amp;$A13&amp;"|"&amp;B$3,Data!$E$2:$E$701,0))="","",INDEX(Data!$D$2:$D$701,MATCH(Controller!$B$2&amp;"|"&amp;$A13&amp;"|"&amp;B$3,Data!$E$2:$E$701,0))),"")</f>
        <v/>
      </c>
      <c r="C13" s="3" t="str">
        <f>IFERROR(IF(INDEX(Data!$D$2:$D$701,MATCH(Controller!$B$2&amp;"|"&amp;$A13&amp;"|"&amp;C$3,Data!$E$2:$E$701,0))="","",INDEX(Data!$D$2:$D$701,MATCH(Controller!$B$2&amp;"|"&amp;$A13&amp;"|"&amp;C$3,Data!$E$2:$E$701,0))),"")</f>
        <v/>
      </c>
      <c r="D13" s="3" t="str">
        <f>IFERROR(IF(INDEX(Data!$D$2:$D$701,MATCH(Controller!$B$2&amp;"|"&amp;$A13&amp;"|"&amp;D$3,Data!$E$2:$E$701,0))="","",INDEX(Data!$D$2:$D$701,MATCH(Controller!$B$2&amp;"|"&amp;$A13&amp;"|"&amp;D$3,Data!$E$2:$E$701,0))),"")</f>
        <v/>
      </c>
      <c r="E13" s="3" t="str">
        <f>IFERROR(IF(INDEX(Data!$D$2:$D$701,MATCH(Controller!$B$2&amp;"|"&amp;$A13&amp;"|"&amp;E$3,Data!$E$2:$E$701,0))="","",INDEX(Data!$D$2:$D$701,MATCH(Controller!$B$2&amp;"|"&amp;$A13&amp;"|"&amp;E$3,Data!$E$2:$E$701,0))),"")</f>
        <v/>
      </c>
      <c r="F13" s="3" t="str">
        <f>IFERROR(IF(INDEX(Data!$D$2:$D$701,MATCH(Controller!$B$2&amp;"|"&amp;$A13&amp;"|"&amp;F$3,Data!$E$2:$E$701,0))="","",INDEX(Data!$D$2:$D$701,MATCH(Controller!$B$2&amp;"|"&amp;$A13&amp;"|"&amp;F$3,Data!$E$2:$E$701,0))),"")</f>
        <v/>
      </c>
      <c r="G13" s="3" t="str">
        <f>IFERROR(IF(INDEX(Data!$D$2:$D$701,MATCH(Controller!$B$2&amp;"|"&amp;$A13&amp;"|"&amp;G$3,Data!$E$2:$E$701,0))="","",INDEX(Data!$D$2:$D$701,MATCH(Controller!$B$2&amp;"|"&amp;$A13&amp;"|"&amp;G$3,Data!$E$2:$E$701,0))),"")</f>
        <v/>
      </c>
      <c r="H13" s="3" t="str">
        <f>IFERROR(IF(INDEX(Data!$D$2:$D$701,MATCH(Controller!$B$2&amp;"|"&amp;$A13&amp;"|"&amp;H$3,Data!$E$2:$E$701,0))="","",INDEX(Data!$D$2:$D$701,MATCH(Controller!$B$2&amp;"|"&amp;$A13&amp;"|"&amp;H$3,Data!$E$2:$E$701,0))),"")</f>
        <v/>
      </c>
    </row>
    <row r="15" spans="1:8" ht="13.8">
      <c r="A15" s="28" t="s">
        <v>31</v>
      </c>
      <c r="B15" s="28"/>
      <c r="C15" s="28"/>
      <c r="D15" s="28"/>
      <c r="E15" s="28"/>
      <c r="F15" s="28"/>
      <c r="G15" s="28"/>
      <c r="H15" s="28"/>
    </row>
    <row r="16" spans="1:8" ht="13.8">
      <c r="A16" s="28"/>
      <c r="B16" s="28"/>
      <c r="C16" s="28"/>
      <c r="D16" s="28"/>
      <c r="E16" s="28"/>
      <c r="F16" s="28"/>
      <c r="G16" s="28"/>
      <c r="H16" s="28"/>
    </row>
  </sheetData>
  <mergeCells count="2">
    <mergeCell ref="A15:H16"/>
    <mergeCell ref="A1:H1"/>
  </mergeCells>
  <conditionalFormatting sqref="B4:H13">
    <cfRule type="expression" priority="3" dxfId="0">
      <formula>B4&lt;&gt;""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2FC6D9-F68E-4727-870C-425A166F6782}">
  <dimension ref="A1:I51"/>
  <sheetViews>
    <sheetView zoomScale="85" zoomScaleNormal="85" workbookViewId="0" topLeftCell="A1">
      <selection pane="topLeft" activeCell="E10" sqref="E10"/>
    </sheetView>
  </sheetViews>
  <sheetFormatPr defaultRowHeight="14.4"/>
  <cols>
    <col min="1" max="1" width="8.75" style="23"/>
    <col min="2" max="2" width="27" style="23" bestFit="1" customWidth="1"/>
    <col min="3" max="16384" width="8.75" style="23"/>
  </cols>
  <sheetData>
    <row r="1" spans="1:9" ht="14.4">
      <c r="A1" s="23"/>
      <c r="B1" s="23"/>
      <c r="C1" s="23"/>
      <c r="D1" s="23"/>
      <c r="E1" s="23"/>
      <c r="F1" s="23"/>
      <c r="G1" s="23"/>
      <c r="H1" s="23"/>
      <c r="I1" s="23"/>
    </row>
    <row r="2" spans="1:9" ht="18" thickBot="1">
      <c r="A2" s="23"/>
      <c r="B2" s="33" t="str">
        <f>[1]Veda!N26</f>
        <v>~TFM_INS-TS: region=POL</v>
      </c>
      <c r="C2" s="23"/>
      <c r="D2" s="23"/>
      <c r="E2" s="23"/>
      <c r="F2" s="23"/>
      <c r="G2" s="23"/>
      <c r="H2" s="23"/>
      <c r="I2" s="23"/>
    </row>
    <row r="3" spans="1:9" ht="15.6" thickTop="1" thickBot="1">
      <c r="A3" s="23"/>
      <c r="B3" s="34" t="s">
        <v>38</v>
      </c>
      <c r="C3" s="34">
        <v>2025</v>
      </c>
      <c r="D3" s="34">
        <v>2030</v>
      </c>
      <c r="E3" s="34">
        <v>2035</v>
      </c>
      <c r="F3" s="34">
        <v>2040</v>
      </c>
      <c r="G3" s="34">
        <v>2045</v>
      </c>
      <c r="H3" s="34">
        <v>2050</v>
      </c>
      <c r="I3" s="34" t="s">
        <v>33</v>
      </c>
    </row>
    <row r="4" spans="1:9" ht="14.4">
      <c r="A4" s="23"/>
      <c r="B4" s="23" t="s">
        <v>45</v>
      </c>
      <c r="C4" s="23">
        <v>319.327</v>
      </c>
      <c r="D4" s="25">
        <f>C4*1.05</f>
        <v>335.29335000000003</v>
      </c>
      <c r="E4" s="25">
        <f>D4*1.05</f>
        <v>352.05801750000006</v>
      </c>
      <c r="F4" s="25">
        <f>E4*1.05</f>
        <v>369.66091837500011</v>
      </c>
      <c r="G4" s="25">
        <f>F4*1.05</f>
        <v>388.14396429375012</v>
      </c>
      <c r="H4" s="25">
        <f>G4*1.05</f>
        <v>407.55116250843764</v>
      </c>
      <c r="I4" s="23" t="s">
        <v>92</v>
      </c>
    </row>
    <row r="5" spans="1:9" ht="14.4">
      <c r="A5" s="23"/>
      <c r="B5" s="23" t="s">
        <v>91</v>
      </c>
      <c r="C5" s="23">
        <v>882.43899999999996</v>
      </c>
      <c r="D5" s="25">
        <f>C5*1.05</f>
        <v>926.56095000000005</v>
      </c>
      <c r="E5" s="25">
        <f>D5*1.05</f>
        <v>972.88899750000007</v>
      </c>
      <c r="F5" s="25">
        <f>E5*1.05</f>
        <v>1021.5334473750002</v>
      </c>
      <c r="G5" s="25">
        <f>F5*1.05</f>
        <v>1072.6101197437501</v>
      </c>
      <c r="H5" s="25">
        <f>G5*1.05</f>
        <v>1126.2406257309376</v>
      </c>
      <c r="I5" s="23" t="s">
        <v>92</v>
      </c>
    </row>
    <row r="6" spans="1:9" ht="14.4">
      <c r="A6" s="23"/>
      <c r="B6" s="23" t="s">
        <v>90</v>
      </c>
      <c r="C6" s="23">
        <v>1552.307</v>
      </c>
      <c r="D6" s="25">
        <f>C6*1.05</f>
        <v>1629.9223500000001</v>
      </c>
      <c r="E6" s="25">
        <f>D6*1.05</f>
        <v>1711.4184675000001</v>
      </c>
      <c r="F6" s="25">
        <f>E6*1.05</f>
        <v>1796.9893908750003</v>
      </c>
      <c r="G6" s="25">
        <f>F6*1.05</f>
        <v>1886.8388604187503</v>
      </c>
      <c r="H6" s="25">
        <f>G6*1.05</f>
        <v>1981.1808034396879</v>
      </c>
      <c r="I6" s="23" t="s">
        <v>92</v>
      </c>
    </row>
    <row r="7" spans="1:9" ht="14.4">
      <c r="A7" s="23"/>
      <c r="B7" s="23" t="s">
        <v>89</v>
      </c>
      <c r="C7" s="23">
        <v>861.25900000000001</v>
      </c>
      <c r="D7" s="25">
        <f>C7*1.05</f>
        <v>904.32195000000002</v>
      </c>
      <c r="E7" s="25">
        <f>D7*1.05</f>
        <v>949.53804750000006</v>
      </c>
      <c r="F7" s="25">
        <f>E7*1.05</f>
        <v>997.01494987500007</v>
      </c>
      <c r="G7" s="25">
        <f>F7*1.05</f>
        <v>1046.86569736875</v>
      </c>
      <c r="H7" s="25">
        <f>G7*1.05</f>
        <v>1099.2089822371877</v>
      </c>
      <c r="I7" s="23" t="s">
        <v>92</v>
      </c>
    </row>
    <row r="8" spans="1:9" ht="14.4">
      <c r="A8" s="23"/>
      <c r="B8" s="23" t="s">
        <v>88</v>
      </c>
      <c r="C8" s="23">
        <v>1600.077</v>
      </c>
      <c r="D8" s="25">
        <f>C8*1.05</f>
        <v>1680.0808500000001</v>
      </c>
      <c r="E8" s="25">
        <f>D8*1.05</f>
        <v>1764.0848925</v>
      </c>
      <c r="F8" s="25">
        <f>E8*1.05</f>
        <v>1852.289137125</v>
      </c>
      <c r="G8" s="25">
        <f>F8*1.05</f>
        <v>1944.9035939812502</v>
      </c>
      <c r="H8" s="25">
        <f>G8*1.05</f>
        <v>2042.1487736803128</v>
      </c>
      <c r="I8" s="23" t="s">
        <v>92</v>
      </c>
    </row>
    <row r="9" spans="1:9" ht="14.4">
      <c r="A9" s="23"/>
      <c r="B9" s="23" t="s">
        <v>87</v>
      </c>
      <c r="C9" s="23">
        <v>304.55599999999998</v>
      </c>
      <c r="D9" s="25">
        <f>C9*1.05</f>
        <v>319.78379999999999</v>
      </c>
      <c r="E9" s="25">
        <f>D9*1.05</f>
        <v>335.77298999999999</v>
      </c>
      <c r="F9" s="25">
        <f>E9*1.05</f>
        <v>352.56163950000001</v>
      </c>
      <c r="G9" s="25">
        <f>F9*1.05</f>
        <v>370.18972147500006</v>
      </c>
      <c r="H9" s="25">
        <f>G9*1.05</f>
        <v>388.69920754875005</v>
      </c>
      <c r="I9" s="23" t="s">
        <v>92</v>
      </c>
    </row>
    <row r="10" spans="1:9" ht="14.4">
      <c r="A10" s="23"/>
      <c r="B10" s="23" t="s">
        <v>86</v>
      </c>
      <c r="C10" s="23">
        <v>1623.857</v>
      </c>
      <c r="D10" s="25">
        <f>C10*1.05</f>
        <v>1705.0498500000001</v>
      </c>
      <c r="E10" s="25">
        <f>D10*1.05</f>
        <v>1790.3023425000001</v>
      </c>
      <c r="F10" s="25">
        <f>E10*1.05</f>
        <v>1879.8174596250003</v>
      </c>
      <c r="G10" s="25">
        <f>F10*1.05</f>
        <v>1973.8083326062504</v>
      </c>
      <c r="H10" s="25">
        <f>G10*1.05</f>
        <v>2072.4987492365631</v>
      </c>
      <c r="I10" s="23" t="s">
        <v>92</v>
      </c>
    </row>
    <row r="11" spans="1:9" ht="14.4">
      <c r="A11" s="23"/>
      <c r="B11" s="23" t="s">
        <v>85</v>
      </c>
      <c r="C11" s="23">
        <v>3132.1019999999999</v>
      </c>
      <c r="D11" s="25">
        <f>C11*1.05</f>
        <v>3288.7071000000001</v>
      </c>
      <c r="E11" s="25">
        <f>D11*1.05</f>
        <v>3453.1424550000002</v>
      </c>
      <c r="F11" s="25">
        <f>E11*1.05</f>
        <v>3625.7995777500005</v>
      </c>
      <c r="G11" s="25">
        <f>F11*1.05</f>
        <v>3807.0895566375007</v>
      </c>
      <c r="H11" s="25">
        <f>G11*1.05</f>
        <v>3997.4440344693758</v>
      </c>
      <c r="I11" s="23" t="s">
        <v>92</v>
      </c>
    </row>
    <row r="12" spans="1:9" ht="14.4">
      <c r="A12" s="23"/>
      <c r="B12" s="23" t="s">
        <v>84</v>
      </c>
      <c r="C12" s="23">
        <v>131.52799999999999</v>
      </c>
      <c r="D12" s="25">
        <f>C12*1.05</f>
        <v>138.1044</v>
      </c>
      <c r="E12" s="25">
        <f>D12*1.05</f>
        <v>145.00962000000001</v>
      </c>
      <c r="F12" s="25">
        <f>E12*1.05</f>
        <v>152.26010100000002</v>
      </c>
      <c r="G12" s="25">
        <f>F12*1.05</f>
        <v>159.87310605000002</v>
      </c>
      <c r="H12" s="25">
        <f>G12*1.05</f>
        <v>167.86676135250002</v>
      </c>
      <c r="I12" s="23" t="s">
        <v>92</v>
      </c>
    </row>
    <row r="13" spans="1:9" ht="14.4">
      <c r="A13" s="23"/>
      <c r="B13" s="23" t="s">
        <v>83</v>
      </c>
      <c r="C13" s="23">
        <v>493.09899999999999</v>
      </c>
      <c r="D13" s="25">
        <f>C13*1.05</f>
        <v>517.75395000000003</v>
      </c>
      <c r="E13" s="25">
        <f>D13*1.05</f>
        <v>543.64164750000009</v>
      </c>
      <c r="F13" s="25">
        <f>E13*1.05</f>
        <v>570.82372987500014</v>
      </c>
      <c r="G13" s="25">
        <f>F13*1.05</f>
        <v>599.36491636875019</v>
      </c>
      <c r="H13" s="25">
        <f>G13*1.05</f>
        <v>629.33316218718767</v>
      </c>
      <c r="I13" s="23" t="s">
        <v>92</v>
      </c>
    </row>
    <row r="14" spans="1:9" ht="14.4">
      <c r="A14" s="23"/>
      <c r="B14" s="23" t="s">
        <v>82</v>
      </c>
      <c r="C14" s="23">
        <v>974.39300000000003</v>
      </c>
      <c r="D14" s="25">
        <f>C14*1.05</f>
        <v>1023.11265</v>
      </c>
      <c r="E14" s="25">
        <f>D14*1.05</f>
        <v>1074.2682825000002</v>
      </c>
      <c r="F14" s="25">
        <f>E14*1.05</f>
        <v>1127.9816966250003</v>
      </c>
      <c r="G14" s="25">
        <f>F14*1.05</f>
        <v>1184.3807814562504</v>
      </c>
      <c r="H14" s="25">
        <f>G14*1.05</f>
        <v>1243.599820529063</v>
      </c>
      <c r="I14" s="23" t="s">
        <v>92</v>
      </c>
    </row>
    <row r="15" spans="1:9" ht="14.4">
      <c r="A15" s="23"/>
      <c r="B15" s="23" t="s">
        <v>81</v>
      </c>
      <c r="C15" s="23">
        <v>831.85599999999999</v>
      </c>
      <c r="D15" s="25">
        <f>C15*1.05</f>
        <v>873.44880000000001</v>
      </c>
      <c r="E15" s="25">
        <f>D15*1.05</f>
        <v>917.12124000000006</v>
      </c>
      <c r="F15" s="25">
        <f>E15*1.05</f>
        <v>962.97730200000012</v>
      </c>
      <c r="G15" s="25">
        <f>F15*1.05</f>
        <v>1011.1261671000002</v>
      </c>
      <c r="H15" s="25">
        <f>G15*1.05</f>
        <v>1061.6824754550003</v>
      </c>
      <c r="I15" s="23" t="s">
        <v>92</v>
      </c>
    </row>
    <row r="16" spans="1:9" ht="14.4">
      <c r="A16" s="23"/>
      <c r="B16" s="23" t="s">
        <v>80</v>
      </c>
      <c r="C16" s="23">
        <v>1126.671</v>
      </c>
      <c r="D16" s="25">
        <f>C16*1.05</f>
        <v>1183.0045500000001</v>
      </c>
      <c r="E16" s="25">
        <f>D16*1.05</f>
        <v>1242.1547775000001</v>
      </c>
      <c r="F16" s="25">
        <f>E16*1.05</f>
        <v>1304.2625163750001</v>
      </c>
      <c r="G16" s="25">
        <f>F16*1.05</f>
        <v>1369.4756421937502</v>
      </c>
      <c r="H16" s="25">
        <f>G16*1.05</f>
        <v>1437.9494243034378</v>
      </c>
      <c r="I16" s="23" t="s">
        <v>92</v>
      </c>
    </row>
    <row r="17" spans="1:9" ht="14.4">
      <c r="A17" s="23"/>
      <c r="B17" s="23" t="s">
        <v>79</v>
      </c>
      <c r="C17" s="23">
        <v>601.34699999999998</v>
      </c>
      <c r="D17" s="25">
        <f>C17*1.05</f>
        <v>631.41435000000001</v>
      </c>
      <c r="E17" s="25">
        <f>D17*1.05</f>
        <v>662.98506750000001</v>
      </c>
      <c r="F17" s="25">
        <f>E17*1.05</f>
        <v>696.13432087500007</v>
      </c>
      <c r="G17" s="25">
        <f>F17*1.05</f>
        <v>730.94103691875011</v>
      </c>
      <c r="H17" s="25">
        <f>G17*1.05</f>
        <v>767.48808876468763</v>
      </c>
      <c r="I17" s="23" t="s">
        <v>92</v>
      </c>
    </row>
    <row r="18" spans="1:9" ht="14.4">
      <c r="A18" s="23"/>
      <c r="B18" s="23" t="s">
        <v>78</v>
      </c>
      <c r="C18" s="23">
        <v>2487.9319999999998</v>
      </c>
      <c r="D18" s="25">
        <f>C18*1.05</f>
        <v>2612.3285999999998</v>
      </c>
      <c r="E18" s="25">
        <f>D18*1.05</f>
        <v>2742.9450299999999</v>
      </c>
      <c r="F18" s="25">
        <f>E18*1.05</f>
        <v>2880.0922814999999</v>
      </c>
      <c r="G18" s="25">
        <f>F18*1.05</f>
        <v>3024.096895575</v>
      </c>
      <c r="H18" s="25">
        <f>G18*1.05</f>
        <v>3175.3017403537501</v>
      </c>
      <c r="I18" s="23" t="s">
        <v>92</v>
      </c>
    </row>
    <row r="19" spans="1:9" ht="14.4">
      <c r="A19" s="23"/>
      <c r="B19" s="23" t="s">
        <v>77</v>
      </c>
      <c r="C19" s="23">
        <v>272.721</v>
      </c>
      <c r="D19" s="25">
        <f>C19*1.05</f>
        <v>286.35705000000002</v>
      </c>
      <c r="E19" s="25">
        <f>D19*1.05</f>
        <v>300.67490250000003</v>
      </c>
      <c r="F19" s="25">
        <f>E19*1.05</f>
        <v>315.70864762500003</v>
      </c>
      <c r="G19" s="25">
        <f>F19*1.05</f>
        <v>331.49408000625004</v>
      </c>
      <c r="H19" s="25">
        <f>G19*1.05</f>
        <v>348.06878400656257</v>
      </c>
      <c r="I19" s="23" t="s">
        <v>92</v>
      </c>
    </row>
    <row r="20" spans="1:9" ht="14.4">
      <c r="A20" s="23"/>
      <c r="B20" s="23" t="s">
        <v>76</v>
      </c>
      <c r="C20" s="23">
        <v>167.37799999999999</v>
      </c>
      <c r="D20" s="25">
        <f>C20*1.05</f>
        <v>175.74689999999998</v>
      </c>
      <c r="E20" s="25">
        <f>D20*1.05</f>
        <v>184.534245</v>
      </c>
      <c r="F20" s="25">
        <f>E20*1.05</f>
        <v>193.76095725000002</v>
      </c>
      <c r="G20" s="25">
        <f>F20*1.05</f>
        <v>203.44900511250003</v>
      </c>
      <c r="H20" s="25">
        <f>G20*1.05</f>
        <v>213.62145536812505</v>
      </c>
      <c r="I20" s="23" t="s">
        <v>92</v>
      </c>
    </row>
    <row r="21" spans="1:9" ht="14.4">
      <c r="A21" s="23"/>
      <c r="B21" s="23" t="s">
        <v>75</v>
      </c>
      <c r="C21" s="23">
        <v>275.786</v>
      </c>
      <c r="D21" s="25">
        <f>C21*1.05</f>
        <v>289.57530000000003</v>
      </c>
      <c r="E21" s="25">
        <f>D21*1.05</f>
        <v>304.05406500000004</v>
      </c>
      <c r="F21" s="25">
        <f>E21*1.05</f>
        <v>319.25676825000005</v>
      </c>
      <c r="G21" s="25">
        <f>F21*1.05</f>
        <v>335.21960666250004</v>
      </c>
      <c r="H21" s="25">
        <f>G21*1.05</f>
        <v>351.98058699562506</v>
      </c>
      <c r="I21" s="23" t="s">
        <v>92</v>
      </c>
    </row>
    <row r="22" spans="1:9" ht="14.4">
      <c r="A22" s="23"/>
      <c r="B22" s="23" t="s">
        <v>74</v>
      </c>
      <c r="C22" s="23">
        <v>188.172</v>
      </c>
      <c r="D22" s="25">
        <f>C22*1.05</f>
        <v>197.5806</v>
      </c>
      <c r="E22" s="25">
        <f>D22*1.05</f>
        <v>207.45963</v>
      </c>
      <c r="F22" s="25">
        <f>E22*1.05</f>
        <v>217.83261150000001</v>
      </c>
      <c r="G22" s="25">
        <f>F22*1.05</f>
        <v>228.72424207500003</v>
      </c>
      <c r="H22" s="25">
        <f>G22*1.05</f>
        <v>240.16045417875006</v>
      </c>
      <c r="I22" s="23" t="s">
        <v>92</v>
      </c>
    </row>
    <row r="23" spans="1:9" ht="14.4">
      <c r="A23" s="23"/>
      <c r="B23" s="23" t="s">
        <v>73</v>
      </c>
      <c r="C23" s="23">
        <v>176.96699999999998</v>
      </c>
      <c r="D23" s="25">
        <f>C23*1.05</f>
        <v>185.81535</v>
      </c>
      <c r="E23" s="25">
        <f>D23*1.05</f>
        <v>195.10611750000001</v>
      </c>
      <c r="F23" s="25">
        <f>E23*1.05</f>
        <v>204.86142337500002</v>
      </c>
      <c r="G23" s="25">
        <f>F23*1.05</f>
        <v>215.10449454375004</v>
      </c>
      <c r="H23" s="25">
        <f>G23*1.05</f>
        <v>225.85971927093755</v>
      </c>
      <c r="I23" s="23" t="s">
        <v>92</v>
      </c>
    </row>
    <row r="24" spans="1:9" ht="14.4">
      <c r="A24" s="23"/>
      <c r="B24" s="23" t="s">
        <v>72</v>
      </c>
      <c r="C24" s="23">
        <v>245.42599999999999</v>
      </c>
      <c r="D24" s="25">
        <f>C24*1.05</f>
        <v>257.69729999999998</v>
      </c>
      <c r="E24" s="25">
        <f>D24*1.05</f>
        <v>270.58216499999997</v>
      </c>
      <c r="F24" s="25">
        <f>E24*1.05</f>
        <v>284.11127325000001</v>
      </c>
      <c r="G24" s="25">
        <f>F24*1.05</f>
        <v>298.31683691250004</v>
      </c>
      <c r="H24" s="25">
        <f>G24*1.05</f>
        <v>313.23267875812508</v>
      </c>
      <c r="I24" s="23" t="s">
        <v>92</v>
      </c>
    </row>
    <row r="25" spans="1:9" ht="14.4">
      <c r="A25" s="23"/>
      <c r="B25" s="23" t="s">
        <v>71</v>
      </c>
      <c r="C25" s="23">
        <v>129.97499999999999</v>
      </c>
      <c r="D25" s="25">
        <f>C25*1.05</f>
        <v>136.47375</v>
      </c>
      <c r="E25" s="25">
        <f>D25*1.05</f>
        <v>143.2974375</v>
      </c>
      <c r="F25" s="25">
        <f>E25*1.05</f>
        <v>150.46230937500002</v>
      </c>
      <c r="G25" s="25">
        <f>F25*1.05</f>
        <v>157.98542484375002</v>
      </c>
      <c r="H25" s="25">
        <f>G25*1.05</f>
        <v>165.88469608593752</v>
      </c>
      <c r="I25" s="23" t="s">
        <v>92</v>
      </c>
    </row>
    <row r="26" spans="1:9" ht="14.4">
      <c r="A26" s="23"/>
      <c r="B26" s="23" t="s">
        <v>70</v>
      </c>
      <c r="C26" s="23">
        <v>19.093</v>
      </c>
      <c r="D26" s="25">
        <f>C26*1.05</f>
        <v>20.047650000000001</v>
      </c>
      <c r="E26" s="25">
        <f>D26*1.05</f>
        <v>21.0500325</v>
      </c>
      <c r="F26" s="25">
        <f>E26*1.05</f>
        <v>22.102534125000002</v>
      </c>
      <c r="G26" s="25">
        <f>F26*1.05</f>
        <v>23.207660831250003</v>
      </c>
      <c r="H26" s="25">
        <f>G26*1.05</f>
        <v>24.368043872812503</v>
      </c>
      <c r="I26" s="23" t="s">
        <v>92</v>
      </c>
    </row>
    <row r="27" spans="1:9" ht="14.4">
      <c r="A27" s="23"/>
      <c r="B27" s="23" t="s">
        <v>69</v>
      </c>
      <c r="C27" s="23">
        <v>314.16899999999998</v>
      </c>
      <c r="D27" s="25">
        <f>C27*1.05</f>
        <v>329.87745000000001</v>
      </c>
      <c r="E27" s="25">
        <f>D27*1.05</f>
        <v>346.37132250000002</v>
      </c>
      <c r="F27" s="25">
        <f>E27*1.05</f>
        <v>363.68988862500004</v>
      </c>
      <c r="G27" s="25">
        <f>F27*1.05</f>
        <v>381.87438305625005</v>
      </c>
      <c r="H27" s="25">
        <f>G27*1.05</f>
        <v>400.96810220906258</v>
      </c>
      <c r="I27" s="23" t="s">
        <v>92</v>
      </c>
    </row>
    <row r="28" spans="1:9" ht="14.4">
      <c r="A28" s="23"/>
      <c r="B28" s="23" t="s">
        <v>68</v>
      </c>
      <c r="C28" s="23">
        <v>430.95600000000002</v>
      </c>
      <c r="D28" s="25">
        <f>C28*1.05</f>
        <v>452.50380000000001</v>
      </c>
      <c r="E28" s="25">
        <f>D28*1.05</f>
        <v>475.12899000000004</v>
      </c>
      <c r="F28" s="25">
        <f>E28*1.05</f>
        <v>498.88543950000007</v>
      </c>
      <c r="G28" s="25">
        <f>F28*1.05</f>
        <v>523.82971147500007</v>
      </c>
      <c r="H28" s="25">
        <f>G28*1.05</f>
        <v>550.02119704875008</v>
      </c>
      <c r="I28" s="23" t="s">
        <v>92</v>
      </c>
    </row>
    <row r="29" spans="1:9" ht="14.4">
      <c r="A29" s="23"/>
      <c r="B29" s="23" t="s">
        <v>67</v>
      </c>
      <c r="C29" s="23">
        <v>1037.6130000000001</v>
      </c>
      <c r="D29" s="25">
        <f>C29*1.05</f>
        <v>1089.4936500000001</v>
      </c>
      <c r="E29" s="25">
        <f>D29*1.05</f>
        <v>1143.9683325000001</v>
      </c>
      <c r="F29" s="25">
        <f>E29*1.05</f>
        <v>1201.1667491250003</v>
      </c>
      <c r="G29" s="25">
        <f>F29*1.05</f>
        <v>1261.2250865812503</v>
      </c>
      <c r="H29" s="25">
        <f>G29*1.05</f>
        <v>1324.2863409103129</v>
      </c>
      <c r="I29" s="23" t="s">
        <v>92</v>
      </c>
    </row>
    <row r="30" spans="1:9" ht="14.4">
      <c r="A30" s="23"/>
      <c r="B30" s="23" t="s">
        <v>66</v>
      </c>
      <c r="C30" s="23">
        <v>378.12299999999999</v>
      </c>
      <c r="D30" s="25">
        <f>C30*1.05</f>
        <v>397.02915000000002</v>
      </c>
      <c r="E30" s="25">
        <f>D30*1.05</f>
        <v>416.88060750000005</v>
      </c>
      <c r="F30" s="25">
        <f>E30*1.05</f>
        <v>437.7246378750001</v>
      </c>
      <c r="G30" s="25">
        <f>F30*1.05</f>
        <v>459.61086976875015</v>
      </c>
      <c r="H30" s="25">
        <f>G30*1.05</f>
        <v>482.5914132571877</v>
      </c>
      <c r="I30" s="23" t="s">
        <v>92</v>
      </c>
    </row>
    <row r="31" spans="1:9" ht="14.4">
      <c r="A31" s="23"/>
      <c r="B31" s="23" t="s">
        <v>65</v>
      </c>
      <c r="C31" s="23">
        <v>196.30600000000001</v>
      </c>
      <c r="D31" s="25">
        <f>C31*1.05</f>
        <v>206.12130000000002</v>
      </c>
      <c r="E31" s="25">
        <f>D31*1.05</f>
        <v>216.42736500000004</v>
      </c>
      <c r="F31" s="25">
        <f>E31*1.05</f>
        <v>227.24873325000004</v>
      </c>
      <c r="G31" s="25">
        <f>F31*1.05</f>
        <v>238.61116991250006</v>
      </c>
      <c r="H31" s="25">
        <f>G31*1.05</f>
        <v>250.54172840812507</v>
      </c>
      <c r="I31" s="23" t="s">
        <v>92</v>
      </c>
    </row>
    <row r="32" spans="1:9" ht="14.4">
      <c r="A32" s="23"/>
      <c r="B32" s="23" t="s">
        <v>64</v>
      </c>
      <c r="C32" s="23">
        <v>2044.3420000000001</v>
      </c>
      <c r="D32" s="25">
        <f>C32*1.05</f>
        <v>2146.5591000000004</v>
      </c>
      <c r="E32" s="25">
        <f>D32*1.05</f>
        <v>2253.8870550000006</v>
      </c>
      <c r="F32" s="25">
        <f>E32*1.05</f>
        <v>2366.5814077500008</v>
      </c>
      <c r="G32" s="25">
        <f>F32*1.05</f>
        <v>2484.9104781375008</v>
      </c>
      <c r="H32" s="25">
        <f>G32*1.05</f>
        <v>2609.1560020443758</v>
      </c>
      <c r="I32" s="23" t="s">
        <v>92</v>
      </c>
    </row>
    <row r="33" spans="1:9" ht="14.4">
      <c r="A33" s="23"/>
      <c r="B33" s="23" t="s">
        <v>63</v>
      </c>
      <c r="C33" s="23">
        <v>97.498999999999995</v>
      </c>
      <c r="D33" s="25">
        <f>C33*1.05</f>
        <v>102.37394999999999</v>
      </c>
      <c r="E33" s="25">
        <f>D33*1.05</f>
        <v>107.4926475</v>
      </c>
      <c r="F33" s="25">
        <f>E33*1.05</f>
        <v>112.86727987500001</v>
      </c>
      <c r="G33" s="25">
        <f>F33*1.05</f>
        <v>118.51064386875001</v>
      </c>
      <c r="H33" s="25">
        <f>G33*1.05</f>
        <v>124.43617606218751</v>
      </c>
      <c r="I33" s="23" t="s">
        <v>92</v>
      </c>
    </row>
    <row r="34" spans="1:9" ht="14.4">
      <c r="A34" s="23"/>
      <c r="B34" s="23" t="s">
        <v>62</v>
      </c>
      <c r="C34" s="23">
        <v>6984.4229999999998</v>
      </c>
      <c r="D34" s="25">
        <f>C34*1.05</f>
        <v>7333.6441500000001</v>
      </c>
      <c r="E34" s="25">
        <f>D34*1.05</f>
        <v>7700.3263575000001</v>
      </c>
      <c r="F34" s="25">
        <f>E34*1.05</f>
        <v>8085.342675375</v>
      </c>
      <c r="G34" s="25">
        <f>F34*1.05</f>
        <v>8489.6098091437507</v>
      </c>
      <c r="H34" s="25">
        <f>G34*1.05</f>
        <v>8914.090299600939</v>
      </c>
      <c r="I34" s="23" t="s">
        <v>92</v>
      </c>
    </row>
    <row r="35" spans="1:9" ht="14.4">
      <c r="A35" s="23"/>
      <c r="B35" s="23" t="s">
        <v>61</v>
      </c>
      <c r="C35" s="23">
        <v>109.327</v>
      </c>
      <c r="D35" s="25">
        <f>C35*1.05</f>
        <v>114.79335</v>
      </c>
      <c r="E35" s="25">
        <f>D35*1.05</f>
        <v>120.53301750000001</v>
      </c>
      <c r="F35" s="25">
        <f>E35*1.05</f>
        <v>126.55966837500002</v>
      </c>
      <c r="G35" s="25">
        <f>F35*1.05</f>
        <v>132.88765179375002</v>
      </c>
      <c r="H35" s="25">
        <f>G35*1.05</f>
        <v>139.53203438343752</v>
      </c>
      <c r="I35" s="23" t="s">
        <v>92</v>
      </c>
    </row>
    <row r="36" spans="1:9" ht="14.4">
      <c r="A36" s="23"/>
      <c r="B36" s="23" t="s">
        <v>60</v>
      </c>
      <c r="C36" s="23">
        <v>1932.395</v>
      </c>
      <c r="D36" s="25">
        <f>C36*1.05</f>
        <v>2029.01475</v>
      </c>
      <c r="E36" s="25">
        <f>D36*1.05</f>
        <v>2130.4654875000001</v>
      </c>
      <c r="F36" s="25">
        <f>E36*1.05</f>
        <v>2236.9887618750004</v>
      </c>
      <c r="G36" s="25">
        <f>F36*1.05</f>
        <v>2348.8381999687504</v>
      </c>
      <c r="H36" s="25">
        <f>G36*1.05</f>
        <v>2466.2801099671879</v>
      </c>
      <c r="I36" s="23" t="s">
        <v>92</v>
      </c>
    </row>
    <row r="37" spans="1:9" ht="14.4">
      <c r="A37" s="23"/>
      <c r="B37" s="23" t="s">
        <v>59</v>
      </c>
      <c r="C37" s="23">
        <v>494.291</v>
      </c>
      <c r="D37" s="25">
        <f>C37*1.05</f>
        <v>519.00554999999997</v>
      </c>
      <c r="E37" s="25">
        <f>D37*1.05</f>
        <v>544.95582749999994</v>
      </c>
      <c r="F37" s="25">
        <f>E37*1.05</f>
        <v>572.20361887499996</v>
      </c>
      <c r="G37" s="25">
        <f>F37*1.05</f>
        <v>600.81379981875</v>
      </c>
      <c r="H37" s="25">
        <f>G37*1.05</f>
        <v>630.85448980968749</v>
      </c>
      <c r="I37" s="23" t="s">
        <v>92</v>
      </c>
    </row>
    <row r="38" spans="1:9" ht="14.4">
      <c r="A38" s="23"/>
      <c r="B38" s="23" t="s">
        <v>58</v>
      </c>
      <c r="C38" s="23">
        <v>360.57299999999998</v>
      </c>
      <c r="D38" s="25">
        <f>C38*1.05</f>
        <v>378.60165000000001</v>
      </c>
      <c r="E38" s="25">
        <f>D38*1.05</f>
        <v>397.53173250000003</v>
      </c>
      <c r="F38" s="25">
        <f>E38*1.05</f>
        <v>417.40831912500005</v>
      </c>
      <c r="G38" s="25">
        <f>F38*1.05</f>
        <v>438.27873508125009</v>
      </c>
      <c r="H38" s="25">
        <f>G38*1.05</f>
        <v>460.19267183531264</v>
      </c>
      <c r="I38" s="23" t="s">
        <v>92</v>
      </c>
    </row>
    <row r="39" spans="1:9" ht="14.4">
      <c r="A39" s="23"/>
      <c r="B39" s="23" t="s">
        <v>57</v>
      </c>
      <c r="C39" s="23">
        <v>1545.7440000000001</v>
      </c>
      <c r="D39" s="25">
        <f>C39*1.05</f>
        <v>1623.0312000000001</v>
      </c>
      <c r="E39" s="25">
        <f>D39*1.05</f>
        <v>1704.1827600000001</v>
      </c>
      <c r="F39" s="25">
        <f>E39*1.05</f>
        <v>1789.3918980000003</v>
      </c>
      <c r="G39" s="25">
        <f>F39*1.05</f>
        <v>1878.8614929000005</v>
      </c>
      <c r="H39" s="25">
        <f>G39*1.05</f>
        <v>1972.8045675450005</v>
      </c>
      <c r="I39" s="23" t="s">
        <v>92</v>
      </c>
    </row>
    <row r="40" spans="1:9" ht="14.4">
      <c r="A40" s="23"/>
      <c r="B40" s="23" t="s">
        <v>56</v>
      </c>
      <c r="C40" s="23">
        <v>294.22699999999998</v>
      </c>
      <c r="D40" s="25">
        <f>C40*1.05</f>
        <v>308.93835000000001</v>
      </c>
      <c r="E40" s="25">
        <f>D40*1.05</f>
        <v>324.38526750000005</v>
      </c>
      <c r="F40" s="25">
        <f>E40*1.05</f>
        <v>340.60453087500008</v>
      </c>
      <c r="G40" s="25">
        <f>F40*1.05</f>
        <v>357.6347574187501</v>
      </c>
      <c r="H40" s="25">
        <f>G40*1.05</f>
        <v>375.51649528968761</v>
      </c>
      <c r="I40" s="23" t="s">
        <v>92</v>
      </c>
    </row>
    <row r="41" spans="1:9" ht="14.4">
      <c r="A41" s="23"/>
      <c r="B41" s="23" t="s">
        <v>55</v>
      </c>
      <c r="C41" s="23">
        <v>120.292</v>
      </c>
      <c r="D41" s="25">
        <f>C41*1.05</f>
        <v>126.3066</v>
      </c>
      <c r="E41" s="25">
        <f>D41*1.05</f>
        <v>132.62193000000002</v>
      </c>
      <c r="F41" s="25">
        <f>E41*1.05</f>
        <v>139.25302650000003</v>
      </c>
      <c r="G41" s="25">
        <f>F41*1.05</f>
        <v>146.21567782500003</v>
      </c>
      <c r="H41" s="25">
        <f>G41*1.05</f>
        <v>153.52646171625003</v>
      </c>
      <c r="I41" s="23" t="s">
        <v>92</v>
      </c>
    </row>
    <row r="42" spans="1:9" ht="14.4">
      <c r="A42" s="23"/>
      <c r="B42" s="23" t="s">
        <v>54</v>
      </c>
      <c r="C42" s="23">
        <v>7482.6549999999997</v>
      </c>
      <c r="D42" s="25">
        <f>C42*1.05</f>
        <v>7856.7877500000004</v>
      </c>
      <c r="E42" s="25">
        <f>D42*1.05</f>
        <v>8249.6271375000015</v>
      </c>
      <c r="F42" s="25">
        <f>E42*1.05</f>
        <v>8662.1084943750011</v>
      </c>
      <c r="G42" s="25">
        <f>F42*1.05</f>
        <v>9095.2139190937523</v>
      </c>
      <c r="H42" s="25">
        <f>G42*1.05</f>
        <v>9549.9746150484407</v>
      </c>
      <c r="I42" s="23" t="s">
        <v>92</v>
      </c>
    </row>
    <row r="43" spans="1:9" ht="14.4">
      <c r="A43" s="23"/>
      <c r="B43" s="23" t="s">
        <v>53</v>
      </c>
      <c r="C43" s="23">
        <v>386.70000000000005</v>
      </c>
      <c r="D43" s="25">
        <f>C43*1.05</f>
        <v>406.03500000000008</v>
      </c>
      <c r="E43" s="25">
        <f>D43*1.05</f>
        <v>426.33675000000011</v>
      </c>
      <c r="F43" s="25">
        <f>E43*1.05</f>
        <v>447.65358750000013</v>
      </c>
      <c r="G43" s="25">
        <f>F43*1.05</f>
        <v>470.03626687500014</v>
      </c>
      <c r="H43" s="25">
        <f>G43*1.05</f>
        <v>493.53808021875017</v>
      </c>
      <c r="I43" s="23" t="s">
        <v>92</v>
      </c>
    </row>
    <row r="44" spans="1:9" ht="14.4">
      <c r="A44" s="23"/>
      <c r="B44" s="23" t="s">
        <v>52</v>
      </c>
      <c r="C44" s="23">
        <v>114.34099999999999</v>
      </c>
      <c r="D44" s="25">
        <f>C44*1.05</f>
        <v>120.05804999999999</v>
      </c>
      <c r="E44" s="25">
        <f>D44*1.05</f>
        <v>126.0609525</v>
      </c>
      <c r="F44" s="25">
        <f>E44*1.05</f>
        <v>132.36400012500002</v>
      </c>
      <c r="G44" s="25">
        <f>F44*1.05</f>
        <v>138.98220013125004</v>
      </c>
      <c r="H44" s="25">
        <f>G44*1.05</f>
        <v>145.93131013781255</v>
      </c>
      <c r="I44" s="23" t="s">
        <v>92</v>
      </c>
    </row>
    <row r="45" spans="1:9" ht="14.4">
      <c r="A45" s="23"/>
      <c r="B45" s="23" t="s">
        <v>51</v>
      </c>
      <c r="C45" s="23">
        <v>108.322</v>
      </c>
      <c r="D45" s="25">
        <f>C45*1.05</f>
        <v>113.7381</v>
      </c>
      <c r="E45" s="25">
        <f>D45*1.05</f>
        <v>119.42500500000001</v>
      </c>
      <c r="F45" s="25">
        <f>E45*1.05</f>
        <v>125.39625525000002</v>
      </c>
      <c r="G45" s="25">
        <f>F45*1.05</f>
        <v>131.66606801250003</v>
      </c>
      <c r="H45" s="25">
        <f>G45*1.05</f>
        <v>138.24937141312503</v>
      </c>
      <c r="I45" s="23" t="s">
        <v>92</v>
      </c>
    </row>
    <row r="46" spans="1:9" ht="14.4">
      <c r="A46" s="23"/>
      <c r="B46" s="23" t="s">
        <v>50</v>
      </c>
      <c r="C46" s="23">
        <v>400.26300000000003</v>
      </c>
      <c r="D46" s="25">
        <f>C46*1.05</f>
        <v>420.27615000000003</v>
      </c>
      <c r="E46" s="25">
        <f>D46*1.05</f>
        <v>441.28995750000007</v>
      </c>
      <c r="F46" s="25">
        <f>E46*1.05</f>
        <v>463.3544553750001</v>
      </c>
      <c r="G46" s="25">
        <f>F46*1.05</f>
        <v>486.52217814375012</v>
      </c>
      <c r="H46" s="25">
        <f>G46*1.05</f>
        <v>510.84828705093764</v>
      </c>
      <c r="I46" s="23" t="s">
        <v>92</v>
      </c>
    </row>
    <row r="47" spans="1:9" ht="14.4">
      <c r="A47" s="23"/>
      <c r="B47" s="23" t="s">
        <v>49</v>
      </c>
      <c r="C47" s="23">
        <v>112.628</v>
      </c>
      <c r="D47" s="25">
        <f>C47*1.05</f>
        <v>118.2594</v>
      </c>
      <c r="E47" s="25">
        <f>D47*1.05</f>
        <v>124.17237</v>
      </c>
      <c r="F47" s="25">
        <f>E47*1.05</f>
        <v>130.3809885</v>
      </c>
      <c r="G47" s="25">
        <f>F47*1.05</f>
        <v>136.90003792500002</v>
      </c>
      <c r="H47" s="25">
        <f>G47*1.05</f>
        <v>143.74503982125003</v>
      </c>
      <c r="I47" s="23" t="s">
        <v>92</v>
      </c>
    </row>
    <row r="48" spans="1:9" ht="14.4">
      <c r="A48" s="23"/>
      <c r="B48" s="23" t="s">
        <v>48</v>
      </c>
      <c r="C48" s="23">
        <v>424.137</v>
      </c>
      <c r="D48" s="25">
        <f>C48*1.05</f>
        <v>445.34385000000003</v>
      </c>
      <c r="E48" s="25">
        <f>D48*1.05</f>
        <v>467.61104250000005</v>
      </c>
      <c r="F48" s="25">
        <f>E48*1.05</f>
        <v>490.99159462500006</v>
      </c>
      <c r="G48" s="25">
        <f>F48*1.05</f>
        <v>515.54117435625005</v>
      </c>
      <c r="H48" s="25">
        <f>G48*1.05</f>
        <v>541.31823307406262</v>
      </c>
      <c r="I48" s="23" t="s">
        <v>92</v>
      </c>
    </row>
    <row r="49" spans="1:9" ht="14.4">
      <c r="A49" s="23"/>
      <c r="B49" s="23" t="s">
        <v>47</v>
      </c>
      <c r="C49" s="23">
        <v>121.261</v>
      </c>
      <c r="D49" s="25">
        <f>C49*1.05</f>
        <v>127.32405</v>
      </c>
      <c r="E49" s="25">
        <f>D49*1.05</f>
        <v>133.69025250000001</v>
      </c>
      <c r="F49" s="25">
        <f>E49*1.05</f>
        <v>140.37476512500001</v>
      </c>
      <c r="G49" s="25">
        <f>F49*1.05</f>
        <v>147.39350338125001</v>
      </c>
      <c r="H49" s="25">
        <f>G49*1.05</f>
        <v>154.76317855031252</v>
      </c>
      <c r="I49" s="23" t="s">
        <v>92</v>
      </c>
    </row>
    <row r="50" spans="1:9" ht="14.4">
      <c r="A50" s="23"/>
      <c r="B50" s="23" t="s">
        <v>46</v>
      </c>
      <c r="C50" s="23">
        <v>265.97300000000001</v>
      </c>
      <c r="D50" s="25">
        <f>C50*1.05</f>
        <v>279.27165000000002</v>
      </c>
      <c r="E50" s="25">
        <f>D50*1.05</f>
        <v>293.23523250000005</v>
      </c>
      <c r="F50" s="25">
        <f>E50*1.05</f>
        <v>307.89699412500005</v>
      </c>
      <c r="G50" s="25">
        <f>F50*1.05</f>
        <v>323.29184383125005</v>
      </c>
      <c r="H50" s="25">
        <f>G50*1.05</f>
        <v>339.45643602281257</v>
      </c>
      <c r="I50" s="23" t="s">
        <v>92</v>
      </c>
    </row>
    <row r="51" spans="1:9" ht="14.4">
      <c r="A51" s="23"/>
      <c r="B51" s="23" t="s">
        <v>44</v>
      </c>
      <c r="C51" s="23">
        <v>214.36099999999999</v>
      </c>
      <c r="D51" s="25">
        <f>C51*1.05</f>
        <v>225.07905</v>
      </c>
      <c r="E51" s="25">
        <f>D51*1.05</f>
        <v>236.33300249999999</v>
      </c>
      <c r="F51" s="25">
        <f>E51*1.05</f>
        <v>248.14965262500002</v>
      </c>
      <c r="G51" s="25">
        <f>F51*1.05</f>
        <v>260.55713525625004</v>
      </c>
      <c r="H51" s="25">
        <f>G51*1.05</f>
        <v>273.58499201906255</v>
      </c>
      <c r="I51" s="2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AAD962-BE30-4033-A2FE-348EC86A1006}">
  <dimension ref="B2:J7"/>
  <sheetViews>
    <sheetView workbookViewId="0" topLeftCell="A1">
      <selection pane="topLeft" activeCell="F19" sqref="F19"/>
    </sheetView>
  </sheetViews>
  <sheetFormatPr defaultRowHeight="13.8"/>
  <sheetData>
    <row r="2" spans="2:2" ht="13.8">
      <c r="B2" t="s">
        <v>98</v>
      </c>
    </row>
    <row r="3" spans="2:10" ht="13.8">
      <c r="B3" t="s">
        <v>32</v>
      </c>
      <c r="C3" t="s">
        <v>97</v>
      </c>
      <c r="D3">
        <v>2022</v>
      </c>
      <c r="E3">
        <v>2025</v>
      </c>
      <c r="F3">
        <v>2030</v>
      </c>
      <c r="G3">
        <v>2035</v>
      </c>
      <c r="H3">
        <v>2040</v>
      </c>
      <c r="I3">
        <v>2045</v>
      </c>
      <c r="J3">
        <v>2050</v>
      </c>
    </row>
    <row r="4" spans="2:10" ht="13.8">
      <c r="B4" t="s">
        <v>96</v>
      </c>
      <c r="C4" t="s">
        <v>96</v>
      </c>
      <c r="D4">
        <v>33.40</v>
      </c>
      <c r="E4">
        <v>35.738</v>
      </c>
      <c r="F4">
        <v>41.415999999999997</v>
      </c>
      <c r="G4">
        <v>38.409999999999997</v>
      </c>
      <c r="H4">
        <v>41.75</v>
      </c>
      <c r="I4">
        <v>39.077999999999996</v>
      </c>
      <c r="J4">
        <v>44.756</v>
      </c>
    </row>
    <row r="5" spans="2:10" ht="13.8">
      <c r="B5" t="s">
        <v>95</v>
      </c>
      <c r="C5" t="s">
        <v>95</v>
      </c>
      <c r="D5">
        <v>12.20</v>
      </c>
      <c r="E5">
        <v>12.443999999999999</v>
      </c>
      <c r="F5">
        <v>12.932</v>
      </c>
      <c r="G5">
        <v>13.054</v>
      </c>
      <c r="H5">
        <v>13.176</v>
      </c>
      <c r="I5">
        <v>13.42</v>
      </c>
      <c r="J5">
        <v>13.664</v>
      </c>
    </row>
    <row r="6" spans="2:10" ht="13.8">
      <c r="B6" t="s">
        <v>94</v>
      </c>
      <c r="C6" t="s">
        <v>94</v>
      </c>
      <c r="D6">
        <v>53</v>
      </c>
      <c r="E6">
        <v>53.53</v>
      </c>
      <c r="F6">
        <v>58.830000000000005</v>
      </c>
      <c r="G6">
        <v>53.53</v>
      </c>
      <c r="H6">
        <v>53.53</v>
      </c>
      <c r="I6">
        <v>55.120000000000005</v>
      </c>
      <c r="J6">
        <v>60.419999999999995</v>
      </c>
    </row>
    <row r="7" spans="2:10" ht="13.8">
      <c r="B7" t="s">
        <v>93</v>
      </c>
      <c r="C7" t="s">
        <v>93</v>
      </c>
      <c r="D7">
        <v>26</v>
      </c>
      <c r="J7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"/>
  <sheetViews>
    <sheetView zoomScale="130" zoomScaleNormal="130" workbookViewId="0" topLeftCell="A1">
      <selection pane="topLeft" activeCell="D247" sqref="D247"/>
    </sheetView>
  </sheetViews>
  <sheetFormatPr defaultRowHeight="13.8"/>
  <cols>
    <col min="1" max="1" width="16" customWidth="1"/>
    <col min="2" max="2" width="13" customWidth="1"/>
    <col min="3" max="3" width="16" customWidth="1"/>
    <col min="4" max="4" width="14" customWidth="1"/>
    <col min="5" max="5" width="36" customWidth="1"/>
  </cols>
  <sheetData>
    <row r="1" spans="1:5" ht="13.8">
      <c r="A1" s="6" t="s">
        <v>29</v>
      </c>
      <c r="B1" s="6" t="s">
        <v>3</v>
      </c>
      <c r="C1" s="6" t="s">
        <v>2</v>
      </c>
      <c r="D1" s="6" t="s">
        <v>1</v>
      </c>
      <c r="E1" t="s">
        <v>0</v>
      </c>
    </row>
    <row r="2" spans="1:5" ht="13.8">
      <c r="A2" t="str">
        <f>INDEX(Controller!$H$2:$H$11,INT((ROW()-2)/70)+1)</f>
        <v>Ref</v>
      </c>
      <c r="B2" s="2">
        <v>2022</v>
      </c>
      <c r="C2" t="str">
        <f>INDEX(Controller!$J$2:$J$11,MOD(INT((ROW()-2)/7),10)+1)</f>
        <v>hydrogen_allsect</v>
      </c>
      <c r="D2" s="4">
        <v>0</v>
      </c>
      <c r="E2" t="str">
        <f>A2&amp;"|"&amp;C2&amp;"|"&amp;B2</f>
        <v>Ref|hydrogen_allsect|2022</v>
      </c>
    </row>
    <row r="3" spans="1:5" ht="13.8">
      <c r="A3" t="str">
        <f>INDEX(Controller!$H$2:$H$11,INT((ROW()-2)/70)+1)</f>
        <v>Ref</v>
      </c>
      <c r="B3" s="2">
        <v>2025</v>
      </c>
      <c r="C3" t="str">
        <f>INDEX(Controller!$J$2:$J$11,MOD(INT((ROW()-2)/7),10)+1)</f>
        <v>hydrogen_allsect</v>
      </c>
      <c r="D3" s="4">
        <f>D2*2%+D2</f>
        <v>0</v>
      </c>
      <c r="E3" t="str">
        <f>A3&amp;"|"&amp;C3&amp;"|"&amp;B3</f>
        <v>Ref|hydrogen_allsect|2025</v>
      </c>
    </row>
    <row r="4" spans="1:5" ht="13.8">
      <c r="A4" t="str">
        <f>INDEX(Controller!$H$2:$H$11,INT((ROW()-2)/70)+1)</f>
        <v>Ref</v>
      </c>
      <c r="B4" s="2">
        <v>2030</v>
      </c>
      <c r="C4" t="str">
        <f>INDEX(Controller!$J$2:$J$11,MOD(INT((ROW()-2)/7),10)+1)</f>
        <v>hydrogen_allsect</v>
      </c>
      <c r="D4" s="4">
        <f>D3*2%+D3</f>
        <v>0</v>
      </c>
      <c r="E4" t="str">
        <f>A4&amp;"|"&amp;C4&amp;"|"&amp;B4</f>
        <v>Ref|hydrogen_allsect|2030</v>
      </c>
    </row>
    <row r="5" spans="1:5" ht="13.8">
      <c r="A5" t="str">
        <f>INDEX(Controller!$H$2:$H$11,INT((ROW()-2)/70)+1)</f>
        <v>Ref</v>
      </c>
      <c r="B5" s="2">
        <v>2035</v>
      </c>
      <c r="C5" t="str">
        <f>INDEX(Controller!$J$2:$J$11,MOD(INT((ROW()-2)/7),10)+1)</f>
        <v>hydrogen_allsect</v>
      </c>
      <c r="D5" s="4">
        <f>D4*2%+D4</f>
        <v>0</v>
      </c>
      <c r="E5" t="str">
        <f>A5&amp;"|"&amp;C5&amp;"|"&amp;B5</f>
        <v>Ref|hydrogen_allsect|2035</v>
      </c>
    </row>
    <row r="6" spans="1:5" ht="13.8">
      <c r="A6" t="str">
        <f>INDEX(Controller!$H$2:$H$11,INT((ROW()-2)/70)+1)</f>
        <v>Ref</v>
      </c>
      <c r="B6" s="2">
        <v>2040</v>
      </c>
      <c r="C6" t="str">
        <f>INDEX(Controller!$J$2:$J$11,MOD(INT((ROW()-2)/7),10)+1)</f>
        <v>hydrogen_allsect</v>
      </c>
      <c r="D6" s="4">
        <f>D5*2%+D5</f>
        <v>0</v>
      </c>
      <c r="E6" t="str">
        <f>A6&amp;"|"&amp;C6&amp;"|"&amp;B6</f>
        <v>Ref|hydrogen_allsect|2040</v>
      </c>
    </row>
    <row r="7" spans="1:5" ht="13.8">
      <c r="A7" t="str">
        <f>INDEX(Controller!$H$2:$H$11,INT((ROW()-2)/70)+1)</f>
        <v>Ref</v>
      </c>
      <c r="B7" s="2">
        <v>2045</v>
      </c>
      <c r="C7" t="str">
        <f>INDEX(Controller!$J$2:$J$11,MOD(INT((ROW()-2)/7),10)+1)</f>
        <v>hydrogen_allsect</v>
      </c>
      <c r="D7" s="4">
        <f>D6*2%+D6</f>
        <v>0</v>
      </c>
      <c r="E7" t="str">
        <f>A7&amp;"|"&amp;C7&amp;"|"&amp;B7</f>
        <v>Ref|hydrogen_allsect|2045</v>
      </c>
    </row>
    <row r="8" spans="1:5" ht="13.8">
      <c r="A8" t="str">
        <f>INDEX(Controller!$H$2:$H$11,INT((ROW()-2)/70)+1)</f>
        <v>Ref</v>
      </c>
      <c r="B8" s="2">
        <v>2050</v>
      </c>
      <c r="C8" t="str">
        <f>INDEX(Controller!$J$2:$J$11,MOD(INT((ROW()-2)/7),10)+1)</f>
        <v>hydrogen_allsect</v>
      </c>
      <c r="D8" s="4">
        <f>D7*2%+D7</f>
        <v>0</v>
      </c>
      <c r="E8" t="str">
        <f>A8&amp;"|"&amp;C8&amp;"|"&amp;B8</f>
        <v>Ref|hydrogen_allsect|2050</v>
      </c>
    </row>
    <row r="9" spans="1:5" ht="13.8">
      <c r="A9" t="str">
        <f>INDEX(Controller!$H$2:$H$11,INT((ROW()-2)/70)+1)</f>
        <v>Ref</v>
      </c>
      <c r="B9" s="2">
        <v>2022</v>
      </c>
      <c r="C9" t="str">
        <f>INDEX(Controller!$J$2:$J$11,MOD(INT((ROW()-2)/7),10)+1)</f>
        <v>elc_industry</v>
      </c>
      <c r="D9" s="4">
        <v>65.478899999999996</v>
      </c>
      <c r="E9" t="str">
        <f>A9&amp;"|"&amp;C9&amp;"|"&amp;B9</f>
        <v>Ref|elc_industry|2022</v>
      </c>
    </row>
    <row r="10" spans="1:5" ht="13.8">
      <c r="A10" t="str">
        <f>INDEX(Controller!$H$2:$H$11,INT((ROW()-2)/70)+1)</f>
        <v>Ref</v>
      </c>
      <c r="B10" s="2">
        <v>2025</v>
      </c>
      <c r="C10" t="str">
        <f>INDEX(Controller!$J$2:$J$11,MOD(INT((ROW()-2)/7),10)+1)</f>
        <v>elc_industry</v>
      </c>
      <c r="D10" s="4">
        <f>D9*2%+D9</f>
        <v>66.788477999999998</v>
      </c>
      <c r="E10" t="str">
        <f>A10&amp;"|"&amp;C10&amp;"|"&amp;B10</f>
        <v>Ref|elc_industry|2025</v>
      </c>
    </row>
    <row r="11" spans="1:5" ht="13.8">
      <c r="A11" t="str">
        <f>INDEX(Controller!$H$2:$H$11,INT((ROW()-2)/70)+1)</f>
        <v>Ref</v>
      </c>
      <c r="B11" s="2">
        <v>2030</v>
      </c>
      <c r="C11" t="str">
        <f>INDEX(Controller!$J$2:$J$11,MOD(INT((ROW()-2)/7),10)+1)</f>
        <v>elc_industry</v>
      </c>
      <c r="D11" s="4">
        <f>D10*2%+D10</f>
        <v>68.124247560000001</v>
      </c>
      <c r="E11" t="str">
        <f>A11&amp;"|"&amp;C11&amp;"|"&amp;B11</f>
        <v>Ref|elc_industry|2030</v>
      </c>
    </row>
    <row r="12" spans="1:5" ht="13.8">
      <c r="A12" t="str">
        <f>INDEX(Controller!$H$2:$H$11,INT((ROW()-2)/70)+1)</f>
        <v>Ref</v>
      </c>
      <c r="B12" s="2">
        <v>2035</v>
      </c>
      <c r="C12" t="str">
        <f>INDEX(Controller!$J$2:$J$11,MOD(INT((ROW()-2)/7),10)+1)</f>
        <v>elc_industry</v>
      </c>
      <c r="D12" s="4">
        <f>D11*2%+D11</f>
        <v>69.486732511200003</v>
      </c>
      <c r="E12" t="str">
        <f>A12&amp;"|"&amp;C12&amp;"|"&amp;B12</f>
        <v>Ref|elc_industry|2035</v>
      </c>
    </row>
    <row r="13" spans="1:5" ht="13.8">
      <c r="A13" t="str">
        <f>INDEX(Controller!$H$2:$H$11,INT((ROW()-2)/70)+1)</f>
        <v>Ref</v>
      </c>
      <c r="B13" s="2">
        <v>2040</v>
      </c>
      <c r="C13" t="str">
        <f>INDEX(Controller!$J$2:$J$11,MOD(INT((ROW()-2)/7),10)+1)</f>
        <v>elc_industry</v>
      </c>
      <c r="D13" s="4">
        <f>D12*2%+D12</f>
        <v>70.876467161424003</v>
      </c>
      <c r="E13" t="str">
        <f>A13&amp;"|"&amp;C13&amp;"|"&amp;B13</f>
        <v>Ref|elc_industry|2040</v>
      </c>
    </row>
    <row r="14" spans="1:5" ht="13.8">
      <c r="A14" t="str">
        <f>INDEX(Controller!$H$2:$H$11,INT((ROW()-2)/70)+1)</f>
        <v>Ref</v>
      </c>
      <c r="B14" s="2">
        <v>2045</v>
      </c>
      <c r="C14" t="str">
        <f>INDEX(Controller!$J$2:$J$11,MOD(INT((ROW()-2)/7),10)+1)</f>
        <v>elc_industry</v>
      </c>
      <c r="D14" s="4">
        <f>D13*2%+D13</f>
        <v>72.293996504652483</v>
      </c>
      <c r="E14" t="str">
        <f>A14&amp;"|"&amp;C14&amp;"|"&amp;B14</f>
        <v>Ref|elc_industry|2045</v>
      </c>
    </row>
    <row r="15" spans="1:5" ht="13.8">
      <c r="A15" t="str">
        <f>INDEX(Controller!$H$2:$H$11,INT((ROW()-2)/70)+1)</f>
        <v>Ref</v>
      </c>
      <c r="B15" s="2">
        <v>2050</v>
      </c>
      <c r="C15" t="str">
        <f>INDEX(Controller!$J$2:$J$11,MOD(INT((ROW()-2)/7),10)+1)</f>
        <v>elc_industry</v>
      </c>
      <c r="D15" s="4">
        <f>D14*2%+D14</f>
        <v>73.73987643474554</v>
      </c>
      <c r="E15" t="str">
        <f>A15&amp;"|"&amp;C15&amp;"|"&amp;B15</f>
        <v>Ref|elc_industry|2050</v>
      </c>
    </row>
    <row r="16" spans="1:5" ht="13.8">
      <c r="A16" t="str">
        <f>INDEX(Controller!$H$2:$H$11,INT((ROW()-2)/70)+1)</f>
        <v>Ref</v>
      </c>
      <c r="B16" s="2">
        <v>2022</v>
      </c>
      <c r="C16" t="str">
        <f>INDEX(Controller!$J$2:$J$11,MOD(INT((ROW()-2)/7),10)+1)</f>
        <v>elc_buildings</v>
      </c>
      <c r="D16" s="4">
        <v>104.41229999999999</v>
      </c>
      <c r="E16" t="str">
        <f>A16&amp;"|"&amp;C16&amp;"|"&amp;B16</f>
        <v>Ref|elc_buildings|2022</v>
      </c>
    </row>
    <row r="17" spans="1:5" ht="13.8">
      <c r="A17" t="str">
        <f>INDEX(Controller!$H$2:$H$11,INT((ROW()-2)/70)+1)</f>
        <v>Ref</v>
      </c>
      <c r="B17" s="2">
        <v>2025</v>
      </c>
      <c r="C17" t="str">
        <f>INDEX(Controller!$J$2:$J$11,MOD(INT((ROW()-2)/7),10)+1)</f>
        <v>elc_buildings</v>
      </c>
      <c r="D17" s="4">
        <f>D16*2%+D16</f>
        <v>106.50054599999999</v>
      </c>
      <c r="E17" t="str">
        <f>A17&amp;"|"&amp;C17&amp;"|"&amp;B17</f>
        <v>Ref|elc_buildings|2025</v>
      </c>
    </row>
    <row r="18" spans="1:5" ht="13.8">
      <c r="A18" t="str">
        <f>INDEX(Controller!$H$2:$H$11,INT((ROW()-2)/70)+1)</f>
        <v>Ref</v>
      </c>
      <c r="B18" s="2">
        <v>2030</v>
      </c>
      <c r="C18" t="str">
        <f>INDEX(Controller!$J$2:$J$11,MOD(INT((ROW()-2)/7),10)+1)</f>
        <v>elc_buildings</v>
      </c>
      <c r="D18" s="4">
        <f>D17*2%+D17</f>
        <v>108.63055691999999</v>
      </c>
      <c r="E18" t="str">
        <f>A18&amp;"|"&amp;C18&amp;"|"&amp;B18</f>
        <v>Ref|elc_buildings|2030</v>
      </c>
    </row>
    <row r="19" spans="1:5" ht="13.8">
      <c r="A19" t="str">
        <f>INDEX(Controller!$H$2:$H$11,INT((ROW()-2)/70)+1)</f>
        <v>Ref</v>
      </c>
      <c r="B19" s="2">
        <v>2035</v>
      </c>
      <c r="C19" t="str">
        <f>INDEX(Controller!$J$2:$J$11,MOD(INT((ROW()-2)/7),10)+1)</f>
        <v>elc_buildings</v>
      </c>
      <c r="D19" s="4">
        <f>D18*2%+D18</f>
        <v>110.80316805839999</v>
      </c>
      <c r="E19" t="str">
        <f>A19&amp;"|"&amp;C19&amp;"|"&amp;B19</f>
        <v>Ref|elc_buildings|2035</v>
      </c>
    </row>
    <row r="20" spans="1:5" ht="13.8">
      <c r="A20" t="str">
        <f>INDEX(Controller!$H$2:$H$11,INT((ROW()-2)/70)+1)</f>
        <v>Ref</v>
      </c>
      <c r="B20" s="2">
        <v>2040</v>
      </c>
      <c r="C20" t="str">
        <f>INDEX(Controller!$J$2:$J$11,MOD(INT((ROW()-2)/7),10)+1)</f>
        <v>elc_buildings</v>
      </c>
      <c r="D20" s="4">
        <f>D19*2%+D19</f>
        <v>113.01923141956799</v>
      </c>
      <c r="E20" t="str">
        <f>A20&amp;"|"&amp;C20&amp;"|"&amp;B20</f>
        <v>Ref|elc_buildings|2040</v>
      </c>
    </row>
    <row r="21" spans="1:5" ht="13.8">
      <c r="A21" t="str">
        <f>INDEX(Controller!$H$2:$H$11,INT((ROW()-2)/70)+1)</f>
        <v>Ref</v>
      </c>
      <c r="B21" s="2">
        <v>2045</v>
      </c>
      <c r="C21" t="str">
        <f>INDEX(Controller!$J$2:$J$11,MOD(INT((ROW()-2)/7),10)+1)</f>
        <v>elc_buildings</v>
      </c>
      <c r="D21" s="4">
        <f>D20*2%+D20</f>
        <v>115.27961604795935</v>
      </c>
      <c r="E21" t="str">
        <f>A21&amp;"|"&amp;C21&amp;"|"&amp;B21</f>
        <v>Ref|elc_buildings|2045</v>
      </c>
    </row>
    <row r="22" spans="1:5" ht="13.8">
      <c r="A22" t="str">
        <f>INDEX(Controller!$H$2:$H$11,INT((ROW()-2)/70)+1)</f>
        <v>Ref</v>
      </c>
      <c r="B22" s="2">
        <v>2050</v>
      </c>
      <c r="C22" t="str">
        <f>INDEX(Controller!$J$2:$J$11,MOD(INT((ROW()-2)/7),10)+1)</f>
        <v>elc_buildings</v>
      </c>
      <c r="D22" s="4">
        <f>D21*2%+D21</f>
        <v>117.58520836891854</v>
      </c>
      <c r="E22" t="str">
        <f>A22&amp;"|"&amp;C22&amp;"|"&amp;B22</f>
        <v>Ref|elc_buildings|2050</v>
      </c>
    </row>
    <row r="23" spans="1:5" ht="13.8">
      <c r="A23" t="str">
        <f>INDEX(Controller!$H$2:$H$11,INT((ROW()-2)/70)+1)</f>
        <v>Ref</v>
      </c>
      <c r="B23" s="2">
        <v>2022</v>
      </c>
      <c r="C23" t="str">
        <f>INDEX(Controller!$J$2:$J$11,MOD(INT((ROW()-2)/7),10)+1)</f>
        <v>elc_transport</v>
      </c>
      <c r="D23" s="4">
        <v>5.3090999999999999</v>
      </c>
      <c r="E23" t="str">
        <f>A23&amp;"|"&amp;C23&amp;"|"&amp;B23</f>
        <v>Ref|elc_transport|2022</v>
      </c>
    </row>
    <row r="24" spans="1:5" ht="13.8">
      <c r="A24" t="str">
        <f>INDEX(Controller!$H$2:$H$11,INT((ROW()-2)/70)+1)</f>
        <v>Ref</v>
      </c>
      <c r="B24" s="2">
        <v>2025</v>
      </c>
      <c r="C24" t="str">
        <f>INDEX(Controller!$J$2:$J$11,MOD(INT((ROW()-2)/7),10)+1)</f>
        <v>elc_transport</v>
      </c>
      <c r="D24" s="4">
        <f>D23*2%+D23</f>
        <v>5.4152819999999995</v>
      </c>
      <c r="E24" t="str">
        <f>A24&amp;"|"&amp;C24&amp;"|"&amp;B24</f>
        <v>Ref|elc_transport|2025</v>
      </c>
    </row>
    <row r="25" spans="1:5" ht="13.8">
      <c r="A25" t="str">
        <f>INDEX(Controller!$H$2:$H$11,INT((ROW()-2)/70)+1)</f>
        <v>Ref</v>
      </c>
      <c r="B25" s="2">
        <v>2030</v>
      </c>
      <c r="C25" t="str">
        <f>INDEX(Controller!$J$2:$J$11,MOD(INT((ROW()-2)/7),10)+1)</f>
        <v>elc_transport</v>
      </c>
      <c r="D25" s="4">
        <f>D24*2%+D24</f>
        <v>5.5235876399999997</v>
      </c>
      <c r="E25" t="str">
        <f>A25&amp;"|"&amp;C25&amp;"|"&amp;B25</f>
        <v>Ref|elc_transport|2030</v>
      </c>
    </row>
    <row r="26" spans="1:5" ht="13.8">
      <c r="A26" t="str">
        <f>INDEX(Controller!$H$2:$H$11,INT((ROW()-2)/70)+1)</f>
        <v>Ref</v>
      </c>
      <c r="B26" s="2">
        <v>2035</v>
      </c>
      <c r="C26" t="str">
        <f>INDEX(Controller!$J$2:$J$11,MOD(INT((ROW()-2)/7),10)+1)</f>
        <v>elc_transport</v>
      </c>
      <c r="D26" s="4">
        <f>D25*2%+D25</f>
        <v>5.6340593927999993</v>
      </c>
      <c r="E26" t="str">
        <f>A26&amp;"|"&amp;C26&amp;"|"&amp;B26</f>
        <v>Ref|elc_transport|2035</v>
      </c>
    </row>
    <row r="27" spans="1:5" ht="13.8">
      <c r="A27" t="str">
        <f>INDEX(Controller!$H$2:$H$11,INT((ROW()-2)/70)+1)</f>
        <v>Ref</v>
      </c>
      <c r="B27" s="2">
        <v>2040</v>
      </c>
      <c r="C27" t="str">
        <f>INDEX(Controller!$J$2:$J$11,MOD(INT((ROW()-2)/7),10)+1)</f>
        <v>elc_transport</v>
      </c>
      <c r="D27" s="4">
        <f>D26*2%+D26</f>
        <v>5.7467405806559997</v>
      </c>
      <c r="E27" t="str">
        <f>A27&amp;"|"&amp;C27&amp;"|"&amp;B27</f>
        <v>Ref|elc_transport|2040</v>
      </c>
    </row>
    <row r="28" spans="1:5" ht="13.8">
      <c r="A28" t="str">
        <f>INDEX(Controller!$H$2:$H$11,INT((ROW()-2)/70)+1)</f>
        <v>Ref</v>
      </c>
      <c r="B28" s="2">
        <v>2045</v>
      </c>
      <c r="C28" t="str">
        <f>INDEX(Controller!$J$2:$J$11,MOD(INT((ROW()-2)/7),10)+1)</f>
        <v>elc_transport</v>
      </c>
      <c r="D28" s="4">
        <f>D27*2%+D27</f>
        <v>5.8616753922691194</v>
      </c>
      <c r="E28" t="str">
        <f>A28&amp;"|"&amp;C28&amp;"|"&amp;B28</f>
        <v>Ref|elc_transport|2045</v>
      </c>
    </row>
    <row r="29" spans="1:5" ht="13.8">
      <c r="A29" t="str">
        <f>INDEX(Controller!$H$2:$H$11,INT((ROW()-2)/70)+1)</f>
        <v>Ref</v>
      </c>
      <c r="B29" s="2">
        <v>2050</v>
      </c>
      <c r="C29" t="str">
        <f>INDEX(Controller!$J$2:$J$11,MOD(INT((ROW()-2)/7),10)+1)</f>
        <v>elc_transport</v>
      </c>
      <c r="D29" s="4">
        <f>D28*2%+D28</f>
        <v>5.9789089001145017</v>
      </c>
      <c r="E29" t="str">
        <f>A29&amp;"|"&amp;C29&amp;"|"&amp;B29</f>
        <v>Ref|elc_transport|2050</v>
      </c>
    </row>
    <row r="30" spans="1:5" ht="13.8">
      <c r="A30" t="str">
        <f>INDEX(Controller!$H$2:$H$11,INT((ROW()-2)/70)+1)</f>
        <v>Ref</v>
      </c>
      <c r="B30" s="2">
        <v>2022</v>
      </c>
      <c r="C30" t="str">
        <f>INDEX(Controller!$J$2:$J$11,MOD(INT((ROW()-2)/7),10)+1)</f>
        <v>elc_roadtransport</v>
      </c>
      <c r="D30" s="4">
        <v>1.7697000000000287</v>
      </c>
      <c r="E30" t="str">
        <f>A30&amp;"|"&amp;C30&amp;"|"&amp;B30</f>
        <v>Ref|elc_roadtransport|2022</v>
      </c>
    </row>
    <row r="31" spans="1:5" ht="13.8">
      <c r="A31" t="str">
        <f>INDEX(Controller!$H$2:$H$11,INT((ROW()-2)/70)+1)</f>
        <v>Ref</v>
      </c>
      <c r="B31" s="2">
        <v>2025</v>
      </c>
      <c r="C31" t="str">
        <f>INDEX(Controller!$J$2:$J$11,MOD(INT((ROW()-2)/7),10)+1)</f>
        <v>elc_roadtransport</v>
      </c>
      <c r="D31" s="4">
        <f>D30*2%+D30</f>
        <v>1.8050940000000293</v>
      </c>
      <c r="E31" t="str">
        <f>A31&amp;"|"&amp;C31&amp;"|"&amp;B31</f>
        <v>Ref|elc_roadtransport|2025</v>
      </c>
    </row>
    <row r="32" spans="1:5" ht="13.8">
      <c r="A32" t="str">
        <f>INDEX(Controller!$H$2:$H$11,INT((ROW()-2)/70)+1)</f>
        <v>Ref</v>
      </c>
      <c r="B32" s="2">
        <v>2030</v>
      </c>
      <c r="C32" t="str">
        <f>INDEX(Controller!$J$2:$J$11,MOD(INT((ROW()-2)/7),10)+1)</f>
        <v>elc_roadtransport</v>
      </c>
      <c r="D32" s="4">
        <f>D31*2%+D31</f>
        <v>1.8411958800000299</v>
      </c>
      <c r="E32" t="str">
        <f>A32&amp;"|"&amp;C32&amp;"|"&amp;B32</f>
        <v>Ref|elc_roadtransport|2030</v>
      </c>
    </row>
    <row r="33" spans="1:5" ht="13.8">
      <c r="A33" t="str">
        <f>INDEX(Controller!$H$2:$H$11,INT((ROW()-2)/70)+1)</f>
        <v>Ref</v>
      </c>
      <c r="B33" s="2">
        <v>2035</v>
      </c>
      <c r="C33" t="str">
        <f>INDEX(Controller!$J$2:$J$11,MOD(INT((ROW()-2)/7),10)+1)</f>
        <v>elc_roadtransport</v>
      </c>
      <c r="D33" s="4">
        <f>D32*2%+D32</f>
        <v>1.8780197976000306</v>
      </c>
      <c r="E33" t="str">
        <f>A33&amp;"|"&amp;C33&amp;"|"&amp;B33</f>
        <v>Ref|elc_roadtransport|2035</v>
      </c>
    </row>
    <row r="34" spans="1:5" ht="13.8">
      <c r="A34" t="str">
        <f>INDEX(Controller!$H$2:$H$11,INT((ROW()-2)/70)+1)</f>
        <v>Ref</v>
      </c>
      <c r="B34" s="2">
        <v>2040</v>
      </c>
      <c r="C34" t="str">
        <f>INDEX(Controller!$J$2:$J$11,MOD(INT((ROW()-2)/7),10)+1)</f>
        <v>elc_roadtransport</v>
      </c>
      <c r="D34" s="4">
        <f>D33*2%+D33</f>
        <v>1.9155801935520311</v>
      </c>
      <c r="E34" t="str">
        <f>A34&amp;"|"&amp;C34&amp;"|"&amp;B34</f>
        <v>Ref|elc_roadtransport|2040</v>
      </c>
    </row>
    <row r="35" spans="1:5" ht="13.8">
      <c r="A35" t="str">
        <f>INDEX(Controller!$H$2:$H$11,INT((ROW()-2)/70)+1)</f>
        <v>Ref</v>
      </c>
      <c r="B35" s="2">
        <v>2045</v>
      </c>
      <c r="C35" t="str">
        <f>INDEX(Controller!$J$2:$J$11,MOD(INT((ROW()-2)/7),10)+1)</f>
        <v>elc_roadtransport</v>
      </c>
      <c r="D35" s="4">
        <f>D34*2%+D34</f>
        <v>1.9538917974230718</v>
      </c>
      <c r="E35" t="str">
        <f>A35&amp;"|"&amp;C35&amp;"|"&amp;B35</f>
        <v>Ref|elc_roadtransport|2045</v>
      </c>
    </row>
    <row r="36" spans="1:5" ht="13.8">
      <c r="A36" t="str">
        <f>INDEX(Controller!$H$2:$H$11,INT((ROW()-2)/70)+1)</f>
        <v>Ref</v>
      </c>
      <c r="B36" s="2">
        <v>2050</v>
      </c>
      <c r="C36" t="str">
        <f>INDEX(Controller!$J$2:$J$11,MOD(INT((ROW()-2)/7),10)+1)</f>
        <v>elc_roadtransport</v>
      </c>
      <c r="D36" s="4">
        <f>D35*2%+D35</f>
        <v>1.9929696333715332</v>
      </c>
      <c r="E36" t="str">
        <f>A36&amp;"|"&amp;C36&amp;"|"&amp;B36</f>
        <v>Ref|elc_roadtransport|2050</v>
      </c>
    </row>
    <row r="37" spans="1:5" ht="13.8">
      <c r="A37" t="str">
        <f>INDEX(Controller!$H$2:$H$11,INT((ROW()-2)/70)+1)</f>
        <v>Ref</v>
      </c>
      <c r="B37" s="2">
        <v>2022</v>
      </c>
      <c r="C37" t="str">
        <f>INDEX(Controller!$J$2:$J$11,MOD(INT((ROW()-2)/7),10)+1)</f>
        <v>het_industry</v>
      </c>
      <c r="D37" s="4">
        <v>9.7690000000000001</v>
      </c>
      <c r="E37" t="str">
        <f>A37&amp;"|"&amp;C37&amp;"|"&amp;B37</f>
        <v>Ref|het_industry|2022</v>
      </c>
    </row>
    <row r="38" spans="1:5" ht="13.8">
      <c r="A38" t="str">
        <f>INDEX(Controller!$H$2:$H$11,INT((ROW()-2)/70)+1)</f>
        <v>Ref</v>
      </c>
      <c r="B38" s="2">
        <v>2025</v>
      </c>
      <c r="C38" t="str">
        <f>INDEX(Controller!$J$2:$J$11,MOD(INT((ROW()-2)/7),10)+1)</f>
        <v>het_industry</v>
      </c>
      <c r="D38" s="4">
        <f>D37*2%+D37</f>
        <v>9.9643800000000002</v>
      </c>
      <c r="E38" t="str">
        <f>A38&amp;"|"&amp;C38&amp;"|"&amp;B38</f>
        <v>Ref|het_industry|2025</v>
      </c>
    </row>
    <row r="39" spans="1:5" ht="13.8">
      <c r="A39" t="str">
        <f>INDEX(Controller!$H$2:$H$11,INT((ROW()-2)/70)+1)</f>
        <v>Ref</v>
      </c>
      <c r="B39" s="2">
        <v>2030</v>
      </c>
      <c r="C39" t="str">
        <f>INDEX(Controller!$J$2:$J$11,MOD(INT((ROW()-2)/7),10)+1)</f>
        <v>het_industry</v>
      </c>
      <c r="D39" s="4">
        <f>D38*2%+D38</f>
        <v>10.1636676</v>
      </c>
      <c r="E39" t="str">
        <f>A39&amp;"|"&amp;C39&amp;"|"&amp;B39</f>
        <v>Ref|het_industry|2030</v>
      </c>
    </row>
    <row r="40" spans="1:5" ht="13.8">
      <c r="A40" t="str">
        <f>INDEX(Controller!$H$2:$H$11,INT((ROW()-2)/70)+1)</f>
        <v>Ref</v>
      </c>
      <c r="B40" s="2">
        <v>2035</v>
      </c>
      <c r="C40" t="str">
        <f>INDEX(Controller!$J$2:$J$11,MOD(INT((ROW()-2)/7),10)+1)</f>
        <v>het_industry</v>
      </c>
      <c r="D40" s="4">
        <f>D39*2%+D39</f>
        <v>10.366940952</v>
      </c>
      <c r="E40" t="str">
        <f>A40&amp;"|"&amp;C40&amp;"|"&amp;B40</f>
        <v>Ref|het_industry|2035</v>
      </c>
    </row>
    <row r="41" spans="1:5" ht="13.8">
      <c r="A41" t="str">
        <f>INDEX(Controller!$H$2:$H$11,INT((ROW()-2)/70)+1)</f>
        <v>Ref</v>
      </c>
      <c r="B41" s="2">
        <v>2040</v>
      </c>
      <c r="C41" t="str">
        <f>INDEX(Controller!$J$2:$J$11,MOD(INT((ROW()-2)/7),10)+1)</f>
        <v>het_industry</v>
      </c>
      <c r="D41" s="4">
        <f>D40*2%+D40</f>
        <v>10.57427977104</v>
      </c>
      <c r="E41" t="str">
        <f>A41&amp;"|"&amp;C41&amp;"|"&amp;B41</f>
        <v>Ref|het_industry|2040</v>
      </c>
    </row>
    <row r="42" spans="1:5" ht="13.8">
      <c r="A42" t="str">
        <f>INDEX(Controller!$H$2:$H$11,INT((ROW()-2)/70)+1)</f>
        <v>Ref</v>
      </c>
      <c r="B42" s="2">
        <v>2045</v>
      </c>
      <c r="C42" t="str">
        <f>INDEX(Controller!$J$2:$J$11,MOD(INT((ROW()-2)/7),10)+1)</f>
        <v>het_industry</v>
      </c>
      <c r="D42" s="4">
        <f>D41*2%+D41</f>
        <v>10.785765366460801</v>
      </c>
      <c r="E42" t="str">
        <f>A42&amp;"|"&amp;C42&amp;"|"&amp;B42</f>
        <v>Ref|het_industry|2045</v>
      </c>
    </row>
    <row r="43" spans="1:5" ht="13.8">
      <c r="A43" t="str">
        <f>INDEX(Controller!$H$2:$H$11,INT((ROW()-2)/70)+1)</f>
        <v>Ref</v>
      </c>
      <c r="B43" s="2">
        <v>2050</v>
      </c>
      <c r="C43" t="str">
        <f>INDEX(Controller!$J$2:$J$11,MOD(INT((ROW()-2)/7),10)+1)</f>
        <v>het_industry</v>
      </c>
      <c r="D43" s="4">
        <f>D42*2%+D42</f>
        <v>11.001480673790017</v>
      </c>
      <c r="E43" t="str">
        <f>A43&amp;"|"&amp;C43&amp;"|"&amp;B43</f>
        <v>Ref|het_industry|2050</v>
      </c>
    </row>
    <row r="44" spans="1:5" ht="13.8">
      <c r="A44" t="str">
        <f>INDEX(Controller!$H$2:$H$11,INT((ROW()-2)/70)+1)</f>
        <v>Ref</v>
      </c>
      <c r="B44" s="2">
        <v>2022</v>
      </c>
      <c r="C44" t="str">
        <f>INDEX(Controller!$J$2:$J$11,MOD(INT((ROW()-2)/7),10)+1)</f>
        <v>het_buildings</v>
      </c>
      <c r="D44" s="4">
        <v>55.512999999999998</v>
      </c>
      <c r="E44" t="str">
        <f>A44&amp;"|"&amp;C44&amp;"|"&amp;B44</f>
        <v>Ref|het_buildings|2022</v>
      </c>
    </row>
    <row r="45" spans="1:5" ht="13.8">
      <c r="A45" t="str">
        <f>INDEX(Controller!$H$2:$H$11,INT((ROW()-2)/70)+1)</f>
        <v>Ref</v>
      </c>
      <c r="B45" s="2">
        <v>2025</v>
      </c>
      <c r="C45" t="str">
        <f>INDEX(Controller!$J$2:$J$11,MOD(INT((ROW()-2)/7),10)+1)</f>
        <v>het_buildings</v>
      </c>
      <c r="D45" s="4">
        <f>D44</f>
        <v>55.512999999999998</v>
      </c>
      <c r="E45" t="str">
        <f>A45&amp;"|"&amp;C45&amp;"|"&amp;B45</f>
        <v>Ref|het_buildings|2025</v>
      </c>
    </row>
    <row r="46" spans="1:5" ht="13.8">
      <c r="A46" t="str">
        <f>INDEX(Controller!$H$2:$H$11,INT((ROW()-2)/70)+1)</f>
        <v>Ref</v>
      </c>
      <c r="B46" s="2">
        <v>2030</v>
      </c>
      <c r="C46" t="str">
        <f>INDEX(Controller!$J$2:$J$11,MOD(INT((ROW()-2)/7),10)+1)</f>
        <v>het_buildings</v>
      </c>
      <c r="D46" s="4">
        <f>D45</f>
        <v>55.512999999999998</v>
      </c>
      <c r="E46" t="str">
        <f>A46&amp;"|"&amp;C46&amp;"|"&amp;B46</f>
        <v>Ref|het_buildings|2030</v>
      </c>
    </row>
    <row r="47" spans="1:5" ht="13.8">
      <c r="A47" t="str">
        <f>INDEX(Controller!$H$2:$H$11,INT((ROW()-2)/70)+1)</f>
        <v>Ref</v>
      </c>
      <c r="B47" s="2">
        <v>2035</v>
      </c>
      <c r="C47" t="str">
        <f>INDEX(Controller!$J$2:$J$11,MOD(INT((ROW()-2)/7),10)+1)</f>
        <v>het_buildings</v>
      </c>
      <c r="D47" s="4">
        <f>D46</f>
        <v>55.512999999999998</v>
      </c>
      <c r="E47" t="str">
        <f>A47&amp;"|"&amp;C47&amp;"|"&amp;B47</f>
        <v>Ref|het_buildings|2035</v>
      </c>
    </row>
    <row r="48" spans="1:5" ht="13.8">
      <c r="A48" t="str">
        <f>INDEX(Controller!$H$2:$H$11,INT((ROW()-2)/70)+1)</f>
        <v>Ref</v>
      </c>
      <c r="B48" s="2">
        <v>2040</v>
      </c>
      <c r="C48" t="str">
        <f>INDEX(Controller!$J$2:$J$11,MOD(INT((ROW()-2)/7),10)+1)</f>
        <v>het_buildings</v>
      </c>
      <c r="D48" s="4">
        <f>D47</f>
        <v>55.512999999999998</v>
      </c>
      <c r="E48" t="str">
        <f>A48&amp;"|"&amp;C48&amp;"|"&amp;B48</f>
        <v>Ref|het_buildings|2040</v>
      </c>
    </row>
    <row r="49" spans="1:5" ht="13.8">
      <c r="A49" t="str">
        <f>INDEX(Controller!$H$2:$H$11,INT((ROW()-2)/70)+1)</f>
        <v>Ref</v>
      </c>
      <c r="B49" s="2">
        <v>2045</v>
      </c>
      <c r="C49" t="str">
        <f>INDEX(Controller!$J$2:$J$11,MOD(INT((ROW()-2)/7),10)+1)</f>
        <v>het_buildings</v>
      </c>
      <c r="D49" s="4">
        <f>D48</f>
        <v>55.512999999999998</v>
      </c>
      <c r="E49" t="str">
        <f>A49&amp;"|"&amp;C49&amp;"|"&amp;B49</f>
        <v>Ref|het_buildings|2045</v>
      </c>
    </row>
    <row r="50" spans="1:5" ht="13.8">
      <c r="A50" t="str">
        <f>INDEX(Controller!$H$2:$H$11,INT((ROW()-2)/70)+1)</f>
        <v>Ref</v>
      </c>
      <c r="B50" s="2">
        <v>2050</v>
      </c>
      <c r="C50" t="str">
        <f>INDEX(Controller!$J$2:$J$11,MOD(INT((ROW()-2)/7),10)+1)</f>
        <v>het_buildings</v>
      </c>
      <c r="D50" s="4">
        <f>D49</f>
        <v>55.512999999999998</v>
      </c>
      <c r="E50" t="str">
        <f>A50&amp;"|"&amp;C50&amp;"|"&amp;B50</f>
        <v>Ref|het_buildings|2050</v>
      </c>
    </row>
    <row r="51" spans="1:5" ht="13.8">
      <c r="A51" t="str">
        <f>INDEX(Controller!$H$2:$H$11,INT((ROW()-2)/70)+1)</f>
        <v>Ref</v>
      </c>
      <c r="B51" s="2">
        <v>2022</v>
      </c>
      <c r="C51" t="str">
        <f>INDEX(Controller!$J$2:$J$11,MOD(INT((ROW()-2)/7),10)+1)</f>
        <v>co2net</v>
      </c>
      <c r="D51" s="4">
        <v>0</v>
      </c>
      <c r="E51" t="str">
        <f>A51&amp;"|"&amp;C51&amp;"|"&amp;B51</f>
        <v>Ref|co2net|2022</v>
      </c>
    </row>
    <row r="52" spans="1:5" ht="13.8">
      <c r="A52" t="str">
        <f>INDEX(Controller!$H$2:$H$11,INT((ROW()-2)/70)+1)</f>
        <v>Ref</v>
      </c>
      <c r="B52" s="2">
        <v>2025</v>
      </c>
      <c r="C52" t="str">
        <f>INDEX(Controller!$J$2:$J$11,MOD(INT((ROW()-2)/7),10)+1)</f>
        <v>co2net</v>
      </c>
      <c r="D52" s="26">
        <f>_xlfn.FORECAST.LINEAR(B52,CHOOSE({1,2},D51,D57),CHOOSE({1,2},B51,B57))</f>
        <v>0</v>
      </c>
      <c r="E52" t="str">
        <f>A52&amp;"|"&amp;C52&amp;"|"&amp;B52</f>
        <v>Ref|co2net|2025</v>
      </c>
    </row>
    <row r="53" spans="1:5" ht="13.8">
      <c r="A53" t="str">
        <f>INDEX(Controller!$H$2:$H$11,INT((ROW()-2)/70)+1)</f>
        <v>Ref</v>
      </c>
      <c r="B53" s="2">
        <v>2030</v>
      </c>
      <c r="C53" t="str">
        <f>INDEX(Controller!$J$2:$J$11,MOD(INT((ROW()-2)/7),10)+1)</f>
        <v>co2net</v>
      </c>
      <c r="D53" s="26">
        <f>_xlfn.FORECAST.LINEAR(B53,CHOOSE({1,2},D51,D57),CHOOSE({1,2},B51,B57))</f>
        <v>0</v>
      </c>
      <c r="E53" t="str">
        <f>A53&amp;"|"&amp;C53&amp;"|"&amp;B53</f>
        <v>Ref|co2net|2030</v>
      </c>
    </row>
    <row r="54" spans="1:5" ht="13.8">
      <c r="A54" t="str">
        <f>INDEX(Controller!$H$2:$H$11,INT((ROW()-2)/70)+1)</f>
        <v>Ref</v>
      </c>
      <c r="B54" s="2">
        <v>2035</v>
      </c>
      <c r="C54" t="str">
        <f>INDEX(Controller!$J$2:$J$11,MOD(INT((ROW()-2)/7),10)+1)</f>
        <v>co2net</v>
      </c>
      <c r="D54" s="26">
        <f>_xlfn.FORECAST.LINEAR(B54,CHOOSE({1,2},D51,D57),CHOOSE({1,2},B51,B57))</f>
        <v>0</v>
      </c>
      <c r="E54" t="str">
        <f>A54&amp;"|"&amp;C54&amp;"|"&amp;B54</f>
        <v>Ref|co2net|2035</v>
      </c>
    </row>
    <row r="55" spans="1:5" ht="13.8">
      <c r="A55" t="str">
        <f>INDEX(Controller!$H$2:$H$11,INT((ROW()-2)/70)+1)</f>
        <v>Ref</v>
      </c>
      <c r="B55" s="2">
        <v>2040</v>
      </c>
      <c r="C55" t="str">
        <f>INDEX(Controller!$J$2:$J$11,MOD(INT((ROW()-2)/7),10)+1)</f>
        <v>co2net</v>
      </c>
      <c r="D55" s="26">
        <f>_xlfn.FORECAST.LINEAR(B55,CHOOSE({1,2},D51,D57),CHOOSE({1,2},B51,B57))</f>
        <v>0</v>
      </c>
      <c r="E55" t="str">
        <f>A55&amp;"|"&amp;C55&amp;"|"&amp;B55</f>
        <v>Ref|co2net|2040</v>
      </c>
    </row>
    <row r="56" spans="1:5" ht="13.8">
      <c r="A56" t="str">
        <f>INDEX(Controller!$H$2:$H$11,INT((ROW()-2)/70)+1)</f>
        <v>Ref</v>
      </c>
      <c r="B56" s="2">
        <v>2045</v>
      </c>
      <c r="C56" t="str">
        <f>INDEX(Controller!$J$2:$J$11,MOD(INT((ROW()-2)/7),10)+1)</f>
        <v>co2net</v>
      </c>
      <c r="D56" s="26">
        <f>_xlfn.FORECAST.LINEAR(B56,CHOOSE({1,2},D51,D57),CHOOSE({1,2},B51,B57))</f>
        <v>0</v>
      </c>
      <c r="E56" t="str">
        <f>A56&amp;"|"&amp;C56&amp;"|"&amp;B56</f>
        <v>Ref|co2net|2045</v>
      </c>
    </row>
    <row r="57" spans="1:5" ht="13.8">
      <c r="A57" t="str">
        <f>INDEX(Controller!$H$2:$H$11,INT((ROW()-2)/70)+1)</f>
        <v>Ref</v>
      </c>
      <c r="B57" s="2">
        <v>2050</v>
      </c>
      <c r="C57" t="str">
        <f>INDEX(Controller!$J$2:$J$11,MOD(INT((ROW()-2)/7),10)+1)</f>
        <v>co2net</v>
      </c>
      <c r="D57" s="4">
        <v>0</v>
      </c>
      <c r="E57" t="str">
        <f>A57&amp;"|"&amp;C57&amp;"|"&amp;B57</f>
        <v>Ref|co2net|2050</v>
      </c>
    </row>
    <row r="58" spans="1:5" ht="13.8">
      <c r="A58" t="str">
        <f>INDEX(Controller!$H$2:$H$11,INT((ROW()-2)/70)+1)</f>
        <v>Ref</v>
      </c>
      <c r="B58" s="2">
        <v>2022</v>
      </c>
      <c r="C58" t="str">
        <f>INDEX(Controller!$J$2:$J$11,MOD(INT((ROW()-2)/7),10)+1)</f>
        <v>Variable 9</v>
      </c>
      <c r="D58" s="4"/>
      <c r="E58" t="str">
        <f>A58&amp;"|"&amp;C58&amp;"|"&amp;B58</f>
        <v>Ref|Variable 9|2022</v>
      </c>
    </row>
    <row r="59" spans="1:5" ht="13.8">
      <c r="A59" t="str">
        <f>INDEX(Controller!$H$2:$H$11,INT((ROW()-2)/70)+1)</f>
        <v>Ref</v>
      </c>
      <c r="B59" s="2">
        <v>2025</v>
      </c>
      <c r="C59" t="str">
        <f>INDEX(Controller!$J$2:$J$11,MOD(INT((ROW()-2)/7),10)+1)</f>
        <v>Variable 9</v>
      </c>
      <c r="D59" s="4"/>
      <c r="E59" t="str">
        <f>A59&amp;"|"&amp;C59&amp;"|"&amp;B59</f>
        <v>Ref|Variable 9|2025</v>
      </c>
    </row>
    <row r="60" spans="1:5" ht="13.8">
      <c r="A60" t="str">
        <f>INDEX(Controller!$H$2:$H$11,INT((ROW()-2)/70)+1)</f>
        <v>Ref</v>
      </c>
      <c r="B60" s="2">
        <v>2030</v>
      </c>
      <c r="C60" t="str">
        <f>INDEX(Controller!$J$2:$J$11,MOD(INT((ROW()-2)/7),10)+1)</f>
        <v>Variable 9</v>
      </c>
      <c r="D60" s="4"/>
      <c r="E60" t="str">
        <f>A60&amp;"|"&amp;C60&amp;"|"&amp;B60</f>
        <v>Ref|Variable 9|2030</v>
      </c>
    </row>
    <row r="61" spans="1:5" ht="13.8">
      <c r="A61" t="str">
        <f>INDEX(Controller!$H$2:$H$11,INT((ROW()-2)/70)+1)</f>
        <v>Ref</v>
      </c>
      <c r="B61" s="2">
        <v>2035</v>
      </c>
      <c r="C61" t="str">
        <f>INDEX(Controller!$J$2:$J$11,MOD(INT((ROW()-2)/7),10)+1)</f>
        <v>Variable 9</v>
      </c>
      <c r="D61" s="4"/>
      <c r="E61" t="str">
        <f>A61&amp;"|"&amp;C61&amp;"|"&amp;B61</f>
        <v>Ref|Variable 9|2035</v>
      </c>
    </row>
    <row r="62" spans="1:5" ht="13.8">
      <c r="A62" t="str">
        <f>INDEX(Controller!$H$2:$H$11,INT((ROW()-2)/70)+1)</f>
        <v>Ref</v>
      </c>
      <c r="B62" s="2">
        <v>2040</v>
      </c>
      <c r="C62" t="str">
        <f>INDEX(Controller!$J$2:$J$11,MOD(INT((ROW()-2)/7),10)+1)</f>
        <v>Variable 9</v>
      </c>
      <c r="D62" s="4"/>
      <c r="E62" t="str">
        <f>A62&amp;"|"&amp;C62&amp;"|"&amp;B62</f>
        <v>Ref|Variable 9|2040</v>
      </c>
    </row>
    <row r="63" spans="1:5" ht="13.8">
      <c r="A63" t="str">
        <f>INDEX(Controller!$H$2:$H$11,INT((ROW()-2)/70)+1)</f>
        <v>Ref</v>
      </c>
      <c r="B63" s="2">
        <v>2045</v>
      </c>
      <c r="C63" t="str">
        <f>INDEX(Controller!$J$2:$J$11,MOD(INT((ROW()-2)/7),10)+1)</f>
        <v>Variable 9</v>
      </c>
      <c r="D63" s="4"/>
      <c r="E63" t="str">
        <f>A63&amp;"|"&amp;C63&amp;"|"&amp;B63</f>
        <v>Ref|Variable 9|2045</v>
      </c>
    </row>
    <row r="64" spans="1:5" ht="13.8">
      <c r="A64" t="str">
        <f>INDEX(Controller!$H$2:$H$11,INT((ROW()-2)/70)+1)</f>
        <v>Ref</v>
      </c>
      <c r="B64" s="2">
        <v>2050</v>
      </c>
      <c r="C64" t="str">
        <f>INDEX(Controller!$J$2:$J$11,MOD(INT((ROW()-2)/7),10)+1)</f>
        <v>Variable 9</v>
      </c>
      <c r="D64" s="4"/>
      <c r="E64" t="str">
        <f>A64&amp;"|"&amp;C64&amp;"|"&amp;B64</f>
        <v>Ref|Variable 9|2050</v>
      </c>
    </row>
    <row r="65" spans="1:5" ht="13.8">
      <c r="A65" t="str">
        <f>INDEX(Controller!$H$2:$H$11,INT((ROW()-2)/70)+1)</f>
        <v>Ref</v>
      </c>
      <c r="B65" s="2">
        <v>2022</v>
      </c>
      <c r="C65" t="str">
        <f>INDEX(Controller!$J$2:$J$11,MOD(INT((ROW()-2)/7),10)+1)</f>
        <v>Variable 10</v>
      </c>
      <c r="D65" s="4"/>
      <c r="E65" t="str">
        <f>A65&amp;"|"&amp;C65&amp;"|"&amp;B65</f>
        <v>Ref|Variable 10|2022</v>
      </c>
    </row>
    <row r="66" spans="1:5" ht="13.8">
      <c r="A66" t="str">
        <f>INDEX(Controller!$H$2:$H$11,INT((ROW()-2)/70)+1)</f>
        <v>Ref</v>
      </c>
      <c r="B66" s="2">
        <v>2025</v>
      </c>
      <c r="C66" t="str">
        <f>INDEX(Controller!$J$2:$J$11,MOD(INT((ROW()-2)/7),10)+1)</f>
        <v>Variable 10</v>
      </c>
      <c r="D66" s="4"/>
      <c r="E66" t="str">
        <f>A66&amp;"|"&amp;C66&amp;"|"&amp;B66</f>
        <v>Ref|Variable 10|2025</v>
      </c>
    </row>
    <row r="67" spans="1:5" ht="13.8">
      <c r="A67" t="str">
        <f>INDEX(Controller!$H$2:$H$11,INT((ROW()-2)/70)+1)</f>
        <v>Ref</v>
      </c>
      <c r="B67" s="2">
        <v>2030</v>
      </c>
      <c r="C67" t="str">
        <f>INDEX(Controller!$J$2:$J$11,MOD(INT((ROW()-2)/7),10)+1)</f>
        <v>Variable 10</v>
      </c>
      <c r="D67" s="4"/>
      <c r="E67" t="str">
        <f>A67&amp;"|"&amp;C67&amp;"|"&amp;B67</f>
        <v>Ref|Variable 10|2030</v>
      </c>
    </row>
    <row r="68" spans="1:5" ht="13.8">
      <c r="A68" t="str">
        <f>INDEX(Controller!$H$2:$H$11,INT((ROW()-2)/70)+1)</f>
        <v>Ref</v>
      </c>
      <c r="B68" s="2">
        <v>2035</v>
      </c>
      <c r="C68" t="str">
        <f>INDEX(Controller!$J$2:$J$11,MOD(INT((ROW()-2)/7),10)+1)</f>
        <v>Variable 10</v>
      </c>
      <c r="D68" s="4"/>
      <c r="E68" t="str">
        <f>A68&amp;"|"&amp;C68&amp;"|"&amp;B68</f>
        <v>Ref|Variable 10|2035</v>
      </c>
    </row>
    <row r="69" spans="1:5" ht="13.8">
      <c r="A69" t="str">
        <f>INDEX(Controller!$H$2:$H$11,INT((ROW()-2)/70)+1)</f>
        <v>Ref</v>
      </c>
      <c r="B69" s="2">
        <v>2040</v>
      </c>
      <c r="C69" t="str">
        <f>INDEX(Controller!$J$2:$J$11,MOD(INT((ROW()-2)/7),10)+1)</f>
        <v>Variable 10</v>
      </c>
      <c r="D69" s="4"/>
      <c r="E69" t="str">
        <f>A69&amp;"|"&amp;C69&amp;"|"&amp;B69</f>
        <v>Ref|Variable 10|2040</v>
      </c>
    </row>
    <row r="70" spans="1:5" ht="13.8">
      <c r="A70" t="str">
        <f>INDEX(Controller!$H$2:$H$11,INT((ROW()-2)/70)+1)</f>
        <v>Ref</v>
      </c>
      <c r="B70" s="2">
        <v>2045</v>
      </c>
      <c r="C70" t="str">
        <f>INDEX(Controller!$J$2:$J$11,MOD(INT((ROW()-2)/7),10)+1)</f>
        <v>Variable 10</v>
      </c>
      <c r="D70" s="4"/>
      <c r="E70" t="str">
        <f>A70&amp;"|"&amp;C70&amp;"|"&amp;B70</f>
        <v>Ref|Variable 10|2045</v>
      </c>
    </row>
    <row r="71" spans="1:5" ht="13.8">
      <c r="A71" t="str">
        <f>INDEX(Controller!$H$2:$H$11,INT((ROW()-2)/70)+1)</f>
        <v>Ref</v>
      </c>
      <c r="B71" s="2">
        <v>2050</v>
      </c>
      <c r="C71" t="str">
        <f>INDEX(Controller!$J$2:$J$11,MOD(INT((ROW()-2)/7),10)+1)</f>
        <v>Variable 10</v>
      </c>
      <c r="D71" s="4"/>
      <c r="E71" t="str">
        <f>A71&amp;"|"&amp;C71&amp;"|"&amp;B71</f>
        <v>Ref|Variable 10|2050</v>
      </c>
    </row>
    <row r="72" spans="1:5" ht="13.8">
      <c r="A72" t="str">
        <f>INDEX(Controller!$H$2:$H$11,INT((ROW()-2)/70)+1)</f>
        <v>Mild</v>
      </c>
      <c r="B72" s="2">
        <v>2022</v>
      </c>
      <c r="C72" t="str">
        <f>INDEX(Controller!$J$2:$J$11,MOD(INT((ROW()-2)/7),10)+1)</f>
        <v>hydrogen_allsect</v>
      </c>
      <c r="D72" s="4">
        <v>0</v>
      </c>
      <c r="E72" t="str">
        <f>A72&amp;"|"&amp;C72&amp;"|"&amp;B72</f>
        <v>Mild|hydrogen_allsect|2022</v>
      </c>
    </row>
    <row r="73" spans="1:5" ht="13.8">
      <c r="A73" t="str">
        <f>INDEX(Controller!$H$2:$H$11,INT((ROW()-2)/70)+1)</f>
        <v>Mild</v>
      </c>
      <c r="B73" s="2">
        <v>2025</v>
      </c>
      <c r="C73" t="str">
        <f>INDEX(Controller!$J$2:$J$11,MOD(INT((ROW()-2)/7),10)+1)</f>
        <v>hydrogen_allsect</v>
      </c>
      <c r="D73" s="4">
        <f>D72*2%+D72</f>
        <v>0</v>
      </c>
      <c r="E73" t="str">
        <f>A73&amp;"|"&amp;C73&amp;"|"&amp;B73</f>
        <v>Mild|hydrogen_allsect|2025</v>
      </c>
    </row>
    <row r="74" spans="1:5" ht="13.8">
      <c r="A74" t="str">
        <f>INDEX(Controller!$H$2:$H$11,INT((ROW()-2)/70)+1)</f>
        <v>Mild</v>
      </c>
      <c r="B74" s="2">
        <v>2030</v>
      </c>
      <c r="C74" t="str">
        <f>INDEX(Controller!$J$2:$J$11,MOD(INT((ROW()-2)/7),10)+1)</f>
        <v>hydrogen_allsect</v>
      </c>
      <c r="D74" s="4">
        <f>D73*2%+D73</f>
        <v>0</v>
      </c>
      <c r="E74" t="str">
        <f>A74&amp;"|"&amp;C74&amp;"|"&amp;B74</f>
        <v>Mild|hydrogen_allsect|2030</v>
      </c>
    </row>
    <row r="75" spans="1:5" ht="13.8">
      <c r="A75" t="str">
        <f>INDEX(Controller!$H$2:$H$11,INT((ROW()-2)/70)+1)</f>
        <v>Mild</v>
      </c>
      <c r="B75" s="2">
        <v>2035</v>
      </c>
      <c r="C75" t="str">
        <f>INDEX(Controller!$J$2:$J$11,MOD(INT((ROW()-2)/7),10)+1)</f>
        <v>hydrogen_allsect</v>
      </c>
      <c r="D75" s="4">
        <f>D74*2%+D74</f>
        <v>0</v>
      </c>
      <c r="E75" t="str">
        <f>A75&amp;"|"&amp;C75&amp;"|"&amp;B75</f>
        <v>Mild|hydrogen_allsect|2035</v>
      </c>
    </row>
    <row r="76" spans="1:5" ht="13.8">
      <c r="A76" t="str">
        <f>INDEX(Controller!$H$2:$H$11,INT((ROW()-2)/70)+1)</f>
        <v>Mild</v>
      </c>
      <c r="B76" s="2">
        <v>2040</v>
      </c>
      <c r="C76" t="str">
        <f>INDEX(Controller!$J$2:$J$11,MOD(INT((ROW()-2)/7),10)+1)</f>
        <v>hydrogen_allsect</v>
      </c>
      <c r="D76" s="4">
        <f>D75*2%+D75</f>
        <v>0</v>
      </c>
      <c r="E76" t="str">
        <f>A76&amp;"|"&amp;C76&amp;"|"&amp;B76</f>
        <v>Mild|hydrogen_allsect|2040</v>
      </c>
    </row>
    <row r="77" spans="1:5" ht="13.8">
      <c r="A77" t="str">
        <f>INDEX(Controller!$H$2:$H$11,INT((ROW()-2)/70)+1)</f>
        <v>Mild</v>
      </c>
      <c r="B77" s="2">
        <v>2045</v>
      </c>
      <c r="C77" t="str">
        <f>INDEX(Controller!$J$2:$J$11,MOD(INT((ROW()-2)/7),10)+1)</f>
        <v>hydrogen_allsect</v>
      </c>
      <c r="D77" s="4">
        <f>D76*2%+D76</f>
        <v>0</v>
      </c>
      <c r="E77" t="str">
        <f>A77&amp;"|"&amp;C77&amp;"|"&amp;B77</f>
        <v>Mild|hydrogen_allsect|2045</v>
      </c>
    </row>
    <row r="78" spans="1:5" ht="13.8">
      <c r="A78" t="str">
        <f>INDEX(Controller!$H$2:$H$11,INT((ROW()-2)/70)+1)</f>
        <v>Mild</v>
      </c>
      <c r="B78" s="2">
        <v>2050</v>
      </c>
      <c r="C78" t="str">
        <f>INDEX(Controller!$J$2:$J$11,MOD(INT((ROW()-2)/7),10)+1)</f>
        <v>hydrogen_allsect</v>
      </c>
      <c r="D78" s="4">
        <f>D77*2%+D77</f>
        <v>0</v>
      </c>
      <c r="E78" t="str">
        <f>A78&amp;"|"&amp;C78&amp;"|"&amp;B78</f>
        <v>Mild|hydrogen_allsect|2050</v>
      </c>
    </row>
    <row r="79" spans="1:5" ht="13.8">
      <c r="A79" t="str">
        <f>INDEX(Controller!$H$2:$H$11,INT((ROW()-2)/70)+1)</f>
        <v>Mild</v>
      </c>
      <c r="B79" s="2">
        <v>2022</v>
      </c>
      <c r="C79" t="str">
        <f>INDEX(Controller!$J$2:$J$11,MOD(INT((ROW()-2)/7),10)+1)</f>
        <v>elc_industry</v>
      </c>
      <c r="D79" s="4">
        <v>65.478899999999996</v>
      </c>
      <c r="E79" t="str">
        <f>A79&amp;"|"&amp;C79&amp;"|"&amp;B79</f>
        <v>Mild|elc_industry|2022</v>
      </c>
    </row>
    <row r="80" spans="1:5" ht="13.8">
      <c r="A80" t="str">
        <f>INDEX(Controller!$H$2:$H$11,INT((ROW()-2)/70)+1)</f>
        <v>Mild</v>
      </c>
      <c r="B80" s="2">
        <v>2025</v>
      </c>
      <c r="C80" t="str">
        <f>INDEX(Controller!$J$2:$J$11,MOD(INT((ROW()-2)/7),10)+1)</f>
        <v>elc_industry</v>
      </c>
      <c r="D80" s="4">
        <f>D79*5%+D79</f>
        <v>68.752844999999994</v>
      </c>
      <c r="E80" t="str">
        <f>A80&amp;"|"&amp;C80&amp;"|"&amp;B80</f>
        <v>Mild|elc_industry|2025</v>
      </c>
    </row>
    <row r="81" spans="1:5" ht="13.8">
      <c r="A81" t="str">
        <f>INDEX(Controller!$H$2:$H$11,INT((ROW()-2)/70)+1)</f>
        <v>Mild</v>
      </c>
      <c r="B81" s="2">
        <v>2030</v>
      </c>
      <c r="C81" t="str">
        <f>INDEX(Controller!$J$2:$J$11,MOD(INT((ROW()-2)/7),10)+1)</f>
        <v>elc_industry</v>
      </c>
      <c r="D81" s="4">
        <f>D80*5%+D80</f>
        <v>72.19048724999999</v>
      </c>
      <c r="E81" t="str">
        <f>A81&amp;"|"&amp;C81&amp;"|"&amp;B81</f>
        <v>Mild|elc_industry|2030</v>
      </c>
    </row>
    <row r="82" spans="1:5" ht="13.8">
      <c r="A82" t="str">
        <f>INDEX(Controller!$H$2:$H$11,INT((ROW()-2)/70)+1)</f>
        <v>Mild</v>
      </c>
      <c r="B82" s="2">
        <v>2035</v>
      </c>
      <c r="C82" t="str">
        <f>INDEX(Controller!$J$2:$J$11,MOD(INT((ROW()-2)/7),10)+1)</f>
        <v>elc_industry</v>
      </c>
      <c r="D82" s="4">
        <f>D81*5%+D81</f>
        <v>75.800011612499986</v>
      </c>
      <c r="E82" t="str">
        <f>A82&amp;"|"&amp;C82&amp;"|"&amp;B82</f>
        <v>Mild|elc_industry|2035</v>
      </c>
    </row>
    <row r="83" spans="1:5" ht="13.8">
      <c r="A83" t="str">
        <f>INDEX(Controller!$H$2:$H$11,INT((ROW()-2)/70)+1)</f>
        <v>Mild</v>
      </c>
      <c r="B83" s="2">
        <v>2040</v>
      </c>
      <c r="C83" t="str">
        <f>INDEX(Controller!$J$2:$J$11,MOD(INT((ROW()-2)/7),10)+1)</f>
        <v>elc_industry</v>
      </c>
      <c r="D83" s="4">
        <f>D82*5%+D82</f>
        <v>79.590012193124991</v>
      </c>
      <c r="E83" t="str">
        <f>A83&amp;"|"&amp;C83&amp;"|"&amp;B83</f>
        <v>Mild|elc_industry|2040</v>
      </c>
    </row>
    <row r="84" spans="1:5" ht="13.8">
      <c r="A84" t="str">
        <f>INDEX(Controller!$H$2:$H$11,INT((ROW()-2)/70)+1)</f>
        <v>Mild</v>
      </c>
      <c r="B84" s="2">
        <v>2045</v>
      </c>
      <c r="C84" t="str">
        <f>INDEX(Controller!$J$2:$J$11,MOD(INT((ROW()-2)/7),10)+1)</f>
        <v>elc_industry</v>
      </c>
      <c r="D84" s="4">
        <f>D83*5%+D83</f>
        <v>83.569512802781247</v>
      </c>
      <c r="E84" t="str">
        <f>A84&amp;"|"&amp;C84&amp;"|"&amp;B84</f>
        <v>Mild|elc_industry|2045</v>
      </c>
    </row>
    <row r="85" spans="1:5" ht="13.8">
      <c r="A85" t="str">
        <f>INDEX(Controller!$H$2:$H$11,INT((ROW()-2)/70)+1)</f>
        <v>Mild</v>
      </c>
      <c r="B85" s="2">
        <v>2050</v>
      </c>
      <c r="C85" t="str">
        <f>INDEX(Controller!$J$2:$J$11,MOD(INT((ROW()-2)/7),10)+1)</f>
        <v>elc_industry</v>
      </c>
      <c r="D85" s="4">
        <f>D84*5%+D84</f>
        <v>87.747988442920303</v>
      </c>
      <c r="E85" t="str">
        <f>A85&amp;"|"&amp;C85&amp;"|"&amp;B85</f>
        <v>Mild|elc_industry|2050</v>
      </c>
    </row>
    <row r="86" spans="1:5" ht="13.8">
      <c r="A86" t="str">
        <f>INDEX(Controller!$H$2:$H$11,INT((ROW()-2)/70)+1)</f>
        <v>Mild</v>
      </c>
      <c r="B86" s="2">
        <v>2022</v>
      </c>
      <c r="C86" t="str">
        <f>INDEX(Controller!$J$2:$J$11,MOD(INT((ROW()-2)/7),10)+1)</f>
        <v>elc_buildings</v>
      </c>
      <c r="D86" s="4">
        <v>104.41229999999999</v>
      </c>
      <c r="E86" t="str">
        <f>A86&amp;"|"&amp;C86&amp;"|"&amp;B86</f>
        <v>Mild|elc_buildings|2022</v>
      </c>
    </row>
    <row r="87" spans="1:5" ht="13.8">
      <c r="A87" t="str">
        <f>INDEX(Controller!$H$2:$H$11,INT((ROW()-2)/70)+1)</f>
        <v>Mild</v>
      </c>
      <c r="B87" s="2">
        <v>2025</v>
      </c>
      <c r="C87" t="str">
        <f>INDEX(Controller!$J$2:$J$11,MOD(INT((ROW()-2)/7),10)+1)</f>
        <v>elc_buildings</v>
      </c>
      <c r="D87" s="4">
        <f>D86*5%+D86</f>
        <v>109.63291499999998</v>
      </c>
      <c r="E87" t="str">
        <f>A87&amp;"|"&amp;C87&amp;"|"&amp;B87</f>
        <v>Mild|elc_buildings|2025</v>
      </c>
    </row>
    <row r="88" spans="1:5" ht="13.8">
      <c r="A88" t="str">
        <f>INDEX(Controller!$H$2:$H$11,INT((ROW()-2)/70)+1)</f>
        <v>Mild</v>
      </c>
      <c r="B88" s="2">
        <v>2030</v>
      </c>
      <c r="C88" t="str">
        <f>INDEX(Controller!$J$2:$J$11,MOD(INT((ROW()-2)/7),10)+1)</f>
        <v>elc_buildings</v>
      </c>
      <c r="D88" s="4">
        <f>D87*5%+D87</f>
        <v>115.11456074999998</v>
      </c>
      <c r="E88" t="str">
        <f>A88&amp;"|"&amp;C88&amp;"|"&amp;B88</f>
        <v>Mild|elc_buildings|2030</v>
      </c>
    </row>
    <row r="89" spans="1:5" ht="13.8">
      <c r="A89" t="str">
        <f>INDEX(Controller!$H$2:$H$11,INT((ROW()-2)/70)+1)</f>
        <v>Mild</v>
      </c>
      <c r="B89" s="2">
        <v>2035</v>
      </c>
      <c r="C89" t="str">
        <f>INDEX(Controller!$J$2:$J$11,MOD(INT((ROW()-2)/7),10)+1)</f>
        <v>elc_buildings</v>
      </c>
      <c r="D89" s="4">
        <f>D88*5%+D88</f>
        <v>120.87028878749999</v>
      </c>
      <c r="E89" t="str">
        <f>A89&amp;"|"&amp;C89&amp;"|"&amp;B89</f>
        <v>Mild|elc_buildings|2035</v>
      </c>
    </row>
    <row r="90" spans="1:5" ht="13.8">
      <c r="A90" t="str">
        <f>INDEX(Controller!$H$2:$H$11,INT((ROW()-2)/70)+1)</f>
        <v>Mild</v>
      </c>
      <c r="B90" s="2">
        <v>2040</v>
      </c>
      <c r="C90" t="str">
        <f>INDEX(Controller!$J$2:$J$11,MOD(INT((ROW()-2)/7),10)+1)</f>
        <v>elc_buildings</v>
      </c>
      <c r="D90" s="4">
        <f>D89*5%+D89</f>
        <v>126.91380322687499</v>
      </c>
      <c r="E90" t="str">
        <f>A90&amp;"|"&amp;C90&amp;"|"&amp;B90</f>
        <v>Mild|elc_buildings|2040</v>
      </c>
    </row>
    <row r="91" spans="1:5" ht="13.8">
      <c r="A91" t="str">
        <f>INDEX(Controller!$H$2:$H$11,INT((ROW()-2)/70)+1)</f>
        <v>Mild</v>
      </c>
      <c r="B91" s="2">
        <v>2045</v>
      </c>
      <c r="C91" t="str">
        <f>INDEX(Controller!$J$2:$J$11,MOD(INT((ROW()-2)/7),10)+1)</f>
        <v>elc_buildings</v>
      </c>
      <c r="D91" s="4">
        <f>D90*5%+D90</f>
        <v>133.25949338821874</v>
      </c>
      <c r="E91" t="str">
        <f>A91&amp;"|"&amp;C91&amp;"|"&amp;B91</f>
        <v>Mild|elc_buildings|2045</v>
      </c>
    </row>
    <row r="92" spans="1:5" ht="13.8">
      <c r="A92" t="str">
        <f>INDEX(Controller!$H$2:$H$11,INT((ROW()-2)/70)+1)</f>
        <v>Mild</v>
      </c>
      <c r="B92" s="2">
        <v>2050</v>
      </c>
      <c r="C92" t="str">
        <f>INDEX(Controller!$J$2:$J$11,MOD(INT((ROW()-2)/7),10)+1)</f>
        <v>elc_buildings</v>
      </c>
      <c r="D92" s="4">
        <f>D91*5%+D91</f>
        <v>139.92246805762969</v>
      </c>
      <c r="E92" t="str">
        <f>A92&amp;"|"&amp;C92&amp;"|"&amp;B92</f>
        <v>Mild|elc_buildings|2050</v>
      </c>
    </row>
    <row r="93" spans="1:5" ht="13.8">
      <c r="A93" t="str">
        <f>INDEX(Controller!$H$2:$H$11,INT((ROW()-2)/70)+1)</f>
        <v>Mild</v>
      </c>
      <c r="B93" s="2">
        <v>2022</v>
      </c>
      <c r="C93" t="str">
        <f>INDEX(Controller!$J$2:$J$11,MOD(INT((ROW()-2)/7),10)+1)</f>
        <v>elc_transport</v>
      </c>
      <c r="D93" s="4">
        <v>5.3090999999999999</v>
      </c>
      <c r="E93" t="str">
        <f>A93&amp;"|"&amp;C93&amp;"|"&amp;B93</f>
        <v>Mild|elc_transport|2022</v>
      </c>
    </row>
    <row r="94" spans="1:5" ht="13.8">
      <c r="A94" t="str">
        <f>INDEX(Controller!$H$2:$H$11,INT((ROW()-2)/70)+1)</f>
        <v>Mild</v>
      </c>
      <c r="B94" s="2">
        <v>2025</v>
      </c>
      <c r="C94" t="str">
        <f>INDEX(Controller!$J$2:$J$11,MOD(INT((ROW()-2)/7),10)+1)</f>
        <v>elc_transport</v>
      </c>
      <c r="D94" s="4">
        <f>D93*5%+D93</f>
        <v>5.5745550000000001</v>
      </c>
      <c r="E94" t="str">
        <f>A94&amp;"|"&amp;C94&amp;"|"&amp;B94</f>
        <v>Mild|elc_transport|2025</v>
      </c>
    </row>
    <row r="95" spans="1:5" ht="13.8">
      <c r="A95" t="str">
        <f>INDEX(Controller!$H$2:$H$11,INT((ROW()-2)/70)+1)</f>
        <v>Mild</v>
      </c>
      <c r="B95" s="2">
        <v>2030</v>
      </c>
      <c r="C95" t="str">
        <f>INDEX(Controller!$J$2:$J$11,MOD(INT((ROW()-2)/7),10)+1)</f>
        <v>elc_transport</v>
      </c>
      <c r="D95" s="4">
        <f>D94*5%+D94</f>
        <v>5.85328275</v>
      </c>
      <c r="E95" t="str">
        <f>A95&amp;"|"&amp;C95&amp;"|"&amp;B95</f>
        <v>Mild|elc_transport|2030</v>
      </c>
    </row>
    <row r="96" spans="1:5" ht="13.8">
      <c r="A96" t="str">
        <f>INDEX(Controller!$H$2:$H$11,INT((ROW()-2)/70)+1)</f>
        <v>Mild</v>
      </c>
      <c r="B96" s="2">
        <v>2035</v>
      </c>
      <c r="C96" t="str">
        <f>INDEX(Controller!$J$2:$J$11,MOD(INT((ROW()-2)/7),10)+1)</f>
        <v>elc_transport</v>
      </c>
      <c r="D96" s="4">
        <f>D95*5%+D95</f>
        <v>6.1459468875000001</v>
      </c>
      <c r="E96" t="str">
        <f>A96&amp;"|"&amp;C96&amp;"|"&amp;B96</f>
        <v>Mild|elc_transport|2035</v>
      </c>
    </row>
    <row r="97" spans="1:5" ht="13.8">
      <c r="A97" t="str">
        <f>INDEX(Controller!$H$2:$H$11,INT((ROW()-2)/70)+1)</f>
        <v>Mild</v>
      </c>
      <c r="B97" s="2">
        <v>2040</v>
      </c>
      <c r="C97" t="str">
        <f>INDEX(Controller!$J$2:$J$11,MOD(INT((ROW()-2)/7),10)+1)</f>
        <v>elc_transport</v>
      </c>
      <c r="D97" s="4">
        <f>D96*5%+D96</f>
        <v>6.4532442318749998</v>
      </c>
      <c r="E97" t="str">
        <f>A97&amp;"|"&amp;C97&amp;"|"&amp;B97</f>
        <v>Mild|elc_transport|2040</v>
      </c>
    </row>
    <row r="98" spans="1:5" ht="13.8">
      <c r="A98" t="str">
        <f>INDEX(Controller!$H$2:$H$11,INT((ROW()-2)/70)+1)</f>
        <v>Mild</v>
      </c>
      <c r="B98" s="2">
        <v>2045</v>
      </c>
      <c r="C98" t="str">
        <f>INDEX(Controller!$J$2:$J$11,MOD(INT((ROW()-2)/7),10)+1)</f>
        <v>elc_transport</v>
      </c>
      <c r="D98" s="4">
        <f>D97*5%+D97</f>
        <v>6.7759064434687497</v>
      </c>
      <c r="E98" t="str">
        <f>A98&amp;"|"&amp;C98&amp;"|"&amp;B98</f>
        <v>Mild|elc_transport|2045</v>
      </c>
    </row>
    <row r="99" spans="1:5" ht="13.8">
      <c r="A99" t="str">
        <f>INDEX(Controller!$H$2:$H$11,INT((ROW()-2)/70)+1)</f>
        <v>Mild</v>
      </c>
      <c r="B99" s="2">
        <v>2050</v>
      </c>
      <c r="C99" t="str">
        <f>INDEX(Controller!$J$2:$J$11,MOD(INT((ROW()-2)/7),10)+1)</f>
        <v>elc_transport</v>
      </c>
      <c r="D99" s="4">
        <f>D98*5%+D98</f>
        <v>7.1147017656421871</v>
      </c>
      <c r="E99" t="str">
        <f>A99&amp;"|"&amp;C99&amp;"|"&amp;B99</f>
        <v>Mild|elc_transport|2050</v>
      </c>
    </row>
    <row r="100" spans="1:5" ht="13.8">
      <c r="A100" t="str">
        <f>INDEX(Controller!$H$2:$H$11,INT((ROW()-2)/70)+1)</f>
        <v>Mild</v>
      </c>
      <c r="B100" s="2">
        <v>2022</v>
      </c>
      <c r="C100" t="str">
        <f>INDEX(Controller!$J$2:$J$11,MOD(INT((ROW()-2)/7),10)+1)</f>
        <v>elc_roadtransport</v>
      </c>
      <c r="D100" s="4">
        <v>1.7697000000000287</v>
      </c>
      <c r="E100" t="str">
        <f>A100&amp;"|"&amp;C100&amp;"|"&amp;B100</f>
        <v>Mild|elc_roadtransport|2022</v>
      </c>
    </row>
    <row r="101" spans="1:5" ht="13.8">
      <c r="A101" t="str">
        <f>INDEX(Controller!$H$2:$H$11,INT((ROW()-2)/70)+1)</f>
        <v>Mild</v>
      </c>
      <c r="B101" s="2">
        <v>2025</v>
      </c>
      <c r="C101" t="str">
        <f>INDEX(Controller!$J$2:$J$11,MOD(INT((ROW()-2)/7),10)+1)</f>
        <v>elc_roadtransport</v>
      </c>
      <c r="D101" s="4">
        <f>D100*5%+D100</f>
        <v>1.8581850000000302</v>
      </c>
      <c r="E101" t="str">
        <f>A101&amp;"|"&amp;C101&amp;"|"&amp;B101</f>
        <v>Mild|elc_roadtransport|2025</v>
      </c>
    </row>
    <row r="102" spans="1:5" ht="13.8">
      <c r="A102" t="str">
        <f>INDEX(Controller!$H$2:$H$11,INT((ROW()-2)/70)+1)</f>
        <v>Mild</v>
      </c>
      <c r="B102" s="2">
        <v>2030</v>
      </c>
      <c r="C102" t="str">
        <f>INDEX(Controller!$J$2:$J$11,MOD(INT((ROW()-2)/7),10)+1)</f>
        <v>elc_roadtransport</v>
      </c>
      <c r="D102" s="4">
        <f>D101*5%+D101</f>
        <v>1.9510942500000317</v>
      </c>
      <c r="E102" t="str">
        <f>A102&amp;"|"&amp;C102&amp;"|"&amp;B102</f>
        <v>Mild|elc_roadtransport|2030</v>
      </c>
    </row>
    <row r="103" spans="1:5" ht="13.8">
      <c r="A103" t="str">
        <f>INDEX(Controller!$H$2:$H$11,INT((ROW()-2)/70)+1)</f>
        <v>Mild</v>
      </c>
      <c r="B103" s="2">
        <v>2035</v>
      </c>
      <c r="C103" t="str">
        <f>INDEX(Controller!$J$2:$J$11,MOD(INT((ROW()-2)/7),10)+1)</f>
        <v>elc_roadtransport</v>
      </c>
      <c r="D103" s="4">
        <f>D102*5%+D102</f>
        <v>2.0486489625000335</v>
      </c>
      <c r="E103" t="str">
        <f>A103&amp;"|"&amp;C103&amp;"|"&amp;B103</f>
        <v>Mild|elc_roadtransport|2035</v>
      </c>
    </row>
    <row r="104" spans="1:5" ht="13.8">
      <c r="A104" t="str">
        <f>INDEX(Controller!$H$2:$H$11,INT((ROW()-2)/70)+1)</f>
        <v>Mild</v>
      </c>
      <c r="B104" s="2">
        <v>2040</v>
      </c>
      <c r="C104" t="str">
        <f>INDEX(Controller!$J$2:$J$11,MOD(INT((ROW()-2)/7),10)+1)</f>
        <v>elc_roadtransport</v>
      </c>
      <c r="D104" s="4">
        <f>D103*5%+D103</f>
        <v>2.1510814106250353</v>
      </c>
      <c r="E104" t="str">
        <f>A104&amp;"|"&amp;C104&amp;"|"&amp;B104</f>
        <v>Mild|elc_roadtransport|2040</v>
      </c>
    </row>
    <row r="105" spans="1:5" ht="13.8">
      <c r="A105" t="str">
        <f>INDEX(Controller!$H$2:$H$11,INT((ROW()-2)/70)+1)</f>
        <v>Mild</v>
      </c>
      <c r="B105" s="2">
        <v>2045</v>
      </c>
      <c r="C105" t="str">
        <f>INDEX(Controller!$J$2:$J$11,MOD(INT((ROW()-2)/7),10)+1)</f>
        <v>elc_roadtransport</v>
      </c>
      <c r="D105" s="4">
        <f>D104*5%+D104</f>
        <v>2.2586354811562872</v>
      </c>
      <c r="E105" t="str">
        <f>A105&amp;"|"&amp;C105&amp;"|"&amp;B105</f>
        <v>Mild|elc_roadtransport|2045</v>
      </c>
    </row>
    <row r="106" spans="1:5" ht="13.8">
      <c r="A106" t="str">
        <f>INDEX(Controller!$H$2:$H$11,INT((ROW()-2)/70)+1)</f>
        <v>Mild</v>
      </c>
      <c r="B106" s="2">
        <v>2050</v>
      </c>
      <c r="C106" t="str">
        <f>INDEX(Controller!$J$2:$J$11,MOD(INT((ROW()-2)/7),10)+1)</f>
        <v>elc_roadtransport</v>
      </c>
      <c r="D106" s="4">
        <f>D105*5%+D105</f>
        <v>2.3715672552141016</v>
      </c>
      <c r="E106" t="str">
        <f>A106&amp;"|"&amp;C106&amp;"|"&amp;B106</f>
        <v>Mild|elc_roadtransport|2050</v>
      </c>
    </row>
    <row r="107" spans="1:5" ht="13.8">
      <c r="A107" t="str">
        <f>INDEX(Controller!$H$2:$H$11,INT((ROW()-2)/70)+1)</f>
        <v>Mild</v>
      </c>
      <c r="B107" s="2">
        <v>2022</v>
      </c>
      <c r="C107" t="str">
        <f>INDEX(Controller!$J$2:$J$11,MOD(INT((ROW()-2)/7),10)+1)</f>
        <v>het_industry</v>
      </c>
      <c r="D107" s="4">
        <v>9.7690000000000001</v>
      </c>
      <c r="E107" t="str">
        <f>A107&amp;"|"&amp;C107&amp;"|"&amp;B107</f>
        <v>Mild|het_industry|2022</v>
      </c>
    </row>
    <row r="108" spans="1:5" ht="13.8">
      <c r="A108" t="str">
        <f>INDEX(Controller!$H$2:$H$11,INT((ROW()-2)/70)+1)</f>
        <v>Mild</v>
      </c>
      <c r="B108" s="2">
        <v>2025</v>
      </c>
      <c r="C108" t="str">
        <f>INDEX(Controller!$J$2:$J$11,MOD(INT((ROW()-2)/7),10)+1)</f>
        <v>het_industry</v>
      </c>
      <c r="D108" s="4">
        <f>D107*5%+D107</f>
        <v>10.25745</v>
      </c>
      <c r="E108" t="str">
        <f>A108&amp;"|"&amp;C108&amp;"|"&amp;B108</f>
        <v>Mild|het_industry|2025</v>
      </c>
    </row>
    <row r="109" spans="1:5" ht="13.8">
      <c r="A109" t="str">
        <f>INDEX(Controller!$H$2:$H$11,INT((ROW()-2)/70)+1)</f>
        <v>Mild</v>
      </c>
      <c r="B109" s="2">
        <v>2030</v>
      </c>
      <c r="C109" t="str">
        <f>INDEX(Controller!$J$2:$J$11,MOD(INT((ROW()-2)/7),10)+1)</f>
        <v>het_industry</v>
      </c>
      <c r="D109" s="4">
        <f>D108*5%+D108</f>
        <v>10.770322500000001</v>
      </c>
      <c r="E109" t="str">
        <f>A109&amp;"|"&amp;C109&amp;"|"&amp;B109</f>
        <v>Mild|het_industry|2030</v>
      </c>
    </row>
    <row r="110" spans="1:5" ht="13.8">
      <c r="A110" t="str">
        <f>INDEX(Controller!$H$2:$H$11,INT((ROW()-2)/70)+1)</f>
        <v>Mild</v>
      </c>
      <c r="B110" s="2">
        <v>2035</v>
      </c>
      <c r="C110" t="str">
        <f>INDEX(Controller!$J$2:$J$11,MOD(INT((ROW()-2)/7),10)+1)</f>
        <v>het_industry</v>
      </c>
      <c r="D110" s="4">
        <f>D109*5%+D109</f>
        <v>11.308838625</v>
      </c>
      <c r="E110" t="str">
        <f>A110&amp;"|"&amp;C110&amp;"|"&amp;B110</f>
        <v>Mild|het_industry|2035</v>
      </c>
    </row>
    <row r="111" spans="1:5" ht="13.8">
      <c r="A111" t="str">
        <f>INDEX(Controller!$H$2:$H$11,INT((ROW()-2)/70)+1)</f>
        <v>Mild</v>
      </c>
      <c r="B111" s="2">
        <v>2040</v>
      </c>
      <c r="C111" t="str">
        <f>INDEX(Controller!$J$2:$J$11,MOD(INT((ROW()-2)/7),10)+1)</f>
        <v>het_industry</v>
      </c>
      <c r="D111" s="4">
        <f>D110*5%+D110</f>
        <v>11.87428055625</v>
      </c>
      <c r="E111" t="str">
        <f>A111&amp;"|"&amp;C111&amp;"|"&amp;B111</f>
        <v>Mild|het_industry|2040</v>
      </c>
    </row>
    <row r="112" spans="1:5" ht="13.8">
      <c r="A112" t="str">
        <f>INDEX(Controller!$H$2:$H$11,INT((ROW()-2)/70)+1)</f>
        <v>Mild</v>
      </c>
      <c r="B112" s="2">
        <v>2045</v>
      </c>
      <c r="C112" t="str">
        <f>INDEX(Controller!$J$2:$J$11,MOD(INT((ROW()-2)/7),10)+1)</f>
        <v>het_industry</v>
      </c>
      <c r="D112" s="4">
        <f>D111*5%+D111</f>
        <v>12.467994584062499</v>
      </c>
      <c r="E112" t="str">
        <f>A112&amp;"|"&amp;C112&amp;"|"&amp;B112</f>
        <v>Mild|het_industry|2045</v>
      </c>
    </row>
    <row r="113" spans="1:5" ht="13.8">
      <c r="A113" t="str">
        <f>INDEX(Controller!$H$2:$H$11,INT((ROW()-2)/70)+1)</f>
        <v>Mild</v>
      </c>
      <c r="B113" s="2">
        <v>2050</v>
      </c>
      <c r="C113" t="str">
        <f>INDEX(Controller!$J$2:$J$11,MOD(INT((ROW()-2)/7),10)+1)</f>
        <v>het_industry</v>
      </c>
      <c r="D113" s="4">
        <f>D112*5%+D112</f>
        <v>13.091394313265624</v>
      </c>
      <c r="E113" t="str">
        <f>A113&amp;"|"&amp;C113&amp;"|"&amp;B113</f>
        <v>Mild|het_industry|2050</v>
      </c>
    </row>
    <row r="114" spans="1:5" ht="13.8">
      <c r="A114" t="str">
        <f>INDEX(Controller!$H$2:$H$11,INT((ROW()-2)/70)+1)</f>
        <v>Mild</v>
      </c>
      <c r="B114" s="2">
        <v>2022</v>
      </c>
      <c r="C114" t="str">
        <f>INDEX(Controller!$J$2:$J$11,MOD(INT((ROW()-2)/7),10)+1)</f>
        <v>het_buildings</v>
      </c>
      <c r="D114" s="4">
        <v>55.512999999999998</v>
      </c>
      <c r="E114" t="str">
        <f>A114&amp;"|"&amp;C114&amp;"|"&amp;B114</f>
        <v>Mild|het_buildings|2022</v>
      </c>
    </row>
    <row r="115" spans="1:5" ht="13.8">
      <c r="A115" t="str">
        <f>INDEX(Controller!$H$2:$H$11,INT((ROW()-2)/70)+1)</f>
        <v>Mild</v>
      </c>
      <c r="B115" s="2">
        <v>2025</v>
      </c>
      <c r="C115" t="str">
        <f>INDEX(Controller!$J$2:$J$11,MOD(INT((ROW()-2)/7),10)+1)</f>
        <v>het_buildings</v>
      </c>
      <c r="D115" s="4">
        <f>D114</f>
        <v>55.512999999999998</v>
      </c>
      <c r="E115" t="str">
        <f>A115&amp;"|"&amp;C115&amp;"|"&amp;B115</f>
        <v>Mild|het_buildings|2025</v>
      </c>
    </row>
    <row r="116" spans="1:5" ht="13.8">
      <c r="A116" t="str">
        <f>INDEX(Controller!$H$2:$H$11,INT((ROW()-2)/70)+1)</f>
        <v>Mild</v>
      </c>
      <c r="B116" s="2">
        <v>2030</v>
      </c>
      <c r="C116" t="str">
        <f>INDEX(Controller!$J$2:$J$11,MOD(INT((ROW()-2)/7),10)+1)</f>
        <v>het_buildings</v>
      </c>
      <c r="D116" s="4">
        <f>D115</f>
        <v>55.512999999999998</v>
      </c>
      <c r="E116" t="str">
        <f>A116&amp;"|"&amp;C116&amp;"|"&amp;B116</f>
        <v>Mild|het_buildings|2030</v>
      </c>
    </row>
    <row r="117" spans="1:5" ht="13.8">
      <c r="A117" t="str">
        <f>INDEX(Controller!$H$2:$H$11,INT((ROW()-2)/70)+1)</f>
        <v>Mild</v>
      </c>
      <c r="B117" s="2">
        <v>2035</v>
      </c>
      <c r="C117" t="str">
        <f>INDEX(Controller!$J$2:$J$11,MOD(INT((ROW()-2)/7),10)+1)</f>
        <v>het_buildings</v>
      </c>
      <c r="D117" s="4">
        <f>D116</f>
        <v>55.512999999999998</v>
      </c>
      <c r="E117" t="str">
        <f>A117&amp;"|"&amp;C117&amp;"|"&amp;B117</f>
        <v>Mild|het_buildings|2035</v>
      </c>
    </row>
    <row r="118" spans="1:5" ht="13.8">
      <c r="A118" t="str">
        <f>INDEX(Controller!$H$2:$H$11,INT((ROW()-2)/70)+1)</f>
        <v>Mild</v>
      </c>
      <c r="B118" s="2">
        <v>2040</v>
      </c>
      <c r="C118" t="str">
        <f>INDEX(Controller!$J$2:$J$11,MOD(INT((ROW()-2)/7),10)+1)</f>
        <v>het_buildings</v>
      </c>
      <c r="D118" s="4">
        <f>D117</f>
        <v>55.512999999999998</v>
      </c>
      <c r="E118" t="str">
        <f>A118&amp;"|"&amp;C118&amp;"|"&amp;B118</f>
        <v>Mild|het_buildings|2040</v>
      </c>
    </row>
    <row r="119" spans="1:5" ht="13.8">
      <c r="A119" t="str">
        <f>INDEX(Controller!$H$2:$H$11,INT((ROW()-2)/70)+1)</f>
        <v>Mild</v>
      </c>
      <c r="B119" s="2">
        <v>2045</v>
      </c>
      <c r="C119" t="str">
        <f>INDEX(Controller!$J$2:$J$11,MOD(INT((ROW()-2)/7),10)+1)</f>
        <v>het_buildings</v>
      </c>
      <c r="D119" s="4">
        <f>D118</f>
        <v>55.512999999999998</v>
      </c>
      <c r="E119" t="str">
        <f>A119&amp;"|"&amp;C119&amp;"|"&amp;B119</f>
        <v>Mild|het_buildings|2045</v>
      </c>
    </row>
    <row r="120" spans="1:5" ht="13.8">
      <c r="A120" t="str">
        <f>INDEX(Controller!$H$2:$H$11,INT((ROW()-2)/70)+1)</f>
        <v>Mild</v>
      </c>
      <c r="B120" s="2">
        <v>2050</v>
      </c>
      <c r="C120" t="str">
        <f>INDEX(Controller!$J$2:$J$11,MOD(INT((ROW()-2)/7),10)+1)</f>
        <v>het_buildings</v>
      </c>
      <c r="D120" s="4">
        <f>D119</f>
        <v>55.512999999999998</v>
      </c>
      <c r="E120" t="str">
        <f>A120&amp;"|"&amp;C120&amp;"|"&amp;B120</f>
        <v>Mild|het_buildings|2050</v>
      </c>
    </row>
    <row r="121" spans="1:5" ht="13.8">
      <c r="A121" t="str">
        <f>INDEX(Controller!$H$2:$H$11,INT((ROW()-2)/70)+1)</f>
        <v>Mild</v>
      </c>
      <c r="B121" s="2">
        <v>2022</v>
      </c>
      <c r="C121" t="str">
        <f>INDEX(Controller!$J$2:$J$11,MOD(INT((ROW()-2)/7),10)+1)</f>
        <v>co2net</v>
      </c>
      <c r="D121" s="4">
        <v>0</v>
      </c>
      <c r="E121" t="str">
        <f>A121&amp;"|"&amp;C121&amp;"|"&amp;B121</f>
        <v>Mild|co2net|2022</v>
      </c>
    </row>
    <row r="122" spans="1:5" ht="13.8">
      <c r="A122" t="str">
        <f>INDEX(Controller!$H$2:$H$11,INT((ROW()-2)/70)+1)</f>
        <v>Mild</v>
      </c>
      <c r="B122" s="2">
        <v>2025</v>
      </c>
      <c r="C122" t="str">
        <f>INDEX(Controller!$J$2:$J$11,MOD(INT((ROW()-2)/7),10)+1)</f>
        <v>co2net</v>
      </c>
      <c r="D122" s="26">
        <f>_xlfn.FORECAST.LINEAR(B122,CHOOSE({1,2},D121,D127),CHOOSE({1,2},B121,B127))</f>
        <v>16.071428571427532</v>
      </c>
      <c r="E122" t="str">
        <f>A122&amp;"|"&amp;C122&amp;"|"&amp;B122</f>
        <v>Mild|co2net|2025</v>
      </c>
    </row>
    <row r="123" spans="1:5" ht="13.8">
      <c r="A123" t="str">
        <f>INDEX(Controller!$H$2:$H$11,INT((ROW()-2)/70)+1)</f>
        <v>Mild</v>
      </c>
      <c r="B123" s="2">
        <v>2030</v>
      </c>
      <c r="C123" t="str">
        <f>INDEX(Controller!$J$2:$J$11,MOD(INT((ROW()-2)/7),10)+1)</f>
        <v>co2net</v>
      </c>
      <c r="D123" s="26">
        <f>_xlfn.FORECAST.LINEAR(B123,CHOOSE({1,2},D121,D127),CHOOSE({1,2},B121,B127))</f>
        <v>42.857142857143117</v>
      </c>
      <c r="E123" t="str">
        <f>A123&amp;"|"&amp;C123&amp;"|"&amp;B123</f>
        <v>Mild|co2net|2030</v>
      </c>
    </row>
    <row r="124" spans="1:5" ht="13.8">
      <c r="A124" t="str">
        <f>INDEX(Controller!$H$2:$H$11,INT((ROW()-2)/70)+1)</f>
        <v>Mild</v>
      </c>
      <c r="B124" s="2">
        <v>2035</v>
      </c>
      <c r="C124" t="str">
        <f>INDEX(Controller!$J$2:$J$11,MOD(INT((ROW()-2)/7),10)+1)</f>
        <v>co2net</v>
      </c>
      <c r="D124" s="26">
        <f>_xlfn.FORECAST.LINEAR(B124,CHOOSE({1,2},D121,D127),CHOOSE({1,2},B121,B127))</f>
        <v>69.642857142856883</v>
      </c>
      <c r="E124" t="str">
        <f>A124&amp;"|"&amp;C124&amp;"|"&amp;B124</f>
        <v>Mild|co2net|2035</v>
      </c>
    </row>
    <row r="125" spans="1:5" ht="13.8">
      <c r="A125" t="str">
        <f>INDEX(Controller!$H$2:$H$11,INT((ROW()-2)/70)+1)</f>
        <v>Mild</v>
      </c>
      <c r="B125" s="2">
        <v>2040</v>
      </c>
      <c r="C125" t="str">
        <f>INDEX(Controller!$J$2:$J$11,MOD(INT((ROW()-2)/7),10)+1)</f>
        <v>co2net</v>
      </c>
      <c r="D125" s="26">
        <f>_xlfn.FORECAST.LINEAR(B125,CHOOSE({1,2},D121,D127),CHOOSE({1,2},B121,B127))</f>
        <v>96.428571428570649</v>
      </c>
      <c r="E125" t="str">
        <f>A125&amp;"|"&amp;C125&amp;"|"&amp;B125</f>
        <v>Mild|co2net|2040</v>
      </c>
    </row>
    <row r="126" spans="1:5" ht="13.8">
      <c r="A126" t="str">
        <f>INDEX(Controller!$H$2:$H$11,INT((ROW()-2)/70)+1)</f>
        <v>Mild</v>
      </c>
      <c r="B126" s="2">
        <v>2045</v>
      </c>
      <c r="C126" t="str">
        <f>INDEX(Controller!$J$2:$J$11,MOD(INT((ROW()-2)/7),10)+1)</f>
        <v>co2net</v>
      </c>
      <c r="D126" s="26">
        <f>_xlfn.FORECAST.LINEAR(B126,CHOOSE({1,2},D121,D127),CHOOSE({1,2},B121,B127))</f>
        <v>123.21428571428442</v>
      </c>
      <c r="E126" t="str">
        <f>A126&amp;"|"&amp;C126&amp;"|"&amp;B126</f>
        <v>Mild|co2net|2045</v>
      </c>
    </row>
    <row r="127" spans="1:5" ht="13.8">
      <c r="A127" t="str">
        <f>INDEX(Controller!$H$2:$H$11,INT((ROW()-2)/70)+1)</f>
        <v>Mild</v>
      </c>
      <c r="B127" s="2">
        <v>2050</v>
      </c>
      <c r="C127" t="str">
        <f>INDEX(Controller!$J$2:$J$11,MOD(INT((ROW()-2)/7),10)+1)</f>
        <v>co2net</v>
      </c>
      <c r="D127" s="4">
        <v>150</v>
      </c>
      <c r="E127" t="str">
        <f>A127&amp;"|"&amp;C127&amp;"|"&amp;B127</f>
        <v>Mild|co2net|2050</v>
      </c>
    </row>
    <row r="128" spans="1:5" ht="13.8">
      <c r="A128" t="str">
        <f>INDEX(Controller!$H$2:$H$11,INT((ROW()-2)/70)+1)</f>
        <v>Mild</v>
      </c>
      <c r="B128" s="2">
        <v>2022</v>
      </c>
      <c r="C128" t="str">
        <f>INDEX(Controller!$J$2:$J$11,MOD(INT((ROW()-2)/7),10)+1)</f>
        <v>Variable 9</v>
      </c>
      <c r="D128" s="4"/>
      <c r="E128" t="str">
        <f>A128&amp;"|"&amp;C128&amp;"|"&amp;B128</f>
        <v>Mild|Variable 9|2022</v>
      </c>
    </row>
    <row r="129" spans="1:5" ht="13.8">
      <c r="A129" t="str">
        <f>INDEX(Controller!$H$2:$H$11,INT((ROW()-2)/70)+1)</f>
        <v>Mild</v>
      </c>
      <c r="B129" s="2">
        <v>2025</v>
      </c>
      <c r="C129" t="str">
        <f>INDEX(Controller!$J$2:$J$11,MOD(INT((ROW()-2)/7),10)+1)</f>
        <v>Variable 9</v>
      </c>
      <c r="D129" s="4"/>
      <c r="E129" t="str">
        <f>A129&amp;"|"&amp;C129&amp;"|"&amp;B129</f>
        <v>Mild|Variable 9|2025</v>
      </c>
    </row>
    <row r="130" spans="1:5" ht="13.8">
      <c r="A130" t="str">
        <f>INDEX(Controller!$H$2:$H$11,INT((ROW()-2)/70)+1)</f>
        <v>Mild</v>
      </c>
      <c r="B130" s="2">
        <v>2030</v>
      </c>
      <c r="C130" t="str">
        <f>INDEX(Controller!$J$2:$J$11,MOD(INT((ROW()-2)/7),10)+1)</f>
        <v>Variable 9</v>
      </c>
      <c r="D130" s="4"/>
      <c r="E130" t="str">
        <f>A130&amp;"|"&amp;C130&amp;"|"&amp;B130</f>
        <v>Mild|Variable 9|2030</v>
      </c>
    </row>
    <row r="131" spans="1:5" ht="13.8">
      <c r="A131" t="str">
        <f>INDEX(Controller!$H$2:$H$11,INT((ROW()-2)/70)+1)</f>
        <v>Mild</v>
      </c>
      <c r="B131" s="2">
        <v>2035</v>
      </c>
      <c r="C131" t="str">
        <f>INDEX(Controller!$J$2:$J$11,MOD(INT((ROW()-2)/7),10)+1)</f>
        <v>Variable 9</v>
      </c>
      <c r="D131" s="4"/>
      <c r="E131" t="str">
        <f>A131&amp;"|"&amp;C131&amp;"|"&amp;B131</f>
        <v>Mild|Variable 9|2035</v>
      </c>
    </row>
    <row r="132" spans="1:5" ht="13.8">
      <c r="A132" t="str">
        <f>INDEX(Controller!$H$2:$H$11,INT((ROW()-2)/70)+1)</f>
        <v>Mild</v>
      </c>
      <c r="B132" s="2">
        <v>2040</v>
      </c>
      <c r="C132" t="str">
        <f>INDEX(Controller!$J$2:$J$11,MOD(INT((ROW()-2)/7),10)+1)</f>
        <v>Variable 9</v>
      </c>
      <c r="D132" s="4"/>
      <c r="E132" t="str">
        <f>A132&amp;"|"&amp;C132&amp;"|"&amp;B132</f>
        <v>Mild|Variable 9|2040</v>
      </c>
    </row>
    <row r="133" spans="1:5" ht="13.8">
      <c r="A133" t="str">
        <f>INDEX(Controller!$H$2:$H$11,INT((ROW()-2)/70)+1)</f>
        <v>Mild</v>
      </c>
      <c r="B133" s="2">
        <v>2045</v>
      </c>
      <c r="C133" t="str">
        <f>INDEX(Controller!$J$2:$J$11,MOD(INT((ROW()-2)/7),10)+1)</f>
        <v>Variable 9</v>
      </c>
      <c r="D133" s="4"/>
      <c r="E133" t="str">
        <f>A133&amp;"|"&amp;C133&amp;"|"&amp;B133</f>
        <v>Mild|Variable 9|2045</v>
      </c>
    </row>
    <row r="134" spans="1:5" ht="13.8">
      <c r="A134" t="str">
        <f>INDEX(Controller!$H$2:$H$11,INT((ROW()-2)/70)+1)</f>
        <v>Mild</v>
      </c>
      <c r="B134" s="2">
        <v>2050</v>
      </c>
      <c r="C134" t="str">
        <f>INDEX(Controller!$J$2:$J$11,MOD(INT((ROW()-2)/7),10)+1)</f>
        <v>Variable 9</v>
      </c>
      <c r="D134" s="4"/>
      <c r="E134" t="str">
        <f>A134&amp;"|"&amp;C134&amp;"|"&amp;B134</f>
        <v>Mild|Variable 9|2050</v>
      </c>
    </row>
    <row r="135" spans="1:5" ht="13.8">
      <c r="A135" t="str">
        <f>INDEX(Controller!$H$2:$H$11,INT((ROW()-2)/70)+1)</f>
        <v>Mild</v>
      </c>
      <c r="B135" s="2">
        <v>2022</v>
      </c>
      <c r="C135" t="str">
        <f>INDEX(Controller!$J$2:$J$11,MOD(INT((ROW()-2)/7),10)+1)</f>
        <v>Variable 10</v>
      </c>
      <c r="D135" s="4"/>
      <c r="E135" t="str">
        <f>A135&amp;"|"&amp;C135&amp;"|"&amp;B135</f>
        <v>Mild|Variable 10|2022</v>
      </c>
    </row>
    <row r="136" spans="1:5" ht="13.8">
      <c r="A136" t="str">
        <f>INDEX(Controller!$H$2:$H$11,INT((ROW()-2)/70)+1)</f>
        <v>Mild</v>
      </c>
      <c r="B136" s="2">
        <v>2025</v>
      </c>
      <c r="C136" t="str">
        <f>INDEX(Controller!$J$2:$J$11,MOD(INT((ROW()-2)/7),10)+1)</f>
        <v>Variable 10</v>
      </c>
      <c r="D136" s="4"/>
      <c r="E136" t="str">
        <f>A136&amp;"|"&amp;C136&amp;"|"&amp;B136</f>
        <v>Mild|Variable 10|2025</v>
      </c>
    </row>
    <row r="137" spans="1:5" ht="13.8">
      <c r="A137" t="str">
        <f>INDEX(Controller!$H$2:$H$11,INT((ROW()-2)/70)+1)</f>
        <v>Mild</v>
      </c>
      <c r="B137" s="2">
        <v>2030</v>
      </c>
      <c r="C137" t="str">
        <f>INDEX(Controller!$J$2:$J$11,MOD(INT((ROW()-2)/7),10)+1)</f>
        <v>Variable 10</v>
      </c>
      <c r="D137" s="4"/>
      <c r="E137" t="str">
        <f>A137&amp;"|"&amp;C137&amp;"|"&amp;B137</f>
        <v>Mild|Variable 10|2030</v>
      </c>
    </row>
    <row r="138" spans="1:5" ht="13.8">
      <c r="A138" t="str">
        <f>INDEX(Controller!$H$2:$H$11,INT((ROW()-2)/70)+1)</f>
        <v>Mild</v>
      </c>
      <c r="B138" s="2">
        <v>2035</v>
      </c>
      <c r="C138" t="str">
        <f>INDEX(Controller!$J$2:$J$11,MOD(INT((ROW()-2)/7),10)+1)</f>
        <v>Variable 10</v>
      </c>
      <c r="D138" s="4"/>
      <c r="E138" t="str">
        <f>A138&amp;"|"&amp;C138&amp;"|"&amp;B138</f>
        <v>Mild|Variable 10|2035</v>
      </c>
    </row>
    <row r="139" spans="1:5" ht="13.8">
      <c r="A139" t="str">
        <f>INDEX(Controller!$H$2:$H$11,INT((ROW()-2)/70)+1)</f>
        <v>Mild</v>
      </c>
      <c r="B139" s="2">
        <v>2040</v>
      </c>
      <c r="C139" t="str">
        <f>INDEX(Controller!$J$2:$J$11,MOD(INT((ROW()-2)/7),10)+1)</f>
        <v>Variable 10</v>
      </c>
      <c r="D139" s="4"/>
      <c r="E139" t="str">
        <f>A139&amp;"|"&amp;C139&amp;"|"&amp;B139</f>
        <v>Mild|Variable 10|2040</v>
      </c>
    </row>
    <row r="140" spans="1:5" ht="13.8">
      <c r="A140" t="str">
        <f>INDEX(Controller!$H$2:$H$11,INT((ROW()-2)/70)+1)</f>
        <v>Mild</v>
      </c>
      <c r="B140" s="2">
        <v>2045</v>
      </c>
      <c r="C140" t="str">
        <f>INDEX(Controller!$J$2:$J$11,MOD(INT((ROW()-2)/7),10)+1)</f>
        <v>Variable 10</v>
      </c>
      <c r="D140" s="4"/>
      <c r="E140" t="str">
        <f>A140&amp;"|"&amp;C140&amp;"|"&amp;B140</f>
        <v>Mild|Variable 10|2045</v>
      </c>
    </row>
    <row r="141" spans="1:5" ht="13.8">
      <c r="A141" t="str">
        <f>INDEX(Controller!$H$2:$H$11,INT((ROW()-2)/70)+1)</f>
        <v>Mild</v>
      </c>
      <c r="B141" s="2">
        <v>2050</v>
      </c>
      <c r="C141" t="str">
        <f>INDEX(Controller!$J$2:$J$11,MOD(INT((ROW()-2)/7),10)+1)</f>
        <v>Variable 10</v>
      </c>
      <c r="D141" s="4"/>
      <c r="E141" t="str">
        <f>A141&amp;"|"&amp;C141&amp;"|"&amp;B141</f>
        <v>Mild|Variable 10|2050</v>
      </c>
    </row>
    <row r="142" spans="1:5" ht="13.8">
      <c r="A142" t="str">
        <f>INDEX(Controller!$H$2:$H$11,INT((ROW()-2)/70)+1)</f>
        <v>Mitig</v>
      </c>
      <c r="B142" s="2">
        <v>2022</v>
      </c>
      <c r="C142" t="str">
        <f>INDEX(Controller!$J$2:$J$11,MOD(INT((ROW()-2)/7),10)+1)</f>
        <v>hydrogen_allsect</v>
      </c>
      <c r="D142" s="4">
        <v>0</v>
      </c>
      <c r="E142" t="str">
        <f>A142&amp;"|"&amp;C142&amp;"|"&amp;B142</f>
        <v>Mitig|hydrogen_allsect|2022</v>
      </c>
    </row>
    <row r="143" spans="1:5" ht="13.8">
      <c r="A143" t="str">
        <f>INDEX(Controller!$H$2:$H$11,INT((ROW()-2)/70)+1)</f>
        <v>Mitig</v>
      </c>
      <c r="B143" s="2">
        <v>2025</v>
      </c>
      <c r="C143" t="str">
        <f>INDEX(Controller!$J$2:$J$11,MOD(INT((ROW()-2)/7),10)+1)</f>
        <v>hydrogen_allsect</v>
      </c>
      <c r="D143" s="4">
        <f>D142*6%+D142</f>
        <v>0</v>
      </c>
      <c r="E143" t="str">
        <f>A143&amp;"|"&amp;C143&amp;"|"&amp;B143</f>
        <v>Mitig|hydrogen_allsect|2025</v>
      </c>
    </row>
    <row r="144" spans="1:5" ht="13.8">
      <c r="A144" t="str">
        <f>INDEX(Controller!$H$2:$H$11,INT((ROW()-2)/70)+1)</f>
        <v>Mitig</v>
      </c>
      <c r="B144" s="2">
        <v>2030</v>
      </c>
      <c r="C144" t="str">
        <f>INDEX(Controller!$J$2:$J$11,MOD(INT((ROW()-2)/7),10)+1)</f>
        <v>hydrogen_allsect</v>
      </c>
      <c r="D144" s="4">
        <f>D143*6%+D143</f>
        <v>0</v>
      </c>
      <c r="E144" t="str">
        <f>A144&amp;"|"&amp;C144&amp;"|"&amp;B144</f>
        <v>Mitig|hydrogen_allsect|2030</v>
      </c>
    </row>
    <row r="145" spans="1:5" ht="13.8">
      <c r="A145" t="str">
        <f>INDEX(Controller!$H$2:$H$11,INT((ROW()-2)/70)+1)</f>
        <v>Mitig</v>
      </c>
      <c r="B145" s="2">
        <v>2035</v>
      </c>
      <c r="C145" t="str">
        <f>INDEX(Controller!$J$2:$J$11,MOD(INT((ROW()-2)/7),10)+1)</f>
        <v>hydrogen_allsect</v>
      </c>
      <c r="D145" s="4">
        <f>D144*6%+D144</f>
        <v>0</v>
      </c>
      <c r="E145" t="str">
        <f>A145&amp;"|"&amp;C145&amp;"|"&amp;B145</f>
        <v>Mitig|hydrogen_allsect|2035</v>
      </c>
    </row>
    <row r="146" spans="1:5" ht="13.8">
      <c r="A146" t="str">
        <f>INDEX(Controller!$H$2:$H$11,INT((ROW()-2)/70)+1)</f>
        <v>Mitig</v>
      </c>
      <c r="B146" s="2">
        <v>2040</v>
      </c>
      <c r="C146" t="str">
        <f>INDEX(Controller!$J$2:$J$11,MOD(INT((ROW()-2)/7),10)+1)</f>
        <v>hydrogen_allsect</v>
      </c>
      <c r="D146" s="4">
        <f>D145*6%+D145</f>
        <v>0</v>
      </c>
      <c r="E146" t="str">
        <f>A146&amp;"|"&amp;C146&amp;"|"&amp;B146</f>
        <v>Mitig|hydrogen_allsect|2040</v>
      </c>
    </row>
    <row r="147" spans="1:5" ht="13.8">
      <c r="A147" t="str">
        <f>INDEX(Controller!$H$2:$H$11,INT((ROW()-2)/70)+1)</f>
        <v>Mitig</v>
      </c>
      <c r="B147" s="2">
        <v>2045</v>
      </c>
      <c r="C147" t="str">
        <f>INDEX(Controller!$J$2:$J$11,MOD(INT((ROW()-2)/7),10)+1)</f>
        <v>hydrogen_allsect</v>
      </c>
      <c r="D147" s="4">
        <f>D146*6%+D146</f>
        <v>0</v>
      </c>
      <c r="E147" t="str">
        <f>A147&amp;"|"&amp;C147&amp;"|"&amp;B147</f>
        <v>Mitig|hydrogen_allsect|2045</v>
      </c>
    </row>
    <row r="148" spans="1:5" ht="13.8">
      <c r="A148" t="str">
        <f>INDEX(Controller!$H$2:$H$11,INT((ROW()-2)/70)+1)</f>
        <v>Mitig</v>
      </c>
      <c r="B148" s="2">
        <v>2050</v>
      </c>
      <c r="C148" t="str">
        <f>INDEX(Controller!$J$2:$J$11,MOD(INT((ROW()-2)/7),10)+1)</f>
        <v>hydrogen_allsect</v>
      </c>
      <c r="D148" s="4">
        <f>D147*6%+D147</f>
        <v>0</v>
      </c>
      <c r="E148" t="str">
        <f>A148&amp;"|"&amp;C148&amp;"|"&amp;B148</f>
        <v>Mitig|hydrogen_allsect|2050</v>
      </c>
    </row>
    <row r="149" spans="1:5" ht="13.8">
      <c r="A149" t="str">
        <f>INDEX(Controller!$H$2:$H$11,INT((ROW()-2)/70)+1)</f>
        <v>Mitig</v>
      </c>
      <c r="B149" s="2">
        <v>2022</v>
      </c>
      <c r="C149" t="str">
        <f>INDEX(Controller!$J$2:$J$11,MOD(INT((ROW()-2)/7),10)+1)</f>
        <v>elc_industry</v>
      </c>
      <c r="D149" s="4">
        <v>65.478899999999996</v>
      </c>
      <c r="E149" t="str">
        <f>A149&amp;"|"&amp;C149&amp;"|"&amp;B149</f>
        <v>Mitig|elc_industry|2022</v>
      </c>
    </row>
    <row r="150" spans="1:5" ht="13.8">
      <c r="A150" t="str">
        <f>INDEX(Controller!$H$2:$H$11,INT((ROW()-2)/70)+1)</f>
        <v>Mitig</v>
      </c>
      <c r="B150" s="2">
        <v>2025</v>
      </c>
      <c r="C150" t="str">
        <f>INDEX(Controller!$J$2:$J$11,MOD(INT((ROW()-2)/7),10)+1)</f>
        <v>elc_industry</v>
      </c>
      <c r="D150" s="4">
        <f>D149*6%+D149</f>
        <v>69.407634000000002</v>
      </c>
      <c r="E150" t="str">
        <f>A150&amp;"|"&amp;C150&amp;"|"&amp;B150</f>
        <v>Mitig|elc_industry|2025</v>
      </c>
    </row>
    <row r="151" spans="1:5" ht="13.8">
      <c r="A151" t="str">
        <f>INDEX(Controller!$H$2:$H$11,INT((ROW()-2)/70)+1)</f>
        <v>Mitig</v>
      </c>
      <c r="B151" s="2">
        <v>2030</v>
      </c>
      <c r="C151" t="str">
        <f>INDEX(Controller!$J$2:$J$11,MOD(INT((ROW()-2)/7),10)+1)</f>
        <v>elc_industry</v>
      </c>
      <c r="D151" s="4">
        <f>D150*6%+D150</f>
        <v>73.572092040000001</v>
      </c>
      <c r="E151" t="str">
        <f>A151&amp;"|"&amp;C151&amp;"|"&amp;B151</f>
        <v>Mitig|elc_industry|2030</v>
      </c>
    </row>
    <row r="152" spans="1:5" ht="13.8">
      <c r="A152" t="str">
        <f>INDEX(Controller!$H$2:$H$11,INT((ROW()-2)/70)+1)</f>
        <v>Mitig</v>
      </c>
      <c r="B152" s="2">
        <v>2035</v>
      </c>
      <c r="C152" t="str">
        <f>INDEX(Controller!$J$2:$J$11,MOD(INT((ROW()-2)/7),10)+1)</f>
        <v>elc_industry</v>
      </c>
      <c r="D152" s="4">
        <f>D151*6%+D151</f>
        <v>77.986417562400007</v>
      </c>
      <c r="E152" t="str">
        <f>A152&amp;"|"&amp;C152&amp;"|"&amp;B152</f>
        <v>Mitig|elc_industry|2035</v>
      </c>
    </row>
    <row r="153" spans="1:5" ht="13.8">
      <c r="A153" t="str">
        <f>INDEX(Controller!$H$2:$H$11,INT((ROW()-2)/70)+1)</f>
        <v>Mitig</v>
      </c>
      <c r="B153" s="2">
        <v>2040</v>
      </c>
      <c r="C153" t="str">
        <f>INDEX(Controller!$J$2:$J$11,MOD(INT((ROW()-2)/7),10)+1)</f>
        <v>elc_industry</v>
      </c>
      <c r="D153" s="4">
        <f>D152*6%+D152</f>
        <v>82.665602616144014</v>
      </c>
      <c r="E153" t="str">
        <f>A153&amp;"|"&amp;C153&amp;"|"&amp;B153</f>
        <v>Mitig|elc_industry|2040</v>
      </c>
    </row>
    <row r="154" spans="1:5" ht="13.8">
      <c r="A154" t="str">
        <f>INDEX(Controller!$H$2:$H$11,INT((ROW()-2)/70)+1)</f>
        <v>Mitig</v>
      </c>
      <c r="B154" s="2">
        <v>2045</v>
      </c>
      <c r="C154" t="str">
        <f>INDEX(Controller!$J$2:$J$11,MOD(INT((ROW()-2)/7),10)+1)</f>
        <v>elc_industry</v>
      </c>
      <c r="D154" s="4">
        <f>D153*6%+D153</f>
        <v>87.625538773112652</v>
      </c>
      <c r="E154" t="str">
        <f>A154&amp;"|"&amp;C154&amp;"|"&amp;B154</f>
        <v>Mitig|elc_industry|2045</v>
      </c>
    </row>
    <row r="155" spans="1:5" ht="13.8">
      <c r="A155" t="str">
        <f>INDEX(Controller!$H$2:$H$11,INT((ROW()-2)/70)+1)</f>
        <v>Mitig</v>
      </c>
      <c r="B155" s="2">
        <v>2050</v>
      </c>
      <c r="C155" t="str">
        <f>INDEX(Controller!$J$2:$J$11,MOD(INT((ROW()-2)/7),10)+1)</f>
        <v>elc_industry</v>
      </c>
      <c r="D155" s="4">
        <f>D154*6%+D154</f>
        <v>92.883071099499404</v>
      </c>
      <c r="E155" t="str">
        <f>A155&amp;"|"&amp;C155&amp;"|"&amp;B155</f>
        <v>Mitig|elc_industry|2050</v>
      </c>
    </row>
    <row r="156" spans="1:5" ht="13.8">
      <c r="A156" t="str">
        <f>INDEX(Controller!$H$2:$H$11,INT((ROW()-2)/70)+1)</f>
        <v>Mitig</v>
      </c>
      <c r="B156" s="2">
        <v>2022</v>
      </c>
      <c r="C156" t="str">
        <f>INDEX(Controller!$J$2:$J$11,MOD(INT((ROW()-2)/7),10)+1)</f>
        <v>elc_buildings</v>
      </c>
      <c r="D156" s="4">
        <v>104.41229999999999</v>
      </c>
      <c r="E156" t="str">
        <f>A156&amp;"|"&amp;C156&amp;"|"&amp;B156</f>
        <v>Mitig|elc_buildings|2022</v>
      </c>
    </row>
    <row r="157" spans="1:5" ht="13.8">
      <c r="A157" t="str">
        <f>INDEX(Controller!$H$2:$H$11,INT((ROW()-2)/70)+1)</f>
        <v>Mitig</v>
      </c>
      <c r="B157" s="2">
        <v>2025</v>
      </c>
      <c r="C157" t="str">
        <f>INDEX(Controller!$J$2:$J$11,MOD(INT((ROW()-2)/7),10)+1)</f>
        <v>elc_buildings</v>
      </c>
      <c r="D157" s="4">
        <f>D156*6%+D156</f>
        <v>110.67703799999998</v>
      </c>
      <c r="E157" t="str">
        <f>A157&amp;"|"&amp;C157&amp;"|"&amp;B157</f>
        <v>Mitig|elc_buildings|2025</v>
      </c>
    </row>
    <row r="158" spans="1:5" ht="13.8">
      <c r="A158" t="str">
        <f>INDEX(Controller!$H$2:$H$11,INT((ROW()-2)/70)+1)</f>
        <v>Mitig</v>
      </c>
      <c r="B158" s="2">
        <v>2030</v>
      </c>
      <c r="C158" t="str">
        <f>INDEX(Controller!$J$2:$J$11,MOD(INT((ROW()-2)/7),10)+1)</f>
        <v>elc_buildings</v>
      </c>
      <c r="D158" s="4">
        <f>D157*6%+D157</f>
        <v>117.31766027999998</v>
      </c>
      <c r="E158" t="str">
        <f>A158&amp;"|"&amp;C158&amp;"|"&amp;B158</f>
        <v>Mitig|elc_buildings|2030</v>
      </c>
    </row>
    <row r="159" spans="1:5" ht="13.8">
      <c r="A159" t="str">
        <f>INDEX(Controller!$H$2:$H$11,INT((ROW()-2)/70)+1)</f>
        <v>Mitig</v>
      </c>
      <c r="B159" s="2">
        <v>2035</v>
      </c>
      <c r="C159" t="str">
        <f>INDEX(Controller!$J$2:$J$11,MOD(INT((ROW()-2)/7),10)+1)</f>
        <v>elc_buildings</v>
      </c>
      <c r="D159" s="4">
        <f>D158*6%+D158</f>
        <v>124.35671989679999</v>
      </c>
      <c r="E159" t="str">
        <f>A159&amp;"|"&amp;C159&amp;"|"&amp;B159</f>
        <v>Mitig|elc_buildings|2035</v>
      </c>
    </row>
    <row r="160" spans="1:5" ht="13.8">
      <c r="A160" t="str">
        <f>INDEX(Controller!$H$2:$H$11,INT((ROW()-2)/70)+1)</f>
        <v>Mitig</v>
      </c>
      <c r="B160" s="2">
        <v>2040</v>
      </c>
      <c r="C160" t="str">
        <f>INDEX(Controller!$J$2:$J$11,MOD(INT((ROW()-2)/7),10)+1)</f>
        <v>elc_buildings</v>
      </c>
      <c r="D160" s="4">
        <f>D159*6%+D159</f>
        <v>131.818123090608</v>
      </c>
      <c r="E160" t="str">
        <f>A160&amp;"|"&amp;C160&amp;"|"&amp;B160</f>
        <v>Mitig|elc_buildings|2040</v>
      </c>
    </row>
    <row r="161" spans="1:5" ht="13.8">
      <c r="A161" t="str">
        <f>INDEX(Controller!$H$2:$H$11,INT((ROW()-2)/70)+1)</f>
        <v>Mitig</v>
      </c>
      <c r="B161" s="2">
        <v>2045</v>
      </c>
      <c r="C161" t="str">
        <f>INDEX(Controller!$J$2:$J$11,MOD(INT((ROW()-2)/7),10)+1)</f>
        <v>elc_buildings</v>
      </c>
      <c r="D161" s="4">
        <f>D160*6%+D160</f>
        <v>139.72721047604449</v>
      </c>
      <c r="E161" t="str">
        <f>A161&amp;"|"&amp;C161&amp;"|"&amp;B161</f>
        <v>Mitig|elc_buildings|2045</v>
      </c>
    </row>
    <row r="162" spans="1:5" ht="13.8">
      <c r="A162" t="str">
        <f>INDEX(Controller!$H$2:$H$11,INT((ROW()-2)/70)+1)</f>
        <v>Mitig</v>
      </c>
      <c r="B162" s="2">
        <v>2050</v>
      </c>
      <c r="C162" t="str">
        <f>INDEX(Controller!$J$2:$J$11,MOD(INT((ROW()-2)/7),10)+1)</f>
        <v>elc_buildings</v>
      </c>
      <c r="D162" s="4">
        <f>D161*6%+D161</f>
        <v>148.11084310460717</v>
      </c>
      <c r="E162" t="str">
        <f>A162&amp;"|"&amp;C162&amp;"|"&amp;B162</f>
        <v>Mitig|elc_buildings|2050</v>
      </c>
    </row>
    <row r="163" spans="1:5" ht="13.8">
      <c r="A163" t="str">
        <f>INDEX(Controller!$H$2:$H$11,INT((ROW()-2)/70)+1)</f>
        <v>Mitig</v>
      </c>
      <c r="B163" s="2">
        <v>2022</v>
      </c>
      <c r="C163" t="str">
        <f>INDEX(Controller!$J$2:$J$11,MOD(INT((ROW()-2)/7),10)+1)</f>
        <v>elc_transport</v>
      </c>
      <c r="D163" s="4">
        <v>5.3090999999999999</v>
      </c>
      <c r="E163" t="str">
        <f>A163&amp;"|"&amp;C163&amp;"|"&amp;B163</f>
        <v>Mitig|elc_transport|2022</v>
      </c>
    </row>
    <row r="164" spans="1:5" ht="13.8">
      <c r="A164" t="str">
        <f>INDEX(Controller!$H$2:$H$11,INT((ROW()-2)/70)+1)</f>
        <v>Mitig</v>
      </c>
      <c r="B164" s="2">
        <v>2025</v>
      </c>
      <c r="C164" t="str">
        <f>INDEX(Controller!$J$2:$J$11,MOD(INT((ROW()-2)/7),10)+1)</f>
        <v>elc_transport</v>
      </c>
      <c r="D164" s="4">
        <f>D163*6%+D163</f>
        <v>5.6276460000000004</v>
      </c>
      <c r="E164" t="str">
        <f>A164&amp;"|"&amp;C164&amp;"|"&amp;B164</f>
        <v>Mitig|elc_transport|2025</v>
      </c>
    </row>
    <row r="165" spans="1:5" ht="13.8">
      <c r="A165" t="str">
        <f>INDEX(Controller!$H$2:$H$11,INT((ROW()-2)/70)+1)</f>
        <v>Mitig</v>
      </c>
      <c r="B165" s="2">
        <v>2030</v>
      </c>
      <c r="C165" t="str">
        <f>INDEX(Controller!$J$2:$J$11,MOD(INT((ROW()-2)/7),10)+1)</f>
        <v>elc_transport</v>
      </c>
      <c r="D165" s="4">
        <f>D164*6%+D164</f>
        <v>5.9653047600000004</v>
      </c>
      <c r="E165" t="str">
        <f>A165&amp;"|"&amp;C165&amp;"|"&amp;B165</f>
        <v>Mitig|elc_transport|2030</v>
      </c>
    </row>
    <row r="166" spans="1:5" ht="13.8">
      <c r="A166" t="str">
        <f>INDEX(Controller!$H$2:$H$11,INT((ROW()-2)/70)+1)</f>
        <v>Mitig</v>
      </c>
      <c r="B166" s="2">
        <v>2035</v>
      </c>
      <c r="C166" t="str">
        <f>INDEX(Controller!$J$2:$J$11,MOD(INT((ROW()-2)/7),10)+1)</f>
        <v>elc_transport</v>
      </c>
      <c r="D166" s="4">
        <f>D165*6%+D165</f>
        <v>6.3232230456000007</v>
      </c>
      <c r="E166" t="str">
        <f>A166&amp;"|"&amp;C166&amp;"|"&amp;B166</f>
        <v>Mitig|elc_transport|2035</v>
      </c>
    </row>
    <row r="167" spans="1:5" ht="13.8">
      <c r="A167" t="str">
        <f>INDEX(Controller!$H$2:$H$11,INT((ROW()-2)/70)+1)</f>
        <v>Mitig</v>
      </c>
      <c r="B167" s="2">
        <v>2040</v>
      </c>
      <c r="C167" t="str">
        <f>INDEX(Controller!$J$2:$J$11,MOD(INT((ROW()-2)/7),10)+1)</f>
        <v>elc_transport</v>
      </c>
      <c r="D167" s="4">
        <f>D166*6%+D166</f>
        <v>6.7026164283360004</v>
      </c>
      <c r="E167" t="str">
        <f>A167&amp;"|"&amp;C167&amp;"|"&amp;B167</f>
        <v>Mitig|elc_transport|2040</v>
      </c>
    </row>
    <row r="168" spans="1:5" ht="13.8">
      <c r="A168" t="str">
        <f>INDEX(Controller!$H$2:$H$11,INT((ROW()-2)/70)+1)</f>
        <v>Mitig</v>
      </c>
      <c r="B168" s="2">
        <v>2045</v>
      </c>
      <c r="C168" t="str">
        <f>INDEX(Controller!$J$2:$J$11,MOD(INT((ROW()-2)/7),10)+1)</f>
        <v>elc_transport</v>
      </c>
      <c r="D168" s="4">
        <f>D167*6%+D167</f>
        <v>7.1047734140361607</v>
      </c>
      <c r="E168" t="str">
        <f>A168&amp;"|"&amp;C168&amp;"|"&amp;B168</f>
        <v>Mitig|elc_transport|2045</v>
      </c>
    </row>
    <row r="169" spans="1:5" ht="13.8">
      <c r="A169" t="str">
        <f>INDEX(Controller!$H$2:$H$11,INT((ROW()-2)/70)+1)</f>
        <v>Mitig</v>
      </c>
      <c r="B169" s="2">
        <v>2050</v>
      </c>
      <c r="C169" t="str">
        <f>INDEX(Controller!$J$2:$J$11,MOD(INT((ROW()-2)/7),10)+1)</f>
        <v>elc_transport</v>
      </c>
      <c r="D169" s="4">
        <f>D168*6%+D168</f>
        <v>7.5310598188783304</v>
      </c>
      <c r="E169" t="str">
        <f>A169&amp;"|"&amp;C169&amp;"|"&amp;B169</f>
        <v>Mitig|elc_transport|2050</v>
      </c>
    </row>
    <row r="170" spans="1:5" ht="13.8">
      <c r="A170" t="str">
        <f>INDEX(Controller!$H$2:$H$11,INT((ROW()-2)/70)+1)</f>
        <v>Mitig</v>
      </c>
      <c r="B170" s="2">
        <v>2022</v>
      </c>
      <c r="C170" t="str">
        <f>INDEX(Controller!$J$2:$J$11,MOD(INT((ROW()-2)/7),10)+1)</f>
        <v>elc_roadtransport</v>
      </c>
      <c r="D170" s="4">
        <v>1.7697000000000287</v>
      </c>
      <c r="E170" t="str">
        <f>A170&amp;"|"&amp;C170&amp;"|"&amp;B170</f>
        <v>Mitig|elc_roadtransport|2022</v>
      </c>
    </row>
    <row r="171" spans="1:5" ht="13.8">
      <c r="A171" t="str">
        <f>INDEX(Controller!$H$2:$H$11,INT((ROW()-2)/70)+1)</f>
        <v>Mitig</v>
      </c>
      <c r="B171" s="2">
        <v>2025</v>
      </c>
      <c r="C171" t="str">
        <f>INDEX(Controller!$J$2:$J$11,MOD(INT((ROW()-2)/7),10)+1)</f>
        <v>elc_roadtransport</v>
      </c>
      <c r="D171" s="4">
        <f>D170*80%+D170</f>
        <v>3.1854600000000515</v>
      </c>
      <c r="E171" t="str">
        <f>A171&amp;"|"&amp;C171&amp;"|"&amp;B171</f>
        <v>Mitig|elc_roadtransport|2025</v>
      </c>
    </row>
    <row r="172" spans="1:5" ht="13.8">
      <c r="A172" t="str">
        <f>INDEX(Controller!$H$2:$H$11,INT((ROW()-2)/70)+1)</f>
        <v>Mitig</v>
      </c>
      <c r="B172" s="2">
        <v>2030</v>
      </c>
      <c r="C172" t="str">
        <f>INDEX(Controller!$J$2:$J$11,MOD(INT((ROW()-2)/7),10)+1)</f>
        <v>elc_roadtransport</v>
      </c>
      <c r="D172" s="4">
        <f>D171*80%+D171</f>
        <v>5.7338280000000932</v>
      </c>
      <c r="E172" t="str">
        <f>A172&amp;"|"&amp;C172&amp;"|"&amp;B172</f>
        <v>Mitig|elc_roadtransport|2030</v>
      </c>
    </row>
    <row r="173" spans="1:5" ht="13.8">
      <c r="A173" t="str">
        <f>INDEX(Controller!$H$2:$H$11,INT((ROW()-2)/70)+1)</f>
        <v>Mitig</v>
      </c>
      <c r="B173" s="2">
        <v>2035</v>
      </c>
      <c r="C173" t="str">
        <f>INDEX(Controller!$J$2:$J$11,MOD(INT((ROW()-2)/7),10)+1)</f>
        <v>elc_roadtransport</v>
      </c>
      <c r="D173" s="4">
        <f>D172*80%+D172</f>
        <v>10.320890400000167</v>
      </c>
      <c r="E173" t="str">
        <f>A173&amp;"|"&amp;C173&amp;"|"&amp;B173</f>
        <v>Mitig|elc_roadtransport|2035</v>
      </c>
    </row>
    <row r="174" spans="1:5" ht="13.8">
      <c r="A174" t="str">
        <f>INDEX(Controller!$H$2:$H$11,INT((ROW()-2)/70)+1)</f>
        <v>Mitig</v>
      </c>
      <c r="B174" s="2">
        <v>2040</v>
      </c>
      <c r="C174" t="str">
        <f>INDEX(Controller!$J$2:$J$11,MOD(INT((ROW()-2)/7),10)+1)</f>
        <v>elc_roadtransport</v>
      </c>
      <c r="D174" s="4">
        <f>D173*80%+D173</f>
        <v>18.5776027200003</v>
      </c>
      <c r="E174" t="str">
        <f>A174&amp;"|"&amp;C174&amp;"|"&amp;B174</f>
        <v>Mitig|elc_roadtransport|2040</v>
      </c>
    </row>
    <row r="175" spans="1:5" ht="13.8">
      <c r="A175" t="str">
        <f>INDEX(Controller!$H$2:$H$11,INT((ROW()-2)/70)+1)</f>
        <v>Mitig</v>
      </c>
      <c r="B175" s="2">
        <v>2045</v>
      </c>
      <c r="C175" t="str">
        <f>INDEX(Controller!$J$2:$J$11,MOD(INT((ROW()-2)/7),10)+1)</f>
        <v>elc_roadtransport</v>
      </c>
      <c r="D175" s="4">
        <f>D174*80%+D174</f>
        <v>33.439684896000543</v>
      </c>
      <c r="E175" t="str">
        <f>A175&amp;"|"&amp;C175&amp;"|"&amp;B175</f>
        <v>Mitig|elc_roadtransport|2045</v>
      </c>
    </row>
    <row r="176" spans="1:5" ht="13.8">
      <c r="A176" t="str">
        <f>INDEX(Controller!$H$2:$H$11,INT((ROW()-2)/70)+1)</f>
        <v>Mitig</v>
      </c>
      <c r="B176" s="2">
        <v>2050</v>
      </c>
      <c r="C176" t="str">
        <f>INDEX(Controller!$J$2:$J$11,MOD(INT((ROW()-2)/7),10)+1)</f>
        <v>elc_roadtransport</v>
      </c>
      <c r="D176" s="4">
        <f>D175*80%+D175</f>
        <v>60.191432812800983</v>
      </c>
      <c r="E176" t="str">
        <f>A176&amp;"|"&amp;C176&amp;"|"&amp;B176</f>
        <v>Mitig|elc_roadtransport|2050</v>
      </c>
    </row>
    <row r="177" spans="1:5" ht="13.8">
      <c r="A177" t="str">
        <f>INDEX(Controller!$H$2:$H$11,INT((ROW()-2)/70)+1)</f>
        <v>Mitig</v>
      </c>
      <c r="B177" s="2">
        <v>2022</v>
      </c>
      <c r="C177" t="str">
        <f>INDEX(Controller!$J$2:$J$11,MOD(INT((ROW()-2)/7),10)+1)</f>
        <v>het_industry</v>
      </c>
      <c r="D177" s="4">
        <v>9.7690000000000001</v>
      </c>
      <c r="E177" t="str">
        <f>A177&amp;"|"&amp;C177&amp;"|"&amp;B177</f>
        <v>Mitig|het_industry|2022</v>
      </c>
    </row>
    <row r="178" spans="1:5" ht="13.8">
      <c r="A178" t="str">
        <f>INDEX(Controller!$H$2:$H$11,INT((ROW()-2)/70)+1)</f>
        <v>Mitig</v>
      </c>
      <c r="B178" s="2">
        <v>2025</v>
      </c>
      <c r="C178" t="str">
        <f>INDEX(Controller!$J$2:$J$11,MOD(INT((ROW()-2)/7),10)+1)</f>
        <v>het_industry</v>
      </c>
      <c r="D178" s="4">
        <f>D177*6%+D177</f>
        <v>10.35514</v>
      </c>
      <c r="E178" t="str">
        <f>A178&amp;"|"&amp;C178&amp;"|"&amp;B178</f>
        <v>Mitig|het_industry|2025</v>
      </c>
    </row>
    <row r="179" spans="1:5" ht="13.8">
      <c r="A179" t="str">
        <f>INDEX(Controller!$H$2:$H$11,INT((ROW()-2)/70)+1)</f>
        <v>Mitig</v>
      </c>
      <c r="B179" s="2">
        <v>2030</v>
      </c>
      <c r="C179" t="str">
        <f>INDEX(Controller!$J$2:$J$11,MOD(INT((ROW()-2)/7),10)+1)</f>
        <v>het_industry</v>
      </c>
      <c r="D179" s="4">
        <f>D178*6%+D178</f>
        <v>10.976448400000001</v>
      </c>
      <c r="E179" t="str">
        <f>A179&amp;"|"&amp;C179&amp;"|"&amp;B179</f>
        <v>Mitig|het_industry|2030</v>
      </c>
    </row>
    <row r="180" spans="1:5" ht="13.8">
      <c r="A180" t="str">
        <f>INDEX(Controller!$H$2:$H$11,INT((ROW()-2)/70)+1)</f>
        <v>Mitig</v>
      </c>
      <c r="B180" s="2">
        <v>2035</v>
      </c>
      <c r="C180" t="str">
        <f>INDEX(Controller!$J$2:$J$11,MOD(INT((ROW()-2)/7),10)+1)</f>
        <v>het_industry</v>
      </c>
      <c r="D180" s="4">
        <f>D179*6%+D179</f>
        <v>11.635035304000001</v>
      </c>
      <c r="E180" t="str">
        <f>A180&amp;"|"&amp;C180&amp;"|"&amp;B180</f>
        <v>Mitig|het_industry|2035</v>
      </c>
    </row>
    <row r="181" spans="1:5" ht="13.8">
      <c r="A181" t="str">
        <f>INDEX(Controller!$H$2:$H$11,INT((ROW()-2)/70)+1)</f>
        <v>Mitig</v>
      </c>
      <c r="B181" s="2">
        <v>2040</v>
      </c>
      <c r="C181" t="str">
        <f>INDEX(Controller!$J$2:$J$11,MOD(INT((ROW()-2)/7),10)+1)</f>
        <v>het_industry</v>
      </c>
      <c r="D181" s="4">
        <f>D180*6%+D180</f>
        <v>12.33313742224</v>
      </c>
      <c r="E181" t="str">
        <f>A181&amp;"|"&amp;C181&amp;"|"&amp;B181</f>
        <v>Mitig|het_industry|2040</v>
      </c>
    </row>
    <row r="182" spans="1:5" ht="13.8">
      <c r="A182" t="str">
        <f>INDEX(Controller!$H$2:$H$11,INT((ROW()-2)/70)+1)</f>
        <v>Mitig</v>
      </c>
      <c r="B182" s="2">
        <v>2045</v>
      </c>
      <c r="C182" t="str">
        <f>INDEX(Controller!$J$2:$J$11,MOD(INT((ROW()-2)/7),10)+1)</f>
        <v>het_industry</v>
      </c>
      <c r="D182" s="4">
        <f>D181*6%+D181</f>
        <v>13.0731256675744</v>
      </c>
      <c r="E182" t="str">
        <f>A182&amp;"|"&amp;C182&amp;"|"&amp;B182</f>
        <v>Mitig|het_industry|2045</v>
      </c>
    </row>
    <row r="183" spans="1:5" ht="13.8">
      <c r="A183" t="str">
        <f>INDEX(Controller!$H$2:$H$11,INT((ROW()-2)/70)+1)</f>
        <v>Mitig</v>
      </c>
      <c r="B183" s="2">
        <v>2050</v>
      </c>
      <c r="C183" t="str">
        <f>INDEX(Controller!$J$2:$J$11,MOD(INT((ROW()-2)/7),10)+1)</f>
        <v>het_industry</v>
      </c>
      <c r="D183" s="4">
        <f>D182*6%+D182</f>
        <v>13.857513207628864</v>
      </c>
      <c r="E183" t="str">
        <f>A183&amp;"|"&amp;C183&amp;"|"&amp;B183</f>
        <v>Mitig|het_industry|2050</v>
      </c>
    </row>
    <row r="184" spans="1:5" ht="13.8">
      <c r="A184" t="str">
        <f>INDEX(Controller!$H$2:$H$11,INT((ROW()-2)/70)+1)</f>
        <v>Mitig</v>
      </c>
      <c r="B184" s="2">
        <v>2022</v>
      </c>
      <c r="C184" t="str">
        <f>INDEX(Controller!$J$2:$J$11,MOD(INT((ROW()-2)/7),10)+1)</f>
        <v>het_buildings</v>
      </c>
      <c r="D184" s="4">
        <v>55.512999999999998</v>
      </c>
      <c r="E184" t="str">
        <f>A184&amp;"|"&amp;C184&amp;"|"&amp;B184</f>
        <v>Mitig|het_buildings|2022</v>
      </c>
    </row>
    <row r="185" spans="1:5" ht="13.8">
      <c r="A185" t="str">
        <f>INDEX(Controller!$H$2:$H$11,INT((ROW()-2)/70)+1)</f>
        <v>Mitig</v>
      </c>
      <c r="B185" s="2">
        <v>2025</v>
      </c>
      <c r="C185" t="str">
        <f>INDEX(Controller!$J$2:$J$11,MOD(INT((ROW()-2)/7),10)+1)</f>
        <v>het_buildings</v>
      </c>
      <c r="D185" s="4">
        <f>D184</f>
        <v>55.512999999999998</v>
      </c>
      <c r="E185" t="str">
        <f>A185&amp;"|"&amp;C185&amp;"|"&amp;B185</f>
        <v>Mitig|het_buildings|2025</v>
      </c>
    </row>
    <row r="186" spans="1:5" ht="13.8">
      <c r="A186" t="str">
        <f>INDEX(Controller!$H$2:$H$11,INT((ROW()-2)/70)+1)</f>
        <v>Mitig</v>
      </c>
      <c r="B186" s="2">
        <v>2030</v>
      </c>
      <c r="C186" t="str">
        <f>INDEX(Controller!$J$2:$J$11,MOD(INT((ROW()-2)/7),10)+1)</f>
        <v>het_buildings</v>
      </c>
      <c r="D186" s="4">
        <f>D185</f>
        <v>55.512999999999998</v>
      </c>
      <c r="E186" t="str">
        <f>A186&amp;"|"&amp;C186&amp;"|"&amp;B186</f>
        <v>Mitig|het_buildings|2030</v>
      </c>
    </row>
    <row r="187" spans="1:5" ht="13.8">
      <c r="A187" t="str">
        <f>INDEX(Controller!$H$2:$H$11,INT((ROW()-2)/70)+1)</f>
        <v>Mitig</v>
      </c>
      <c r="B187" s="2">
        <v>2035</v>
      </c>
      <c r="C187" t="str">
        <f>INDEX(Controller!$J$2:$J$11,MOD(INT((ROW()-2)/7),10)+1)</f>
        <v>het_buildings</v>
      </c>
      <c r="D187" s="4">
        <f>D186</f>
        <v>55.512999999999998</v>
      </c>
      <c r="E187" t="str">
        <f>A187&amp;"|"&amp;C187&amp;"|"&amp;B187</f>
        <v>Mitig|het_buildings|2035</v>
      </c>
    </row>
    <row r="188" spans="1:5" ht="13.8">
      <c r="A188" t="str">
        <f>INDEX(Controller!$H$2:$H$11,INT((ROW()-2)/70)+1)</f>
        <v>Mitig</v>
      </c>
      <c r="B188" s="2">
        <v>2040</v>
      </c>
      <c r="C188" t="str">
        <f>INDEX(Controller!$J$2:$J$11,MOD(INT((ROW()-2)/7),10)+1)</f>
        <v>het_buildings</v>
      </c>
      <c r="D188" s="4">
        <f>D187</f>
        <v>55.512999999999998</v>
      </c>
      <c r="E188" t="str">
        <f>A188&amp;"|"&amp;C188&amp;"|"&amp;B188</f>
        <v>Mitig|het_buildings|2040</v>
      </c>
    </row>
    <row r="189" spans="1:5" ht="13.8">
      <c r="A189" t="str">
        <f>INDEX(Controller!$H$2:$H$11,INT((ROW()-2)/70)+1)</f>
        <v>Mitig</v>
      </c>
      <c r="B189" s="2">
        <v>2045</v>
      </c>
      <c r="C189" t="str">
        <f>INDEX(Controller!$J$2:$J$11,MOD(INT((ROW()-2)/7),10)+1)</f>
        <v>het_buildings</v>
      </c>
      <c r="D189" s="4">
        <f>D188</f>
        <v>55.512999999999998</v>
      </c>
      <c r="E189" t="str">
        <f>A189&amp;"|"&amp;C189&amp;"|"&amp;B189</f>
        <v>Mitig|het_buildings|2045</v>
      </c>
    </row>
    <row r="190" spans="1:5" ht="13.8">
      <c r="A190" t="str">
        <f>INDEX(Controller!$H$2:$H$11,INT((ROW()-2)/70)+1)</f>
        <v>Mitig</v>
      </c>
      <c r="B190" s="2">
        <v>2050</v>
      </c>
      <c r="C190" t="str">
        <f>INDEX(Controller!$J$2:$J$11,MOD(INT((ROW()-2)/7),10)+1)</f>
        <v>het_buildings</v>
      </c>
      <c r="D190" s="4">
        <f>D189</f>
        <v>55.512999999999998</v>
      </c>
      <c r="E190" t="str">
        <f>A190&amp;"|"&amp;C190&amp;"|"&amp;B190</f>
        <v>Mitig|het_buildings|2050</v>
      </c>
    </row>
    <row r="191" spans="1:5" ht="13.8">
      <c r="A191" t="str">
        <f>INDEX(Controller!$H$2:$H$11,INT((ROW()-2)/70)+1)</f>
        <v>Mitig</v>
      </c>
      <c r="B191" s="2">
        <v>2022</v>
      </c>
      <c r="C191" t="str">
        <f>INDEX(Controller!$J$2:$J$11,MOD(INT((ROW()-2)/7),10)+1)</f>
        <v>co2net</v>
      </c>
      <c r="D191" s="4">
        <v>0</v>
      </c>
      <c r="E191" t="str">
        <f>A191&amp;"|"&amp;C191&amp;"|"&amp;B191</f>
        <v>Mitig|co2net|2022</v>
      </c>
    </row>
    <row r="192" spans="1:5" ht="13.8">
      <c r="A192" t="str">
        <f>INDEX(Controller!$H$2:$H$11,INT((ROW()-2)/70)+1)</f>
        <v>Mitig</v>
      </c>
      <c r="B192" s="2">
        <v>2025</v>
      </c>
      <c r="C192" t="str">
        <f>INDEX(Controller!$J$2:$J$11,MOD(INT((ROW()-2)/7),10)+1)</f>
        <v>co2net</v>
      </c>
      <c r="D192" s="26">
        <f>_xlfn.FORECAST.LINEAR(B192,CHOOSE({1,2},D191,D197),CHOOSE({1,2},B191,B197))</f>
        <v>26.785714285717404</v>
      </c>
      <c r="E192" t="str">
        <f>A192&amp;"|"&amp;C192&amp;"|"&amp;B192</f>
        <v>Mitig|co2net|2025</v>
      </c>
    </row>
    <row r="193" spans="1:5" ht="13.8">
      <c r="A193" t="str">
        <f>INDEX(Controller!$H$2:$H$11,INT((ROW()-2)/70)+1)</f>
        <v>Mitig</v>
      </c>
      <c r="B193" s="2">
        <v>2030</v>
      </c>
      <c r="C193" t="str">
        <f>INDEX(Controller!$J$2:$J$11,MOD(INT((ROW()-2)/7),10)+1)</f>
        <v>co2net</v>
      </c>
      <c r="D193" s="26">
        <f>_xlfn.FORECAST.LINEAR(B193,CHOOSE({1,2},D191,D197),CHOOSE({1,2},B191,B197))</f>
        <v>71.428571428572468</v>
      </c>
      <c r="E193" t="str">
        <f>A193&amp;"|"&amp;C193&amp;"|"&amp;B193</f>
        <v>Mitig|co2net|2030</v>
      </c>
    </row>
    <row r="194" spans="1:5" ht="13.8">
      <c r="A194" t="str">
        <f>INDEX(Controller!$H$2:$H$11,INT((ROW()-2)/70)+1)</f>
        <v>Mitig</v>
      </c>
      <c r="B194" s="2">
        <v>2035</v>
      </c>
      <c r="C194" t="str">
        <f>INDEX(Controller!$J$2:$J$11,MOD(INT((ROW()-2)/7),10)+1)</f>
        <v>co2net</v>
      </c>
      <c r="D194" s="26">
        <f>_xlfn.FORECAST.LINEAR(B194,CHOOSE({1,2},D191,D197),CHOOSE({1,2},B191,B197))</f>
        <v>116.07142857143117</v>
      </c>
      <c r="E194" t="str">
        <f>A194&amp;"|"&amp;C194&amp;"|"&amp;B194</f>
        <v>Mitig|co2net|2035</v>
      </c>
    </row>
    <row r="195" spans="1:5" ht="13.8">
      <c r="A195" t="str">
        <f>INDEX(Controller!$H$2:$H$11,INT((ROW()-2)/70)+1)</f>
        <v>Mitig</v>
      </c>
      <c r="B195" s="2">
        <v>2040</v>
      </c>
      <c r="C195" t="str">
        <f>INDEX(Controller!$J$2:$J$11,MOD(INT((ROW()-2)/7),10)+1)</f>
        <v>co2net</v>
      </c>
      <c r="D195" s="26">
        <f>_xlfn.FORECAST.LINEAR(B195,CHOOSE({1,2},D191,D197),CHOOSE({1,2},B191,B197))</f>
        <v>160.71428571428623</v>
      </c>
      <c r="E195" t="str">
        <f>A195&amp;"|"&amp;C195&amp;"|"&amp;B195</f>
        <v>Mitig|co2net|2040</v>
      </c>
    </row>
    <row r="196" spans="1:5" ht="13.8">
      <c r="A196" t="str">
        <f>INDEX(Controller!$H$2:$H$11,INT((ROW()-2)/70)+1)</f>
        <v>Mitig</v>
      </c>
      <c r="B196" s="2">
        <v>2045</v>
      </c>
      <c r="C196" t="str">
        <f>INDEX(Controller!$J$2:$J$11,MOD(INT((ROW()-2)/7),10)+1)</f>
        <v>co2net</v>
      </c>
      <c r="D196" s="26">
        <f>_xlfn.FORECAST.LINEAR(B196,CHOOSE({1,2},D191,D197),CHOOSE({1,2},B191,B197))</f>
        <v>205.35714285714494</v>
      </c>
      <c r="E196" t="str">
        <f>A196&amp;"|"&amp;C196&amp;"|"&amp;B196</f>
        <v>Mitig|co2net|2045</v>
      </c>
    </row>
    <row r="197" spans="1:5" ht="13.8">
      <c r="A197" t="str">
        <f>INDEX(Controller!$H$2:$H$11,INT((ROW()-2)/70)+1)</f>
        <v>Mitig</v>
      </c>
      <c r="B197" s="2">
        <v>2050</v>
      </c>
      <c r="C197" t="str">
        <f>INDEX(Controller!$J$2:$J$11,MOD(INT((ROW()-2)/7),10)+1)</f>
        <v>co2net</v>
      </c>
      <c r="D197" s="4">
        <v>250</v>
      </c>
      <c r="E197" t="str">
        <f>A197&amp;"|"&amp;C197&amp;"|"&amp;B197</f>
        <v>Mitig|co2net|2050</v>
      </c>
    </row>
    <row r="198" spans="1:5" ht="13.8">
      <c r="A198" t="str">
        <f>INDEX(Controller!$H$2:$H$11,INT((ROW()-2)/70)+1)</f>
        <v>Mitig</v>
      </c>
      <c r="B198" s="2">
        <v>2022</v>
      </c>
      <c r="C198" t="str">
        <f>INDEX(Controller!$J$2:$J$11,MOD(INT((ROW()-2)/7),10)+1)</f>
        <v>Variable 9</v>
      </c>
      <c r="D198" s="4"/>
      <c r="E198" t="str">
        <f>A198&amp;"|"&amp;C198&amp;"|"&amp;B198</f>
        <v>Mitig|Variable 9|2022</v>
      </c>
    </row>
    <row r="199" spans="1:5" ht="13.8">
      <c r="A199" t="str">
        <f>INDEX(Controller!$H$2:$H$11,INT((ROW()-2)/70)+1)</f>
        <v>Mitig</v>
      </c>
      <c r="B199" s="2">
        <v>2025</v>
      </c>
      <c r="C199" t="str">
        <f>INDEX(Controller!$J$2:$J$11,MOD(INT((ROW()-2)/7),10)+1)</f>
        <v>Variable 9</v>
      </c>
      <c r="D199" s="4"/>
      <c r="E199" t="str">
        <f>A199&amp;"|"&amp;C199&amp;"|"&amp;B199</f>
        <v>Mitig|Variable 9|2025</v>
      </c>
    </row>
    <row r="200" spans="1:5" ht="13.8">
      <c r="A200" t="str">
        <f>INDEX(Controller!$H$2:$H$11,INT((ROW()-2)/70)+1)</f>
        <v>Mitig</v>
      </c>
      <c r="B200" s="2">
        <v>2030</v>
      </c>
      <c r="C200" t="str">
        <f>INDEX(Controller!$J$2:$J$11,MOD(INT((ROW()-2)/7),10)+1)</f>
        <v>Variable 9</v>
      </c>
      <c r="D200" s="4"/>
      <c r="E200" t="str">
        <f>A200&amp;"|"&amp;C200&amp;"|"&amp;B200</f>
        <v>Mitig|Variable 9|2030</v>
      </c>
    </row>
    <row r="201" spans="1:5" ht="13.8">
      <c r="A201" t="str">
        <f>INDEX(Controller!$H$2:$H$11,INT((ROW()-2)/70)+1)</f>
        <v>Mitig</v>
      </c>
      <c r="B201" s="2">
        <v>2035</v>
      </c>
      <c r="C201" t="str">
        <f>INDEX(Controller!$J$2:$J$11,MOD(INT((ROW()-2)/7),10)+1)</f>
        <v>Variable 9</v>
      </c>
      <c r="D201" s="4"/>
      <c r="E201" t="str">
        <f>A201&amp;"|"&amp;C201&amp;"|"&amp;B201</f>
        <v>Mitig|Variable 9|2035</v>
      </c>
    </row>
    <row r="202" spans="1:5" ht="13.8">
      <c r="A202" t="str">
        <f>INDEX(Controller!$H$2:$H$11,INT((ROW()-2)/70)+1)</f>
        <v>Mitig</v>
      </c>
      <c r="B202" s="2">
        <v>2040</v>
      </c>
      <c r="C202" t="str">
        <f>INDEX(Controller!$J$2:$J$11,MOD(INT((ROW()-2)/7),10)+1)</f>
        <v>Variable 9</v>
      </c>
      <c r="D202" s="4"/>
      <c r="E202" t="str">
        <f>A202&amp;"|"&amp;C202&amp;"|"&amp;B202</f>
        <v>Mitig|Variable 9|2040</v>
      </c>
    </row>
    <row r="203" spans="1:5" ht="13.8">
      <c r="A203" t="str">
        <f>INDEX(Controller!$H$2:$H$11,INT((ROW()-2)/70)+1)</f>
        <v>Mitig</v>
      </c>
      <c r="B203" s="2">
        <v>2045</v>
      </c>
      <c r="C203" t="str">
        <f>INDEX(Controller!$J$2:$J$11,MOD(INT((ROW()-2)/7),10)+1)</f>
        <v>Variable 9</v>
      </c>
      <c r="D203" s="4"/>
      <c r="E203" t="str">
        <f>A203&amp;"|"&amp;C203&amp;"|"&amp;B203</f>
        <v>Mitig|Variable 9|2045</v>
      </c>
    </row>
    <row r="204" spans="1:5" ht="13.8">
      <c r="A204" t="str">
        <f>INDEX(Controller!$H$2:$H$11,INT((ROW()-2)/70)+1)</f>
        <v>Mitig</v>
      </c>
      <c r="B204" s="2">
        <v>2050</v>
      </c>
      <c r="C204" t="str">
        <f>INDEX(Controller!$J$2:$J$11,MOD(INT((ROW()-2)/7),10)+1)</f>
        <v>Variable 9</v>
      </c>
      <c r="D204" s="4"/>
      <c r="E204" t="str">
        <f>A204&amp;"|"&amp;C204&amp;"|"&amp;B204</f>
        <v>Mitig|Variable 9|2050</v>
      </c>
    </row>
    <row r="205" spans="1:5" ht="13.8">
      <c r="A205" t="str">
        <f>INDEX(Controller!$H$2:$H$11,INT((ROW()-2)/70)+1)</f>
        <v>Mitig</v>
      </c>
      <c r="B205" s="2">
        <v>2022</v>
      </c>
      <c r="C205" t="str">
        <f>INDEX(Controller!$J$2:$J$11,MOD(INT((ROW()-2)/7),10)+1)</f>
        <v>Variable 10</v>
      </c>
      <c r="D205" s="4"/>
      <c r="E205" t="str">
        <f>A205&amp;"|"&amp;C205&amp;"|"&amp;B205</f>
        <v>Mitig|Variable 10|2022</v>
      </c>
    </row>
    <row r="206" spans="1:5" ht="13.8">
      <c r="A206" t="str">
        <f>INDEX(Controller!$H$2:$H$11,INT((ROW()-2)/70)+1)</f>
        <v>Mitig</v>
      </c>
      <c r="B206" s="2">
        <v>2025</v>
      </c>
      <c r="C206" t="str">
        <f>INDEX(Controller!$J$2:$J$11,MOD(INT((ROW()-2)/7),10)+1)</f>
        <v>Variable 10</v>
      </c>
      <c r="D206" s="4"/>
      <c r="E206" t="str">
        <f>A206&amp;"|"&amp;C206&amp;"|"&amp;B206</f>
        <v>Mitig|Variable 10|2025</v>
      </c>
    </row>
    <row r="207" spans="1:5" ht="13.8">
      <c r="A207" t="str">
        <f>INDEX(Controller!$H$2:$H$11,INT((ROW()-2)/70)+1)</f>
        <v>Mitig</v>
      </c>
      <c r="B207" s="2">
        <v>2030</v>
      </c>
      <c r="C207" t="str">
        <f>INDEX(Controller!$J$2:$J$11,MOD(INT((ROW()-2)/7),10)+1)</f>
        <v>Variable 10</v>
      </c>
      <c r="D207" s="4"/>
      <c r="E207" t="str">
        <f>A207&amp;"|"&amp;C207&amp;"|"&amp;B207</f>
        <v>Mitig|Variable 10|2030</v>
      </c>
    </row>
    <row r="208" spans="1:5" ht="13.8">
      <c r="A208" t="str">
        <f>INDEX(Controller!$H$2:$H$11,INT((ROW()-2)/70)+1)</f>
        <v>Mitig</v>
      </c>
      <c r="B208" s="2">
        <v>2035</v>
      </c>
      <c r="C208" t="str">
        <f>INDEX(Controller!$J$2:$J$11,MOD(INT((ROW()-2)/7),10)+1)</f>
        <v>Variable 10</v>
      </c>
      <c r="D208" s="4"/>
      <c r="E208" t="str">
        <f>A208&amp;"|"&amp;C208&amp;"|"&amp;B208</f>
        <v>Mitig|Variable 10|2035</v>
      </c>
    </row>
    <row r="209" spans="1:5" ht="13.8">
      <c r="A209" t="str">
        <f>INDEX(Controller!$H$2:$H$11,INT((ROW()-2)/70)+1)</f>
        <v>Mitig</v>
      </c>
      <c r="B209" s="2">
        <v>2040</v>
      </c>
      <c r="C209" t="str">
        <f>INDEX(Controller!$J$2:$J$11,MOD(INT((ROW()-2)/7),10)+1)</f>
        <v>Variable 10</v>
      </c>
      <c r="D209" s="4"/>
      <c r="E209" t="str">
        <f>A209&amp;"|"&amp;C209&amp;"|"&amp;B209</f>
        <v>Mitig|Variable 10|2040</v>
      </c>
    </row>
    <row r="210" spans="1:5" ht="13.8">
      <c r="A210" t="str">
        <f>INDEX(Controller!$H$2:$H$11,INT((ROW()-2)/70)+1)</f>
        <v>Mitig</v>
      </c>
      <c r="B210" s="2">
        <v>2045</v>
      </c>
      <c r="C210" t="str">
        <f>INDEX(Controller!$J$2:$J$11,MOD(INT((ROW()-2)/7),10)+1)</f>
        <v>Variable 10</v>
      </c>
      <c r="D210" s="4"/>
      <c r="E210" t="str">
        <f>A210&amp;"|"&amp;C210&amp;"|"&amp;B210</f>
        <v>Mitig|Variable 10|2045</v>
      </c>
    </row>
    <row r="211" spans="1:5" ht="13.8">
      <c r="A211" t="str">
        <f>INDEX(Controller!$H$2:$H$11,INT((ROW()-2)/70)+1)</f>
        <v>Mitig</v>
      </c>
      <c r="B211" s="2">
        <v>2050</v>
      </c>
      <c r="C211" t="str">
        <f>INDEX(Controller!$J$2:$J$11,MOD(INT((ROW()-2)/7),10)+1)</f>
        <v>Variable 10</v>
      </c>
      <c r="D211" s="4"/>
      <c r="E211" t="str">
        <f>A211&amp;"|"&amp;C211&amp;"|"&amp;B211</f>
        <v>Mitig|Variable 10|2050</v>
      </c>
    </row>
    <row r="212" spans="1:5" ht="13.8">
      <c r="A212" t="str">
        <f>INDEX(Controller!$H$2:$H$11,INT((ROW()-2)/70)+1)</f>
        <v>NZ</v>
      </c>
      <c r="B212" s="2">
        <v>2022</v>
      </c>
      <c r="C212" t="str">
        <f>INDEX(Controller!$J$2:$J$11,MOD(INT((ROW()-2)/7),10)+1)</f>
        <v>hydrogen_allsect</v>
      </c>
      <c r="D212" s="4">
        <v>0</v>
      </c>
      <c r="E212" t="str">
        <f>A212&amp;"|"&amp;C212&amp;"|"&amp;B212</f>
        <v>NZ|hydrogen_allsect|2022</v>
      </c>
    </row>
    <row r="213" spans="1:5" ht="13.8">
      <c r="A213" t="str">
        <f>INDEX(Controller!$H$2:$H$11,INT((ROW()-2)/70)+1)</f>
        <v>NZ</v>
      </c>
      <c r="B213" s="2">
        <v>2025</v>
      </c>
      <c r="C213" t="str">
        <f>INDEX(Controller!$J$2:$J$11,MOD(INT((ROW()-2)/7),10)+1)</f>
        <v>hydrogen_allsect</v>
      </c>
      <c r="D213" s="4">
        <f>D212*8%+D212</f>
        <v>0</v>
      </c>
      <c r="E213" t="str">
        <f>A213&amp;"|"&amp;C213&amp;"|"&amp;B213</f>
        <v>NZ|hydrogen_allsect|2025</v>
      </c>
    </row>
    <row r="214" spans="1:5" ht="13.8">
      <c r="A214" t="str">
        <f>INDEX(Controller!$H$2:$H$11,INT((ROW()-2)/70)+1)</f>
        <v>NZ</v>
      </c>
      <c r="B214" s="2">
        <v>2030</v>
      </c>
      <c r="C214" t="str">
        <f>INDEX(Controller!$J$2:$J$11,MOD(INT((ROW()-2)/7),10)+1)</f>
        <v>hydrogen_allsect</v>
      </c>
      <c r="D214" s="4">
        <f>D213*8%+D213</f>
        <v>0</v>
      </c>
      <c r="E214" t="str">
        <f>A214&amp;"|"&amp;C214&amp;"|"&amp;B214</f>
        <v>NZ|hydrogen_allsect|2030</v>
      </c>
    </row>
    <row r="215" spans="1:5" ht="13.8">
      <c r="A215" t="str">
        <f>INDEX(Controller!$H$2:$H$11,INT((ROW()-2)/70)+1)</f>
        <v>NZ</v>
      </c>
      <c r="B215" s="2">
        <v>2035</v>
      </c>
      <c r="C215" t="str">
        <f>INDEX(Controller!$J$2:$J$11,MOD(INT((ROW()-2)/7),10)+1)</f>
        <v>hydrogen_allsect</v>
      </c>
      <c r="D215" s="4">
        <f>D214*8%+D214</f>
        <v>0</v>
      </c>
      <c r="E215" t="str">
        <f>A215&amp;"|"&amp;C215&amp;"|"&amp;B215</f>
        <v>NZ|hydrogen_allsect|2035</v>
      </c>
    </row>
    <row r="216" spans="1:5" ht="13.8">
      <c r="A216" t="str">
        <f>INDEX(Controller!$H$2:$H$11,INT((ROW()-2)/70)+1)</f>
        <v>NZ</v>
      </c>
      <c r="B216" s="2">
        <v>2040</v>
      </c>
      <c r="C216" t="str">
        <f>INDEX(Controller!$J$2:$J$11,MOD(INT((ROW()-2)/7),10)+1)</f>
        <v>hydrogen_allsect</v>
      </c>
      <c r="D216" s="4">
        <f>D215*8%+D215</f>
        <v>0</v>
      </c>
      <c r="E216" t="str">
        <f>A216&amp;"|"&amp;C216&amp;"|"&amp;B216</f>
        <v>NZ|hydrogen_allsect|2040</v>
      </c>
    </row>
    <row r="217" spans="1:5" ht="13.8">
      <c r="A217" t="str">
        <f>INDEX(Controller!$H$2:$H$11,INT((ROW()-2)/70)+1)</f>
        <v>NZ</v>
      </c>
      <c r="B217" s="2">
        <v>2045</v>
      </c>
      <c r="C217" t="str">
        <f>INDEX(Controller!$J$2:$J$11,MOD(INT((ROW()-2)/7),10)+1)</f>
        <v>hydrogen_allsect</v>
      </c>
      <c r="D217" s="4">
        <f>D216*8%+D216</f>
        <v>0</v>
      </c>
      <c r="E217" t="str">
        <f>A217&amp;"|"&amp;C217&amp;"|"&amp;B217</f>
        <v>NZ|hydrogen_allsect|2045</v>
      </c>
    </row>
    <row r="218" spans="1:5" ht="13.8">
      <c r="A218" t="str">
        <f>INDEX(Controller!$H$2:$H$11,INT((ROW()-2)/70)+1)</f>
        <v>NZ</v>
      </c>
      <c r="B218" s="2">
        <v>2050</v>
      </c>
      <c r="C218" t="str">
        <f>INDEX(Controller!$J$2:$J$11,MOD(INT((ROW()-2)/7),10)+1)</f>
        <v>hydrogen_allsect</v>
      </c>
      <c r="D218" s="4">
        <f>D217*8%+D217</f>
        <v>0</v>
      </c>
      <c r="E218" t="str">
        <f>A218&amp;"|"&amp;C218&amp;"|"&amp;B218</f>
        <v>NZ|hydrogen_allsect|2050</v>
      </c>
    </row>
    <row r="219" spans="1:5" ht="13.8">
      <c r="A219" t="str">
        <f>INDEX(Controller!$H$2:$H$11,INT((ROW()-2)/70)+1)</f>
        <v>NZ</v>
      </c>
      <c r="B219" s="2">
        <v>2022</v>
      </c>
      <c r="C219" t="str">
        <f>INDEX(Controller!$J$2:$J$11,MOD(INT((ROW()-2)/7),10)+1)</f>
        <v>elc_industry</v>
      </c>
      <c r="D219" s="4">
        <v>65.478899999999996</v>
      </c>
      <c r="E219" t="str">
        <f>A219&amp;"|"&amp;C219&amp;"|"&amp;B219</f>
        <v>NZ|elc_industry|2022</v>
      </c>
    </row>
    <row r="220" spans="1:5" ht="13.8">
      <c r="A220" t="str">
        <f>INDEX(Controller!$H$2:$H$11,INT((ROW()-2)/70)+1)</f>
        <v>NZ</v>
      </c>
      <c r="B220" s="2">
        <v>2025</v>
      </c>
      <c r="C220" t="str">
        <f>INDEX(Controller!$J$2:$J$11,MOD(INT((ROW()-2)/7),10)+1)</f>
        <v>elc_industry</v>
      </c>
      <c r="D220" s="4">
        <f>D219*8%+D219</f>
        <v>70.717211999999989</v>
      </c>
      <c r="E220" t="str">
        <f>A220&amp;"|"&amp;C220&amp;"|"&amp;B220</f>
        <v>NZ|elc_industry|2025</v>
      </c>
    </row>
    <row r="221" spans="1:5" ht="13.8">
      <c r="A221" t="str">
        <f>INDEX(Controller!$H$2:$H$11,INT((ROW()-2)/70)+1)</f>
        <v>NZ</v>
      </c>
      <c r="B221" s="2">
        <v>2030</v>
      </c>
      <c r="C221" t="str">
        <f>INDEX(Controller!$J$2:$J$11,MOD(INT((ROW()-2)/7),10)+1)</f>
        <v>elc_industry</v>
      </c>
      <c r="D221" s="4">
        <f>D220*8%+D220</f>
        <v>76.374588959999983</v>
      </c>
      <c r="E221" t="str">
        <f>A221&amp;"|"&amp;C221&amp;"|"&amp;B221</f>
        <v>NZ|elc_industry|2030</v>
      </c>
    </row>
    <row r="222" spans="1:5" ht="13.8">
      <c r="A222" t="str">
        <f>INDEX(Controller!$H$2:$H$11,INT((ROW()-2)/70)+1)</f>
        <v>NZ</v>
      </c>
      <c r="B222" s="2">
        <v>2035</v>
      </c>
      <c r="C222" t="str">
        <f>INDEX(Controller!$J$2:$J$11,MOD(INT((ROW()-2)/7),10)+1)</f>
        <v>elc_industry</v>
      </c>
      <c r="D222" s="4">
        <f>D221*8%+D221</f>
        <v>82.484556076799976</v>
      </c>
      <c r="E222" t="str">
        <f>A222&amp;"|"&amp;C222&amp;"|"&amp;B222</f>
        <v>NZ|elc_industry|2035</v>
      </c>
    </row>
    <row r="223" spans="1:5" ht="13.8">
      <c r="A223" t="str">
        <f>INDEX(Controller!$H$2:$H$11,INT((ROW()-2)/70)+1)</f>
        <v>NZ</v>
      </c>
      <c r="B223" s="2">
        <v>2040</v>
      </c>
      <c r="C223" t="str">
        <f>INDEX(Controller!$J$2:$J$11,MOD(INT((ROW()-2)/7),10)+1)</f>
        <v>elc_industry</v>
      </c>
      <c r="D223" s="4">
        <f>D222*8%+D222</f>
        <v>89.083320562943968</v>
      </c>
      <c r="E223" t="str">
        <f>A223&amp;"|"&amp;C223&amp;"|"&amp;B223</f>
        <v>NZ|elc_industry|2040</v>
      </c>
    </row>
    <row r="224" spans="1:5" ht="13.8">
      <c r="A224" t="str">
        <f>INDEX(Controller!$H$2:$H$11,INT((ROW()-2)/70)+1)</f>
        <v>NZ</v>
      </c>
      <c r="B224" s="2">
        <v>2045</v>
      </c>
      <c r="C224" t="str">
        <f>INDEX(Controller!$J$2:$J$11,MOD(INT((ROW()-2)/7),10)+1)</f>
        <v>elc_industry</v>
      </c>
      <c r="D224" s="4">
        <f>D223*8%+D223</f>
        <v>96.209986207979483</v>
      </c>
      <c r="E224" t="str">
        <f>A224&amp;"|"&amp;C224&amp;"|"&amp;B224</f>
        <v>NZ|elc_industry|2045</v>
      </c>
    </row>
    <row r="225" spans="1:5" ht="13.8">
      <c r="A225" t="str">
        <f>INDEX(Controller!$H$2:$H$11,INT((ROW()-2)/70)+1)</f>
        <v>NZ</v>
      </c>
      <c r="B225" s="2">
        <v>2050</v>
      </c>
      <c r="C225" t="str">
        <f>INDEX(Controller!$J$2:$J$11,MOD(INT((ROW()-2)/7),10)+1)</f>
        <v>elc_industry</v>
      </c>
      <c r="D225" s="4">
        <f>D224*8%+D224</f>
        <v>103.90678510461784</v>
      </c>
      <c r="E225" t="str">
        <f>A225&amp;"|"&amp;C225&amp;"|"&amp;B225</f>
        <v>NZ|elc_industry|2050</v>
      </c>
    </row>
    <row r="226" spans="1:5" ht="13.8">
      <c r="A226" t="str">
        <f>INDEX(Controller!$H$2:$H$11,INT((ROW()-2)/70)+1)</f>
        <v>NZ</v>
      </c>
      <c r="B226" s="2">
        <v>2022</v>
      </c>
      <c r="C226" t="str">
        <f>INDEX(Controller!$J$2:$J$11,MOD(INT((ROW()-2)/7),10)+1)</f>
        <v>elc_buildings</v>
      </c>
      <c r="D226" s="4">
        <v>104.41229999999999</v>
      </c>
      <c r="E226" t="str">
        <f>A226&amp;"|"&amp;C226&amp;"|"&amp;B226</f>
        <v>NZ|elc_buildings|2022</v>
      </c>
    </row>
    <row r="227" spans="1:5" ht="13.8">
      <c r="A227" t="str">
        <f>INDEX(Controller!$H$2:$H$11,INT((ROW()-2)/70)+1)</f>
        <v>NZ</v>
      </c>
      <c r="B227" s="2">
        <v>2025</v>
      </c>
      <c r="C227" t="str">
        <f>INDEX(Controller!$J$2:$J$11,MOD(INT((ROW()-2)/7),10)+1)</f>
        <v>elc_buildings</v>
      </c>
      <c r="D227" s="4">
        <f>D226*10%+D226</f>
        <v>114.85352999999999</v>
      </c>
      <c r="E227" t="str">
        <f>A227&amp;"|"&amp;C227&amp;"|"&amp;B227</f>
        <v>NZ|elc_buildings|2025</v>
      </c>
    </row>
    <row r="228" spans="1:5" ht="13.8">
      <c r="A228" t="str">
        <f>INDEX(Controller!$H$2:$H$11,INT((ROW()-2)/70)+1)</f>
        <v>NZ</v>
      </c>
      <c r="B228" s="2">
        <v>2030</v>
      </c>
      <c r="C228" t="str">
        <f>INDEX(Controller!$J$2:$J$11,MOD(INT((ROW()-2)/7),10)+1)</f>
        <v>elc_buildings</v>
      </c>
      <c r="D228" s="4">
        <f>D227*10%+D227</f>
        <v>126.338883</v>
      </c>
      <c r="E228" t="str">
        <f>A228&amp;"|"&amp;C228&amp;"|"&amp;B228</f>
        <v>NZ|elc_buildings|2030</v>
      </c>
    </row>
    <row r="229" spans="1:5" ht="13.8">
      <c r="A229" t="str">
        <f>INDEX(Controller!$H$2:$H$11,INT((ROW()-2)/70)+1)</f>
        <v>NZ</v>
      </c>
      <c r="B229" s="2">
        <v>2035</v>
      </c>
      <c r="C229" t="str">
        <f>INDEX(Controller!$J$2:$J$11,MOD(INT((ROW()-2)/7),10)+1)</f>
        <v>elc_buildings</v>
      </c>
      <c r="D229" s="4">
        <f>D228*10%+D228</f>
        <v>138.97277130000001</v>
      </c>
      <c r="E229" t="str">
        <f>A229&amp;"|"&amp;C229&amp;"|"&amp;B229</f>
        <v>NZ|elc_buildings|2035</v>
      </c>
    </row>
    <row r="230" spans="1:5" ht="13.8">
      <c r="A230" t="str">
        <f>INDEX(Controller!$H$2:$H$11,INT((ROW()-2)/70)+1)</f>
        <v>NZ</v>
      </c>
      <c r="B230" s="2">
        <v>2040</v>
      </c>
      <c r="C230" t="str">
        <f>INDEX(Controller!$J$2:$J$11,MOD(INT((ROW()-2)/7),10)+1)</f>
        <v>elc_buildings</v>
      </c>
      <c r="D230" s="4">
        <f>D229*10%+D229</f>
        <v>152.87004843</v>
      </c>
      <c r="E230" t="str">
        <f>A230&amp;"|"&amp;C230&amp;"|"&amp;B230</f>
        <v>NZ|elc_buildings|2040</v>
      </c>
    </row>
    <row r="231" spans="1:5" ht="13.8">
      <c r="A231" t="str">
        <f>INDEX(Controller!$H$2:$H$11,INT((ROW()-2)/70)+1)</f>
        <v>NZ</v>
      </c>
      <c r="B231" s="2">
        <v>2045</v>
      </c>
      <c r="C231" t="str">
        <f>INDEX(Controller!$J$2:$J$11,MOD(INT((ROW()-2)/7),10)+1)</f>
        <v>elc_buildings</v>
      </c>
      <c r="D231" s="4">
        <f>D230*10%+D230</f>
        <v>168.157053273</v>
      </c>
      <c r="E231" t="str">
        <f>A231&amp;"|"&amp;C231&amp;"|"&amp;B231</f>
        <v>NZ|elc_buildings|2045</v>
      </c>
    </row>
    <row r="232" spans="1:5" ht="13.8">
      <c r="A232" t="str">
        <f>INDEX(Controller!$H$2:$H$11,INT((ROW()-2)/70)+1)</f>
        <v>NZ</v>
      </c>
      <c r="B232" s="2">
        <v>2050</v>
      </c>
      <c r="C232" t="str">
        <f>INDEX(Controller!$J$2:$J$11,MOD(INT((ROW()-2)/7),10)+1)</f>
        <v>elc_buildings</v>
      </c>
      <c r="D232" s="4">
        <f>D231*10%+D231</f>
        <v>184.97275860030001</v>
      </c>
      <c r="E232" t="str">
        <f>A232&amp;"|"&amp;C232&amp;"|"&amp;B232</f>
        <v>NZ|elc_buildings|2050</v>
      </c>
    </row>
    <row r="233" spans="1:5" ht="13.8">
      <c r="A233" t="str">
        <f>INDEX(Controller!$H$2:$H$11,INT((ROW()-2)/70)+1)</f>
        <v>NZ</v>
      </c>
      <c r="B233" s="2">
        <v>2022</v>
      </c>
      <c r="C233" t="str">
        <f>INDEX(Controller!$J$2:$J$11,MOD(INT((ROW()-2)/7),10)+1)</f>
        <v>elc_transport</v>
      </c>
      <c r="D233" s="4">
        <v>5.3090999999999999</v>
      </c>
      <c r="E233" t="str">
        <f>A233&amp;"|"&amp;C233&amp;"|"&amp;B233</f>
        <v>NZ|elc_transport|2022</v>
      </c>
    </row>
    <row r="234" spans="1:5" ht="13.8">
      <c r="A234" t="str">
        <f>INDEX(Controller!$H$2:$H$11,INT((ROW()-2)/70)+1)</f>
        <v>NZ</v>
      </c>
      <c r="B234" s="2">
        <v>2025</v>
      </c>
      <c r="C234" t="str">
        <f>INDEX(Controller!$J$2:$J$11,MOD(INT((ROW()-2)/7),10)+1)</f>
        <v>elc_transport</v>
      </c>
      <c r="D234" s="4">
        <f>D233*8%+D233</f>
        <v>5.7338279999999999</v>
      </c>
      <c r="E234" t="str">
        <f>A234&amp;"|"&amp;C234&amp;"|"&amp;B234</f>
        <v>NZ|elc_transport|2025</v>
      </c>
    </row>
    <row r="235" spans="1:5" ht="13.8">
      <c r="A235" t="str">
        <f>INDEX(Controller!$H$2:$H$11,INT((ROW()-2)/70)+1)</f>
        <v>NZ</v>
      </c>
      <c r="B235" s="2">
        <v>2030</v>
      </c>
      <c r="C235" t="str">
        <f>INDEX(Controller!$J$2:$J$11,MOD(INT((ROW()-2)/7),10)+1)</f>
        <v>elc_transport</v>
      </c>
      <c r="D235" s="4">
        <f>D234*8%+D234</f>
        <v>6.1925342399999996</v>
      </c>
      <c r="E235" t="str">
        <f>A235&amp;"|"&amp;C235&amp;"|"&amp;B235</f>
        <v>NZ|elc_transport|2030</v>
      </c>
    </row>
    <row r="236" spans="1:5" ht="13.8">
      <c r="A236" t="str">
        <f>INDEX(Controller!$H$2:$H$11,INT((ROW()-2)/70)+1)</f>
        <v>NZ</v>
      </c>
      <c r="B236" s="2">
        <v>2035</v>
      </c>
      <c r="C236" t="str">
        <f>INDEX(Controller!$J$2:$J$11,MOD(INT((ROW()-2)/7),10)+1)</f>
        <v>elc_transport</v>
      </c>
      <c r="D236" s="4">
        <f>D235*8%+D235</f>
        <v>6.6879369791999999</v>
      </c>
      <c r="E236" t="str">
        <f>A236&amp;"|"&amp;C236&amp;"|"&amp;B236</f>
        <v>NZ|elc_transport|2035</v>
      </c>
    </row>
    <row r="237" spans="1:5" ht="13.8">
      <c r="A237" t="str">
        <f>INDEX(Controller!$H$2:$H$11,INT((ROW()-2)/70)+1)</f>
        <v>NZ</v>
      </c>
      <c r="B237" s="2">
        <v>2040</v>
      </c>
      <c r="C237" t="str">
        <f>INDEX(Controller!$J$2:$J$11,MOD(INT((ROW()-2)/7),10)+1)</f>
        <v>elc_transport</v>
      </c>
      <c r="D237" s="4">
        <f>D236*8%+D236</f>
        <v>7.2229719375360002</v>
      </c>
      <c r="E237" t="str">
        <f>A237&amp;"|"&amp;C237&amp;"|"&amp;B237</f>
        <v>NZ|elc_transport|2040</v>
      </c>
    </row>
    <row r="238" spans="1:5" ht="13.8">
      <c r="A238" t="str">
        <f>INDEX(Controller!$H$2:$H$11,INT((ROW()-2)/70)+1)</f>
        <v>NZ</v>
      </c>
      <c r="B238" s="2">
        <v>2045</v>
      </c>
      <c r="C238" t="str">
        <f>INDEX(Controller!$J$2:$J$11,MOD(INT((ROW()-2)/7),10)+1)</f>
        <v>elc_transport</v>
      </c>
      <c r="D238" s="4">
        <f>D237*8%+D237</f>
        <v>7.8008096925388806</v>
      </c>
      <c r="E238" t="str">
        <f>A238&amp;"|"&amp;C238&amp;"|"&amp;B238</f>
        <v>NZ|elc_transport|2045</v>
      </c>
    </row>
    <row r="239" spans="1:5" ht="13.8">
      <c r="A239" t="str">
        <f>INDEX(Controller!$H$2:$H$11,INT((ROW()-2)/70)+1)</f>
        <v>NZ</v>
      </c>
      <c r="B239" s="2">
        <v>2050</v>
      </c>
      <c r="C239" t="str">
        <f>INDEX(Controller!$J$2:$J$11,MOD(INT((ROW()-2)/7),10)+1)</f>
        <v>elc_transport</v>
      </c>
      <c r="D239" s="4">
        <f>D238*8%+D238</f>
        <v>8.4248744679419918</v>
      </c>
      <c r="E239" t="str">
        <f>A239&amp;"|"&amp;C239&amp;"|"&amp;B239</f>
        <v>NZ|elc_transport|2050</v>
      </c>
    </row>
    <row r="240" spans="1:5" ht="13.8">
      <c r="A240" t="str">
        <f>INDEX(Controller!$H$2:$H$11,INT((ROW()-2)/70)+1)</f>
        <v>NZ</v>
      </c>
      <c r="B240" s="2">
        <v>2022</v>
      </c>
      <c r="C240" t="str">
        <f>INDEX(Controller!$J$2:$J$11,MOD(INT((ROW()-2)/7),10)+1)</f>
        <v>elc_roadtransport</v>
      </c>
      <c r="D240" s="4">
        <v>1.7697000000000287</v>
      </c>
      <c r="E240" t="str">
        <f>A240&amp;"|"&amp;C240&amp;"|"&amp;B240</f>
        <v>NZ|elc_roadtransport|2022</v>
      </c>
    </row>
    <row r="241" spans="1:5" ht="13.8">
      <c r="A241" t="str">
        <f>INDEX(Controller!$H$2:$H$11,INT((ROW()-2)/70)+1)</f>
        <v>NZ</v>
      </c>
      <c r="B241" s="2">
        <v>2025</v>
      </c>
      <c r="C241" t="str">
        <f>INDEX(Controller!$J$2:$J$11,MOD(INT((ROW()-2)/7),10)+1)</f>
        <v>elc_roadtransport</v>
      </c>
      <c r="D241" s="4">
        <f>D240*100%+D240</f>
        <v>3.5394000000000574</v>
      </c>
      <c r="E241" t="str">
        <f>A241&amp;"|"&amp;C241&amp;"|"&amp;B241</f>
        <v>NZ|elc_roadtransport|2025</v>
      </c>
    </row>
    <row r="242" spans="1:5" ht="13.8">
      <c r="A242" t="str">
        <f>INDEX(Controller!$H$2:$H$11,INT((ROW()-2)/70)+1)</f>
        <v>NZ</v>
      </c>
      <c r="B242" s="2">
        <v>2030</v>
      </c>
      <c r="C242" t="str">
        <f>INDEX(Controller!$J$2:$J$11,MOD(INT((ROW()-2)/7),10)+1)</f>
        <v>elc_roadtransport</v>
      </c>
      <c r="D242" s="4">
        <f>D241*100%+D241</f>
        <v>7.0788000000001148</v>
      </c>
      <c r="E242" t="str">
        <f>A242&amp;"|"&amp;C242&amp;"|"&amp;B242</f>
        <v>NZ|elc_roadtransport|2030</v>
      </c>
    </row>
    <row r="243" spans="1:5" ht="13.8">
      <c r="A243" t="str">
        <f>INDEX(Controller!$H$2:$H$11,INT((ROW()-2)/70)+1)</f>
        <v>NZ</v>
      </c>
      <c r="B243" s="2">
        <v>2035</v>
      </c>
      <c r="C243" t="str">
        <f>INDEX(Controller!$J$2:$J$11,MOD(INT((ROW()-2)/7),10)+1)</f>
        <v>elc_roadtransport</v>
      </c>
      <c r="D243" s="4">
        <f>D242*100%+D242</f>
        <v>14.15760000000023</v>
      </c>
      <c r="E243" t="str">
        <f>A243&amp;"|"&amp;C243&amp;"|"&amp;B243</f>
        <v>NZ|elc_roadtransport|2035</v>
      </c>
    </row>
    <row r="244" spans="1:5" ht="13.8">
      <c r="A244" t="str">
        <f>INDEX(Controller!$H$2:$H$11,INT((ROW()-2)/70)+1)</f>
        <v>NZ</v>
      </c>
      <c r="B244" s="2">
        <v>2040</v>
      </c>
      <c r="C244" t="str">
        <f>INDEX(Controller!$J$2:$J$11,MOD(INT((ROW()-2)/7),10)+1)</f>
        <v>elc_roadtransport</v>
      </c>
      <c r="D244" s="4">
        <f>D243*100%+D243</f>
        <v>28.315200000000459</v>
      </c>
      <c r="E244" t="str">
        <f>A244&amp;"|"&amp;C244&amp;"|"&amp;B244</f>
        <v>NZ|elc_roadtransport|2040</v>
      </c>
    </row>
    <row r="245" spans="1:5" ht="13.8">
      <c r="A245" t="str">
        <f>INDEX(Controller!$H$2:$H$11,INT((ROW()-2)/70)+1)</f>
        <v>NZ</v>
      </c>
      <c r="B245" s="2">
        <v>2045</v>
      </c>
      <c r="C245" t="str">
        <f>INDEX(Controller!$J$2:$J$11,MOD(INT((ROW()-2)/7),10)+1)</f>
        <v>elc_roadtransport</v>
      </c>
      <c r="D245" s="4">
        <f>D244*100%+D244</f>
        <v>56.630400000000918</v>
      </c>
      <c r="E245" t="str">
        <f>A245&amp;"|"&amp;C245&amp;"|"&amp;B245</f>
        <v>NZ|elc_roadtransport|2045</v>
      </c>
    </row>
    <row r="246" spans="1:5" ht="13.8">
      <c r="A246" t="str">
        <f>INDEX(Controller!$H$2:$H$11,INT((ROW()-2)/70)+1)</f>
        <v>NZ</v>
      </c>
      <c r="B246" s="2">
        <v>2050</v>
      </c>
      <c r="C246" t="str">
        <f>INDEX(Controller!$J$2:$J$11,MOD(INT((ROW()-2)/7),10)+1)</f>
        <v>elc_roadtransport</v>
      </c>
      <c r="D246" s="4">
        <f>D245*100%+D245</f>
        <v>113.26080000000184</v>
      </c>
      <c r="E246" t="str">
        <f>A246&amp;"|"&amp;C246&amp;"|"&amp;B246</f>
        <v>NZ|elc_roadtransport|2050</v>
      </c>
    </row>
    <row r="247" spans="1:5" ht="13.8">
      <c r="A247" t="str">
        <f>INDEX(Controller!$H$2:$H$11,INT((ROW()-2)/70)+1)</f>
        <v>NZ</v>
      </c>
      <c r="B247" s="2">
        <v>2022</v>
      </c>
      <c r="C247" t="str">
        <f>INDEX(Controller!$J$2:$J$11,MOD(INT((ROW()-2)/7),10)+1)</f>
        <v>het_industry</v>
      </c>
      <c r="D247" s="4">
        <v>9.7690000000000001</v>
      </c>
      <c r="E247" t="str">
        <f>A247&amp;"|"&amp;C247&amp;"|"&amp;B247</f>
        <v>NZ|het_industry|2022</v>
      </c>
    </row>
    <row r="248" spans="1:5" ht="13.8">
      <c r="A248" t="str">
        <f>INDEX(Controller!$H$2:$H$11,INT((ROW()-2)/70)+1)</f>
        <v>NZ</v>
      </c>
      <c r="B248" s="2">
        <v>2025</v>
      </c>
      <c r="C248" t="str">
        <f>INDEX(Controller!$J$2:$J$11,MOD(INT((ROW()-2)/7),10)+1)</f>
        <v>het_industry</v>
      </c>
      <c r="D248" s="4">
        <f>D247*8%+D247</f>
        <v>10.550520000000001</v>
      </c>
      <c r="E248" t="str">
        <f>A248&amp;"|"&amp;C248&amp;"|"&amp;B248</f>
        <v>NZ|het_industry|2025</v>
      </c>
    </row>
    <row r="249" spans="1:5" ht="13.8">
      <c r="A249" t="str">
        <f>INDEX(Controller!$H$2:$H$11,INT((ROW()-2)/70)+1)</f>
        <v>NZ</v>
      </c>
      <c r="B249" s="2">
        <v>2030</v>
      </c>
      <c r="C249" t="str">
        <f>INDEX(Controller!$J$2:$J$11,MOD(INT((ROW()-2)/7),10)+1)</f>
        <v>het_industry</v>
      </c>
      <c r="D249" s="4">
        <f>D248*8%+D248</f>
        <v>11.394561600000001</v>
      </c>
      <c r="E249" t="str">
        <f>A249&amp;"|"&amp;C249&amp;"|"&amp;B249</f>
        <v>NZ|het_industry|2030</v>
      </c>
    </row>
    <row r="250" spans="1:5" ht="13.8">
      <c r="A250" t="str">
        <f>INDEX(Controller!$H$2:$H$11,INT((ROW()-2)/70)+1)</f>
        <v>NZ</v>
      </c>
      <c r="B250" s="2">
        <v>2035</v>
      </c>
      <c r="C250" t="str">
        <f>INDEX(Controller!$J$2:$J$11,MOD(INT((ROW()-2)/7),10)+1)</f>
        <v>het_industry</v>
      </c>
      <c r="D250" s="4">
        <f>D249*8%+D249</f>
        <v>12.306126528000002</v>
      </c>
      <c r="E250" t="str">
        <f>A250&amp;"|"&amp;C250&amp;"|"&amp;B250</f>
        <v>NZ|het_industry|2035</v>
      </c>
    </row>
    <row r="251" spans="1:5" ht="13.8">
      <c r="A251" t="str">
        <f>INDEX(Controller!$H$2:$H$11,INT((ROW()-2)/70)+1)</f>
        <v>NZ</v>
      </c>
      <c r="B251" s="2">
        <v>2040</v>
      </c>
      <c r="C251" t="str">
        <f>INDEX(Controller!$J$2:$J$11,MOD(INT((ROW()-2)/7),10)+1)</f>
        <v>het_industry</v>
      </c>
      <c r="D251" s="4">
        <f>D250*8%+D250</f>
        <v>13.290616650240002</v>
      </c>
      <c r="E251" t="str">
        <f>A251&amp;"|"&amp;C251&amp;"|"&amp;B251</f>
        <v>NZ|het_industry|2040</v>
      </c>
    </row>
    <row r="252" spans="1:5" ht="13.8">
      <c r="A252" t="str">
        <f>INDEX(Controller!$H$2:$H$11,INT((ROW()-2)/70)+1)</f>
        <v>NZ</v>
      </c>
      <c r="B252" s="2">
        <v>2045</v>
      </c>
      <c r="C252" t="str">
        <f>INDEX(Controller!$J$2:$J$11,MOD(INT((ROW()-2)/7),10)+1)</f>
        <v>het_industry</v>
      </c>
      <c r="D252" s="4">
        <f>D251*8%+D251</f>
        <v>14.353865982259203</v>
      </c>
      <c r="E252" t="str">
        <f>A252&amp;"|"&amp;C252&amp;"|"&amp;B252</f>
        <v>NZ|het_industry|2045</v>
      </c>
    </row>
    <row r="253" spans="1:5" ht="13.8">
      <c r="A253" t="str">
        <f>INDEX(Controller!$H$2:$H$11,INT((ROW()-2)/70)+1)</f>
        <v>NZ</v>
      </c>
      <c r="B253" s="2">
        <v>2050</v>
      </c>
      <c r="C253" t="str">
        <f>INDEX(Controller!$J$2:$J$11,MOD(INT((ROW()-2)/7),10)+1)</f>
        <v>het_industry</v>
      </c>
      <c r="D253" s="4">
        <f>D252*8%+D252</f>
        <v>15.502175260839939</v>
      </c>
      <c r="E253" t="str">
        <f>A253&amp;"|"&amp;C253&amp;"|"&amp;B253</f>
        <v>NZ|het_industry|2050</v>
      </c>
    </row>
    <row r="254" spans="1:5" ht="13.8">
      <c r="A254" t="str">
        <f>INDEX(Controller!$H$2:$H$11,INT((ROW()-2)/70)+1)</f>
        <v>NZ</v>
      </c>
      <c r="B254" s="2">
        <v>2022</v>
      </c>
      <c r="C254" t="str">
        <f>INDEX(Controller!$J$2:$J$11,MOD(INT((ROW()-2)/7),10)+1)</f>
        <v>het_buildings</v>
      </c>
      <c r="D254" s="4">
        <v>55.512999999999998</v>
      </c>
      <c r="E254" t="str">
        <f>A254&amp;"|"&amp;C254&amp;"|"&amp;B254</f>
        <v>NZ|het_buildings|2022</v>
      </c>
    </row>
    <row r="255" spans="1:5" ht="13.8">
      <c r="A255" t="str">
        <f>INDEX(Controller!$H$2:$H$11,INT((ROW()-2)/70)+1)</f>
        <v>NZ</v>
      </c>
      <c r="B255" s="2">
        <v>2025</v>
      </c>
      <c r="C255" t="str">
        <f>INDEX(Controller!$J$2:$J$11,MOD(INT((ROW()-2)/7),10)+1)</f>
        <v>het_buildings</v>
      </c>
      <c r="D255" s="4">
        <f>D254</f>
        <v>55.512999999999998</v>
      </c>
      <c r="E255" t="str">
        <f>A255&amp;"|"&amp;C255&amp;"|"&amp;B255</f>
        <v>NZ|het_buildings|2025</v>
      </c>
    </row>
    <row r="256" spans="1:5" ht="13.8">
      <c r="A256" t="str">
        <f>INDEX(Controller!$H$2:$H$11,INT((ROW()-2)/70)+1)</f>
        <v>NZ</v>
      </c>
      <c r="B256" s="2">
        <v>2030</v>
      </c>
      <c r="C256" t="str">
        <f>INDEX(Controller!$J$2:$J$11,MOD(INT((ROW()-2)/7),10)+1)</f>
        <v>het_buildings</v>
      </c>
      <c r="D256" s="4">
        <f>D255</f>
        <v>55.512999999999998</v>
      </c>
      <c r="E256" t="str">
        <f>A256&amp;"|"&amp;C256&amp;"|"&amp;B256</f>
        <v>NZ|het_buildings|2030</v>
      </c>
    </row>
    <row r="257" spans="1:5" ht="13.8">
      <c r="A257" t="str">
        <f>INDEX(Controller!$H$2:$H$11,INT((ROW()-2)/70)+1)</f>
        <v>NZ</v>
      </c>
      <c r="B257" s="2">
        <v>2035</v>
      </c>
      <c r="C257" t="str">
        <f>INDEX(Controller!$J$2:$J$11,MOD(INT((ROW()-2)/7),10)+1)</f>
        <v>het_buildings</v>
      </c>
      <c r="D257" s="4">
        <f>D256</f>
        <v>55.512999999999998</v>
      </c>
      <c r="E257" t="str">
        <f>A257&amp;"|"&amp;C257&amp;"|"&amp;B257</f>
        <v>NZ|het_buildings|2035</v>
      </c>
    </row>
    <row r="258" spans="1:5" ht="13.8">
      <c r="A258" t="str">
        <f>INDEX(Controller!$H$2:$H$11,INT((ROW()-2)/70)+1)</f>
        <v>NZ</v>
      </c>
      <c r="B258" s="2">
        <v>2040</v>
      </c>
      <c r="C258" t="str">
        <f>INDEX(Controller!$J$2:$J$11,MOD(INT((ROW()-2)/7),10)+1)</f>
        <v>het_buildings</v>
      </c>
      <c r="D258" s="4">
        <f>D257</f>
        <v>55.512999999999998</v>
      </c>
      <c r="E258" t="str">
        <f>A258&amp;"|"&amp;C258&amp;"|"&amp;B258</f>
        <v>NZ|het_buildings|2040</v>
      </c>
    </row>
    <row r="259" spans="1:5" ht="13.8">
      <c r="A259" t="str">
        <f>INDEX(Controller!$H$2:$H$11,INT((ROW()-2)/70)+1)</f>
        <v>NZ</v>
      </c>
      <c r="B259" s="2">
        <v>2045</v>
      </c>
      <c r="C259" t="str">
        <f>INDEX(Controller!$J$2:$J$11,MOD(INT((ROW()-2)/7),10)+1)</f>
        <v>het_buildings</v>
      </c>
      <c r="D259" s="4">
        <f>D258</f>
        <v>55.512999999999998</v>
      </c>
      <c r="E259" t="str">
        <f>A259&amp;"|"&amp;C259&amp;"|"&amp;B259</f>
        <v>NZ|het_buildings|2045</v>
      </c>
    </row>
    <row r="260" spans="1:5" ht="13.8">
      <c r="A260" t="str">
        <f>INDEX(Controller!$H$2:$H$11,INT((ROW()-2)/70)+1)</f>
        <v>NZ</v>
      </c>
      <c r="B260" s="2">
        <v>2050</v>
      </c>
      <c r="C260" t="str">
        <f>INDEX(Controller!$J$2:$J$11,MOD(INT((ROW()-2)/7),10)+1)</f>
        <v>het_buildings</v>
      </c>
      <c r="D260" s="4">
        <f>D259</f>
        <v>55.512999999999998</v>
      </c>
      <c r="E260" t="str">
        <f>A260&amp;"|"&amp;C260&amp;"|"&amp;B260</f>
        <v>NZ|het_buildings|2050</v>
      </c>
    </row>
    <row r="261" spans="1:5" ht="13.8">
      <c r="A261" t="str">
        <f>INDEX(Controller!$H$2:$H$11,INT((ROW()-2)/70)+1)</f>
        <v>NZ</v>
      </c>
      <c r="B261" s="2">
        <v>2022</v>
      </c>
      <c r="C261" t="str">
        <f>INDEX(Controller!$J$2:$J$11,MOD(INT((ROW()-2)/7),10)+1)</f>
        <v>co2net</v>
      </c>
      <c r="D261" s="4">
        <v>0</v>
      </c>
      <c r="E261" t="str">
        <f>A261&amp;"|"&amp;C261&amp;"|"&amp;B261</f>
        <v>NZ|co2net|2022</v>
      </c>
    </row>
    <row r="262" spans="1:5" ht="13.8">
      <c r="A262" t="str">
        <f>INDEX(Controller!$H$2:$H$11,INT((ROW()-2)/70)+1)</f>
        <v>NZ</v>
      </c>
      <c r="B262" s="2">
        <v>2025</v>
      </c>
      <c r="C262" t="str">
        <f>INDEX(Controller!$J$2:$J$11,MOD(INT((ROW()-2)/7),10)+1)</f>
        <v>co2net</v>
      </c>
      <c r="D262" s="26">
        <f>_xlfn.FORECAST.LINEAR(B262,CHOOSE({1,2},D261,D267),CHOOSE({1,2},B261,B267))</f>
        <v>48.214285714282596</v>
      </c>
      <c r="E262" t="str">
        <f>A262&amp;"|"&amp;C262&amp;"|"&amp;B262</f>
        <v>NZ|co2net|2025</v>
      </c>
    </row>
    <row r="263" spans="1:5" ht="13.8">
      <c r="A263" t="str">
        <f>INDEX(Controller!$H$2:$H$11,INT((ROW()-2)/70)+1)</f>
        <v>NZ</v>
      </c>
      <c r="B263" s="2">
        <v>2030</v>
      </c>
      <c r="C263" t="str">
        <f>INDEX(Controller!$J$2:$J$11,MOD(INT((ROW()-2)/7),10)+1)</f>
        <v>co2net</v>
      </c>
      <c r="D263" s="26">
        <f>_xlfn.FORECAST.LINEAR(B263,CHOOSE({1,2},D261,D267),CHOOSE({1,2},B261,B267))</f>
        <v>128.57142857142753</v>
      </c>
      <c r="E263" t="str">
        <f>A263&amp;"|"&amp;C263&amp;"|"&amp;B263</f>
        <v>NZ|co2net|2030</v>
      </c>
    </row>
    <row r="264" spans="1:5" ht="13.8">
      <c r="A264" t="str">
        <f>INDEX(Controller!$H$2:$H$11,INT((ROW()-2)/70)+1)</f>
        <v>NZ</v>
      </c>
      <c r="B264" s="2">
        <v>2035</v>
      </c>
      <c r="C264" t="str">
        <f>INDEX(Controller!$J$2:$J$11,MOD(INT((ROW()-2)/7),10)+1)</f>
        <v>co2net</v>
      </c>
      <c r="D264" s="26">
        <f>_xlfn.FORECAST.LINEAR(B264,CHOOSE({1,2},D261,D267),CHOOSE({1,2},B261,B267))</f>
        <v>208.92857142856883</v>
      </c>
      <c r="E264" t="str">
        <f>A264&amp;"|"&amp;C264&amp;"|"&amp;B264</f>
        <v>NZ|co2net|2035</v>
      </c>
    </row>
    <row r="265" spans="1:5" ht="13.8">
      <c r="A265" t="str">
        <f>INDEX(Controller!$H$2:$H$11,INT((ROW()-2)/70)+1)</f>
        <v>NZ</v>
      </c>
      <c r="B265" s="2">
        <v>2040</v>
      </c>
      <c r="C265" t="str">
        <f>INDEX(Controller!$J$2:$J$11,MOD(INT((ROW()-2)/7),10)+1)</f>
        <v>co2net</v>
      </c>
      <c r="D265" s="26">
        <f>_xlfn.FORECAST.LINEAR(B265,CHOOSE({1,2},D261,D267),CHOOSE({1,2},B261,B267))</f>
        <v>289.28571428571377</v>
      </c>
      <c r="E265" t="str">
        <f>A265&amp;"|"&amp;C265&amp;"|"&amp;B265</f>
        <v>NZ|co2net|2040</v>
      </c>
    </row>
    <row r="266" spans="1:5" ht="13.8">
      <c r="A266" t="str">
        <f>INDEX(Controller!$H$2:$H$11,INT((ROW()-2)/70)+1)</f>
        <v>NZ</v>
      </c>
      <c r="B266" s="2">
        <v>2045</v>
      </c>
      <c r="C266" t="str">
        <f>INDEX(Controller!$J$2:$J$11,MOD(INT((ROW()-2)/7),10)+1)</f>
        <v>co2net</v>
      </c>
      <c r="D266" s="26">
        <f>_xlfn.FORECAST.LINEAR(B266,CHOOSE({1,2},D261,D267),CHOOSE({1,2},B261,B267))</f>
        <v>369.6428571428587</v>
      </c>
      <c r="E266" t="str">
        <f>A266&amp;"|"&amp;C266&amp;"|"&amp;B266</f>
        <v>NZ|co2net|2045</v>
      </c>
    </row>
    <row r="267" spans="1:5" ht="13.8">
      <c r="A267" t="str">
        <f>INDEX(Controller!$H$2:$H$11,INT((ROW()-2)/70)+1)</f>
        <v>NZ</v>
      </c>
      <c r="B267" s="2">
        <v>2050</v>
      </c>
      <c r="C267" t="str">
        <f>INDEX(Controller!$J$2:$J$11,MOD(INT((ROW()-2)/7),10)+1)</f>
        <v>co2net</v>
      </c>
      <c r="D267" s="4">
        <v>450</v>
      </c>
      <c r="E267" t="str">
        <f>A267&amp;"|"&amp;C267&amp;"|"&amp;B267</f>
        <v>NZ|co2net|2050</v>
      </c>
    </row>
    <row r="268" spans="1:5" ht="13.8">
      <c r="A268" t="str">
        <f>INDEX(Controller!$H$2:$H$11,INT((ROW()-2)/70)+1)</f>
        <v>NZ</v>
      </c>
      <c r="B268" s="2">
        <v>2022</v>
      </c>
      <c r="C268" t="str">
        <f>INDEX(Controller!$J$2:$J$11,MOD(INT((ROW()-2)/7),10)+1)</f>
        <v>Variable 9</v>
      </c>
      <c r="D268" s="4"/>
      <c r="E268" t="str">
        <f>A268&amp;"|"&amp;C268&amp;"|"&amp;B268</f>
        <v>NZ|Variable 9|2022</v>
      </c>
    </row>
    <row r="269" spans="1:5" ht="13.8">
      <c r="A269" t="str">
        <f>INDEX(Controller!$H$2:$H$11,INT((ROW()-2)/70)+1)</f>
        <v>NZ</v>
      </c>
      <c r="B269" s="2">
        <v>2025</v>
      </c>
      <c r="C269" t="str">
        <f>INDEX(Controller!$J$2:$J$11,MOD(INT((ROW()-2)/7),10)+1)</f>
        <v>Variable 9</v>
      </c>
      <c r="D269" s="4"/>
      <c r="E269" t="str">
        <f>A269&amp;"|"&amp;C269&amp;"|"&amp;B269</f>
        <v>NZ|Variable 9|2025</v>
      </c>
    </row>
    <row r="270" spans="1:5" ht="13.8">
      <c r="A270" t="str">
        <f>INDEX(Controller!$H$2:$H$11,INT((ROW()-2)/70)+1)</f>
        <v>NZ</v>
      </c>
      <c r="B270" s="2">
        <v>2030</v>
      </c>
      <c r="C270" t="str">
        <f>INDEX(Controller!$J$2:$J$11,MOD(INT((ROW()-2)/7),10)+1)</f>
        <v>Variable 9</v>
      </c>
      <c r="D270" s="4"/>
      <c r="E270" t="str">
        <f>A270&amp;"|"&amp;C270&amp;"|"&amp;B270</f>
        <v>NZ|Variable 9|2030</v>
      </c>
    </row>
    <row r="271" spans="1:5" ht="13.8">
      <c r="A271" t="str">
        <f>INDEX(Controller!$H$2:$H$11,INT((ROW()-2)/70)+1)</f>
        <v>NZ</v>
      </c>
      <c r="B271" s="2">
        <v>2035</v>
      </c>
      <c r="C271" t="str">
        <f>INDEX(Controller!$J$2:$J$11,MOD(INT((ROW()-2)/7),10)+1)</f>
        <v>Variable 9</v>
      </c>
      <c r="D271" s="4"/>
      <c r="E271" t="str">
        <f>A271&amp;"|"&amp;C271&amp;"|"&amp;B271</f>
        <v>NZ|Variable 9|2035</v>
      </c>
    </row>
    <row r="272" spans="1:5" ht="13.8">
      <c r="A272" t="str">
        <f>INDEX(Controller!$H$2:$H$11,INT((ROW()-2)/70)+1)</f>
        <v>NZ</v>
      </c>
      <c r="B272" s="2">
        <v>2040</v>
      </c>
      <c r="C272" t="str">
        <f>INDEX(Controller!$J$2:$J$11,MOD(INT((ROW()-2)/7),10)+1)</f>
        <v>Variable 9</v>
      </c>
      <c r="D272" s="4"/>
      <c r="E272" t="str">
        <f>A272&amp;"|"&amp;C272&amp;"|"&amp;B272</f>
        <v>NZ|Variable 9|2040</v>
      </c>
    </row>
    <row r="273" spans="1:5" ht="13.8">
      <c r="A273" t="str">
        <f>INDEX(Controller!$H$2:$H$11,INT((ROW()-2)/70)+1)</f>
        <v>NZ</v>
      </c>
      <c r="B273" s="2">
        <v>2045</v>
      </c>
      <c r="C273" t="str">
        <f>INDEX(Controller!$J$2:$J$11,MOD(INT((ROW()-2)/7),10)+1)</f>
        <v>Variable 9</v>
      </c>
      <c r="D273" s="4"/>
      <c r="E273" t="str">
        <f>A273&amp;"|"&amp;C273&amp;"|"&amp;B273</f>
        <v>NZ|Variable 9|2045</v>
      </c>
    </row>
    <row r="274" spans="1:5" ht="13.8">
      <c r="A274" t="str">
        <f>INDEX(Controller!$H$2:$H$11,INT((ROW()-2)/70)+1)</f>
        <v>NZ</v>
      </c>
      <c r="B274" s="2">
        <v>2050</v>
      </c>
      <c r="C274" t="str">
        <f>INDEX(Controller!$J$2:$J$11,MOD(INT((ROW()-2)/7),10)+1)</f>
        <v>Variable 9</v>
      </c>
      <c r="D274" s="4"/>
      <c r="E274" t="str">
        <f>A274&amp;"|"&amp;C274&amp;"|"&amp;B274</f>
        <v>NZ|Variable 9|2050</v>
      </c>
    </row>
    <row r="275" spans="1:5" ht="13.8">
      <c r="A275" t="str">
        <f>INDEX(Controller!$H$2:$H$11,INT((ROW()-2)/70)+1)</f>
        <v>NZ</v>
      </c>
      <c r="B275" s="2">
        <v>2022</v>
      </c>
      <c r="C275" t="str">
        <f>INDEX(Controller!$J$2:$J$11,MOD(INT((ROW()-2)/7),10)+1)</f>
        <v>Variable 10</v>
      </c>
      <c r="D275" s="4"/>
      <c r="E275" t="str">
        <f>A275&amp;"|"&amp;C275&amp;"|"&amp;B275</f>
        <v>NZ|Variable 10|2022</v>
      </c>
    </row>
    <row r="276" spans="1:5" ht="13.8">
      <c r="A276" t="str">
        <f>INDEX(Controller!$H$2:$H$11,INT((ROW()-2)/70)+1)</f>
        <v>NZ</v>
      </c>
      <c r="B276" s="2">
        <v>2025</v>
      </c>
      <c r="C276" t="str">
        <f>INDEX(Controller!$J$2:$J$11,MOD(INT((ROW()-2)/7),10)+1)</f>
        <v>Variable 10</v>
      </c>
      <c r="D276" s="4"/>
      <c r="E276" t="str">
        <f>A276&amp;"|"&amp;C276&amp;"|"&amp;B276</f>
        <v>NZ|Variable 10|2025</v>
      </c>
    </row>
    <row r="277" spans="1:5" ht="13.8">
      <c r="A277" t="str">
        <f>INDEX(Controller!$H$2:$H$11,INT((ROW()-2)/70)+1)</f>
        <v>NZ</v>
      </c>
      <c r="B277" s="2">
        <v>2030</v>
      </c>
      <c r="C277" t="str">
        <f>INDEX(Controller!$J$2:$J$11,MOD(INT((ROW()-2)/7),10)+1)</f>
        <v>Variable 10</v>
      </c>
      <c r="D277" s="4"/>
      <c r="E277" t="str">
        <f>A277&amp;"|"&amp;C277&amp;"|"&amp;B277</f>
        <v>NZ|Variable 10|2030</v>
      </c>
    </row>
    <row r="278" spans="1:5" ht="13.8">
      <c r="A278" t="str">
        <f>INDEX(Controller!$H$2:$H$11,INT((ROW()-2)/70)+1)</f>
        <v>NZ</v>
      </c>
      <c r="B278" s="2">
        <v>2035</v>
      </c>
      <c r="C278" t="str">
        <f>INDEX(Controller!$J$2:$J$11,MOD(INT((ROW()-2)/7),10)+1)</f>
        <v>Variable 10</v>
      </c>
      <c r="D278" s="4"/>
      <c r="E278" t="str">
        <f>A278&amp;"|"&amp;C278&amp;"|"&amp;B278</f>
        <v>NZ|Variable 10|2035</v>
      </c>
    </row>
    <row r="279" spans="1:5" ht="13.8">
      <c r="A279" t="str">
        <f>INDEX(Controller!$H$2:$H$11,INT((ROW()-2)/70)+1)</f>
        <v>NZ</v>
      </c>
      <c r="B279" s="2">
        <v>2040</v>
      </c>
      <c r="C279" t="str">
        <f>INDEX(Controller!$J$2:$J$11,MOD(INT((ROW()-2)/7),10)+1)</f>
        <v>Variable 10</v>
      </c>
      <c r="D279" s="4"/>
      <c r="E279" t="str">
        <f>A279&amp;"|"&amp;C279&amp;"|"&amp;B279</f>
        <v>NZ|Variable 10|2040</v>
      </c>
    </row>
    <row r="280" spans="1:5" ht="13.8">
      <c r="A280" t="str">
        <f>INDEX(Controller!$H$2:$H$11,INT((ROW()-2)/70)+1)</f>
        <v>NZ</v>
      </c>
      <c r="B280" s="2">
        <v>2045</v>
      </c>
      <c r="C280" t="str">
        <f>INDEX(Controller!$J$2:$J$11,MOD(INT((ROW()-2)/7),10)+1)</f>
        <v>Variable 10</v>
      </c>
      <c r="D280" s="4"/>
      <c r="E280" t="str">
        <f>A280&amp;"|"&amp;C280&amp;"|"&amp;B280</f>
        <v>NZ|Variable 10|2045</v>
      </c>
    </row>
    <row r="281" spans="1:5" ht="13.8">
      <c r="A281" t="str">
        <f>INDEX(Controller!$H$2:$H$11,INT((ROW()-2)/70)+1)</f>
        <v>NZ</v>
      </c>
      <c r="B281" s="2">
        <v>2050</v>
      </c>
      <c r="C281" t="str">
        <f>INDEX(Controller!$J$2:$J$11,MOD(INT((ROW()-2)/7),10)+1)</f>
        <v>Variable 10</v>
      </c>
      <c r="D281" s="4"/>
      <c r="E281" t="str">
        <f>A281&amp;"|"&amp;C281&amp;"|"&amp;B281</f>
        <v>NZ|Variable 10|2050</v>
      </c>
    </row>
    <row r="282" spans="1:5" ht="13.8">
      <c r="A282" t="str">
        <f>INDEX(Controller!$H$2:$H$11,INT((ROW()-2)/70)+1)</f>
        <v>Scenario 5</v>
      </c>
      <c r="B282" s="2">
        <v>2022</v>
      </c>
      <c r="C282" t="str">
        <f>INDEX(Controller!$J$2:$J$11,MOD(INT((ROW()-2)/7),10)+1)</f>
        <v>hydrogen_allsect</v>
      </c>
      <c r="D282" s="4"/>
      <c r="E282" t="str">
        <f>A282&amp;"|"&amp;C282&amp;"|"&amp;B282</f>
        <v>Scenario 5|hydrogen_allsect|2022</v>
      </c>
    </row>
    <row r="283" spans="1:5" ht="13.8">
      <c r="A283" t="str">
        <f>INDEX(Controller!$H$2:$H$11,INT((ROW()-2)/70)+1)</f>
        <v>Scenario 5</v>
      </c>
      <c r="B283" s="2">
        <v>2025</v>
      </c>
      <c r="C283" t="str">
        <f>INDEX(Controller!$J$2:$J$11,MOD(INT((ROW()-2)/7),10)+1)</f>
        <v>hydrogen_allsect</v>
      </c>
      <c r="D283" s="4"/>
      <c r="E283" t="str">
        <f>A283&amp;"|"&amp;C283&amp;"|"&amp;B283</f>
        <v>Scenario 5|hydrogen_allsect|2025</v>
      </c>
    </row>
    <row r="284" spans="1:5" ht="13.8">
      <c r="A284" t="str">
        <f>INDEX(Controller!$H$2:$H$11,INT((ROW()-2)/70)+1)</f>
        <v>Scenario 5</v>
      </c>
      <c r="B284" s="2">
        <v>2030</v>
      </c>
      <c r="C284" t="str">
        <f>INDEX(Controller!$J$2:$J$11,MOD(INT((ROW()-2)/7),10)+1)</f>
        <v>hydrogen_allsect</v>
      </c>
      <c r="D284" s="4"/>
      <c r="E284" t="str">
        <f>A284&amp;"|"&amp;C284&amp;"|"&amp;B284</f>
        <v>Scenario 5|hydrogen_allsect|2030</v>
      </c>
    </row>
    <row r="285" spans="1:5" ht="13.8">
      <c r="A285" t="str">
        <f>INDEX(Controller!$H$2:$H$11,INT((ROW()-2)/70)+1)</f>
        <v>Scenario 5</v>
      </c>
      <c r="B285" s="2">
        <v>2035</v>
      </c>
      <c r="C285" t="str">
        <f>INDEX(Controller!$J$2:$J$11,MOD(INT((ROW()-2)/7),10)+1)</f>
        <v>hydrogen_allsect</v>
      </c>
      <c r="D285" s="4"/>
      <c r="E285" t="str">
        <f>A285&amp;"|"&amp;C285&amp;"|"&amp;B285</f>
        <v>Scenario 5|hydrogen_allsect|2035</v>
      </c>
    </row>
    <row r="286" spans="1:5" ht="13.8">
      <c r="A286" t="str">
        <f>INDEX(Controller!$H$2:$H$11,INT((ROW()-2)/70)+1)</f>
        <v>Scenario 5</v>
      </c>
      <c r="B286" s="2">
        <v>2040</v>
      </c>
      <c r="C286" t="str">
        <f>INDEX(Controller!$J$2:$J$11,MOD(INT((ROW()-2)/7),10)+1)</f>
        <v>hydrogen_allsect</v>
      </c>
      <c r="D286" s="4"/>
      <c r="E286" t="str">
        <f>A286&amp;"|"&amp;C286&amp;"|"&amp;B286</f>
        <v>Scenario 5|hydrogen_allsect|2040</v>
      </c>
    </row>
    <row r="287" spans="1:5" ht="13.8">
      <c r="A287" t="str">
        <f>INDEX(Controller!$H$2:$H$11,INT((ROW()-2)/70)+1)</f>
        <v>Scenario 5</v>
      </c>
      <c r="B287" s="2">
        <v>2045</v>
      </c>
      <c r="C287" t="str">
        <f>INDEX(Controller!$J$2:$J$11,MOD(INT((ROW()-2)/7),10)+1)</f>
        <v>hydrogen_allsect</v>
      </c>
      <c r="D287" s="4"/>
      <c r="E287" t="str">
        <f>A287&amp;"|"&amp;C287&amp;"|"&amp;B287</f>
        <v>Scenario 5|hydrogen_allsect|2045</v>
      </c>
    </row>
    <row r="288" spans="1:5" ht="13.8">
      <c r="A288" t="str">
        <f>INDEX(Controller!$H$2:$H$11,INT((ROW()-2)/70)+1)</f>
        <v>Scenario 5</v>
      </c>
      <c r="B288" s="2">
        <v>2050</v>
      </c>
      <c r="C288" t="str">
        <f>INDEX(Controller!$J$2:$J$11,MOD(INT((ROW()-2)/7),10)+1)</f>
        <v>hydrogen_allsect</v>
      </c>
      <c r="D288" s="4"/>
      <c r="E288" t="str">
        <f>A288&amp;"|"&amp;C288&amp;"|"&amp;B288</f>
        <v>Scenario 5|hydrogen_allsect|2050</v>
      </c>
    </row>
    <row r="289" spans="1:5" ht="13.8">
      <c r="A289" t="str">
        <f>INDEX(Controller!$H$2:$H$11,INT((ROW()-2)/70)+1)</f>
        <v>Scenario 5</v>
      </c>
      <c r="B289" s="2">
        <v>2022</v>
      </c>
      <c r="C289" t="str">
        <f>INDEX(Controller!$J$2:$J$11,MOD(INT((ROW()-2)/7),10)+1)</f>
        <v>elc_industry</v>
      </c>
      <c r="D289" s="4"/>
      <c r="E289" t="str">
        <f>A289&amp;"|"&amp;C289&amp;"|"&amp;B289</f>
        <v>Scenario 5|elc_industry|2022</v>
      </c>
    </row>
    <row r="290" spans="1:5" ht="13.8">
      <c r="A290" t="str">
        <f>INDEX(Controller!$H$2:$H$11,INT((ROW()-2)/70)+1)</f>
        <v>Scenario 5</v>
      </c>
      <c r="B290" s="2">
        <v>2025</v>
      </c>
      <c r="C290" t="str">
        <f>INDEX(Controller!$J$2:$J$11,MOD(INT((ROW()-2)/7),10)+1)</f>
        <v>elc_industry</v>
      </c>
      <c r="D290" s="4"/>
      <c r="E290" t="str">
        <f>A290&amp;"|"&amp;C290&amp;"|"&amp;B290</f>
        <v>Scenario 5|elc_industry|2025</v>
      </c>
    </row>
    <row r="291" spans="1:5" ht="13.8">
      <c r="A291" t="str">
        <f>INDEX(Controller!$H$2:$H$11,INT((ROW()-2)/70)+1)</f>
        <v>Scenario 5</v>
      </c>
      <c r="B291" s="2">
        <v>2030</v>
      </c>
      <c r="C291" t="str">
        <f>INDEX(Controller!$J$2:$J$11,MOD(INT((ROW()-2)/7),10)+1)</f>
        <v>elc_industry</v>
      </c>
      <c r="D291" s="4"/>
      <c r="E291" t="str">
        <f>A291&amp;"|"&amp;C291&amp;"|"&amp;B291</f>
        <v>Scenario 5|elc_industry|2030</v>
      </c>
    </row>
    <row r="292" spans="1:5" ht="13.8">
      <c r="A292" t="str">
        <f>INDEX(Controller!$H$2:$H$11,INT((ROW()-2)/70)+1)</f>
        <v>Scenario 5</v>
      </c>
      <c r="B292" s="2">
        <v>2035</v>
      </c>
      <c r="C292" t="str">
        <f>INDEX(Controller!$J$2:$J$11,MOD(INT((ROW()-2)/7),10)+1)</f>
        <v>elc_industry</v>
      </c>
      <c r="D292" s="4"/>
      <c r="E292" t="str">
        <f>A292&amp;"|"&amp;C292&amp;"|"&amp;B292</f>
        <v>Scenario 5|elc_industry|2035</v>
      </c>
    </row>
    <row r="293" spans="1:5" ht="13.8">
      <c r="A293" t="str">
        <f>INDEX(Controller!$H$2:$H$11,INT((ROW()-2)/70)+1)</f>
        <v>Scenario 5</v>
      </c>
      <c r="B293" s="2">
        <v>2040</v>
      </c>
      <c r="C293" t="str">
        <f>INDEX(Controller!$J$2:$J$11,MOD(INT((ROW()-2)/7),10)+1)</f>
        <v>elc_industry</v>
      </c>
      <c r="D293" s="4"/>
      <c r="E293" t="str">
        <f>A293&amp;"|"&amp;C293&amp;"|"&amp;B293</f>
        <v>Scenario 5|elc_industry|2040</v>
      </c>
    </row>
    <row r="294" spans="1:5" ht="13.8">
      <c r="A294" t="str">
        <f>INDEX(Controller!$H$2:$H$11,INT((ROW()-2)/70)+1)</f>
        <v>Scenario 5</v>
      </c>
      <c r="B294" s="2">
        <v>2045</v>
      </c>
      <c r="C294" t="str">
        <f>INDEX(Controller!$J$2:$J$11,MOD(INT((ROW()-2)/7),10)+1)</f>
        <v>elc_industry</v>
      </c>
      <c r="D294" s="4"/>
      <c r="E294" t="str">
        <f>A294&amp;"|"&amp;C294&amp;"|"&amp;B294</f>
        <v>Scenario 5|elc_industry|2045</v>
      </c>
    </row>
    <row r="295" spans="1:5" ht="13.8">
      <c r="A295" t="str">
        <f>INDEX(Controller!$H$2:$H$11,INT((ROW()-2)/70)+1)</f>
        <v>Scenario 5</v>
      </c>
      <c r="B295" s="2">
        <v>2050</v>
      </c>
      <c r="C295" t="str">
        <f>INDEX(Controller!$J$2:$J$11,MOD(INT((ROW()-2)/7),10)+1)</f>
        <v>elc_industry</v>
      </c>
      <c r="D295" s="4"/>
      <c r="E295" t="str">
        <f>A295&amp;"|"&amp;C295&amp;"|"&amp;B295</f>
        <v>Scenario 5|elc_industry|2050</v>
      </c>
    </row>
    <row r="296" spans="1:5" ht="13.8">
      <c r="A296" t="str">
        <f>INDEX(Controller!$H$2:$H$11,INT((ROW()-2)/70)+1)</f>
        <v>Scenario 5</v>
      </c>
      <c r="B296" s="2">
        <v>2022</v>
      </c>
      <c r="C296" t="str">
        <f>INDEX(Controller!$J$2:$J$11,MOD(INT((ROW()-2)/7),10)+1)</f>
        <v>elc_buildings</v>
      </c>
      <c r="D296" s="4"/>
      <c r="E296" t="str">
        <f>A296&amp;"|"&amp;C296&amp;"|"&amp;B296</f>
        <v>Scenario 5|elc_buildings|2022</v>
      </c>
    </row>
    <row r="297" spans="1:5" ht="13.8">
      <c r="A297" t="str">
        <f>INDEX(Controller!$H$2:$H$11,INT((ROW()-2)/70)+1)</f>
        <v>Scenario 5</v>
      </c>
      <c r="B297" s="2">
        <v>2025</v>
      </c>
      <c r="C297" t="str">
        <f>INDEX(Controller!$J$2:$J$11,MOD(INT((ROW()-2)/7),10)+1)</f>
        <v>elc_buildings</v>
      </c>
      <c r="D297" s="4"/>
      <c r="E297" t="str">
        <f>A297&amp;"|"&amp;C297&amp;"|"&amp;B297</f>
        <v>Scenario 5|elc_buildings|2025</v>
      </c>
    </row>
    <row r="298" spans="1:5" ht="13.8">
      <c r="A298" t="str">
        <f>INDEX(Controller!$H$2:$H$11,INT((ROW()-2)/70)+1)</f>
        <v>Scenario 5</v>
      </c>
      <c r="B298" s="2">
        <v>2030</v>
      </c>
      <c r="C298" t="str">
        <f>INDEX(Controller!$J$2:$J$11,MOD(INT((ROW()-2)/7),10)+1)</f>
        <v>elc_buildings</v>
      </c>
      <c r="D298" s="4"/>
      <c r="E298" t="str">
        <f>A298&amp;"|"&amp;C298&amp;"|"&amp;B298</f>
        <v>Scenario 5|elc_buildings|2030</v>
      </c>
    </row>
    <row r="299" spans="1:5" ht="13.8">
      <c r="A299" t="str">
        <f>INDEX(Controller!$H$2:$H$11,INT((ROW()-2)/70)+1)</f>
        <v>Scenario 5</v>
      </c>
      <c r="B299" s="2">
        <v>2035</v>
      </c>
      <c r="C299" t="str">
        <f>INDEX(Controller!$J$2:$J$11,MOD(INT((ROW()-2)/7),10)+1)</f>
        <v>elc_buildings</v>
      </c>
      <c r="D299" s="4"/>
      <c r="E299" t="str">
        <f>A299&amp;"|"&amp;C299&amp;"|"&amp;B299</f>
        <v>Scenario 5|elc_buildings|2035</v>
      </c>
    </row>
    <row r="300" spans="1:5" ht="13.8">
      <c r="A300" t="str">
        <f>INDEX(Controller!$H$2:$H$11,INT((ROW()-2)/70)+1)</f>
        <v>Scenario 5</v>
      </c>
      <c r="B300" s="2">
        <v>2040</v>
      </c>
      <c r="C300" t="str">
        <f>INDEX(Controller!$J$2:$J$11,MOD(INT((ROW()-2)/7),10)+1)</f>
        <v>elc_buildings</v>
      </c>
      <c r="D300" s="4"/>
      <c r="E300" t="str">
        <f>A300&amp;"|"&amp;C300&amp;"|"&amp;B300</f>
        <v>Scenario 5|elc_buildings|2040</v>
      </c>
    </row>
    <row r="301" spans="1:5" ht="13.8">
      <c r="A301" t="str">
        <f>INDEX(Controller!$H$2:$H$11,INT((ROW()-2)/70)+1)</f>
        <v>Scenario 5</v>
      </c>
      <c r="B301" s="2">
        <v>2045</v>
      </c>
      <c r="C301" t="str">
        <f>INDEX(Controller!$J$2:$J$11,MOD(INT((ROW()-2)/7),10)+1)</f>
        <v>elc_buildings</v>
      </c>
      <c r="D301" s="4"/>
      <c r="E301" t="str">
        <f>A301&amp;"|"&amp;C301&amp;"|"&amp;B301</f>
        <v>Scenario 5|elc_buildings|2045</v>
      </c>
    </row>
    <row r="302" spans="1:5" ht="13.8">
      <c r="A302" t="str">
        <f>INDEX(Controller!$H$2:$H$11,INT((ROW()-2)/70)+1)</f>
        <v>Scenario 5</v>
      </c>
      <c r="B302" s="2">
        <v>2050</v>
      </c>
      <c r="C302" t="str">
        <f>INDEX(Controller!$J$2:$J$11,MOD(INT((ROW()-2)/7),10)+1)</f>
        <v>elc_buildings</v>
      </c>
      <c r="D302" s="4"/>
      <c r="E302" t="str">
        <f>A302&amp;"|"&amp;C302&amp;"|"&amp;B302</f>
        <v>Scenario 5|elc_buildings|2050</v>
      </c>
    </row>
    <row r="303" spans="1:5" ht="13.8">
      <c r="A303" t="str">
        <f>INDEX(Controller!$H$2:$H$11,INT((ROW()-2)/70)+1)</f>
        <v>Scenario 5</v>
      </c>
      <c r="B303" s="2">
        <v>2022</v>
      </c>
      <c r="C303" t="str">
        <f>INDEX(Controller!$J$2:$J$11,MOD(INT((ROW()-2)/7),10)+1)</f>
        <v>elc_transport</v>
      </c>
      <c r="D303" s="4"/>
      <c r="E303" t="str">
        <f>A303&amp;"|"&amp;C303&amp;"|"&amp;B303</f>
        <v>Scenario 5|elc_transport|2022</v>
      </c>
    </row>
    <row r="304" spans="1:5" ht="13.8">
      <c r="A304" t="str">
        <f>INDEX(Controller!$H$2:$H$11,INT((ROW()-2)/70)+1)</f>
        <v>Scenario 5</v>
      </c>
      <c r="B304" s="2">
        <v>2025</v>
      </c>
      <c r="C304" t="str">
        <f>INDEX(Controller!$J$2:$J$11,MOD(INT((ROW()-2)/7),10)+1)</f>
        <v>elc_transport</v>
      </c>
      <c r="D304" s="4"/>
      <c r="E304" t="str">
        <f>A304&amp;"|"&amp;C304&amp;"|"&amp;B304</f>
        <v>Scenario 5|elc_transport|2025</v>
      </c>
    </row>
    <row r="305" spans="1:5" ht="13.8">
      <c r="A305" t="str">
        <f>INDEX(Controller!$H$2:$H$11,INT((ROW()-2)/70)+1)</f>
        <v>Scenario 5</v>
      </c>
      <c r="B305" s="2">
        <v>2030</v>
      </c>
      <c r="C305" t="str">
        <f>INDEX(Controller!$J$2:$J$11,MOD(INT((ROW()-2)/7),10)+1)</f>
        <v>elc_transport</v>
      </c>
      <c r="D305" s="4"/>
      <c r="E305" t="str">
        <f>A305&amp;"|"&amp;C305&amp;"|"&amp;B305</f>
        <v>Scenario 5|elc_transport|2030</v>
      </c>
    </row>
    <row r="306" spans="1:5" ht="13.8">
      <c r="A306" t="str">
        <f>INDEX(Controller!$H$2:$H$11,INT((ROW()-2)/70)+1)</f>
        <v>Scenario 5</v>
      </c>
      <c r="B306" s="2">
        <v>2035</v>
      </c>
      <c r="C306" t="str">
        <f>INDEX(Controller!$J$2:$J$11,MOD(INT((ROW()-2)/7),10)+1)</f>
        <v>elc_transport</v>
      </c>
      <c r="D306" s="4"/>
      <c r="E306" t="str">
        <f>A306&amp;"|"&amp;C306&amp;"|"&amp;B306</f>
        <v>Scenario 5|elc_transport|2035</v>
      </c>
    </row>
    <row r="307" spans="1:5" ht="13.8">
      <c r="A307" t="str">
        <f>INDEX(Controller!$H$2:$H$11,INT((ROW()-2)/70)+1)</f>
        <v>Scenario 5</v>
      </c>
      <c r="B307" s="2">
        <v>2040</v>
      </c>
      <c r="C307" t="str">
        <f>INDEX(Controller!$J$2:$J$11,MOD(INT((ROW()-2)/7),10)+1)</f>
        <v>elc_transport</v>
      </c>
      <c r="D307" s="4"/>
      <c r="E307" t="str">
        <f>A307&amp;"|"&amp;C307&amp;"|"&amp;B307</f>
        <v>Scenario 5|elc_transport|2040</v>
      </c>
    </row>
    <row r="308" spans="1:5" ht="13.8">
      <c r="A308" t="str">
        <f>INDEX(Controller!$H$2:$H$11,INT((ROW()-2)/70)+1)</f>
        <v>Scenario 5</v>
      </c>
      <c r="B308" s="2">
        <v>2045</v>
      </c>
      <c r="C308" t="str">
        <f>INDEX(Controller!$J$2:$J$11,MOD(INT((ROW()-2)/7),10)+1)</f>
        <v>elc_transport</v>
      </c>
      <c r="D308" s="4"/>
      <c r="E308" t="str">
        <f>A308&amp;"|"&amp;C308&amp;"|"&amp;B308</f>
        <v>Scenario 5|elc_transport|2045</v>
      </c>
    </row>
    <row r="309" spans="1:5" ht="13.8">
      <c r="A309" t="str">
        <f>INDEX(Controller!$H$2:$H$11,INT((ROW()-2)/70)+1)</f>
        <v>Scenario 5</v>
      </c>
      <c r="B309" s="2">
        <v>2050</v>
      </c>
      <c r="C309" t="str">
        <f>INDEX(Controller!$J$2:$J$11,MOD(INT((ROW()-2)/7),10)+1)</f>
        <v>elc_transport</v>
      </c>
      <c r="D309" s="4"/>
      <c r="E309" t="str">
        <f>A309&amp;"|"&amp;C309&amp;"|"&amp;B309</f>
        <v>Scenario 5|elc_transport|2050</v>
      </c>
    </row>
    <row r="310" spans="1:5" ht="13.8">
      <c r="A310" t="str">
        <f>INDEX(Controller!$H$2:$H$11,INT((ROW()-2)/70)+1)</f>
        <v>Scenario 5</v>
      </c>
      <c r="B310" s="2">
        <v>2022</v>
      </c>
      <c r="C310" t="str">
        <f>INDEX(Controller!$J$2:$J$11,MOD(INT((ROW()-2)/7),10)+1)</f>
        <v>elc_roadtransport</v>
      </c>
      <c r="D310" s="4"/>
      <c r="E310" t="str">
        <f>A310&amp;"|"&amp;C310&amp;"|"&amp;B310</f>
        <v>Scenario 5|elc_roadtransport|2022</v>
      </c>
    </row>
    <row r="311" spans="1:5" ht="13.8">
      <c r="A311" t="str">
        <f>INDEX(Controller!$H$2:$H$11,INT((ROW()-2)/70)+1)</f>
        <v>Scenario 5</v>
      </c>
      <c r="B311" s="2">
        <v>2025</v>
      </c>
      <c r="C311" t="str">
        <f>INDEX(Controller!$J$2:$J$11,MOD(INT((ROW()-2)/7),10)+1)</f>
        <v>elc_roadtransport</v>
      </c>
      <c r="D311" s="4"/>
      <c r="E311" t="str">
        <f>A311&amp;"|"&amp;C311&amp;"|"&amp;B311</f>
        <v>Scenario 5|elc_roadtransport|2025</v>
      </c>
    </row>
    <row r="312" spans="1:5" ht="13.8">
      <c r="A312" t="str">
        <f>INDEX(Controller!$H$2:$H$11,INT((ROW()-2)/70)+1)</f>
        <v>Scenario 5</v>
      </c>
      <c r="B312" s="2">
        <v>2030</v>
      </c>
      <c r="C312" t="str">
        <f>INDEX(Controller!$J$2:$J$11,MOD(INT((ROW()-2)/7),10)+1)</f>
        <v>elc_roadtransport</v>
      </c>
      <c r="D312" s="4"/>
      <c r="E312" t="str">
        <f>A312&amp;"|"&amp;C312&amp;"|"&amp;B312</f>
        <v>Scenario 5|elc_roadtransport|2030</v>
      </c>
    </row>
    <row r="313" spans="1:5" ht="13.8">
      <c r="A313" t="str">
        <f>INDEX(Controller!$H$2:$H$11,INT((ROW()-2)/70)+1)</f>
        <v>Scenario 5</v>
      </c>
      <c r="B313" s="2">
        <v>2035</v>
      </c>
      <c r="C313" t="str">
        <f>INDEX(Controller!$J$2:$J$11,MOD(INT((ROW()-2)/7),10)+1)</f>
        <v>elc_roadtransport</v>
      </c>
      <c r="D313" s="4"/>
      <c r="E313" t="str">
        <f>A313&amp;"|"&amp;C313&amp;"|"&amp;B313</f>
        <v>Scenario 5|elc_roadtransport|2035</v>
      </c>
    </row>
    <row r="314" spans="1:5" ht="13.8">
      <c r="A314" t="str">
        <f>INDEX(Controller!$H$2:$H$11,INT((ROW()-2)/70)+1)</f>
        <v>Scenario 5</v>
      </c>
      <c r="B314" s="2">
        <v>2040</v>
      </c>
      <c r="C314" t="str">
        <f>INDEX(Controller!$J$2:$J$11,MOD(INT((ROW()-2)/7),10)+1)</f>
        <v>elc_roadtransport</v>
      </c>
      <c r="D314" s="4"/>
      <c r="E314" t="str">
        <f>A314&amp;"|"&amp;C314&amp;"|"&amp;B314</f>
        <v>Scenario 5|elc_roadtransport|2040</v>
      </c>
    </row>
    <row r="315" spans="1:5" ht="13.8">
      <c r="A315" t="str">
        <f>INDEX(Controller!$H$2:$H$11,INT((ROW()-2)/70)+1)</f>
        <v>Scenario 5</v>
      </c>
      <c r="B315" s="2">
        <v>2045</v>
      </c>
      <c r="C315" t="str">
        <f>INDEX(Controller!$J$2:$J$11,MOD(INT((ROW()-2)/7),10)+1)</f>
        <v>elc_roadtransport</v>
      </c>
      <c r="D315" s="4"/>
      <c r="E315" t="str">
        <f>A315&amp;"|"&amp;C315&amp;"|"&amp;B315</f>
        <v>Scenario 5|elc_roadtransport|2045</v>
      </c>
    </row>
    <row r="316" spans="1:5" ht="13.8">
      <c r="A316" t="str">
        <f>INDEX(Controller!$H$2:$H$11,INT((ROW()-2)/70)+1)</f>
        <v>Scenario 5</v>
      </c>
      <c r="B316" s="2">
        <v>2050</v>
      </c>
      <c r="C316" t="str">
        <f>INDEX(Controller!$J$2:$J$11,MOD(INT((ROW()-2)/7),10)+1)</f>
        <v>elc_roadtransport</v>
      </c>
      <c r="D316" s="4"/>
      <c r="E316" t="str">
        <f>A316&amp;"|"&amp;C316&amp;"|"&amp;B316</f>
        <v>Scenario 5|elc_roadtransport|2050</v>
      </c>
    </row>
    <row r="317" spans="1:5" ht="13.8">
      <c r="A317" t="str">
        <f>INDEX(Controller!$H$2:$H$11,INT((ROW()-2)/70)+1)</f>
        <v>Scenario 5</v>
      </c>
      <c r="B317" s="2">
        <v>2022</v>
      </c>
      <c r="C317" t="str">
        <f>INDEX(Controller!$J$2:$J$11,MOD(INT((ROW()-2)/7),10)+1)</f>
        <v>het_industry</v>
      </c>
      <c r="D317" s="4"/>
      <c r="E317" t="str">
        <f>A317&amp;"|"&amp;C317&amp;"|"&amp;B317</f>
        <v>Scenario 5|het_industry|2022</v>
      </c>
    </row>
    <row r="318" spans="1:5" ht="13.8">
      <c r="A318" t="str">
        <f>INDEX(Controller!$H$2:$H$11,INT((ROW()-2)/70)+1)</f>
        <v>Scenario 5</v>
      </c>
      <c r="B318" s="2">
        <v>2025</v>
      </c>
      <c r="C318" t="str">
        <f>INDEX(Controller!$J$2:$J$11,MOD(INT((ROW()-2)/7),10)+1)</f>
        <v>het_industry</v>
      </c>
      <c r="D318" s="4"/>
      <c r="E318" t="str">
        <f>A318&amp;"|"&amp;C318&amp;"|"&amp;B318</f>
        <v>Scenario 5|het_industry|2025</v>
      </c>
    </row>
    <row r="319" spans="1:5" ht="13.8">
      <c r="A319" t="str">
        <f>INDEX(Controller!$H$2:$H$11,INT((ROW()-2)/70)+1)</f>
        <v>Scenario 5</v>
      </c>
      <c r="B319" s="2">
        <v>2030</v>
      </c>
      <c r="C319" t="str">
        <f>INDEX(Controller!$J$2:$J$11,MOD(INT((ROW()-2)/7),10)+1)</f>
        <v>het_industry</v>
      </c>
      <c r="D319" s="4"/>
      <c r="E319" t="str">
        <f>A319&amp;"|"&amp;C319&amp;"|"&amp;B319</f>
        <v>Scenario 5|het_industry|2030</v>
      </c>
    </row>
    <row r="320" spans="1:5" ht="13.8">
      <c r="A320" t="str">
        <f>INDEX(Controller!$H$2:$H$11,INT((ROW()-2)/70)+1)</f>
        <v>Scenario 5</v>
      </c>
      <c r="B320" s="2">
        <v>2035</v>
      </c>
      <c r="C320" t="str">
        <f>INDEX(Controller!$J$2:$J$11,MOD(INT((ROW()-2)/7),10)+1)</f>
        <v>het_industry</v>
      </c>
      <c r="D320" s="4"/>
      <c r="E320" t="str">
        <f>A320&amp;"|"&amp;C320&amp;"|"&amp;B320</f>
        <v>Scenario 5|het_industry|2035</v>
      </c>
    </row>
    <row r="321" spans="1:5" ht="13.8">
      <c r="A321" t="str">
        <f>INDEX(Controller!$H$2:$H$11,INT((ROW()-2)/70)+1)</f>
        <v>Scenario 5</v>
      </c>
      <c r="B321" s="2">
        <v>2040</v>
      </c>
      <c r="C321" t="str">
        <f>INDEX(Controller!$J$2:$J$11,MOD(INT((ROW()-2)/7),10)+1)</f>
        <v>het_industry</v>
      </c>
      <c r="D321" s="4"/>
      <c r="E321" t="str">
        <f>A321&amp;"|"&amp;C321&amp;"|"&amp;B321</f>
        <v>Scenario 5|het_industry|2040</v>
      </c>
    </row>
    <row r="322" spans="1:5" ht="13.8">
      <c r="A322" t="str">
        <f>INDEX(Controller!$H$2:$H$11,INT((ROW()-2)/70)+1)</f>
        <v>Scenario 5</v>
      </c>
      <c r="B322" s="2">
        <v>2045</v>
      </c>
      <c r="C322" t="str">
        <f>INDEX(Controller!$J$2:$J$11,MOD(INT((ROW()-2)/7),10)+1)</f>
        <v>het_industry</v>
      </c>
      <c r="D322" s="4"/>
      <c r="E322" t="str">
        <f>A322&amp;"|"&amp;C322&amp;"|"&amp;B322</f>
        <v>Scenario 5|het_industry|2045</v>
      </c>
    </row>
    <row r="323" spans="1:5" ht="13.8">
      <c r="A323" t="str">
        <f>INDEX(Controller!$H$2:$H$11,INT((ROW()-2)/70)+1)</f>
        <v>Scenario 5</v>
      </c>
      <c r="B323" s="2">
        <v>2050</v>
      </c>
      <c r="C323" t="str">
        <f>INDEX(Controller!$J$2:$J$11,MOD(INT((ROW()-2)/7),10)+1)</f>
        <v>het_industry</v>
      </c>
      <c r="D323" s="4"/>
      <c r="E323" t="str">
        <f>A323&amp;"|"&amp;C323&amp;"|"&amp;B323</f>
        <v>Scenario 5|het_industry|2050</v>
      </c>
    </row>
    <row r="324" spans="1:5" ht="13.8">
      <c r="A324" t="str">
        <f>INDEX(Controller!$H$2:$H$11,INT((ROW()-2)/70)+1)</f>
        <v>Scenario 5</v>
      </c>
      <c r="B324" s="2">
        <v>2022</v>
      </c>
      <c r="C324" t="str">
        <f>INDEX(Controller!$J$2:$J$11,MOD(INT((ROW()-2)/7),10)+1)</f>
        <v>het_buildings</v>
      </c>
      <c r="D324" s="4"/>
      <c r="E324" t="str">
        <f>A324&amp;"|"&amp;C324&amp;"|"&amp;B324</f>
        <v>Scenario 5|het_buildings|2022</v>
      </c>
    </row>
    <row r="325" spans="1:5" ht="13.8">
      <c r="A325" t="str">
        <f>INDEX(Controller!$H$2:$H$11,INT((ROW()-2)/70)+1)</f>
        <v>Scenario 5</v>
      </c>
      <c r="B325" s="2">
        <v>2025</v>
      </c>
      <c r="C325" t="str">
        <f>INDEX(Controller!$J$2:$J$11,MOD(INT((ROW()-2)/7),10)+1)</f>
        <v>het_buildings</v>
      </c>
      <c r="D325" s="4"/>
      <c r="E325" t="str">
        <f>A325&amp;"|"&amp;C325&amp;"|"&amp;B325</f>
        <v>Scenario 5|het_buildings|2025</v>
      </c>
    </row>
    <row r="326" spans="1:5" ht="13.8">
      <c r="A326" t="str">
        <f>INDEX(Controller!$H$2:$H$11,INT((ROW()-2)/70)+1)</f>
        <v>Scenario 5</v>
      </c>
      <c r="B326" s="2">
        <v>2030</v>
      </c>
      <c r="C326" t="str">
        <f>INDEX(Controller!$J$2:$J$11,MOD(INT((ROW()-2)/7),10)+1)</f>
        <v>het_buildings</v>
      </c>
      <c r="D326" s="4"/>
      <c r="E326" t="str">
        <f>A326&amp;"|"&amp;C326&amp;"|"&amp;B326</f>
        <v>Scenario 5|het_buildings|2030</v>
      </c>
    </row>
    <row r="327" spans="1:5" ht="13.8">
      <c r="A327" t="str">
        <f>INDEX(Controller!$H$2:$H$11,INT((ROW()-2)/70)+1)</f>
        <v>Scenario 5</v>
      </c>
      <c r="B327" s="2">
        <v>2035</v>
      </c>
      <c r="C327" t="str">
        <f>INDEX(Controller!$J$2:$J$11,MOD(INT((ROW()-2)/7),10)+1)</f>
        <v>het_buildings</v>
      </c>
      <c r="D327" s="4"/>
      <c r="E327" t="str">
        <f>A327&amp;"|"&amp;C327&amp;"|"&amp;B327</f>
        <v>Scenario 5|het_buildings|2035</v>
      </c>
    </row>
    <row r="328" spans="1:5" ht="13.8">
      <c r="A328" t="str">
        <f>INDEX(Controller!$H$2:$H$11,INT((ROW()-2)/70)+1)</f>
        <v>Scenario 5</v>
      </c>
      <c r="B328" s="2">
        <v>2040</v>
      </c>
      <c r="C328" t="str">
        <f>INDEX(Controller!$J$2:$J$11,MOD(INT((ROW()-2)/7),10)+1)</f>
        <v>het_buildings</v>
      </c>
      <c r="D328" s="4"/>
      <c r="E328" t="str">
        <f>A328&amp;"|"&amp;C328&amp;"|"&amp;B328</f>
        <v>Scenario 5|het_buildings|2040</v>
      </c>
    </row>
    <row r="329" spans="1:5" ht="13.8">
      <c r="A329" t="str">
        <f>INDEX(Controller!$H$2:$H$11,INT((ROW()-2)/70)+1)</f>
        <v>Scenario 5</v>
      </c>
      <c r="B329" s="2">
        <v>2045</v>
      </c>
      <c r="C329" t="str">
        <f>INDEX(Controller!$J$2:$J$11,MOD(INT((ROW()-2)/7),10)+1)</f>
        <v>het_buildings</v>
      </c>
      <c r="D329" s="4"/>
      <c r="E329" t="str">
        <f>A329&amp;"|"&amp;C329&amp;"|"&amp;B329</f>
        <v>Scenario 5|het_buildings|2045</v>
      </c>
    </row>
    <row r="330" spans="1:5" ht="13.8">
      <c r="A330" t="str">
        <f>INDEX(Controller!$H$2:$H$11,INT((ROW()-2)/70)+1)</f>
        <v>Scenario 5</v>
      </c>
      <c r="B330" s="2">
        <v>2050</v>
      </c>
      <c r="C330" t="str">
        <f>INDEX(Controller!$J$2:$J$11,MOD(INT((ROW()-2)/7),10)+1)</f>
        <v>het_buildings</v>
      </c>
      <c r="D330" s="4"/>
      <c r="E330" t="str">
        <f>A330&amp;"|"&amp;C330&amp;"|"&amp;B330</f>
        <v>Scenario 5|het_buildings|2050</v>
      </c>
    </row>
    <row r="331" spans="1:5" ht="13.8">
      <c r="A331" t="str">
        <f>INDEX(Controller!$H$2:$H$11,INT((ROW()-2)/70)+1)</f>
        <v>Scenario 5</v>
      </c>
      <c r="B331" s="2">
        <v>2022</v>
      </c>
      <c r="C331" t="str">
        <f>INDEX(Controller!$J$2:$J$11,MOD(INT((ROW()-2)/7),10)+1)</f>
        <v>co2net</v>
      </c>
      <c r="D331" s="4"/>
      <c r="E331" t="str">
        <f>A331&amp;"|"&amp;C331&amp;"|"&amp;B331</f>
        <v>Scenario 5|co2net|2022</v>
      </c>
    </row>
    <row r="332" spans="1:5" ht="13.8">
      <c r="A332" t="str">
        <f>INDEX(Controller!$H$2:$H$11,INT((ROW()-2)/70)+1)</f>
        <v>Scenario 5</v>
      </c>
      <c r="B332" s="2">
        <v>2025</v>
      </c>
      <c r="C332" t="str">
        <f>INDEX(Controller!$J$2:$J$11,MOD(INT((ROW()-2)/7),10)+1)</f>
        <v>co2net</v>
      </c>
      <c r="D332" s="4"/>
      <c r="E332" t="str">
        <f>A332&amp;"|"&amp;C332&amp;"|"&amp;B332</f>
        <v>Scenario 5|co2net|2025</v>
      </c>
    </row>
    <row r="333" spans="1:5" ht="13.8">
      <c r="A333" t="str">
        <f>INDEX(Controller!$H$2:$H$11,INT((ROW()-2)/70)+1)</f>
        <v>Scenario 5</v>
      </c>
      <c r="B333" s="2">
        <v>2030</v>
      </c>
      <c r="C333" t="str">
        <f>INDEX(Controller!$J$2:$J$11,MOD(INT((ROW()-2)/7),10)+1)</f>
        <v>co2net</v>
      </c>
      <c r="D333" s="4"/>
      <c r="E333" t="str">
        <f>A333&amp;"|"&amp;C333&amp;"|"&amp;B333</f>
        <v>Scenario 5|co2net|2030</v>
      </c>
    </row>
    <row r="334" spans="1:5" ht="13.8">
      <c r="A334" t="str">
        <f>INDEX(Controller!$H$2:$H$11,INT((ROW()-2)/70)+1)</f>
        <v>Scenario 5</v>
      </c>
      <c r="B334" s="2">
        <v>2035</v>
      </c>
      <c r="C334" t="str">
        <f>INDEX(Controller!$J$2:$J$11,MOD(INT((ROW()-2)/7),10)+1)</f>
        <v>co2net</v>
      </c>
      <c r="D334" s="4"/>
      <c r="E334" t="str">
        <f>A334&amp;"|"&amp;C334&amp;"|"&amp;B334</f>
        <v>Scenario 5|co2net|2035</v>
      </c>
    </row>
    <row r="335" spans="1:5" ht="13.8">
      <c r="A335" t="str">
        <f>INDEX(Controller!$H$2:$H$11,INT((ROW()-2)/70)+1)</f>
        <v>Scenario 5</v>
      </c>
      <c r="B335" s="2">
        <v>2040</v>
      </c>
      <c r="C335" t="str">
        <f>INDEX(Controller!$J$2:$J$11,MOD(INT((ROW()-2)/7),10)+1)</f>
        <v>co2net</v>
      </c>
      <c r="D335" s="4"/>
      <c r="E335" t="str">
        <f>A335&amp;"|"&amp;C335&amp;"|"&amp;B335</f>
        <v>Scenario 5|co2net|2040</v>
      </c>
    </row>
    <row r="336" spans="1:5" ht="13.8">
      <c r="A336" t="str">
        <f>INDEX(Controller!$H$2:$H$11,INT((ROW()-2)/70)+1)</f>
        <v>Scenario 5</v>
      </c>
      <c r="B336" s="2">
        <v>2045</v>
      </c>
      <c r="C336" t="str">
        <f>INDEX(Controller!$J$2:$J$11,MOD(INT((ROW()-2)/7),10)+1)</f>
        <v>co2net</v>
      </c>
      <c r="D336" s="4"/>
      <c r="E336" t="str">
        <f>A336&amp;"|"&amp;C336&amp;"|"&amp;B336</f>
        <v>Scenario 5|co2net|2045</v>
      </c>
    </row>
    <row r="337" spans="1:5" ht="13.8">
      <c r="A337" t="str">
        <f>INDEX(Controller!$H$2:$H$11,INT((ROW()-2)/70)+1)</f>
        <v>Scenario 5</v>
      </c>
      <c r="B337" s="2">
        <v>2050</v>
      </c>
      <c r="C337" t="str">
        <f>INDEX(Controller!$J$2:$J$11,MOD(INT((ROW()-2)/7),10)+1)</f>
        <v>co2net</v>
      </c>
      <c r="D337" s="4"/>
      <c r="E337" t="str">
        <f>A337&amp;"|"&amp;C337&amp;"|"&amp;B337</f>
        <v>Scenario 5|co2net|2050</v>
      </c>
    </row>
    <row r="338" spans="1:5" ht="13.8">
      <c r="A338" t="str">
        <f>INDEX(Controller!$H$2:$H$11,INT((ROW()-2)/70)+1)</f>
        <v>Scenario 5</v>
      </c>
      <c r="B338" s="2">
        <v>2022</v>
      </c>
      <c r="C338" t="str">
        <f>INDEX(Controller!$J$2:$J$11,MOD(INT((ROW()-2)/7),10)+1)</f>
        <v>Variable 9</v>
      </c>
      <c r="D338" s="4"/>
      <c r="E338" t="str">
        <f>A338&amp;"|"&amp;C338&amp;"|"&amp;B338</f>
        <v>Scenario 5|Variable 9|2022</v>
      </c>
    </row>
    <row r="339" spans="1:5" ht="13.8">
      <c r="A339" t="str">
        <f>INDEX(Controller!$H$2:$H$11,INT((ROW()-2)/70)+1)</f>
        <v>Scenario 5</v>
      </c>
      <c r="B339" s="2">
        <v>2025</v>
      </c>
      <c r="C339" t="str">
        <f>INDEX(Controller!$J$2:$J$11,MOD(INT((ROW()-2)/7),10)+1)</f>
        <v>Variable 9</v>
      </c>
      <c r="D339" s="4"/>
      <c r="E339" t="str">
        <f>A339&amp;"|"&amp;C339&amp;"|"&amp;B339</f>
        <v>Scenario 5|Variable 9|2025</v>
      </c>
    </row>
    <row r="340" spans="1:5" ht="13.8">
      <c r="A340" t="str">
        <f>INDEX(Controller!$H$2:$H$11,INT((ROW()-2)/70)+1)</f>
        <v>Scenario 5</v>
      </c>
      <c r="B340" s="2">
        <v>2030</v>
      </c>
      <c r="C340" t="str">
        <f>INDEX(Controller!$J$2:$J$11,MOD(INT((ROW()-2)/7),10)+1)</f>
        <v>Variable 9</v>
      </c>
      <c r="D340" s="4"/>
      <c r="E340" t="str">
        <f>A340&amp;"|"&amp;C340&amp;"|"&amp;B340</f>
        <v>Scenario 5|Variable 9|2030</v>
      </c>
    </row>
    <row r="341" spans="1:5" ht="13.8">
      <c r="A341" t="str">
        <f>INDEX(Controller!$H$2:$H$11,INT((ROW()-2)/70)+1)</f>
        <v>Scenario 5</v>
      </c>
      <c r="B341" s="2">
        <v>2035</v>
      </c>
      <c r="C341" t="str">
        <f>INDEX(Controller!$J$2:$J$11,MOD(INT((ROW()-2)/7),10)+1)</f>
        <v>Variable 9</v>
      </c>
      <c r="D341" s="4"/>
      <c r="E341" t="str">
        <f>A341&amp;"|"&amp;C341&amp;"|"&amp;B341</f>
        <v>Scenario 5|Variable 9|2035</v>
      </c>
    </row>
    <row r="342" spans="1:5" ht="13.8">
      <c r="A342" t="str">
        <f>INDEX(Controller!$H$2:$H$11,INT((ROW()-2)/70)+1)</f>
        <v>Scenario 5</v>
      </c>
      <c r="B342" s="2">
        <v>2040</v>
      </c>
      <c r="C342" t="str">
        <f>INDEX(Controller!$J$2:$J$11,MOD(INT((ROW()-2)/7),10)+1)</f>
        <v>Variable 9</v>
      </c>
      <c r="D342" s="4"/>
      <c r="E342" t="str">
        <f>A342&amp;"|"&amp;C342&amp;"|"&amp;B342</f>
        <v>Scenario 5|Variable 9|2040</v>
      </c>
    </row>
    <row r="343" spans="1:5" ht="13.8">
      <c r="A343" t="str">
        <f>INDEX(Controller!$H$2:$H$11,INT((ROW()-2)/70)+1)</f>
        <v>Scenario 5</v>
      </c>
      <c r="B343" s="2">
        <v>2045</v>
      </c>
      <c r="C343" t="str">
        <f>INDEX(Controller!$J$2:$J$11,MOD(INT((ROW()-2)/7),10)+1)</f>
        <v>Variable 9</v>
      </c>
      <c r="D343" s="4"/>
      <c r="E343" t="str">
        <f>A343&amp;"|"&amp;C343&amp;"|"&amp;B343</f>
        <v>Scenario 5|Variable 9|2045</v>
      </c>
    </row>
    <row r="344" spans="1:5" ht="13.8">
      <c r="A344" t="str">
        <f>INDEX(Controller!$H$2:$H$11,INT((ROW()-2)/70)+1)</f>
        <v>Scenario 5</v>
      </c>
      <c r="B344" s="2">
        <v>2050</v>
      </c>
      <c r="C344" t="str">
        <f>INDEX(Controller!$J$2:$J$11,MOD(INT((ROW()-2)/7),10)+1)</f>
        <v>Variable 9</v>
      </c>
      <c r="D344" s="4"/>
      <c r="E344" t="str">
        <f>A344&amp;"|"&amp;C344&amp;"|"&amp;B344</f>
        <v>Scenario 5|Variable 9|2050</v>
      </c>
    </row>
    <row r="345" spans="1:5" ht="13.8">
      <c r="A345" t="str">
        <f>INDEX(Controller!$H$2:$H$11,INT((ROW()-2)/70)+1)</f>
        <v>Scenario 5</v>
      </c>
      <c r="B345" s="2">
        <v>2022</v>
      </c>
      <c r="C345" t="str">
        <f>INDEX(Controller!$J$2:$J$11,MOD(INT((ROW()-2)/7),10)+1)</f>
        <v>Variable 10</v>
      </c>
      <c r="D345" s="4"/>
      <c r="E345" t="str">
        <f>A345&amp;"|"&amp;C345&amp;"|"&amp;B345</f>
        <v>Scenario 5|Variable 10|2022</v>
      </c>
    </row>
    <row r="346" spans="1:5" ht="13.8">
      <c r="A346" t="str">
        <f>INDEX(Controller!$H$2:$H$11,INT((ROW()-2)/70)+1)</f>
        <v>Scenario 5</v>
      </c>
      <c r="B346" s="2">
        <v>2025</v>
      </c>
      <c r="C346" t="str">
        <f>INDEX(Controller!$J$2:$J$11,MOD(INT((ROW()-2)/7),10)+1)</f>
        <v>Variable 10</v>
      </c>
      <c r="D346" s="4"/>
      <c r="E346" t="str">
        <f>A346&amp;"|"&amp;C346&amp;"|"&amp;B346</f>
        <v>Scenario 5|Variable 10|2025</v>
      </c>
    </row>
    <row r="347" spans="1:5" ht="13.8">
      <c r="A347" t="str">
        <f>INDEX(Controller!$H$2:$H$11,INT((ROW()-2)/70)+1)</f>
        <v>Scenario 5</v>
      </c>
      <c r="B347" s="2">
        <v>2030</v>
      </c>
      <c r="C347" t="str">
        <f>INDEX(Controller!$J$2:$J$11,MOD(INT((ROW()-2)/7),10)+1)</f>
        <v>Variable 10</v>
      </c>
      <c r="D347" s="4"/>
      <c r="E347" t="str">
        <f>A347&amp;"|"&amp;C347&amp;"|"&amp;B347</f>
        <v>Scenario 5|Variable 10|2030</v>
      </c>
    </row>
    <row r="348" spans="1:5" ht="13.8">
      <c r="A348" t="str">
        <f>INDEX(Controller!$H$2:$H$11,INT((ROW()-2)/70)+1)</f>
        <v>Scenario 5</v>
      </c>
      <c r="B348" s="2">
        <v>2035</v>
      </c>
      <c r="C348" t="str">
        <f>INDEX(Controller!$J$2:$J$11,MOD(INT((ROW()-2)/7),10)+1)</f>
        <v>Variable 10</v>
      </c>
      <c r="D348" s="4"/>
      <c r="E348" t="str">
        <f>A348&amp;"|"&amp;C348&amp;"|"&amp;B348</f>
        <v>Scenario 5|Variable 10|2035</v>
      </c>
    </row>
    <row r="349" spans="1:5" ht="13.8">
      <c r="A349" t="str">
        <f>INDEX(Controller!$H$2:$H$11,INT((ROW()-2)/70)+1)</f>
        <v>Scenario 5</v>
      </c>
      <c r="B349" s="2">
        <v>2040</v>
      </c>
      <c r="C349" t="str">
        <f>INDEX(Controller!$J$2:$J$11,MOD(INT((ROW()-2)/7),10)+1)</f>
        <v>Variable 10</v>
      </c>
      <c r="D349" s="4"/>
      <c r="E349" t="str">
        <f>A349&amp;"|"&amp;C349&amp;"|"&amp;B349</f>
        <v>Scenario 5|Variable 10|2040</v>
      </c>
    </row>
    <row r="350" spans="1:5" ht="13.8">
      <c r="A350" t="str">
        <f>INDEX(Controller!$H$2:$H$11,INT((ROW()-2)/70)+1)</f>
        <v>Scenario 5</v>
      </c>
      <c r="B350" s="2">
        <v>2045</v>
      </c>
      <c r="C350" t="str">
        <f>INDEX(Controller!$J$2:$J$11,MOD(INT((ROW()-2)/7),10)+1)</f>
        <v>Variable 10</v>
      </c>
      <c r="D350" s="4"/>
      <c r="E350" t="str">
        <f>A350&amp;"|"&amp;C350&amp;"|"&amp;B350</f>
        <v>Scenario 5|Variable 10|2045</v>
      </c>
    </row>
    <row r="351" spans="1:5" ht="13.8">
      <c r="A351" t="str">
        <f>INDEX(Controller!$H$2:$H$11,INT((ROW()-2)/70)+1)</f>
        <v>Scenario 5</v>
      </c>
      <c r="B351" s="2">
        <v>2050</v>
      </c>
      <c r="C351" t="str">
        <f>INDEX(Controller!$J$2:$J$11,MOD(INT((ROW()-2)/7),10)+1)</f>
        <v>Variable 10</v>
      </c>
      <c r="D351" s="4"/>
      <c r="E351" t="str">
        <f>A351&amp;"|"&amp;C351&amp;"|"&amp;B351</f>
        <v>Scenario 5|Variable 10|2050</v>
      </c>
    </row>
    <row r="352" spans="1:5" ht="13.8">
      <c r="A352" t="str">
        <f>INDEX(Controller!$H$2:$H$11,INT((ROW()-2)/70)+1)</f>
        <v>Scenario 6</v>
      </c>
      <c r="B352" s="2">
        <v>2022</v>
      </c>
      <c r="C352" t="str">
        <f>INDEX(Controller!$J$2:$J$11,MOD(INT((ROW()-2)/7),10)+1)</f>
        <v>hydrogen_allsect</v>
      </c>
      <c r="D352" s="4"/>
      <c r="E352" t="str">
        <f>A352&amp;"|"&amp;C352&amp;"|"&amp;B352</f>
        <v>Scenario 6|hydrogen_allsect|2022</v>
      </c>
    </row>
    <row r="353" spans="1:5" ht="13.8">
      <c r="A353" t="str">
        <f>INDEX(Controller!$H$2:$H$11,INT((ROW()-2)/70)+1)</f>
        <v>Scenario 6</v>
      </c>
      <c r="B353" s="2">
        <v>2025</v>
      </c>
      <c r="C353" t="str">
        <f>INDEX(Controller!$J$2:$J$11,MOD(INT((ROW()-2)/7),10)+1)</f>
        <v>hydrogen_allsect</v>
      </c>
      <c r="D353" s="4"/>
      <c r="E353" t="str">
        <f>A353&amp;"|"&amp;C353&amp;"|"&amp;B353</f>
        <v>Scenario 6|hydrogen_allsect|2025</v>
      </c>
    </row>
    <row r="354" spans="1:5" ht="13.8">
      <c r="A354" t="str">
        <f>INDEX(Controller!$H$2:$H$11,INT((ROW()-2)/70)+1)</f>
        <v>Scenario 6</v>
      </c>
      <c r="B354" s="2">
        <v>2030</v>
      </c>
      <c r="C354" t="str">
        <f>INDEX(Controller!$J$2:$J$11,MOD(INT((ROW()-2)/7),10)+1)</f>
        <v>hydrogen_allsect</v>
      </c>
      <c r="D354" s="4"/>
      <c r="E354" t="str">
        <f>A354&amp;"|"&amp;C354&amp;"|"&amp;B354</f>
        <v>Scenario 6|hydrogen_allsect|2030</v>
      </c>
    </row>
    <row r="355" spans="1:5" ht="13.8">
      <c r="A355" t="str">
        <f>INDEX(Controller!$H$2:$H$11,INT((ROW()-2)/70)+1)</f>
        <v>Scenario 6</v>
      </c>
      <c r="B355" s="2">
        <v>2035</v>
      </c>
      <c r="C355" t="str">
        <f>INDEX(Controller!$J$2:$J$11,MOD(INT((ROW()-2)/7),10)+1)</f>
        <v>hydrogen_allsect</v>
      </c>
      <c r="D355" s="4"/>
      <c r="E355" t="str">
        <f>A355&amp;"|"&amp;C355&amp;"|"&amp;B355</f>
        <v>Scenario 6|hydrogen_allsect|2035</v>
      </c>
    </row>
    <row r="356" spans="1:5" ht="13.8">
      <c r="A356" t="str">
        <f>INDEX(Controller!$H$2:$H$11,INT((ROW()-2)/70)+1)</f>
        <v>Scenario 6</v>
      </c>
      <c r="B356" s="2">
        <v>2040</v>
      </c>
      <c r="C356" t="str">
        <f>INDEX(Controller!$J$2:$J$11,MOD(INT((ROW()-2)/7),10)+1)</f>
        <v>hydrogen_allsect</v>
      </c>
      <c r="D356" s="4"/>
      <c r="E356" t="str">
        <f>A356&amp;"|"&amp;C356&amp;"|"&amp;B356</f>
        <v>Scenario 6|hydrogen_allsect|2040</v>
      </c>
    </row>
    <row r="357" spans="1:5" ht="13.8">
      <c r="A357" t="str">
        <f>INDEX(Controller!$H$2:$H$11,INT((ROW()-2)/70)+1)</f>
        <v>Scenario 6</v>
      </c>
      <c r="B357" s="2">
        <v>2045</v>
      </c>
      <c r="C357" t="str">
        <f>INDEX(Controller!$J$2:$J$11,MOD(INT((ROW()-2)/7),10)+1)</f>
        <v>hydrogen_allsect</v>
      </c>
      <c r="D357" s="4"/>
      <c r="E357" t="str">
        <f>A357&amp;"|"&amp;C357&amp;"|"&amp;B357</f>
        <v>Scenario 6|hydrogen_allsect|2045</v>
      </c>
    </row>
    <row r="358" spans="1:5" ht="13.8">
      <c r="A358" t="str">
        <f>INDEX(Controller!$H$2:$H$11,INT((ROW()-2)/70)+1)</f>
        <v>Scenario 6</v>
      </c>
      <c r="B358" s="2">
        <v>2050</v>
      </c>
      <c r="C358" t="str">
        <f>INDEX(Controller!$J$2:$J$11,MOD(INT((ROW()-2)/7),10)+1)</f>
        <v>hydrogen_allsect</v>
      </c>
      <c r="D358" s="4"/>
      <c r="E358" t="str">
        <f>A358&amp;"|"&amp;C358&amp;"|"&amp;B358</f>
        <v>Scenario 6|hydrogen_allsect|2050</v>
      </c>
    </row>
    <row r="359" spans="1:5" ht="13.8">
      <c r="A359" t="str">
        <f>INDEX(Controller!$H$2:$H$11,INT((ROW()-2)/70)+1)</f>
        <v>Scenario 6</v>
      </c>
      <c r="B359" s="2">
        <v>2022</v>
      </c>
      <c r="C359" t="str">
        <f>INDEX(Controller!$J$2:$J$11,MOD(INT((ROW()-2)/7),10)+1)</f>
        <v>elc_industry</v>
      </c>
      <c r="D359" s="4"/>
      <c r="E359" t="str">
        <f>A359&amp;"|"&amp;C359&amp;"|"&amp;B359</f>
        <v>Scenario 6|elc_industry|2022</v>
      </c>
    </row>
    <row r="360" spans="1:5" ht="13.8">
      <c r="A360" t="str">
        <f>INDEX(Controller!$H$2:$H$11,INT((ROW()-2)/70)+1)</f>
        <v>Scenario 6</v>
      </c>
      <c r="B360" s="2">
        <v>2025</v>
      </c>
      <c r="C360" t="str">
        <f>INDEX(Controller!$J$2:$J$11,MOD(INT((ROW()-2)/7),10)+1)</f>
        <v>elc_industry</v>
      </c>
      <c r="D360" s="4"/>
      <c r="E360" t="str">
        <f>A360&amp;"|"&amp;C360&amp;"|"&amp;B360</f>
        <v>Scenario 6|elc_industry|2025</v>
      </c>
    </row>
    <row r="361" spans="1:5" ht="13.8">
      <c r="A361" t="str">
        <f>INDEX(Controller!$H$2:$H$11,INT((ROW()-2)/70)+1)</f>
        <v>Scenario 6</v>
      </c>
      <c r="B361" s="2">
        <v>2030</v>
      </c>
      <c r="C361" t="str">
        <f>INDEX(Controller!$J$2:$J$11,MOD(INT((ROW()-2)/7),10)+1)</f>
        <v>elc_industry</v>
      </c>
      <c r="D361" s="4"/>
      <c r="E361" t="str">
        <f>A361&amp;"|"&amp;C361&amp;"|"&amp;B361</f>
        <v>Scenario 6|elc_industry|2030</v>
      </c>
    </row>
    <row r="362" spans="1:5" ht="13.8">
      <c r="A362" t="str">
        <f>INDEX(Controller!$H$2:$H$11,INT((ROW()-2)/70)+1)</f>
        <v>Scenario 6</v>
      </c>
      <c r="B362" s="2">
        <v>2035</v>
      </c>
      <c r="C362" t="str">
        <f>INDEX(Controller!$J$2:$J$11,MOD(INT((ROW()-2)/7),10)+1)</f>
        <v>elc_industry</v>
      </c>
      <c r="D362" s="4"/>
      <c r="E362" t="str">
        <f>A362&amp;"|"&amp;C362&amp;"|"&amp;B362</f>
        <v>Scenario 6|elc_industry|2035</v>
      </c>
    </row>
    <row r="363" spans="1:5" ht="13.8">
      <c r="A363" t="str">
        <f>INDEX(Controller!$H$2:$H$11,INT((ROW()-2)/70)+1)</f>
        <v>Scenario 6</v>
      </c>
      <c r="B363" s="2">
        <v>2040</v>
      </c>
      <c r="C363" t="str">
        <f>INDEX(Controller!$J$2:$J$11,MOD(INT((ROW()-2)/7),10)+1)</f>
        <v>elc_industry</v>
      </c>
      <c r="D363" s="4"/>
      <c r="E363" t="str">
        <f>A363&amp;"|"&amp;C363&amp;"|"&amp;B363</f>
        <v>Scenario 6|elc_industry|2040</v>
      </c>
    </row>
    <row r="364" spans="1:5" ht="13.8">
      <c r="A364" t="str">
        <f>INDEX(Controller!$H$2:$H$11,INT((ROW()-2)/70)+1)</f>
        <v>Scenario 6</v>
      </c>
      <c r="B364" s="2">
        <v>2045</v>
      </c>
      <c r="C364" t="str">
        <f>INDEX(Controller!$J$2:$J$11,MOD(INT((ROW()-2)/7),10)+1)</f>
        <v>elc_industry</v>
      </c>
      <c r="D364" s="4"/>
      <c r="E364" t="str">
        <f>A364&amp;"|"&amp;C364&amp;"|"&amp;B364</f>
        <v>Scenario 6|elc_industry|2045</v>
      </c>
    </row>
    <row r="365" spans="1:5" ht="13.8">
      <c r="A365" t="str">
        <f>INDEX(Controller!$H$2:$H$11,INT((ROW()-2)/70)+1)</f>
        <v>Scenario 6</v>
      </c>
      <c r="B365" s="2">
        <v>2050</v>
      </c>
      <c r="C365" t="str">
        <f>INDEX(Controller!$J$2:$J$11,MOD(INT((ROW()-2)/7),10)+1)</f>
        <v>elc_industry</v>
      </c>
      <c r="D365" s="4"/>
      <c r="E365" t="str">
        <f>A365&amp;"|"&amp;C365&amp;"|"&amp;B365</f>
        <v>Scenario 6|elc_industry|2050</v>
      </c>
    </row>
    <row r="366" spans="1:5" ht="13.8">
      <c r="A366" t="str">
        <f>INDEX(Controller!$H$2:$H$11,INT((ROW()-2)/70)+1)</f>
        <v>Scenario 6</v>
      </c>
      <c r="B366" s="2">
        <v>2022</v>
      </c>
      <c r="C366" t="str">
        <f>INDEX(Controller!$J$2:$J$11,MOD(INT((ROW()-2)/7),10)+1)</f>
        <v>elc_buildings</v>
      </c>
      <c r="D366" s="4"/>
      <c r="E366" t="str">
        <f>A366&amp;"|"&amp;C366&amp;"|"&amp;B366</f>
        <v>Scenario 6|elc_buildings|2022</v>
      </c>
    </row>
    <row r="367" spans="1:5" ht="13.8">
      <c r="A367" t="str">
        <f>INDEX(Controller!$H$2:$H$11,INT((ROW()-2)/70)+1)</f>
        <v>Scenario 6</v>
      </c>
      <c r="B367" s="2">
        <v>2025</v>
      </c>
      <c r="C367" t="str">
        <f>INDEX(Controller!$J$2:$J$11,MOD(INT((ROW()-2)/7),10)+1)</f>
        <v>elc_buildings</v>
      </c>
      <c r="D367" s="4"/>
      <c r="E367" t="str">
        <f>A367&amp;"|"&amp;C367&amp;"|"&amp;B367</f>
        <v>Scenario 6|elc_buildings|2025</v>
      </c>
    </row>
    <row r="368" spans="1:5" ht="13.8">
      <c r="A368" t="str">
        <f>INDEX(Controller!$H$2:$H$11,INT((ROW()-2)/70)+1)</f>
        <v>Scenario 6</v>
      </c>
      <c r="B368" s="2">
        <v>2030</v>
      </c>
      <c r="C368" t="str">
        <f>INDEX(Controller!$J$2:$J$11,MOD(INT((ROW()-2)/7),10)+1)</f>
        <v>elc_buildings</v>
      </c>
      <c r="D368" s="4"/>
      <c r="E368" t="str">
        <f>A368&amp;"|"&amp;C368&amp;"|"&amp;B368</f>
        <v>Scenario 6|elc_buildings|2030</v>
      </c>
    </row>
    <row r="369" spans="1:5" ht="13.8">
      <c r="A369" t="str">
        <f>INDEX(Controller!$H$2:$H$11,INT((ROW()-2)/70)+1)</f>
        <v>Scenario 6</v>
      </c>
      <c r="B369" s="2">
        <v>2035</v>
      </c>
      <c r="C369" t="str">
        <f>INDEX(Controller!$J$2:$J$11,MOD(INT((ROW()-2)/7),10)+1)</f>
        <v>elc_buildings</v>
      </c>
      <c r="D369" s="4"/>
      <c r="E369" t="str">
        <f>A369&amp;"|"&amp;C369&amp;"|"&amp;B369</f>
        <v>Scenario 6|elc_buildings|2035</v>
      </c>
    </row>
    <row r="370" spans="1:5" ht="13.8">
      <c r="A370" t="str">
        <f>INDEX(Controller!$H$2:$H$11,INT((ROW()-2)/70)+1)</f>
        <v>Scenario 6</v>
      </c>
      <c r="B370" s="2">
        <v>2040</v>
      </c>
      <c r="C370" t="str">
        <f>INDEX(Controller!$J$2:$J$11,MOD(INT((ROW()-2)/7),10)+1)</f>
        <v>elc_buildings</v>
      </c>
      <c r="D370" s="4"/>
      <c r="E370" t="str">
        <f>A370&amp;"|"&amp;C370&amp;"|"&amp;B370</f>
        <v>Scenario 6|elc_buildings|2040</v>
      </c>
    </row>
    <row r="371" spans="1:5" ht="13.8">
      <c r="A371" t="str">
        <f>INDEX(Controller!$H$2:$H$11,INT((ROW()-2)/70)+1)</f>
        <v>Scenario 6</v>
      </c>
      <c r="B371" s="2">
        <v>2045</v>
      </c>
      <c r="C371" t="str">
        <f>INDEX(Controller!$J$2:$J$11,MOD(INT((ROW()-2)/7),10)+1)</f>
        <v>elc_buildings</v>
      </c>
      <c r="D371" s="4"/>
      <c r="E371" t="str">
        <f>A371&amp;"|"&amp;C371&amp;"|"&amp;B371</f>
        <v>Scenario 6|elc_buildings|2045</v>
      </c>
    </row>
    <row r="372" spans="1:5" ht="13.8">
      <c r="A372" t="str">
        <f>INDEX(Controller!$H$2:$H$11,INT((ROW()-2)/70)+1)</f>
        <v>Scenario 6</v>
      </c>
      <c r="B372" s="2">
        <v>2050</v>
      </c>
      <c r="C372" t="str">
        <f>INDEX(Controller!$J$2:$J$11,MOD(INT((ROW()-2)/7),10)+1)</f>
        <v>elc_buildings</v>
      </c>
      <c r="D372" s="4"/>
      <c r="E372" t="str">
        <f>A372&amp;"|"&amp;C372&amp;"|"&amp;B372</f>
        <v>Scenario 6|elc_buildings|2050</v>
      </c>
    </row>
    <row r="373" spans="1:5" ht="13.8">
      <c r="A373" t="str">
        <f>INDEX(Controller!$H$2:$H$11,INT((ROW()-2)/70)+1)</f>
        <v>Scenario 6</v>
      </c>
      <c r="B373" s="2">
        <v>2022</v>
      </c>
      <c r="C373" t="str">
        <f>INDEX(Controller!$J$2:$J$11,MOD(INT((ROW()-2)/7),10)+1)</f>
        <v>elc_transport</v>
      </c>
      <c r="D373" s="4"/>
      <c r="E373" t="str">
        <f>A373&amp;"|"&amp;C373&amp;"|"&amp;B373</f>
        <v>Scenario 6|elc_transport|2022</v>
      </c>
    </row>
    <row r="374" spans="1:5" ht="13.8">
      <c r="A374" t="str">
        <f>INDEX(Controller!$H$2:$H$11,INT((ROW()-2)/70)+1)</f>
        <v>Scenario 6</v>
      </c>
      <c r="B374" s="2">
        <v>2025</v>
      </c>
      <c r="C374" t="str">
        <f>INDEX(Controller!$J$2:$J$11,MOD(INT((ROW()-2)/7),10)+1)</f>
        <v>elc_transport</v>
      </c>
      <c r="D374" s="4"/>
      <c r="E374" t="str">
        <f>A374&amp;"|"&amp;C374&amp;"|"&amp;B374</f>
        <v>Scenario 6|elc_transport|2025</v>
      </c>
    </row>
    <row r="375" spans="1:5" ht="13.8">
      <c r="A375" t="str">
        <f>INDEX(Controller!$H$2:$H$11,INT((ROW()-2)/70)+1)</f>
        <v>Scenario 6</v>
      </c>
      <c r="B375" s="2">
        <v>2030</v>
      </c>
      <c r="C375" t="str">
        <f>INDEX(Controller!$J$2:$J$11,MOD(INT((ROW()-2)/7),10)+1)</f>
        <v>elc_transport</v>
      </c>
      <c r="D375" s="4"/>
      <c r="E375" t="str">
        <f>A375&amp;"|"&amp;C375&amp;"|"&amp;B375</f>
        <v>Scenario 6|elc_transport|2030</v>
      </c>
    </row>
    <row r="376" spans="1:5" ht="13.8">
      <c r="A376" t="str">
        <f>INDEX(Controller!$H$2:$H$11,INT((ROW()-2)/70)+1)</f>
        <v>Scenario 6</v>
      </c>
      <c r="B376" s="2">
        <v>2035</v>
      </c>
      <c r="C376" t="str">
        <f>INDEX(Controller!$J$2:$J$11,MOD(INT((ROW()-2)/7),10)+1)</f>
        <v>elc_transport</v>
      </c>
      <c r="D376" s="4"/>
      <c r="E376" t="str">
        <f>A376&amp;"|"&amp;C376&amp;"|"&amp;B376</f>
        <v>Scenario 6|elc_transport|2035</v>
      </c>
    </row>
    <row r="377" spans="1:5" ht="13.8">
      <c r="A377" t="str">
        <f>INDEX(Controller!$H$2:$H$11,INT((ROW()-2)/70)+1)</f>
        <v>Scenario 6</v>
      </c>
      <c r="B377" s="2">
        <v>2040</v>
      </c>
      <c r="C377" t="str">
        <f>INDEX(Controller!$J$2:$J$11,MOD(INT((ROW()-2)/7),10)+1)</f>
        <v>elc_transport</v>
      </c>
      <c r="D377" s="4"/>
      <c r="E377" t="str">
        <f>A377&amp;"|"&amp;C377&amp;"|"&amp;B377</f>
        <v>Scenario 6|elc_transport|2040</v>
      </c>
    </row>
    <row r="378" spans="1:5" ht="13.8">
      <c r="A378" t="str">
        <f>INDEX(Controller!$H$2:$H$11,INT((ROW()-2)/70)+1)</f>
        <v>Scenario 6</v>
      </c>
      <c r="B378" s="2">
        <v>2045</v>
      </c>
      <c r="C378" t="str">
        <f>INDEX(Controller!$J$2:$J$11,MOD(INT((ROW()-2)/7),10)+1)</f>
        <v>elc_transport</v>
      </c>
      <c r="D378" s="4"/>
      <c r="E378" t="str">
        <f>A378&amp;"|"&amp;C378&amp;"|"&amp;B378</f>
        <v>Scenario 6|elc_transport|2045</v>
      </c>
    </row>
    <row r="379" spans="1:5" ht="13.8">
      <c r="A379" t="str">
        <f>INDEX(Controller!$H$2:$H$11,INT((ROW()-2)/70)+1)</f>
        <v>Scenario 6</v>
      </c>
      <c r="B379" s="2">
        <v>2050</v>
      </c>
      <c r="C379" t="str">
        <f>INDEX(Controller!$J$2:$J$11,MOD(INT((ROW()-2)/7),10)+1)</f>
        <v>elc_transport</v>
      </c>
      <c r="D379" s="4"/>
      <c r="E379" t="str">
        <f>A379&amp;"|"&amp;C379&amp;"|"&amp;B379</f>
        <v>Scenario 6|elc_transport|2050</v>
      </c>
    </row>
    <row r="380" spans="1:5" ht="13.8">
      <c r="A380" t="str">
        <f>INDEX(Controller!$H$2:$H$11,INT((ROW()-2)/70)+1)</f>
        <v>Scenario 6</v>
      </c>
      <c r="B380" s="2">
        <v>2022</v>
      </c>
      <c r="C380" t="str">
        <f>INDEX(Controller!$J$2:$J$11,MOD(INT((ROW()-2)/7),10)+1)</f>
        <v>elc_roadtransport</v>
      </c>
      <c r="D380" s="4"/>
      <c r="E380" t="str">
        <f>A380&amp;"|"&amp;C380&amp;"|"&amp;B380</f>
        <v>Scenario 6|elc_roadtransport|2022</v>
      </c>
    </row>
    <row r="381" spans="1:5" ht="13.8">
      <c r="A381" t="str">
        <f>INDEX(Controller!$H$2:$H$11,INT((ROW()-2)/70)+1)</f>
        <v>Scenario 6</v>
      </c>
      <c r="B381" s="2">
        <v>2025</v>
      </c>
      <c r="C381" t="str">
        <f>INDEX(Controller!$J$2:$J$11,MOD(INT((ROW()-2)/7),10)+1)</f>
        <v>elc_roadtransport</v>
      </c>
      <c r="D381" s="4"/>
      <c r="E381" t="str">
        <f>A381&amp;"|"&amp;C381&amp;"|"&amp;B381</f>
        <v>Scenario 6|elc_roadtransport|2025</v>
      </c>
    </row>
    <row r="382" spans="1:5" ht="13.8">
      <c r="A382" t="str">
        <f>INDEX(Controller!$H$2:$H$11,INT((ROW()-2)/70)+1)</f>
        <v>Scenario 6</v>
      </c>
      <c r="B382" s="2">
        <v>2030</v>
      </c>
      <c r="C382" t="str">
        <f>INDEX(Controller!$J$2:$J$11,MOD(INT((ROW()-2)/7),10)+1)</f>
        <v>elc_roadtransport</v>
      </c>
      <c r="D382" s="4"/>
      <c r="E382" t="str">
        <f>A382&amp;"|"&amp;C382&amp;"|"&amp;B382</f>
        <v>Scenario 6|elc_roadtransport|2030</v>
      </c>
    </row>
    <row r="383" spans="1:5" ht="13.8">
      <c r="A383" t="str">
        <f>INDEX(Controller!$H$2:$H$11,INT((ROW()-2)/70)+1)</f>
        <v>Scenario 6</v>
      </c>
      <c r="B383" s="2">
        <v>2035</v>
      </c>
      <c r="C383" t="str">
        <f>INDEX(Controller!$J$2:$J$11,MOD(INT((ROW()-2)/7),10)+1)</f>
        <v>elc_roadtransport</v>
      </c>
      <c r="D383" s="4"/>
      <c r="E383" t="str">
        <f>A383&amp;"|"&amp;C383&amp;"|"&amp;B383</f>
        <v>Scenario 6|elc_roadtransport|2035</v>
      </c>
    </row>
    <row r="384" spans="1:5" ht="13.8">
      <c r="A384" t="str">
        <f>INDEX(Controller!$H$2:$H$11,INT((ROW()-2)/70)+1)</f>
        <v>Scenario 6</v>
      </c>
      <c r="B384" s="2">
        <v>2040</v>
      </c>
      <c r="C384" t="str">
        <f>INDEX(Controller!$J$2:$J$11,MOD(INT((ROW()-2)/7),10)+1)</f>
        <v>elc_roadtransport</v>
      </c>
      <c r="D384" s="4"/>
      <c r="E384" t="str">
        <f>A384&amp;"|"&amp;C384&amp;"|"&amp;B384</f>
        <v>Scenario 6|elc_roadtransport|2040</v>
      </c>
    </row>
    <row r="385" spans="1:5" ht="13.8">
      <c r="A385" t="str">
        <f>INDEX(Controller!$H$2:$H$11,INT((ROW()-2)/70)+1)</f>
        <v>Scenario 6</v>
      </c>
      <c r="B385" s="2">
        <v>2045</v>
      </c>
      <c r="C385" t="str">
        <f>INDEX(Controller!$J$2:$J$11,MOD(INT((ROW()-2)/7),10)+1)</f>
        <v>elc_roadtransport</v>
      </c>
      <c r="D385" s="4"/>
      <c r="E385" t="str">
        <f>A385&amp;"|"&amp;C385&amp;"|"&amp;B385</f>
        <v>Scenario 6|elc_roadtransport|2045</v>
      </c>
    </row>
    <row r="386" spans="1:5" ht="13.8">
      <c r="A386" t="str">
        <f>INDEX(Controller!$H$2:$H$11,INT((ROW()-2)/70)+1)</f>
        <v>Scenario 6</v>
      </c>
      <c r="B386" s="2">
        <v>2050</v>
      </c>
      <c r="C386" t="str">
        <f>INDEX(Controller!$J$2:$J$11,MOD(INT((ROW()-2)/7),10)+1)</f>
        <v>elc_roadtransport</v>
      </c>
      <c r="D386" s="4"/>
      <c r="E386" t="str">
        <f>A386&amp;"|"&amp;C386&amp;"|"&amp;B386</f>
        <v>Scenario 6|elc_roadtransport|2050</v>
      </c>
    </row>
    <row r="387" spans="1:5" ht="13.8">
      <c r="A387" t="str">
        <f>INDEX(Controller!$H$2:$H$11,INT((ROW()-2)/70)+1)</f>
        <v>Scenario 6</v>
      </c>
      <c r="B387" s="2">
        <v>2022</v>
      </c>
      <c r="C387" t="str">
        <f>INDEX(Controller!$J$2:$J$11,MOD(INT((ROW()-2)/7),10)+1)</f>
        <v>het_industry</v>
      </c>
      <c r="D387" s="4"/>
      <c r="E387" t="str">
        <f>A387&amp;"|"&amp;C387&amp;"|"&amp;B387</f>
        <v>Scenario 6|het_industry|2022</v>
      </c>
    </row>
    <row r="388" spans="1:5" ht="13.8">
      <c r="A388" t="str">
        <f>INDEX(Controller!$H$2:$H$11,INT((ROW()-2)/70)+1)</f>
        <v>Scenario 6</v>
      </c>
      <c r="B388" s="2">
        <v>2025</v>
      </c>
      <c r="C388" t="str">
        <f>INDEX(Controller!$J$2:$J$11,MOD(INT((ROW()-2)/7),10)+1)</f>
        <v>het_industry</v>
      </c>
      <c r="D388" s="4"/>
      <c r="E388" t="str">
        <f>A388&amp;"|"&amp;C388&amp;"|"&amp;B388</f>
        <v>Scenario 6|het_industry|2025</v>
      </c>
    </row>
    <row r="389" spans="1:5" ht="13.8">
      <c r="A389" t="str">
        <f>INDEX(Controller!$H$2:$H$11,INT((ROW()-2)/70)+1)</f>
        <v>Scenario 6</v>
      </c>
      <c r="B389" s="2">
        <v>2030</v>
      </c>
      <c r="C389" t="str">
        <f>INDEX(Controller!$J$2:$J$11,MOD(INT((ROW()-2)/7),10)+1)</f>
        <v>het_industry</v>
      </c>
      <c r="D389" s="4"/>
      <c r="E389" t="str">
        <f>A389&amp;"|"&amp;C389&amp;"|"&amp;B389</f>
        <v>Scenario 6|het_industry|2030</v>
      </c>
    </row>
    <row r="390" spans="1:5" ht="13.8">
      <c r="A390" t="str">
        <f>INDEX(Controller!$H$2:$H$11,INT((ROW()-2)/70)+1)</f>
        <v>Scenario 6</v>
      </c>
      <c r="B390" s="2">
        <v>2035</v>
      </c>
      <c r="C390" t="str">
        <f>INDEX(Controller!$J$2:$J$11,MOD(INT((ROW()-2)/7),10)+1)</f>
        <v>het_industry</v>
      </c>
      <c r="D390" s="4"/>
      <c r="E390" t="str">
        <f>A390&amp;"|"&amp;C390&amp;"|"&amp;B390</f>
        <v>Scenario 6|het_industry|2035</v>
      </c>
    </row>
    <row r="391" spans="1:5" ht="13.8">
      <c r="A391" t="str">
        <f>INDEX(Controller!$H$2:$H$11,INT((ROW()-2)/70)+1)</f>
        <v>Scenario 6</v>
      </c>
      <c r="B391" s="2">
        <v>2040</v>
      </c>
      <c r="C391" t="str">
        <f>INDEX(Controller!$J$2:$J$11,MOD(INT((ROW()-2)/7),10)+1)</f>
        <v>het_industry</v>
      </c>
      <c r="D391" s="4"/>
      <c r="E391" t="str">
        <f>A391&amp;"|"&amp;C391&amp;"|"&amp;B391</f>
        <v>Scenario 6|het_industry|2040</v>
      </c>
    </row>
    <row r="392" spans="1:5" ht="13.8">
      <c r="A392" t="str">
        <f>INDEX(Controller!$H$2:$H$11,INT((ROW()-2)/70)+1)</f>
        <v>Scenario 6</v>
      </c>
      <c r="B392" s="2">
        <v>2045</v>
      </c>
      <c r="C392" t="str">
        <f>INDEX(Controller!$J$2:$J$11,MOD(INT((ROW()-2)/7),10)+1)</f>
        <v>het_industry</v>
      </c>
      <c r="D392" s="4"/>
      <c r="E392" t="str">
        <f>A392&amp;"|"&amp;C392&amp;"|"&amp;B392</f>
        <v>Scenario 6|het_industry|2045</v>
      </c>
    </row>
    <row r="393" spans="1:5" ht="13.8">
      <c r="A393" t="str">
        <f>INDEX(Controller!$H$2:$H$11,INT((ROW()-2)/70)+1)</f>
        <v>Scenario 6</v>
      </c>
      <c r="B393" s="2">
        <v>2050</v>
      </c>
      <c r="C393" t="str">
        <f>INDEX(Controller!$J$2:$J$11,MOD(INT((ROW()-2)/7),10)+1)</f>
        <v>het_industry</v>
      </c>
      <c r="D393" s="4"/>
      <c r="E393" t="str">
        <f>A393&amp;"|"&amp;C393&amp;"|"&amp;B393</f>
        <v>Scenario 6|het_industry|2050</v>
      </c>
    </row>
    <row r="394" spans="1:5" ht="13.8">
      <c r="A394" t="str">
        <f>INDEX(Controller!$H$2:$H$11,INT((ROW()-2)/70)+1)</f>
        <v>Scenario 6</v>
      </c>
      <c r="B394" s="2">
        <v>2022</v>
      </c>
      <c r="C394" t="str">
        <f>INDEX(Controller!$J$2:$J$11,MOD(INT((ROW()-2)/7),10)+1)</f>
        <v>het_buildings</v>
      </c>
      <c r="D394" s="4"/>
      <c r="E394" t="str">
        <f>A394&amp;"|"&amp;C394&amp;"|"&amp;B394</f>
        <v>Scenario 6|het_buildings|2022</v>
      </c>
    </row>
    <row r="395" spans="1:5" ht="13.8">
      <c r="A395" t="str">
        <f>INDEX(Controller!$H$2:$H$11,INT((ROW()-2)/70)+1)</f>
        <v>Scenario 6</v>
      </c>
      <c r="B395" s="2">
        <v>2025</v>
      </c>
      <c r="C395" t="str">
        <f>INDEX(Controller!$J$2:$J$11,MOD(INT((ROW()-2)/7),10)+1)</f>
        <v>het_buildings</v>
      </c>
      <c r="D395" s="4"/>
      <c r="E395" t="str">
        <f>A395&amp;"|"&amp;C395&amp;"|"&amp;B395</f>
        <v>Scenario 6|het_buildings|2025</v>
      </c>
    </row>
    <row r="396" spans="1:5" ht="13.8">
      <c r="A396" t="str">
        <f>INDEX(Controller!$H$2:$H$11,INT((ROW()-2)/70)+1)</f>
        <v>Scenario 6</v>
      </c>
      <c r="B396" s="2">
        <v>2030</v>
      </c>
      <c r="C396" t="str">
        <f>INDEX(Controller!$J$2:$J$11,MOD(INT((ROW()-2)/7),10)+1)</f>
        <v>het_buildings</v>
      </c>
      <c r="D396" s="4"/>
      <c r="E396" t="str">
        <f>A396&amp;"|"&amp;C396&amp;"|"&amp;B396</f>
        <v>Scenario 6|het_buildings|2030</v>
      </c>
    </row>
    <row r="397" spans="1:5" ht="13.8">
      <c r="A397" t="str">
        <f>INDEX(Controller!$H$2:$H$11,INT((ROW()-2)/70)+1)</f>
        <v>Scenario 6</v>
      </c>
      <c r="B397" s="2">
        <v>2035</v>
      </c>
      <c r="C397" t="str">
        <f>INDEX(Controller!$J$2:$J$11,MOD(INT((ROW()-2)/7),10)+1)</f>
        <v>het_buildings</v>
      </c>
      <c r="D397" s="4"/>
      <c r="E397" t="str">
        <f>A397&amp;"|"&amp;C397&amp;"|"&amp;B397</f>
        <v>Scenario 6|het_buildings|2035</v>
      </c>
    </row>
    <row r="398" spans="1:5" ht="13.8">
      <c r="A398" t="str">
        <f>INDEX(Controller!$H$2:$H$11,INT((ROW()-2)/70)+1)</f>
        <v>Scenario 6</v>
      </c>
      <c r="B398" s="2">
        <v>2040</v>
      </c>
      <c r="C398" t="str">
        <f>INDEX(Controller!$J$2:$J$11,MOD(INT((ROW()-2)/7),10)+1)</f>
        <v>het_buildings</v>
      </c>
      <c r="D398" s="4"/>
      <c r="E398" t="str">
        <f>A398&amp;"|"&amp;C398&amp;"|"&amp;B398</f>
        <v>Scenario 6|het_buildings|2040</v>
      </c>
    </row>
    <row r="399" spans="1:5" ht="13.8">
      <c r="A399" t="str">
        <f>INDEX(Controller!$H$2:$H$11,INT((ROW()-2)/70)+1)</f>
        <v>Scenario 6</v>
      </c>
      <c r="B399" s="2">
        <v>2045</v>
      </c>
      <c r="C399" t="str">
        <f>INDEX(Controller!$J$2:$J$11,MOD(INT((ROW()-2)/7),10)+1)</f>
        <v>het_buildings</v>
      </c>
      <c r="D399" s="4"/>
      <c r="E399" t="str">
        <f>A399&amp;"|"&amp;C399&amp;"|"&amp;B399</f>
        <v>Scenario 6|het_buildings|2045</v>
      </c>
    </row>
    <row r="400" spans="1:5" ht="13.8">
      <c r="A400" t="str">
        <f>INDEX(Controller!$H$2:$H$11,INT((ROW()-2)/70)+1)</f>
        <v>Scenario 6</v>
      </c>
      <c r="B400" s="2">
        <v>2050</v>
      </c>
      <c r="C400" t="str">
        <f>INDEX(Controller!$J$2:$J$11,MOD(INT((ROW()-2)/7),10)+1)</f>
        <v>het_buildings</v>
      </c>
      <c r="D400" s="4"/>
      <c r="E400" t="str">
        <f>A400&amp;"|"&amp;C400&amp;"|"&amp;B400</f>
        <v>Scenario 6|het_buildings|2050</v>
      </c>
    </row>
    <row r="401" spans="1:5" ht="13.8">
      <c r="A401" t="str">
        <f>INDEX(Controller!$H$2:$H$11,INT((ROW()-2)/70)+1)</f>
        <v>Scenario 6</v>
      </c>
      <c r="B401" s="2">
        <v>2022</v>
      </c>
      <c r="C401" t="str">
        <f>INDEX(Controller!$J$2:$J$11,MOD(INT((ROW()-2)/7),10)+1)</f>
        <v>co2net</v>
      </c>
      <c r="D401" s="4"/>
      <c r="E401" t="str">
        <f>A401&amp;"|"&amp;C401&amp;"|"&amp;B401</f>
        <v>Scenario 6|co2net|2022</v>
      </c>
    </row>
    <row r="402" spans="1:5" ht="13.8">
      <c r="A402" t="str">
        <f>INDEX(Controller!$H$2:$H$11,INT((ROW()-2)/70)+1)</f>
        <v>Scenario 6</v>
      </c>
      <c r="B402" s="2">
        <v>2025</v>
      </c>
      <c r="C402" t="str">
        <f>INDEX(Controller!$J$2:$J$11,MOD(INT((ROW()-2)/7),10)+1)</f>
        <v>co2net</v>
      </c>
      <c r="D402" s="4"/>
      <c r="E402" t="str">
        <f>A402&amp;"|"&amp;C402&amp;"|"&amp;B402</f>
        <v>Scenario 6|co2net|2025</v>
      </c>
    </row>
    <row r="403" spans="1:5" ht="13.8">
      <c r="A403" t="str">
        <f>INDEX(Controller!$H$2:$H$11,INT((ROW()-2)/70)+1)</f>
        <v>Scenario 6</v>
      </c>
      <c r="B403" s="2">
        <v>2030</v>
      </c>
      <c r="C403" t="str">
        <f>INDEX(Controller!$J$2:$J$11,MOD(INT((ROW()-2)/7),10)+1)</f>
        <v>co2net</v>
      </c>
      <c r="D403" s="4"/>
      <c r="E403" t="str">
        <f>A403&amp;"|"&amp;C403&amp;"|"&amp;B403</f>
        <v>Scenario 6|co2net|2030</v>
      </c>
    </row>
    <row r="404" spans="1:5" ht="13.8">
      <c r="A404" t="str">
        <f>INDEX(Controller!$H$2:$H$11,INT((ROW()-2)/70)+1)</f>
        <v>Scenario 6</v>
      </c>
      <c r="B404" s="2">
        <v>2035</v>
      </c>
      <c r="C404" t="str">
        <f>INDEX(Controller!$J$2:$J$11,MOD(INT((ROW()-2)/7),10)+1)</f>
        <v>co2net</v>
      </c>
      <c r="D404" s="4"/>
      <c r="E404" t="str">
        <f>A404&amp;"|"&amp;C404&amp;"|"&amp;B404</f>
        <v>Scenario 6|co2net|2035</v>
      </c>
    </row>
    <row r="405" spans="1:5" ht="13.8">
      <c r="A405" t="str">
        <f>INDEX(Controller!$H$2:$H$11,INT((ROW()-2)/70)+1)</f>
        <v>Scenario 6</v>
      </c>
      <c r="B405" s="2">
        <v>2040</v>
      </c>
      <c r="C405" t="str">
        <f>INDEX(Controller!$J$2:$J$11,MOD(INT((ROW()-2)/7),10)+1)</f>
        <v>co2net</v>
      </c>
      <c r="D405" s="4"/>
      <c r="E405" t="str">
        <f>A405&amp;"|"&amp;C405&amp;"|"&amp;B405</f>
        <v>Scenario 6|co2net|2040</v>
      </c>
    </row>
    <row r="406" spans="1:5" ht="13.8">
      <c r="A406" t="str">
        <f>INDEX(Controller!$H$2:$H$11,INT((ROW()-2)/70)+1)</f>
        <v>Scenario 6</v>
      </c>
      <c r="B406" s="2">
        <v>2045</v>
      </c>
      <c r="C406" t="str">
        <f>INDEX(Controller!$J$2:$J$11,MOD(INT((ROW()-2)/7),10)+1)</f>
        <v>co2net</v>
      </c>
      <c r="D406" s="4"/>
      <c r="E406" t="str">
        <f>A406&amp;"|"&amp;C406&amp;"|"&amp;B406</f>
        <v>Scenario 6|co2net|2045</v>
      </c>
    </row>
    <row r="407" spans="1:5" ht="13.8">
      <c r="A407" t="str">
        <f>INDEX(Controller!$H$2:$H$11,INT((ROW()-2)/70)+1)</f>
        <v>Scenario 6</v>
      </c>
      <c r="B407" s="2">
        <v>2050</v>
      </c>
      <c r="C407" t="str">
        <f>INDEX(Controller!$J$2:$J$11,MOD(INT((ROW()-2)/7),10)+1)</f>
        <v>co2net</v>
      </c>
      <c r="D407" s="4"/>
      <c r="E407" t="str">
        <f>A407&amp;"|"&amp;C407&amp;"|"&amp;B407</f>
        <v>Scenario 6|co2net|2050</v>
      </c>
    </row>
    <row r="408" spans="1:5" ht="13.8">
      <c r="A408" t="str">
        <f>INDEX(Controller!$H$2:$H$11,INT((ROW()-2)/70)+1)</f>
        <v>Scenario 6</v>
      </c>
      <c r="B408" s="2">
        <v>2022</v>
      </c>
      <c r="C408" t="str">
        <f>INDEX(Controller!$J$2:$J$11,MOD(INT((ROW()-2)/7),10)+1)</f>
        <v>Variable 9</v>
      </c>
      <c r="D408" s="4"/>
      <c r="E408" t="str">
        <f>A408&amp;"|"&amp;C408&amp;"|"&amp;B408</f>
        <v>Scenario 6|Variable 9|2022</v>
      </c>
    </row>
    <row r="409" spans="1:5" ht="13.8">
      <c r="A409" t="str">
        <f>INDEX(Controller!$H$2:$H$11,INT((ROW()-2)/70)+1)</f>
        <v>Scenario 6</v>
      </c>
      <c r="B409" s="2">
        <v>2025</v>
      </c>
      <c r="C409" t="str">
        <f>INDEX(Controller!$J$2:$J$11,MOD(INT((ROW()-2)/7),10)+1)</f>
        <v>Variable 9</v>
      </c>
      <c r="D409" s="4"/>
      <c r="E409" t="str">
        <f>A409&amp;"|"&amp;C409&amp;"|"&amp;B409</f>
        <v>Scenario 6|Variable 9|2025</v>
      </c>
    </row>
    <row r="410" spans="1:5" ht="13.8">
      <c r="A410" t="str">
        <f>INDEX(Controller!$H$2:$H$11,INT((ROW()-2)/70)+1)</f>
        <v>Scenario 6</v>
      </c>
      <c r="B410" s="2">
        <v>2030</v>
      </c>
      <c r="C410" t="str">
        <f>INDEX(Controller!$J$2:$J$11,MOD(INT((ROW()-2)/7),10)+1)</f>
        <v>Variable 9</v>
      </c>
      <c r="D410" s="4"/>
      <c r="E410" t="str">
        <f>A410&amp;"|"&amp;C410&amp;"|"&amp;B410</f>
        <v>Scenario 6|Variable 9|2030</v>
      </c>
    </row>
    <row r="411" spans="1:5" ht="13.8">
      <c r="A411" t="str">
        <f>INDEX(Controller!$H$2:$H$11,INT((ROW()-2)/70)+1)</f>
        <v>Scenario 6</v>
      </c>
      <c r="B411" s="2">
        <v>2035</v>
      </c>
      <c r="C411" t="str">
        <f>INDEX(Controller!$J$2:$J$11,MOD(INT((ROW()-2)/7),10)+1)</f>
        <v>Variable 9</v>
      </c>
      <c r="D411" s="4"/>
      <c r="E411" t="str">
        <f>A411&amp;"|"&amp;C411&amp;"|"&amp;B411</f>
        <v>Scenario 6|Variable 9|2035</v>
      </c>
    </row>
    <row r="412" spans="1:5" ht="13.8">
      <c r="A412" t="str">
        <f>INDEX(Controller!$H$2:$H$11,INT((ROW()-2)/70)+1)</f>
        <v>Scenario 6</v>
      </c>
      <c r="B412" s="2">
        <v>2040</v>
      </c>
      <c r="C412" t="str">
        <f>INDEX(Controller!$J$2:$J$11,MOD(INT((ROW()-2)/7),10)+1)</f>
        <v>Variable 9</v>
      </c>
      <c r="D412" s="4"/>
      <c r="E412" t="str">
        <f>A412&amp;"|"&amp;C412&amp;"|"&amp;B412</f>
        <v>Scenario 6|Variable 9|2040</v>
      </c>
    </row>
    <row r="413" spans="1:5" ht="13.8">
      <c r="A413" t="str">
        <f>INDEX(Controller!$H$2:$H$11,INT((ROW()-2)/70)+1)</f>
        <v>Scenario 6</v>
      </c>
      <c r="B413" s="2">
        <v>2045</v>
      </c>
      <c r="C413" t="str">
        <f>INDEX(Controller!$J$2:$J$11,MOD(INT((ROW()-2)/7),10)+1)</f>
        <v>Variable 9</v>
      </c>
      <c r="D413" s="4"/>
      <c r="E413" t="str">
        <f>A413&amp;"|"&amp;C413&amp;"|"&amp;B413</f>
        <v>Scenario 6|Variable 9|2045</v>
      </c>
    </row>
    <row r="414" spans="1:5" ht="13.8">
      <c r="A414" t="str">
        <f>INDEX(Controller!$H$2:$H$11,INT((ROW()-2)/70)+1)</f>
        <v>Scenario 6</v>
      </c>
      <c r="B414" s="2">
        <v>2050</v>
      </c>
      <c r="C414" t="str">
        <f>INDEX(Controller!$J$2:$J$11,MOD(INT((ROW()-2)/7),10)+1)</f>
        <v>Variable 9</v>
      </c>
      <c r="D414" s="4"/>
      <c r="E414" t="str">
        <f>A414&amp;"|"&amp;C414&amp;"|"&amp;B414</f>
        <v>Scenario 6|Variable 9|2050</v>
      </c>
    </row>
    <row r="415" spans="1:5" ht="13.8">
      <c r="A415" t="str">
        <f>INDEX(Controller!$H$2:$H$11,INT((ROW()-2)/70)+1)</f>
        <v>Scenario 6</v>
      </c>
      <c r="B415" s="2">
        <v>2022</v>
      </c>
      <c r="C415" t="str">
        <f>INDEX(Controller!$J$2:$J$11,MOD(INT((ROW()-2)/7),10)+1)</f>
        <v>Variable 10</v>
      </c>
      <c r="D415" s="4"/>
      <c r="E415" t="str">
        <f>A415&amp;"|"&amp;C415&amp;"|"&amp;B415</f>
        <v>Scenario 6|Variable 10|2022</v>
      </c>
    </row>
    <row r="416" spans="1:5" ht="13.8">
      <c r="A416" t="str">
        <f>INDEX(Controller!$H$2:$H$11,INT((ROW()-2)/70)+1)</f>
        <v>Scenario 6</v>
      </c>
      <c r="B416" s="2">
        <v>2025</v>
      </c>
      <c r="C416" t="str">
        <f>INDEX(Controller!$J$2:$J$11,MOD(INT((ROW()-2)/7),10)+1)</f>
        <v>Variable 10</v>
      </c>
      <c r="D416" s="4"/>
      <c r="E416" t="str">
        <f>A416&amp;"|"&amp;C416&amp;"|"&amp;B416</f>
        <v>Scenario 6|Variable 10|2025</v>
      </c>
    </row>
    <row r="417" spans="1:5" ht="13.8">
      <c r="A417" t="str">
        <f>INDEX(Controller!$H$2:$H$11,INT((ROW()-2)/70)+1)</f>
        <v>Scenario 6</v>
      </c>
      <c r="B417" s="2">
        <v>2030</v>
      </c>
      <c r="C417" t="str">
        <f>INDEX(Controller!$J$2:$J$11,MOD(INT((ROW()-2)/7),10)+1)</f>
        <v>Variable 10</v>
      </c>
      <c r="D417" s="4"/>
      <c r="E417" t="str">
        <f>A417&amp;"|"&amp;C417&amp;"|"&amp;B417</f>
        <v>Scenario 6|Variable 10|2030</v>
      </c>
    </row>
    <row r="418" spans="1:5" ht="13.8">
      <c r="A418" t="str">
        <f>INDEX(Controller!$H$2:$H$11,INT((ROW()-2)/70)+1)</f>
        <v>Scenario 6</v>
      </c>
      <c r="B418" s="2">
        <v>2035</v>
      </c>
      <c r="C418" t="str">
        <f>INDEX(Controller!$J$2:$J$11,MOD(INT((ROW()-2)/7),10)+1)</f>
        <v>Variable 10</v>
      </c>
      <c r="D418" s="4"/>
      <c r="E418" t="str">
        <f>A418&amp;"|"&amp;C418&amp;"|"&amp;B418</f>
        <v>Scenario 6|Variable 10|2035</v>
      </c>
    </row>
    <row r="419" spans="1:5" ht="13.8">
      <c r="A419" t="str">
        <f>INDEX(Controller!$H$2:$H$11,INT((ROW()-2)/70)+1)</f>
        <v>Scenario 6</v>
      </c>
      <c r="B419" s="2">
        <v>2040</v>
      </c>
      <c r="C419" t="str">
        <f>INDEX(Controller!$J$2:$J$11,MOD(INT((ROW()-2)/7),10)+1)</f>
        <v>Variable 10</v>
      </c>
      <c r="D419" s="4"/>
      <c r="E419" t="str">
        <f>A419&amp;"|"&amp;C419&amp;"|"&amp;B419</f>
        <v>Scenario 6|Variable 10|2040</v>
      </c>
    </row>
    <row r="420" spans="1:5" ht="13.8">
      <c r="A420" t="str">
        <f>INDEX(Controller!$H$2:$H$11,INT((ROW()-2)/70)+1)</f>
        <v>Scenario 6</v>
      </c>
      <c r="B420" s="2">
        <v>2045</v>
      </c>
      <c r="C420" t="str">
        <f>INDEX(Controller!$J$2:$J$11,MOD(INT((ROW()-2)/7),10)+1)</f>
        <v>Variable 10</v>
      </c>
      <c r="D420" s="4"/>
      <c r="E420" t="str">
        <f>A420&amp;"|"&amp;C420&amp;"|"&amp;B420</f>
        <v>Scenario 6|Variable 10|2045</v>
      </c>
    </row>
    <row r="421" spans="1:5" ht="13.8">
      <c r="A421" t="str">
        <f>INDEX(Controller!$H$2:$H$11,INT((ROW()-2)/70)+1)</f>
        <v>Scenario 6</v>
      </c>
      <c r="B421" s="2">
        <v>2050</v>
      </c>
      <c r="C421" t="str">
        <f>INDEX(Controller!$J$2:$J$11,MOD(INT((ROW()-2)/7),10)+1)</f>
        <v>Variable 10</v>
      </c>
      <c r="D421" s="4"/>
      <c r="E421" t="str">
        <f>A421&amp;"|"&amp;C421&amp;"|"&amp;B421</f>
        <v>Scenario 6|Variable 10|2050</v>
      </c>
    </row>
    <row r="422" spans="1:5" ht="13.8">
      <c r="A422" t="str">
        <f>INDEX(Controller!$H$2:$H$11,INT((ROW()-2)/70)+1)</f>
        <v>Scenario 7</v>
      </c>
      <c r="B422" s="2">
        <v>2022</v>
      </c>
      <c r="C422" t="str">
        <f>INDEX(Controller!$J$2:$J$11,MOD(INT((ROW()-2)/7),10)+1)</f>
        <v>hydrogen_allsect</v>
      </c>
      <c r="D422" s="4"/>
      <c r="E422" t="str">
        <f>A422&amp;"|"&amp;C422&amp;"|"&amp;B422</f>
        <v>Scenario 7|hydrogen_allsect|2022</v>
      </c>
    </row>
    <row r="423" spans="1:5" ht="13.8">
      <c r="A423" t="str">
        <f>INDEX(Controller!$H$2:$H$11,INT((ROW()-2)/70)+1)</f>
        <v>Scenario 7</v>
      </c>
      <c r="B423" s="2">
        <v>2025</v>
      </c>
      <c r="C423" t="str">
        <f>INDEX(Controller!$J$2:$J$11,MOD(INT((ROW()-2)/7),10)+1)</f>
        <v>hydrogen_allsect</v>
      </c>
      <c r="D423" s="4"/>
      <c r="E423" t="str">
        <f>A423&amp;"|"&amp;C423&amp;"|"&amp;B423</f>
        <v>Scenario 7|hydrogen_allsect|2025</v>
      </c>
    </row>
    <row r="424" spans="1:5" ht="13.8">
      <c r="A424" t="str">
        <f>INDEX(Controller!$H$2:$H$11,INT((ROW()-2)/70)+1)</f>
        <v>Scenario 7</v>
      </c>
      <c r="B424" s="2">
        <v>2030</v>
      </c>
      <c r="C424" t="str">
        <f>INDEX(Controller!$J$2:$J$11,MOD(INT((ROW()-2)/7),10)+1)</f>
        <v>hydrogen_allsect</v>
      </c>
      <c r="D424" s="4"/>
      <c r="E424" t="str">
        <f>A424&amp;"|"&amp;C424&amp;"|"&amp;B424</f>
        <v>Scenario 7|hydrogen_allsect|2030</v>
      </c>
    </row>
    <row r="425" spans="1:5" ht="13.8">
      <c r="A425" t="str">
        <f>INDEX(Controller!$H$2:$H$11,INT((ROW()-2)/70)+1)</f>
        <v>Scenario 7</v>
      </c>
      <c r="B425" s="2">
        <v>2035</v>
      </c>
      <c r="C425" t="str">
        <f>INDEX(Controller!$J$2:$J$11,MOD(INT((ROW()-2)/7),10)+1)</f>
        <v>hydrogen_allsect</v>
      </c>
      <c r="D425" s="4"/>
      <c r="E425" t="str">
        <f>A425&amp;"|"&amp;C425&amp;"|"&amp;B425</f>
        <v>Scenario 7|hydrogen_allsect|2035</v>
      </c>
    </row>
    <row r="426" spans="1:5" ht="13.8">
      <c r="A426" t="str">
        <f>INDEX(Controller!$H$2:$H$11,INT((ROW()-2)/70)+1)</f>
        <v>Scenario 7</v>
      </c>
      <c r="B426" s="2">
        <v>2040</v>
      </c>
      <c r="C426" t="str">
        <f>INDEX(Controller!$J$2:$J$11,MOD(INT((ROW()-2)/7),10)+1)</f>
        <v>hydrogen_allsect</v>
      </c>
      <c r="D426" s="4"/>
      <c r="E426" t="str">
        <f>A426&amp;"|"&amp;C426&amp;"|"&amp;B426</f>
        <v>Scenario 7|hydrogen_allsect|2040</v>
      </c>
    </row>
    <row r="427" spans="1:5" ht="13.8">
      <c r="A427" t="str">
        <f>INDEX(Controller!$H$2:$H$11,INT((ROW()-2)/70)+1)</f>
        <v>Scenario 7</v>
      </c>
      <c r="B427" s="2">
        <v>2045</v>
      </c>
      <c r="C427" t="str">
        <f>INDEX(Controller!$J$2:$J$11,MOD(INT((ROW()-2)/7),10)+1)</f>
        <v>hydrogen_allsect</v>
      </c>
      <c r="D427" s="4"/>
      <c r="E427" t="str">
        <f>A427&amp;"|"&amp;C427&amp;"|"&amp;B427</f>
        <v>Scenario 7|hydrogen_allsect|2045</v>
      </c>
    </row>
    <row r="428" spans="1:5" ht="13.8">
      <c r="A428" t="str">
        <f>INDEX(Controller!$H$2:$H$11,INT((ROW()-2)/70)+1)</f>
        <v>Scenario 7</v>
      </c>
      <c r="B428" s="2">
        <v>2050</v>
      </c>
      <c r="C428" t="str">
        <f>INDEX(Controller!$J$2:$J$11,MOD(INT((ROW()-2)/7),10)+1)</f>
        <v>hydrogen_allsect</v>
      </c>
      <c r="D428" s="4"/>
      <c r="E428" t="str">
        <f>A428&amp;"|"&amp;C428&amp;"|"&amp;B428</f>
        <v>Scenario 7|hydrogen_allsect|2050</v>
      </c>
    </row>
    <row r="429" spans="1:5" ht="13.8">
      <c r="A429" t="str">
        <f>INDEX(Controller!$H$2:$H$11,INT((ROW()-2)/70)+1)</f>
        <v>Scenario 7</v>
      </c>
      <c r="B429" s="2">
        <v>2022</v>
      </c>
      <c r="C429" t="str">
        <f>INDEX(Controller!$J$2:$J$11,MOD(INT((ROW()-2)/7),10)+1)</f>
        <v>elc_industry</v>
      </c>
      <c r="D429" s="4"/>
      <c r="E429" t="str">
        <f>A429&amp;"|"&amp;C429&amp;"|"&amp;B429</f>
        <v>Scenario 7|elc_industry|2022</v>
      </c>
    </row>
    <row r="430" spans="1:5" ht="13.8">
      <c r="A430" t="str">
        <f>INDEX(Controller!$H$2:$H$11,INT((ROW()-2)/70)+1)</f>
        <v>Scenario 7</v>
      </c>
      <c r="B430" s="2">
        <v>2025</v>
      </c>
      <c r="C430" t="str">
        <f>INDEX(Controller!$J$2:$J$11,MOD(INT((ROW()-2)/7),10)+1)</f>
        <v>elc_industry</v>
      </c>
      <c r="D430" s="4"/>
      <c r="E430" t="str">
        <f>A430&amp;"|"&amp;C430&amp;"|"&amp;B430</f>
        <v>Scenario 7|elc_industry|2025</v>
      </c>
    </row>
    <row r="431" spans="1:5" ht="13.8">
      <c r="A431" t="str">
        <f>INDEX(Controller!$H$2:$H$11,INT((ROW()-2)/70)+1)</f>
        <v>Scenario 7</v>
      </c>
      <c r="B431" s="2">
        <v>2030</v>
      </c>
      <c r="C431" t="str">
        <f>INDEX(Controller!$J$2:$J$11,MOD(INT((ROW()-2)/7),10)+1)</f>
        <v>elc_industry</v>
      </c>
      <c r="D431" s="4"/>
      <c r="E431" t="str">
        <f>A431&amp;"|"&amp;C431&amp;"|"&amp;B431</f>
        <v>Scenario 7|elc_industry|2030</v>
      </c>
    </row>
    <row r="432" spans="1:5" ht="13.8">
      <c r="A432" t="str">
        <f>INDEX(Controller!$H$2:$H$11,INT((ROW()-2)/70)+1)</f>
        <v>Scenario 7</v>
      </c>
      <c r="B432" s="2">
        <v>2035</v>
      </c>
      <c r="C432" t="str">
        <f>INDEX(Controller!$J$2:$J$11,MOD(INT((ROW()-2)/7),10)+1)</f>
        <v>elc_industry</v>
      </c>
      <c r="D432" s="4"/>
      <c r="E432" t="str">
        <f>A432&amp;"|"&amp;C432&amp;"|"&amp;B432</f>
        <v>Scenario 7|elc_industry|2035</v>
      </c>
    </row>
    <row r="433" spans="1:5" ht="13.8">
      <c r="A433" t="str">
        <f>INDEX(Controller!$H$2:$H$11,INT((ROW()-2)/70)+1)</f>
        <v>Scenario 7</v>
      </c>
      <c r="B433" s="2">
        <v>2040</v>
      </c>
      <c r="C433" t="str">
        <f>INDEX(Controller!$J$2:$J$11,MOD(INT((ROW()-2)/7),10)+1)</f>
        <v>elc_industry</v>
      </c>
      <c r="D433" s="4"/>
      <c r="E433" t="str">
        <f>A433&amp;"|"&amp;C433&amp;"|"&amp;B433</f>
        <v>Scenario 7|elc_industry|2040</v>
      </c>
    </row>
    <row r="434" spans="1:5" ht="13.8">
      <c r="A434" t="str">
        <f>INDEX(Controller!$H$2:$H$11,INT((ROW()-2)/70)+1)</f>
        <v>Scenario 7</v>
      </c>
      <c r="B434" s="2">
        <v>2045</v>
      </c>
      <c r="C434" t="str">
        <f>INDEX(Controller!$J$2:$J$11,MOD(INT((ROW()-2)/7),10)+1)</f>
        <v>elc_industry</v>
      </c>
      <c r="D434" s="4"/>
      <c r="E434" t="str">
        <f>A434&amp;"|"&amp;C434&amp;"|"&amp;B434</f>
        <v>Scenario 7|elc_industry|2045</v>
      </c>
    </row>
    <row r="435" spans="1:5" ht="13.8">
      <c r="A435" t="str">
        <f>INDEX(Controller!$H$2:$H$11,INT((ROW()-2)/70)+1)</f>
        <v>Scenario 7</v>
      </c>
      <c r="B435" s="2">
        <v>2050</v>
      </c>
      <c r="C435" t="str">
        <f>INDEX(Controller!$J$2:$J$11,MOD(INT((ROW()-2)/7),10)+1)</f>
        <v>elc_industry</v>
      </c>
      <c r="D435" s="4"/>
      <c r="E435" t="str">
        <f>A435&amp;"|"&amp;C435&amp;"|"&amp;B435</f>
        <v>Scenario 7|elc_industry|2050</v>
      </c>
    </row>
    <row r="436" spans="1:5" ht="13.8">
      <c r="A436" t="str">
        <f>INDEX(Controller!$H$2:$H$11,INT((ROW()-2)/70)+1)</f>
        <v>Scenario 7</v>
      </c>
      <c r="B436" s="2">
        <v>2022</v>
      </c>
      <c r="C436" t="str">
        <f>INDEX(Controller!$J$2:$J$11,MOD(INT((ROW()-2)/7),10)+1)</f>
        <v>elc_buildings</v>
      </c>
      <c r="D436" s="4"/>
      <c r="E436" t="str">
        <f>A436&amp;"|"&amp;C436&amp;"|"&amp;B436</f>
        <v>Scenario 7|elc_buildings|2022</v>
      </c>
    </row>
    <row r="437" spans="1:5" ht="13.8">
      <c r="A437" t="str">
        <f>INDEX(Controller!$H$2:$H$11,INT((ROW()-2)/70)+1)</f>
        <v>Scenario 7</v>
      </c>
      <c r="B437" s="2">
        <v>2025</v>
      </c>
      <c r="C437" t="str">
        <f>INDEX(Controller!$J$2:$J$11,MOD(INT((ROW()-2)/7),10)+1)</f>
        <v>elc_buildings</v>
      </c>
      <c r="D437" s="4"/>
      <c r="E437" t="str">
        <f>A437&amp;"|"&amp;C437&amp;"|"&amp;B437</f>
        <v>Scenario 7|elc_buildings|2025</v>
      </c>
    </row>
    <row r="438" spans="1:5" ht="13.8">
      <c r="A438" t="str">
        <f>INDEX(Controller!$H$2:$H$11,INT((ROW()-2)/70)+1)</f>
        <v>Scenario 7</v>
      </c>
      <c r="B438" s="2">
        <v>2030</v>
      </c>
      <c r="C438" t="str">
        <f>INDEX(Controller!$J$2:$J$11,MOD(INT((ROW()-2)/7),10)+1)</f>
        <v>elc_buildings</v>
      </c>
      <c r="D438" s="4"/>
      <c r="E438" t="str">
        <f>A438&amp;"|"&amp;C438&amp;"|"&amp;B438</f>
        <v>Scenario 7|elc_buildings|2030</v>
      </c>
    </row>
    <row r="439" spans="1:5" ht="13.8">
      <c r="A439" t="str">
        <f>INDEX(Controller!$H$2:$H$11,INT((ROW()-2)/70)+1)</f>
        <v>Scenario 7</v>
      </c>
      <c r="B439" s="2">
        <v>2035</v>
      </c>
      <c r="C439" t="str">
        <f>INDEX(Controller!$J$2:$J$11,MOD(INT((ROW()-2)/7),10)+1)</f>
        <v>elc_buildings</v>
      </c>
      <c r="D439" s="4"/>
      <c r="E439" t="str">
        <f>A439&amp;"|"&amp;C439&amp;"|"&amp;B439</f>
        <v>Scenario 7|elc_buildings|2035</v>
      </c>
    </row>
    <row r="440" spans="1:5" ht="13.8">
      <c r="A440" t="str">
        <f>INDEX(Controller!$H$2:$H$11,INT((ROW()-2)/70)+1)</f>
        <v>Scenario 7</v>
      </c>
      <c r="B440" s="2">
        <v>2040</v>
      </c>
      <c r="C440" t="str">
        <f>INDEX(Controller!$J$2:$J$11,MOD(INT((ROW()-2)/7),10)+1)</f>
        <v>elc_buildings</v>
      </c>
      <c r="D440" s="4"/>
      <c r="E440" t="str">
        <f>A440&amp;"|"&amp;C440&amp;"|"&amp;B440</f>
        <v>Scenario 7|elc_buildings|2040</v>
      </c>
    </row>
    <row r="441" spans="1:5" ht="13.8">
      <c r="A441" t="str">
        <f>INDEX(Controller!$H$2:$H$11,INT((ROW()-2)/70)+1)</f>
        <v>Scenario 7</v>
      </c>
      <c r="B441" s="2">
        <v>2045</v>
      </c>
      <c r="C441" t="str">
        <f>INDEX(Controller!$J$2:$J$11,MOD(INT((ROW()-2)/7),10)+1)</f>
        <v>elc_buildings</v>
      </c>
      <c r="D441" s="4"/>
      <c r="E441" t="str">
        <f>A441&amp;"|"&amp;C441&amp;"|"&amp;B441</f>
        <v>Scenario 7|elc_buildings|2045</v>
      </c>
    </row>
    <row r="442" spans="1:5" ht="13.8">
      <c r="A442" t="str">
        <f>INDEX(Controller!$H$2:$H$11,INT((ROW()-2)/70)+1)</f>
        <v>Scenario 7</v>
      </c>
      <c r="B442" s="2">
        <v>2050</v>
      </c>
      <c r="C442" t="str">
        <f>INDEX(Controller!$J$2:$J$11,MOD(INT((ROW()-2)/7),10)+1)</f>
        <v>elc_buildings</v>
      </c>
      <c r="D442" s="4"/>
      <c r="E442" t="str">
        <f>A442&amp;"|"&amp;C442&amp;"|"&amp;B442</f>
        <v>Scenario 7|elc_buildings|2050</v>
      </c>
    </row>
    <row r="443" spans="1:5" ht="13.8">
      <c r="A443" t="str">
        <f>INDEX(Controller!$H$2:$H$11,INT((ROW()-2)/70)+1)</f>
        <v>Scenario 7</v>
      </c>
      <c r="B443" s="2">
        <v>2022</v>
      </c>
      <c r="C443" t="str">
        <f>INDEX(Controller!$J$2:$J$11,MOD(INT((ROW()-2)/7),10)+1)</f>
        <v>elc_transport</v>
      </c>
      <c r="D443" s="4"/>
      <c r="E443" t="str">
        <f>A443&amp;"|"&amp;C443&amp;"|"&amp;B443</f>
        <v>Scenario 7|elc_transport|2022</v>
      </c>
    </row>
    <row r="444" spans="1:5" ht="13.8">
      <c r="A444" t="str">
        <f>INDEX(Controller!$H$2:$H$11,INT((ROW()-2)/70)+1)</f>
        <v>Scenario 7</v>
      </c>
      <c r="B444" s="2">
        <v>2025</v>
      </c>
      <c r="C444" t="str">
        <f>INDEX(Controller!$J$2:$J$11,MOD(INT((ROW()-2)/7),10)+1)</f>
        <v>elc_transport</v>
      </c>
      <c r="D444" s="4"/>
      <c r="E444" t="str">
        <f>A444&amp;"|"&amp;C444&amp;"|"&amp;B444</f>
        <v>Scenario 7|elc_transport|2025</v>
      </c>
    </row>
    <row r="445" spans="1:5" ht="13.8">
      <c r="A445" t="str">
        <f>INDEX(Controller!$H$2:$H$11,INT((ROW()-2)/70)+1)</f>
        <v>Scenario 7</v>
      </c>
      <c r="B445" s="2">
        <v>2030</v>
      </c>
      <c r="C445" t="str">
        <f>INDEX(Controller!$J$2:$J$11,MOD(INT((ROW()-2)/7),10)+1)</f>
        <v>elc_transport</v>
      </c>
      <c r="D445" s="4"/>
      <c r="E445" t="str">
        <f>A445&amp;"|"&amp;C445&amp;"|"&amp;B445</f>
        <v>Scenario 7|elc_transport|2030</v>
      </c>
    </row>
    <row r="446" spans="1:5" ht="13.8">
      <c r="A446" t="str">
        <f>INDEX(Controller!$H$2:$H$11,INT((ROW()-2)/70)+1)</f>
        <v>Scenario 7</v>
      </c>
      <c r="B446" s="2">
        <v>2035</v>
      </c>
      <c r="C446" t="str">
        <f>INDEX(Controller!$J$2:$J$11,MOD(INT((ROW()-2)/7),10)+1)</f>
        <v>elc_transport</v>
      </c>
      <c r="D446" s="4"/>
      <c r="E446" t="str">
        <f>A446&amp;"|"&amp;C446&amp;"|"&amp;B446</f>
        <v>Scenario 7|elc_transport|2035</v>
      </c>
    </row>
    <row r="447" spans="1:5" ht="13.8">
      <c r="A447" t="str">
        <f>INDEX(Controller!$H$2:$H$11,INT((ROW()-2)/70)+1)</f>
        <v>Scenario 7</v>
      </c>
      <c r="B447" s="2">
        <v>2040</v>
      </c>
      <c r="C447" t="str">
        <f>INDEX(Controller!$J$2:$J$11,MOD(INT((ROW()-2)/7),10)+1)</f>
        <v>elc_transport</v>
      </c>
      <c r="D447" s="4"/>
      <c r="E447" t="str">
        <f>A447&amp;"|"&amp;C447&amp;"|"&amp;B447</f>
        <v>Scenario 7|elc_transport|2040</v>
      </c>
    </row>
    <row r="448" spans="1:5" ht="13.8">
      <c r="A448" t="str">
        <f>INDEX(Controller!$H$2:$H$11,INT((ROW()-2)/70)+1)</f>
        <v>Scenario 7</v>
      </c>
      <c r="B448" s="2">
        <v>2045</v>
      </c>
      <c r="C448" t="str">
        <f>INDEX(Controller!$J$2:$J$11,MOD(INT((ROW()-2)/7),10)+1)</f>
        <v>elc_transport</v>
      </c>
      <c r="D448" s="4"/>
      <c r="E448" t="str">
        <f>A448&amp;"|"&amp;C448&amp;"|"&amp;B448</f>
        <v>Scenario 7|elc_transport|2045</v>
      </c>
    </row>
    <row r="449" spans="1:5" ht="13.8">
      <c r="A449" t="str">
        <f>INDEX(Controller!$H$2:$H$11,INT((ROW()-2)/70)+1)</f>
        <v>Scenario 7</v>
      </c>
      <c r="B449" s="2">
        <v>2050</v>
      </c>
      <c r="C449" t="str">
        <f>INDEX(Controller!$J$2:$J$11,MOD(INT((ROW()-2)/7),10)+1)</f>
        <v>elc_transport</v>
      </c>
      <c r="D449" s="4"/>
      <c r="E449" t="str">
        <f>A449&amp;"|"&amp;C449&amp;"|"&amp;B449</f>
        <v>Scenario 7|elc_transport|2050</v>
      </c>
    </row>
    <row r="450" spans="1:5" ht="13.8">
      <c r="A450" t="str">
        <f>INDEX(Controller!$H$2:$H$11,INT((ROW()-2)/70)+1)</f>
        <v>Scenario 7</v>
      </c>
      <c r="B450" s="2">
        <v>2022</v>
      </c>
      <c r="C450" t="str">
        <f>INDEX(Controller!$J$2:$J$11,MOD(INT((ROW()-2)/7),10)+1)</f>
        <v>elc_roadtransport</v>
      </c>
      <c r="D450" s="4"/>
      <c r="E450" t="str">
        <f>A450&amp;"|"&amp;C450&amp;"|"&amp;B450</f>
        <v>Scenario 7|elc_roadtransport|2022</v>
      </c>
    </row>
    <row r="451" spans="1:5" ht="13.8">
      <c r="A451" t="str">
        <f>INDEX(Controller!$H$2:$H$11,INT((ROW()-2)/70)+1)</f>
        <v>Scenario 7</v>
      </c>
      <c r="B451" s="2">
        <v>2025</v>
      </c>
      <c r="C451" t="str">
        <f>INDEX(Controller!$J$2:$J$11,MOD(INT((ROW()-2)/7),10)+1)</f>
        <v>elc_roadtransport</v>
      </c>
      <c r="D451" s="4"/>
      <c r="E451" t="str">
        <f>A451&amp;"|"&amp;C451&amp;"|"&amp;B451</f>
        <v>Scenario 7|elc_roadtransport|2025</v>
      </c>
    </row>
    <row r="452" spans="1:5" ht="13.8">
      <c r="A452" t="str">
        <f>INDEX(Controller!$H$2:$H$11,INT((ROW()-2)/70)+1)</f>
        <v>Scenario 7</v>
      </c>
      <c r="B452" s="2">
        <v>2030</v>
      </c>
      <c r="C452" t="str">
        <f>INDEX(Controller!$J$2:$J$11,MOD(INT((ROW()-2)/7),10)+1)</f>
        <v>elc_roadtransport</v>
      </c>
      <c r="D452" s="4"/>
      <c r="E452" t="str">
        <f>A452&amp;"|"&amp;C452&amp;"|"&amp;B452</f>
        <v>Scenario 7|elc_roadtransport|2030</v>
      </c>
    </row>
    <row r="453" spans="1:5" ht="13.8">
      <c r="A453" t="str">
        <f>INDEX(Controller!$H$2:$H$11,INT((ROW()-2)/70)+1)</f>
        <v>Scenario 7</v>
      </c>
      <c r="B453" s="2">
        <v>2035</v>
      </c>
      <c r="C453" t="str">
        <f>INDEX(Controller!$J$2:$J$11,MOD(INT((ROW()-2)/7),10)+1)</f>
        <v>elc_roadtransport</v>
      </c>
      <c r="D453" s="4"/>
      <c r="E453" t="str">
        <f>A453&amp;"|"&amp;C453&amp;"|"&amp;B453</f>
        <v>Scenario 7|elc_roadtransport|2035</v>
      </c>
    </row>
    <row r="454" spans="1:5" ht="13.8">
      <c r="A454" t="str">
        <f>INDEX(Controller!$H$2:$H$11,INT((ROW()-2)/70)+1)</f>
        <v>Scenario 7</v>
      </c>
      <c r="B454" s="2">
        <v>2040</v>
      </c>
      <c r="C454" t="str">
        <f>INDEX(Controller!$J$2:$J$11,MOD(INT((ROW()-2)/7),10)+1)</f>
        <v>elc_roadtransport</v>
      </c>
      <c r="D454" s="4"/>
      <c r="E454" t="str">
        <f>A454&amp;"|"&amp;C454&amp;"|"&amp;B454</f>
        <v>Scenario 7|elc_roadtransport|2040</v>
      </c>
    </row>
    <row r="455" spans="1:5" ht="13.8">
      <c r="A455" t="str">
        <f>INDEX(Controller!$H$2:$H$11,INT((ROW()-2)/70)+1)</f>
        <v>Scenario 7</v>
      </c>
      <c r="B455" s="2">
        <v>2045</v>
      </c>
      <c r="C455" t="str">
        <f>INDEX(Controller!$J$2:$J$11,MOD(INT((ROW()-2)/7),10)+1)</f>
        <v>elc_roadtransport</v>
      </c>
      <c r="D455" s="4"/>
      <c r="E455" t="str">
        <f>A455&amp;"|"&amp;C455&amp;"|"&amp;B455</f>
        <v>Scenario 7|elc_roadtransport|2045</v>
      </c>
    </row>
    <row r="456" spans="1:5" ht="13.8">
      <c r="A456" t="str">
        <f>INDEX(Controller!$H$2:$H$11,INT((ROW()-2)/70)+1)</f>
        <v>Scenario 7</v>
      </c>
      <c r="B456" s="2">
        <v>2050</v>
      </c>
      <c r="C456" t="str">
        <f>INDEX(Controller!$J$2:$J$11,MOD(INT((ROW()-2)/7),10)+1)</f>
        <v>elc_roadtransport</v>
      </c>
      <c r="D456" s="4"/>
      <c r="E456" t="str">
        <f>A456&amp;"|"&amp;C456&amp;"|"&amp;B456</f>
        <v>Scenario 7|elc_roadtransport|2050</v>
      </c>
    </row>
    <row r="457" spans="1:5" ht="13.8">
      <c r="A457" t="str">
        <f>INDEX(Controller!$H$2:$H$11,INT((ROW()-2)/70)+1)</f>
        <v>Scenario 7</v>
      </c>
      <c r="B457" s="2">
        <v>2022</v>
      </c>
      <c r="C457" t="str">
        <f>INDEX(Controller!$J$2:$J$11,MOD(INT((ROW()-2)/7),10)+1)</f>
        <v>het_industry</v>
      </c>
      <c r="D457" s="4"/>
      <c r="E457" t="str">
        <f>A457&amp;"|"&amp;C457&amp;"|"&amp;B457</f>
        <v>Scenario 7|het_industry|2022</v>
      </c>
    </row>
    <row r="458" spans="1:5" ht="13.8">
      <c r="A458" t="str">
        <f>INDEX(Controller!$H$2:$H$11,INT((ROW()-2)/70)+1)</f>
        <v>Scenario 7</v>
      </c>
      <c r="B458" s="2">
        <v>2025</v>
      </c>
      <c r="C458" t="str">
        <f>INDEX(Controller!$J$2:$J$11,MOD(INT((ROW()-2)/7),10)+1)</f>
        <v>het_industry</v>
      </c>
      <c r="D458" s="4"/>
      <c r="E458" t="str">
        <f>A458&amp;"|"&amp;C458&amp;"|"&amp;B458</f>
        <v>Scenario 7|het_industry|2025</v>
      </c>
    </row>
    <row r="459" spans="1:5" ht="13.8">
      <c r="A459" t="str">
        <f>INDEX(Controller!$H$2:$H$11,INT((ROW()-2)/70)+1)</f>
        <v>Scenario 7</v>
      </c>
      <c r="B459" s="2">
        <v>2030</v>
      </c>
      <c r="C459" t="str">
        <f>INDEX(Controller!$J$2:$J$11,MOD(INT((ROW()-2)/7),10)+1)</f>
        <v>het_industry</v>
      </c>
      <c r="D459" s="4"/>
      <c r="E459" t="str">
        <f>A459&amp;"|"&amp;C459&amp;"|"&amp;B459</f>
        <v>Scenario 7|het_industry|2030</v>
      </c>
    </row>
    <row r="460" spans="1:5" ht="13.8">
      <c r="A460" t="str">
        <f>INDEX(Controller!$H$2:$H$11,INT((ROW()-2)/70)+1)</f>
        <v>Scenario 7</v>
      </c>
      <c r="B460" s="2">
        <v>2035</v>
      </c>
      <c r="C460" t="str">
        <f>INDEX(Controller!$J$2:$J$11,MOD(INT((ROW()-2)/7),10)+1)</f>
        <v>het_industry</v>
      </c>
      <c r="D460" s="4"/>
      <c r="E460" t="str">
        <f>A460&amp;"|"&amp;C460&amp;"|"&amp;B460</f>
        <v>Scenario 7|het_industry|2035</v>
      </c>
    </row>
    <row r="461" spans="1:5" ht="13.8">
      <c r="A461" t="str">
        <f>INDEX(Controller!$H$2:$H$11,INT((ROW()-2)/70)+1)</f>
        <v>Scenario 7</v>
      </c>
      <c r="B461" s="2">
        <v>2040</v>
      </c>
      <c r="C461" t="str">
        <f>INDEX(Controller!$J$2:$J$11,MOD(INT((ROW()-2)/7),10)+1)</f>
        <v>het_industry</v>
      </c>
      <c r="D461" s="4"/>
      <c r="E461" t="str">
        <f>A461&amp;"|"&amp;C461&amp;"|"&amp;B461</f>
        <v>Scenario 7|het_industry|2040</v>
      </c>
    </row>
    <row r="462" spans="1:5" ht="13.8">
      <c r="A462" t="str">
        <f>INDEX(Controller!$H$2:$H$11,INT((ROW()-2)/70)+1)</f>
        <v>Scenario 7</v>
      </c>
      <c r="B462" s="2">
        <v>2045</v>
      </c>
      <c r="C462" t="str">
        <f>INDEX(Controller!$J$2:$J$11,MOD(INT((ROW()-2)/7),10)+1)</f>
        <v>het_industry</v>
      </c>
      <c r="D462" s="4"/>
      <c r="E462" t="str">
        <f>A462&amp;"|"&amp;C462&amp;"|"&amp;B462</f>
        <v>Scenario 7|het_industry|2045</v>
      </c>
    </row>
    <row r="463" spans="1:5" ht="13.8">
      <c r="A463" t="str">
        <f>INDEX(Controller!$H$2:$H$11,INT((ROW()-2)/70)+1)</f>
        <v>Scenario 7</v>
      </c>
      <c r="B463" s="2">
        <v>2050</v>
      </c>
      <c r="C463" t="str">
        <f>INDEX(Controller!$J$2:$J$11,MOD(INT((ROW()-2)/7),10)+1)</f>
        <v>het_industry</v>
      </c>
      <c r="D463" s="4"/>
      <c r="E463" t="str">
        <f>A463&amp;"|"&amp;C463&amp;"|"&amp;B463</f>
        <v>Scenario 7|het_industry|2050</v>
      </c>
    </row>
    <row r="464" spans="1:5" ht="13.8">
      <c r="A464" t="str">
        <f>INDEX(Controller!$H$2:$H$11,INT((ROW()-2)/70)+1)</f>
        <v>Scenario 7</v>
      </c>
      <c r="B464" s="2">
        <v>2022</v>
      </c>
      <c r="C464" t="str">
        <f>INDEX(Controller!$J$2:$J$11,MOD(INT((ROW()-2)/7),10)+1)</f>
        <v>het_buildings</v>
      </c>
      <c r="D464" s="4"/>
      <c r="E464" t="str">
        <f>A464&amp;"|"&amp;C464&amp;"|"&amp;B464</f>
        <v>Scenario 7|het_buildings|2022</v>
      </c>
    </row>
    <row r="465" spans="1:5" ht="13.8">
      <c r="A465" t="str">
        <f>INDEX(Controller!$H$2:$H$11,INT((ROW()-2)/70)+1)</f>
        <v>Scenario 7</v>
      </c>
      <c r="B465" s="2">
        <v>2025</v>
      </c>
      <c r="C465" t="str">
        <f>INDEX(Controller!$J$2:$J$11,MOD(INT((ROW()-2)/7),10)+1)</f>
        <v>het_buildings</v>
      </c>
      <c r="D465" s="4"/>
      <c r="E465" t="str">
        <f>A465&amp;"|"&amp;C465&amp;"|"&amp;B465</f>
        <v>Scenario 7|het_buildings|2025</v>
      </c>
    </row>
    <row r="466" spans="1:5" ht="13.8">
      <c r="A466" t="str">
        <f>INDEX(Controller!$H$2:$H$11,INT((ROW()-2)/70)+1)</f>
        <v>Scenario 7</v>
      </c>
      <c r="B466" s="2">
        <v>2030</v>
      </c>
      <c r="C466" t="str">
        <f>INDEX(Controller!$J$2:$J$11,MOD(INT((ROW()-2)/7),10)+1)</f>
        <v>het_buildings</v>
      </c>
      <c r="D466" s="4"/>
      <c r="E466" t="str">
        <f>A466&amp;"|"&amp;C466&amp;"|"&amp;B466</f>
        <v>Scenario 7|het_buildings|2030</v>
      </c>
    </row>
    <row r="467" spans="1:5" ht="13.8">
      <c r="A467" t="str">
        <f>INDEX(Controller!$H$2:$H$11,INT((ROW()-2)/70)+1)</f>
        <v>Scenario 7</v>
      </c>
      <c r="B467" s="2">
        <v>2035</v>
      </c>
      <c r="C467" t="str">
        <f>INDEX(Controller!$J$2:$J$11,MOD(INT((ROW()-2)/7),10)+1)</f>
        <v>het_buildings</v>
      </c>
      <c r="D467" s="4"/>
      <c r="E467" t="str">
        <f>A467&amp;"|"&amp;C467&amp;"|"&amp;B467</f>
        <v>Scenario 7|het_buildings|2035</v>
      </c>
    </row>
    <row r="468" spans="1:5" ht="13.8">
      <c r="A468" t="str">
        <f>INDEX(Controller!$H$2:$H$11,INT((ROW()-2)/70)+1)</f>
        <v>Scenario 7</v>
      </c>
      <c r="B468" s="2">
        <v>2040</v>
      </c>
      <c r="C468" t="str">
        <f>INDEX(Controller!$J$2:$J$11,MOD(INT((ROW()-2)/7),10)+1)</f>
        <v>het_buildings</v>
      </c>
      <c r="D468" s="4"/>
      <c r="E468" t="str">
        <f>A468&amp;"|"&amp;C468&amp;"|"&amp;B468</f>
        <v>Scenario 7|het_buildings|2040</v>
      </c>
    </row>
    <row r="469" spans="1:5" ht="13.8">
      <c r="A469" t="str">
        <f>INDEX(Controller!$H$2:$H$11,INT((ROW()-2)/70)+1)</f>
        <v>Scenario 7</v>
      </c>
      <c r="B469" s="2">
        <v>2045</v>
      </c>
      <c r="C469" t="str">
        <f>INDEX(Controller!$J$2:$J$11,MOD(INT((ROW()-2)/7),10)+1)</f>
        <v>het_buildings</v>
      </c>
      <c r="D469" s="4"/>
      <c r="E469" t="str">
        <f>A469&amp;"|"&amp;C469&amp;"|"&amp;B469</f>
        <v>Scenario 7|het_buildings|2045</v>
      </c>
    </row>
    <row r="470" spans="1:5" ht="13.8">
      <c r="A470" t="str">
        <f>INDEX(Controller!$H$2:$H$11,INT((ROW()-2)/70)+1)</f>
        <v>Scenario 7</v>
      </c>
      <c r="B470" s="2">
        <v>2050</v>
      </c>
      <c r="C470" t="str">
        <f>INDEX(Controller!$J$2:$J$11,MOD(INT((ROW()-2)/7),10)+1)</f>
        <v>het_buildings</v>
      </c>
      <c r="D470" s="4"/>
      <c r="E470" t="str">
        <f>A470&amp;"|"&amp;C470&amp;"|"&amp;B470</f>
        <v>Scenario 7|het_buildings|2050</v>
      </c>
    </row>
    <row r="471" spans="1:5" ht="13.8">
      <c r="A471" t="str">
        <f>INDEX(Controller!$H$2:$H$11,INT((ROW()-2)/70)+1)</f>
        <v>Scenario 7</v>
      </c>
      <c r="B471" s="2">
        <v>2022</v>
      </c>
      <c r="C471" t="str">
        <f>INDEX(Controller!$J$2:$J$11,MOD(INT((ROW()-2)/7),10)+1)</f>
        <v>co2net</v>
      </c>
      <c r="D471" s="4"/>
      <c r="E471" t="str">
        <f>A471&amp;"|"&amp;C471&amp;"|"&amp;B471</f>
        <v>Scenario 7|co2net|2022</v>
      </c>
    </row>
    <row r="472" spans="1:5" ht="13.8">
      <c r="A472" t="str">
        <f>INDEX(Controller!$H$2:$H$11,INT((ROW()-2)/70)+1)</f>
        <v>Scenario 7</v>
      </c>
      <c r="B472" s="2">
        <v>2025</v>
      </c>
      <c r="C472" t="str">
        <f>INDEX(Controller!$J$2:$J$11,MOD(INT((ROW()-2)/7),10)+1)</f>
        <v>co2net</v>
      </c>
      <c r="D472" s="4"/>
      <c r="E472" t="str">
        <f>A472&amp;"|"&amp;C472&amp;"|"&amp;B472</f>
        <v>Scenario 7|co2net|2025</v>
      </c>
    </row>
    <row r="473" spans="1:5" ht="13.8">
      <c r="A473" t="str">
        <f>INDEX(Controller!$H$2:$H$11,INT((ROW()-2)/70)+1)</f>
        <v>Scenario 7</v>
      </c>
      <c r="B473" s="2">
        <v>2030</v>
      </c>
      <c r="C473" t="str">
        <f>INDEX(Controller!$J$2:$J$11,MOD(INT((ROW()-2)/7),10)+1)</f>
        <v>co2net</v>
      </c>
      <c r="D473" s="4"/>
      <c r="E473" t="str">
        <f>A473&amp;"|"&amp;C473&amp;"|"&amp;B473</f>
        <v>Scenario 7|co2net|2030</v>
      </c>
    </row>
    <row r="474" spans="1:5" ht="13.8">
      <c r="A474" t="str">
        <f>INDEX(Controller!$H$2:$H$11,INT((ROW()-2)/70)+1)</f>
        <v>Scenario 7</v>
      </c>
      <c r="B474" s="2">
        <v>2035</v>
      </c>
      <c r="C474" t="str">
        <f>INDEX(Controller!$J$2:$J$11,MOD(INT((ROW()-2)/7),10)+1)</f>
        <v>co2net</v>
      </c>
      <c r="D474" s="4"/>
      <c r="E474" t="str">
        <f>A474&amp;"|"&amp;C474&amp;"|"&amp;B474</f>
        <v>Scenario 7|co2net|2035</v>
      </c>
    </row>
    <row r="475" spans="1:5" ht="13.8">
      <c r="A475" t="str">
        <f>INDEX(Controller!$H$2:$H$11,INT((ROW()-2)/70)+1)</f>
        <v>Scenario 7</v>
      </c>
      <c r="B475" s="2">
        <v>2040</v>
      </c>
      <c r="C475" t="str">
        <f>INDEX(Controller!$J$2:$J$11,MOD(INT((ROW()-2)/7),10)+1)</f>
        <v>co2net</v>
      </c>
      <c r="D475" s="4"/>
      <c r="E475" t="str">
        <f>A475&amp;"|"&amp;C475&amp;"|"&amp;B475</f>
        <v>Scenario 7|co2net|2040</v>
      </c>
    </row>
    <row r="476" spans="1:5" ht="13.8">
      <c r="A476" t="str">
        <f>INDEX(Controller!$H$2:$H$11,INT((ROW()-2)/70)+1)</f>
        <v>Scenario 7</v>
      </c>
      <c r="B476" s="2">
        <v>2045</v>
      </c>
      <c r="C476" t="str">
        <f>INDEX(Controller!$J$2:$J$11,MOD(INT((ROW()-2)/7),10)+1)</f>
        <v>co2net</v>
      </c>
      <c r="D476" s="4"/>
      <c r="E476" t="str">
        <f>A476&amp;"|"&amp;C476&amp;"|"&amp;B476</f>
        <v>Scenario 7|co2net|2045</v>
      </c>
    </row>
    <row r="477" spans="1:5" ht="13.8">
      <c r="A477" t="str">
        <f>INDEX(Controller!$H$2:$H$11,INT((ROW()-2)/70)+1)</f>
        <v>Scenario 7</v>
      </c>
      <c r="B477" s="2">
        <v>2050</v>
      </c>
      <c r="C477" t="str">
        <f>INDEX(Controller!$J$2:$J$11,MOD(INT((ROW()-2)/7),10)+1)</f>
        <v>co2net</v>
      </c>
      <c r="D477" s="4"/>
      <c r="E477" t="str">
        <f>A477&amp;"|"&amp;C477&amp;"|"&amp;B477</f>
        <v>Scenario 7|co2net|2050</v>
      </c>
    </row>
    <row r="478" spans="1:5" ht="13.8">
      <c r="A478" t="str">
        <f>INDEX(Controller!$H$2:$H$11,INT((ROW()-2)/70)+1)</f>
        <v>Scenario 7</v>
      </c>
      <c r="B478" s="2">
        <v>2022</v>
      </c>
      <c r="C478" t="str">
        <f>INDEX(Controller!$J$2:$J$11,MOD(INT((ROW()-2)/7),10)+1)</f>
        <v>Variable 9</v>
      </c>
      <c r="D478" s="4"/>
      <c r="E478" t="str">
        <f>A478&amp;"|"&amp;C478&amp;"|"&amp;B478</f>
        <v>Scenario 7|Variable 9|2022</v>
      </c>
    </row>
    <row r="479" spans="1:5" ht="13.8">
      <c r="A479" t="str">
        <f>INDEX(Controller!$H$2:$H$11,INT((ROW()-2)/70)+1)</f>
        <v>Scenario 7</v>
      </c>
      <c r="B479" s="2">
        <v>2025</v>
      </c>
      <c r="C479" t="str">
        <f>INDEX(Controller!$J$2:$J$11,MOD(INT((ROW()-2)/7),10)+1)</f>
        <v>Variable 9</v>
      </c>
      <c r="D479" s="4"/>
      <c r="E479" t="str">
        <f>A479&amp;"|"&amp;C479&amp;"|"&amp;B479</f>
        <v>Scenario 7|Variable 9|2025</v>
      </c>
    </row>
    <row r="480" spans="1:5" ht="13.8">
      <c r="A480" t="str">
        <f>INDEX(Controller!$H$2:$H$11,INT((ROW()-2)/70)+1)</f>
        <v>Scenario 7</v>
      </c>
      <c r="B480" s="2">
        <v>2030</v>
      </c>
      <c r="C480" t="str">
        <f>INDEX(Controller!$J$2:$J$11,MOD(INT((ROW()-2)/7),10)+1)</f>
        <v>Variable 9</v>
      </c>
      <c r="D480" s="4"/>
      <c r="E480" t="str">
        <f>A480&amp;"|"&amp;C480&amp;"|"&amp;B480</f>
        <v>Scenario 7|Variable 9|2030</v>
      </c>
    </row>
    <row r="481" spans="1:5" ht="13.8">
      <c r="A481" t="str">
        <f>INDEX(Controller!$H$2:$H$11,INT((ROW()-2)/70)+1)</f>
        <v>Scenario 7</v>
      </c>
      <c r="B481" s="2">
        <v>2035</v>
      </c>
      <c r="C481" t="str">
        <f>INDEX(Controller!$J$2:$J$11,MOD(INT((ROW()-2)/7),10)+1)</f>
        <v>Variable 9</v>
      </c>
      <c r="D481" s="4"/>
      <c r="E481" t="str">
        <f>A481&amp;"|"&amp;C481&amp;"|"&amp;B481</f>
        <v>Scenario 7|Variable 9|2035</v>
      </c>
    </row>
    <row r="482" spans="1:5" ht="13.8">
      <c r="A482" t="str">
        <f>INDEX(Controller!$H$2:$H$11,INT((ROW()-2)/70)+1)</f>
        <v>Scenario 7</v>
      </c>
      <c r="B482" s="2">
        <v>2040</v>
      </c>
      <c r="C482" t="str">
        <f>INDEX(Controller!$J$2:$J$11,MOD(INT((ROW()-2)/7),10)+1)</f>
        <v>Variable 9</v>
      </c>
      <c r="D482" s="4"/>
      <c r="E482" t="str">
        <f>A482&amp;"|"&amp;C482&amp;"|"&amp;B482</f>
        <v>Scenario 7|Variable 9|2040</v>
      </c>
    </row>
    <row r="483" spans="1:5" ht="13.8">
      <c r="A483" t="str">
        <f>INDEX(Controller!$H$2:$H$11,INT((ROW()-2)/70)+1)</f>
        <v>Scenario 7</v>
      </c>
      <c r="B483" s="2">
        <v>2045</v>
      </c>
      <c r="C483" t="str">
        <f>INDEX(Controller!$J$2:$J$11,MOD(INT((ROW()-2)/7),10)+1)</f>
        <v>Variable 9</v>
      </c>
      <c r="D483" s="4"/>
      <c r="E483" t="str">
        <f>A483&amp;"|"&amp;C483&amp;"|"&amp;B483</f>
        <v>Scenario 7|Variable 9|2045</v>
      </c>
    </row>
    <row r="484" spans="1:5" ht="13.8">
      <c r="A484" t="str">
        <f>INDEX(Controller!$H$2:$H$11,INT((ROW()-2)/70)+1)</f>
        <v>Scenario 7</v>
      </c>
      <c r="B484" s="2">
        <v>2050</v>
      </c>
      <c r="C484" t="str">
        <f>INDEX(Controller!$J$2:$J$11,MOD(INT((ROW()-2)/7),10)+1)</f>
        <v>Variable 9</v>
      </c>
      <c r="D484" s="4"/>
      <c r="E484" t="str">
        <f>A484&amp;"|"&amp;C484&amp;"|"&amp;B484</f>
        <v>Scenario 7|Variable 9|2050</v>
      </c>
    </row>
    <row r="485" spans="1:5" ht="13.8">
      <c r="A485" t="str">
        <f>INDEX(Controller!$H$2:$H$11,INT((ROW()-2)/70)+1)</f>
        <v>Scenario 7</v>
      </c>
      <c r="B485" s="2">
        <v>2022</v>
      </c>
      <c r="C485" t="str">
        <f>INDEX(Controller!$J$2:$J$11,MOD(INT((ROW()-2)/7),10)+1)</f>
        <v>Variable 10</v>
      </c>
      <c r="D485" s="4"/>
      <c r="E485" t="str">
        <f>A485&amp;"|"&amp;C485&amp;"|"&amp;B485</f>
        <v>Scenario 7|Variable 10|2022</v>
      </c>
    </row>
    <row r="486" spans="1:5" ht="13.8">
      <c r="A486" t="str">
        <f>INDEX(Controller!$H$2:$H$11,INT((ROW()-2)/70)+1)</f>
        <v>Scenario 7</v>
      </c>
      <c r="B486" s="2">
        <v>2025</v>
      </c>
      <c r="C486" t="str">
        <f>INDEX(Controller!$J$2:$J$11,MOD(INT((ROW()-2)/7),10)+1)</f>
        <v>Variable 10</v>
      </c>
      <c r="D486" s="4"/>
      <c r="E486" t="str">
        <f>A486&amp;"|"&amp;C486&amp;"|"&amp;B486</f>
        <v>Scenario 7|Variable 10|2025</v>
      </c>
    </row>
    <row r="487" spans="1:5" ht="13.8">
      <c r="A487" t="str">
        <f>INDEX(Controller!$H$2:$H$11,INT((ROW()-2)/70)+1)</f>
        <v>Scenario 7</v>
      </c>
      <c r="B487" s="2">
        <v>2030</v>
      </c>
      <c r="C487" t="str">
        <f>INDEX(Controller!$J$2:$J$11,MOD(INT((ROW()-2)/7),10)+1)</f>
        <v>Variable 10</v>
      </c>
      <c r="D487" s="4"/>
      <c r="E487" t="str">
        <f>A487&amp;"|"&amp;C487&amp;"|"&amp;B487</f>
        <v>Scenario 7|Variable 10|2030</v>
      </c>
    </row>
    <row r="488" spans="1:5" ht="13.8">
      <c r="A488" t="str">
        <f>INDEX(Controller!$H$2:$H$11,INT((ROW()-2)/70)+1)</f>
        <v>Scenario 7</v>
      </c>
      <c r="B488" s="2">
        <v>2035</v>
      </c>
      <c r="C488" t="str">
        <f>INDEX(Controller!$J$2:$J$11,MOD(INT((ROW()-2)/7),10)+1)</f>
        <v>Variable 10</v>
      </c>
      <c r="D488" s="4"/>
      <c r="E488" t="str">
        <f>A488&amp;"|"&amp;C488&amp;"|"&amp;B488</f>
        <v>Scenario 7|Variable 10|2035</v>
      </c>
    </row>
    <row r="489" spans="1:5" ht="13.8">
      <c r="A489" t="str">
        <f>INDEX(Controller!$H$2:$H$11,INT((ROW()-2)/70)+1)</f>
        <v>Scenario 7</v>
      </c>
      <c r="B489" s="2">
        <v>2040</v>
      </c>
      <c r="C489" t="str">
        <f>INDEX(Controller!$J$2:$J$11,MOD(INT((ROW()-2)/7),10)+1)</f>
        <v>Variable 10</v>
      </c>
      <c r="D489" s="4"/>
      <c r="E489" t="str">
        <f>A489&amp;"|"&amp;C489&amp;"|"&amp;B489</f>
        <v>Scenario 7|Variable 10|2040</v>
      </c>
    </row>
    <row r="490" spans="1:5" ht="13.8">
      <c r="A490" t="str">
        <f>INDEX(Controller!$H$2:$H$11,INT((ROW()-2)/70)+1)</f>
        <v>Scenario 7</v>
      </c>
      <c r="B490" s="2">
        <v>2045</v>
      </c>
      <c r="C490" t="str">
        <f>INDEX(Controller!$J$2:$J$11,MOD(INT((ROW()-2)/7),10)+1)</f>
        <v>Variable 10</v>
      </c>
      <c r="D490" s="4"/>
      <c r="E490" t="str">
        <f>A490&amp;"|"&amp;C490&amp;"|"&amp;B490</f>
        <v>Scenario 7|Variable 10|2045</v>
      </c>
    </row>
    <row r="491" spans="1:5" ht="13.8">
      <c r="A491" t="str">
        <f>INDEX(Controller!$H$2:$H$11,INT((ROW()-2)/70)+1)</f>
        <v>Scenario 7</v>
      </c>
      <c r="B491" s="2">
        <v>2050</v>
      </c>
      <c r="C491" t="str">
        <f>INDEX(Controller!$J$2:$J$11,MOD(INT((ROW()-2)/7),10)+1)</f>
        <v>Variable 10</v>
      </c>
      <c r="D491" s="4"/>
      <c r="E491" t="str">
        <f>A491&amp;"|"&amp;C491&amp;"|"&amp;B491</f>
        <v>Scenario 7|Variable 10|2050</v>
      </c>
    </row>
    <row r="492" spans="1:5" ht="13.8">
      <c r="A492" t="str">
        <f>INDEX(Controller!$H$2:$H$11,INT((ROW()-2)/70)+1)</f>
        <v>Scenario 8</v>
      </c>
      <c r="B492" s="2">
        <v>2022</v>
      </c>
      <c r="C492" t="str">
        <f>INDEX(Controller!$J$2:$J$11,MOD(INT((ROW()-2)/7),10)+1)</f>
        <v>hydrogen_allsect</v>
      </c>
      <c r="D492" s="4"/>
      <c r="E492" t="str">
        <f>A492&amp;"|"&amp;C492&amp;"|"&amp;B492</f>
        <v>Scenario 8|hydrogen_allsect|2022</v>
      </c>
    </row>
    <row r="493" spans="1:5" ht="13.8">
      <c r="A493" t="str">
        <f>INDEX(Controller!$H$2:$H$11,INT((ROW()-2)/70)+1)</f>
        <v>Scenario 8</v>
      </c>
      <c r="B493" s="2">
        <v>2025</v>
      </c>
      <c r="C493" t="str">
        <f>INDEX(Controller!$J$2:$J$11,MOD(INT((ROW()-2)/7),10)+1)</f>
        <v>hydrogen_allsect</v>
      </c>
      <c r="D493" s="4"/>
      <c r="E493" t="str">
        <f>A493&amp;"|"&amp;C493&amp;"|"&amp;B493</f>
        <v>Scenario 8|hydrogen_allsect|2025</v>
      </c>
    </row>
    <row r="494" spans="1:5" ht="13.8">
      <c r="A494" t="str">
        <f>INDEX(Controller!$H$2:$H$11,INT((ROW()-2)/70)+1)</f>
        <v>Scenario 8</v>
      </c>
      <c r="B494" s="2">
        <v>2030</v>
      </c>
      <c r="C494" t="str">
        <f>INDEX(Controller!$J$2:$J$11,MOD(INT((ROW()-2)/7),10)+1)</f>
        <v>hydrogen_allsect</v>
      </c>
      <c r="D494" s="4"/>
      <c r="E494" t="str">
        <f>A494&amp;"|"&amp;C494&amp;"|"&amp;B494</f>
        <v>Scenario 8|hydrogen_allsect|2030</v>
      </c>
    </row>
    <row r="495" spans="1:5" ht="13.8">
      <c r="A495" t="str">
        <f>INDEX(Controller!$H$2:$H$11,INT((ROW()-2)/70)+1)</f>
        <v>Scenario 8</v>
      </c>
      <c r="B495" s="2">
        <v>2035</v>
      </c>
      <c r="C495" t="str">
        <f>INDEX(Controller!$J$2:$J$11,MOD(INT((ROW()-2)/7),10)+1)</f>
        <v>hydrogen_allsect</v>
      </c>
      <c r="D495" s="4"/>
      <c r="E495" t="str">
        <f>A495&amp;"|"&amp;C495&amp;"|"&amp;B495</f>
        <v>Scenario 8|hydrogen_allsect|2035</v>
      </c>
    </row>
    <row r="496" spans="1:5" ht="13.8">
      <c r="A496" t="str">
        <f>INDEX(Controller!$H$2:$H$11,INT((ROW()-2)/70)+1)</f>
        <v>Scenario 8</v>
      </c>
      <c r="B496" s="2">
        <v>2040</v>
      </c>
      <c r="C496" t="str">
        <f>INDEX(Controller!$J$2:$J$11,MOD(INT((ROW()-2)/7),10)+1)</f>
        <v>hydrogen_allsect</v>
      </c>
      <c r="D496" s="4"/>
      <c r="E496" t="str">
        <f>A496&amp;"|"&amp;C496&amp;"|"&amp;B496</f>
        <v>Scenario 8|hydrogen_allsect|2040</v>
      </c>
    </row>
    <row r="497" spans="1:5" ht="13.8">
      <c r="A497" t="str">
        <f>INDEX(Controller!$H$2:$H$11,INT((ROW()-2)/70)+1)</f>
        <v>Scenario 8</v>
      </c>
      <c r="B497" s="2">
        <v>2045</v>
      </c>
      <c r="C497" t="str">
        <f>INDEX(Controller!$J$2:$J$11,MOD(INT((ROW()-2)/7),10)+1)</f>
        <v>hydrogen_allsect</v>
      </c>
      <c r="D497" s="4"/>
      <c r="E497" t="str">
        <f>A497&amp;"|"&amp;C497&amp;"|"&amp;B497</f>
        <v>Scenario 8|hydrogen_allsect|2045</v>
      </c>
    </row>
    <row r="498" spans="1:5" ht="13.8">
      <c r="A498" t="str">
        <f>INDEX(Controller!$H$2:$H$11,INT((ROW()-2)/70)+1)</f>
        <v>Scenario 8</v>
      </c>
      <c r="B498" s="2">
        <v>2050</v>
      </c>
      <c r="C498" t="str">
        <f>INDEX(Controller!$J$2:$J$11,MOD(INT((ROW()-2)/7),10)+1)</f>
        <v>hydrogen_allsect</v>
      </c>
      <c r="D498" s="4"/>
      <c r="E498" t="str">
        <f>A498&amp;"|"&amp;C498&amp;"|"&amp;B498</f>
        <v>Scenario 8|hydrogen_allsect|2050</v>
      </c>
    </row>
    <row r="499" spans="1:5" ht="13.8">
      <c r="A499" t="str">
        <f>INDEX(Controller!$H$2:$H$11,INT((ROW()-2)/70)+1)</f>
        <v>Scenario 8</v>
      </c>
      <c r="B499" s="2">
        <v>2022</v>
      </c>
      <c r="C499" t="str">
        <f>INDEX(Controller!$J$2:$J$11,MOD(INT((ROW()-2)/7),10)+1)</f>
        <v>elc_industry</v>
      </c>
      <c r="D499" s="4"/>
      <c r="E499" t="str">
        <f>A499&amp;"|"&amp;C499&amp;"|"&amp;B499</f>
        <v>Scenario 8|elc_industry|2022</v>
      </c>
    </row>
    <row r="500" spans="1:5" ht="13.8">
      <c r="A500" t="str">
        <f>INDEX(Controller!$H$2:$H$11,INT((ROW()-2)/70)+1)</f>
        <v>Scenario 8</v>
      </c>
      <c r="B500" s="2">
        <v>2025</v>
      </c>
      <c r="C500" t="str">
        <f>INDEX(Controller!$J$2:$J$11,MOD(INT((ROW()-2)/7),10)+1)</f>
        <v>elc_industry</v>
      </c>
      <c r="D500" s="4"/>
      <c r="E500" t="str">
        <f>A500&amp;"|"&amp;C500&amp;"|"&amp;B500</f>
        <v>Scenario 8|elc_industry|2025</v>
      </c>
    </row>
    <row r="501" spans="1:5" ht="13.8">
      <c r="A501" t="str">
        <f>INDEX(Controller!$H$2:$H$11,INT((ROW()-2)/70)+1)</f>
        <v>Scenario 8</v>
      </c>
      <c r="B501" s="2">
        <v>2030</v>
      </c>
      <c r="C501" t="str">
        <f>INDEX(Controller!$J$2:$J$11,MOD(INT((ROW()-2)/7),10)+1)</f>
        <v>elc_industry</v>
      </c>
      <c r="D501" s="4"/>
      <c r="E501" t="str">
        <f>A501&amp;"|"&amp;C501&amp;"|"&amp;B501</f>
        <v>Scenario 8|elc_industry|2030</v>
      </c>
    </row>
    <row r="502" spans="1:5" ht="13.8">
      <c r="A502" t="str">
        <f>INDEX(Controller!$H$2:$H$11,INT((ROW()-2)/70)+1)</f>
        <v>Scenario 8</v>
      </c>
      <c r="B502" s="2">
        <v>2035</v>
      </c>
      <c r="C502" t="str">
        <f>INDEX(Controller!$J$2:$J$11,MOD(INT((ROW()-2)/7),10)+1)</f>
        <v>elc_industry</v>
      </c>
      <c r="D502" s="4"/>
      <c r="E502" t="str">
        <f>A502&amp;"|"&amp;C502&amp;"|"&amp;B502</f>
        <v>Scenario 8|elc_industry|2035</v>
      </c>
    </row>
    <row r="503" spans="1:5" ht="13.8">
      <c r="A503" t="str">
        <f>INDEX(Controller!$H$2:$H$11,INT((ROW()-2)/70)+1)</f>
        <v>Scenario 8</v>
      </c>
      <c r="B503" s="2">
        <v>2040</v>
      </c>
      <c r="C503" t="str">
        <f>INDEX(Controller!$J$2:$J$11,MOD(INT((ROW()-2)/7),10)+1)</f>
        <v>elc_industry</v>
      </c>
      <c r="D503" s="4"/>
      <c r="E503" t="str">
        <f>A503&amp;"|"&amp;C503&amp;"|"&amp;B503</f>
        <v>Scenario 8|elc_industry|2040</v>
      </c>
    </row>
    <row r="504" spans="1:5" ht="13.8">
      <c r="A504" t="str">
        <f>INDEX(Controller!$H$2:$H$11,INT((ROW()-2)/70)+1)</f>
        <v>Scenario 8</v>
      </c>
      <c r="B504" s="2">
        <v>2045</v>
      </c>
      <c r="C504" t="str">
        <f>INDEX(Controller!$J$2:$J$11,MOD(INT((ROW()-2)/7),10)+1)</f>
        <v>elc_industry</v>
      </c>
      <c r="D504" s="4"/>
      <c r="E504" t="str">
        <f>A504&amp;"|"&amp;C504&amp;"|"&amp;B504</f>
        <v>Scenario 8|elc_industry|2045</v>
      </c>
    </row>
    <row r="505" spans="1:5" ht="13.8">
      <c r="A505" t="str">
        <f>INDEX(Controller!$H$2:$H$11,INT((ROW()-2)/70)+1)</f>
        <v>Scenario 8</v>
      </c>
      <c r="B505" s="2">
        <v>2050</v>
      </c>
      <c r="C505" t="str">
        <f>INDEX(Controller!$J$2:$J$11,MOD(INT((ROW()-2)/7),10)+1)</f>
        <v>elc_industry</v>
      </c>
      <c r="D505" s="4"/>
      <c r="E505" t="str">
        <f>A505&amp;"|"&amp;C505&amp;"|"&amp;B505</f>
        <v>Scenario 8|elc_industry|2050</v>
      </c>
    </row>
    <row r="506" spans="1:5" ht="13.8">
      <c r="A506" t="str">
        <f>INDEX(Controller!$H$2:$H$11,INT((ROW()-2)/70)+1)</f>
        <v>Scenario 8</v>
      </c>
      <c r="B506" s="2">
        <v>2022</v>
      </c>
      <c r="C506" t="str">
        <f>INDEX(Controller!$J$2:$J$11,MOD(INT((ROW()-2)/7),10)+1)</f>
        <v>elc_buildings</v>
      </c>
      <c r="D506" s="4"/>
      <c r="E506" t="str">
        <f>A506&amp;"|"&amp;C506&amp;"|"&amp;B506</f>
        <v>Scenario 8|elc_buildings|2022</v>
      </c>
    </row>
    <row r="507" spans="1:5" ht="13.8">
      <c r="A507" t="str">
        <f>INDEX(Controller!$H$2:$H$11,INT((ROW()-2)/70)+1)</f>
        <v>Scenario 8</v>
      </c>
      <c r="B507" s="2">
        <v>2025</v>
      </c>
      <c r="C507" t="str">
        <f>INDEX(Controller!$J$2:$J$11,MOD(INT((ROW()-2)/7),10)+1)</f>
        <v>elc_buildings</v>
      </c>
      <c r="D507" s="4"/>
      <c r="E507" t="str">
        <f>A507&amp;"|"&amp;C507&amp;"|"&amp;B507</f>
        <v>Scenario 8|elc_buildings|2025</v>
      </c>
    </row>
    <row r="508" spans="1:5" ht="13.8">
      <c r="A508" t="str">
        <f>INDEX(Controller!$H$2:$H$11,INT((ROW()-2)/70)+1)</f>
        <v>Scenario 8</v>
      </c>
      <c r="B508" s="2">
        <v>2030</v>
      </c>
      <c r="C508" t="str">
        <f>INDEX(Controller!$J$2:$J$11,MOD(INT((ROW()-2)/7),10)+1)</f>
        <v>elc_buildings</v>
      </c>
      <c r="D508" s="4"/>
      <c r="E508" t="str">
        <f>A508&amp;"|"&amp;C508&amp;"|"&amp;B508</f>
        <v>Scenario 8|elc_buildings|2030</v>
      </c>
    </row>
    <row r="509" spans="1:5" ht="13.8">
      <c r="A509" t="str">
        <f>INDEX(Controller!$H$2:$H$11,INT((ROW()-2)/70)+1)</f>
        <v>Scenario 8</v>
      </c>
      <c r="B509" s="2">
        <v>2035</v>
      </c>
      <c r="C509" t="str">
        <f>INDEX(Controller!$J$2:$J$11,MOD(INT((ROW()-2)/7),10)+1)</f>
        <v>elc_buildings</v>
      </c>
      <c r="D509" s="4"/>
      <c r="E509" t="str">
        <f>A509&amp;"|"&amp;C509&amp;"|"&amp;B509</f>
        <v>Scenario 8|elc_buildings|2035</v>
      </c>
    </row>
    <row r="510" spans="1:5" ht="13.8">
      <c r="A510" t="str">
        <f>INDEX(Controller!$H$2:$H$11,INT((ROW()-2)/70)+1)</f>
        <v>Scenario 8</v>
      </c>
      <c r="B510" s="2">
        <v>2040</v>
      </c>
      <c r="C510" t="str">
        <f>INDEX(Controller!$J$2:$J$11,MOD(INT((ROW()-2)/7),10)+1)</f>
        <v>elc_buildings</v>
      </c>
      <c r="D510" s="4"/>
      <c r="E510" t="str">
        <f>A510&amp;"|"&amp;C510&amp;"|"&amp;B510</f>
        <v>Scenario 8|elc_buildings|2040</v>
      </c>
    </row>
    <row r="511" spans="1:5" ht="13.8">
      <c r="A511" t="str">
        <f>INDEX(Controller!$H$2:$H$11,INT((ROW()-2)/70)+1)</f>
        <v>Scenario 8</v>
      </c>
      <c r="B511" s="2">
        <v>2045</v>
      </c>
      <c r="C511" t="str">
        <f>INDEX(Controller!$J$2:$J$11,MOD(INT((ROW()-2)/7),10)+1)</f>
        <v>elc_buildings</v>
      </c>
      <c r="D511" s="4"/>
      <c r="E511" t="str">
        <f>A511&amp;"|"&amp;C511&amp;"|"&amp;B511</f>
        <v>Scenario 8|elc_buildings|2045</v>
      </c>
    </row>
    <row r="512" spans="1:5" ht="13.8">
      <c r="A512" t="str">
        <f>INDEX(Controller!$H$2:$H$11,INT((ROW()-2)/70)+1)</f>
        <v>Scenario 8</v>
      </c>
      <c r="B512" s="2">
        <v>2050</v>
      </c>
      <c r="C512" t="str">
        <f>INDEX(Controller!$J$2:$J$11,MOD(INT((ROW()-2)/7),10)+1)</f>
        <v>elc_buildings</v>
      </c>
      <c r="D512" s="4"/>
      <c r="E512" t="str">
        <f>A512&amp;"|"&amp;C512&amp;"|"&amp;B512</f>
        <v>Scenario 8|elc_buildings|2050</v>
      </c>
    </row>
    <row r="513" spans="1:5" ht="13.8">
      <c r="A513" t="str">
        <f>INDEX(Controller!$H$2:$H$11,INT((ROW()-2)/70)+1)</f>
        <v>Scenario 8</v>
      </c>
      <c r="B513" s="2">
        <v>2022</v>
      </c>
      <c r="C513" t="str">
        <f>INDEX(Controller!$J$2:$J$11,MOD(INT((ROW()-2)/7),10)+1)</f>
        <v>elc_transport</v>
      </c>
      <c r="D513" s="4"/>
      <c r="E513" t="str">
        <f>A513&amp;"|"&amp;C513&amp;"|"&amp;B513</f>
        <v>Scenario 8|elc_transport|2022</v>
      </c>
    </row>
    <row r="514" spans="1:5" ht="13.8">
      <c r="A514" t="str">
        <f>INDEX(Controller!$H$2:$H$11,INT((ROW()-2)/70)+1)</f>
        <v>Scenario 8</v>
      </c>
      <c r="B514" s="2">
        <v>2025</v>
      </c>
      <c r="C514" t="str">
        <f>INDEX(Controller!$J$2:$J$11,MOD(INT((ROW()-2)/7),10)+1)</f>
        <v>elc_transport</v>
      </c>
      <c r="D514" s="4"/>
      <c r="E514" t="str">
        <f>A514&amp;"|"&amp;C514&amp;"|"&amp;B514</f>
        <v>Scenario 8|elc_transport|2025</v>
      </c>
    </row>
    <row r="515" spans="1:5" ht="13.8">
      <c r="A515" t="str">
        <f>INDEX(Controller!$H$2:$H$11,INT((ROW()-2)/70)+1)</f>
        <v>Scenario 8</v>
      </c>
      <c r="B515" s="2">
        <v>2030</v>
      </c>
      <c r="C515" t="str">
        <f>INDEX(Controller!$J$2:$J$11,MOD(INT((ROW()-2)/7),10)+1)</f>
        <v>elc_transport</v>
      </c>
      <c r="D515" s="4"/>
      <c r="E515" t="str">
        <f>A515&amp;"|"&amp;C515&amp;"|"&amp;B515</f>
        <v>Scenario 8|elc_transport|2030</v>
      </c>
    </row>
    <row r="516" spans="1:5" ht="13.8">
      <c r="A516" t="str">
        <f>INDEX(Controller!$H$2:$H$11,INT((ROW()-2)/70)+1)</f>
        <v>Scenario 8</v>
      </c>
      <c r="B516" s="2">
        <v>2035</v>
      </c>
      <c r="C516" t="str">
        <f>INDEX(Controller!$J$2:$J$11,MOD(INT((ROW()-2)/7),10)+1)</f>
        <v>elc_transport</v>
      </c>
      <c r="D516" s="4"/>
      <c r="E516" t="str">
        <f>A516&amp;"|"&amp;C516&amp;"|"&amp;B516</f>
        <v>Scenario 8|elc_transport|2035</v>
      </c>
    </row>
    <row r="517" spans="1:5" ht="13.8">
      <c r="A517" t="str">
        <f>INDEX(Controller!$H$2:$H$11,INT((ROW()-2)/70)+1)</f>
        <v>Scenario 8</v>
      </c>
      <c r="B517" s="2">
        <v>2040</v>
      </c>
      <c r="C517" t="str">
        <f>INDEX(Controller!$J$2:$J$11,MOD(INT((ROW()-2)/7),10)+1)</f>
        <v>elc_transport</v>
      </c>
      <c r="D517" s="4"/>
      <c r="E517" t="str">
        <f>A517&amp;"|"&amp;C517&amp;"|"&amp;B517</f>
        <v>Scenario 8|elc_transport|2040</v>
      </c>
    </row>
    <row r="518" spans="1:5" ht="13.8">
      <c r="A518" t="str">
        <f>INDEX(Controller!$H$2:$H$11,INT((ROW()-2)/70)+1)</f>
        <v>Scenario 8</v>
      </c>
      <c r="B518" s="2">
        <v>2045</v>
      </c>
      <c r="C518" t="str">
        <f>INDEX(Controller!$J$2:$J$11,MOD(INT((ROW()-2)/7),10)+1)</f>
        <v>elc_transport</v>
      </c>
      <c r="D518" s="4"/>
      <c r="E518" t="str">
        <f>A518&amp;"|"&amp;C518&amp;"|"&amp;B518</f>
        <v>Scenario 8|elc_transport|2045</v>
      </c>
    </row>
    <row r="519" spans="1:5" ht="13.8">
      <c r="A519" t="str">
        <f>INDEX(Controller!$H$2:$H$11,INT((ROW()-2)/70)+1)</f>
        <v>Scenario 8</v>
      </c>
      <c r="B519" s="2">
        <v>2050</v>
      </c>
      <c r="C519" t="str">
        <f>INDEX(Controller!$J$2:$J$11,MOD(INT((ROW()-2)/7),10)+1)</f>
        <v>elc_transport</v>
      </c>
      <c r="D519" s="4"/>
      <c r="E519" t="str">
        <f>A519&amp;"|"&amp;C519&amp;"|"&amp;B519</f>
        <v>Scenario 8|elc_transport|2050</v>
      </c>
    </row>
    <row r="520" spans="1:5" ht="13.8">
      <c r="A520" t="str">
        <f>INDEX(Controller!$H$2:$H$11,INT((ROW()-2)/70)+1)</f>
        <v>Scenario 8</v>
      </c>
      <c r="B520" s="2">
        <v>2022</v>
      </c>
      <c r="C520" t="str">
        <f>INDEX(Controller!$J$2:$J$11,MOD(INT((ROW()-2)/7),10)+1)</f>
        <v>elc_roadtransport</v>
      </c>
      <c r="D520" s="4"/>
      <c r="E520" t="str">
        <f>A520&amp;"|"&amp;C520&amp;"|"&amp;B520</f>
        <v>Scenario 8|elc_roadtransport|2022</v>
      </c>
    </row>
    <row r="521" spans="1:5" ht="13.8">
      <c r="A521" t="str">
        <f>INDEX(Controller!$H$2:$H$11,INT((ROW()-2)/70)+1)</f>
        <v>Scenario 8</v>
      </c>
      <c r="B521" s="2">
        <v>2025</v>
      </c>
      <c r="C521" t="str">
        <f>INDEX(Controller!$J$2:$J$11,MOD(INT((ROW()-2)/7),10)+1)</f>
        <v>elc_roadtransport</v>
      </c>
      <c r="D521" s="4"/>
      <c r="E521" t="str">
        <f>A521&amp;"|"&amp;C521&amp;"|"&amp;B521</f>
        <v>Scenario 8|elc_roadtransport|2025</v>
      </c>
    </row>
    <row r="522" spans="1:5" ht="13.8">
      <c r="A522" t="str">
        <f>INDEX(Controller!$H$2:$H$11,INT((ROW()-2)/70)+1)</f>
        <v>Scenario 8</v>
      </c>
      <c r="B522" s="2">
        <v>2030</v>
      </c>
      <c r="C522" t="str">
        <f>INDEX(Controller!$J$2:$J$11,MOD(INT((ROW()-2)/7),10)+1)</f>
        <v>elc_roadtransport</v>
      </c>
      <c r="D522" s="4"/>
      <c r="E522" t="str">
        <f>A522&amp;"|"&amp;C522&amp;"|"&amp;B522</f>
        <v>Scenario 8|elc_roadtransport|2030</v>
      </c>
    </row>
    <row r="523" spans="1:5" ht="13.8">
      <c r="A523" t="str">
        <f>INDEX(Controller!$H$2:$H$11,INT((ROW()-2)/70)+1)</f>
        <v>Scenario 8</v>
      </c>
      <c r="B523" s="2">
        <v>2035</v>
      </c>
      <c r="C523" t="str">
        <f>INDEX(Controller!$J$2:$J$11,MOD(INT((ROW()-2)/7),10)+1)</f>
        <v>elc_roadtransport</v>
      </c>
      <c r="D523" s="4"/>
      <c r="E523" t="str">
        <f>A523&amp;"|"&amp;C523&amp;"|"&amp;B523</f>
        <v>Scenario 8|elc_roadtransport|2035</v>
      </c>
    </row>
    <row r="524" spans="1:5" ht="13.8">
      <c r="A524" t="str">
        <f>INDEX(Controller!$H$2:$H$11,INT((ROW()-2)/70)+1)</f>
        <v>Scenario 8</v>
      </c>
      <c r="B524" s="2">
        <v>2040</v>
      </c>
      <c r="C524" t="str">
        <f>INDEX(Controller!$J$2:$J$11,MOD(INT((ROW()-2)/7),10)+1)</f>
        <v>elc_roadtransport</v>
      </c>
      <c r="D524" s="4"/>
      <c r="E524" t="str">
        <f>A524&amp;"|"&amp;C524&amp;"|"&amp;B524</f>
        <v>Scenario 8|elc_roadtransport|2040</v>
      </c>
    </row>
    <row r="525" spans="1:5" ht="13.8">
      <c r="A525" t="str">
        <f>INDEX(Controller!$H$2:$H$11,INT((ROW()-2)/70)+1)</f>
        <v>Scenario 8</v>
      </c>
      <c r="B525" s="2">
        <v>2045</v>
      </c>
      <c r="C525" t="str">
        <f>INDEX(Controller!$J$2:$J$11,MOD(INT((ROW()-2)/7),10)+1)</f>
        <v>elc_roadtransport</v>
      </c>
      <c r="D525" s="4"/>
      <c r="E525" t="str">
        <f>A525&amp;"|"&amp;C525&amp;"|"&amp;B525</f>
        <v>Scenario 8|elc_roadtransport|2045</v>
      </c>
    </row>
    <row r="526" spans="1:5" ht="13.8">
      <c r="A526" t="str">
        <f>INDEX(Controller!$H$2:$H$11,INT((ROW()-2)/70)+1)</f>
        <v>Scenario 8</v>
      </c>
      <c r="B526" s="2">
        <v>2050</v>
      </c>
      <c r="C526" t="str">
        <f>INDEX(Controller!$J$2:$J$11,MOD(INT((ROW()-2)/7),10)+1)</f>
        <v>elc_roadtransport</v>
      </c>
      <c r="D526" s="4"/>
      <c r="E526" t="str">
        <f>A526&amp;"|"&amp;C526&amp;"|"&amp;B526</f>
        <v>Scenario 8|elc_roadtransport|2050</v>
      </c>
    </row>
    <row r="527" spans="1:5" ht="13.8">
      <c r="A527" t="str">
        <f>INDEX(Controller!$H$2:$H$11,INT((ROW()-2)/70)+1)</f>
        <v>Scenario 8</v>
      </c>
      <c r="B527" s="2">
        <v>2022</v>
      </c>
      <c r="C527" t="str">
        <f>INDEX(Controller!$J$2:$J$11,MOD(INT((ROW()-2)/7),10)+1)</f>
        <v>het_industry</v>
      </c>
      <c r="D527" s="4"/>
      <c r="E527" t="str">
        <f>A527&amp;"|"&amp;C527&amp;"|"&amp;B527</f>
        <v>Scenario 8|het_industry|2022</v>
      </c>
    </row>
    <row r="528" spans="1:5" ht="13.8">
      <c r="A528" t="str">
        <f>INDEX(Controller!$H$2:$H$11,INT((ROW()-2)/70)+1)</f>
        <v>Scenario 8</v>
      </c>
      <c r="B528" s="2">
        <v>2025</v>
      </c>
      <c r="C528" t="str">
        <f>INDEX(Controller!$J$2:$J$11,MOD(INT((ROW()-2)/7),10)+1)</f>
        <v>het_industry</v>
      </c>
      <c r="D528" s="4"/>
      <c r="E528" t="str">
        <f>A528&amp;"|"&amp;C528&amp;"|"&amp;B528</f>
        <v>Scenario 8|het_industry|2025</v>
      </c>
    </row>
    <row r="529" spans="1:5" ht="13.8">
      <c r="A529" t="str">
        <f>INDEX(Controller!$H$2:$H$11,INT((ROW()-2)/70)+1)</f>
        <v>Scenario 8</v>
      </c>
      <c r="B529" s="2">
        <v>2030</v>
      </c>
      <c r="C529" t="str">
        <f>INDEX(Controller!$J$2:$J$11,MOD(INT((ROW()-2)/7),10)+1)</f>
        <v>het_industry</v>
      </c>
      <c r="D529" s="4"/>
      <c r="E529" t="str">
        <f>A529&amp;"|"&amp;C529&amp;"|"&amp;B529</f>
        <v>Scenario 8|het_industry|2030</v>
      </c>
    </row>
    <row r="530" spans="1:5" ht="13.8">
      <c r="A530" t="str">
        <f>INDEX(Controller!$H$2:$H$11,INT((ROW()-2)/70)+1)</f>
        <v>Scenario 8</v>
      </c>
      <c r="B530" s="2">
        <v>2035</v>
      </c>
      <c r="C530" t="str">
        <f>INDEX(Controller!$J$2:$J$11,MOD(INT((ROW()-2)/7),10)+1)</f>
        <v>het_industry</v>
      </c>
      <c r="D530" s="4"/>
      <c r="E530" t="str">
        <f>A530&amp;"|"&amp;C530&amp;"|"&amp;B530</f>
        <v>Scenario 8|het_industry|2035</v>
      </c>
    </row>
    <row r="531" spans="1:5" ht="13.8">
      <c r="A531" t="str">
        <f>INDEX(Controller!$H$2:$H$11,INT((ROW()-2)/70)+1)</f>
        <v>Scenario 8</v>
      </c>
      <c r="B531" s="2">
        <v>2040</v>
      </c>
      <c r="C531" t="str">
        <f>INDEX(Controller!$J$2:$J$11,MOD(INT((ROW()-2)/7),10)+1)</f>
        <v>het_industry</v>
      </c>
      <c r="D531" s="4"/>
      <c r="E531" t="str">
        <f>A531&amp;"|"&amp;C531&amp;"|"&amp;B531</f>
        <v>Scenario 8|het_industry|2040</v>
      </c>
    </row>
    <row r="532" spans="1:5" ht="13.8">
      <c r="A532" t="str">
        <f>INDEX(Controller!$H$2:$H$11,INT((ROW()-2)/70)+1)</f>
        <v>Scenario 8</v>
      </c>
      <c r="B532" s="2">
        <v>2045</v>
      </c>
      <c r="C532" t="str">
        <f>INDEX(Controller!$J$2:$J$11,MOD(INT((ROW()-2)/7),10)+1)</f>
        <v>het_industry</v>
      </c>
      <c r="D532" s="4"/>
      <c r="E532" t="str">
        <f>A532&amp;"|"&amp;C532&amp;"|"&amp;B532</f>
        <v>Scenario 8|het_industry|2045</v>
      </c>
    </row>
    <row r="533" spans="1:5" ht="13.8">
      <c r="A533" t="str">
        <f>INDEX(Controller!$H$2:$H$11,INT((ROW()-2)/70)+1)</f>
        <v>Scenario 8</v>
      </c>
      <c r="B533" s="2">
        <v>2050</v>
      </c>
      <c r="C533" t="str">
        <f>INDEX(Controller!$J$2:$J$11,MOD(INT((ROW()-2)/7),10)+1)</f>
        <v>het_industry</v>
      </c>
      <c r="D533" s="4"/>
      <c r="E533" t="str">
        <f>A533&amp;"|"&amp;C533&amp;"|"&amp;B533</f>
        <v>Scenario 8|het_industry|2050</v>
      </c>
    </row>
    <row r="534" spans="1:5" ht="13.8">
      <c r="A534" t="str">
        <f>INDEX(Controller!$H$2:$H$11,INT((ROW()-2)/70)+1)</f>
        <v>Scenario 8</v>
      </c>
      <c r="B534" s="2">
        <v>2022</v>
      </c>
      <c r="C534" t="str">
        <f>INDEX(Controller!$J$2:$J$11,MOD(INT((ROW()-2)/7),10)+1)</f>
        <v>het_buildings</v>
      </c>
      <c r="D534" s="4"/>
      <c r="E534" t="str">
        <f>A534&amp;"|"&amp;C534&amp;"|"&amp;B534</f>
        <v>Scenario 8|het_buildings|2022</v>
      </c>
    </row>
    <row r="535" spans="1:5" ht="13.8">
      <c r="A535" t="str">
        <f>INDEX(Controller!$H$2:$H$11,INT((ROW()-2)/70)+1)</f>
        <v>Scenario 8</v>
      </c>
      <c r="B535" s="2">
        <v>2025</v>
      </c>
      <c r="C535" t="str">
        <f>INDEX(Controller!$J$2:$J$11,MOD(INT((ROW()-2)/7),10)+1)</f>
        <v>het_buildings</v>
      </c>
      <c r="D535" s="4"/>
      <c r="E535" t="str">
        <f>A535&amp;"|"&amp;C535&amp;"|"&amp;B535</f>
        <v>Scenario 8|het_buildings|2025</v>
      </c>
    </row>
    <row r="536" spans="1:5" ht="13.8">
      <c r="A536" t="str">
        <f>INDEX(Controller!$H$2:$H$11,INT((ROW()-2)/70)+1)</f>
        <v>Scenario 8</v>
      </c>
      <c r="B536" s="2">
        <v>2030</v>
      </c>
      <c r="C536" t="str">
        <f>INDEX(Controller!$J$2:$J$11,MOD(INT((ROW()-2)/7),10)+1)</f>
        <v>het_buildings</v>
      </c>
      <c r="D536" s="4"/>
      <c r="E536" t="str">
        <f>A536&amp;"|"&amp;C536&amp;"|"&amp;B536</f>
        <v>Scenario 8|het_buildings|2030</v>
      </c>
    </row>
    <row r="537" spans="1:5" ht="13.8">
      <c r="A537" t="str">
        <f>INDEX(Controller!$H$2:$H$11,INT((ROW()-2)/70)+1)</f>
        <v>Scenario 8</v>
      </c>
      <c r="B537" s="2">
        <v>2035</v>
      </c>
      <c r="C537" t="str">
        <f>INDEX(Controller!$J$2:$J$11,MOD(INT((ROW()-2)/7),10)+1)</f>
        <v>het_buildings</v>
      </c>
      <c r="D537" s="4"/>
      <c r="E537" t="str">
        <f>A537&amp;"|"&amp;C537&amp;"|"&amp;B537</f>
        <v>Scenario 8|het_buildings|2035</v>
      </c>
    </row>
    <row r="538" spans="1:5" ht="13.8">
      <c r="A538" t="str">
        <f>INDEX(Controller!$H$2:$H$11,INT((ROW()-2)/70)+1)</f>
        <v>Scenario 8</v>
      </c>
      <c r="B538" s="2">
        <v>2040</v>
      </c>
      <c r="C538" t="str">
        <f>INDEX(Controller!$J$2:$J$11,MOD(INT((ROW()-2)/7),10)+1)</f>
        <v>het_buildings</v>
      </c>
      <c r="D538" s="4"/>
      <c r="E538" t="str">
        <f>A538&amp;"|"&amp;C538&amp;"|"&amp;B538</f>
        <v>Scenario 8|het_buildings|2040</v>
      </c>
    </row>
    <row r="539" spans="1:5" ht="13.8">
      <c r="A539" t="str">
        <f>INDEX(Controller!$H$2:$H$11,INT((ROW()-2)/70)+1)</f>
        <v>Scenario 8</v>
      </c>
      <c r="B539" s="2">
        <v>2045</v>
      </c>
      <c r="C539" t="str">
        <f>INDEX(Controller!$J$2:$J$11,MOD(INT((ROW()-2)/7),10)+1)</f>
        <v>het_buildings</v>
      </c>
      <c r="D539" s="4"/>
      <c r="E539" t="str">
        <f>A539&amp;"|"&amp;C539&amp;"|"&amp;B539</f>
        <v>Scenario 8|het_buildings|2045</v>
      </c>
    </row>
    <row r="540" spans="1:5" ht="13.8">
      <c r="A540" t="str">
        <f>INDEX(Controller!$H$2:$H$11,INT((ROW()-2)/70)+1)</f>
        <v>Scenario 8</v>
      </c>
      <c r="B540" s="2">
        <v>2050</v>
      </c>
      <c r="C540" t="str">
        <f>INDEX(Controller!$J$2:$J$11,MOD(INT((ROW()-2)/7),10)+1)</f>
        <v>het_buildings</v>
      </c>
      <c r="D540" s="4"/>
      <c r="E540" t="str">
        <f>A540&amp;"|"&amp;C540&amp;"|"&amp;B540</f>
        <v>Scenario 8|het_buildings|2050</v>
      </c>
    </row>
    <row r="541" spans="1:5" ht="13.8">
      <c r="A541" t="str">
        <f>INDEX(Controller!$H$2:$H$11,INT((ROW()-2)/70)+1)</f>
        <v>Scenario 8</v>
      </c>
      <c r="B541" s="2">
        <v>2022</v>
      </c>
      <c r="C541" t="str">
        <f>INDEX(Controller!$J$2:$J$11,MOD(INT((ROW()-2)/7),10)+1)</f>
        <v>co2net</v>
      </c>
      <c r="D541" s="4"/>
      <c r="E541" t="str">
        <f>A541&amp;"|"&amp;C541&amp;"|"&amp;B541</f>
        <v>Scenario 8|co2net|2022</v>
      </c>
    </row>
    <row r="542" spans="1:5" ht="13.8">
      <c r="A542" t="str">
        <f>INDEX(Controller!$H$2:$H$11,INT((ROW()-2)/70)+1)</f>
        <v>Scenario 8</v>
      </c>
      <c r="B542" s="2">
        <v>2025</v>
      </c>
      <c r="C542" t="str">
        <f>INDEX(Controller!$J$2:$J$11,MOD(INT((ROW()-2)/7),10)+1)</f>
        <v>co2net</v>
      </c>
      <c r="D542" s="4"/>
      <c r="E542" t="str">
        <f>A542&amp;"|"&amp;C542&amp;"|"&amp;B542</f>
        <v>Scenario 8|co2net|2025</v>
      </c>
    </row>
    <row r="543" spans="1:5" ht="13.8">
      <c r="A543" t="str">
        <f>INDEX(Controller!$H$2:$H$11,INT((ROW()-2)/70)+1)</f>
        <v>Scenario 8</v>
      </c>
      <c r="B543" s="2">
        <v>2030</v>
      </c>
      <c r="C543" t="str">
        <f>INDEX(Controller!$J$2:$J$11,MOD(INT((ROW()-2)/7),10)+1)</f>
        <v>co2net</v>
      </c>
      <c r="D543" s="4"/>
      <c r="E543" t="str">
        <f>A543&amp;"|"&amp;C543&amp;"|"&amp;B543</f>
        <v>Scenario 8|co2net|2030</v>
      </c>
    </row>
    <row r="544" spans="1:5" ht="13.8">
      <c r="A544" t="str">
        <f>INDEX(Controller!$H$2:$H$11,INT((ROW()-2)/70)+1)</f>
        <v>Scenario 8</v>
      </c>
      <c r="B544" s="2">
        <v>2035</v>
      </c>
      <c r="C544" t="str">
        <f>INDEX(Controller!$J$2:$J$11,MOD(INT((ROW()-2)/7),10)+1)</f>
        <v>co2net</v>
      </c>
      <c r="D544" s="4"/>
      <c r="E544" t="str">
        <f>A544&amp;"|"&amp;C544&amp;"|"&amp;B544</f>
        <v>Scenario 8|co2net|2035</v>
      </c>
    </row>
    <row r="545" spans="1:5" ht="13.8">
      <c r="A545" t="str">
        <f>INDEX(Controller!$H$2:$H$11,INT((ROW()-2)/70)+1)</f>
        <v>Scenario 8</v>
      </c>
      <c r="B545" s="2">
        <v>2040</v>
      </c>
      <c r="C545" t="str">
        <f>INDEX(Controller!$J$2:$J$11,MOD(INT((ROW()-2)/7),10)+1)</f>
        <v>co2net</v>
      </c>
      <c r="D545" s="4"/>
      <c r="E545" t="str">
        <f>A545&amp;"|"&amp;C545&amp;"|"&amp;B545</f>
        <v>Scenario 8|co2net|2040</v>
      </c>
    </row>
    <row r="546" spans="1:5" ht="13.8">
      <c r="A546" t="str">
        <f>INDEX(Controller!$H$2:$H$11,INT((ROW()-2)/70)+1)</f>
        <v>Scenario 8</v>
      </c>
      <c r="B546" s="2">
        <v>2045</v>
      </c>
      <c r="C546" t="str">
        <f>INDEX(Controller!$J$2:$J$11,MOD(INT((ROW()-2)/7),10)+1)</f>
        <v>co2net</v>
      </c>
      <c r="D546" s="4"/>
      <c r="E546" t="str">
        <f>A546&amp;"|"&amp;C546&amp;"|"&amp;B546</f>
        <v>Scenario 8|co2net|2045</v>
      </c>
    </row>
    <row r="547" spans="1:5" ht="13.8">
      <c r="A547" t="str">
        <f>INDEX(Controller!$H$2:$H$11,INT((ROW()-2)/70)+1)</f>
        <v>Scenario 8</v>
      </c>
      <c r="B547" s="2">
        <v>2050</v>
      </c>
      <c r="C547" t="str">
        <f>INDEX(Controller!$J$2:$J$11,MOD(INT((ROW()-2)/7),10)+1)</f>
        <v>co2net</v>
      </c>
      <c r="D547" s="4"/>
      <c r="E547" t="str">
        <f>A547&amp;"|"&amp;C547&amp;"|"&amp;B547</f>
        <v>Scenario 8|co2net|2050</v>
      </c>
    </row>
    <row r="548" spans="1:5" ht="13.8">
      <c r="A548" t="str">
        <f>INDEX(Controller!$H$2:$H$11,INT((ROW()-2)/70)+1)</f>
        <v>Scenario 8</v>
      </c>
      <c r="B548" s="2">
        <v>2022</v>
      </c>
      <c r="C548" t="str">
        <f>INDEX(Controller!$J$2:$J$11,MOD(INT((ROW()-2)/7),10)+1)</f>
        <v>Variable 9</v>
      </c>
      <c r="D548" s="4"/>
      <c r="E548" t="str">
        <f>A548&amp;"|"&amp;C548&amp;"|"&amp;B548</f>
        <v>Scenario 8|Variable 9|2022</v>
      </c>
    </row>
    <row r="549" spans="1:5" ht="13.8">
      <c r="A549" t="str">
        <f>INDEX(Controller!$H$2:$H$11,INT((ROW()-2)/70)+1)</f>
        <v>Scenario 8</v>
      </c>
      <c r="B549" s="2">
        <v>2025</v>
      </c>
      <c r="C549" t="str">
        <f>INDEX(Controller!$J$2:$J$11,MOD(INT((ROW()-2)/7),10)+1)</f>
        <v>Variable 9</v>
      </c>
      <c r="D549" s="4"/>
      <c r="E549" t="str">
        <f>A549&amp;"|"&amp;C549&amp;"|"&amp;B549</f>
        <v>Scenario 8|Variable 9|2025</v>
      </c>
    </row>
    <row r="550" spans="1:5" ht="13.8">
      <c r="A550" t="str">
        <f>INDEX(Controller!$H$2:$H$11,INT((ROW()-2)/70)+1)</f>
        <v>Scenario 8</v>
      </c>
      <c r="B550" s="2">
        <v>2030</v>
      </c>
      <c r="C550" t="str">
        <f>INDEX(Controller!$J$2:$J$11,MOD(INT((ROW()-2)/7),10)+1)</f>
        <v>Variable 9</v>
      </c>
      <c r="D550" s="4"/>
      <c r="E550" t="str">
        <f>A550&amp;"|"&amp;C550&amp;"|"&amp;B550</f>
        <v>Scenario 8|Variable 9|2030</v>
      </c>
    </row>
    <row r="551" spans="1:5" ht="13.8">
      <c r="A551" t="str">
        <f>INDEX(Controller!$H$2:$H$11,INT((ROW()-2)/70)+1)</f>
        <v>Scenario 8</v>
      </c>
      <c r="B551" s="2">
        <v>2035</v>
      </c>
      <c r="C551" t="str">
        <f>INDEX(Controller!$J$2:$J$11,MOD(INT((ROW()-2)/7),10)+1)</f>
        <v>Variable 9</v>
      </c>
      <c r="D551" s="4"/>
      <c r="E551" t="str">
        <f>A551&amp;"|"&amp;C551&amp;"|"&amp;B551</f>
        <v>Scenario 8|Variable 9|2035</v>
      </c>
    </row>
    <row r="552" spans="1:5" ht="13.8">
      <c r="A552" t="str">
        <f>INDEX(Controller!$H$2:$H$11,INT((ROW()-2)/70)+1)</f>
        <v>Scenario 8</v>
      </c>
      <c r="B552" s="2">
        <v>2040</v>
      </c>
      <c r="C552" t="str">
        <f>INDEX(Controller!$J$2:$J$11,MOD(INT((ROW()-2)/7),10)+1)</f>
        <v>Variable 9</v>
      </c>
      <c r="D552" s="4"/>
      <c r="E552" t="str">
        <f>A552&amp;"|"&amp;C552&amp;"|"&amp;B552</f>
        <v>Scenario 8|Variable 9|2040</v>
      </c>
    </row>
    <row r="553" spans="1:5" ht="13.8">
      <c r="A553" t="str">
        <f>INDEX(Controller!$H$2:$H$11,INT((ROW()-2)/70)+1)</f>
        <v>Scenario 8</v>
      </c>
      <c r="B553" s="2">
        <v>2045</v>
      </c>
      <c r="C553" t="str">
        <f>INDEX(Controller!$J$2:$J$11,MOD(INT((ROW()-2)/7),10)+1)</f>
        <v>Variable 9</v>
      </c>
      <c r="D553" s="4"/>
      <c r="E553" t="str">
        <f>A553&amp;"|"&amp;C553&amp;"|"&amp;B553</f>
        <v>Scenario 8|Variable 9|2045</v>
      </c>
    </row>
    <row r="554" spans="1:5" ht="13.8">
      <c r="A554" t="str">
        <f>INDEX(Controller!$H$2:$H$11,INT((ROW()-2)/70)+1)</f>
        <v>Scenario 8</v>
      </c>
      <c r="B554" s="2">
        <v>2050</v>
      </c>
      <c r="C554" t="str">
        <f>INDEX(Controller!$J$2:$J$11,MOD(INT((ROW()-2)/7),10)+1)</f>
        <v>Variable 9</v>
      </c>
      <c r="D554" s="4"/>
      <c r="E554" t="str">
        <f>A554&amp;"|"&amp;C554&amp;"|"&amp;B554</f>
        <v>Scenario 8|Variable 9|2050</v>
      </c>
    </row>
    <row r="555" spans="1:5" ht="13.8">
      <c r="A555" t="str">
        <f>INDEX(Controller!$H$2:$H$11,INT((ROW()-2)/70)+1)</f>
        <v>Scenario 8</v>
      </c>
      <c r="B555" s="2">
        <v>2022</v>
      </c>
      <c r="C555" t="str">
        <f>INDEX(Controller!$J$2:$J$11,MOD(INT((ROW()-2)/7),10)+1)</f>
        <v>Variable 10</v>
      </c>
      <c r="D555" s="4"/>
      <c r="E555" t="str">
        <f>A555&amp;"|"&amp;C555&amp;"|"&amp;B555</f>
        <v>Scenario 8|Variable 10|2022</v>
      </c>
    </row>
    <row r="556" spans="1:5" ht="13.8">
      <c r="A556" t="str">
        <f>INDEX(Controller!$H$2:$H$11,INT((ROW()-2)/70)+1)</f>
        <v>Scenario 8</v>
      </c>
      <c r="B556" s="2">
        <v>2025</v>
      </c>
      <c r="C556" t="str">
        <f>INDEX(Controller!$J$2:$J$11,MOD(INT((ROW()-2)/7),10)+1)</f>
        <v>Variable 10</v>
      </c>
      <c r="D556" s="4"/>
      <c r="E556" t="str">
        <f>A556&amp;"|"&amp;C556&amp;"|"&amp;B556</f>
        <v>Scenario 8|Variable 10|2025</v>
      </c>
    </row>
    <row r="557" spans="1:5" ht="13.8">
      <c r="A557" t="str">
        <f>INDEX(Controller!$H$2:$H$11,INT((ROW()-2)/70)+1)</f>
        <v>Scenario 8</v>
      </c>
      <c r="B557" s="2">
        <v>2030</v>
      </c>
      <c r="C557" t="str">
        <f>INDEX(Controller!$J$2:$J$11,MOD(INT((ROW()-2)/7),10)+1)</f>
        <v>Variable 10</v>
      </c>
      <c r="D557" s="4"/>
      <c r="E557" t="str">
        <f>A557&amp;"|"&amp;C557&amp;"|"&amp;B557</f>
        <v>Scenario 8|Variable 10|2030</v>
      </c>
    </row>
    <row r="558" spans="1:5" ht="13.8">
      <c r="A558" t="str">
        <f>INDEX(Controller!$H$2:$H$11,INT((ROW()-2)/70)+1)</f>
        <v>Scenario 8</v>
      </c>
      <c r="B558" s="2">
        <v>2035</v>
      </c>
      <c r="C558" t="str">
        <f>INDEX(Controller!$J$2:$J$11,MOD(INT((ROW()-2)/7),10)+1)</f>
        <v>Variable 10</v>
      </c>
      <c r="D558" s="4"/>
      <c r="E558" t="str">
        <f>A558&amp;"|"&amp;C558&amp;"|"&amp;B558</f>
        <v>Scenario 8|Variable 10|2035</v>
      </c>
    </row>
    <row r="559" spans="1:5" ht="13.8">
      <c r="A559" t="str">
        <f>INDEX(Controller!$H$2:$H$11,INT((ROW()-2)/70)+1)</f>
        <v>Scenario 8</v>
      </c>
      <c r="B559" s="2">
        <v>2040</v>
      </c>
      <c r="C559" t="str">
        <f>INDEX(Controller!$J$2:$J$11,MOD(INT((ROW()-2)/7),10)+1)</f>
        <v>Variable 10</v>
      </c>
      <c r="D559" s="4"/>
      <c r="E559" t="str">
        <f>A559&amp;"|"&amp;C559&amp;"|"&amp;B559</f>
        <v>Scenario 8|Variable 10|2040</v>
      </c>
    </row>
    <row r="560" spans="1:5" ht="13.8">
      <c r="A560" t="str">
        <f>INDEX(Controller!$H$2:$H$11,INT((ROW()-2)/70)+1)</f>
        <v>Scenario 8</v>
      </c>
      <c r="B560" s="2">
        <v>2045</v>
      </c>
      <c r="C560" t="str">
        <f>INDEX(Controller!$J$2:$J$11,MOD(INT((ROW()-2)/7),10)+1)</f>
        <v>Variable 10</v>
      </c>
      <c r="D560" s="4"/>
      <c r="E560" t="str">
        <f>A560&amp;"|"&amp;C560&amp;"|"&amp;B560</f>
        <v>Scenario 8|Variable 10|2045</v>
      </c>
    </row>
    <row r="561" spans="1:5" ht="13.8">
      <c r="A561" t="str">
        <f>INDEX(Controller!$H$2:$H$11,INT((ROW()-2)/70)+1)</f>
        <v>Scenario 8</v>
      </c>
      <c r="B561" s="2">
        <v>2050</v>
      </c>
      <c r="C561" t="str">
        <f>INDEX(Controller!$J$2:$J$11,MOD(INT((ROW()-2)/7),10)+1)</f>
        <v>Variable 10</v>
      </c>
      <c r="D561" s="4"/>
      <c r="E561" t="str">
        <f>A561&amp;"|"&amp;C561&amp;"|"&amp;B561</f>
        <v>Scenario 8|Variable 10|2050</v>
      </c>
    </row>
    <row r="562" spans="1:5" ht="13.8">
      <c r="A562" t="str">
        <f>INDEX(Controller!$H$2:$H$11,INT((ROW()-2)/70)+1)</f>
        <v>Scenario 9</v>
      </c>
      <c r="B562" s="2">
        <v>2022</v>
      </c>
      <c r="C562" t="str">
        <f>INDEX(Controller!$J$2:$J$11,MOD(INT((ROW()-2)/7),10)+1)</f>
        <v>hydrogen_allsect</v>
      </c>
      <c r="D562" s="4"/>
      <c r="E562" t="str">
        <f>A562&amp;"|"&amp;C562&amp;"|"&amp;B562</f>
        <v>Scenario 9|hydrogen_allsect|2022</v>
      </c>
    </row>
    <row r="563" spans="1:5" ht="13.8">
      <c r="A563" t="str">
        <f>INDEX(Controller!$H$2:$H$11,INT((ROW()-2)/70)+1)</f>
        <v>Scenario 9</v>
      </c>
      <c r="B563" s="2">
        <v>2025</v>
      </c>
      <c r="C563" t="str">
        <f>INDEX(Controller!$J$2:$J$11,MOD(INT((ROW()-2)/7),10)+1)</f>
        <v>hydrogen_allsect</v>
      </c>
      <c r="D563" s="4"/>
      <c r="E563" t="str">
        <f>A563&amp;"|"&amp;C563&amp;"|"&amp;B563</f>
        <v>Scenario 9|hydrogen_allsect|2025</v>
      </c>
    </row>
    <row r="564" spans="1:5" ht="13.8">
      <c r="A564" t="str">
        <f>INDEX(Controller!$H$2:$H$11,INT((ROW()-2)/70)+1)</f>
        <v>Scenario 9</v>
      </c>
      <c r="B564" s="2">
        <v>2030</v>
      </c>
      <c r="C564" t="str">
        <f>INDEX(Controller!$J$2:$J$11,MOD(INT((ROW()-2)/7),10)+1)</f>
        <v>hydrogen_allsect</v>
      </c>
      <c r="D564" s="4"/>
      <c r="E564" t="str">
        <f>A564&amp;"|"&amp;C564&amp;"|"&amp;B564</f>
        <v>Scenario 9|hydrogen_allsect|2030</v>
      </c>
    </row>
    <row r="565" spans="1:5" ht="13.8">
      <c r="A565" t="str">
        <f>INDEX(Controller!$H$2:$H$11,INT((ROW()-2)/70)+1)</f>
        <v>Scenario 9</v>
      </c>
      <c r="B565" s="2">
        <v>2035</v>
      </c>
      <c r="C565" t="str">
        <f>INDEX(Controller!$J$2:$J$11,MOD(INT((ROW()-2)/7),10)+1)</f>
        <v>hydrogen_allsect</v>
      </c>
      <c r="D565" s="4"/>
      <c r="E565" t="str">
        <f>A565&amp;"|"&amp;C565&amp;"|"&amp;B565</f>
        <v>Scenario 9|hydrogen_allsect|2035</v>
      </c>
    </row>
    <row r="566" spans="1:5" ht="13.8">
      <c r="A566" t="str">
        <f>INDEX(Controller!$H$2:$H$11,INT((ROW()-2)/70)+1)</f>
        <v>Scenario 9</v>
      </c>
      <c r="B566" s="2">
        <v>2040</v>
      </c>
      <c r="C566" t="str">
        <f>INDEX(Controller!$J$2:$J$11,MOD(INT((ROW()-2)/7),10)+1)</f>
        <v>hydrogen_allsect</v>
      </c>
      <c r="D566" s="4"/>
      <c r="E566" t="str">
        <f>A566&amp;"|"&amp;C566&amp;"|"&amp;B566</f>
        <v>Scenario 9|hydrogen_allsect|2040</v>
      </c>
    </row>
    <row r="567" spans="1:5" ht="13.8">
      <c r="A567" t="str">
        <f>INDEX(Controller!$H$2:$H$11,INT((ROW()-2)/70)+1)</f>
        <v>Scenario 9</v>
      </c>
      <c r="B567" s="2">
        <v>2045</v>
      </c>
      <c r="C567" t="str">
        <f>INDEX(Controller!$J$2:$J$11,MOD(INT((ROW()-2)/7),10)+1)</f>
        <v>hydrogen_allsect</v>
      </c>
      <c r="D567" s="4"/>
      <c r="E567" t="str">
        <f>A567&amp;"|"&amp;C567&amp;"|"&amp;B567</f>
        <v>Scenario 9|hydrogen_allsect|2045</v>
      </c>
    </row>
    <row r="568" spans="1:5" ht="13.8">
      <c r="A568" t="str">
        <f>INDEX(Controller!$H$2:$H$11,INT((ROW()-2)/70)+1)</f>
        <v>Scenario 9</v>
      </c>
      <c r="B568" s="2">
        <v>2050</v>
      </c>
      <c r="C568" t="str">
        <f>INDEX(Controller!$J$2:$J$11,MOD(INT((ROW()-2)/7),10)+1)</f>
        <v>hydrogen_allsect</v>
      </c>
      <c r="D568" s="4"/>
      <c r="E568" t="str">
        <f>A568&amp;"|"&amp;C568&amp;"|"&amp;B568</f>
        <v>Scenario 9|hydrogen_allsect|2050</v>
      </c>
    </row>
    <row r="569" spans="1:5" ht="13.8">
      <c r="A569" t="str">
        <f>INDEX(Controller!$H$2:$H$11,INT((ROW()-2)/70)+1)</f>
        <v>Scenario 9</v>
      </c>
      <c r="B569" s="2">
        <v>2022</v>
      </c>
      <c r="C569" t="str">
        <f>INDEX(Controller!$J$2:$J$11,MOD(INT((ROW()-2)/7),10)+1)</f>
        <v>elc_industry</v>
      </c>
      <c r="D569" s="4"/>
      <c r="E569" t="str">
        <f>A569&amp;"|"&amp;C569&amp;"|"&amp;B569</f>
        <v>Scenario 9|elc_industry|2022</v>
      </c>
    </row>
    <row r="570" spans="1:5" ht="13.8">
      <c r="A570" t="str">
        <f>INDEX(Controller!$H$2:$H$11,INT((ROW()-2)/70)+1)</f>
        <v>Scenario 9</v>
      </c>
      <c r="B570" s="2">
        <v>2025</v>
      </c>
      <c r="C570" t="str">
        <f>INDEX(Controller!$J$2:$J$11,MOD(INT((ROW()-2)/7),10)+1)</f>
        <v>elc_industry</v>
      </c>
      <c r="D570" s="4"/>
      <c r="E570" t="str">
        <f>A570&amp;"|"&amp;C570&amp;"|"&amp;B570</f>
        <v>Scenario 9|elc_industry|2025</v>
      </c>
    </row>
    <row r="571" spans="1:5" ht="13.8">
      <c r="A571" t="str">
        <f>INDEX(Controller!$H$2:$H$11,INT((ROW()-2)/70)+1)</f>
        <v>Scenario 9</v>
      </c>
      <c r="B571" s="2">
        <v>2030</v>
      </c>
      <c r="C571" t="str">
        <f>INDEX(Controller!$J$2:$J$11,MOD(INT((ROW()-2)/7),10)+1)</f>
        <v>elc_industry</v>
      </c>
      <c r="D571" s="4"/>
      <c r="E571" t="str">
        <f>A571&amp;"|"&amp;C571&amp;"|"&amp;B571</f>
        <v>Scenario 9|elc_industry|2030</v>
      </c>
    </row>
    <row r="572" spans="1:5" ht="13.8">
      <c r="A572" t="str">
        <f>INDEX(Controller!$H$2:$H$11,INT((ROW()-2)/70)+1)</f>
        <v>Scenario 9</v>
      </c>
      <c r="B572" s="2">
        <v>2035</v>
      </c>
      <c r="C572" t="str">
        <f>INDEX(Controller!$J$2:$J$11,MOD(INT((ROW()-2)/7),10)+1)</f>
        <v>elc_industry</v>
      </c>
      <c r="D572" s="4"/>
      <c r="E572" t="str">
        <f>A572&amp;"|"&amp;C572&amp;"|"&amp;B572</f>
        <v>Scenario 9|elc_industry|2035</v>
      </c>
    </row>
    <row r="573" spans="1:5" ht="13.8">
      <c r="A573" t="str">
        <f>INDEX(Controller!$H$2:$H$11,INT((ROW()-2)/70)+1)</f>
        <v>Scenario 9</v>
      </c>
      <c r="B573" s="2">
        <v>2040</v>
      </c>
      <c r="C573" t="str">
        <f>INDEX(Controller!$J$2:$J$11,MOD(INT((ROW()-2)/7),10)+1)</f>
        <v>elc_industry</v>
      </c>
      <c r="D573" s="4"/>
      <c r="E573" t="str">
        <f>A573&amp;"|"&amp;C573&amp;"|"&amp;B573</f>
        <v>Scenario 9|elc_industry|2040</v>
      </c>
    </row>
    <row r="574" spans="1:5" ht="13.8">
      <c r="A574" t="str">
        <f>INDEX(Controller!$H$2:$H$11,INT((ROW()-2)/70)+1)</f>
        <v>Scenario 9</v>
      </c>
      <c r="B574" s="2">
        <v>2045</v>
      </c>
      <c r="C574" t="str">
        <f>INDEX(Controller!$J$2:$J$11,MOD(INT((ROW()-2)/7),10)+1)</f>
        <v>elc_industry</v>
      </c>
      <c r="D574" s="4"/>
      <c r="E574" t="str">
        <f>A574&amp;"|"&amp;C574&amp;"|"&amp;B574</f>
        <v>Scenario 9|elc_industry|2045</v>
      </c>
    </row>
    <row r="575" spans="1:5" ht="13.8">
      <c r="A575" t="str">
        <f>INDEX(Controller!$H$2:$H$11,INT((ROW()-2)/70)+1)</f>
        <v>Scenario 9</v>
      </c>
      <c r="B575" s="2">
        <v>2050</v>
      </c>
      <c r="C575" t="str">
        <f>INDEX(Controller!$J$2:$J$11,MOD(INT((ROW()-2)/7),10)+1)</f>
        <v>elc_industry</v>
      </c>
      <c r="D575" s="4"/>
      <c r="E575" t="str">
        <f>A575&amp;"|"&amp;C575&amp;"|"&amp;B575</f>
        <v>Scenario 9|elc_industry|2050</v>
      </c>
    </row>
    <row r="576" spans="1:5" ht="13.8">
      <c r="A576" t="str">
        <f>INDEX(Controller!$H$2:$H$11,INT((ROW()-2)/70)+1)</f>
        <v>Scenario 9</v>
      </c>
      <c r="B576" s="2">
        <v>2022</v>
      </c>
      <c r="C576" t="str">
        <f>INDEX(Controller!$J$2:$J$11,MOD(INT((ROW()-2)/7),10)+1)</f>
        <v>elc_buildings</v>
      </c>
      <c r="D576" s="4"/>
      <c r="E576" t="str">
        <f>A576&amp;"|"&amp;C576&amp;"|"&amp;B576</f>
        <v>Scenario 9|elc_buildings|2022</v>
      </c>
    </row>
    <row r="577" spans="1:5" ht="13.8">
      <c r="A577" t="str">
        <f>INDEX(Controller!$H$2:$H$11,INT((ROW()-2)/70)+1)</f>
        <v>Scenario 9</v>
      </c>
      <c r="B577" s="2">
        <v>2025</v>
      </c>
      <c r="C577" t="str">
        <f>INDEX(Controller!$J$2:$J$11,MOD(INT((ROW()-2)/7),10)+1)</f>
        <v>elc_buildings</v>
      </c>
      <c r="D577" s="4"/>
      <c r="E577" t="str">
        <f>A577&amp;"|"&amp;C577&amp;"|"&amp;B577</f>
        <v>Scenario 9|elc_buildings|2025</v>
      </c>
    </row>
    <row r="578" spans="1:5" ht="13.8">
      <c r="A578" t="str">
        <f>INDEX(Controller!$H$2:$H$11,INT((ROW()-2)/70)+1)</f>
        <v>Scenario 9</v>
      </c>
      <c r="B578" s="2">
        <v>2030</v>
      </c>
      <c r="C578" t="str">
        <f>INDEX(Controller!$J$2:$J$11,MOD(INT((ROW()-2)/7),10)+1)</f>
        <v>elc_buildings</v>
      </c>
      <c r="D578" s="4"/>
      <c r="E578" t="str">
        <f>A578&amp;"|"&amp;C578&amp;"|"&amp;B578</f>
        <v>Scenario 9|elc_buildings|2030</v>
      </c>
    </row>
    <row r="579" spans="1:5" ht="13.8">
      <c r="A579" t="str">
        <f>INDEX(Controller!$H$2:$H$11,INT((ROW()-2)/70)+1)</f>
        <v>Scenario 9</v>
      </c>
      <c r="B579" s="2">
        <v>2035</v>
      </c>
      <c r="C579" t="str">
        <f>INDEX(Controller!$J$2:$J$11,MOD(INT((ROW()-2)/7),10)+1)</f>
        <v>elc_buildings</v>
      </c>
      <c r="D579" s="4"/>
      <c r="E579" t="str">
        <f>A579&amp;"|"&amp;C579&amp;"|"&amp;B579</f>
        <v>Scenario 9|elc_buildings|2035</v>
      </c>
    </row>
    <row r="580" spans="1:5" ht="13.8">
      <c r="A580" t="str">
        <f>INDEX(Controller!$H$2:$H$11,INT((ROW()-2)/70)+1)</f>
        <v>Scenario 9</v>
      </c>
      <c r="B580" s="2">
        <v>2040</v>
      </c>
      <c r="C580" t="str">
        <f>INDEX(Controller!$J$2:$J$11,MOD(INT((ROW()-2)/7),10)+1)</f>
        <v>elc_buildings</v>
      </c>
      <c r="D580" s="4"/>
      <c r="E580" t="str">
        <f>A580&amp;"|"&amp;C580&amp;"|"&amp;B580</f>
        <v>Scenario 9|elc_buildings|2040</v>
      </c>
    </row>
    <row r="581" spans="1:5" ht="13.8">
      <c r="A581" t="str">
        <f>INDEX(Controller!$H$2:$H$11,INT((ROW()-2)/70)+1)</f>
        <v>Scenario 9</v>
      </c>
      <c r="B581" s="2">
        <v>2045</v>
      </c>
      <c r="C581" t="str">
        <f>INDEX(Controller!$J$2:$J$11,MOD(INT((ROW()-2)/7),10)+1)</f>
        <v>elc_buildings</v>
      </c>
      <c r="D581" s="4"/>
      <c r="E581" t="str">
        <f>A581&amp;"|"&amp;C581&amp;"|"&amp;B581</f>
        <v>Scenario 9|elc_buildings|2045</v>
      </c>
    </row>
    <row r="582" spans="1:5" ht="13.8">
      <c r="A582" t="str">
        <f>INDEX(Controller!$H$2:$H$11,INT((ROW()-2)/70)+1)</f>
        <v>Scenario 9</v>
      </c>
      <c r="B582" s="2">
        <v>2050</v>
      </c>
      <c r="C582" t="str">
        <f>INDEX(Controller!$J$2:$J$11,MOD(INT((ROW()-2)/7),10)+1)</f>
        <v>elc_buildings</v>
      </c>
      <c r="D582" s="4"/>
      <c r="E582" t="str">
        <f>A582&amp;"|"&amp;C582&amp;"|"&amp;B582</f>
        <v>Scenario 9|elc_buildings|2050</v>
      </c>
    </row>
    <row r="583" spans="1:5" ht="13.8">
      <c r="A583" t="str">
        <f>INDEX(Controller!$H$2:$H$11,INT((ROW()-2)/70)+1)</f>
        <v>Scenario 9</v>
      </c>
      <c r="B583" s="2">
        <v>2022</v>
      </c>
      <c r="C583" t="str">
        <f>INDEX(Controller!$J$2:$J$11,MOD(INT((ROW()-2)/7),10)+1)</f>
        <v>elc_transport</v>
      </c>
      <c r="D583" s="4"/>
      <c r="E583" t="str">
        <f>A583&amp;"|"&amp;C583&amp;"|"&amp;B583</f>
        <v>Scenario 9|elc_transport|2022</v>
      </c>
    </row>
    <row r="584" spans="1:5" ht="13.8">
      <c r="A584" t="str">
        <f>INDEX(Controller!$H$2:$H$11,INT((ROW()-2)/70)+1)</f>
        <v>Scenario 9</v>
      </c>
      <c r="B584" s="2">
        <v>2025</v>
      </c>
      <c r="C584" t="str">
        <f>INDEX(Controller!$J$2:$J$11,MOD(INT((ROW()-2)/7),10)+1)</f>
        <v>elc_transport</v>
      </c>
      <c r="D584" s="4"/>
      <c r="E584" t="str">
        <f>A584&amp;"|"&amp;C584&amp;"|"&amp;B584</f>
        <v>Scenario 9|elc_transport|2025</v>
      </c>
    </row>
    <row r="585" spans="1:5" ht="13.8">
      <c r="A585" t="str">
        <f>INDEX(Controller!$H$2:$H$11,INT((ROW()-2)/70)+1)</f>
        <v>Scenario 9</v>
      </c>
      <c r="B585" s="2">
        <v>2030</v>
      </c>
      <c r="C585" t="str">
        <f>INDEX(Controller!$J$2:$J$11,MOD(INT((ROW()-2)/7),10)+1)</f>
        <v>elc_transport</v>
      </c>
      <c r="D585" s="4"/>
      <c r="E585" t="str">
        <f>A585&amp;"|"&amp;C585&amp;"|"&amp;B585</f>
        <v>Scenario 9|elc_transport|2030</v>
      </c>
    </row>
    <row r="586" spans="1:5" ht="13.8">
      <c r="A586" t="str">
        <f>INDEX(Controller!$H$2:$H$11,INT((ROW()-2)/70)+1)</f>
        <v>Scenario 9</v>
      </c>
      <c r="B586" s="2">
        <v>2035</v>
      </c>
      <c r="C586" t="str">
        <f>INDEX(Controller!$J$2:$J$11,MOD(INT((ROW()-2)/7),10)+1)</f>
        <v>elc_transport</v>
      </c>
      <c r="D586" s="4"/>
      <c r="E586" t="str">
        <f>A586&amp;"|"&amp;C586&amp;"|"&amp;B586</f>
        <v>Scenario 9|elc_transport|2035</v>
      </c>
    </row>
    <row r="587" spans="1:5" ht="13.8">
      <c r="A587" t="str">
        <f>INDEX(Controller!$H$2:$H$11,INT((ROW()-2)/70)+1)</f>
        <v>Scenario 9</v>
      </c>
      <c r="B587" s="2">
        <v>2040</v>
      </c>
      <c r="C587" t="str">
        <f>INDEX(Controller!$J$2:$J$11,MOD(INT((ROW()-2)/7),10)+1)</f>
        <v>elc_transport</v>
      </c>
      <c r="D587" s="4"/>
      <c r="E587" t="str">
        <f>A587&amp;"|"&amp;C587&amp;"|"&amp;B587</f>
        <v>Scenario 9|elc_transport|2040</v>
      </c>
    </row>
    <row r="588" spans="1:5" ht="13.8">
      <c r="A588" t="str">
        <f>INDEX(Controller!$H$2:$H$11,INT((ROW()-2)/70)+1)</f>
        <v>Scenario 9</v>
      </c>
      <c r="B588" s="2">
        <v>2045</v>
      </c>
      <c r="C588" t="str">
        <f>INDEX(Controller!$J$2:$J$11,MOD(INT((ROW()-2)/7),10)+1)</f>
        <v>elc_transport</v>
      </c>
      <c r="D588" s="4"/>
      <c r="E588" t="str">
        <f>A588&amp;"|"&amp;C588&amp;"|"&amp;B588</f>
        <v>Scenario 9|elc_transport|2045</v>
      </c>
    </row>
    <row r="589" spans="1:5" ht="13.8">
      <c r="A589" t="str">
        <f>INDEX(Controller!$H$2:$H$11,INT((ROW()-2)/70)+1)</f>
        <v>Scenario 9</v>
      </c>
      <c r="B589" s="2">
        <v>2050</v>
      </c>
      <c r="C589" t="str">
        <f>INDEX(Controller!$J$2:$J$11,MOD(INT((ROW()-2)/7),10)+1)</f>
        <v>elc_transport</v>
      </c>
      <c r="D589" s="4"/>
      <c r="E589" t="str">
        <f>A589&amp;"|"&amp;C589&amp;"|"&amp;B589</f>
        <v>Scenario 9|elc_transport|2050</v>
      </c>
    </row>
    <row r="590" spans="1:5" ht="13.8">
      <c r="A590" t="str">
        <f>INDEX(Controller!$H$2:$H$11,INT((ROW()-2)/70)+1)</f>
        <v>Scenario 9</v>
      </c>
      <c r="B590" s="2">
        <v>2022</v>
      </c>
      <c r="C590" t="str">
        <f>INDEX(Controller!$J$2:$J$11,MOD(INT((ROW()-2)/7),10)+1)</f>
        <v>elc_roadtransport</v>
      </c>
      <c r="D590" s="4"/>
      <c r="E590" t="str">
        <f>A590&amp;"|"&amp;C590&amp;"|"&amp;B590</f>
        <v>Scenario 9|elc_roadtransport|2022</v>
      </c>
    </row>
    <row r="591" spans="1:5" ht="13.8">
      <c r="A591" t="str">
        <f>INDEX(Controller!$H$2:$H$11,INT((ROW()-2)/70)+1)</f>
        <v>Scenario 9</v>
      </c>
      <c r="B591" s="2">
        <v>2025</v>
      </c>
      <c r="C591" t="str">
        <f>INDEX(Controller!$J$2:$J$11,MOD(INT((ROW()-2)/7),10)+1)</f>
        <v>elc_roadtransport</v>
      </c>
      <c r="D591" s="4"/>
      <c r="E591" t="str">
        <f>A591&amp;"|"&amp;C591&amp;"|"&amp;B591</f>
        <v>Scenario 9|elc_roadtransport|2025</v>
      </c>
    </row>
    <row r="592" spans="1:5" ht="13.8">
      <c r="A592" t="str">
        <f>INDEX(Controller!$H$2:$H$11,INT((ROW()-2)/70)+1)</f>
        <v>Scenario 9</v>
      </c>
      <c r="B592" s="2">
        <v>2030</v>
      </c>
      <c r="C592" t="str">
        <f>INDEX(Controller!$J$2:$J$11,MOD(INT((ROW()-2)/7),10)+1)</f>
        <v>elc_roadtransport</v>
      </c>
      <c r="D592" s="4"/>
      <c r="E592" t="str">
        <f>A592&amp;"|"&amp;C592&amp;"|"&amp;B592</f>
        <v>Scenario 9|elc_roadtransport|2030</v>
      </c>
    </row>
    <row r="593" spans="1:5" ht="13.8">
      <c r="A593" t="str">
        <f>INDEX(Controller!$H$2:$H$11,INT((ROW()-2)/70)+1)</f>
        <v>Scenario 9</v>
      </c>
      <c r="B593" s="2">
        <v>2035</v>
      </c>
      <c r="C593" t="str">
        <f>INDEX(Controller!$J$2:$J$11,MOD(INT((ROW()-2)/7),10)+1)</f>
        <v>elc_roadtransport</v>
      </c>
      <c r="D593" s="4"/>
      <c r="E593" t="str">
        <f>A593&amp;"|"&amp;C593&amp;"|"&amp;B593</f>
        <v>Scenario 9|elc_roadtransport|2035</v>
      </c>
    </row>
    <row r="594" spans="1:5" ht="13.8">
      <c r="A594" t="str">
        <f>INDEX(Controller!$H$2:$H$11,INT((ROW()-2)/70)+1)</f>
        <v>Scenario 9</v>
      </c>
      <c r="B594" s="2">
        <v>2040</v>
      </c>
      <c r="C594" t="str">
        <f>INDEX(Controller!$J$2:$J$11,MOD(INT((ROW()-2)/7),10)+1)</f>
        <v>elc_roadtransport</v>
      </c>
      <c r="D594" s="4"/>
      <c r="E594" t="str">
        <f>A594&amp;"|"&amp;C594&amp;"|"&amp;B594</f>
        <v>Scenario 9|elc_roadtransport|2040</v>
      </c>
    </row>
    <row r="595" spans="1:5" ht="13.8">
      <c r="A595" t="str">
        <f>INDEX(Controller!$H$2:$H$11,INT((ROW()-2)/70)+1)</f>
        <v>Scenario 9</v>
      </c>
      <c r="B595" s="2">
        <v>2045</v>
      </c>
      <c r="C595" t="str">
        <f>INDEX(Controller!$J$2:$J$11,MOD(INT((ROW()-2)/7),10)+1)</f>
        <v>elc_roadtransport</v>
      </c>
      <c r="D595" s="4"/>
      <c r="E595" t="str">
        <f>A595&amp;"|"&amp;C595&amp;"|"&amp;B595</f>
        <v>Scenario 9|elc_roadtransport|2045</v>
      </c>
    </row>
    <row r="596" spans="1:5" ht="13.8">
      <c r="A596" t="str">
        <f>INDEX(Controller!$H$2:$H$11,INT((ROW()-2)/70)+1)</f>
        <v>Scenario 9</v>
      </c>
      <c r="B596" s="2">
        <v>2050</v>
      </c>
      <c r="C596" t="str">
        <f>INDEX(Controller!$J$2:$J$11,MOD(INT((ROW()-2)/7),10)+1)</f>
        <v>elc_roadtransport</v>
      </c>
      <c r="D596" s="4"/>
      <c r="E596" t="str">
        <f>A596&amp;"|"&amp;C596&amp;"|"&amp;B596</f>
        <v>Scenario 9|elc_roadtransport|2050</v>
      </c>
    </row>
    <row r="597" spans="1:5" ht="13.8">
      <c r="A597" t="str">
        <f>INDEX(Controller!$H$2:$H$11,INT((ROW()-2)/70)+1)</f>
        <v>Scenario 9</v>
      </c>
      <c r="B597" s="2">
        <v>2022</v>
      </c>
      <c r="C597" t="str">
        <f>INDEX(Controller!$J$2:$J$11,MOD(INT((ROW()-2)/7),10)+1)</f>
        <v>het_industry</v>
      </c>
      <c r="D597" s="4"/>
      <c r="E597" t="str">
        <f>A597&amp;"|"&amp;C597&amp;"|"&amp;B597</f>
        <v>Scenario 9|het_industry|2022</v>
      </c>
    </row>
    <row r="598" spans="1:5" ht="13.8">
      <c r="A598" t="str">
        <f>INDEX(Controller!$H$2:$H$11,INT((ROW()-2)/70)+1)</f>
        <v>Scenario 9</v>
      </c>
      <c r="B598" s="2">
        <v>2025</v>
      </c>
      <c r="C598" t="str">
        <f>INDEX(Controller!$J$2:$J$11,MOD(INT((ROW()-2)/7),10)+1)</f>
        <v>het_industry</v>
      </c>
      <c r="D598" s="4"/>
      <c r="E598" t="str">
        <f>A598&amp;"|"&amp;C598&amp;"|"&amp;B598</f>
        <v>Scenario 9|het_industry|2025</v>
      </c>
    </row>
    <row r="599" spans="1:5" ht="13.8">
      <c r="A599" t="str">
        <f>INDEX(Controller!$H$2:$H$11,INT((ROW()-2)/70)+1)</f>
        <v>Scenario 9</v>
      </c>
      <c r="B599" s="2">
        <v>2030</v>
      </c>
      <c r="C599" t="str">
        <f>INDEX(Controller!$J$2:$J$11,MOD(INT((ROW()-2)/7),10)+1)</f>
        <v>het_industry</v>
      </c>
      <c r="D599" s="4"/>
      <c r="E599" t="str">
        <f>A599&amp;"|"&amp;C599&amp;"|"&amp;B599</f>
        <v>Scenario 9|het_industry|2030</v>
      </c>
    </row>
    <row r="600" spans="1:5" ht="13.8">
      <c r="A600" t="str">
        <f>INDEX(Controller!$H$2:$H$11,INT((ROW()-2)/70)+1)</f>
        <v>Scenario 9</v>
      </c>
      <c r="B600" s="2">
        <v>2035</v>
      </c>
      <c r="C600" t="str">
        <f>INDEX(Controller!$J$2:$J$11,MOD(INT((ROW()-2)/7),10)+1)</f>
        <v>het_industry</v>
      </c>
      <c r="D600" s="4"/>
      <c r="E600" t="str">
        <f>A600&amp;"|"&amp;C600&amp;"|"&amp;B600</f>
        <v>Scenario 9|het_industry|2035</v>
      </c>
    </row>
    <row r="601" spans="1:5" ht="13.8">
      <c r="A601" t="str">
        <f>INDEX(Controller!$H$2:$H$11,INT((ROW()-2)/70)+1)</f>
        <v>Scenario 9</v>
      </c>
      <c r="B601" s="2">
        <v>2040</v>
      </c>
      <c r="C601" t="str">
        <f>INDEX(Controller!$J$2:$J$11,MOD(INT((ROW()-2)/7),10)+1)</f>
        <v>het_industry</v>
      </c>
      <c r="D601" s="4"/>
      <c r="E601" t="str">
        <f>A601&amp;"|"&amp;C601&amp;"|"&amp;B601</f>
        <v>Scenario 9|het_industry|2040</v>
      </c>
    </row>
    <row r="602" spans="1:5" ht="13.8">
      <c r="A602" t="str">
        <f>INDEX(Controller!$H$2:$H$11,INT((ROW()-2)/70)+1)</f>
        <v>Scenario 9</v>
      </c>
      <c r="B602" s="2">
        <v>2045</v>
      </c>
      <c r="C602" t="str">
        <f>INDEX(Controller!$J$2:$J$11,MOD(INT((ROW()-2)/7),10)+1)</f>
        <v>het_industry</v>
      </c>
      <c r="D602" s="4"/>
      <c r="E602" t="str">
        <f>A602&amp;"|"&amp;C602&amp;"|"&amp;B602</f>
        <v>Scenario 9|het_industry|2045</v>
      </c>
    </row>
    <row r="603" spans="1:5" ht="13.8">
      <c r="A603" t="str">
        <f>INDEX(Controller!$H$2:$H$11,INT((ROW()-2)/70)+1)</f>
        <v>Scenario 9</v>
      </c>
      <c r="B603" s="2">
        <v>2050</v>
      </c>
      <c r="C603" t="str">
        <f>INDEX(Controller!$J$2:$J$11,MOD(INT((ROW()-2)/7),10)+1)</f>
        <v>het_industry</v>
      </c>
      <c r="D603" s="4"/>
      <c r="E603" t="str">
        <f>A603&amp;"|"&amp;C603&amp;"|"&amp;B603</f>
        <v>Scenario 9|het_industry|2050</v>
      </c>
    </row>
    <row r="604" spans="1:5" ht="13.8">
      <c r="A604" t="str">
        <f>INDEX(Controller!$H$2:$H$11,INT((ROW()-2)/70)+1)</f>
        <v>Scenario 9</v>
      </c>
      <c r="B604" s="2">
        <v>2022</v>
      </c>
      <c r="C604" t="str">
        <f>INDEX(Controller!$J$2:$J$11,MOD(INT((ROW()-2)/7),10)+1)</f>
        <v>het_buildings</v>
      </c>
      <c r="D604" s="4"/>
      <c r="E604" t="str">
        <f>A604&amp;"|"&amp;C604&amp;"|"&amp;B604</f>
        <v>Scenario 9|het_buildings|2022</v>
      </c>
    </row>
    <row r="605" spans="1:5" ht="13.8">
      <c r="A605" t="str">
        <f>INDEX(Controller!$H$2:$H$11,INT((ROW()-2)/70)+1)</f>
        <v>Scenario 9</v>
      </c>
      <c r="B605" s="2">
        <v>2025</v>
      </c>
      <c r="C605" t="str">
        <f>INDEX(Controller!$J$2:$J$11,MOD(INT((ROW()-2)/7),10)+1)</f>
        <v>het_buildings</v>
      </c>
      <c r="D605" s="4"/>
      <c r="E605" t="str">
        <f>A605&amp;"|"&amp;C605&amp;"|"&amp;B605</f>
        <v>Scenario 9|het_buildings|2025</v>
      </c>
    </row>
    <row r="606" spans="1:5" ht="13.8">
      <c r="A606" t="str">
        <f>INDEX(Controller!$H$2:$H$11,INT((ROW()-2)/70)+1)</f>
        <v>Scenario 9</v>
      </c>
      <c r="B606" s="2">
        <v>2030</v>
      </c>
      <c r="C606" t="str">
        <f>INDEX(Controller!$J$2:$J$11,MOD(INT((ROW()-2)/7),10)+1)</f>
        <v>het_buildings</v>
      </c>
      <c r="D606" s="4"/>
      <c r="E606" t="str">
        <f>A606&amp;"|"&amp;C606&amp;"|"&amp;B606</f>
        <v>Scenario 9|het_buildings|2030</v>
      </c>
    </row>
    <row r="607" spans="1:5" ht="13.8">
      <c r="A607" t="str">
        <f>INDEX(Controller!$H$2:$H$11,INT((ROW()-2)/70)+1)</f>
        <v>Scenario 9</v>
      </c>
      <c r="B607" s="2">
        <v>2035</v>
      </c>
      <c r="C607" t="str">
        <f>INDEX(Controller!$J$2:$J$11,MOD(INT((ROW()-2)/7),10)+1)</f>
        <v>het_buildings</v>
      </c>
      <c r="D607" s="4"/>
      <c r="E607" t="str">
        <f>A607&amp;"|"&amp;C607&amp;"|"&amp;B607</f>
        <v>Scenario 9|het_buildings|2035</v>
      </c>
    </row>
    <row r="608" spans="1:5" ht="13.8">
      <c r="A608" t="str">
        <f>INDEX(Controller!$H$2:$H$11,INT((ROW()-2)/70)+1)</f>
        <v>Scenario 9</v>
      </c>
      <c r="B608" s="2">
        <v>2040</v>
      </c>
      <c r="C608" t="str">
        <f>INDEX(Controller!$J$2:$J$11,MOD(INT((ROW()-2)/7),10)+1)</f>
        <v>het_buildings</v>
      </c>
      <c r="D608" s="4"/>
      <c r="E608" t="str">
        <f>A608&amp;"|"&amp;C608&amp;"|"&amp;B608</f>
        <v>Scenario 9|het_buildings|2040</v>
      </c>
    </row>
    <row r="609" spans="1:5" ht="13.8">
      <c r="A609" t="str">
        <f>INDEX(Controller!$H$2:$H$11,INT((ROW()-2)/70)+1)</f>
        <v>Scenario 9</v>
      </c>
      <c r="B609" s="2">
        <v>2045</v>
      </c>
      <c r="C609" t="str">
        <f>INDEX(Controller!$J$2:$J$11,MOD(INT((ROW()-2)/7),10)+1)</f>
        <v>het_buildings</v>
      </c>
      <c r="D609" s="4"/>
      <c r="E609" t="str">
        <f>A609&amp;"|"&amp;C609&amp;"|"&amp;B609</f>
        <v>Scenario 9|het_buildings|2045</v>
      </c>
    </row>
    <row r="610" spans="1:5" ht="13.8">
      <c r="A610" t="str">
        <f>INDEX(Controller!$H$2:$H$11,INT((ROW()-2)/70)+1)</f>
        <v>Scenario 9</v>
      </c>
      <c r="B610" s="2">
        <v>2050</v>
      </c>
      <c r="C610" t="str">
        <f>INDEX(Controller!$J$2:$J$11,MOD(INT((ROW()-2)/7),10)+1)</f>
        <v>het_buildings</v>
      </c>
      <c r="D610" s="4"/>
      <c r="E610" t="str">
        <f>A610&amp;"|"&amp;C610&amp;"|"&amp;B610</f>
        <v>Scenario 9|het_buildings|2050</v>
      </c>
    </row>
    <row r="611" spans="1:5" ht="13.8">
      <c r="A611" t="str">
        <f>INDEX(Controller!$H$2:$H$11,INT((ROW()-2)/70)+1)</f>
        <v>Scenario 9</v>
      </c>
      <c r="B611" s="2">
        <v>2022</v>
      </c>
      <c r="C611" t="str">
        <f>INDEX(Controller!$J$2:$J$11,MOD(INT((ROW()-2)/7),10)+1)</f>
        <v>co2net</v>
      </c>
      <c r="D611" s="4"/>
      <c r="E611" t="str">
        <f>A611&amp;"|"&amp;C611&amp;"|"&amp;B611</f>
        <v>Scenario 9|co2net|2022</v>
      </c>
    </row>
    <row r="612" spans="1:5" ht="13.8">
      <c r="A612" t="str">
        <f>INDEX(Controller!$H$2:$H$11,INT((ROW()-2)/70)+1)</f>
        <v>Scenario 9</v>
      </c>
      <c r="B612" s="2">
        <v>2025</v>
      </c>
      <c r="C612" t="str">
        <f>INDEX(Controller!$J$2:$J$11,MOD(INT((ROW()-2)/7),10)+1)</f>
        <v>co2net</v>
      </c>
      <c r="D612" s="4"/>
      <c r="E612" t="str">
        <f>A612&amp;"|"&amp;C612&amp;"|"&amp;B612</f>
        <v>Scenario 9|co2net|2025</v>
      </c>
    </row>
    <row r="613" spans="1:5" ht="13.8">
      <c r="A613" t="str">
        <f>INDEX(Controller!$H$2:$H$11,INT((ROW()-2)/70)+1)</f>
        <v>Scenario 9</v>
      </c>
      <c r="B613" s="2">
        <v>2030</v>
      </c>
      <c r="C613" t="str">
        <f>INDEX(Controller!$J$2:$J$11,MOD(INT((ROW()-2)/7),10)+1)</f>
        <v>co2net</v>
      </c>
      <c r="D613" s="4"/>
      <c r="E613" t="str">
        <f>A613&amp;"|"&amp;C613&amp;"|"&amp;B613</f>
        <v>Scenario 9|co2net|2030</v>
      </c>
    </row>
    <row r="614" spans="1:5" ht="13.8">
      <c r="A614" t="str">
        <f>INDEX(Controller!$H$2:$H$11,INT((ROW()-2)/70)+1)</f>
        <v>Scenario 9</v>
      </c>
      <c r="B614" s="2">
        <v>2035</v>
      </c>
      <c r="C614" t="str">
        <f>INDEX(Controller!$J$2:$J$11,MOD(INT((ROW()-2)/7),10)+1)</f>
        <v>co2net</v>
      </c>
      <c r="D614" s="4"/>
      <c r="E614" t="str">
        <f>A614&amp;"|"&amp;C614&amp;"|"&amp;B614</f>
        <v>Scenario 9|co2net|2035</v>
      </c>
    </row>
    <row r="615" spans="1:5" ht="13.8">
      <c r="A615" t="str">
        <f>INDEX(Controller!$H$2:$H$11,INT((ROW()-2)/70)+1)</f>
        <v>Scenario 9</v>
      </c>
      <c r="B615" s="2">
        <v>2040</v>
      </c>
      <c r="C615" t="str">
        <f>INDEX(Controller!$J$2:$J$11,MOD(INT((ROW()-2)/7),10)+1)</f>
        <v>co2net</v>
      </c>
      <c r="D615" s="4"/>
      <c r="E615" t="str">
        <f>A615&amp;"|"&amp;C615&amp;"|"&amp;B615</f>
        <v>Scenario 9|co2net|2040</v>
      </c>
    </row>
    <row r="616" spans="1:5" ht="13.8">
      <c r="A616" t="str">
        <f>INDEX(Controller!$H$2:$H$11,INT((ROW()-2)/70)+1)</f>
        <v>Scenario 9</v>
      </c>
      <c r="B616" s="2">
        <v>2045</v>
      </c>
      <c r="C616" t="str">
        <f>INDEX(Controller!$J$2:$J$11,MOD(INT((ROW()-2)/7),10)+1)</f>
        <v>co2net</v>
      </c>
      <c r="D616" s="4"/>
      <c r="E616" t="str">
        <f>A616&amp;"|"&amp;C616&amp;"|"&amp;B616</f>
        <v>Scenario 9|co2net|2045</v>
      </c>
    </row>
    <row r="617" spans="1:5" ht="13.8">
      <c r="A617" t="str">
        <f>INDEX(Controller!$H$2:$H$11,INT((ROW()-2)/70)+1)</f>
        <v>Scenario 9</v>
      </c>
      <c r="B617" s="2">
        <v>2050</v>
      </c>
      <c r="C617" t="str">
        <f>INDEX(Controller!$J$2:$J$11,MOD(INT((ROW()-2)/7),10)+1)</f>
        <v>co2net</v>
      </c>
      <c r="D617" s="4"/>
      <c r="E617" t="str">
        <f>A617&amp;"|"&amp;C617&amp;"|"&amp;B617</f>
        <v>Scenario 9|co2net|2050</v>
      </c>
    </row>
    <row r="618" spans="1:5" ht="13.8">
      <c r="A618" t="str">
        <f>INDEX(Controller!$H$2:$H$11,INT((ROW()-2)/70)+1)</f>
        <v>Scenario 9</v>
      </c>
      <c r="B618" s="2">
        <v>2022</v>
      </c>
      <c r="C618" t="str">
        <f>INDEX(Controller!$J$2:$J$11,MOD(INT((ROW()-2)/7),10)+1)</f>
        <v>Variable 9</v>
      </c>
      <c r="D618" s="4"/>
      <c r="E618" t="str">
        <f>A618&amp;"|"&amp;C618&amp;"|"&amp;B618</f>
        <v>Scenario 9|Variable 9|2022</v>
      </c>
    </row>
    <row r="619" spans="1:5" ht="13.8">
      <c r="A619" t="str">
        <f>INDEX(Controller!$H$2:$H$11,INT((ROW()-2)/70)+1)</f>
        <v>Scenario 9</v>
      </c>
      <c r="B619" s="2">
        <v>2025</v>
      </c>
      <c r="C619" t="str">
        <f>INDEX(Controller!$J$2:$J$11,MOD(INT((ROW()-2)/7),10)+1)</f>
        <v>Variable 9</v>
      </c>
      <c r="D619" s="4"/>
      <c r="E619" t="str">
        <f>A619&amp;"|"&amp;C619&amp;"|"&amp;B619</f>
        <v>Scenario 9|Variable 9|2025</v>
      </c>
    </row>
    <row r="620" spans="1:5" ht="13.8">
      <c r="A620" t="str">
        <f>INDEX(Controller!$H$2:$H$11,INT((ROW()-2)/70)+1)</f>
        <v>Scenario 9</v>
      </c>
      <c r="B620" s="2">
        <v>2030</v>
      </c>
      <c r="C620" t="str">
        <f>INDEX(Controller!$J$2:$J$11,MOD(INT((ROW()-2)/7),10)+1)</f>
        <v>Variable 9</v>
      </c>
      <c r="D620" s="4"/>
      <c r="E620" t="str">
        <f>A620&amp;"|"&amp;C620&amp;"|"&amp;B620</f>
        <v>Scenario 9|Variable 9|2030</v>
      </c>
    </row>
    <row r="621" spans="1:5" ht="13.8">
      <c r="A621" t="str">
        <f>INDEX(Controller!$H$2:$H$11,INT((ROW()-2)/70)+1)</f>
        <v>Scenario 9</v>
      </c>
      <c r="B621" s="2">
        <v>2035</v>
      </c>
      <c r="C621" t="str">
        <f>INDEX(Controller!$J$2:$J$11,MOD(INT((ROW()-2)/7),10)+1)</f>
        <v>Variable 9</v>
      </c>
      <c r="D621" s="4"/>
      <c r="E621" t="str">
        <f>A621&amp;"|"&amp;C621&amp;"|"&amp;B621</f>
        <v>Scenario 9|Variable 9|2035</v>
      </c>
    </row>
    <row r="622" spans="1:5" ht="13.8">
      <c r="A622" t="str">
        <f>INDEX(Controller!$H$2:$H$11,INT((ROW()-2)/70)+1)</f>
        <v>Scenario 9</v>
      </c>
      <c r="B622" s="2">
        <v>2040</v>
      </c>
      <c r="C622" t="str">
        <f>INDEX(Controller!$J$2:$J$11,MOD(INT((ROW()-2)/7),10)+1)</f>
        <v>Variable 9</v>
      </c>
      <c r="D622" s="4"/>
      <c r="E622" t="str">
        <f>A622&amp;"|"&amp;C622&amp;"|"&amp;B622</f>
        <v>Scenario 9|Variable 9|2040</v>
      </c>
    </row>
    <row r="623" spans="1:5" ht="13.8">
      <c r="A623" t="str">
        <f>INDEX(Controller!$H$2:$H$11,INT((ROW()-2)/70)+1)</f>
        <v>Scenario 9</v>
      </c>
      <c r="B623" s="2">
        <v>2045</v>
      </c>
      <c r="C623" t="str">
        <f>INDEX(Controller!$J$2:$J$11,MOD(INT((ROW()-2)/7),10)+1)</f>
        <v>Variable 9</v>
      </c>
      <c r="D623" s="4"/>
      <c r="E623" t="str">
        <f>A623&amp;"|"&amp;C623&amp;"|"&amp;B623</f>
        <v>Scenario 9|Variable 9|2045</v>
      </c>
    </row>
    <row r="624" spans="1:5" ht="13.8">
      <c r="A624" t="str">
        <f>INDEX(Controller!$H$2:$H$11,INT((ROW()-2)/70)+1)</f>
        <v>Scenario 9</v>
      </c>
      <c r="B624" s="2">
        <v>2050</v>
      </c>
      <c r="C624" t="str">
        <f>INDEX(Controller!$J$2:$J$11,MOD(INT((ROW()-2)/7),10)+1)</f>
        <v>Variable 9</v>
      </c>
      <c r="D624" s="4"/>
      <c r="E624" t="str">
        <f>A624&amp;"|"&amp;C624&amp;"|"&amp;B624</f>
        <v>Scenario 9|Variable 9|2050</v>
      </c>
    </row>
    <row r="625" spans="1:5" ht="13.8">
      <c r="A625" t="str">
        <f>INDEX(Controller!$H$2:$H$11,INT((ROW()-2)/70)+1)</f>
        <v>Scenario 9</v>
      </c>
      <c r="B625" s="2">
        <v>2022</v>
      </c>
      <c r="C625" t="str">
        <f>INDEX(Controller!$J$2:$J$11,MOD(INT((ROW()-2)/7),10)+1)</f>
        <v>Variable 10</v>
      </c>
      <c r="D625" s="4"/>
      <c r="E625" t="str">
        <f>A625&amp;"|"&amp;C625&amp;"|"&amp;B625</f>
        <v>Scenario 9|Variable 10|2022</v>
      </c>
    </row>
    <row r="626" spans="1:5" ht="13.8">
      <c r="A626" t="str">
        <f>INDEX(Controller!$H$2:$H$11,INT((ROW()-2)/70)+1)</f>
        <v>Scenario 9</v>
      </c>
      <c r="B626" s="2">
        <v>2025</v>
      </c>
      <c r="C626" t="str">
        <f>INDEX(Controller!$J$2:$J$11,MOD(INT((ROW()-2)/7),10)+1)</f>
        <v>Variable 10</v>
      </c>
      <c r="D626" s="4"/>
      <c r="E626" t="str">
        <f>A626&amp;"|"&amp;C626&amp;"|"&amp;B626</f>
        <v>Scenario 9|Variable 10|2025</v>
      </c>
    </row>
    <row r="627" spans="1:5" ht="13.8">
      <c r="A627" t="str">
        <f>INDEX(Controller!$H$2:$H$11,INT((ROW()-2)/70)+1)</f>
        <v>Scenario 9</v>
      </c>
      <c r="B627" s="2">
        <v>2030</v>
      </c>
      <c r="C627" t="str">
        <f>INDEX(Controller!$J$2:$J$11,MOD(INT((ROW()-2)/7),10)+1)</f>
        <v>Variable 10</v>
      </c>
      <c r="D627" s="4"/>
      <c r="E627" t="str">
        <f>A627&amp;"|"&amp;C627&amp;"|"&amp;B627</f>
        <v>Scenario 9|Variable 10|2030</v>
      </c>
    </row>
    <row r="628" spans="1:5" ht="13.8">
      <c r="A628" t="str">
        <f>INDEX(Controller!$H$2:$H$11,INT((ROW()-2)/70)+1)</f>
        <v>Scenario 9</v>
      </c>
      <c r="B628" s="2">
        <v>2035</v>
      </c>
      <c r="C628" t="str">
        <f>INDEX(Controller!$J$2:$J$11,MOD(INT((ROW()-2)/7),10)+1)</f>
        <v>Variable 10</v>
      </c>
      <c r="D628" s="4"/>
      <c r="E628" t="str">
        <f>A628&amp;"|"&amp;C628&amp;"|"&amp;B628</f>
        <v>Scenario 9|Variable 10|2035</v>
      </c>
    </row>
    <row r="629" spans="1:5" ht="13.8">
      <c r="A629" t="str">
        <f>INDEX(Controller!$H$2:$H$11,INT((ROW()-2)/70)+1)</f>
        <v>Scenario 9</v>
      </c>
      <c r="B629" s="2">
        <v>2040</v>
      </c>
      <c r="C629" t="str">
        <f>INDEX(Controller!$J$2:$J$11,MOD(INT((ROW()-2)/7),10)+1)</f>
        <v>Variable 10</v>
      </c>
      <c r="D629" s="4"/>
      <c r="E629" t="str">
        <f>A629&amp;"|"&amp;C629&amp;"|"&amp;B629</f>
        <v>Scenario 9|Variable 10|2040</v>
      </c>
    </row>
    <row r="630" spans="1:5" ht="13.8">
      <c r="A630" t="str">
        <f>INDEX(Controller!$H$2:$H$11,INT((ROW()-2)/70)+1)</f>
        <v>Scenario 9</v>
      </c>
      <c r="B630" s="2">
        <v>2045</v>
      </c>
      <c r="C630" t="str">
        <f>INDEX(Controller!$J$2:$J$11,MOD(INT((ROW()-2)/7),10)+1)</f>
        <v>Variable 10</v>
      </c>
      <c r="D630" s="4"/>
      <c r="E630" t="str">
        <f>A630&amp;"|"&amp;C630&amp;"|"&amp;B630</f>
        <v>Scenario 9|Variable 10|2045</v>
      </c>
    </row>
    <row r="631" spans="1:5" ht="13.8">
      <c r="A631" t="str">
        <f>INDEX(Controller!$H$2:$H$11,INT((ROW()-2)/70)+1)</f>
        <v>Scenario 9</v>
      </c>
      <c r="B631" s="2">
        <v>2050</v>
      </c>
      <c r="C631" t="str">
        <f>INDEX(Controller!$J$2:$J$11,MOD(INT((ROW()-2)/7),10)+1)</f>
        <v>Variable 10</v>
      </c>
      <c r="D631" s="4"/>
      <c r="E631" t="str">
        <f>A631&amp;"|"&amp;C631&amp;"|"&amp;B631</f>
        <v>Scenario 9|Variable 10|2050</v>
      </c>
    </row>
    <row r="632" spans="1:5" ht="13.8">
      <c r="A632" t="str">
        <f>INDEX(Controller!$H$2:$H$11,INT((ROW()-2)/70)+1)</f>
        <v>Scenario 10</v>
      </c>
      <c r="B632" s="2">
        <v>2022</v>
      </c>
      <c r="C632" t="str">
        <f>INDEX(Controller!$J$2:$J$11,MOD(INT((ROW()-2)/7),10)+1)</f>
        <v>hydrogen_allsect</v>
      </c>
      <c r="D632" s="4"/>
      <c r="E632" t="str">
        <f>A632&amp;"|"&amp;C632&amp;"|"&amp;B632</f>
        <v>Scenario 10|hydrogen_allsect|2022</v>
      </c>
    </row>
    <row r="633" spans="1:5" ht="13.8">
      <c r="A633" t="str">
        <f>INDEX(Controller!$H$2:$H$11,INT((ROW()-2)/70)+1)</f>
        <v>Scenario 10</v>
      </c>
      <c r="B633" s="2">
        <v>2025</v>
      </c>
      <c r="C633" t="str">
        <f>INDEX(Controller!$J$2:$J$11,MOD(INT((ROW()-2)/7),10)+1)</f>
        <v>hydrogen_allsect</v>
      </c>
      <c r="D633" s="4"/>
      <c r="E633" t="str">
        <f>A633&amp;"|"&amp;C633&amp;"|"&amp;B633</f>
        <v>Scenario 10|hydrogen_allsect|2025</v>
      </c>
    </row>
    <row r="634" spans="1:5" ht="13.8">
      <c r="A634" t="str">
        <f>INDEX(Controller!$H$2:$H$11,INT((ROW()-2)/70)+1)</f>
        <v>Scenario 10</v>
      </c>
      <c r="B634" s="2">
        <v>2030</v>
      </c>
      <c r="C634" t="str">
        <f>INDEX(Controller!$J$2:$J$11,MOD(INT((ROW()-2)/7),10)+1)</f>
        <v>hydrogen_allsect</v>
      </c>
      <c r="D634" s="4"/>
      <c r="E634" t="str">
        <f>A634&amp;"|"&amp;C634&amp;"|"&amp;B634</f>
        <v>Scenario 10|hydrogen_allsect|2030</v>
      </c>
    </row>
    <row r="635" spans="1:5" ht="13.8">
      <c r="A635" t="str">
        <f>INDEX(Controller!$H$2:$H$11,INT((ROW()-2)/70)+1)</f>
        <v>Scenario 10</v>
      </c>
      <c r="B635" s="2">
        <v>2035</v>
      </c>
      <c r="C635" t="str">
        <f>INDEX(Controller!$J$2:$J$11,MOD(INT((ROW()-2)/7),10)+1)</f>
        <v>hydrogen_allsect</v>
      </c>
      <c r="D635" s="4"/>
      <c r="E635" t="str">
        <f>A635&amp;"|"&amp;C635&amp;"|"&amp;B635</f>
        <v>Scenario 10|hydrogen_allsect|2035</v>
      </c>
    </row>
    <row r="636" spans="1:5" ht="13.8">
      <c r="A636" t="str">
        <f>INDEX(Controller!$H$2:$H$11,INT((ROW()-2)/70)+1)</f>
        <v>Scenario 10</v>
      </c>
      <c r="B636" s="2">
        <v>2040</v>
      </c>
      <c r="C636" t="str">
        <f>INDEX(Controller!$J$2:$J$11,MOD(INT((ROW()-2)/7),10)+1)</f>
        <v>hydrogen_allsect</v>
      </c>
      <c r="D636" s="4"/>
      <c r="E636" t="str">
        <f>A636&amp;"|"&amp;C636&amp;"|"&amp;B636</f>
        <v>Scenario 10|hydrogen_allsect|2040</v>
      </c>
    </row>
    <row r="637" spans="1:5" ht="13.8">
      <c r="A637" t="str">
        <f>INDEX(Controller!$H$2:$H$11,INT((ROW()-2)/70)+1)</f>
        <v>Scenario 10</v>
      </c>
      <c r="B637" s="2">
        <v>2045</v>
      </c>
      <c r="C637" t="str">
        <f>INDEX(Controller!$J$2:$J$11,MOD(INT((ROW()-2)/7),10)+1)</f>
        <v>hydrogen_allsect</v>
      </c>
      <c r="D637" s="4"/>
      <c r="E637" t="str">
        <f>A637&amp;"|"&amp;C637&amp;"|"&amp;B637</f>
        <v>Scenario 10|hydrogen_allsect|2045</v>
      </c>
    </row>
    <row r="638" spans="1:5" ht="13.8">
      <c r="A638" t="str">
        <f>INDEX(Controller!$H$2:$H$11,INT((ROW()-2)/70)+1)</f>
        <v>Scenario 10</v>
      </c>
      <c r="B638" s="2">
        <v>2050</v>
      </c>
      <c r="C638" t="str">
        <f>INDEX(Controller!$J$2:$J$11,MOD(INT((ROW()-2)/7),10)+1)</f>
        <v>hydrogen_allsect</v>
      </c>
      <c r="D638" s="4"/>
      <c r="E638" t="str">
        <f>A638&amp;"|"&amp;C638&amp;"|"&amp;B638</f>
        <v>Scenario 10|hydrogen_allsect|2050</v>
      </c>
    </row>
    <row r="639" spans="1:5" ht="13.8">
      <c r="A639" t="str">
        <f>INDEX(Controller!$H$2:$H$11,INT((ROW()-2)/70)+1)</f>
        <v>Scenario 10</v>
      </c>
      <c r="B639" s="2">
        <v>2022</v>
      </c>
      <c r="C639" t="str">
        <f>INDEX(Controller!$J$2:$J$11,MOD(INT((ROW()-2)/7),10)+1)</f>
        <v>elc_industry</v>
      </c>
      <c r="D639" s="4"/>
      <c r="E639" t="str">
        <f>A639&amp;"|"&amp;C639&amp;"|"&amp;B639</f>
        <v>Scenario 10|elc_industry|2022</v>
      </c>
    </row>
    <row r="640" spans="1:5" ht="13.8">
      <c r="A640" t="str">
        <f>INDEX(Controller!$H$2:$H$11,INT((ROW()-2)/70)+1)</f>
        <v>Scenario 10</v>
      </c>
      <c r="B640" s="2">
        <v>2025</v>
      </c>
      <c r="C640" t="str">
        <f>INDEX(Controller!$J$2:$J$11,MOD(INT((ROW()-2)/7),10)+1)</f>
        <v>elc_industry</v>
      </c>
      <c r="D640" s="4"/>
      <c r="E640" t="str">
        <f>A640&amp;"|"&amp;C640&amp;"|"&amp;B640</f>
        <v>Scenario 10|elc_industry|2025</v>
      </c>
    </row>
    <row r="641" spans="1:5" ht="13.8">
      <c r="A641" t="str">
        <f>INDEX(Controller!$H$2:$H$11,INT((ROW()-2)/70)+1)</f>
        <v>Scenario 10</v>
      </c>
      <c r="B641" s="2">
        <v>2030</v>
      </c>
      <c r="C641" t="str">
        <f>INDEX(Controller!$J$2:$J$11,MOD(INT((ROW()-2)/7),10)+1)</f>
        <v>elc_industry</v>
      </c>
      <c r="D641" s="4"/>
      <c r="E641" t="str">
        <f>A641&amp;"|"&amp;C641&amp;"|"&amp;B641</f>
        <v>Scenario 10|elc_industry|2030</v>
      </c>
    </row>
    <row r="642" spans="1:5" ht="13.8">
      <c r="A642" t="str">
        <f>INDEX(Controller!$H$2:$H$11,INT((ROW()-2)/70)+1)</f>
        <v>Scenario 10</v>
      </c>
      <c r="B642" s="2">
        <v>2035</v>
      </c>
      <c r="C642" t="str">
        <f>INDEX(Controller!$J$2:$J$11,MOD(INT((ROW()-2)/7),10)+1)</f>
        <v>elc_industry</v>
      </c>
      <c r="D642" s="4"/>
      <c r="E642" t="str">
        <f>A642&amp;"|"&amp;C642&amp;"|"&amp;B642</f>
        <v>Scenario 10|elc_industry|2035</v>
      </c>
    </row>
    <row r="643" spans="1:5" ht="13.8">
      <c r="A643" t="str">
        <f>INDEX(Controller!$H$2:$H$11,INT((ROW()-2)/70)+1)</f>
        <v>Scenario 10</v>
      </c>
      <c r="B643" s="2">
        <v>2040</v>
      </c>
      <c r="C643" t="str">
        <f>INDEX(Controller!$J$2:$J$11,MOD(INT((ROW()-2)/7),10)+1)</f>
        <v>elc_industry</v>
      </c>
      <c r="D643" s="4"/>
      <c r="E643" t="str">
        <f>A643&amp;"|"&amp;C643&amp;"|"&amp;B643</f>
        <v>Scenario 10|elc_industry|2040</v>
      </c>
    </row>
    <row r="644" spans="1:5" ht="13.8">
      <c r="A644" t="str">
        <f>INDEX(Controller!$H$2:$H$11,INT((ROW()-2)/70)+1)</f>
        <v>Scenario 10</v>
      </c>
      <c r="B644" s="2">
        <v>2045</v>
      </c>
      <c r="C644" t="str">
        <f>INDEX(Controller!$J$2:$J$11,MOD(INT((ROW()-2)/7),10)+1)</f>
        <v>elc_industry</v>
      </c>
      <c r="D644" s="4"/>
      <c r="E644" t="str">
        <f>A644&amp;"|"&amp;C644&amp;"|"&amp;B644</f>
        <v>Scenario 10|elc_industry|2045</v>
      </c>
    </row>
    <row r="645" spans="1:5" ht="13.8">
      <c r="A645" t="str">
        <f>INDEX(Controller!$H$2:$H$11,INT((ROW()-2)/70)+1)</f>
        <v>Scenario 10</v>
      </c>
      <c r="B645" s="2">
        <v>2050</v>
      </c>
      <c r="C645" t="str">
        <f>INDEX(Controller!$J$2:$J$11,MOD(INT((ROW()-2)/7),10)+1)</f>
        <v>elc_industry</v>
      </c>
      <c r="D645" s="4"/>
      <c r="E645" t="str">
        <f>A645&amp;"|"&amp;C645&amp;"|"&amp;B645</f>
        <v>Scenario 10|elc_industry|2050</v>
      </c>
    </row>
    <row r="646" spans="1:5" ht="13.8">
      <c r="A646" t="str">
        <f>INDEX(Controller!$H$2:$H$11,INT((ROW()-2)/70)+1)</f>
        <v>Scenario 10</v>
      </c>
      <c r="B646" s="2">
        <v>2022</v>
      </c>
      <c r="C646" t="str">
        <f>INDEX(Controller!$J$2:$J$11,MOD(INT((ROW()-2)/7),10)+1)</f>
        <v>elc_buildings</v>
      </c>
      <c r="D646" s="4"/>
      <c r="E646" t="str">
        <f>A646&amp;"|"&amp;C646&amp;"|"&amp;B646</f>
        <v>Scenario 10|elc_buildings|2022</v>
      </c>
    </row>
    <row r="647" spans="1:5" ht="13.8">
      <c r="A647" t="str">
        <f>INDEX(Controller!$H$2:$H$11,INT((ROW()-2)/70)+1)</f>
        <v>Scenario 10</v>
      </c>
      <c r="B647" s="2">
        <v>2025</v>
      </c>
      <c r="C647" t="str">
        <f>INDEX(Controller!$J$2:$J$11,MOD(INT((ROW()-2)/7),10)+1)</f>
        <v>elc_buildings</v>
      </c>
      <c r="D647" s="4"/>
      <c r="E647" t="str">
        <f>A647&amp;"|"&amp;C647&amp;"|"&amp;B647</f>
        <v>Scenario 10|elc_buildings|2025</v>
      </c>
    </row>
    <row r="648" spans="1:5" ht="13.8">
      <c r="A648" t="str">
        <f>INDEX(Controller!$H$2:$H$11,INT((ROW()-2)/70)+1)</f>
        <v>Scenario 10</v>
      </c>
      <c r="B648" s="2">
        <v>2030</v>
      </c>
      <c r="C648" t="str">
        <f>INDEX(Controller!$J$2:$J$11,MOD(INT((ROW()-2)/7),10)+1)</f>
        <v>elc_buildings</v>
      </c>
      <c r="D648" s="4"/>
      <c r="E648" t="str">
        <f>A648&amp;"|"&amp;C648&amp;"|"&amp;B648</f>
        <v>Scenario 10|elc_buildings|2030</v>
      </c>
    </row>
    <row r="649" spans="1:5" ht="13.8">
      <c r="A649" t="str">
        <f>INDEX(Controller!$H$2:$H$11,INT((ROW()-2)/70)+1)</f>
        <v>Scenario 10</v>
      </c>
      <c r="B649" s="2">
        <v>2035</v>
      </c>
      <c r="C649" t="str">
        <f>INDEX(Controller!$J$2:$J$11,MOD(INT((ROW()-2)/7),10)+1)</f>
        <v>elc_buildings</v>
      </c>
      <c r="D649" s="4"/>
      <c r="E649" t="str">
        <f>A649&amp;"|"&amp;C649&amp;"|"&amp;B649</f>
        <v>Scenario 10|elc_buildings|2035</v>
      </c>
    </row>
    <row r="650" spans="1:5" ht="13.8">
      <c r="A650" t="str">
        <f>INDEX(Controller!$H$2:$H$11,INT((ROW()-2)/70)+1)</f>
        <v>Scenario 10</v>
      </c>
      <c r="B650" s="2">
        <v>2040</v>
      </c>
      <c r="C650" t="str">
        <f>INDEX(Controller!$J$2:$J$11,MOD(INT((ROW()-2)/7),10)+1)</f>
        <v>elc_buildings</v>
      </c>
      <c r="D650" s="4"/>
      <c r="E650" t="str">
        <f>A650&amp;"|"&amp;C650&amp;"|"&amp;B650</f>
        <v>Scenario 10|elc_buildings|2040</v>
      </c>
    </row>
    <row r="651" spans="1:5" ht="13.8">
      <c r="A651" t="str">
        <f>INDEX(Controller!$H$2:$H$11,INT((ROW()-2)/70)+1)</f>
        <v>Scenario 10</v>
      </c>
      <c r="B651" s="2">
        <v>2045</v>
      </c>
      <c r="C651" t="str">
        <f>INDEX(Controller!$J$2:$J$11,MOD(INT((ROW()-2)/7),10)+1)</f>
        <v>elc_buildings</v>
      </c>
      <c r="D651" s="4"/>
      <c r="E651" t="str">
        <f>A651&amp;"|"&amp;C651&amp;"|"&amp;B651</f>
        <v>Scenario 10|elc_buildings|2045</v>
      </c>
    </row>
    <row r="652" spans="1:5" ht="13.8">
      <c r="A652" t="str">
        <f>INDEX(Controller!$H$2:$H$11,INT((ROW()-2)/70)+1)</f>
        <v>Scenario 10</v>
      </c>
      <c r="B652" s="2">
        <v>2050</v>
      </c>
      <c r="C652" t="str">
        <f>INDEX(Controller!$J$2:$J$11,MOD(INT((ROW()-2)/7),10)+1)</f>
        <v>elc_buildings</v>
      </c>
      <c r="D652" s="4"/>
      <c r="E652" t="str">
        <f>A652&amp;"|"&amp;C652&amp;"|"&amp;B652</f>
        <v>Scenario 10|elc_buildings|2050</v>
      </c>
    </row>
    <row r="653" spans="1:5" ht="13.8">
      <c r="A653" t="str">
        <f>INDEX(Controller!$H$2:$H$11,INT((ROW()-2)/70)+1)</f>
        <v>Scenario 10</v>
      </c>
      <c r="B653" s="2">
        <v>2022</v>
      </c>
      <c r="C653" t="str">
        <f>INDEX(Controller!$J$2:$J$11,MOD(INT((ROW()-2)/7),10)+1)</f>
        <v>elc_transport</v>
      </c>
      <c r="D653" s="4"/>
      <c r="E653" t="str">
        <f>A653&amp;"|"&amp;C653&amp;"|"&amp;B653</f>
        <v>Scenario 10|elc_transport|2022</v>
      </c>
    </row>
    <row r="654" spans="1:5" ht="13.8">
      <c r="A654" t="str">
        <f>INDEX(Controller!$H$2:$H$11,INT((ROW()-2)/70)+1)</f>
        <v>Scenario 10</v>
      </c>
      <c r="B654" s="2">
        <v>2025</v>
      </c>
      <c r="C654" t="str">
        <f>INDEX(Controller!$J$2:$J$11,MOD(INT((ROW()-2)/7),10)+1)</f>
        <v>elc_transport</v>
      </c>
      <c r="D654" s="4"/>
      <c r="E654" t="str">
        <f>A654&amp;"|"&amp;C654&amp;"|"&amp;B654</f>
        <v>Scenario 10|elc_transport|2025</v>
      </c>
    </row>
    <row r="655" spans="1:5" ht="13.8">
      <c r="A655" t="str">
        <f>INDEX(Controller!$H$2:$H$11,INT((ROW()-2)/70)+1)</f>
        <v>Scenario 10</v>
      </c>
      <c r="B655" s="2">
        <v>2030</v>
      </c>
      <c r="C655" t="str">
        <f>INDEX(Controller!$J$2:$J$11,MOD(INT((ROW()-2)/7),10)+1)</f>
        <v>elc_transport</v>
      </c>
      <c r="D655" s="4"/>
      <c r="E655" t="str">
        <f>A655&amp;"|"&amp;C655&amp;"|"&amp;B655</f>
        <v>Scenario 10|elc_transport|2030</v>
      </c>
    </row>
    <row r="656" spans="1:5" ht="13.8">
      <c r="A656" t="str">
        <f>INDEX(Controller!$H$2:$H$11,INT((ROW()-2)/70)+1)</f>
        <v>Scenario 10</v>
      </c>
      <c r="B656" s="2">
        <v>2035</v>
      </c>
      <c r="C656" t="str">
        <f>INDEX(Controller!$J$2:$J$11,MOD(INT((ROW()-2)/7),10)+1)</f>
        <v>elc_transport</v>
      </c>
      <c r="D656" s="4"/>
      <c r="E656" t="str">
        <f>A656&amp;"|"&amp;C656&amp;"|"&amp;B656</f>
        <v>Scenario 10|elc_transport|2035</v>
      </c>
    </row>
    <row r="657" spans="1:5" ht="13.8">
      <c r="A657" t="str">
        <f>INDEX(Controller!$H$2:$H$11,INT((ROW()-2)/70)+1)</f>
        <v>Scenario 10</v>
      </c>
      <c r="B657" s="2">
        <v>2040</v>
      </c>
      <c r="C657" t="str">
        <f>INDEX(Controller!$J$2:$J$11,MOD(INT((ROW()-2)/7),10)+1)</f>
        <v>elc_transport</v>
      </c>
      <c r="D657" s="4"/>
      <c r="E657" t="str">
        <f>A657&amp;"|"&amp;C657&amp;"|"&amp;B657</f>
        <v>Scenario 10|elc_transport|2040</v>
      </c>
    </row>
    <row r="658" spans="1:5" ht="13.8">
      <c r="A658" t="str">
        <f>INDEX(Controller!$H$2:$H$11,INT((ROW()-2)/70)+1)</f>
        <v>Scenario 10</v>
      </c>
      <c r="B658" s="2">
        <v>2045</v>
      </c>
      <c r="C658" t="str">
        <f>INDEX(Controller!$J$2:$J$11,MOD(INT((ROW()-2)/7),10)+1)</f>
        <v>elc_transport</v>
      </c>
      <c r="D658" s="4"/>
      <c r="E658" t="str">
        <f>A658&amp;"|"&amp;C658&amp;"|"&amp;B658</f>
        <v>Scenario 10|elc_transport|2045</v>
      </c>
    </row>
    <row r="659" spans="1:5" ht="13.8">
      <c r="A659" t="str">
        <f>INDEX(Controller!$H$2:$H$11,INT((ROW()-2)/70)+1)</f>
        <v>Scenario 10</v>
      </c>
      <c r="B659" s="2">
        <v>2050</v>
      </c>
      <c r="C659" t="str">
        <f>INDEX(Controller!$J$2:$J$11,MOD(INT((ROW()-2)/7),10)+1)</f>
        <v>elc_transport</v>
      </c>
      <c r="D659" s="4"/>
      <c r="E659" t="str">
        <f>A659&amp;"|"&amp;C659&amp;"|"&amp;B659</f>
        <v>Scenario 10|elc_transport|2050</v>
      </c>
    </row>
    <row r="660" spans="1:5" ht="13.8">
      <c r="A660" t="str">
        <f>INDEX(Controller!$H$2:$H$11,INT((ROW()-2)/70)+1)</f>
        <v>Scenario 10</v>
      </c>
      <c r="B660" s="2">
        <v>2022</v>
      </c>
      <c r="C660" t="str">
        <f>INDEX(Controller!$J$2:$J$11,MOD(INT((ROW()-2)/7),10)+1)</f>
        <v>elc_roadtransport</v>
      </c>
      <c r="D660" s="4"/>
      <c r="E660" t="str">
        <f>A660&amp;"|"&amp;C660&amp;"|"&amp;B660</f>
        <v>Scenario 10|elc_roadtransport|2022</v>
      </c>
    </row>
    <row r="661" spans="1:5" ht="13.8">
      <c r="A661" t="str">
        <f>INDEX(Controller!$H$2:$H$11,INT((ROW()-2)/70)+1)</f>
        <v>Scenario 10</v>
      </c>
      <c r="B661" s="2">
        <v>2025</v>
      </c>
      <c r="C661" t="str">
        <f>INDEX(Controller!$J$2:$J$11,MOD(INT((ROW()-2)/7),10)+1)</f>
        <v>elc_roadtransport</v>
      </c>
      <c r="D661" s="4"/>
      <c r="E661" t="str">
        <f>A661&amp;"|"&amp;C661&amp;"|"&amp;B661</f>
        <v>Scenario 10|elc_roadtransport|2025</v>
      </c>
    </row>
    <row r="662" spans="1:5" ht="13.8">
      <c r="A662" t="str">
        <f>INDEX(Controller!$H$2:$H$11,INT((ROW()-2)/70)+1)</f>
        <v>Scenario 10</v>
      </c>
      <c r="B662" s="2">
        <v>2030</v>
      </c>
      <c r="C662" t="str">
        <f>INDEX(Controller!$J$2:$J$11,MOD(INT((ROW()-2)/7),10)+1)</f>
        <v>elc_roadtransport</v>
      </c>
      <c r="D662" s="4"/>
      <c r="E662" t="str">
        <f>A662&amp;"|"&amp;C662&amp;"|"&amp;B662</f>
        <v>Scenario 10|elc_roadtransport|2030</v>
      </c>
    </row>
    <row r="663" spans="1:5" ht="13.8">
      <c r="A663" t="str">
        <f>INDEX(Controller!$H$2:$H$11,INT((ROW()-2)/70)+1)</f>
        <v>Scenario 10</v>
      </c>
      <c r="B663" s="2">
        <v>2035</v>
      </c>
      <c r="C663" t="str">
        <f>INDEX(Controller!$J$2:$J$11,MOD(INT((ROW()-2)/7),10)+1)</f>
        <v>elc_roadtransport</v>
      </c>
      <c r="D663" s="4"/>
      <c r="E663" t="str">
        <f>A663&amp;"|"&amp;C663&amp;"|"&amp;B663</f>
        <v>Scenario 10|elc_roadtransport|2035</v>
      </c>
    </row>
    <row r="664" spans="1:5" ht="13.8">
      <c r="A664" t="str">
        <f>INDEX(Controller!$H$2:$H$11,INT((ROW()-2)/70)+1)</f>
        <v>Scenario 10</v>
      </c>
      <c r="B664" s="2">
        <v>2040</v>
      </c>
      <c r="C664" t="str">
        <f>INDEX(Controller!$J$2:$J$11,MOD(INT((ROW()-2)/7),10)+1)</f>
        <v>elc_roadtransport</v>
      </c>
      <c r="D664" s="4"/>
      <c r="E664" t="str">
        <f>A664&amp;"|"&amp;C664&amp;"|"&amp;B664</f>
        <v>Scenario 10|elc_roadtransport|2040</v>
      </c>
    </row>
    <row r="665" spans="1:5" ht="13.8">
      <c r="A665" t="str">
        <f>INDEX(Controller!$H$2:$H$11,INT((ROW()-2)/70)+1)</f>
        <v>Scenario 10</v>
      </c>
      <c r="B665" s="2">
        <v>2045</v>
      </c>
      <c r="C665" t="str">
        <f>INDEX(Controller!$J$2:$J$11,MOD(INT((ROW()-2)/7),10)+1)</f>
        <v>elc_roadtransport</v>
      </c>
      <c r="D665" s="4"/>
      <c r="E665" t="str">
        <f>A665&amp;"|"&amp;C665&amp;"|"&amp;B665</f>
        <v>Scenario 10|elc_roadtransport|2045</v>
      </c>
    </row>
    <row r="666" spans="1:5" ht="13.8">
      <c r="A666" t="str">
        <f>INDEX(Controller!$H$2:$H$11,INT((ROW()-2)/70)+1)</f>
        <v>Scenario 10</v>
      </c>
      <c r="B666" s="2">
        <v>2050</v>
      </c>
      <c r="C666" t="str">
        <f>INDEX(Controller!$J$2:$J$11,MOD(INT((ROW()-2)/7),10)+1)</f>
        <v>elc_roadtransport</v>
      </c>
      <c r="D666" s="4"/>
      <c r="E666" t="str">
        <f>A666&amp;"|"&amp;C666&amp;"|"&amp;B666</f>
        <v>Scenario 10|elc_roadtransport|2050</v>
      </c>
    </row>
    <row r="667" spans="1:5" ht="13.8">
      <c r="A667" t="str">
        <f>INDEX(Controller!$H$2:$H$11,INT((ROW()-2)/70)+1)</f>
        <v>Scenario 10</v>
      </c>
      <c r="B667" s="2">
        <v>2022</v>
      </c>
      <c r="C667" t="str">
        <f>INDEX(Controller!$J$2:$J$11,MOD(INT((ROW()-2)/7),10)+1)</f>
        <v>het_industry</v>
      </c>
      <c r="D667" s="4"/>
      <c r="E667" t="str">
        <f>A667&amp;"|"&amp;C667&amp;"|"&amp;B667</f>
        <v>Scenario 10|het_industry|2022</v>
      </c>
    </row>
    <row r="668" spans="1:5" ht="13.8">
      <c r="A668" t="str">
        <f>INDEX(Controller!$H$2:$H$11,INT((ROW()-2)/70)+1)</f>
        <v>Scenario 10</v>
      </c>
      <c r="B668" s="2">
        <v>2025</v>
      </c>
      <c r="C668" t="str">
        <f>INDEX(Controller!$J$2:$J$11,MOD(INT((ROW()-2)/7),10)+1)</f>
        <v>het_industry</v>
      </c>
      <c r="D668" s="4"/>
      <c r="E668" t="str">
        <f>A668&amp;"|"&amp;C668&amp;"|"&amp;B668</f>
        <v>Scenario 10|het_industry|2025</v>
      </c>
    </row>
    <row r="669" spans="1:5" ht="13.8">
      <c r="A669" t="str">
        <f>INDEX(Controller!$H$2:$H$11,INT((ROW()-2)/70)+1)</f>
        <v>Scenario 10</v>
      </c>
      <c r="B669" s="2">
        <v>2030</v>
      </c>
      <c r="C669" t="str">
        <f>INDEX(Controller!$J$2:$J$11,MOD(INT((ROW()-2)/7),10)+1)</f>
        <v>het_industry</v>
      </c>
      <c r="D669" s="4"/>
      <c r="E669" t="str">
        <f>A669&amp;"|"&amp;C669&amp;"|"&amp;B669</f>
        <v>Scenario 10|het_industry|2030</v>
      </c>
    </row>
    <row r="670" spans="1:5" ht="13.8">
      <c r="A670" t="str">
        <f>INDEX(Controller!$H$2:$H$11,INT((ROW()-2)/70)+1)</f>
        <v>Scenario 10</v>
      </c>
      <c r="B670" s="2">
        <v>2035</v>
      </c>
      <c r="C670" t="str">
        <f>INDEX(Controller!$J$2:$J$11,MOD(INT((ROW()-2)/7),10)+1)</f>
        <v>het_industry</v>
      </c>
      <c r="D670" s="4"/>
      <c r="E670" t="str">
        <f>A670&amp;"|"&amp;C670&amp;"|"&amp;B670</f>
        <v>Scenario 10|het_industry|2035</v>
      </c>
    </row>
    <row r="671" spans="1:5" ht="13.8">
      <c r="A671" t="str">
        <f>INDEX(Controller!$H$2:$H$11,INT((ROW()-2)/70)+1)</f>
        <v>Scenario 10</v>
      </c>
      <c r="B671" s="2">
        <v>2040</v>
      </c>
      <c r="C671" t="str">
        <f>INDEX(Controller!$J$2:$J$11,MOD(INT((ROW()-2)/7),10)+1)</f>
        <v>het_industry</v>
      </c>
      <c r="D671" s="4"/>
      <c r="E671" t="str">
        <f>A671&amp;"|"&amp;C671&amp;"|"&amp;B671</f>
        <v>Scenario 10|het_industry|2040</v>
      </c>
    </row>
    <row r="672" spans="1:5" ht="13.8">
      <c r="A672" t="str">
        <f>INDEX(Controller!$H$2:$H$11,INT((ROW()-2)/70)+1)</f>
        <v>Scenario 10</v>
      </c>
      <c r="B672" s="2">
        <v>2045</v>
      </c>
      <c r="C672" t="str">
        <f>INDEX(Controller!$J$2:$J$11,MOD(INT((ROW()-2)/7),10)+1)</f>
        <v>het_industry</v>
      </c>
      <c r="D672" s="4"/>
      <c r="E672" t="str">
        <f>A672&amp;"|"&amp;C672&amp;"|"&amp;B672</f>
        <v>Scenario 10|het_industry|2045</v>
      </c>
    </row>
    <row r="673" spans="1:5" ht="13.8">
      <c r="A673" t="str">
        <f>INDEX(Controller!$H$2:$H$11,INT((ROW()-2)/70)+1)</f>
        <v>Scenario 10</v>
      </c>
      <c r="B673" s="2">
        <v>2050</v>
      </c>
      <c r="C673" t="str">
        <f>INDEX(Controller!$J$2:$J$11,MOD(INT((ROW()-2)/7),10)+1)</f>
        <v>het_industry</v>
      </c>
      <c r="D673" s="4"/>
      <c r="E673" t="str">
        <f>A673&amp;"|"&amp;C673&amp;"|"&amp;B673</f>
        <v>Scenario 10|het_industry|2050</v>
      </c>
    </row>
    <row r="674" spans="1:5" ht="13.8">
      <c r="A674" t="str">
        <f>INDEX(Controller!$H$2:$H$11,INT((ROW()-2)/70)+1)</f>
        <v>Scenario 10</v>
      </c>
      <c r="B674" s="2">
        <v>2022</v>
      </c>
      <c r="C674" t="str">
        <f>INDEX(Controller!$J$2:$J$11,MOD(INT((ROW()-2)/7),10)+1)</f>
        <v>het_buildings</v>
      </c>
      <c r="D674" s="4"/>
      <c r="E674" t="str">
        <f>A674&amp;"|"&amp;C674&amp;"|"&amp;B674</f>
        <v>Scenario 10|het_buildings|2022</v>
      </c>
    </row>
    <row r="675" spans="1:5" ht="13.8">
      <c r="A675" t="str">
        <f>INDEX(Controller!$H$2:$H$11,INT((ROW()-2)/70)+1)</f>
        <v>Scenario 10</v>
      </c>
      <c r="B675" s="2">
        <v>2025</v>
      </c>
      <c r="C675" t="str">
        <f>INDEX(Controller!$J$2:$J$11,MOD(INT((ROW()-2)/7),10)+1)</f>
        <v>het_buildings</v>
      </c>
      <c r="D675" s="4"/>
      <c r="E675" t="str">
        <f>A675&amp;"|"&amp;C675&amp;"|"&amp;B675</f>
        <v>Scenario 10|het_buildings|2025</v>
      </c>
    </row>
    <row r="676" spans="1:5" ht="13.8">
      <c r="A676" t="str">
        <f>INDEX(Controller!$H$2:$H$11,INT((ROW()-2)/70)+1)</f>
        <v>Scenario 10</v>
      </c>
      <c r="B676" s="2">
        <v>2030</v>
      </c>
      <c r="C676" t="str">
        <f>INDEX(Controller!$J$2:$J$11,MOD(INT((ROW()-2)/7),10)+1)</f>
        <v>het_buildings</v>
      </c>
      <c r="D676" s="4"/>
      <c r="E676" t="str">
        <f>A676&amp;"|"&amp;C676&amp;"|"&amp;B676</f>
        <v>Scenario 10|het_buildings|2030</v>
      </c>
    </row>
    <row r="677" spans="1:5" ht="13.8">
      <c r="A677" t="str">
        <f>INDEX(Controller!$H$2:$H$11,INT((ROW()-2)/70)+1)</f>
        <v>Scenario 10</v>
      </c>
      <c r="B677" s="2">
        <v>2035</v>
      </c>
      <c r="C677" t="str">
        <f>INDEX(Controller!$J$2:$J$11,MOD(INT((ROW()-2)/7),10)+1)</f>
        <v>het_buildings</v>
      </c>
      <c r="D677" s="4"/>
      <c r="E677" t="str">
        <f>A677&amp;"|"&amp;C677&amp;"|"&amp;B677</f>
        <v>Scenario 10|het_buildings|2035</v>
      </c>
    </row>
    <row r="678" spans="1:5" ht="13.8">
      <c r="A678" t="str">
        <f>INDEX(Controller!$H$2:$H$11,INT((ROW()-2)/70)+1)</f>
        <v>Scenario 10</v>
      </c>
      <c r="B678" s="2">
        <v>2040</v>
      </c>
      <c r="C678" t="str">
        <f>INDEX(Controller!$J$2:$J$11,MOD(INT((ROW()-2)/7),10)+1)</f>
        <v>het_buildings</v>
      </c>
      <c r="D678" s="4"/>
      <c r="E678" t="str">
        <f>A678&amp;"|"&amp;C678&amp;"|"&amp;B678</f>
        <v>Scenario 10|het_buildings|2040</v>
      </c>
    </row>
    <row r="679" spans="1:5" ht="13.8">
      <c r="A679" t="str">
        <f>INDEX(Controller!$H$2:$H$11,INT((ROW()-2)/70)+1)</f>
        <v>Scenario 10</v>
      </c>
      <c r="B679" s="2">
        <v>2045</v>
      </c>
      <c r="C679" t="str">
        <f>INDEX(Controller!$J$2:$J$11,MOD(INT((ROW()-2)/7),10)+1)</f>
        <v>het_buildings</v>
      </c>
      <c r="D679" s="4"/>
      <c r="E679" t="str">
        <f>A679&amp;"|"&amp;C679&amp;"|"&amp;B679</f>
        <v>Scenario 10|het_buildings|2045</v>
      </c>
    </row>
    <row r="680" spans="1:5" ht="13.8">
      <c r="A680" t="str">
        <f>INDEX(Controller!$H$2:$H$11,INT((ROW()-2)/70)+1)</f>
        <v>Scenario 10</v>
      </c>
      <c r="B680" s="2">
        <v>2050</v>
      </c>
      <c r="C680" t="str">
        <f>INDEX(Controller!$J$2:$J$11,MOD(INT((ROW()-2)/7),10)+1)</f>
        <v>het_buildings</v>
      </c>
      <c r="D680" s="4"/>
      <c r="E680" t="str">
        <f>A680&amp;"|"&amp;C680&amp;"|"&amp;B680</f>
        <v>Scenario 10|het_buildings|2050</v>
      </c>
    </row>
    <row r="681" spans="1:5" ht="13.8">
      <c r="A681" t="str">
        <f>INDEX(Controller!$H$2:$H$11,INT((ROW()-2)/70)+1)</f>
        <v>Scenario 10</v>
      </c>
      <c r="B681" s="2">
        <v>2022</v>
      </c>
      <c r="C681" t="str">
        <f>INDEX(Controller!$J$2:$J$11,MOD(INT((ROW()-2)/7),10)+1)</f>
        <v>co2net</v>
      </c>
      <c r="D681" s="4"/>
      <c r="E681" t="str">
        <f>A681&amp;"|"&amp;C681&amp;"|"&amp;B681</f>
        <v>Scenario 10|co2net|2022</v>
      </c>
    </row>
    <row r="682" spans="1:5" ht="13.8">
      <c r="A682" t="str">
        <f>INDEX(Controller!$H$2:$H$11,INT((ROW()-2)/70)+1)</f>
        <v>Scenario 10</v>
      </c>
      <c r="B682" s="2">
        <v>2025</v>
      </c>
      <c r="C682" t="str">
        <f>INDEX(Controller!$J$2:$J$11,MOD(INT((ROW()-2)/7),10)+1)</f>
        <v>co2net</v>
      </c>
      <c r="D682" s="4"/>
      <c r="E682" t="str">
        <f>A682&amp;"|"&amp;C682&amp;"|"&amp;B682</f>
        <v>Scenario 10|co2net|2025</v>
      </c>
    </row>
    <row r="683" spans="1:5" ht="13.8">
      <c r="A683" t="str">
        <f>INDEX(Controller!$H$2:$H$11,INT((ROW()-2)/70)+1)</f>
        <v>Scenario 10</v>
      </c>
      <c r="B683" s="2">
        <v>2030</v>
      </c>
      <c r="C683" t="str">
        <f>INDEX(Controller!$J$2:$J$11,MOD(INT((ROW()-2)/7),10)+1)</f>
        <v>co2net</v>
      </c>
      <c r="D683" s="4"/>
      <c r="E683" t="str">
        <f>A683&amp;"|"&amp;C683&amp;"|"&amp;B683</f>
        <v>Scenario 10|co2net|2030</v>
      </c>
    </row>
    <row r="684" spans="1:5" ht="13.8">
      <c r="A684" t="str">
        <f>INDEX(Controller!$H$2:$H$11,INT((ROW()-2)/70)+1)</f>
        <v>Scenario 10</v>
      </c>
      <c r="B684" s="2">
        <v>2035</v>
      </c>
      <c r="C684" t="str">
        <f>INDEX(Controller!$J$2:$J$11,MOD(INT((ROW()-2)/7),10)+1)</f>
        <v>co2net</v>
      </c>
      <c r="D684" s="4"/>
      <c r="E684" t="str">
        <f>A684&amp;"|"&amp;C684&amp;"|"&amp;B684</f>
        <v>Scenario 10|co2net|2035</v>
      </c>
    </row>
    <row r="685" spans="1:5" ht="13.8">
      <c r="A685" t="str">
        <f>INDEX(Controller!$H$2:$H$11,INT((ROW()-2)/70)+1)</f>
        <v>Scenario 10</v>
      </c>
      <c r="B685" s="2">
        <v>2040</v>
      </c>
      <c r="C685" t="str">
        <f>INDEX(Controller!$J$2:$J$11,MOD(INT((ROW()-2)/7),10)+1)</f>
        <v>co2net</v>
      </c>
      <c r="D685" s="4"/>
      <c r="E685" t="str">
        <f>A685&amp;"|"&amp;C685&amp;"|"&amp;B685</f>
        <v>Scenario 10|co2net|2040</v>
      </c>
    </row>
    <row r="686" spans="1:5" ht="13.8">
      <c r="A686" t="str">
        <f>INDEX(Controller!$H$2:$H$11,INT((ROW()-2)/70)+1)</f>
        <v>Scenario 10</v>
      </c>
      <c r="B686" s="2">
        <v>2045</v>
      </c>
      <c r="C686" t="str">
        <f>INDEX(Controller!$J$2:$J$11,MOD(INT((ROW()-2)/7),10)+1)</f>
        <v>co2net</v>
      </c>
      <c r="D686" s="4"/>
      <c r="E686" t="str">
        <f>A686&amp;"|"&amp;C686&amp;"|"&amp;B686</f>
        <v>Scenario 10|co2net|2045</v>
      </c>
    </row>
    <row r="687" spans="1:5" ht="13.8">
      <c r="A687" t="str">
        <f>INDEX(Controller!$H$2:$H$11,INT((ROW()-2)/70)+1)</f>
        <v>Scenario 10</v>
      </c>
      <c r="B687" s="2">
        <v>2050</v>
      </c>
      <c r="C687" t="str">
        <f>INDEX(Controller!$J$2:$J$11,MOD(INT((ROW()-2)/7),10)+1)</f>
        <v>co2net</v>
      </c>
      <c r="D687" s="4"/>
      <c r="E687" t="str">
        <f>A687&amp;"|"&amp;C687&amp;"|"&amp;B687</f>
        <v>Scenario 10|co2net|2050</v>
      </c>
    </row>
    <row r="688" spans="1:5" ht="13.8">
      <c r="A688" t="str">
        <f>INDEX(Controller!$H$2:$H$11,INT((ROW()-2)/70)+1)</f>
        <v>Scenario 10</v>
      </c>
      <c r="B688" s="2">
        <v>2022</v>
      </c>
      <c r="C688" t="str">
        <f>INDEX(Controller!$J$2:$J$11,MOD(INT((ROW()-2)/7),10)+1)</f>
        <v>Variable 9</v>
      </c>
      <c r="D688" s="4"/>
      <c r="E688" t="str">
        <f>A688&amp;"|"&amp;C688&amp;"|"&amp;B688</f>
        <v>Scenario 10|Variable 9|2022</v>
      </c>
    </row>
    <row r="689" spans="1:5" ht="13.8">
      <c r="A689" t="str">
        <f>INDEX(Controller!$H$2:$H$11,INT((ROW()-2)/70)+1)</f>
        <v>Scenario 10</v>
      </c>
      <c r="B689" s="2">
        <v>2025</v>
      </c>
      <c r="C689" t="str">
        <f>INDEX(Controller!$J$2:$J$11,MOD(INT((ROW()-2)/7),10)+1)</f>
        <v>Variable 9</v>
      </c>
      <c r="D689" s="4"/>
      <c r="E689" t="str">
        <f>A689&amp;"|"&amp;C689&amp;"|"&amp;B689</f>
        <v>Scenario 10|Variable 9|2025</v>
      </c>
    </row>
    <row r="690" spans="1:5" ht="13.8">
      <c r="A690" t="str">
        <f>INDEX(Controller!$H$2:$H$11,INT((ROW()-2)/70)+1)</f>
        <v>Scenario 10</v>
      </c>
      <c r="B690" s="2">
        <v>2030</v>
      </c>
      <c r="C690" t="str">
        <f>INDEX(Controller!$J$2:$J$11,MOD(INT((ROW()-2)/7),10)+1)</f>
        <v>Variable 9</v>
      </c>
      <c r="D690" s="4"/>
      <c r="E690" t="str">
        <f>A690&amp;"|"&amp;C690&amp;"|"&amp;B690</f>
        <v>Scenario 10|Variable 9|2030</v>
      </c>
    </row>
    <row r="691" spans="1:5" ht="13.8">
      <c r="A691" t="str">
        <f>INDEX(Controller!$H$2:$H$11,INT((ROW()-2)/70)+1)</f>
        <v>Scenario 10</v>
      </c>
      <c r="B691" s="2">
        <v>2035</v>
      </c>
      <c r="C691" t="str">
        <f>INDEX(Controller!$J$2:$J$11,MOD(INT((ROW()-2)/7),10)+1)</f>
        <v>Variable 9</v>
      </c>
      <c r="D691" s="4"/>
      <c r="E691" t="str">
        <f>A691&amp;"|"&amp;C691&amp;"|"&amp;B691</f>
        <v>Scenario 10|Variable 9|2035</v>
      </c>
    </row>
    <row r="692" spans="1:5" ht="13.8">
      <c r="A692" t="str">
        <f>INDEX(Controller!$H$2:$H$11,INT((ROW()-2)/70)+1)</f>
        <v>Scenario 10</v>
      </c>
      <c r="B692" s="2">
        <v>2040</v>
      </c>
      <c r="C692" t="str">
        <f>INDEX(Controller!$J$2:$J$11,MOD(INT((ROW()-2)/7),10)+1)</f>
        <v>Variable 9</v>
      </c>
      <c r="D692" s="4"/>
      <c r="E692" t="str">
        <f>A692&amp;"|"&amp;C692&amp;"|"&amp;B692</f>
        <v>Scenario 10|Variable 9|2040</v>
      </c>
    </row>
    <row r="693" spans="1:5" ht="13.8">
      <c r="A693" t="str">
        <f>INDEX(Controller!$H$2:$H$11,INT((ROW()-2)/70)+1)</f>
        <v>Scenario 10</v>
      </c>
      <c r="B693" s="2">
        <v>2045</v>
      </c>
      <c r="C693" t="str">
        <f>INDEX(Controller!$J$2:$J$11,MOD(INT((ROW()-2)/7),10)+1)</f>
        <v>Variable 9</v>
      </c>
      <c r="D693" s="4"/>
      <c r="E693" t="str">
        <f>A693&amp;"|"&amp;C693&amp;"|"&amp;B693</f>
        <v>Scenario 10|Variable 9|2045</v>
      </c>
    </row>
    <row r="694" spans="1:5" ht="13.8">
      <c r="A694" t="str">
        <f>INDEX(Controller!$H$2:$H$11,INT((ROW()-2)/70)+1)</f>
        <v>Scenario 10</v>
      </c>
      <c r="B694" s="2">
        <v>2050</v>
      </c>
      <c r="C694" t="str">
        <f>INDEX(Controller!$J$2:$J$11,MOD(INT((ROW()-2)/7),10)+1)</f>
        <v>Variable 9</v>
      </c>
      <c r="D694" s="4"/>
      <c r="E694" t="str">
        <f>A694&amp;"|"&amp;C694&amp;"|"&amp;B694</f>
        <v>Scenario 10|Variable 9|2050</v>
      </c>
    </row>
    <row r="695" spans="1:5" ht="13.8">
      <c r="A695" t="str">
        <f>INDEX(Controller!$H$2:$H$11,INT((ROW()-2)/70)+1)</f>
        <v>Scenario 10</v>
      </c>
      <c r="B695" s="2">
        <v>2022</v>
      </c>
      <c r="C695" t="str">
        <f>INDEX(Controller!$J$2:$J$11,MOD(INT((ROW()-2)/7),10)+1)</f>
        <v>Variable 10</v>
      </c>
      <c r="D695" s="4"/>
      <c r="E695" t="str">
        <f>A695&amp;"|"&amp;C695&amp;"|"&amp;B695</f>
        <v>Scenario 10|Variable 10|2022</v>
      </c>
    </row>
    <row r="696" spans="1:5" ht="13.8">
      <c r="A696" t="str">
        <f>INDEX(Controller!$H$2:$H$11,INT((ROW()-2)/70)+1)</f>
        <v>Scenario 10</v>
      </c>
      <c r="B696" s="2">
        <v>2025</v>
      </c>
      <c r="C696" t="str">
        <f>INDEX(Controller!$J$2:$J$11,MOD(INT((ROW()-2)/7),10)+1)</f>
        <v>Variable 10</v>
      </c>
      <c r="D696" s="4"/>
      <c r="E696" t="str">
        <f>A696&amp;"|"&amp;C696&amp;"|"&amp;B696</f>
        <v>Scenario 10|Variable 10|2025</v>
      </c>
    </row>
    <row r="697" spans="1:5" ht="13.8">
      <c r="A697" t="str">
        <f>INDEX(Controller!$H$2:$H$11,INT((ROW()-2)/70)+1)</f>
        <v>Scenario 10</v>
      </c>
      <c r="B697" s="2">
        <v>2030</v>
      </c>
      <c r="C697" t="str">
        <f>INDEX(Controller!$J$2:$J$11,MOD(INT((ROW()-2)/7),10)+1)</f>
        <v>Variable 10</v>
      </c>
      <c r="D697" s="4"/>
      <c r="E697" t="str">
        <f>A697&amp;"|"&amp;C697&amp;"|"&amp;B697</f>
        <v>Scenario 10|Variable 10|2030</v>
      </c>
    </row>
    <row r="698" spans="1:5" ht="13.8">
      <c r="A698" t="str">
        <f>INDEX(Controller!$H$2:$H$11,INT((ROW()-2)/70)+1)</f>
        <v>Scenario 10</v>
      </c>
      <c r="B698" s="2">
        <v>2035</v>
      </c>
      <c r="C698" t="str">
        <f>INDEX(Controller!$J$2:$J$11,MOD(INT((ROW()-2)/7),10)+1)</f>
        <v>Variable 10</v>
      </c>
      <c r="D698" s="4"/>
      <c r="E698" t="str">
        <f>A698&amp;"|"&amp;C698&amp;"|"&amp;B698</f>
        <v>Scenario 10|Variable 10|2035</v>
      </c>
    </row>
    <row r="699" spans="1:5" ht="13.8">
      <c r="A699" t="str">
        <f>INDEX(Controller!$H$2:$H$11,INT((ROW()-2)/70)+1)</f>
        <v>Scenario 10</v>
      </c>
      <c r="B699" s="2">
        <v>2040</v>
      </c>
      <c r="C699" t="str">
        <f>INDEX(Controller!$J$2:$J$11,MOD(INT((ROW()-2)/7),10)+1)</f>
        <v>Variable 10</v>
      </c>
      <c r="D699" s="4"/>
      <c r="E699" t="str">
        <f>A699&amp;"|"&amp;C699&amp;"|"&amp;B699</f>
        <v>Scenario 10|Variable 10|2040</v>
      </c>
    </row>
    <row r="700" spans="1:5" ht="13.8">
      <c r="A700" t="str">
        <f>INDEX(Controller!$H$2:$H$11,INT((ROW()-2)/70)+1)</f>
        <v>Scenario 10</v>
      </c>
      <c r="B700" s="2">
        <v>2045</v>
      </c>
      <c r="C700" t="str">
        <f>INDEX(Controller!$J$2:$J$11,MOD(INT((ROW()-2)/7),10)+1)</f>
        <v>Variable 10</v>
      </c>
      <c r="D700" s="4"/>
      <c r="E700" t="str">
        <f>A700&amp;"|"&amp;C700&amp;"|"&amp;B700</f>
        <v>Scenario 10|Variable 10|2045</v>
      </c>
    </row>
    <row r="701" spans="1:5" ht="13.8">
      <c r="A701" t="str">
        <f>INDEX(Controller!$H$2:$H$11,INT((ROW()-2)/70)+1)</f>
        <v>Scenario 10</v>
      </c>
      <c r="B701" s="2">
        <v>2050</v>
      </c>
      <c r="C701" t="str">
        <f>INDEX(Controller!$J$2:$J$11,MOD(INT((ROW()-2)/7),10)+1)</f>
        <v>Variable 10</v>
      </c>
      <c r="D701" s="4"/>
      <c r="E701" t="str">
        <f>A701&amp;"|"&amp;C701&amp;"|"&amp;B701</f>
        <v>Scenario 10|Variable 10|2050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D48335-8530-473F-BF76-67EDDB11BA78}">
  <dimension ref="A3:C5"/>
  <sheetViews>
    <sheetView zoomScale="115" zoomScaleNormal="115" workbookViewId="0" topLeftCell="A1">
      <selection pane="topLeft" activeCell="A4" sqref="A4"/>
    </sheetView>
  </sheetViews>
  <sheetFormatPr defaultRowHeight="13.8"/>
  <sheetData>
    <row r="3" spans="1:1" ht="13.8">
      <c r="A3" t="s">
        <v>106</v>
      </c>
    </row>
    <row r="4" spans="1:3" ht="13.8">
      <c r="A4" t="s">
        <v>105</v>
      </c>
      <c r="B4" t="s">
        <v>104</v>
      </c>
      <c r="C4" t="s">
        <v>103</v>
      </c>
    </row>
    <row r="5" spans="1:3" ht="13.8">
      <c r="A5" t="s">
        <v>102</v>
      </c>
      <c r="B5">
        <v>2100</v>
      </c>
      <c r="C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Controller</vt:lpstr>
      <vt:lpstr>VEDA</vt:lpstr>
      <vt:lpstr>Scenario_View</vt:lpstr>
      <vt:lpstr>CO2_t</vt:lpstr>
      <vt:lpstr>Prices</vt:lpstr>
      <vt:lpstr>Data</vt:lpstr>
      <vt:lpstr>Sheet4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Rocco De Miglio</cp:lastModifiedBy>
  <dcterms:modified xsi:type="dcterms:W3CDTF">2026-09-01T12:05:09Z</dcterms:modified>
  <cp:category/>
</cp:coreProperties>
</file>