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Veda\Veda_models\MyModels\VerveStacks_POL_grids_kan50\SuppXLS\"/>
    </mc:Choice>
  </mc:AlternateContent>
  <xr:revisionPtr revIDLastSave="0" documentId="13_ncr:1_{E3E150CE-6E4D-40C6-AB24-2D0B8F83FBAE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Controller" sheetId="3" r:id="rId1"/>
    <sheet name="VEDA" sheetId="5" r:id="rId2"/>
    <sheet name="Scenario_View" sheetId="4" r:id="rId3"/>
    <sheet name="CO2_t" sheetId="6" r:id="rId4"/>
    <sheet name="Prices" sheetId="7" r:id="rId5"/>
    <sheet name="Data" sheetId="1" r:id="rId6"/>
    <sheet name="Sheet4" sheetId="8" r:id="rId7"/>
  </sheets>
  <externalReferences>
    <externalReference r:id="rId8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2" i="5" l="1"/>
  <c r="E12" i="5"/>
  <c r="F12" i="5"/>
  <c r="G12" i="5"/>
  <c r="H12" i="5"/>
  <c r="I12" i="5"/>
  <c r="C12" i="5"/>
  <c r="D6" i="3"/>
  <c r="B13" i="3"/>
  <c r="B14" i="3"/>
  <c r="B15" i="3"/>
  <c r="B16" i="3"/>
  <c r="D246" i="1"/>
  <c r="D245" i="1"/>
  <c r="D244" i="1"/>
  <c r="D243" i="1"/>
  <c r="D242" i="1"/>
  <c r="D241" i="1"/>
  <c r="D172" i="1"/>
  <c r="D173" i="1" s="1"/>
  <c r="D174" i="1" s="1"/>
  <c r="D175" i="1" s="1"/>
  <c r="D176" i="1" s="1"/>
  <c r="D171" i="1"/>
  <c r="D248" i="1"/>
  <c r="D249" i="1" s="1"/>
  <c r="D250" i="1" s="1"/>
  <c r="D251" i="1" s="1"/>
  <c r="D252" i="1" s="1"/>
  <c r="D253" i="1" s="1"/>
  <c r="D232" i="1"/>
  <c r="D231" i="1"/>
  <c r="D230" i="1"/>
  <c r="D229" i="1"/>
  <c r="D228" i="1"/>
  <c r="D227" i="1"/>
  <c r="D164" i="1"/>
  <c r="D255" i="1"/>
  <c r="D256" i="1" s="1"/>
  <c r="D257" i="1" s="1"/>
  <c r="D258" i="1" s="1"/>
  <c r="D259" i="1" s="1"/>
  <c r="D260" i="1" s="1"/>
  <c r="D185" i="1"/>
  <c r="D186" i="1" s="1"/>
  <c r="D187" i="1" s="1"/>
  <c r="D188" i="1" s="1"/>
  <c r="D189" i="1" s="1"/>
  <c r="D190" i="1" s="1"/>
  <c r="D115" i="1"/>
  <c r="D116" i="1" s="1"/>
  <c r="D117" i="1" s="1"/>
  <c r="D118" i="1" s="1"/>
  <c r="D119" i="1" s="1"/>
  <c r="D120" i="1" s="1"/>
  <c r="D46" i="1"/>
  <c r="D47" i="1" s="1"/>
  <c r="D48" i="1" s="1"/>
  <c r="D49" i="1" s="1"/>
  <c r="D50" i="1" s="1"/>
  <c r="D45" i="1"/>
  <c r="D234" i="1"/>
  <c r="D235" i="1" s="1"/>
  <c r="D236" i="1" s="1"/>
  <c r="D237" i="1" s="1"/>
  <c r="D238" i="1" s="1"/>
  <c r="D239" i="1" s="1"/>
  <c r="D220" i="1"/>
  <c r="D221" i="1" s="1"/>
  <c r="D222" i="1" s="1"/>
  <c r="D223" i="1" s="1"/>
  <c r="D224" i="1" s="1"/>
  <c r="D225" i="1" s="1"/>
  <c r="D214" i="1"/>
  <c r="D215" i="1" s="1"/>
  <c r="D216" i="1" s="1"/>
  <c r="D217" i="1" s="1"/>
  <c r="D218" i="1" s="1"/>
  <c r="D213" i="1"/>
  <c r="D178" i="1"/>
  <c r="D179" i="1" s="1"/>
  <c r="D180" i="1" s="1"/>
  <c r="D181" i="1" s="1"/>
  <c r="D182" i="1" s="1"/>
  <c r="D183" i="1" s="1"/>
  <c r="D165" i="1"/>
  <c r="D166" i="1" s="1"/>
  <c r="D167" i="1" s="1"/>
  <c r="D168" i="1" s="1"/>
  <c r="D169" i="1" s="1"/>
  <c r="D157" i="1"/>
  <c r="D158" i="1" s="1"/>
  <c r="D159" i="1" s="1"/>
  <c r="D160" i="1" s="1"/>
  <c r="D161" i="1" s="1"/>
  <c r="D162" i="1" s="1"/>
  <c r="D150" i="1"/>
  <c r="D151" i="1" s="1"/>
  <c r="D152" i="1" s="1"/>
  <c r="D153" i="1" s="1"/>
  <c r="D154" i="1" s="1"/>
  <c r="D155" i="1" s="1"/>
  <c r="D144" i="1"/>
  <c r="D145" i="1" s="1"/>
  <c r="D146" i="1" s="1"/>
  <c r="D147" i="1" s="1"/>
  <c r="D148" i="1" s="1"/>
  <c r="D143" i="1"/>
  <c r="D108" i="1"/>
  <c r="D109" i="1" s="1"/>
  <c r="D110" i="1" s="1"/>
  <c r="D111" i="1" s="1"/>
  <c r="D112" i="1" s="1"/>
  <c r="D113" i="1" s="1"/>
  <c r="D101" i="1"/>
  <c r="D102" i="1" s="1"/>
  <c r="D103" i="1" s="1"/>
  <c r="D104" i="1" s="1"/>
  <c r="D105" i="1" s="1"/>
  <c r="D106" i="1" s="1"/>
  <c r="D94" i="1"/>
  <c r="D95" i="1" s="1"/>
  <c r="D96" i="1" s="1"/>
  <c r="D97" i="1" s="1"/>
  <c r="D98" i="1" s="1"/>
  <c r="D99" i="1" s="1"/>
  <c r="D87" i="1"/>
  <c r="D88" i="1" s="1"/>
  <c r="D89" i="1" s="1"/>
  <c r="D90" i="1" s="1"/>
  <c r="D91" i="1" s="1"/>
  <c r="D92" i="1" s="1"/>
  <c r="D81" i="1"/>
  <c r="D82" i="1" s="1"/>
  <c r="D83" i="1" s="1"/>
  <c r="D84" i="1" s="1"/>
  <c r="D85" i="1" s="1"/>
  <c r="D80" i="1"/>
  <c r="D266" i="1"/>
  <c r="D265" i="1"/>
  <c r="D264" i="1"/>
  <c r="D263" i="1"/>
  <c r="D262" i="1"/>
  <c r="D196" i="1"/>
  <c r="D195" i="1"/>
  <c r="D194" i="1"/>
  <c r="D193" i="1"/>
  <c r="D192" i="1"/>
  <c r="D126" i="1"/>
  <c r="D125" i="1"/>
  <c r="D124" i="1"/>
  <c r="D123" i="1"/>
  <c r="D122" i="1"/>
  <c r="D56" i="1"/>
  <c r="D55" i="1"/>
  <c r="D54" i="1"/>
  <c r="D53" i="1"/>
  <c r="D52" i="1"/>
  <c r="D73" i="1"/>
  <c r="D74" i="1" s="1"/>
  <c r="D75" i="1" s="1"/>
  <c r="D76" i="1" s="1"/>
  <c r="D77" i="1" s="1"/>
  <c r="D78" i="1" s="1"/>
  <c r="D38" i="1"/>
  <c r="D39" i="1" s="1"/>
  <c r="D40" i="1" s="1"/>
  <c r="D41" i="1" s="1"/>
  <c r="D42" i="1" s="1"/>
  <c r="D43" i="1" s="1"/>
  <c r="D31" i="1"/>
  <c r="D32" i="1" s="1"/>
  <c r="D33" i="1" s="1"/>
  <c r="D34" i="1" s="1"/>
  <c r="D35" i="1" s="1"/>
  <c r="D36" i="1" s="1"/>
  <c r="D24" i="1"/>
  <c r="D25" i="1" s="1"/>
  <c r="D26" i="1" s="1"/>
  <c r="D27" i="1" s="1"/>
  <c r="D28" i="1" s="1"/>
  <c r="D29" i="1" s="1"/>
  <c r="D17" i="1"/>
  <c r="D18" i="1" s="1"/>
  <c r="D19" i="1" s="1"/>
  <c r="D20" i="1" s="1"/>
  <c r="D21" i="1" s="1"/>
  <c r="D22" i="1" s="1"/>
  <c r="D10" i="1"/>
  <c r="D11" i="1" s="1"/>
  <c r="D12" i="1" s="1"/>
  <c r="D13" i="1" s="1"/>
  <c r="D14" i="1" s="1"/>
  <c r="D15" i="1" s="1"/>
  <c r="D4" i="1"/>
  <c r="D5" i="1" s="1"/>
  <c r="D6" i="1" s="1"/>
  <c r="D7" i="1" s="1"/>
  <c r="D8" i="1" s="1"/>
  <c r="D3" i="1"/>
  <c r="D51" i="6"/>
  <c r="E51" i="6" s="1"/>
  <c r="F51" i="6" s="1"/>
  <c r="G51" i="6" s="1"/>
  <c r="H51" i="6" s="1"/>
  <c r="D50" i="6"/>
  <c r="E50" i="6" s="1"/>
  <c r="F50" i="6" s="1"/>
  <c r="G50" i="6" s="1"/>
  <c r="H50" i="6" s="1"/>
  <c r="D49" i="6"/>
  <c r="E49" i="6" s="1"/>
  <c r="F49" i="6" s="1"/>
  <c r="G49" i="6" s="1"/>
  <c r="H49" i="6" s="1"/>
  <c r="D48" i="6"/>
  <c r="E48" i="6" s="1"/>
  <c r="F48" i="6" s="1"/>
  <c r="G48" i="6" s="1"/>
  <c r="H48" i="6" s="1"/>
  <c r="D47" i="6"/>
  <c r="E47" i="6" s="1"/>
  <c r="F47" i="6" s="1"/>
  <c r="G47" i="6" s="1"/>
  <c r="H47" i="6" s="1"/>
  <c r="D46" i="6"/>
  <c r="E46" i="6" s="1"/>
  <c r="F46" i="6" s="1"/>
  <c r="G46" i="6" s="1"/>
  <c r="H46" i="6" s="1"/>
  <c r="D45" i="6"/>
  <c r="E45" i="6" s="1"/>
  <c r="F45" i="6" s="1"/>
  <c r="G45" i="6" s="1"/>
  <c r="H45" i="6" s="1"/>
  <c r="D44" i="6"/>
  <c r="E44" i="6" s="1"/>
  <c r="F44" i="6" s="1"/>
  <c r="G44" i="6" s="1"/>
  <c r="H44" i="6" s="1"/>
  <c r="D43" i="6"/>
  <c r="E43" i="6" s="1"/>
  <c r="F43" i="6" s="1"/>
  <c r="G43" i="6" s="1"/>
  <c r="H43" i="6" s="1"/>
  <c r="D42" i="6"/>
  <c r="E42" i="6" s="1"/>
  <c r="F42" i="6" s="1"/>
  <c r="G42" i="6" s="1"/>
  <c r="H42" i="6" s="1"/>
  <c r="D41" i="6"/>
  <c r="E41" i="6" s="1"/>
  <c r="F41" i="6" s="1"/>
  <c r="G41" i="6" s="1"/>
  <c r="H41" i="6" s="1"/>
  <c r="D40" i="6"/>
  <c r="E40" i="6" s="1"/>
  <c r="F40" i="6" s="1"/>
  <c r="G40" i="6" s="1"/>
  <c r="H40" i="6" s="1"/>
  <c r="D39" i="6"/>
  <c r="E39" i="6" s="1"/>
  <c r="F39" i="6" s="1"/>
  <c r="G39" i="6" s="1"/>
  <c r="H39" i="6" s="1"/>
  <c r="D38" i="6"/>
  <c r="E38" i="6" s="1"/>
  <c r="F38" i="6" s="1"/>
  <c r="G38" i="6" s="1"/>
  <c r="H38" i="6" s="1"/>
  <c r="E37" i="6"/>
  <c r="F37" i="6" s="1"/>
  <c r="G37" i="6" s="1"/>
  <c r="H37" i="6" s="1"/>
  <c r="D37" i="6"/>
  <c r="D36" i="6"/>
  <c r="E36" i="6" s="1"/>
  <c r="F36" i="6" s="1"/>
  <c r="G36" i="6" s="1"/>
  <c r="H36" i="6" s="1"/>
  <c r="D35" i="6"/>
  <c r="E35" i="6" s="1"/>
  <c r="F35" i="6" s="1"/>
  <c r="G35" i="6" s="1"/>
  <c r="H35" i="6" s="1"/>
  <c r="D34" i="6"/>
  <c r="E34" i="6" s="1"/>
  <c r="F34" i="6" s="1"/>
  <c r="G34" i="6" s="1"/>
  <c r="H34" i="6" s="1"/>
  <c r="D33" i="6"/>
  <c r="E33" i="6" s="1"/>
  <c r="F33" i="6" s="1"/>
  <c r="G33" i="6" s="1"/>
  <c r="H33" i="6" s="1"/>
  <c r="D32" i="6"/>
  <c r="E32" i="6" s="1"/>
  <c r="F32" i="6" s="1"/>
  <c r="G32" i="6" s="1"/>
  <c r="H32" i="6" s="1"/>
  <c r="D31" i="6"/>
  <c r="E31" i="6" s="1"/>
  <c r="F31" i="6" s="1"/>
  <c r="G31" i="6" s="1"/>
  <c r="H31" i="6" s="1"/>
  <c r="D30" i="6"/>
  <c r="E30" i="6" s="1"/>
  <c r="F30" i="6" s="1"/>
  <c r="G30" i="6" s="1"/>
  <c r="H30" i="6" s="1"/>
  <c r="D29" i="6"/>
  <c r="E29" i="6" s="1"/>
  <c r="F29" i="6" s="1"/>
  <c r="G29" i="6" s="1"/>
  <c r="H29" i="6" s="1"/>
  <c r="D28" i="6"/>
  <c r="E28" i="6" s="1"/>
  <c r="F28" i="6" s="1"/>
  <c r="G28" i="6" s="1"/>
  <c r="H28" i="6" s="1"/>
  <c r="D27" i="6"/>
  <c r="E27" i="6" s="1"/>
  <c r="F27" i="6" s="1"/>
  <c r="G27" i="6" s="1"/>
  <c r="H27" i="6" s="1"/>
  <c r="D26" i="6"/>
  <c r="E26" i="6" s="1"/>
  <c r="F26" i="6" s="1"/>
  <c r="G26" i="6" s="1"/>
  <c r="H26" i="6" s="1"/>
  <c r="D25" i="6"/>
  <c r="E25" i="6" s="1"/>
  <c r="F25" i="6" s="1"/>
  <c r="G25" i="6" s="1"/>
  <c r="H25" i="6" s="1"/>
  <c r="D24" i="6"/>
  <c r="E24" i="6" s="1"/>
  <c r="F24" i="6" s="1"/>
  <c r="G24" i="6" s="1"/>
  <c r="H24" i="6" s="1"/>
  <c r="D23" i="6"/>
  <c r="E23" i="6" s="1"/>
  <c r="F23" i="6" s="1"/>
  <c r="G23" i="6" s="1"/>
  <c r="H23" i="6" s="1"/>
  <c r="D22" i="6"/>
  <c r="E22" i="6" s="1"/>
  <c r="F22" i="6" s="1"/>
  <c r="G22" i="6" s="1"/>
  <c r="H22" i="6" s="1"/>
  <c r="D21" i="6"/>
  <c r="E21" i="6" s="1"/>
  <c r="F21" i="6" s="1"/>
  <c r="G21" i="6" s="1"/>
  <c r="H21" i="6" s="1"/>
  <c r="D20" i="6"/>
  <c r="E20" i="6" s="1"/>
  <c r="F20" i="6" s="1"/>
  <c r="G20" i="6" s="1"/>
  <c r="H20" i="6" s="1"/>
  <c r="D19" i="6"/>
  <c r="E19" i="6" s="1"/>
  <c r="F19" i="6" s="1"/>
  <c r="G19" i="6" s="1"/>
  <c r="H19" i="6" s="1"/>
  <c r="D18" i="6"/>
  <c r="E18" i="6" s="1"/>
  <c r="F18" i="6" s="1"/>
  <c r="G18" i="6" s="1"/>
  <c r="H18" i="6" s="1"/>
  <c r="D17" i="6"/>
  <c r="E17" i="6" s="1"/>
  <c r="F17" i="6" s="1"/>
  <c r="G17" i="6" s="1"/>
  <c r="H17" i="6" s="1"/>
  <c r="D16" i="6"/>
  <c r="E16" i="6" s="1"/>
  <c r="F16" i="6" s="1"/>
  <c r="G16" i="6" s="1"/>
  <c r="H16" i="6" s="1"/>
  <c r="D15" i="6"/>
  <c r="E15" i="6" s="1"/>
  <c r="F15" i="6" s="1"/>
  <c r="G15" i="6" s="1"/>
  <c r="H15" i="6" s="1"/>
  <c r="D14" i="6"/>
  <c r="E14" i="6" s="1"/>
  <c r="F14" i="6" s="1"/>
  <c r="G14" i="6" s="1"/>
  <c r="H14" i="6" s="1"/>
  <c r="D13" i="6"/>
  <c r="E13" i="6" s="1"/>
  <c r="F13" i="6" s="1"/>
  <c r="G13" i="6" s="1"/>
  <c r="H13" i="6" s="1"/>
  <c r="D12" i="6"/>
  <c r="E12" i="6" s="1"/>
  <c r="F12" i="6" s="1"/>
  <c r="G12" i="6" s="1"/>
  <c r="H12" i="6" s="1"/>
  <c r="D11" i="6"/>
  <c r="E11" i="6" s="1"/>
  <c r="F11" i="6" s="1"/>
  <c r="G11" i="6" s="1"/>
  <c r="H11" i="6" s="1"/>
  <c r="D10" i="6"/>
  <c r="E10" i="6" s="1"/>
  <c r="F10" i="6" s="1"/>
  <c r="G10" i="6" s="1"/>
  <c r="H10" i="6" s="1"/>
  <c r="D9" i="6"/>
  <c r="E9" i="6" s="1"/>
  <c r="F9" i="6" s="1"/>
  <c r="G9" i="6" s="1"/>
  <c r="H9" i="6" s="1"/>
  <c r="D8" i="6"/>
  <c r="E8" i="6" s="1"/>
  <c r="F8" i="6" s="1"/>
  <c r="G8" i="6" s="1"/>
  <c r="H8" i="6" s="1"/>
  <c r="D7" i="6"/>
  <c r="E7" i="6" s="1"/>
  <c r="F7" i="6" s="1"/>
  <c r="G7" i="6" s="1"/>
  <c r="H7" i="6" s="1"/>
  <c r="D6" i="6"/>
  <c r="E6" i="6" s="1"/>
  <c r="F6" i="6" s="1"/>
  <c r="G6" i="6" s="1"/>
  <c r="H6" i="6" s="1"/>
  <c r="D5" i="6"/>
  <c r="E5" i="6" s="1"/>
  <c r="F5" i="6" s="1"/>
  <c r="G5" i="6" s="1"/>
  <c r="H5" i="6" s="1"/>
  <c r="D4" i="6"/>
  <c r="E4" i="6" s="1"/>
  <c r="F4" i="6" s="1"/>
  <c r="G4" i="6" s="1"/>
  <c r="H4" i="6" s="1"/>
  <c r="B2" i="6"/>
  <c r="A13" i="4"/>
  <c r="A12" i="4"/>
  <c r="A11" i="4"/>
  <c r="A10" i="4"/>
  <c r="A9" i="4"/>
  <c r="A8" i="4"/>
  <c r="A7" i="4"/>
  <c r="A6" i="4"/>
  <c r="A5" i="4"/>
  <c r="A4" i="4"/>
  <c r="B20" i="3"/>
  <c r="B19" i="3"/>
  <c r="B18" i="3"/>
  <c r="B17" i="3"/>
  <c r="C14" i="3"/>
  <c r="C15" i="3" s="1"/>
  <c r="C16" i="3" s="1"/>
  <c r="C17" i="3" s="1"/>
  <c r="C18" i="3" s="1"/>
  <c r="C19" i="3" s="1"/>
  <c r="C20" i="3" s="1"/>
  <c r="D9" i="3"/>
  <c r="C701" i="1"/>
  <c r="A701" i="1"/>
  <c r="C700" i="1"/>
  <c r="A700" i="1"/>
  <c r="C699" i="1"/>
  <c r="A699" i="1"/>
  <c r="E699" i="1" s="1"/>
  <c r="C698" i="1"/>
  <c r="A698" i="1"/>
  <c r="C697" i="1"/>
  <c r="A697" i="1"/>
  <c r="C696" i="1"/>
  <c r="A696" i="1"/>
  <c r="C695" i="1"/>
  <c r="A695" i="1"/>
  <c r="C694" i="1"/>
  <c r="A694" i="1"/>
  <c r="C693" i="1"/>
  <c r="A693" i="1"/>
  <c r="C692" i="1"/>
  <c r="A692" i="1"/>
  <c r="C691" i="1"/>
  <c r="A691" i="1"/>
  <c r="C690" i="1"/>
  <c r="A690" i="1"/>
  <c r="E690" i="1" s="1"/>
  <c r="C689" i="1"/>
  <c r="A689" i="1"/>
  <c r="E689" i="1" s="1"/>
  <c r="C688" i="1"/>
  <c r="A688" i="1"/>
  <c r="C687" i="1"/>
  <c r="A687" i="1"/>
  <c r="C686" i="1"/>
  <c r="A686" i="1"/>
  <c r="C685" i="1"/>
  <c r="A685" i="1"/>
  <c r="C684" i="1"/>
  <c r="A684" i="1"/>
  <c r="C683" i="1"/>
  <c r="A683" i="1"/>
  <c r="C682" i="1"/>
  <c r="A682" i="1"/>
  <c r="C681" i="1"/>
  <c r="A681" i="1"/>
  <c r="C680" i="1"/>
  <c r="A680" i="1"/>
  <c r="C679" i="1"/>
  <c r="A679" i="1"/>
  <c r="C678" i="1"/>
  <c r="A678" i="1"/>
  <c r="E678" i="1" s="1"/>
  <c r="C677" i="1"/>
  <c r="A677" i="1"/>
  <c r="C676" i="1"/>
  <c r="A676" i="1"/>
  <c r="C675" i="1"/>
  <c r="A675" i="1"/>
  <c r="C674" i="1"/>
  <c r="A674" i="1"/>
  <c r="C673" i="1"/>
  <c r="A673" i="1"/>
  <c r="C672" i="1"/>
  <c r="A672" i="1"/>
  <c r="C671" i="1"/>
  <c r="A671" i="1"/>
  <c r="C670" i="1"/>
  <c r="A670" i="1"/>
  <c r="C669" i="1"/>
  <c r="A669" i="1"/>
  <c r="C668" i="1"/>
  <c r="A668" i="1"/>
  <c r="C667" i="1"/>
  <c r="A667" i="1"/>
  <c r="C666" i="1"/>
  <c r="A666" i="1"/>
  <c r="C665" i="1"/>
  <c r="A665" i="1"/>
  <c r="C664" i="1"/>
  <c r="A664" i="1"/>
  <c r="C663" i="1"/>
  <c r="A663" i="1"/>
  <c r="C662" i="1"/>
  <c r="A662" i="1"/>
  <c r="C661" i="1"/>
  <c r="A661" i="1"/>
  <c r="C660" i="1"/>
  <c r="A660" i="1"/>
  <c r="C659" i="1"/>
  <c r="A659" i="1"/>
  <c r="C658" i="1"/>
  <c r="A658" i="1"/>
  <c r="C657" i="1"/>
  <c r="A657" i="1"/>
  <c r="C656" i="1"/>
  <c r="A656" i="1"/>
  <c r="C655" i="1"/>
  <c r="A655" i="1"/>
  <c r="C654" i="1"/>
  <c r="A654" i="1"/>
  <c r="C653" i="1"/>
  <c r="A653" i="1"/>
  <c r="C652" i="1"/>
  <c r="A652" i="1"/>
  <c r="C651" i="1"/>
  <c r="A651" i="1"/>
  <c r="C650" i="1"/>
  <c r="A650" i="1"/>
  <c r="C649" i="1"/>
  <c r="A649" i="1"/>
  <c r="C648" i="1"/>
  <c r="A648" i="1"/>
  <c r="C647" i="1"/>
  <c r="A647" i="1"/>
  <c r="C646" i="1"/>
  <c r="A646" i="1"/>
  <c r="C645" i="1"/>
  <c r="A645" i="1"/>
  <c r="C644" i="1"/>
  <c r="A644" i="1"/>
  <c r="C643" i="1"/>
  <c r="A643" i="1"/>
  <c r="C642" i="1"/>
  <c r="A642" i="1"/>
  <c r="C641" i="1"/>
  <c r="A641" i="1"/>
  <c r="C640" i="1"/>
  <c r="A640" i="1"/>
  <c r="C639" i="1"/>
  <c r="A639" i="1"/>
  <c r="C638" i="1"/>
  <c r="A638" i="1"/>
  <c r="C637" i="1"/>
  <c r="A637" i="1"/>
  <c r="C636" i="1"/>
  <c r="A636" i="1"/>
  <c r="C635" i="1"/>
  <c r="A635" i="1"/>
  <c r="C634" i="1"/>
  <c r="A634" i="1"/>
  <c r="C633" i="1"/>
  <c r="A633" i="1"/>
  <c r="C632" i="1"/>
  <c r="A632" i="1"/>
  <c r="C631" i="1"/>
  <c r="A631" i="1"/>
  <c r="C630" i="1"/>
  <c r="A630" i="1"/>
  <c r="C629" i="1"/>
  <c r="A629" i="1"/>
  <c r="C628" i="1"/>
  <c r="A628" i="1"/>
  <c r="C627" i="1"/>
  <c r="A627" i="1"/>
  <c r="C626" i="1"/>
  <c r="A626" i="1"/>
  <c r="C625" i="1"/>
  <c r="A625" i="1"/>
  <c r="C624" i="1"/>
  <c r="A624" i="1"/>
  <c r="C623" i="1"/>
  <c r="A623" i="1"/>
  <c r="C622" i="1"/>
  <c r="A622" i="1"/>
  <c r="C621" i="1"/>
  <c r="A621" i="1"/>
  <c r="C620" i="1"/>
  <c r="A620" i="1"/>
  <c r="C619" i="1"/>
  <c r="A619" i="1"/>
  <c r="C618" i="1"/>
  <c r="A618" i="1"/>
  <c r="C617" i="1"/>
  <c r="A617" i="1"/>
  <c r="C616" i="1"/>
  <c r="A616" i="1"/>
  <c r="C615" i="1"/>
  <c r="A615" i="1"/>
  <c r="C614" i="1"/>
  <c r="A614" i="1"/>
  <c r="C613" i="1"/>
  <c r="A613" i="1"/>
  <c r="C612" i="1"/>
  <c r="A612" i="1"/>
  <c r="C611" i="1"/>
  <c r="A611" i="1"/>
  <c r="C610" i="1"/>
  <c r="A610" i="1"/>
  <c r="C609" i="1"/>
  <c r="A609" i="1"/>
  <c r="C608" i="1"/>
  <c r="A608" i="1"/>
  <c r="C607" i="1"/>
  <c r="A607" i="1"/>
  <c r="C606" i="1"/>
  <c r="A606" i="1"/>
  <c r="C605" i="1"/>
  <c r="A605" i="1"/>
  <c r="C604" i="1"/>
  <c r="A604" i="1"/>
  <c r="C603" i="1"/>
  <c r="A603" i="1"/>
  <c r="C602" i="1"/>
  <c r="A602" i="1"/>
  <c r="C601" i="1"/>
  <c r="A601" i="1"/>
  <c r="C600" i="1"/>
  <c r="A600" i="1"/>
  <c r="C599" i="1"/>
  <c r="A599" i="1"/>
  <c r="C598" i="1"/>
  <c r="A598" i="1"/>
  <c r="C597" i="1"/>
  <c r="A597" i="1"/>
  <c r="C596" i="1"/>
  <c r="A596" i="1"/>
  <c r="C595" i="1"/>
  <c r="A595" i="1"/>
  <c r="C594" i="1"/>
  <c r="A594" i="1"/>
  <c r="C593" i="1"/>
  <c r="A593" i="1"/>
  <c r="C592" i="1"/>
  <c r="A592" i="1"/>
  <c r="C591" i="1"/>
  <c r="A591" i="1"/>
  <c r="C590" i="1"/>
  <c r="A590" i="1"/>
  <c r="C589" i="1"/>
  <c r="A589" i="1"/>
  <c r="C588" i="1"/>
  <c r="A588" i="1"/>
  <c r="C587" i="1"/>
  <c r="A587" i="1"/>
  <c r="C586" i="1"/>
  <c r="A586" i="1"/>
  <c r="C585" i="1"/>
  <c r="A585" i="1"/>
  <c r="C584" i="1"/>
  <c r="A584" i="1"/>
  <c r="C583" i="1"/>
  <c r="A583" i="1"/>
  <c r="C582" i="1"/>
  <c r="A582" i="1"/>
  <c r="C581" i="1"/>
  <c r="A581" i="1"/>
  <c r="C580" i="1"/>
  <c r="A580" i="1"/>
  <c r="C579" i="1"/>
  <c r="A579" i="1"/>
  <c r="C578" i="1"/>
  <c r="A578" i="1"/>
  <c r="C577" i="1"/>
  <c r="A577" i="1"/>
  <c r="C576" i="1"/>
  <c r="A576" i="1"/>
  <c r="C575" i="1"/>
  <c r="A575" i="1"/>
  <c r="C574" i="1"/>
  <c r="A574" i="1"/>
  <c r="C573" i="1"/>
  <c r="A573" i="1"/>
  <c r="C572" i="1"/>
  <c r="A572" i="1"/>
  <c r="C571" i="1"/>
  <c r="A571" i="1"/>
  <c r="C570" i="1"/>
  <c r="A570" i="1"/>
  <c r="C569" i="1"/>
  <c r="A569" i="1"/>
  <c r="C568" i="1"/>
  <c r="A568" i="1"/>
  <c r="C567" i="1"/>
  <c r="A567" i="1"/>
  <c r="C566" i="1"/>
  <c r="A566" i="1"/>
  <c r="C565" i="1"/>
  <c r="A565" i="1"/>
  <c r="C564" i="1"/>
  <c r="A564" i="1"/>
  <c r="C563" i="1"/>
  <c r="A563" i="1"/>
  <c r="C562" i="1"/>
  <c r="A562" i="1"/>
  <c r="C561" i="1"/>
  <c r="A561" i="1"/>
  <c r="C560" i="1"/>
  <c r="A560" i="1"/>
  <c r="C559" i="1"/>
  <c r="A559" i="1"/>
  <c r="C558" i="1"/>
  <c r="A558" i="1"/>
  <c r="C557" i="1"/>
  <c r="A557" i="1"/>
  <c r="C556" i="1"/>
  <c r="A556" i="1"/>
  <c r="C555" i="1"/>
  <c r="A555" i="1"/>
  <c r="C554" i="1"/>
  <c r="A554" i="1"/>
  <c r="C553" i="1"/>
  <c r="A553" i="1"/>
  <c r="C552" i="1"/>
  <c r="A552" i="1"/>
  <c r="C551" i="1"/>
  <c r="A551" i="1"/>
  <c r="C550" i="1"/>
  <c r="A550" i="1"/>
  <c r="C549" i="1"/>
  <c r="A549" i="1"/>
  <c r="C548" i="1"/>
  <c r="A548" i="1"/>
  <c r="C547" i="1"/>
  <c r="A547" i="1"/>
  <c r="C546" i="1"/>
  <c r="A546" i="1"/>
  <c r="C545" i="1"/>
  <c r="A545" i="1"/>
  <c r="C544" i="1"/>
  <c r="A544" i="1"/>
  <c r="C543" i="1"/>
  <c r="A543" i="1"/>
  <c r="C542" i="1"/>
  <c r="A542" i="1"/>
  <c r="C541" i="1"/>
  <c r="A541" i="1"/>
  <c r="C540" i="1"/>
  <c r="A540" i="1"/>
  <c r="C539" i="1"/>
  <c r="A539" i="1"/>
  <c r="C538" i="1"/>
  <c r="A538" i="1"/>
  <c r="C537" i="1"/>
  <c r="A537" i="1"/>
  <c r="C536" i="1"/>
  <c r="A536" i="1"/>
  <c r="C535" i="1"/>
  <c r="A535" i="1"/>
  <c r="C534" i="1"/>
  <c r="A534" i="1"/>
  <c r="C533" i="1"/>
  <c r="A533" i="1"/>
  <c r="C532" i="1"/>
  <c r="A532" i="1"/>
  <c r="C531" i="1"/>
  <c r="A531" i="1"/>
  <c r="C530" i="1"/>
  <c r="A530" i="1"/>
  <c r="C529" i="1"/>
  <c r="A529" i="1"/>
  <c r="C528" i="1"/>
  <c r="A528" i="1"/>
  <c r="C527" i="1"/>
  <c r="A527" i="1"/>
  <c r="C526" i="1"/>
  <c r="A526" i="1"/>
  <c r="C525" i="1"/>
  <c r="A525" i="1"/>
  <c r="C524" i="1"/>
  <c r="A524" i="1"/>
  <c r="C523" i="1"/>
  <c r="A523" i="1"/>
  <c r="C522" i="1"/>
  <c r="A522" i="1"/>
  <c r="C521" i="1"/>
  <c r="A521" i="1"/>
  <c r="C520" i="1"/>
  <c r="A520" i="1"/>
  <c r="C519" i="1"/>
  <c r="A519" i="1"/>
  <c r="C518" i="1"/>
  <c r="A518" i="1"/>
  <c r="C517" i="1"/>
  <c r="A517" i="1"/>
  <c r="C516" i="1"/>
  <c r="A516" i="1"/>
  <c r="C515" i="1"/>
  <c r="A515" i="1"/>
  <c r="C514" i="1"/>
  <c r="A514" i="1"/>
  <c r="C513" i="1"/>
  <c r="A513" i="1"/>
  <c r="C512" i="1"/>
  <c r="A512" i="1"/>
  <c r="C511" i="1"/>
  <c r="A511" i="1"/>
  <c r="C510" i="1"/>
  <c r="A510" i="1"/>
  <c r="C509" i="1"/>
  <c r="A509" i="1"/>
  <c r="C508" i="1"/>
  <c r="A508" i="1"/>
  <c r="C507" i="1"/>
  <c r="A507" i="1"/>
  <c r="C506" i="1"/>
  <c r="A506" i="1"/>
  <c r="C505" i="1"/>
  <c r="A505" i="1"/>
  <c r="C504" i="1"/>
  <c r="A504" i="1"/>
  <c r="C503" i="1"/>
  <c r="A503" i="1"/>
  <c r="C502" i="1"/>
  <c r="A502" i="1"/>
  <c r="C501" i="1"/>
  <c r="A501" i="1"/>
  <c r="C500" i="1"/>
  <c r="A500" i="1"/>
  <c r="C499" i="1"/>
  <c r="A499" i="1"/>
  <c r="C498" i="1"/>
  <c r="A498" i="1"/>
  <c r="C497" i="1"/>
  <c r="A497" i="1"/>
  <c r="C496" i="1"/>
  <c r="A496" i="1"/>
  <c r="C495" i="1"/>
  <c r="A495" i="1"/>
  <c r="C494" i="1"/>
  <c r="A494" i="1"/>
  <c r="C493" i="1"/>
  <c r="A493" i="1"/>
  <c r="C492" i="1"/>
  <c r="A492" i="1"/>
  <c r="C491" i="1"/>
  <c r="A491" i="1"/>
  <c r="C490" i="1"/>
  <c r="A490" i="1"/>
  <c r="C489" i="1"/>
  <c r="A489" i="1"/>
  <c r="C488" i="1"/>
  <c r="A488" i="1"/>
  <c r="C487" i="1"/>
  <c r="A487" i="1"/>
  <c r="C486" i="1"/>
  <c r="A486" i="1"/>
  <c r="C485" i="1"/>
  <c r="A485" i="1"/>
  <c r="C484" i="1"/>
  <c r="A484" i="1"/>
  <c r="C483" i="1"/>
  <c r="A483" i="1"/>
  <c r="C482" i="1"/>
  <c r="A482" i="1"/>
  <c r="C481" i="1"/>
  <c r="A481" i="1"/>
  <c r="C480" i="1"/>
  <c r="A480" i="1"/>
  <c r="C479" i="1"/>
  <c r="A479" i="1"/>
  <c r="C478" i="1"/>
  <c r="A478" i="1"/>
  <c r="C477" i="1"/>
  <c r="A477" i="1"/>
  <c r="C476" i="1"/>
  <c r="A476" i="1"/>
  <c r="C475" i="1"/>
  <c r="A475" i="1"/>
  <c r="C474" i="1"/>
  <c r="A474" i="1"/>
  <c r="C473" i="1"/>
  <c r="A473" i="1"/>
  <c r="C472" i="1"/>
  <c r="A472" i="1"/>
  <c r="E472" i="1" s="1"/>
  <c r="C471" i="1"/>
  <c r="A471" i="1"/>
  <c r="E471" i="1" s="1"/>
  <c r="C470" i="1"/>
  <c r="A470" i="1"/>
  <c r="E470" i="1" s="1"/>
  <c r="C469" i="1"/>
  <c r="A469" i="1"/>
  <c r="E469" i="1" s="1"/>
  <c r="C468" i="1"/>
  <c r="A468" i="1"/>
  <c r="E468" i="1" s="1"/>
  <c r="C467" i="1"/>
  <c r="A467" i="1"/>
  <c r="E467" i="1" s="1"/>
  <c r="C466" i="1"/>
  <c r="A466" i="1"/>
  <c r="C465" i="1"/>
  <c r="A465" i="1"/>
  <c r="E465" i="1" s="1"/>
  <c r="C464" i="1"/>
  <c r="A464" i="1"/>
  <c r="E464" i="1" s="1"/>
  <c r="C463" i="1"/>
  <c r="A463" i="1"/>
  <c r="E463" i="1" s="1"/>
  <c r="C462" i="1"/>
  <c r="A462" i="1"/>
  <c r="E462" i="1" s="1"/>
  <c r="C461" i="1"/>
  <c r="A461" i="1"/>
  <c r="E461" i="1" s="1"/>
  <c r="C460" i="1"/>
  <c r="A460" i="1"/>
  <c r="E460" i="1" s="1"/>
  <c r="C459" i="1"/>
  <c r="A459" i="1"/>
  <c r="E459" i="1" s="1"/>
  <c r="C458" i="1"/>
  <c r="A458" i="1"/>
  <c r="E458" i="1" s="1"/>
  <c r="C457" i="1"/>
  <c r="A457" i="1"/>
  <c r="E457" i="1" s="1"/>
  <c r="C456" i="1"/>
  <c r="A456" i="1"/>
  <c r="E456" i="1" s="1"/>
  <c r="C455" i="1"/>
  <c r="A455" i="1"/>
  <c r="E455" i="1" s="1"/>
  <c r="C454" i="1"/>
  <c r="A454" i="1"/>
  <c r="E454" i="1" s="1"/>
  <c r="C453" i="1"/>
  <c r="A453" i="1"/>
  <c r="E453" i="1" s="1"/>
  <c r="C452" i="1"/>
  <c r="A452" i="1"/>
  <c r="E452" i="1" s="1"/>
  <c r="C451" i="1"/>
  <c r="A451" i="1"/>
  <c r="E451" i="1" s="1"/>
  <c r="C450" i="1"/>
  <c r="A450" i="1"/>
  <c r="E450" i="1" s="1"/>
  <c r="C449" i="1"/>
  <c r="A449" i="1"/>
  <c r="E449" i="1" s="1"/>
  <c r="C448" i="1"/>
  <c r="A448" i="1"/>
  <c r="E448" i="1" s="1"/>
  <c r="C447" i="1"/>
  <c r="A447" i="1"/>
  <c r="E447" i="1" s="1"/>
  <c r="C446" i="1"/>
  <c r="A446" i="1"/>
  <c r="E446" i="1" s="1"/>
  <c r="C445" i="1"/>
  <c r="A445" i="1"/>
  <c r="E445" i="1" s="1"/>
  <c r="C444" i="1"/>
  <c r="A444" i="1"/>
  <c r="C443" i="1"/>
  <c r="A443" i="1"/>
  <c r="E443" i="1" s="1"/>
  <c r="C442" i="1"/>
  <c r="A442" i="1"/>
  <c r="E442" i="1" s="1"/>
  <c r="C441" i="1"/>
  <c r="A441" i="1"/>
  <c r="C440" i="1"/>
  <c r="A440" i="1"/>
  <c r="C439" i="1"/>
  <c r="A439" i="1"/>
  <c r="C438" i="1"/>
  <c r="A438" i="1"/>
  <c r="C437" i="1"/>
  <c r="A437" i="1"/>
  <c r="C436" i="1"/>
  <c r="A436" i="1"/>
  <c r="C435" i="1"/>
  <c r="A435" i="1"/>
  <c r="C434" i="1"/>
  <c r="A434" i="1"/>
  <c r="C433" i="1"/>
  <c r="A433" i="1"/>
  <c r="C432" i="1"/>
  <c r="A432" i="1"/>
  <c r="C431" i="1"/>
  <c r="A431" i="1"/>
  <c r="C430" i="1"/>
  <c r="A430" i="1"/>
  <c r="C429" i="1"/>
  <c r="A429" i="1"/>
  <c r="C428" i="1"/>
  <c r="A428" i="1"/>
  <c r="C427" i="1"/>
  <c r="A427" i="1"/>
  <c r="C426" i="1"/>
  <c r="A426" i="1"/>
  <c r="C425" i="1"/>
  <c r="A425" i="1"/>
  <c r="C424" i="1"/>
  <c r="A424" i="1"/>
  <c r="C423" i="1"/>
  <c r="A423" i="1"/>
  <c r="C422" i="1"/>
  <c r="A422" i="1"/>
  <c r="C421" i="1"/>
  <c r="A421" i="1"/>
  <c r="C420" i="1"/>
  <c r="A420" i="1"/>
  <c r="C419" i="1"/>
  <c r="A419" i="1"/>
  <c r="C418" i="1"/>
  <c r="A418" i="1"/>
  <c r="C417" i="1"/>
  <c r="A417" i="1"/>
  <c r="C416" i="1"/>
  <c r="A416" i="1"/>
  <c r="C415" i="1"/>
  <c r="A415" i="1"/>
  <c r="C414" i="1"/>
  <c r="A414" i="1"/>
  <c r="C413" i="1"/>
  <c r="A413" i="1"/>
  <c r="C412" i="1"/>
  <c r="A412" i="1"/>
  <c r="C411" i="1"/>
  <c r="A411" i="1"/>
  <c r="C410" i="1"/>
  <c r="A410" i="1"/>
  <c r="C409" i="1"/>
  <c r="A409" i="1"/>
  <c r="C408" i="1"/>
  <c r="A408" i="1"/>
  <c r="C407" i="1"/>
  <c r="A407" i="1"/>
  <c r="C406" i="1"/>
  <c r="A406" i="1"/>
  <c r="C405" i="1"/>
  <c r="A405" i="1"/>
  <c r="C404" i="1"/>
  <c r="A404" i="1"/>
  <c r="C403" i="1"/>
  <c r="A403" i="1"/>
  <c r="C402" i="1"/>
  <c r="A402" i="1"/>
  <c r="C401" i="1"/>
  <c r="A401" i="1"/>
  <c r="C400" i="1"/>
  <c r="A400" i="1"/>
  <c r="C399" i="1"/>
  <c r="A399" i="1"/>
  <c r="C398" i="1"/>
  <c r="A398" i="1"/>
  <c r="C397" i="1"/>
  <c r="A397" i="1"/>
  <c r="C396" i="1"/>
  <c r="A396" i="1"/>
  <c r="C395" i="1"/>
  <c r="A395" i="1"/>
  <c r="C394" i="1"/>
  <c r="A394" i="1"/>
  <c r="C393" i="1"/>
  <c r="A393" i="1"/>
  <c r="C392" i="1"/>
  <c r="A392" i="1"/>
  <c r="C391" i="1"/>
  <c r="A391" i="1"/>
  <c r="C390" i="1"/>
  <c r="A390" i="1"/>
  <c r="C389" i="1"/>
  <c r="A389" i="1"/>
  <c r="C388" i="1"/>
  <c r="A388" i="1"/>
  <c r="C387" i="1"/>
  <c r="A387" i="1"/>
  <c r="C386" i="1"/>
  <c r="A386" i="1"/>
  <c r="C385" i="1"/>
  <c r="A385" i="1"/>
  <c r="C384" i="1"/>
  <c r="A384" i="1"/>
  <c r="C383" i="1"/>
  <c r="A383" i="1"/>
  <c r="C382" i="1"/>
  <c r="A382" i="1"/>
  <c r="C381" i="1"/>
  <c r="A381" i="1"/>
  <c r="C380" i="1"/>
  <c r="A380" i="1"/>
  <c r="C379" i="1"/>
  <c r="A379" i="1"/>
  <c r="C378" i="1"/>
  <c r="A378" i="1"/>
  <c r="C377" i="1"/>
  <c r="A377" i="1"/>
  <c r="C376" i="1"/>
  <c r="A376" i="1"/>
  <c r="C375" i="1"/>
  <c r="A375" i="1"/>
  <c r="C374" i="1"/>
  <c r="A374" i="1"/>
  <c r="C373" i="1"/>
  <c r="A373" i="1"/>
  <c r="C372" i="1"/>
  <c r="A372" i="1"/>
  <c r="C371" i="1"/>
  <c r="A371" i="1"/>
  <c r="C370" i="1"/>
  <c r="A370" i="1"/>
  <c r="C369" i="1"/>
  <c r="A369" i="1"/>
  <c r="C368" i="1"/>
  <c r="A368" i="1"/>
  <c r="C367" i="1"/>
  <c r="A367" i="1"/>
  <c r="C366" i="1"/>
  <c r="A366" i="1"/>
  <c r="C365" i="1"/>
  <c r="A365" i="1"/>
  <c r="C364" i="1"/>
  <c r="A364" i="1"/>
  <c r="C363" i="1"/>
  <c r="A363" i="1"/>
  <c r="C362" i="1"/>
  <c r="A362" i="1"/>
  <c r="C361" i="1"/>
  <c r="A361" i="1"/>
  <c r="C360" i="1"/>
  <c r="A360" i="1"/>
  <c r="C359" i="1"/>
  <c r="A359" i="1"/>
  <c r="C358" i="1"/>
  <c r="A358" i="1"/>
  <c r="C357" i="1"/>
  <c r="A357" i="1"/>
  <c r="C356" i="1"/>
  <c r="A356" i="1"/>
  <c r="C355" i="1"/>
  <c r="A355" i="1"/>
  <c r="C354" i="1"/>
  <c r="A354" i="1"/>
  <c r="C353" i="1"/>
  <c r="A353" i="1"/>
  <c r="C352" i="1"/>
  <c r="A352" i="1"/>
  <c r="C351" i="1"/>
  <c r="A351" i="1"/>
  <c r="E351" i="1" s="1"/>
  <c r="C350" i="1"/>
  <c r="A350" i="1"/>
  <c r="E350" i="1" s="1"/>
  <c r="C349" i="1"/>
  <c r="A349" i="1"/>
  <c r="E349" i="1" s="1"/>
  <c r="C348" i="1"/>
  <c r="A348" i="1"/>
  <c r="E348" i="1" s="1"/>
  <c r="C347" i="1"/>
  <c r="A347" i="1"/>
  <c r="E347" i="1" s="1"/>
  <c r="C346" i="1"/>
  <c r="A346" i="1"/>
  <c r="E346" i="1" s="1"/>
  <c r="C345" i="1"/>
  <c r="A345" i="1"/>
  <c r="E345" i="1" s="1"/>
  <c r="C344" i="1"/>
  <c r="A344" i="1"/>
  <c r="E344" i="1" s="1"/>
  <c r="C343" i="1"/>
  <c r="A343" i="1"/>
  <c r="E343" i="1" s="1"/>
  <c r="C342" i="1"/>
  <c r="A342" i="1"/>
  <c r="E342" i="1" s="1"/>
  <c r="C341" i="1"/>
  <c r="A341" i="1"/>
  <c r="E341" i="1" s="1"/>
  <c r="C340" i="1"/>
  <c r="A340" i="1"/>
  <c r="E340" i="1" s="1"/>
  <c r="C339" i="1"/>
  <c r="A339" i="1"/>
  <c r="E339" i="1" s="1"/>
  <c r="C338" i="1"/>
  <c r="A338" i="1"/>
  <c r="E338" i="1" s="1"/>
  <c r="C337" i="1"/>
  <c r="A337" i="1"/>
  <c r="E337" i="1" s="1"/>
  <c r="C336" i="1"/>
  <c r="A336" i="1"/>
  <c r="E336" i="1" s="1"/>
  <c r="C335" i="1"/>
  <c r="A335" i="1"/>
  <c r="E335" i="1" s="1"/>
  <c r="C334" i="1"/>
  <c r="A334" i="1"/>
  <c r="C333" i="1"/>
  <c r="A333" i="1"/>
  <c r="E333" i="1" s="1"/>
  <c r="C332" i="1"/>
  <c r="A332" i="1"/>
  <c r="E332" i="1" s="1"/>
  <c r="C331" i="1"/>
  <c r="A331" i="1"/>
  <c r="C330" i="1"/>
  <c r="A330" i="1"/>
  <c r="E330" i="1" s="1"/>
  <c r="C329" i="1"/>
  <c r="A329" i="1"/>
  <c r="E329" i="1" s="1"/>
  <c r="C328" i="1"/>
  <c r="A328" i="1"/>
  <c r="E328" i="1" s="1"/>
  <c r="C327" i="1"/>
  <c r="A327" i="1"/>
  <c r="E327" i="1" s="1"/>
  <c r="C326" i="1"/>
  <c r="A326" i="1"/>
  <c r="E326" i="1" s="1"/>
  <c r="C325" i="1"/>
  <c r="A325" i="1"/>
  <c r="E325" i="1" s="1"/>
  <c r="C324" i="1"/>
  <c r="A324" i="1"/>
  <c r="E324" i="1" s="1"/>
  <c r="C323" i="1"/>
  <c r="A323" i="1"/>
  <c r="E323" i="1" s="1"/>
  <c r="C322" i="1"/>
  <c r="A322" i="1"/>
  <c r="E322" i="1" s="1"/>
  <c r="C321" i="1"/>
  <c r="A321" i="1"/>
  <c r="E321" i="1" s="1"/>
  <c r="C320" i="1"/>
  <c r="A320" i="1"/>
  <c r="E320" i="1" s="1"/>
  <c r="C319" i="1"/>
  <c r="A319" i="1"/>
  <c r="E319" i="1" s="1"/>
  <c r="C318" i="1"/>
  <c r="A318" i="1"/>
  <c r="E318" i="1" s="1"/>
  <c r="C317" i="1"/>
  <c r="A317" i="1"/>
  <c r="E317" i="1" s="1"/>
  <c r="C316" i="1"/>
  <c r="A316" i="1"/>
  <c r="E316" i="1" s="1"/>
  <c r="C315" i="1"/>
  <c r="A315" i="1"/>
  <c r="E315" i="1" s="1"/>
  <c r="C314" i="1"/>
  <c r="A314" i="1"/>
  <c r="C313" i="1"/>
  <c r="A313" i="1"/>
  <c r="E313" i="1" s="1"/>
  <c r="C312" i="1"/>
  <c r="A312" i="1"/>
  <c r="C311" i="1"/>
  <c r="A311" i="1"/>
  <c r="C310" i="1"/>
  <c r="A310" i="1"/>
  <c r="E310" i="1" s="1"/>
  <c r="C309" i="1"/>
  <c r="A309" i="1"/>
  <c r="E309" i="1" s="1"/>
  <c r="C308" i="1"/>
  <c r="A308" i="1"/>
  <c r="E308" i="1" s="1"/>
  <c r="C307" i="1"/>
  <c r="A307" i="1"/>
  <c r="E307" i="1" s="1"/>
  <c r="C306" i="1"/>
  <c r="A306" i="1"/>
  <c r="E306" i="1" s="1"/>
  <c r="C305" i="1"/>
  <c r="A305" i="1"/>
  <c r="E305" i="1" s="1"/>
  <c r="C304" i="1"/>
  <c r="A304" i="1"/>
  <c r="E304" i="1" s="1"/>
  <c r="C303" i="1"/>
  <c r="A303" i="1"/>
  <c r="E303" i="1" s="1"/>
  <c r="C302" i="1"/>
  <c r="A302" i="1"/>
  <c r="E302" i="1" s="1"/>
  <c r="C301" i="1"/>
  <c r="A301" i="1"/>
  <c r="C300" i="1"/>
  <c r="A300" i="1"/>
  <c r="C299" i="1"/>
  <c r="A299" i="1"/>
  <c r="C298" i="1"/>
  <c r="A298" i="1"/>
  <c r="C297" i="1"/>
  <c r="A297" i="1"/>
  <c r="C296" i="1"/>
  <c r="A296" i="1"/>
  <c r="C295" i="1"/>
  <c r="A295" i="1"/>
  <c r="C294" i="1"/>
  <c r="A294" i="1"/>
  <c r="C293" i="1"/>
  <c r="A293" i="1"/>
  <c r="C292" i="1"/>
  <c r="A292" i="1"/>
  <c r="C291" i="1"/>
  <c r="A291" i="1"/>
  <c r="C290" i="1"/>
  <c r="A290" i="1"/>
  <c r="C289" i="1"/>
  <c r="A289" i="1"/>
  <c r="C288" i="1"/>
  <c r="A288" i="1"/>
  <c r="C287" i="1"/>
  <c r="A287" i="1"/>
  <c r="C286" i="1"/>
  <c r="A286" i="1"/>
  <c r="C285" i="1"/>
  <c r="A285" i="1"/>
  <c r="C284" i="1"/>
  <c r="A284" i="1"/>
  <c r="C283" i="1"/>
  <c r="A283" i="1"/>
  <c r="C282" i="1"/>
  <c r="A282" i="1"/>
  <c r="C281" i="1"/>
  <c r="A281" i="1"/>
  <c r="C280" i="1"/>
  <c r="A280" i="1"/>
  <c r="C279" i="1"/>
  <c r="A279" i="1"/>
  <c r="C278" i="1"/>
  <c r="A278" i="1"/>
  <c r="C277" i="1"/>
  <c r="A277" i="1"/>
  <c r="C276" i="1"/>
  <c r="A276" i="1"/>
  <c r="C275" i="1"/>
  <c r="A275" i="1"/>
  <c r="C274" i="1"/>
  <c r="A274" i="1"/>
  <c r="C273" i="1"/>
  <c r="A273" i="1"/>
  <c r="C272" i="1"/>
  <c r="A272" i="1"/>
  <c r="C271" i="1"/>
  <c r="A271" i="1"/>
  <c r="C270" i="1"/>
  <c r="A270" i="1"/>
  <c r="C269" i="1"/>
  <c r="A269" i="1"/>
  <c r="C268" i="1"/>
  <c r="A268" i="1"/>
  <c r="C267" i="1"/>
  <c r="A267" i="1"/>
  <c r="C266" i="1"/>
  <c r="A266" i="1"/>
  <c r="C265" i="1"/>
  <c r="A265" i="1"/>
  <c r="C264" i="1"/>
  <c r="A264" i="1"/>
  <c r="C263" i="1"/>
  <c r="A263" i="1"/>
  <c r="C262" i="1"/>
  <c r="A262" i="1"/>
  <c r="C261" i="1"/>
  <c r="A261" i="1"/>
  <c r="C260" i="1"/>
  <c r="A260" i="1"/>
  <c r="C259" i="1"/>
  <c r="A259" i="1"/>
  <c r="C258" i="1"/>
  <c r="A258" i="1"/>
  <c r="C257" i="1"/>
  <c r="A257" i="1"/>
  <c r="C256" i="1"/>
  <c r="A256" i="1"/>
  <c r="C255" i="1"/>
  <c r="A255" i="1"/>
  <c r="C254" i="1"/>
  <c r="A254" i="1"/>
  <c r="C253" i="1"/>
  <c r="A253" i="1"/>
  <c r="C252" i="1"/>
  <c r="A252" i="1"/>
  <c r="C251" i="1"/>
  <c r="A251" i="1"/>
  <c r="C250" i="1"/>
  <c r="A250" i="1"/>
  <c r="C249" i="1"/>
  <c r="A249" i="1"/>
  <c r="C248" i="1"/>
  <c r="A248" i="1"/>
  <c r="C247" i="1"/>
  <c r="A247" i="1"/>
  <c r="C246" i="1"/>
  <c r="A246" i="1"/>
  <c r="C245" i="1"/>
  <c r="A245" i="1"/>
  <c r="C244" i="1"/>
  <c r="A244" i="1"/>
  <c r="C243" i="1"/>
  <c r="A243" i="1"/>
  <c r="C242" i="1"/>
  <c r="A242" i="1"/>
  <c r="C241" i="1"/>
  <c r="A241" i="1"/>
  <c r="C240" i="1"/>
  <c r="A240" i="1"/>
  <c r="C239" i="1"/>
  <c r="A239" i="1"/>
  <c r="C238" i="1"/>
  <c r="A238" i="1"/>
  <c r="C237" i="1"/>
  <c r="A237" i="1"/>
  <c r="C236" i="1"/>
  <c r="A236" i="1"/>
  <c r="C235" i="1"/>
  <c r="A235" i="1"/>
  <c r="C234" i="1"/>
  <c r="A234" i="1"/>
  <c r="C233" i="1"/>
  <c r="A233" i="1"/>
  <c r="C232" i="1"/>
  <c r="A232" i="1"/>
  <c r="C231" i="1"/>
  <c r="A231" i="1"/>
  <c r="C230" i="1"/>
  <c r="A230" i="1"/>
  <c r="C229" i="1"/>
  <c r="A229" i="1"/>
  <c r="C228" i="1"/>
  <c r="A228" i="1"/>
  <c r="C227" i="1"/>
  <c r="A227" i="1"/>
  <c r="C226" i="1"/>
  <c r="A226" i="1"/>
  <c r="C225" i="1"/>
  <c r="A225" i="1"/>
  <c r="C224" i="1"/>
  <c r="A224" i="1"/>
  <c r="C223" i="1"/>
  <c r="A223" i="1"/>
  <c r="C222" i="1"/>
  <c r="A222" i="1"/>
  <c r="C221" i="1"/>
  <c r="A221" i="1"/>
  <c r="C220" i="1"/>
  <c r="A220" i="1"/>
  <c r="C219" i="1"/>
  <c r="A219" i="1"/>
  <c r="C218" i="1"/>
  <c r="A218" i="1"/>
  <c r="C217" i="1"/>
  <c r="A217" i="1"/>
  <c r="C216" i="1"/>
  <c r="A216" i="1"/>
  <c r="C215" i="1"/>
  <c r="A215" i="1"/>
  <c r="C214" i="1"/>
  <c r="A214" i="1"/>
  <c r="C213" i="1"/>
  <c r="A213" i="1"/>
  <c r="C212" i="1"/>
  <c r="A212" i="1"/>
  <c r="C211" i="1"/>
  <c r="A211" i="1"/>
  <c r="C210" i="1"/>
  <c r="A210" i="1"/>
  <c r="C209" i="1"/>
  <c r="A209" i="1"/>
  <c r="C208" i="1"/>
  <c r="A208" i="1"/>
  <c r="C207" i="1"/>
  <c r="A207" i="1"/>
  <c r="C206" i="1"/>
  <c r="A206" i="1"/>
  <c r="C205" i="1"/>
  <c r="A205" i="1"/>
  <c r="C204" i="1"/>
  <c r="A204" i="1"/>
  <c r="C203" i="1"/>
  <c r="A203" i="1"/>
  <c r="C202" i="1"/>
  <c r="A202" i="1"/>
  <c r="C201" i="1"/>
  <c r="A201" i="1"/>
  <c r="C200" i="1"/>
  <c r="A200" i="1"/>
  <c r="C199" i="1"/>
  <c r="A199" i="1"/>
  <c r="C198" i="1"/>
  <c r="A198" i="1"/>
  <c r="C197" i="1"/>
  <c r="A197" i="1"/>
  <c r="C196" i="1"/>
  <c r="A196" i="1"/>
  <c r="C195" i="1"/>
  <c r="A195" i="1"/>
  <c r="C194" i="1"/>
  <c r="A194" i="1"/>
  <c r="C193" i="1"/>
  <c r="A193" i="1"/>
  <c r="C192" i="1"/>
  <c r="A192" i="1"/>
  <c r="C191" i="1"/>
  <c r="A191" i="1"/>
  <c r="C190" i="1"/>
  <c r="A190" i="1"/>
  <c r="C189" i="1"/>
  <c r="A189" i="1"/>
  <c r="C188" i="1"/>
  <c r="A188" i="1"/>
  <c r="C187" i="1"/>
  <c r="A187" i="1"/>
  <c r="C186" i="1"/>
  <c r="A186" i="1"/>
  <c r="C185" i="1"/>
  <c r="A185" i="1"/>
  <c r="C184" i="1"/>
  <c r="A184" i="1"/>
  <c r="C183" i="1"/>
  <c r="A183" i="1"/>
  <c r="C182" i="1"/>
  <c r="A182" i="1"/>
  <c r="C181" i="1"/>
  <c r="A181" i="1"/>
  <c r="C180" i="1"/>
  <c r="A180" i="1"/>
  <c r="C179" i="1"/>
  <c r="A179" i="1"/>
  <c r="C178" i="1"/>
  <c r="A178" i="1"/>
  <c r="C177" i="1"/>
  <c r="A177" i="1"/>
  <c r="C176" i="1"/>
  <c r="A176" i="1"/>
  <c r="C175" i="1"/>
  <c r="A175" i="1"/>
  <c r="C174" i="1"/>
  <c r="A174" i="1"/>
  <c r="C173" i="1"/>
  <c r="A173" i="1"/>
  <c r="C172" i="1"/>
  <c r="A172" i="1"/>
  <c r="C171" i="1"/>
  <c r="A171" i="1"/>
  <c r="C170" i="1"/>
  <c r="A170" i="1"/>
  <c r="C169" i="1"/>
  <c r="A169" i="1"/>
  <c r="C168" i="1"/>
  <c r="A168" i="1"/>
  <c r="C167" i="1"/>
  <c r="A167" i="1"/>
  <c r="C166" i="1"/>
  <c r="A166" i="1"/>
  <c r="C165" i="1"/>
  <c r="A165" i="1"/>
  <c r="C164" i="1"/>
  <c r="A164" i="1"/>
  <c r="C163" i="1"/>
  <c r="A163" i="1"/>
  <c r="C162" i="1"/>
  <c r="A162" i="1"/>
  <c r="C161" i="1"/>
  <c r="A161" i="1"/>
  <c r="C160" i="1"/>
  <c r="A160" i="1"/>
  <c r="C159" i="1"/>
  <c r="A159" i="1"/>
  <c r="C158" i="1"/>
  <c r="A158" i="1"/>
  <c r="C157" i="1"/>
  <c r="A157" i="1"/>
  <c r="C156" i="1"/>
  <c r="A156" i="1"/>
  <c r="C155" i="1"/>
  <c r="A155" i="1"/>
  <c r="C154" i="1"/>
  <c r="A154" i="1"/>
  <c r="C153" i="1"/>
  <c r="A153" i="1"/>
  <c r="C152" i="1"/>
  <c r="A152" i="1"/>
  <c r="C151" i="1"/>
  <c r="A151" i="1"/>
  <c r="C150" i="1"/>
  <c r="A150" i="1"/>
  <c r="C149" i="1"/>
  <c r="A149" i="1"/>
  <c r="C148" i="1"/>
  <c r="A148" i="1"/>
  <c r="C147" i="1"/>
  <c r="A147" i="1"/>
  <c r="C146" i="1"/>
  <c r="A146" i="1"/>
  <c r="C145" i="1"/>
  <c r="A145" i="1"/>
  <c r="C144" i="1"/>
  <c r="A144" i="1"/>
  <c r="C143" i="1"/>
  <c r="A143" i="1"/>
  <c r="C142" i="1"/>
  <c r="A142" i="1"/>
  <c r="C141" i="1"/>
  <c r="A141" i="1"/>
  <c r="C140" i="1"/>
  <c r="A140" i="1"/>
  <c r="C139" i="1"/>
  <c r="A139" i="1"/>
  <c r="C138" i="1"/>
  <c r="A138" i="1"/>
  <c r="C137" i="1"/>
  <c r="A137" i="1"/>
  <c r="C136" i="1"/>
  <c r="A136" i="1"/>
  <c r="C135" i="1"/>
  <c r="A135" i="1"/>
  <c r="C134" i="1"/>
  <c r="A134" i="1"/>
  <c r="C133" i="1"/>
  <c r="A133" i="1"/>
  <c r="C132" i="1"/>
  <c r="A132" i="1"/>
  <c r="C131" i="1"/>
  <c r="A131" i="1"/>
  <c r="C130" i="1"/>
  <c r="A130" i="1"/>
  <c r="C129" i="1"/>
  <c r="A129" i="1"/>
  <c r="C128" i="1"/>
  <c r="A128" i="1"/>
  <c r="C127" i="1"/>
  <c r="A127" i="1"/>
  <c r="C126" i="1"/>
  <c r="A126" i="1"/>
  <c r="C125" i="1"/>
  <c r="A125" i="1"/>
  <c r="C124" i="1"/>
  <c r="A124" i="1"/>
  <c r="C123" i="1"/>
  <c r="A123" i="1"/>
  <c r="C122" i="1"/>
  <c r="A122" i="1"/>
  <c r="C121" i="1"/>
  <c r="A121" i="1"/>
  <c r="C120" i="1"/>
  <c r="A120" i="1"/>
  <c r="C119" i="1"/>
  <c r="A119" i="1"/>
  <c r="C118" i="1"/>
  <c r="A118" i="1"/>
  <c r="C117" i="1"/>
  <c r="A117" i="1"/>
  <c r="C116" i="1"/>
  <c r="A116" i="1"/>
  <c r="C115" i="1"/>
  <c r="A115" i="1"/>
  <c r="E115" i="1" s="1"/>
  <c r="C114" i="1"/>
  <c r="A114" i="1"/>
  <c r="C113" i="1"/>
  <c r="A113" i="1"/>
  <c r="C112" i="1"/>
  <c r="A112" i="1"/>
  <c r="C111" i="1"/>
  <c r="A111" i="1"/>
  <c r="C110" i="1"/>
  <c r="A110" i="1"/>
  <c r="C109" i="1"/>
  <c r="A109" i="1"/>
  <c r="C108" i="1"/>
  <c r="A108" i="1"/>
  <c r="C107" i="1"/>
  <c r="A107" i="1"/>
  <c r="C106" i="1"/>
  <c r="A106" i="1"/>
  <c r="C105" i="1"/>
  <c r="A105" i="1"/>
  <c r="C104" i="1"/>
  <c r="A104" i="1"/>
  <c r="C103" i="1"/>
  <c r="A103" i="1"/>
  <c r="C102" i="1"/>
  <c r="A102" i="1"/>
  <c r="C101" i="1"/>
  <c r="A101" i="1"/>
  <c r="C100" i="1"/>
  <c r="A100" i="1"/>
  <c r="C99" i="1"/>
  <c r="A99" i="1"/>
  <c r="E99" i="1" s="1"/>
  <c r="C98" i="1"/>
  <c r="A98" i="1"/>
  <c r="C97" i="1"/>
  <c r="A97" i="1"/>
  <c r="C96" i="1"/>
  <c r="A96" i="1"/>
  <c r="C95" i="1"/>
  <c r="A95" i="1"/>
  <c r="C94" i="1"/>
  <c r="A94" i="1"/>
  <c r="C93" i="1"/>
  <c r="A93" i="1"/>
  <c r="C92" i="1"/>
  <c r="A92" i="1"/>
  <c r="C91" i="1"/>
  <c r="A91" i="1"/>
  <c r="C90" i="1"/>
  <c r="A90" i="1"/>
  <c r="C89" i="1"/>
  <c r="A89" i="1"/>
  <c r="C88" i="1"/>
  <c r="A88" i="1"/>
  <c r="C87" i="1"/>
  <c r="A87" i="1"/>
  <c r="C86" i="1"/>
  <c r="A86" i="1"/>
  <c r="C85" i="1"/>
  <c r="A85" i="1"/>
  <c r="C84" i="1"/>
  <c r="A84" i="1"/>
  <c r="C83" i="1"/>
  <c r="A83" i="1"/>
  <c r="C82" i="1"/>
  <c r="A82" i="1"/>
  <c r="C81" i="1"/>
  <c r="A81" i="1"/>
  <c r="C80" i="1"/>
  <c r="A80" i="1"/>
  <c r="C79" i="1"/>
  <c r="A79" i="1"/>
  <c r="C78" i="1"/>
  <c r="A78" i="1"/>
  <c r="C77" i="1"/>
  <c r="A77" i="1"/>
  <c r="C76" i="1"/>
  <c r="A76" i="1"/>
  <c r="C75" i="1"/>
  <c r="A75" i="1"/>
  <c r="C74" i="1"/>
  <c r="A74" i="1"/>
  <c r="C73" i="1"/>
  <c r="A73" i="1"/>
  <c r="C72" i="1"/>
  <c r="A72" i="1"/>
  <c r="C71" i="1"/>
  <c r="A71" i="1"/>
  <c r="C70" i="1"/>
  <c r="A70" i="1"/>
  <c r="C69" i="1"/>
  <c r="A69" i="1"/>
  <c r="C68" i="1"/>
  <c r="A68" i="1"/>
  <c r="C67" i="1"/>
  <c r="A67" i="1"/>
  <c r="C66" i="1"/>
  <c r="A66" i="1"/>
  <c r="C65" i="1"/>
  <c r="A65" i="1"/>
  <c r="C64" i="1"/>
  <c r="A64" i="1"/>
  <c r="C63" i="1"/>
  <c r="A63" i="1"/>
  <c r="C62" i="1"/>
  <c r="A62" i="1"/>
  <c r="C61" i="1"/>
  <c r="A61" i="1"/>
  <c r="C60" i="1"/>
  <c r="A60" i="1"/>
  <c r="C59" i="1"/>
  <c r="A59" i="1"/>
  <c r="C58" i="1"/>
  <c r="A58" i="1"/>
  <c r="C57" i="1"/>
  <c r="A57" i="1"/>
  <c r="C56" i="1"/>
  <c r="A56" i="1"/>
  <c r="C55" i="1"/>
  <c r="A55" i="1"/>
  <c r="C54" i="1"/>
  <c r="A54" i="1"/>
  <c r="C53" i="1"/>
  <c r="A53" i="1"/>
  <c r="C52" i="1"/>
  <c r="A52" i="1"/>
  <c r="C51" i="1"/>
  <c r="A51" i="1"/>
  <c r="C50" i="1"/>
  <c r="A50" i="1"/>
  <c r="C49" i="1"/>
  <c r="A49" i="1"/>
  <c r="C48" i="1"/>
  <c r="A48" i="1"/>
  <c r="C47" i="1"/>
  <c r="A47" i="1"/>
  <c r="C46" i="1"/>
  <c r="A46" i="1"/>
  <c r="C45" i="1"/>
  <c r="A45" i="1"/>
  <c r="C44" i="1"/>
  <c r="A44" i="1"/>
  <c r="C43" i="1"/>
  <c r="A43" i="1"/>
  <c r="C42" i="1"/>
  <c r="A42" i="1"/>
  <c r="C41" i="1"/>
  <c r="A41" i="1"/>
  <c r="C40" i="1"/>
  <c r="A40" i="1"/>
  <c r="C39" i="1"/>
  <c r="A39" i="1"/>
  <c r="C38" i="1"/>
  <c r="A38" i="1"/>
  <c r="C37" i="1"/>
  <c r="A37" i="1"/>
  <c r="C36" i="1"/>
  <c r="A36" i="1"/>
  <c r="C35" i="1"/>
  <c r="A35" i="1"/>
  <c r="C34" i="1"/>
  <c r="A34" i="1"/>
  <c r="C33" i="1"/>
  <c r="A33" i="1"/>
  <c r="C32" i="1"/>
  <c r="A32" i="1"/>
  <c r="C31" i="1"/>
  <c r="A31" i="1"/>
  <c r="C30" i="1"/>
  <c r="A30" i="1"/>
  <c r="C29" i="1"/>
  <c r="A29" i="1"/>
  <c r="C28" i="1"/>
  <c r="A28" i="1"/>
  <c r="C27" i="1"/>
  <c r="A27" i="1"/>
  <c r="C26" i="1"/>
  <c r="A26" i="1"/>
  <c r="C25" i="1"/>
  <c r="A25" i="1"/>
  <c r="C24" i="1"/>
  <c r="A24" i="1"/>
  <c r="C23" i="1"/>
  <c r="A23" i="1"/>
  <c r="C22" i="1"/>
  <c r="A22" i="1"/>
  <c r="C21" i="1"/>
  <c r="A21" i="1"/>
  <c r="C20" i="1"/>
  <c r="A20" i="1"/>
  <c r="C19" i="1"/>
  <c r="A19" i="1"/>
  <c r="C18" i="1"/>
  <c r="A18" i="1"/>
  <c r="C17" i="1"/>
  <c r="A17" i="1"/>
  <c r="C16" i="1"/>
  <c r="A16" i="1"/>
  <c r="C15" i="1"/>
  <c r="A15" i="1"/>
  <c r="C14" i="1"/>
  <c r="A14" i="1"/>
  <c r="C13" i="1"/>
  <c r="A13" i="1"/>
  <c r="C12" i="1"/>
  <c r="A12" i="1"/>
  <c r="C11" i="1"/>
  <c r="A11" i="1"/>
  <c r="C10" i="1"/>
  <c r="A10" i="1"/>
  <c r="C9" i="1"/>
  <c r="A9" i="1"/>
  <c r="C8" i="1"/>
  <c r="A8" i="1"/>
  <c r="C7" i="1"/>
  <c r="A7" i="1"/>
  <c r="C6" i="1"/>
  <c r="A6" i="1"/>
  <c r="C5" i="1"/>
  <c r="A5" i="1"/>
  <c r="C4" i="1"/>
  <c r="A4" i="1"/>
  <c r="C3" i="1"/>
  <c r="A3" i="1"/>
  <c r="C2" i="1"/>
  <c r="A2" i="1"/>
  <c r="E334" i="1" l="1"/>
  <c r="E311" i="1"/>
  <c r="E466" i="1"/>
  <c r="E444" i="1"/>
  <c r="E331" i="1"/>
  <c r="B2" i="3"/>
  <c r="E591" i="1"/>
  <c r="E586" i="1"/>
  <c r="E578" i="1"/>
  <c r="E577" i="1"/>
  <c r="E576" i="1"/>
  <c r="E575" i="1"/>
  <c r="E571" i="1"/>
  <c r="E570" i="1"/>
  <c r="E441" i="1"/>
  <c r="E439" i="1"/>
  <c r="E438" i="1"/>
  <c r="E297" i="1"/>
  <c r="E226" i="1"/>
  <c r="E224" i="1"/>
  <c r="E217" i="1"/>
  <c r="E211" i="1"/>
  <c r="E204" i="1"/>
  <c r="E197" i="1"/>
  <c r="E190" i="1"/>
  <c r="E183" i="1"/>
  <c r="E177" i="1"/>
  <c r="E165" i="1"/>
  <c r="E158" i="1"/>
  <c r="E672" i="1"/>
  <c r="E592" i="1"/>
  <c r="E588" i="1"/>
  <c r="E587" i="1"/>
  <c r="E583" i="1"/>
  <c r="E582" i="1"/>
  <c r="E581" i="1"/>
  <c r="E580" i="1"/>
  <c r="E579" i="1"/>
  <c r="E572" i="1"/>
  <c r="E568" i="1"/>
  <c r="E567" i="1"/>
  <c r="E563" i="1"/>
  <c r="E562" i="1"/>
  <c r="E558" i="1"/>
  <c r="E557" i="1"/>
  <c r="E555" i="1"/>
  <c r="E289" i="1"/>
  <c r="E230" i="1"/>
  <c r="E229" i="1"/>
  <c r="E228" i="1"/>
  <c r="E227" i="1"/>
  <c r="E216" i="1"/>
  <c r="E210" i="1"/>
  <c r="E209" i="1"/>
  <c r="E203" i="1"/>
  <c r="E196" i="1"/>
  <c r="E193" i="1"/>
  <c r="E179" i="1"/>
  <c r="E167" i="1"/>
  <c r="E166" i="1"/>
  <c r="E164" i="1"/>
  <c r="E163" i="1"/>
  <c r="E684" i="1"/>
  <c r="E574" i="1"/>
  <c r="E573" i="1"/>
  <c r="E569" i="1"/>
  <c r="E566" i="1"/>
  <c r="E561" i="1"/>
  <c r="E440" i="1"/>
  <c r="E300" i="1"/>
  <c r="E294" i="1"/>
  <c r="E293" i="1"/>
  <c r="E288" i="1"/>
  <c r="E225" i="1"/>
  <c r="E219" i="1"/>
  <c r="E218" i="1"/>
  <c r="E207" i="1"/>
  <c r="E206" i="1"/>
  <c r="E178" i="1"/>
  <c r="E156" i="1"/>
  <c r="E154" i="1"/>
  <c r="E593" i="1"/>
  <c r="E590" i="1"/>
  <c r="E589" i="1"/>
  <c r="E585" i="1"/>
  <c r="E584" i="1"/>
  <c r="E565" i="1"/>
  <c r="E564" i="1"/>
  <c r="E560" i="1"/>
  <c r="E559" i="1"/>
  <c r="E556" i="1"/>
  <c r="E296" i="1"/>
  <c r="E290" i="1"/>
  <c r="E223" i="1"/>
  <c r="E222" i="1"/>
  <c r="E221" i="1"/>
  <c r="E220" i="1"/>
  <c r="E205" i="1"/>
  <c r="E199" i="1"/>
  <c r="E198" i="1"/>
  <c r="E192" i="1"/>
  <c r="E185" i="1"/>
  <c r="E184" i="1"/>
  <c r="E182" i="1"/>
  <c r="E181" i="1"/>
  <c r="E180" i="1"/>
  <c r="E174" i="1"/>
  <c r="E173" i="1"/>
  <c r="E172" i="1"/>
  <c r="E171" i="1"/>
  <c r="E170" i="1"/>
  <c r="E169" i="1"/>
  <c r="E168" i="1"/>
  <c r="E162" i="1"/>
  <c r="E157" i="1"/>
  <c r="E155" i="1"/>
  <c r="E295" i="1"/>
  <c r="E215" i="1"/>
  <c r="E208" i="1"/>
  <c r="E202" i="1"/>
  <c r="E200" i="1"/>
  <c r="E160" i="1"/>
  <c r="E159" i="1"/>
  <c r="E153" i="1"/>
  <c r="E298" i="1"/>
  <c r="E292" i="1"/>
  <c r="E291" i="1"/>
  <c r="E213" i="1"/>
  <c r="E212" i="1"/>
  <c r="E201" i="1"/>
  <c r="E191" i="1"/>
  <c r="E189" i="1"/>
  <c r="E188" i="1"/>
  <c r="E186" i="1"/>
  <c r="E176" i="1"/>
  <c r="E175" i="1"/>
  <c r="E152" i="1"/>
  <c r="E669" i="1"/>
  <c r="E667" i="1"/>
  <c r="E666" i="1"/>
  <c r="E661" i="1"/>
  <c r="E660" i="1"/>
  <c r="E652" i="1"/>
  <c r="E649" i="1"/>
  <c r="E646" i="1"/>
  <c r="E643" i="1"/>
  <c r="E633" i="1"/>
  <c r="E630" i="1"/>
  <c r="E627" i="1"/>
  <c r="E624" i="1"/>
  <c r="E621" i="1"/>
  <c r="E618" i="1"/>
  <c r="E615" i="1"/>
  <c r="E614" i="1"/>
  <c r="E604" i="1"/>
  <c r="E601" i="1"/>
  <c r="E596" i="1"/>
  <c r="E595" i="1"/>
  <c r="E553" i="1"/>
  <c r="E539" i="1"/>
  <c r="E531" i="1"/>
  <c r="E530" i="1"/>
  <c r="E523" i="1"/>
  <c r="E522" i="1"/>
  <c r="E515" i="1"/>
  <c r="E504" i="1"/>
  <c r="E500" i="1"/>
  <c r="E499" i="1"/>
  <c r="E498" i="1"/>
  <c r="E488" i="1"/>
  <c r="E487" i="1"/>
  <c r="E486" i="1"/>
  <c r="E482" i="1"/>
  <c r="E481" i="1"/>
  <c r="E477" i="1"/>
  <c r="E434" i="1"/>
  <c r="E433" i="1"/>
  <c r="E432" i="1"/>
  <c r="E431" i="1"/>
  <c r="E430" i="1"/>
  <c r="E425" i="1"/>
  <c r="E424" i="1"/>
  <c r="E407" i="1"/>
  <c r="E406" i="1"/>
  <c r="E405" i="1"/>
  <c r="E404" i="1"/>
  <c r="E403" i="1"/>
  <c r="E386" i="1"/>
  <c r="E385" i="1"/>
  <c r="E384" i="1"/>
  <c r="E383" i="1"/>
  <c r="E382" i="1"/>
  <c r="E377" i="1"/>
  <c r="E376" i="1"/>
  <c r="E375" i="1"/>
  <c r="E374" i="1"/>
  <c r="E373" i="1"/>
  <c r="E372" i="1"/>
  <c r="E371" i="1"/>
  <c r="E370" i="1"/>
  <c r="E357" i="1"/>
  <c r="E356" i="1"/>
  <c r="E355" i="1"/>
  <c r="E354" i="1"/>
  <c r="E285" i="1"/>
  <c r="E279" i="1"/>
  <c r="E278" i="1"/>
  <c r="E267" i="1"/>
  <c r="E261" i="1"/>
  <c r="E260" i="1"/>
  <c r="E254" i="1"/>
  <c r="E248" i="1"/>
  <c r="E148" i="1"/>
  <c r="E147" i="1"/>
  <c r="E135" i="1"/>
  <c r="E133" i="1"/>
  <c r="E131" i="1"/>
  <c r="E129" i="1"/>
  <c r="E128" i="1"/>
  <c r="E121" i="1"/>
  <c r="E102" i="1"/>
  <c r="E100" i="1"/>
  <c r="E85" i="1"/>
  <c r="E83" i="1"/>
  <c r="E76" i="1"/>
  <c r="E64" i="1"/>
  <c r="E58" i="1"/>
  <c r="E39" i="1"/>
  <c r="E18" i="1"/>
  <c r="E11" i="1"/>
  <c r="E4" i="1"/>
  <c r="E701" i="1"/>
  <c r="E697" i="1"/>
  <c r="E695" i="1"/>
  <c r="E693" i="1"/>
  <c r="E691" i="1"/>
  <c r="E687" i="1"/>
  <c r="E685" i="1"/>
  <c r="E681" i="1"/>
  <c r="E679" i="1"/>
  <c r="E677" i="1"/>
  <c r="E675" i="1"/>
  <c r="E673" i="1"/>
  <c r="E671" i="1"/>
  <c r="E664" i="1"/>
  <c r="E658" i="1"/>
  <c r="E655" i="1"/>
  <c r="E654" i="1"/>
  <c r="E651" i="1"/>
  <c r="E648" i="1"/>
  <c r="E645" i="1"/>
  <c r="E642" i="1"/>
  <c r="E639" i="1"/>
  <c r="E636" i="1"/>
  <c r="E635" i="1"/>
  <c r="E632" i="1"/>
  <c r="E631" i="1"/>
  <c r="E628" i="1"/>
  <c r="E625" i="1"/>
  <c r="E620" i="1"/>
  <c r="E619" i="1"/>
  <c r="E612" i="1"/>
  <c r="E611" i="1"/>
  <c r="E605" i="1"/>
  <c r="E602" i="1"/>
  <c r="E599" i="1"/>
  <c r="E598" i="1"/>
  <c r="E554" i="1"/>
  <c r="E551" i="1"/>
  <c r="E543" i="1"/>
  <c r="E535" i="1"/>
  <c r="E527" i="1"/>
  <c r="E526" i="1"/>
  <c r="E525" i="1"/>
  <c r="E521" i="1"/>
  <c r="E516" i="1"/>
  <c r="E512" i="1"/>
  <c r="E508" i="1"/>
  <c r="E507" i="1"/>
  <c r="E503" i="1"/>
  <c r="E495" i="1"/>
  <c r="E484" i="1"/>
  <c r="E483" i="1"/>
  <c r="E479" i="1"/>
  <c r="E478" i="1"/>
  <c r="E474" i="1"/>
  <c r="E473" i="1"/>
  <c r="E428" i="1"/>
  <c r="E418" i="1"/>
  <c r="E417" i="1"/>
  <c r="E416" i="1"/>
  <c r="E411" i="1"/>
  <c r="E409" i="1"/>
  <c r="E408" i="1"/>
  <c r="E399" i="1"/>
  <c r="E381" i="1"/>
  <c r="E380" i="1"/>
  <c r="E379" i="1"/>
  <c r="E378" i="1"/>
  <c r="E369" i="1"/>
  <c r="E368" i="1"/>
  <c r="E277" i="1"/>
  <c r="E270" i="1"/>
  <c r="E264" i="1"/>
  <c r="E258" i="1"/>
  <c r="E252" i="1"/>
  <c r="E251" i="1"/>
  <c r="E245" i="1"/>
  <c r="E244" i="1"/>
  <c r="E233" i="1"/>
  <c r="E232" i="1"/>
  <c r="E231" i="1"/>
  <c r="E151" i="1"/>
  <c r="E143" i="1"/>
  <c r="E124" i="1"/>
  <c r="E122" i="1"/>
  <c r="E106" i="1"/>
  <c r="E86" i="1"/>
  <c r="E84" i="1"/>
  <c r="E77" i="1"/>
  <c r="E69" i="1"/>
  <c r="E68" i="1"/>
  <c r="E67" i="1"/>
  <c r="E57" i="1"/>
  <c r="E43" i="1"/>
  <c r="E36" i="1"/>
  <c r="E34" i="1"/>
  <c r="E33" i="1"/>
  <c r="E32" i="1"/>
  <c r="E30" i="1"/>
  <c r="E29" i="1"/>
  <c r="E28" i="1"/>
  <c r="E26" i="1"/>
  <c r="E19" i="1"/>
  <c r="E17" i="1"/>
  <c r="E16" i="1"/>
  <c r="E14" i="1"/>
  <c r="E7" i="1"/>
  <c r="E5" i="1"/>
  <c r="E700" i="1"/>
  <c r="E698" i="1"/>
  <c r="E696" i="1"/>
  <c r="E694" i="1"/>
  <c r="E692" i="1"/>
  <c r="E688" i="1"/>
  <c r="E686" i="1"/>
  <c r="E683" i="1"/>
  <c r="E682" i="1"/>
  <c r="E680" i="1"/>
  <c r="E676" i="1"/>
  <c r="E674" i="1"/>
  <c r="E670" i="1"/>
  <c r="E668" i="1"/>
  <c r="E665" i="1"/>
  <c r="E663" i="1"/>
  <c r="E662" i="1"/>
  <c r="E657" i="1"/>
  <c r="E656" i="1"/>
  <c r="E653" i="1"/>
  <c r="E650" i="1"/>
  <c r="E647" i="1"/>
  <c r="E644" i="1"/>
  <c r="E641" i="1"/>
  <c r="E638" i="1"/>
  <c r="E637" i="1"/>
  <c r="E634" i="1"/>
  <c r="E629" i="1"/>
  <c r="E626" i="1"/>
  <c r="E623" i="1"/>
  <c r="E622" i="1"/>
  <c r="E617" i="1"/>
  <c r="E616" i="1"/>
  <c r="E613" i="1"/>
  <c r="E610" i="1"/>
  <c r="E607" i="1"/>
  <c r="E606" i="1"/>
  <c r="E603" i="1"/>
  <c r="E600" i="1"/>
  <c r="E597" i="1"/>
  <c r="E594" i="1"/>
  <c r="E550" i="1"/>
  <c r="E549" i="1"/>
  <c r="E548" i="1"/>
  <c r="E541" i="1"/>
  <c r="E540" i="1"/>
  <c r="E536" i="1"/>
  <c r="E532" i="1"/>
  <c r="E528" i="1"/>
  <c r="E524" i="1"/>
  <c r="E520" i="1"/>
  <c r="E519" i="1"/>
  <c r="E518" i="1"/>
  <c r="E514" i="1"/>
  <c r="E513" i="1"/>
  <c r="E509" i="1"/>
  <c r="E502" i="1"/>
  <c r="E501" i="1"/>
  <c r="E497" i="1"/>
  <c r="E496" i="1"/>
  <c r="E492" i="1"/>
  <c r="E491" i="1"/>
  <c r="E490" i="1"/>
  <c r="E489" i="1"/>
  <c r="E485" i="1"/>
  <c r="E480" i="1"/>
  <c r="E476" i="1"/>
  <c r="E475" i="1"/>
  <c r="E423" i="1"/>
  <c r="E422" i="1"/>
  <c r="E412" i="1"/>
  <c r="E401" i="1"/>
  <c r="E400" i="1"/>
  <c r="E395" i="1"/>
  <c r="E394" i="1"/>
  <c r="E393" i="1"/>
  <c r="E392" i="1"/>
  <c r="E268" i="1"/>
  <c r="E257" i="1"/>
  <c r="E246" i="1"/>
  <c r="E139" i="1"/>
  <c r="E137" i="1"/>
  <c r="E136" i="1"/>
  <c r="E123" i="1"/>
  <c r="E116" i="1"/>
  <c r="E107" i="1"/>
  <c r="E91" i="1"/>
  <c r="E56" i="1"/>
  <c r="E44" i="1"/>
  <c r="E42" i="1"/>
  <c r="E35" i="1"/>
  <c r="E27" i="1"/>
  <c r="E9" i="1"/>
  <c r="E552" i="1"/>
  <c r="E547" i="1"/>
  <c r="E546" i="1"/>
  <c r="E545" i="1"/>
  <c r="E542" i="1"/>
  <c r="E538" i="1"/>
  <c r="E537" i="1"/>
  <c r="E534" i="1"/>
  <c r="E533" i="1"/>
  <c r="E529" i="1"/>
  <c r="E511" i="1"/>
  <c r="E510" i="1"/>
  <c r="E506" i="1"/>
  <c r="E494" i="1"/>
  <c r="E493" i="1"/>
  <c r="E437" i="1"/>
  <c r="E436" i="1"/>
  <c r="E427" i="1"/>
  <c r="E426" i="1"/>
  <c r="E414" i="1"/>
  <c r="E398" i="1"/>
  <c r="E397" i="1"/>
  <c r="E396" i="1"/>
  <c r="E391" i="1"/>
  <c r="E390" i="1"/>
  <c r="E389" i="1"/>
  <c r="E388" i="1"/>
  <c r="E387" i="1"/>
  <c r="E367" i="1"/>
  <c r="E366" i="1"/>
  <c r="E365" i="1"/>
  <c r="E364" i="1"/>
  <c r="E363" i="1"/>
  <c r="E362" i="1"/>
  <c r="E361" i="1"/>
  <c r="E360" i="1"/>
  <c r="E359" i="1"/>
  <c r="E358" i="1"/>
  <c r="E353" i="1"/>
  <c r="E352" i="1"/>
  <c r="E287" i="1"/>
  <c r="E286" i="1"/>
  <c r="E280" i="1"/>
  <c r="E269" i="1"/>
  <c r="E263" i="1"/>
  <c r="E262" i="1"/>
  <c r="E256" i="1"/>
  <c r="E250" i="1"/>
  <c r="E234" i="1"/>
  <c r="E149" i="1"/>
  <c r="E142" i="1"/>
  <c r="E140" i="1"/>
  <c r="E110" i="1"/>
  <c r="E104" i="1"/>
  <c r="E97" i="1"/>
  <c r="E75" i="1"/>
  <c r="E74" i="1"/>
  <c r="E73" i="1"/>
  <c r="E66" i="1"/>
  <c r="E60" i="1"/>
  <c r="E59" i="1"/>
  <c r="E52" i="1"/>
  <c r="E51" i="1"/>
  <c r="E50" i="1"/>
  <c r="E49" i="1"/>
  <c r="E48" i="1"/>
  <c r="E46" i="1"/>
  <c r="E45" i="1"/>
  <c r="E38" i="1"/>
  <c r="E21" i="1"/>
  <c r="E20" i="1"/>
  <c r="E13" i="1"/>
  <c r="E435" i="1"/>
  <c r="E421" i="1"/>
  <c r="E420" i="1"/>
  <c r="E415" i="1"/>
  <c r="E410" i="1"/>
  <c r="E284" i="1"/>
  <c r="E283" i="1"/>
  <c r="E282" i="1"/>
  <c r="E276" i="1"/>
  <c r="E275" i="1"/>
  <c r="E274" i="1"/>
  <c r="E273" i="1"/>
  <c r="E272" i="1"/>
  <c r="E271" i="1"/>
  <c r="E255" i="1"/>
  <c r="E249" i="1"/>
  <c r="E243" i="1"/>
  <c r="E242" i="1"/>
  <c r="E236" i="1"/>
  <c r="E235" i="1"/>
  <c r="E150" i="1"/>
  <c r="E132" i="1"/>
  <c r="E126" i="1"/>
  <c r="E119" i="1"/>
  <c r="E117" i="1"/>
  <c r="E112" i="1"/>
  <c r="E103" i="1"/>
  <c r="E101" i="1"/>
  <c r="E95" i="1"/>
  <c r="E94" i="1"/>
  <c r="E93" i="1"/>
  <c r="E92" i="1"/>
  <c r="E90" i="1"/>
  <c r="E72" i="1"/>
  <c r="E65" i="1"/>
  <c r="E53" i="1"/>
  <c r="E41" i="1"/>
  <c r="E12" i="1"/>
  <c r="E281" i="1"/>
  <c r="E266" i="1"/>
  <c r="E265" i="1"/>
  <c r="E259" i="1"/>
  <c r="E253" i="1"/>
  <c r="E247" i="1"/>
  <c r="E241" i="1"/>
  <c r="E240" i="1"/>
  <c r="E239" i="1"/>
  <c r="E238" i="1"/>
  <c r="E237" i="1"/>
  <c r="E146" i="1"/>
  <c r="E145" i="1"/>
  <c r="E138" i="1"/>
  <c r="E125" i="1"/>
  <c r="E111" i="1"/>
  <c r="E105" i="1"/>
  <c r="E89" i="1"/>
  <c r="E82" i="1"/>
  <c r="E81" i="1"/>
  <c r="E80" i="1"/>
  <c r="E79" i="1"/>
  <c r="E71" i="1"/>
  <c r="E70" i="1"/>
  <c r="E63" i="1"/>
  <c r="E62" i="1"/>
  <c r="E61" i="1"/>
  <c r="E54" i="1"/>
  <c r="E37" i="1"/>
  <c r="E25" i="1"/>
  <c r="E23" i="1"/>
  <c r="E22" i="1"/>
  <c r="E10" i="1"/>
  <c r="E3" i="1"/>
  <c r="E2" i="1"/>
  <c r="E144" i="1"/>
  <c r="E141" i="1"/>
  <c r="E134" i="1"/>
  <c r="E127" i="1"/>
  <c r="E120" i="1"/>
  <c r="E114" i="1"/>
  <c r="E113" i="1"/>
  <c r="E109" i="1"/>
  <c r="E108" i="1"/>
  <c r="E96" i="1"/>
  <c r="E88" i="1"/>
  <c r="E87" i="1"/>
  <c r="E55" i="1"/>
  <c r="E47" i="1"/>
  <c r="E40" i="1"/>
  <c r="E15" i="1"/>
  <c r="E8" i="1"/>
  <c r="E6" i="1"/>
  <c r="E609" i="1"/>
  <c r="E429" i="1"/>
  <c r="E413" i="1"/>
  <c r="E31" i="1"/>
  <c r="E24" i="1"/>
  <c r="E195" i="1"/>
  <c r="E608" i="1"/>
  <c r="E419" i="1"/>
  <c r="E301" i="1"/>
  <c r="E194" i="1"/>
  <c r="E130" i="1"/>
  <c r="E505" i="1"/>
  <c r="E314" i="1"/>
  <c r="E187" i="1"/>
  <c r="E78" i="1"/>
  <c r="E402" i="1"/>
  <c r="E161" i="1"/>
  <c r="E118" i="1"/>
  <c r="E299" i="1"/>
  <c r="E659" i="1"/>
  <c r="E640" i="1"/>
  <c r="E544" i="1"/>
  <c r="E517" i="1"/>
  <c r="E312" i="1"/>
  <c r="E214" i="1"/>
  <c r="E98" i="1"/>
  <c r="E12" i="4" l="1"/>
  <c r="D12" i="4"/>
  <c r="C12" i="4"/>
  <c r="B12" i="4"/>
  <c r="G11" i="4"/>
  <c r="D11" i="4"/>
  <c r="A1" i="4"/>
  <c r="H12" i="4"/>
  <c r="E7" i="4"/>
  <c r="F8" i="5" s="1"/>
  <c r="H11" i="4"/>
  <c r="F11" i="4"/>
  <c r="C11" i="4"/>
  <c r="D10" i="4"/>
  <c r="E11" i="5" s="1"/>
  <c r="F4" i="4"/>
  <c r="G5" i="5" s="1"/>
  <c r="D13" i="4"/>
  <c r="B13" i="4"/>
  <c r="D4" i="4"/>
  <c r="E5" i="5" s="1"/>
  <c r="E11" i="4"/>
  <c r="C10" i="4"/>
  <c r="D11" i="5" s="1"/>
  <c r="E5" i="4"/>
  <c r="F6" i="5" s="1"/>
  <c r="B5" i="4"/>
  <c r="C6" i="5" s="1"/>
  <c r="H4" i="4"/>
  <c r="I5" i="5" s="1"/>
  <c r="E10" i="4"/>
  <c r="F11" i="5" s="1"/>
  <c r="F10" i="4"/>
  <c r="G11" i="5" s="1"/>
  <c r="F12" i="4"/>
  <c r="C13" i="4"/>
  <c r="G12" i="4"/>
  <c r="C8" i="4"/>
  <c r="D9" i="5" s="1"/>
  <c r="C6" i="4"/>
  <c r="D7" i="5" s="1"/>
  <c r="H5" i="4"/>
  <c r="I6" i="5" s="1"/>
  <c r="G5" i="4"/>
  <c r="H6" i="5" s="1"/>
  <c r="E8" i="4"/>
  <c r="F9" i="5" s="1"/>
  <c r="H8" i="4"/>
  <c r="I9" i="5" s="1"/>
  <c r="D7" i="4"/>
  <c r="E8" i="5" s="1"/>
  <c r="B11" i="4"/>
  <c r="H10" i="4"/>
  <c r="I11" i="5" s="1"/>
  <c r="B4" i="4"/>
  <c r="C5" i="5" s="1"/>
  <c r="C4" i="4"/>
  <c r="D5" i="5" s="1"/>
  <c r="E4" i="4"/>
  <c r="F5" i="5" s="1"/>
  <c r="G4" i="4"/>
  <c r="H5" i="5" s="1"/>
  <c r="C5" i="4"/>
  <c r="D6" i="5" s="1"/>
  <c r="D5" i="4"/>
  <c r="E6" i="5" s="1"/>
  <c r="F5" i="4"/>
  <c r="G6" i="5" s="1"/>
  <c r="B6" i="4"/>
  <c r="C7" i="5" s="1"/>
  <c r="D6" i="4"/>
  <c r="E7" i="5" s="1"/>
  <c r="E6" i="4"/>
  <c r="F7" i="5" s="1"/>
  <c r="F6" i="4"/>
  <c r="G7" i="5" s="1"/>
  <c r="G6" i="4"/>
  <c r="H7" i="5" s="1"/>
  <c r="H6" i="4"/>
  <c r="I7" i="5" s="1"/>
  <c r="B7" i="4"/>
  <c r="C8" i="5" s="1"/>
  <c r="C7" i="4"/>
  <c r="D8" i="5" s="1"/>
  <c r="H13" i="4"/>
  <c r="G10" i="4"/>
  <c r="H11" i="5" s="1"/>
  <c r="F7" i="4"/>
  <c r="G8" i="5" s="1"/>
  <c r="G7" i="4"/>
  <c r="H8" i="5" s="1"/>
  <c r="H7" i="4"/>
  <c r="I8" i="5" s="1"/>
  <c r="B8" i="4"/>
  <c r="C9" i="5" s="1"/>
  <c r="D8" i="4"/>
  <c r="E9" i="5" s="1"/>
  <c r="F8" i="4"/>
  <c r="G9" i="5" s="1"/>
  <c r="G8" i="4"/>
  <c r="H9" i="5" s="1"/>
  <c r="B9" i="4"/>
  <c r="C10" i="5" s="1"/>
  <c r="C9" i="4"/>
  <c r="D10" i="5" s="1"/>
  <c r="D9" i="4"/>
  <c r="E10" i="5" s="1"/>
  <c r="E9" i="4"/>
  <c r="F10" i="5" s="1"/>
  <c r="F9" i="4"/>
  <c r="G10" i="5" s="1"/>
  <c r="G9" i="4"/>
  <c r="H10" i="5" s="1"/>
  <c r="H9" i="4"/>
  <c r="I10" i="5" s="1"/>
  <c r="B10" i="4"/>
  <c r="C11" i="5" s="1"/>
  <c r="E13" i="4"/>
  <c r="F13" i="4"/>
  <c r="G13" i="4"/>
</calcChain>
</file>

<file path=xl/sharedStrings.xml><?xml version="1.0" encoding="utf-8"?>
<sst xmlns="http://schemas.openxmlformats.org/spreadsheetml/2006/main" count="192" uniqueCount="112">
  <si>
    <t>Scenario</t>
  </si>
  <si>
    <t>Time Period</t>
  </si>
  <si>
    <t>Variable</t>
  </si>
  <si>
    <t>Value</t>
  </si>
  <si>
    <t>Scenario Controller</t>
  </si>
  <si>
    <t>Scenario List</t>
  </si>
  <si>
    <t>Variable List</t>
  </si>
  <si>
    <t>hydrogen_allsect</t>
  </si>
  <si>
    <t>elc_industry</t>
  </si>
  <si>
    <t>elc_buildings</t>
  </si>
  <si>
    <t>elc_transport</t>
  </si>
  <si>
    <t>Scenario 5</t>
  </si>
  <si>
    <t>elc_roadtransport</t>
  </si>
  <si>
    <t>Scenario 6</t>
  </si>
  <si>
    <t>het_industry</t>
  </si>
  <si>
    <t>Scenario 7</t>
  </si>
  <si>
    <t>het_buildings</t>
  </si>
  <si>
    <t>Scenario 8</t>
  </si>
  <si>
    <t>co2net</t>
  </si>
  <si>
    <t>Scenario 9</t>
  </si>
  <si>
    <t>Variable 9</t>
  </si>
  <si>
    <t>Scenario 10</t>
  </si>
  <si>
    <t>Variable 10</t>
  </si>
  <si>
    <t>1-8</t>
  </si>
  <si>
    <t>~Scenmap</t>
  </si>
  <si>
    <t>priority</t>
  </si>
  <si>
    <t>scen</t>
  </si>
  <si>
    <t>case_no</t>
  </si>
  <si>
    <t>co2price</t>
  </si>
  <si>
    <t>Key</t>
  </si>
  <si>
    <t>Active Scenario</t>
  </si>
  <si>
    <t>Scenario names and variable names are controlled centrally from the Controller lists. The active scenario is driven by Controller!D18; B2 shows 'Scenario name - X'. This view uses the Data helper key to retrieve the selected scenario values while preserving blanks and real zeros.</t>
  </si>
  <si>
    <t>commodity</t>
  </si>
  <si>
    <t>attribute</t>
  </si>
  <si>
    <t>demand</t>
  </si>
  <si>
    <t>non-road transport demand assumed to be constant</t>
  </si>
  <si>
    <t>~TFM_INS-TS: region=POL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</si>
  <si>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</si>
  <si>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</si>
  <si>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</si>
  <si>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</si>
  <si>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</si>
  <si>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</si>
  <si>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</si>
  <si>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biofuels_Swidnica_POL</t>
  </si>
  <si>
    <t>Stock</t>
  </si>
  <si>
    <t>cement_Bydgoszcz_POL</t>
  </si>
  <si>
    <t>cement_Chelm_POL</t>
  </si>
  <si>
    <t>cement_Czestochowa_POL</t>
  </si>
  <si>
    <t>cement_KedzierzynKozle_POL</t>
  </si>
  <si>
    <t>cement_Kielce_POL</t>
  </si>
  <si>
    <t>cement_OstrowiecSwietokrz_POL</t>
  </si>
  <si>
    <t>cement_Radomsko_POL</t>
  </si>
  <si>
    <t>chemicals_Katowice_POL</t>
  </si>
  <si>
    <t>chemicals_Legnica_POL</t>
  </si>
  <si>
    <t>fertilizer_KedzierzynKozle_POL</t>
  </si>
  <si>
    <t>fertilizer_Police_POL</t>
  </si>
  <si>
    <t>fertilizer_Pulawy_POL</t>
  </si>
  <si>
    <t>fertilizer_Tarnow_POL</t>
  </si>
  <si>
    <t>fertilizer_Wloclawek_POL</t>
  </si>
  <si>
    <t>glass_Czestochowa_POL</t>
  </si>
  <si>
    <t>glass_Debica_POL</t>
  </si>
  <si>
    <t>glass_Katowice_POL</t>
  </si>
  <si>
    <t>glass_PiotrkowTrybunalsk_POL</t>
  </si>
  <si>
    <t>lime_Bydgoszcz_POL</t>
  </si>
  <si>
    <t>lime_Czestochowa_POL</t>
  </si>
  <si>
    <t>lime_KedzierzynKozle_POL</t>
  </si>
  <si>
    <t>lime_Kielce_POL</t>
  </si>
  <si>
    <t>lime_OstrowiecSwietokrz_POL</t>
  </si>
  <si>
    <t>non_ferrous_Gliwice_POL</t>
  </si>
  <si>
    <t>non_ferrous_Katowice_POL</t>
  </si>
  <si>
    <t>non_ferrous_Legnica_POL</t>
  </si>
  <si>
    <t>non_ferrous_Lubin_POL</t>
  </si>
  <si>
    <t>petchem_Gdansk_POL</t>
  </si>
  <si>
    <t>petchem_Katowice_POL</t>
  </si>
  <si>
    <t>petchem_Plock_POL</t>
  </si>
  <si>
    <t>pulp_paper_GorzowWielkopolski_POL</t>
  </si>
  <si>
    <t>pulp_paper_Grudziadz_POL</t>
  </si>
  <si>
    <t>pulp_paper_Kwidzyn_POL</t>
  </si>
  <si>
    <t>pulp_paper_Lomza_POL</t>
  </si>
  <si>
    <t>soda_ash_Bydgoszcz_POL</t>
  </si>
  <si>
    <t>steel_Katowice_POL</t>
  </si>
  <si>
    <t>steel_Krakow_POL</t>
  </si>
  <si>
    <t>steel_OstrowiecSwietokrz_POL</t>
  </si>
  <si>
    <t>steel_Sosnowiec_POL</t>
  </si>
  <si>
    <t>wood_Elk_POL</t>
  </si>
  <si>
    <t>wood_Grajewo_POL</t>
  </si>
  <si>
    <t>wood_Kielce_POL</t>
  </si>
  <si>
    <t>wood_Koszalin_POL</t>
  </si>
  <si>
    <t>wood_Mielec_POL</t>
  </si>
  <si>
    <t>wood_Olesnica_POL</t>
  </si>
  <si>
    <t>wood_Olsztyn_POL</t>
  </si>
  <si>
    <t>wood_ZielonaGora_POL</t>
  </si>
  <si>
    <t>~TFM_INS-TS: region=POL; attribute=flo_cost;pset_pn=-IMP*Z</t>
  </si>
  <si>
    <t>pset_co</t>
  </si>
  <si>
    <t>Gas</t>
  </si>
  <si>
    <t>Coal</t>
  </si>
  <si>
    <t>Oil</t>
  </si>
  <si>
    <t>Bioenergy</t>
  </si>
  <si>
    <t>~tfm_ins-ts: region=POL</t>
  </si>
  <si>
    <t>lo</t>
  </si>
  <si>
    <t>cap_bnd</t>
  </si>
  <si>
    <t>Attribute</t>
  </si>
  <si>
    <t>value</t>
  </si>
  <si>
    <t>pset_pn</t>
  </si>
  <si>
    <t>START</t>
  </si>
  <si>
    <t>*_ogc*</t>
  </si>
  <si>
    <t>~TFM_INS</t>
  </si>
  <si>
    <t>Ref</t>
  </si>
  <si>
    <t>Mild</t>
  </si>
  <si>
    <t>NZ</t>
  </si>
  <si>
    <t>Mitig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</si>
</sst>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6">
    <font>
      <sz val="11"/>
      <name val="Carlito"/>
    </font>
    <font>
      <sz val="11"/>
      <color theme="1"/>
      <name val="Calibri"/>
      <family val="2"/>
      <scheme val="minor"/>
    </font>
    <font>
      <b/>
      <sz val="11"/>
      <color rgb="FFFFFFFF"/>
      <name val="Carlito"/>
    </font>
    <font>
      <b/>
      <sz val="14"/>
      <color rgb="FFFFFFFF"/>
      <name val="Carlito"/>
    </font>
    <font>
      <b/>
      <sz val="11"/>
      <name val="Carlito"/>
    </font>
    <font>
      <b/>
      <sz val="11"/>
      <color theme="3"/>
      <name val="Calibri"/>
      <family val="2"/>
    </font>
    <font>
      <sz val="11"/>
      <color rgb="FF006100"/>
      <name val="Calibri"/>
      <family val="2"/>
    </font>
    <font>
      <sz val="11"/>
      <color rgb="FF3F3F76"/>
      <name val="Calibri"/>
      <family val="2"/>
    </font>
    <font>
      <sz val="11"/>
      <color theme="0" tint="-0.249977111117893"/>
      <name val="Calibri"/>
      <family val="2"/>
    </font>
    <font>
      <sz val="11"/>
      <color rgb="FFFF0000"/>
      <name val="Carlito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F3F6F9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theme="0" tint="-0.14999847407452621"/>
        <bgColor indexed="65"/>
      </patternFill>
    </fill>
    <fill>
      <patternFill patternType="solid">
        <fgColor rgb="FFE2F0D9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double">
        <color rgb="FFFF8001"/>
      </bottom>
      <diagonal/>
    </border>
  </borders>
  <cellStyleXfs count="11">
    <xf numFmtId="0" fontId="0" fillId="0" borderId="0"/>
    <xf numFmtId="0" fontId="5" fillId="0" borderId="1" applyNumberFormat="0" applyFill="0" applyAlignment="0" applyProtection="0"/>
    <xf numFmtId="0" fontId="6" fillId="7" borderId="0" applyNumberFormat="0" applyBorder="0" applyAlignment="0" applyProtection="0"/>
    <xf numFmtId="0" fontId="7" fillId="8" borderId="2" applyNumberFormat="0" applyAlignment="0" applyProtection="0"/>
    <xf numFmtId="0" fontId="10" fillId="0" borderId="5" applyNumberFormat="0" applyFill="0" applyAlignment="0" applyProtection="0"/>
    <xf numFmtId="0" fontId="12" fillId="11" borderId="0" applyNumberFormat="0" applyBorder="0" applyAlignment="0" applyProtection="0"/>
    <xf numFmtId="0" fontId="13" fillId="12" borderId="0" applyNumberFormat="0" applyBorder="0" applyAlignment="0" applyProtection="0"/>
    <xf numFmtId="0" fontId="14" fillId="0" borderId="6" applyNumberFormat="0" applyFill="0" applyAlignment="0" applyProtection="0"/>
    <xf numFmtId="0" fontId="10" fillId="0" borderId="5"/>
    <xf numFmtId="0" fontId="1" fillId="0" borderId="3"/>
    <xf numFmtId="0" fontId="11" fillId="0" borderId="4"/>
  </cellStyleXfs>
  <cellXfs count="2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0" fillId="0" borderId="0" xfId="0" applyNumberFormat="1"/>
    <xf numFmtId="2" fontId="0" fillId="0" borderId="0" xfId="0" applyNumberFormat="1"/>
    <xf numFmtId="2" fontId="0" fillId="3" borderId="0" xfId="0" applyNumberFormat="1" applyFill="1"/>
    <xf numFmtId="0" fontId="4" fillId="5" borderId="0" xfId="0" applyFont="1" applyFill="1"/>
    <xf numFmtId="0" fontId="2" fillId="4" borderId="0" xfId="0" applyFont="1" applyFill="1" applyAlignment="1">
      <alignment horizontal="center" vertical="center"/>
    </xf>
    <xf numFmtId="49" fontId="0" fillId="0" borderId="0" xfId="0" applyNumberFormat="1"/>
    <xf numFmtId="0" fontId="6" fillId="7" borderId="0" xfId="2"/>
    <xf numFmtId="0" fontId="7" fillId="8" borderId="2" xfId="3"/>
    <xf numFmtId="0" fontId="8" fillId="0" borderId="0" xfId="0" applyFont="1"/>
    <xf numFmtId="0" fontId="5" fillId="0" borderId="1" xfId="1"/>
    <xf numFmtId="0" fontId="0" fillId="9" borderId="0" xfId="0" applyFill="1"/>
    <xf numFmtId="0" fontId="9" fillId="0" borderId="0" xfId="0" applyFont="1"/>
    <xf numFmtId="0" fontId="4" fillId="10" borderId="0" xfId="0" applyFont="1" applyFill="1" applyAlignment="1">
      <alignment horizontal="center"/>
    </xf>
    <xf numFmtId="0" fontId="10" fillId="0" borderId="5" xfId="4"/>
    <xf numFmtId="0" fontId="13" fillId="12" borderId="0" xfId="6"/>
    <xf numFmtId="164" fontId="0" fillId="0" borderId="0" xfId="0" applyNumberFormat="1"/>
    <xf numFmtId="0" fontId="15" fillId="0" borderId="0" xfId="0" applyFont="1"/>
    <xf numFmtId="0" fontId="12" fillId="11" borderId="0" xfId="5"/>
    <xf numFmtId="0" fontId="0" fillId="13" borderId="0" xfId="0" applyFill="1"/>
    <xf numFmtId="0" fontId="14" fillId="0" borderId="6" xfId="7"/>
    <xf numFmtId="0" fontId="10" fillId="0" borderId="5" xfId="8"/>
    <xf numFmtId="0" fontId="1" fillId="0" borderId="3" xfId="9"/>
    <xf numFmtId="0" fontId="11" fillId="0" borderId="4" xfId="10"/>
    <xf numFmtId="164" fontId="1" fillId="0" borderId="3" xfId="9" applyNumberFormat="1"/>
    <xf numFmtId="0" fontId="0" fillId="14" borderId="0" xfId="0" applyFill="1"/>
    <xf numFmtId="0" fontId="3" fillId="4" borderId="0" xfId="0" applyFont="1" applyFill="1" applyAlignment="1">
      <alignment horizontal="center" vertical="center"/>
    </xf>
    <xf numFmtId="0" fontId="0" fillId="6" borderId="0" xfId="0" applyFill="1" applyAlignment="1">
      <alignment wrapText="1"/>
    </xf>
  </cellXfs>
  <cellStyles count="11">
    <cellStyle name="Bad" xfId="5" builtinId="27"/>
    <cellStyle name="Good" xfId="2" xr:uid="{00000000-0005-0000-0000-000000000000}"/>
    <cellStyle name="Heading 2" xfId="4" builtinId="17"/>
    <cellStyle name="Heading 2 2" xfId="8" xr:uid="{40A53A0E-BC2A-4669-B7D5-2C1FDC51390D}"/>
    <cellStyle name="Heading 3" xfId="1" xr:uid="{00000000-0005-0000-0000-000001000000}"/>
    <cellStyle name="Heading 3 2" xfId="10" xr:uid="{38763DAE-4E61-4BE2-AE9D-D2FEAEF193C3}"/>
    <cellStyle name="Input" xfId="3" xr:uid="{00000000-0005-0000-0000-000002000000}"/>
    <cellStyle name="Linked Cell" xfId="7" builtinId="24"/>
    <cellStyle name="Neutral" xfId="6" builtinId="28"/>
    <cellStyle name="Normal" xfId="0" builtinId="0"/>
    <cellStyle name="Normal 2" xfId="9" xr:uid="{471C787A-5B72-427A-8951-569F4A975098}"/>
  </cellStyles>
  <dxfs count="1">
    <dxf>
      <fill>
        <patternFill>
          <bgColor rgb="FFF7FB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Users/rocco/Desktop/VerveStacks_POL_grids_kan50/SuppXLS/Scen_Par-AR6_R10pp.xlsx" TargetMode="External"/><Relationship Id="rId2" Type="http://schemas.openxmlformats.org/officeDocument/2006/relationships/externalLinkPath" Target="file:///C:\Users\rocco\Desktop\VerveStacks_POL_grids_kan50\SuppXLS\Scen_Par-AR6_R10pp.xlsx" TargetMode="External"/><Relationship Id="rId1" Type="http://schemas.openxmlformats.org/officeDocument/2006/relationships/externalLinkPath" Target="/Users/rocco/Desktop/VerveStacks_POL_grids_kan50/SuppXLS/Scen_Par-AR6_R10pp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ontroller"/>
      <sheetName val="Veda"/>
      <sheetName val="CO2_t"/>
      <sheetName val="fuel_prices"/>
      <sheetName val="iea_data"/>
      <sheetName val="ar6_r10"/>
    </sheetNames>
    <sheetDataSet>
      <sheetData sheetId="0"/>
      <sheetData sheetId="1">
        <row r="26">
          <cell r="N26" t="str">
            <v>~TFM_INS-TS: region=POL</v>
          </cell>
        </row>
      </sheetData>
      <sheetData sheetId="2"/>
      <sheetData sheetId="3"/>
      <sheetData sheetId="4"/>
      <sheetData sheetId="5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cenarioData" displayName="ScenarioData" ref="A1:D701" totalsRowShown="0">
  <tableColumns count="4">
    <tableColumn id="2" xr3:uid="{00000000-0010-0000-0000-000002000000}" name="Scenario"/>
    <tableColumn id="3" xr3:uid="{00000000-0010-0000-0000-000003000000}" name="Time Period"/>
    <tableColumn id="4" xr3:uid="{00000000-0010-0000-0000-000004000000}" name="Variable"/>
    <tableColumn id="5" xr3:uid="{00000000-0010-0000-0000-000005000000}" name="Valu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20"/>
  <sheetViews>
    <sheetView topLeftCell="D1" workbookViewId="0">
      <selection activeCell="E4" sqref="E4"/>
    </sheetView>
  </sheetViews>
  <sheetFormatPr defaultRowHeight="13.8"/>
  <cols>
    <col min="1" max="1" width="22" customWidth="1"/>
    <col min="2" max="2" width="20" customWidth="1"/>
    <col min="3" max="4" width="14" customWidth="1"/>
    <col min="8" max="8" width="16" customWidth="1"/>
  </cols>
  <sheetData>
    <row r="1" spans="1:10" ht="17.399999999999999">
      <c r="A1" s="27" t="s">
        <v>4</v>
      </c>
      <c r="B1" s="27"/>
      <c r="C1" s="27"/>
      <c r="D1" s="27"/>
      <c r="H1" t="s">
        <v>5</v>
      </c>
      <c r="J1" t="s">
        <v>6</v>
      </c>
    </row>
    <row r="2" spans="1:10">
      <c r="A2" s="5" t="s">
        <v>30</v>
      </c>
      <c r="B2" s="14" t="str">
        <f>IFERROR(INDEX($B$13:$B$20,MATCH($D$7,$C$13:$C$20,0)),"")</f>
        <v>NZ</v>
      </c>
      <c r="H2" t="s">
        <v>108</v>
      </c>
      <c r="J2" s="13" t="s">
        <v>7</v>
      </c>
    </row>
    <row r="3" spans="1:10">
      <c r="H3" t="s">
        <v>109</v>
      </c>
      <c r="J3" s="13" t="s">
        <v>8</v>
      </c>
    </row>
    <row r="4" spans="1:10">
      <c r="E4" s="7" t="s">
        <v>23</v>
      </c>
      <c r="H4" t="s">
        <v>111</v>
      </c>
      <c r="J4" s="13" t="s">
        <v>9</v>
      </c>
    </row>
    <row r="5" spans="1:10">
      <c r="H5" t="s">
        <v>110</v>
      </c>
      <c r="J5" s="13" t="s">
        <v>10</v>
      </c>
    </row>
    <row r="6" spans="1:10" ht="13.8" customHeight="1">
      <c r="D6" s="8" t="str">
        <f>"~Inputcell: "&amp;_xlfn.TEXTJOIN(",",TRUE,E4)</f>
        <v>~Inputcell: 1-8</v>
      </c>
      <c r="H6" t="s">
        <v>11</v>
      </c>
      <c r="J6" s="13" t="s">
        <v>12</v>
      </c>
    </row>
    <row r="7" spans="1:10" ht="14.4">
      <c r="D7" s="9">
        <v>4</v>
      </c>
      <c r="H7" t="s">
        <v>13</v>
      </c>
      <c r="J7" s="13" t="s">
        <v>14</v>
      </c>
    </row>
    <row r="8" spans="1:10">
      <c r="H8" t="s">
        <v>15</v>
      </c>
      <c r="J8" s="13" t="s">
        <v>16</v>
      </c>
    </row>
    <row r="9" spans="1:10" ht="14.4">
      <c r="D9" s="8">
        <f>VLOOKUP(D7,$C$13:$D$20,2,FALSE)</f>
        <v>450</v>
      </c>
      <c r="H9" t="s">
        <v>17</v>
      </c>
      <c r="J9" s="13" t="s">
        <v>18</v>
      </c>
    </row>
    <row r="10" spans="1:10">
      <c r="H10" t="s">
        <v>19</v>
      </c>
      <c r="J10" t="s">
        <v>20</v>
      </c>
    </row>
    <row r="11" spans="1:10" ht="14.4">
      <c r="B11" s="10" t="s">
        <v>24</v>
      </c>
      <c r="H11" t="s">
        <v>21</v>
      </c>
      <c r="J11" t="s">
        <v>22</v>
      </c>
    </row>
    <row r="12" spans="1:10" ht="15" thickBot="1">
      <c r="A12" s="11" t="s">
        <v>25</v>
      </c>
      <c r="B12" s="11" t="s">
        <v>26</v>
      </c>
      <c r="C12" s="11" t="s">
        <v>27</v>
      </c>
      <c r="D12" s="11" t="s">
        <v>28</v>
      </c>
    </row>
    <row r="13" spans="1:10">
      <c r="A13">
        <v>5</v>
      </c>
      <c r="B13" t="str">
        <f t="shared" ref="B13:B20" si="0">$H2</f>
        <v>Ref</v>
      </c>
      <c r="C13">
        <v>1</v>
      </c>
      <c r="D13" s="12">
        <v>0</v>
      </c>
    </row>
    <row r="14" spans="1:10">
      <c r="A14">
        <v>5</v>
      </c>
      <c r="B14" t="str">
        <f t="shared" si="0"/>
        <v>Mild</v>
      </c>
      <c r="C14">
        <f t="shared" ref="C14:C20" si="1">C13+1</f>
        <v>2</v>
      </c>
      <c r="D14" s="12">
        <v>150</v>
      </c>
    </row>
    <row r="15" spans="1:10">
      <c r="A15">
        <v>5</v>
      </c>
      <c r="B15" t="str">
        <f t="shared" si="0"/>
        <v>Mitig</v>
      </c>
      <c r="C15">
        <f t="shared" si="1"/>
        <v>3</v>
      </c>
      <c r="D15" s="12">
        <v>250</v>
      </c>
    </row>
    <row r="16" spans="1:10">
      <c r="A16">
        <v>5</v>
      </c>
      <c r="B16" t="str">
        <f t="shared" si="0"/>
        <v>NZ</v>
      </c>
      <c r="C16">
        <f t="shared" si="1"/>
        <v>4</v>
      </c>
      <c r="D16" s="12">
        <v>450</v>
      </c>
    </row>
    <row r="17" spans="1:4">
      <c r="A17">
        <v>5</v>
      </c>
      <c r="B17" t="str">
        <f t="shared" si="0"/>
        <v>Scenario 5</v>
      </c>
      <c r="C17">
        <f t="shared" si="1"/>
        <v>5</v>
      </c>
      <c r="D17" s="12"/>
    </row>
    <row r="18" spans="1:4">
      <c r="A18">
        <v>5</v>
      </c>
      <c r="B18" t="str">
        <f t="shared" si="0"/>
        <v>Scenario 6</v>
      </c>
      <c r="C18">
        <f t="shared" si="1"/>
        <v>6</v>
      </c>
      <c r="D18" s="12"/>
    </row>
    <row r="19" spans="1:4">
      <c r="A19">
        <v>5</v>
      </c>
      <c r="B19" t="str">
        <f t="shared" si="0"/>
        <v>Scenario 7</v>
      </c>
      <c r="C19">
        <f t="shared" si="1"/>
        <v>7</v>
      </c>
      <c r="D19" s="12"/>
    </row>
    <row r="20" spans="1:4">
      <c r="A20">
        <v>5</v>
      </c>
      <c r="B20" t="str">
        <f t="shared" si="0"/>
        <v>Scenario 8</v>
      </c>
      <c r="C20">
        <f t="shared" si="1"/>
        <v>8</v>
      </c>
      <c r="D20" s="12"/>
    </row>
  </sheetData>
  <mergeCells count="1">
    <mergeCell ref="A1:D1"/>
  </mergeCells>
  <dataValidations disablePrompts="1" count="1">
    <dataValidation sqref="B2" xr:uid="{00000000-0002-0000-0100-000000000000}"/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14090-757C-49DC-8A20-55C44FF3B02F}">
  <dimension ref="B3:L26"/>
  <sheetViews>
    <sheetView tabSelected="1" workbookViewId="0">
      <selection activeCell="C12" sqref="C12:I12"/>
    </sheetView>
  </sheetViews>
  <sheetFormatPr defaultRowHeight="13.8"/>
  <cols>
    <col min="2" max="2" width="24.796875" bestFit="1" customWidth="1"/>
  </cols>
  <sheetData>
    <row r="3" spans="2:12" ht="18" thickBot="1">
      <c r="B3" s="15" t="s">
        <v>36</v>
      </c>
    </row>
    <row r="4" spans="2:12" ht="15.6" thickTop="1" thickBot="1">
      <c r="B4" s="11" t="s">
        <v>32</v>
      </c>
      <c r="C4" s="11">
        <v>2022</v>
      </c>
      <c r="D4" s="11">
        <v>2025</v>
      </c>
      <c r="E4" s="11">
        <v>2030</v>
      </c>
      <c r="F4" s="11">
        <v>2035</v>
      </c>
      <c r="G4" s="11">
        <v>2040</v>
      </c>
      <c r="H4" s="11">
        <v>2045</v>
      </c>
      <c r="I4" s="11">
        <v>2050</v>
      </c>
      <c r="J4" s="11" t="s">
        <v>33</v>
      </c>
    </row>
    <row r="5" spans="2:12" ht="14.4">
      <c r="B5" s="16" t="s">
        <v>7</v>
      </c>
      <c r="C5" s="17">
        <f>Scenario_View!B4</f>
        <v>0</v>
      </c>
      <c r="D5" s="17">
        <f>Scenario_View!C4</f>
        <v>0</v>
      </c>
      <c r="E5" s="17">
        <f>Scenario_View!D4</f>
        <v>0</v>
      </c>
      <c r="F5" s="17">
        <f>Scenario_View!E4</f>
        <v>0</v>
      </c>
      <c r="G5" s="17">
        <f>Scenario_View!F4</f>
        <v>0</v>
      </c>
      <c r="H5" s="17">
        <f>Scenario_View!G4</f>
        <v>0</v>
      </c>
      <c r="I5" s="17">
        <f>Scenario_View!H4</f>
        <v>0</v>
      </c>
      <c r="J5" t="s">
        <v>34</v>
      </c>
      <c r="L5" s="18"/>
    </row>
    <row r="6" spans="2:12" ht="14.4">
      <c r="B6" s="16" t="s">
        <v>8</v>
      </c>
      <c r="C6" s="17">
        <f>Scenario_View!B5</f>
        <v>65.478899999999996</v>
      </c>
      <c r="D6" s="17">
        <f>Scenario_View!C5</f>
        <v>70.717211999999989</v>
      </c>
      <c r="E6" s="17">
        <f>Scenario_View!D5</f>
        <v>76.374588959999983</v>
      </c>
      <c r="F6" s="17">
        <f>Scenario_View!E5</f>
        <v>82.484556076799976</v>
      </c>
      <c r="G6" s="17">
        <f>Scenario_View!F5</f>
        <v>89.083320562943968</v>
      </c>
      <c r="H6" s="17">
        <f>Scenario_View!G5</f>
        <v>96.209986207979483</v>
      </c>
      <c r="I6" s="17">
        <f>Scenario_View!H5</f>
        <v>103.90678510461784</v>
      </c>
      <c r="J6" t="s">
        <v>34</v>
      </c>
    </row>
    <row r="7" spans="2:12" ht="14.4">
      <c r="B7" s="16" t="s">
        <v>9</v>
      </c>
      <c r="C7" s="17">
        <f>Scenario_View!B6</f>
        <v>104.41229999999999</v>
      </c>
      <c r="D7" s="17">
        <f>Scenario_View!C6</f>
        <v>114.85352999999999</v>
      </c>
      <c r="E7" s="17">
        <f>Scenario_View!D6</f>
        <v>126.338883</v>
      </c>
      <c r="F7" s="17">
        <f>Scenario_View!E6</f>
        <v>138.97277130000001</v>
      </c>
      <c r="G7" s="17">
        <f>Scenario_View!F6</f>
        <v>152.87004843</v>
      </c>
      <c r="H7" s="17">
        <f>Scenario_View!G6</f>
        <v>168.157053273</v>
      </c>
      <c r="I7" s="17">
        <f>Scenario_View!H6</f>
        <v>184.97275860030001</v>
      </c>
      <c r="J7" t="s">
        <v>34</v>
      </c>
    </row>
    <row r="8" spans="2:12" ht="14.4">
      <c r="B8" s="16" t="s">
        <v>10</v>
      </c>
      <c r="C8" s="17">
        <f>Scenario_View!B7</f>
        <v>5.3090999999999999</v>
      </c>
      <c r="D8" s="17">
        <f>Scenario_View!C7</f>
        <v>5.7338279999999999</v>
      </c>
      <c r="E8" s="17">
        <f>Scenario_View!D7</f>
        <v>6.1925342399999996</v>
      </c>
      <c r="F8" s="17">
        <f>Scenario_View!E7</f>
        <v>6.6879369791999999</v>
      </c>
      <c r="G8" s="17">
        <f>Scenario_View!F7</f>
        <v>7.2229719375360002</v>
      </c>
      <c r="H8" s="17">
        <f>Scenario_View!G7</f>
        <v>7.8008096925388806</v>
      </c>
      <c r="I8" s="17">
        <f>Scenario_View!H7</f>
        <v>8.4248744679419918</v>
      </c>
      <c r="J8" t="s">
        <v>34</v>
      </c>
      <c r="L8" s="18" t="s">
        <v>35</v>
      </c>
    </row>
    <row r="9" spans="2:12" ht="14.4">
      <c r="B9" s="16" t="s">
        <v>12</v>
      </c>
      <c r="C9" s="17">
        <f>Scenario_View!B8</f>
        <v>1.7697000000000287</v>
      </c>
      <c r="D9" s="17">
        <f>Scenario_View!C8</f>
        <v>3.5394000000000574</v>
      </c>
      <c r="E9" s="17">
        <f>Scenario_View!D8</f>
        <v>7.0788000000001148</v>
      </c>
      <c r="F9" s="17">
        <f>Scenario_View!E8</f>
        <v>14.15760000000023</v>
      </c>
      <c r="G9" s="17">
        <f>Scenario_View!F8</f>
        <v>28.315200000000459</v>
      </c>
      <c r="H9" s="17">
        <f>Scenario_View!G8</f>
        <v>56.630400000000918</v>
      </c>
      <c r="I9" s="17">
        <f>Scenario_View!H8</f>
        <v>113.26080000000184</v>
      </c>
      <c r="J9" t="s">
        <v>34</v>
      </c>
    </row>
    <row r="10" spans="2:12" ht="14.4">
      <c r="B10" s="19" t="s">
        <v>14</v>
      </c>
      <c r="C10" s="17">
        <f>Scenario_View!B9</f>
        <v>9.7690000000000001</v>
      </c>
      <c r="D10" s="17">
        <f>Scenario_View!C9</f>
        <v>10.550520000000001</v>
      </c>
      <c r="E10" s="17">
        <f>Scenario_View!D9</f>
        <v>11.394561600000001</v>
      </c>
      <c r="F10" s="17">
        <f>Scenario_View!E9</f>
        <v>12.306126528000002</v>
      </c>
      <c r="G10" s="17">
        <f>Scenario_View!F9</f>
        <v>13.290616650240002</v>
      </c>
      <c r="H10" s="17">
        <f>Scenario_View!G9</f>
        <v>14.353865982259203</v>
      </c>
      <c r="I10" s="17">
        <f>Scenario_View!H9</f>
        <v>15.502175260839939</v>
      </c>
      <c r="J10" s="19" t="s">
        <v>34</v>
      </c>
    </row>
    <row r="11" spans="2:12" ht="14.4">
      <c r="B11" s="19" t="s">
        <v>16</v>
      </c>
      <c r="C11" s="17">
        <f>Scenario_View!B10</f>
        <v>55.512999999999998</v>
      </c>
      <c r="D11" s="17">
        <f>Scenario_View!C10</f>
        <v>55.512999999999998</v>
      </c>
      <c r="E11" s="17">
        <f>Scenario_View!D10</f>
        <v>55.512999999999998</v>
      </c>
      <c r="F11" s="17">
        <f>Scenario_View!E10</f>
        <v>55.512999999999998</v>
      </c>
      <c r="G11" s="17">
        <f>Scenario_View!F10</f>
        <v>55.512999999999998</v>
      </c>
      <c r="H11" s="17">
        <f>Scenario_View!G10</f>
        <v>55.512999999999998</v>
      </c>
      <c r="I11" s="17">
        <f>Scenario_View!H10</f>
        <v>55.512999999999998</v>
      </c>
      <c r="J11" s="19" t="s">
        <v>34</v>
      </c>
    </row>
    <row r="12" spans="2:12">
      <c r="B12" s="20" t="s">
        <v>18</v>
      </c>
      <c r="C12" s="3">
        <f>Scenario_View!B11/1000</f>
        <v>0</v>
      </c>
      <c r="D12" s="3">
        <f>Scenario_View!C11/1000</f>
        <v>4.8214285714282594E-2</v>
      </c>
      <c r="E12" s="3">
        <f>Scenario_View!D11/1000</f>
        <v>0.12857142857142753</v>
      </c>
      <c r="F12" s="3">
        <f>Scenario_View!E11/1000</f>
        <v>0.20892857142856883</v>
      </c>
      <c r="G12" s="3">
        <f>Scenario_View!F11/1000</f>
        <v>0.28928571428571376</v>
      </c>
      <c r="H12" s="3">
        <f>Scenario_View!G11/1000</f>
        <v>0.36964285714285872</v>
      </c>
      <c r="I12" s="3">
        <f>Scenario_View!H11/1000</f>
        <v>0.45</v>
      </c>
      <c r="J12" s="20" t="s">
        <v>37</v>
      </c>
    </row>
    <row r="17" spans="2:11" ht="18" thickBot="1">
      <c r="B17" s="15" t="s">
        <v>36</v>
      </c>
    </row>
    <row r="18" spans="2:11" ht="15.6" thickTop="1" thickBot="1">
      <c r="B18" s="11" t="s">
        <v>38</v>
      </c>
      <c r="C18" s="11">
        <v>2022</v>
      </c>
      <c r="D18" s="11">
        <v>2025</v>
      </c>
      <c r="E18" s="11">
        <v>2030</v>
      </c>
      <c r="F18" s="11">
        <v>2035</v>
      </c>
      <c r="G18" s="11">
        <v>2040</v>
      </c>
      <c r="H18" s="11">
        <v>2045</v>
      </c>
      <c r="I18" s="11">
        <v>2050</v>
      </c>
      <c r="J18" s="11" t="s">
        <v>33</v>
      </c>
      <c r="K18" s="11" t="s">
        <v>39</v>
      </c>
    </row>
    <row r="19" spans="2:11" ht="15" thickBot="1">
      <c r="B19" t="s">
        <v>40</v>
      </c>
      <c r="C19" s="21">
        <v>15.24</v>
      </c>
      <c r="E19" s="17"/>
      <c r="F19" s="17"/>
      <c r="G19" s="17"/>
      <c r="H19" s="17"/>
      <c r="I19" s="17"/>
      <c r="J19" t="s">
        <v>41</v>
      </c>
      <c r="K19" t="s">
        <v>42</v>
      </c>
    </row>
    <row r="20" spans="2:11" ht="15.6" thickTop="1" thickBot="1">
      <c r="B20" t="s">
        <v>43</v>
      </c>
      <c r="C20" s="21">
        <v>16.91</v>
      </c>
      <c r="E20" s="17"/>
      <c r="F20" s="17"/>
      <c r="G20" s="17"/>
      <c r="H20" s="17"/>
      <c r="I20" s="17"/>
      <c r="J20" t="s">
        <v>41</v>
      </c>
      <c r="K20" t="s">
        <v>42</v>
      </c>
    </row>
    <row r="21" spans="2:11" ht="14.4" thickTop="1"/>
    <row r="23" spans="2:11">
      <c r="B23" t="s">
        <v>99</v>
      </c>
    </row>
    <row r="24" spans="2:11">
      <c r="B24" t="s">
        <v>38</v>
      </c>
      <c r="C24" t="s">
        <v>39</v>
      </c>
      <c r="D24">
        <v>2024</v>
      </c>
      <c r="E24">
        <v>2030</v>
      </c>
      <c r="F24">
        <v>2040</v>
      </c>
      <c r="G24" t="s">
        <v>33</v>
      </c>
    </row>
    <row r="25" spans="2:11">
      <c r="B25" t="s">
        <v>43</v>
      </c>
      <c r="C25" t="s">
        <v>100</v>
      </c>
      <c r="D25">
        <v>1.4550000000000001</v>
      </c>
      <c r="E25">
        <v>1.881</v>
      </c>
      <c r="F25">
        <v>1.881</v>
      </c>
      <c r="G25" t="s">
        <v>101</v>
      </c>
    </row>
    <row r="26" spans="2:11">
      <c r="B26" t="s">
        <v>40</v>
      </c>
      <c r="C26" t="s">
        <v>100</v>
      </c>
      <c r="D26">
        <v>1.8</v>
      </c>
      <c r="E26">
        <v>3.3</v>
      </c>
      <c r="F26">
        <v>3.3</v>
      </c>
      <c r="G26" t="s">
        <v>101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6"/>
  <sheetViews>
    <sheetView workbookViewId="0">
      <selection activeCell="B11" sqref="B11"/>
    </sheetView>
  </sheetViews>
  <sheetFormatPr defaultRowHeight="13.8"/>
  <cols>
    <col min="1" max="1" width="20" customWidth="1"/>
    <col min="2" max="8" width="12" customWidth="1"/>
  </cols>
  <sheetData>
    <row r="1" spans="1:8" ht="17.399999999999999">
      <c r="A1" s="27" t="str">
        <f>"Active Scenario: "&amp;Controller!$B$2</f>
        <v>Active Scenario: NZ</v>
      </c>
      <c r="B1" s="27"/>
      <c r="C1" s="27"/>
      <c r="D1" s="27"/>
      <c r="E1" s="27"/>
      <c r="F1" s="27"/>
      <c r="G1" s="27"/>
      <c r="H1" s="27"/>
    </row>
    <row r="3" spans="1:8">
      <c r="A3" s="6" t="s">
        <v>2</v>
      </c>
      <c r="B3" s="6">
        <v>2022</v>
      </c>
      <c r="C3" s="6">
        <v>2025</v>
      </c>
      <c r="D3" s="6">
        <v>2030</v>
      </c>
      <c r="E3" s="6">
        <v>2035</v>
      </c>
      <c r="F3" s="6">
        <v>2040</v>
      </c>
      <c r="G3" s="6">
        <v>2045</v>
      </c>
      <c r="H3" s="6">
        <v>2050</v>
      </c>
    </row>
    <row r="4" spans="1:8">
      <c r="A4" s="5" t="str">
        <f>Controller!J2</f>
        <v>hydrogen_allsect</v>
      </c>
      <c r="B4" s="3">
        <f>IFERROR(IF(INDEX(Data!$D$2:$D$701,MATCH(Controller!$B$2&amp;"|"&amp;$A4&amp;"|"&amp;B$3,Data!$E$2:$E$701,0))="","",INDEX(Data!$D$2:$D$701,MATCH(Controller!$B$2&amp;"|"&amp;$A4&amp;"|"&amp;B$3,Data!$E$2:$E$701,0))),"")</f>
        <v>0</v>
      </c>
      <c r="C4" s="3">
        <f>IFERROR(IF(INDEX(Data!$D$2:$D$701,MATCH(Controller!$B$2&amp;"|"&amp;$A4&amp;"|"&amp;C$3,Data!$E$2:$E$701,0))="","",INDEX(Data!$D$2:$D$701,MATCH(Controller!$B$2&amp;"|"&amp;$A4&amp;"|"&amp;C$3,Data!$E$2:$E$701,0))),"")</f>
        <v>0</v>
      </c>
      <c r="D4" s="3">
        <f>IFERROR(IF(INDEX(Data!$D$2:$D$701,MATCH(Controller!$B$2&amp;"|"&amp;$A4&amp;"|"&amp;D$3,Data!$E$2:$E$701,0))="","",INDEX(Data!$D$2:$D$701,MATCH(Controller!$B$2&amp;"|"&amp;$A4&amp;"|"&amp;D$3,Data!$E$2:$E$701,0))),"")</f>
        <v>0</v>
      </c>
      <c r="E4" s="3">
        <f>IFERROR(IF(INDEX(Data!$D$2:$D$701,MATCH(Controller!$B$2&amp;"|"&amp;$A4&amp;"|"&amp;E$3,Data!$E$2:$E$701,0))="","",INDEX(Data!$D$2:$D$701,MATCH(Controller!$B$2&amp;"|"&amp;$A4&amp;"|"&amp;E$3,Data!$E$2:$E$701,0))),"")</f>
        <v>0</v>
      </c>
      <c r="F4" s="3">
        <f>IFERROR(IF(INDEX(Data!$D$2:$D$701,MATCH(Controller!$B$2&amp;"|"&amp;$A4&amp;"|"&amp;F$3,Data!$E$2:$E$701,0))="","",INDEX(Data!$D$2:$D$701,MATCH(Controller!$B$2&amp;"|"&amp;$A4&amp;"|"&amp;F$3,Data!$E$2:$E$701,0))),"")</f>
        <v>0</v>
      </c>
      <c r="G4" s="3">
        <f>IFERROR(IF(INDEX(Data!$D$2:$D$701,MATCH(Controller!$B$2&amp;"|"&amp;$A4&amp;"|"&amp;G$3,Data!$E$2:$E$701,0))="","",INDEX(Data!$D$2:$D$701,MATCH(Controller!$B$2&amp;"|"&amp;$A4&amp;"|"&amp;G$3,Data!$E$2:$E$701,0))),"")</f>
        <v>0</v>
      </c>
      <c r="H4" s="3">
        <f>IFERROR(IF(INDEX(Data!$D$2:$D$701,MATCH(Controller!$B$2&amp;"|"&amp;$A4&amp;"|"&amp;H$3,Data!$E$2:$E$701,0))="","",INDEX(Data!$D$2:$D$701,MATCH(Controller!$B$2&amp;"|"&amp;$A4&amp;"|"&amp;H$3,Data!$E$2:$E$701,0))),"")</f>
        <v>0</v>
      </c>
    </row>
    <row r="5" spans="1:8">
      <c r="A5" s="5" t="str">
        <f>Controller!J3</f>
        <v>elc_industry</v>
      </c>
      <c r="B5" s="3">
        <f>IFERROR(IF(INDEX(Data!$D$2:$D$701,MATCH(Controller!$B$2&amp;"|"&amp;$A5&amp;"|"&amp;B$3,Data!$E$2:$E$701,0))="","",INDEX(Data!$D$2:$D$701,MATCH(Controller!$B$2&amp;"|"&amp;$A5&amp;"|"&amp;B$3,Data!$E$2:$E$701,0))),"")</f>
        <v>65.478899999999996</v>
      </c>
      <c r="C5" s="3">
        <f>IFERROR(IF(INDEX(Data!$D$2:$D$701,MATCH(Controller!$B$2&amp;"|"&amp;$A5&amp;"|"&amp;C$3,Data!$E$2:$E$701,0))="","",INDEX(Data!$D$2:$D$701,MATCH(Controller!$B$2&amp;"|"&amp;$A5&amp;"|"&amp;C$3,Data!$E$2:$E$701,0))),"")</f>
        <v>70.717211999999989</v>
      </c>
      <c r="D5" s="3">
        <f>IFERROR(IF(INDEX(Data!$D$2:$D$701,MATCH(Controller!$B$2&amp;"|"&amp;$A5&amp;"|"&amp;D$3,Data!$E$2:$E$701,0))="","",INDEX(Data!$D$2:$D$701,MATCH(Controller!$B$2&amp;"|"&amp;$A5&amp;"|"&amp;D$3,Data!$E$2:$E$701,0))),"")</f>
        <v>76.374588959999983</v>
      </c>
      <c r="E5" s="3">
        <f>IFERROR(IF(INDEX(Data!$D$2:$D$701,MATCH(Controller!$B$2&amp;"|"&amp;$A5&amp;"|"&amp;E$3,Data!$E$2:$E$701,0))="","",INDEX(Data!$D$2:$D$701,MATCH(Controller!$B$2&amp;"|"&amp;$A5&amp;"|"&amp;E$3,Data!$E$2:$E$701,0))),"")</f>
        <v>82.484556076799976</v>
      </c>
      <c r="F5" s="3">
        <f>IFERROR(IF(INDEX(Data!$D$2:$D$701,MATCH(Controller!$B$2&amp;"|"&amp;$A5&amp;"|"&amp;F$3,Data!$E$2:$E$701,0))="","",INDEX(Data!$D$2:$D$701,MATCH(Controller!$B$2&amp;"|"&amp;$A5&amp;"|"&amp;F$3,Data!$E$2:$E$701,0))),"")</f>
        <v>89.083320562943968</v>
      </c>
      <c r="G5" s="3">
        <f>IFERROR(IF(INDEX(Data!$D$2:$D$701,MATCH(Controller!$B$2&amp;"|"&amp;$A5&amp;"|"&amp;G$3,Data!$E$2:$E$701,0))="","",INDEX(Data!$D$2:$D$701,MATCH(Controller!$B$2&amp;"|"&amp;$A5&amp;"|"&amp;G$3,Data!$E$2:$E$701,0))),"")</f>
        <v>96.209986207979483</v>
      </c>
      <c r="H5" s="3">
        <f>IFERROR(IF(INDEX(Data!$D$2:$D$701,MATCH(Controller!$B$2&amp;"|"&amp;$A5&amp;"|"&amp;H$3,Data!$E$2:$E$701,0))="","",INDEX(Data!$D$2:$D$701,MATCH(Controller!$B$2&amp;"|"&amp;$A5&amp;"|"&amp;H$3,Data!$E$2:$E$701,0))),"")</f>
        <v>103.90678510461784</v>
      </c>
    </row>
    <row r="6" spans="1:8">
      <c r="A6" s="5" t="str">
        <f>Controller!J4</f>
        <v>elc_buildings</v>
      </c>
      <c r="B6" s="3">
        <f>IFERROR(IF(INDEX(Data!$D$2:$D$701,MATCH(Controller!$B$2&amp;"|"&amp;$A6&amp;"|"&amp;B$3,Data!$E$2:$E$701,0))="","",INDEX(Data!$D$2:$D$701,MATCH(Controller!$B$2&amp;"|"&amp;$A6&amp;"|"&amp;B$3,Data!$E$2:$E$701,0))),"")</f>
        <v>104.41229999999999</v>
      </c>
      <c r="C6" s="3">
        <f>IFERROR(IF(INDEX(Data!$D$2:$D$701,MATCH(Controller!$B$2&amp;"|"&amp;$A6&amp;"|"&amp;C$3,Data!$E$2:$E$701,0))="","",INDEX(Data!$D$2:$D$701,MATCH(Controller!$B$2&amp;"|"&amp;$A6&amp;"|"&amp;C$3,Data!$E$2:$E$701,0))),"")</f>
        <v>114.85352999999999</v>
      </c>
      <c r="D6" s="3">
        <f>IFERROR(IF(INDEX(Data!$D$2:$D$701,MATCH(Controller!$B$2&amp;"|"&amp;$A6&amp;"|"&amp;D$3,Data!$E$2:$E$701,0))="","",INDEX(Data!$D$2:$D$701,MATCH(Controller!$B$2&amp;"|"&amp;$A6&amp;"|"&amp;D$3,Data!$E$2:$E$701,0))),"")</f>
        <v>126.338883</v>
      </c>
      <c r="E6" s="3">
        <f>IFERROR(IF(INDEX(Data!$D$2:$D$701,MATCH(Controller!$B$2&amp;"|"&amp;$A6&amp;"|"&amp;E$3,Data!$E$2:$E$701,0))="","",INDEX(Data!$D$2:$D$701,MATCH(Controller!$B$2&amp;"|"&amp;$A6&amp;"|"&amp;E$3,Data!$E$2:$E$701,0))),"")</f>
        <v>138.97277130000001</v>
      </c>
      <c r="F6" s="3">
        <f>IFERROR(IF(INDEX(Data!$D$2:$D$701,MATCH(Controller!$B$2&amp;"|"&amp;$A6&amp;"|"&amp;F$3,Data!$E$2:$E$701,0))="","",INDEX(Data!$D$2:$D$701,MATCH(Controller!$B$2&amp;"|"&amp;$A6&amp;"|"&amp;F$3,Data!$E$2:$E$701,0))),"")</f>
        <v>152.87004843</v>
      </c>
      <c r="G6" s="3">
        <f>IFERROR(IF(INDEX(Data!$D$2:$D$701,MATCH(Controller!$B$2&amp;"|"&amp;$A6&amp;"|"&amp;G$3,Data!$E$2:$E$701,0))="","",INDEX(Data!$D$2:$D$701,MATCH(Controller!$B$2&amp;"|"&amp;$A6&amp;"|"&amp;G$3,Data!$E$2:$E$701,0))),"")</f>
        <v>168.157053273</v>
      </c>
      <c r="H6" s="3">
        <f>IFERROR(IF(INDEX(Data!$D$2:$D$701,MATCH(Controller!$B$2&amp;"|"&amp;$A6&amp;"|"&amp;H$3,Data!$E$2:$E$701,0))="","",INDEX(Data!$D$2:$D$701,MATCH(Controller!$B$2&amp;"|"&amp;$A6&amp;"|"&amp;H$3,Data!$E$2:$E$701,0))),"")</f>
        <v>184.97275860030001</v>
      </c>
    </row>
    <row r="7" spans="1:8">
      <c r="A7" s="5" t="str">
        <f>Controller!J5</f>
        <v>elc_transport</v>
      </c>
      <c r="B7" s="3">
        <f>IFERROR(IF(INDEX(Data!$D$2:$D$701,MATCH(Controller!$B$2&amp;"|"&amp;$A7&amp;"|"&amp;B$3,Data!$E$2:$E$701,0))="","",INDEX(Data!$D$2:$D$701,MATCH(Controller!$B$2&amp;"|"&amp;$A7&amp;"|"&amp;B$3,Data!$E$2:$E$701,0))),"")</f>
        <v>5.3090999999999999</v>
      </c>
      <c r="C7" s="3">
        <f>IFERROR(IF(INDEX(Data!$D$2:$D$701,MATCH(Controller!$B$2&amp;"|"&amp;$A7&amp;"|"&amp;C$3,Data!$E$2:$E$701,0))="","",INDEX(Data!$D$2:$D$701,MATCH(Controller!$B$2&amp;"|"&amp;$A7&amp;"|"&amp;C$3,Data!$E$2:$E$701,0))),"")</f>
        <v>5.7338279999999999</v>
      </c>
      <c r="D7" s="3">
        <f>IFERROR(IF(INDEX(Data!$D$2:$D$701,MATCH(Controller!$B$2&amp;"|"&amp;$A7&amp;"|"&amp;D$3,Data!$E$2:$E$701,0))="","",INDEX(Data!$D$2:$D$701,MATCH(Controller!$B$2&amp;"|"&amp;$A7&amp;"|"&amp;D$3,Data!$E$2:$E$701,0))),"")</f>
        <v>6.1925342399999996</v>
      </c>
      <c r="E7" s="3">
        <f>IFERROR(IF(INDEX(Data!$D$2:$D$701,MATCH(Controller!$B$2&amp;"|"&amp;$A7&amp;"|"&amp;E$3,Data!$E$2:$E$701,0))="","",INDEX(Data!$D$2:$D$701,MATCH(Controller!$B$2&amp;"|"&amp;$A7&amp;"|"&amp;E$3,Data!$E$2:$E$701,0))),"")</f>
        <v>6.6879369791999999</v>
      </c>
      <c r="F7" s="3">
        <f>IFERROR(IF(INDEX(Data!$D$2:$D$701,MATCH(Controller!$B$2&amp;"|"&amp;$A7&amp;"|"&amp;F$3,Data!$E$2:$E$701,0))="","",INDEX(Data!$D$2:$D$701,MATCH(Controller!$B$2&amp;"|"&amp;$A7&amp;"|"&amp;F$3,Data!$E$2:$E$701,0))),"")</f>
        <v>7.2229719375360002</v>
      </c>
      <c r="G7" s="3">
        <f>IFERROR(IF(INDEX(Data!$D$2:$D$701,MATCH(Controller!$B$2&amp;"|"&amp;$A7&amp;"|"&amp;G$3,Data!$E$2:$E$701,0))="","",INDEX(Data!$D$2:$D$701,MATCH(Controller!$B$2&amp;"|"&amp;$A7&amp;"|"&amp;G$3,Data!$E$2:$E$701,0))),"")</f>
        <v>7.8008096925388806</v>
      </c>
      <c r="H7" s="3">
        <f>IFERROR(IF(INDEX(Data!$D$2:$D$701,MATCH(Controller!$B$2&amp;"|"&amp;$A7&amp;"|"&amp;H$3,Data!$E$2:$E$701,0))="","",INDEX(Data!$D$2:$D$701,MATCH(Controller!$B$2&amp;"|"&amp;$A7&amp;"|"&amp;H$3,Data!$E$2:$E$701,0))),"")</f>
        <v>8.4248744679419918</v>
      </c>
    </row>
    <row r="8" spans="1:8">
      <c r="A8" s="5" t="str">
        <f>Controller!J6</f>
        <v>elc_roadtransport</v>
      </c>
      <c r="B8" s="3">
        <f>IFERROR(IF(INDEX(Data!$D$2:$D$701,MATCH(Controller!$B$2&amp;"|"&amp;$A8&amp;"|"&amp;B$3,Data!$E$2:$E$701,0))="","",INDEX(Data!$D$2:$D$701,MATCH(Controller!$B$2&amp;"|"&amp;$A8&amp;"|"&amp;B$3,Data!$E$2:$E$701,0))),"")</f>
        <v>1.7697000000000287</v>
      </c>
      <c r="C8" s="3">
        <f>IFERROR(IF(INDEX(Data!$D$2:$D$701,MATCH(Controller!$B$2&amp;"|"&amp;$A8&amp;"|"&amp;C$3,Data!$E$2:$E$701,0))="","",INDEX(Data!$D$2:$D$701,MATCH(Controller!$B$2&amp;"|"&amp;$A8&amp;"|"&amp;C$3,Data!$E$2:$E$701,0))),"")</f>
        <v>3.5394000000000574</v>
      </c>
      <c r="D8" s="3">
        <f>IFERROR(IF(INDEX(Data!$D$2:$D$701,MATCH(Controller!$B$2&amp;"|"&amp;$A8&amp;"|"&amp;D$3,Data!$E$2:$E$701,0))="","",INDEX(Data!$D$2:$D$701,MATCH(Controller!$B$2&amp;"|"&amp;$A8&amp;"|"&amp;D$3,Data!$E$2:$E$701,0))),"")</f>
        <v>7.0788000000001148</v>
      </c>
      <c r="E8" s="3">
        <f>IFERROR(IF(INDEX(Data!$D$2:$D$701,MATCH(Controller!$B$2&amp;"|"&amp;$A8&amp;"|"&amp;E$3,Data!$E$2:$E$701,0))="","",INDEX(Data!$D$2:$D$701,MATCH(Controller!$B$2&amp;"|"&amp;$A8&amp;"|"&amp;E$3,Data!$E$2:$E$701,0))),"")</f>
        <v>14.15760000000023</v>
      </c>
      <c r="F8" s="3">
        <f>IFERROR(IF(INDEX(Data!$D$2:$D$701,MATCH(Controller!$B$2&amp;"|"&amp;$A8&amp;"|"&amp;F$3,Data!$E$2:$E$701,0))="","",INDEX(Data!$D$2:$D$701,MATCH(Controller!$B$2&amp;"|"&amp;$A8&amp;"|"&amp;F$3,Data!$E$2:$E$701,0))),"")</f>
        <v>28.315200000000459</v>
      </c>
      <c r="G8" s="3">
        <f>IFERROR(IF(INDEX(Data!$D$2:$D$701,MATCH(Controller!$B$2&amp;"|"&amp;$A8&amp;"|"&amp;G$3,Data!$E$2:$E$701,0))="","",INDEX(Data!$D$2:$D$701,MATCH(Controller!$B$2&amp;"|"&amp;$A8&amp;"|"&amp;G$3,Data!$E$2:$E$701,0))),"")</f>
        <v>56.630400000000918</v>
      </c>
      <c r="H8" s="3">
        <f>IFERROR(IF(INDEX(Data!$D$2:$D$701,MATCH(Controller!$B$2&amp;"|"&amp;$A8&amp;"|"&amp;H$3,Data!$E$2:$E$701,0))="","",INDEX(Data!$D$2:$D$701,MATCH(Controller!$B$2&amp;"|"&amp;$A8&amp;"|"&amp;H$3,Data!$E$2:$E$701,0))),"")</f>
        <v>113.26080000000184</v>
      </c>
    </row>
    <row r="9" spans="1:8">
      <c r="A9" s="5" t="str">
        <f>Controller!J7</f>
        <v>het_industry</v>
      </c>
      <c r="B9" s="3">
        <f>IFERROR(IF(INDEX(Data!$D$2:$D$701,MATCH(Controller!$B$2&amp;"|"&amp;$A9&amp;"|"&amp;B$3,Data!$E$2:$E$701,0))="","",INDEX(Data!$D$2:$D$701,MATCH(Controller!$B$2&amp;"|"&amp;$A9&amp;"|"&amp;B$3,Data!$E$2:$E$701,0))),"")</f>
        <v>9.7690000000000001</v>
      </c>
      <c r="C9" s="3">
        <f>IFERROR(IF(INDEX(Data!$D$2:$D$701,MATCH(Controller!$B$2&amp;"|"&amp;$A9&amp;"|"&amp;C$3,Data!$E$2:$E$701,0))="","",INDEX(Data!$D$2:$D$701,MATCH(Controller!$B$2&amp;"|"&amp;$A9&amp;"|"&amp;C$3,Data!$E$2:$E$701,0))),"")</f>
        <v>10.550520000000001</v>
      </c>
      <c r="D9" s="3">
        <f>IFERROR(IF(INDEX(Data!$D$2:$D$701,MATCH(Controller!$B$2&amp;"|"&amp;$A9&amp;"|"&amp;D$3,Data!$E$2:$E$701,0))="","",INDEX(Data!$D$2:$D$701,MATCH(Controller!$B$2&amp;"|"&amp;$A9&amp;"|"&amp;D$3,Data!$E$2:$E$701,0))),"")</f>
        <v>11.394561600000001</v>
      </c>
      <c r="E9" s="3">
        <f>IFERROR(IF(INDEX(Data!$D$2:$D$701,MATCH(Controller!$B$2&amp;"|"&amp;$A9&amp;"|"&amp;E$3,Data!$E$2:$E$701,0))="","",INDEX(Data!$D$2:$D$701,MATCH(Controller!$B$2&amp;"|"&amp;$A9&amp;"|"&amp;E$3,Data!$E$2:$E$701,0))),"")</f>
        <v>12.306126528000002</v>
      </c>
      <c r="F9" s="3">
        <f>IFERROR(IF(INDEX(Data!$D$2:$D$701,MATCH(Controller!$B$2&amp;"|"&amp;$A9&amp;"|"&amp;F$3,Data!$E$2:$E$701,0))="","",INDEX(Data!$D$2:$D$701,MATCH(Controller!$B$2&amp;"|"&amp;$A9&amp;"|"&amp;F$3,Data!$E$2:$E$701,0))),"")</f>
        <v>13.290616650240002</v>
      </c>
      <c r="G9" s="3">
        <f>IFERROR(IF(INDEX(Data!$D$2:$D$701,MATCH(Controller!$B$2&amp;"|"&amp;$A9&amp;"|"&amp;G$3,Data!$E$2:$E$701,0))="","",INDEX(Data!$D$2:$D$701,MATCH(Controller!$B$2&amp;"|"&amp;$A9&amp;"|"&amp;G$3,Data!$E$2:$E$701,0))),"")</f>
        <v>14.353865982259203</v>
      </c>
      <c r="H9" s="3">
        <f>IFERROR(IF(INDEX(Data!$D$2:$D$701,MATCH(Controller!$B$2&amp;"|"&amp;$A9&amp;"|"&amp;H$3,Data!$E$2:$E$701,0))="","",INDEX(Data!$D$2:$D$701,MATCH(Controller!$B$2&amp;"|"&amp;$A9&amp;"|"&amp;H$3,Data!$E$2:$E$701,0))),"")</f>
        <v>15.502175260839939</v>
      </c>
    </row>
    <row r="10" spans="1:8">
      <c r="A10" s="5" t="str">
        <f>Controller!J8</f>
        <v>het_buildings</v>
      </c>
      <c r="B10" s="3">
        <f>IFERROR(IF(INDEX(Data!$D$2:$D$701,MATCH(Controller!$B$2&amp;"|"&amp;$A10&amp;"|"&amp;B$3,Data!$E$2:$E$701,0))="","",INDEX(Data!$D$2:$D$701,MATCH(Controller!$B$2&amp;"|"&amp;$A10&amp;"|"&amp;B$3,Data!$E$2:$E$701,0))),"")</f>
        <v>55.512999999999998</v>
      </c>
      <c r="C10" s="3">
        <f>IFERROR(IF(INDEX(Data!$D$2:$D$701,MATCH(Controller!$B$2&amp;"|"&amp;$A10&amp;"|"&amp;C$3,Data!$E$2:$E$701,0))="","",INDEX(Data!$D$2:$D$701,MATCH(Controller!$B$2&amp;"|"&amp;$A10&amp;"|"&amp;C$3,Data!$E$2:$E$701,0))),"")</f>
        <v>55.512999999999998</v>
      </c>
      <c r="D10" s="3">
        <f>IFERROR(IF(INDEX(Data!$D$2:$D$701,MATCH(Controller!$B$2&amp;"|"&amp;$A10&amp;"|"&amp;D$3,Data!$E$2:$E$701,0))="","",INDEX(Data!$D$2:$D$701,MATCH(Controller!$B$2&amp;"|"&amp;$A10&amp;"|"&amp;D$3,Data!$E$2:$E$701,0))),"")</f>
        <v>55.512999999999998</v>
      </c>
      <c r="E10" s="3">
        <f>IFERROR(IF(INDEX(Data!$D$2:$D$701,MATCH(Controller!$B$2&amp;"|"&amp;$A10&amp;"|"&amp;E$3,Data!$E$2:$E$701,0))="","",INDEX(Data!$D$2:$D$701,MATCH(Controller!$B$2&amp;"|"&amp;$A10&amp;"|"&amp;E$3,Data!$E$2:$E$701,0))),"")</f>
        <v>55.512999999999998</v>
      </c>
      <c r="F10" s="3">
        <f>IFERROR(IF(INDEX(Data!$D$2:$D$701,MATCH(Controller!$B$2&amp;"|"&amp;$A10&amp;"|"&amp;F$3,Data!$E$2:$E$701,0))="","",INDEX(Data!$D$2:$D$701,MATCH(Controller!$B$2&amp;"|"&amp;$A10&amp;"|"&amp;F$3,Data!$E$2:$E$701,0))),"")</f>
        <v>55.512999999999998</v>
      </c>
      <c r="G10" s="3">
        <f>IFERROR(IF(INDEX(Data!$D$2:$D$701,MATCH(Controller!$B$2&amp;"|"&amp;$A10&amp;"|"&amp;G$3,Data!$E$2:$E$701,0))="","",INDEX(Data!$D$2:$D$701,MATCH(Controller!$B$2&amp;"|"&amp;$A10&amp;"|"&amp;G$3,Data!$E$2:$E$701,0))),"")</f>
        <v>55.512999999999998</v>
      </c>
      <c r="H10" s="3">
        <f>IFERROR(IF(INDEX(Data!$D$2:$D$701,MATCH(Controller!$B$2&amp;"|"&amp;$A10&amp;"|"&amp;H$3,Data!$E$2:$E$701,0))="","",INDEX(Data!$D$2:$D$701,MATCH(Controller!$B$2&amp;"|"&amp;$A10&amp;"|"&amp;H$3,Data!$E$2:$E$701,0))),"")</f>
        <v>55.512999999999998</v>
      </c>
    </row>
    <row r="11" spans="1:8">
      <c r="A11" s="5" t="str">
        <f>Controller!J9</f>
        <v>co2net</v>
      </c>
      <c r="B11" s="3">
        <f>IFERROR(IF(INDEX(Data!$D$2:$D$701,MATCH(Controller!$B$2&amp;"|"&amp;$A11&amp;"|"&amp;B$3,Data!$E$2:$E$701,0))="","",INDEX(Data!$D$2:$D$701,MATCH(Controller!$B$2&amp;"|"&amp;$A11&amp;"|"&amp;B$3,Data!$E$2:$E$701,0))),"")</f>
        <v>0</v>
      </c>
      <c r="C11" s="3">
        <f>IFERROR(IF(INDEX(Data!$D$2:$D$701,MATCH(Controller!$B$2&amp;"|"&amp;$A11&amp;"|"&amp;C$3,Data!$E$2:$E$701,0))="","",INDEX(Data!$D$2:$D$701,MATCH(Controller!$B$2&amp;"|"&amp;$A11&amp;"|"&amp;C$3,Data!$E$2:$E$701,0))),"")</f>
        <v>48.214285714282596</v>
      </c>
      <c r="D11" s="3">
        <f>IFERROR(IF(INDEX(Data!$D$2:$D$701,MATCH(Controller!$B$2&amp;"|"&amp;$A11&amp;"|"&amp;D$3,Data!$E$2:$E$701,0))="","",INDEX(Data!$D$2:$D$701,MATCH(Controller!$B$2&amp;"|"&amp;$A11&amp;"|"&amp;D$3,Data!$E$2:$E$701,0))),"")</f>
        <v>128.57142857142753</v>
      </c>
      <c r="E11" s="3">
        <f>IFERROR(IF(INDEX(Data!$D$2:$D$701,MATCH(Controller!$B$2&amp;"|"&amp;$A11&amp;"|"&amp;E$3,Data!$E$2:$E$701,0))="","",INDEX(Data!$D$2:$D$701,MATCH(Controller!$B$2&amp;"|"&amp;$A11&amp;"|"&amp;E$3,Data!$E$2:$E$701,0))),"")</f>
        <v>208.92857142856883</v>
      </c>
      <c r="F11" s="3">
        <f>IFERROR(IF(INDEX(Data!$D$2:$D$701,MATCH(Controller!$B$2&amp;"|"&amp;$A11&amp;"|"&amp;F$3,Data!$E$2:$E$701,0))="","",INDEX(Data!$D$2:$D$701,MATCH(Controller!$B$2&amp;"|"&amp;$A11&amp;"|"&amp;F$3,Data!$E$2:$E$701,0))),"")</f>
        <v>289.28571428571377</v>
      </c>
      <c r="G11" s="3">
        <f>IFERROR(IF(INDEX(Data!$D$2:$D$701,MATCH(Controller!$B$2&amp;"|"&amp;$A11&amp;"|"&amp;G$3,Data!$E$2:$E$701,0))="","",INDEX(Data!$D$2:$D$701,MATCH(Controller!$B$2&amp;"|"&amp;$A11&amp;"|"&amp;G$3,Data!$E$2:$E$701,0))),"")</f>
        <v>369.6428571428587</v>
      </c>
      <c r="H11" s="3">
        <f>IFERROR(IF(INDEX(Data!$D$2:$D$701,MATCH(Controller!$B$2&amp;"|"&amp;$A11&amp;"|"&amp;H$3,Data!$E$2:$E$701,0))="","",INDEX(Data!$D$2:$D$701,MATCH(Controller!$B$2&amp;"|"&amp;$A11&amp;"|"&amp;H$3,Data!$E$2:$E$701,0))),"")</f>
        <v>450</v>
      </c>
    </row>
    <row r="12" spans="1:8">
      <c r="A12" s="5" t="str">
        <f>Controller!J10</f>
        <v>Variable 9</v>
      </c>
      <c r="B12" s="3" t="str">
        <f>IFERROR(IF(INDEX(Data!$D$2:$D$701,MATCH(Controller!$B$2&amp;"|"&amp;$A12&amp;"|"&amp;B$3,Data!$E$2:$E$701,0))="","",INDEX(Data!$D$2:$D$701,MATCH(Controller!$B$2&amp;"|"&amp;$A12&amp;"|"&amp;B$3,Data!$E$2:$E$701,0))),"")</f>
        <v/>
      </c>
      <c r="C12" s="3" t="str">
        <f>IFERROR(IF(INDEX(Data!$D$2:$D$701,MATCH(Controller!$B$2&amp;"|"&amp;$A12&amp;"|"&amp;C$3,Data!$E$2:$E$701,0))="","",INDEX(Data!$D$2:$D$701,MATCH(Controller!$B$2&amp;"|"&amp;$A12&amp;"|"&amp;C$3,Data!$E$2:$E$701,0))),"")</f>
        <v/>
      </c>
      <c r="D12" s="3" t="str">
        <f>IFERROR(IF(INDEX(Data!$D$2:$D$701,MATCH(Controller!$B$2&amp;"|"&amp;$A12&amp;"|"&amp;D$3,Data!$E$2:$E$701,0))="","",INDEX(Data!$D$2:$D$701,MATCH(Controller!$B$2&amp;"|"&amp;$A12&amp;"|"&amp;D$3,Data!$E$2:$E$701,0))),"")</f>
        <v/>
      </c>
      <c r="E12" s="3" t="str">
        <f>IFERROR(IF(INDEX(Data!$D$2:$D$701,MATCH(Controller!$B$2&amp;"|"&amp;$A12&amp;"|"&amp;E$3,Data!$E$2:$E$701,0))="","",INDEX(Data!$D$2:$D$701,MATCH(Controller!$B$2&amp;"|"&amp;$A12&amp;"|"&amp;E$3,Data!$E$2:$E$701,0))),"")</f>
        <v/>
      </c>
      <c r="F12" s="3" t="str">
        <f>IFERROR(IF(INDEX(Data!$D$2:$D$701,MATCH(Controller!$B$2&amp;"|"&amp;$A12&amp;"|"&amp;F$3,Data!$E$2:$E$701,0))="","",INDEX(Data!$D$2:$D$701,MATCH(Controller!$B$2&amp;"|"&amp;$A12&amp;"|"&amp;F$3,Data!$E$2:$E$701,0))),"")</f>
        <v/>
      </c>
      <c r="G12" s="3" t="str">
        <f>IFERROR(IF(INDEX(Data!$D$2:$D$701,MATCH(Controller!$B$2&amp;"|"&amp;$A12&amp;"|"&amp;G$3,Data!$E$2:$E$701,0))="","",INDEX(Data!$D$2:$D$701,MATCH(Controller!$B$2&amp;"|"&amp;$A12&amp;"|"&amp;G$3,Data!$E$2:$E$701,0))),"")</f>
        <v/>
      </c>
      <c r="H12" s="3" t="str">
        <f>IFERROR(IF(INDEX(Data!$D$2:$D$701,MATCH(Controller!$B$2&amp;"|"&amp;$A12&amp;"|"&amp;H$3,Data!$E$2:$E$701,0))="","",INDEX(Data!$D$2:$D$701,MATCH(Controller!$B$2&amp;"|"&amp;$A12&amp;"|"&amp;H$3,Data!$E$2:$E$701,0))),"")</f>
        <v/>
      </c>
    </row>
    <row r="13" spans="1:8">
      <c r="A13" s="5" t="str">
        <f>Controller!J11</f>
        <v>Variable 10</v>
      </c>
      <c r="B13" s="3" t="str">
        <f>IFERROR(IF(INDEX(Data!$D$2:$D$701,MATCH(Controller!$B$2&amp;"|"&amp;$A13&amp;"|"&amp;B$3,Data!$E$2:$E$701,0))="","",INDEX(Data!$D$2:$D$701,MATCH(Controller!$B$2&amp;"|"&amp;$A13&amp;"|"&amp;B$3,Data!$E$2:$E$701,0))),"")</f>
        <v/>
      </c>
      <c r="C13" s="3" t="str">
        <f>IFERROR(IF(INDEX(Data!$D$2:$D$701,MATCH(Controller!$B$2&amp;"|"&amp;$A13&amp;"|"&amp;C$3,Data!$E$2:$E$701,0))="","",INDEX(Data!$D$2:$D$701,MATCH(Controller!$B$2&amp;"|"&amp;$A13&amp;"|"&amp;C$3,Data!$E$2:$E$701,0))),"")</f>
        <v/>
      </c>
      <c r="D13" s="3" t="str">
        <f>IFERROR(IF(INDEX(Data!$D$2:$D$701,MATCH(Controller!$B$2&amp;"|"&amp;$A13&amp;"|"&amp;D$3,Data!$E$2:$E$701,0))="","",INDEX(Data!$D$2:$D$701,MATCH(Controller!$B$2&amp;"|"&amp;$A13&amp;"|"&amp;D$3,Data!$E$2:$E$701,0))),"")</f>
        <v/>
      </c>
      <c r="E13" s="3" t="str">
        <f>IFERROR(IF(INDEX(Data!$D$2:$D$701,MATCH(Controller!$B$2&amp;"|"&amp;$A13&amp;"|"&amp;E$3,Data!$E$2:$E$701,0))="","",INDEX(Data!$D$2:$D$701,MATCH(Controller!$B$2&amp;"|"&amp;$A13&amp;"|"&amp;E$3,Data!$E$2:$E$701,0))),"")</f>
        <v/>
      </c>
      <c r="F13" s="3" t="str">
        <f>IFERROR(IF(INDEX(Data!$D$2:$D$701,MATCH(Controller!$B$2&amp;"|"&amp;$A13&amp;"|"&amp;F$3,Data!$E$2:$E$701,0))="","",INDEX(Data!$D$2:$D$701,MATCH(Controller!$B$2&amp;"|"&amp;$A13&amp;"|"&amp;F$3,Data!$E$2:$E$701,0))),"")</f>
        <v/>
      </c>
      <c r="G13" s="3" t="str">
        <f>IFERROR(IF(INDEX(Data!$D$2:$D$701,MATCH(Controller!$B$2&amp;"|"&amp;$A13&amp;"|"&amp;G$3,Data!$E$2:$E$701,0))="","",INDEX(Data!$D$2:$D$701,MATCH(Controller!$B$2&amp;"|"&amp;$A13&amp;"|"&amp;G$3,Data!$E$2:$E$701,0))),"")</f>
        <v/>
      </c>
      <c r="H13" s="3" t="str">
        <f>IFERROR(IF(INDEX(Data!$D$2:$D$701,MATCH(Controller!$B$2&amp;"|"&amp;$A13&amp;"|"&amp;H$3,Data!$E$2:$E$701,0))="","",INDEX(Data!$D$2:$D$701,MATCH(Controller!$B$2&amp;"|"&amp;$A13&amp;"|"&amp;H$3,Data!$E$2:$E$701,0))),"")</f>
        <v/>
      </c>
    </row>
    <row r="15" spans="1:8">
      <c r="A15" s="28" t="s">
        <v>31</v>
      </c>
      <c r="B15" s="28"/>
      <c r="C15" s="28"/>
      <c r="D15" s="28"/>
      <c r="E15" s="28"/>
      <c r="F15" s="28"/>
      <c r="G15" s="28"/>
      <c r="H15" s="28"/>
    </row>
    <row r="16" spans="1:8">
      <c r="A16" s="28"/>
      <c r="B16" s="28"/>
      <c r="C16" s="28"/>
      <c r="D16" s="28"/>
      <c r="E16" s="28"/>
      <c r="F16" s="28"/>
      <c r="G16" s="28"/>
      <c r="H16" s="28"/>
    </row>
  </sheetData>
  <mergeCells count="2">
    <mergeCell ref="A1:H1"/>
    <mergeCell ref="A15:H16"/>
  </mergeCells>
  <conditionalFormatting sqref="B4:H13">
    <cfRule type="expression" dxfId="0" priority="1">
      <formula>B4&lt;&gt;""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2FC6D9-F68E-4727-870C-425A166F6782}">
  <dimension ref="B2:I51"/>
  <sheetViews>
    <sheetView zoomScale="85" zoomScaleNormal="85" workbookViewId="0">
      <selection activeCell="E10" sqref="E10"/>
    </sheetView>
  </sheetViews>
  <sheetFormatPr defaultRowHeight="14.4"/>
  <cols>
    <col min="1" max="1" width="8.796875" style="23"/>
    <col min="2" max="2" width="27" style="23" bestFit="1" customWidth="1"/>
    <col min="3" max="16384" width="8.796875" style="23"/>
  </cols>
  <sheetData>
    <row r="2" spans="2:9" ht="18" thickBot="1">
      <c r="B2" s="22" t="str">
        <f>[1]Veda!N26</f>
        <v>~TFM_INS-TS: region=POL</v>
      </c>
    </row>
    <row r="3" spans="2:9" ht="15.6" thickTop="1" thickBot="1">
      <c r="B3" s="24" t="s">
        <v>38</v>
      </c>
      <c r="C3" s="24">
        <v>2025</v>
      </c>
      <c r="D3" s="24">
        <v>2030</v>
      </c>
      <c r="E3" s="24">
        <v>2035</v>
      </c>
      <c r="F3" s="24">
        <v>2040</v>
      </c>
      <c r="G3" s="24">
        <v>2045</v>
      </c>
      <c r="H3" s="24">
        <v>2050</v>
      </c>
      <c r="I3" s="24" t="s">
        <v>33</v>
      </c>
    </row>
    <row r="4" spans="2:9">
      <c r="B4" s="23" t="s">
        <v>44</v>
      </c>
      <c r="C4" s="23">
        <v>319.327</v>
      </c>
      <c r="D4" s="25">
        <f>C4*1.05</f>
        <v>335.29335000000003</v>
      </c>
      <c r="E4" s="25">
        <f>D4*1.05</f>
        <v>352.05801750000006</v>
      </c>
      <c r="F4" s="25">
        <f>E4*1.05</f>
        <v>369.66091837500011</v>
      </c>
      <c r="G4" s="25">
        <f>F4*1.05</f>
        <v>388.14396429375012</v>
      </c>
      <c r="H4" s="25">
        <f>G4*1.05</f>
        <v>407.55116250843764</v>
      </c>
      <c r="I4" s="23" t="s">
        <v>45</v>
      </c>
    </row>
    <row r="5" spans="2:9">
      <c r="B5" s="23" t="s">
        <v>46</v>
      </c>
      <c r="C5" s="23">
        <v>882.43899999999996</v>
      </c>
      <c r="D5" s="25">
        <f t="shared" ref="D5:H20" si="0">C5*1.05</f>
        <v>926.56095000000005</v>
      </c>
      <c r="E5" s="25">
        <f t="shared" si="0"/>
        <v>972.88899750000007</v>
      </c>
      <c r="F5" s="25">
        <f t="shared" si="0"/>
        <v>1021.5334473750002</v>
      </c>
      <c r="G5" s="25">
        <f t="shared" si="0"/>
        <v>1072.6101197437501</v>
      </c>
      <c r="H5" s="25">
        <f t="shared" si="0"/>
        <v>1126.2406257309376</v>
      </c>
      <c r="I5" s="23" t="s">
        <v>45</v>
      </c>
    </row>
    <row r="6" spans="2:9">
      <c r="B6" s="23" t="s">
        <v>47</v>
      </c>
      <c r="C6" s="23">
        <v>1552.307</v>
      </c>
      <c r="D6" s="25">
        <f t="shared" si="0"/>
        <v>1629.9223500000001</v>
      </c>
      <c r="E6" s="25">
        <f t="shared" si="0"/>
        <v>1711.4184675000001</v>
      </c>
      <c r="F6" s="25">
        <f t="shared" si="0"/>
        <v>1796.9893908750003</v>
      </c>
      <c r="G6" s="25">
        <f t="shared" si="0"/>
        <v>1886.8388604187503</v>
      </c>
      <c r="H6" s="25">
        <f t="shared" si="0"/>
        <v>1981.1808034396879</v>
      </c>
      <c r="I6" s="23" t="s">
        <v>45</v>
      </c>
    </row>
    <row r="7" spans="2:9">
      <c r="B7" s="23" t="s">
        <v>48</v>
      </c>
      <c r="C7" s="23">
        <v>861.25900000000001</v>
      </c>
      <c r="D7" s="25">
        <f t="shared" si="0"/>
        <v>904.32195000000002</v>
      </c>
      <c r="E7" s="25">
        <f t="shared" si="0"/>
        <v>949.53804750000006</v>
      </c>
      <c r="F7" s="25">
        <f t="shared" si="0"/>
        <v>997.01494987500007</v>
      </c>
      <c r="G7" s="25">
        <f t="shared" si="0"/>
        <v>1046.86569736875</v>
      </c>
      <c r="H7" s="25">
        <f t="shared" si="0"/>
        <v>1099.2089822371877</v>
      </c>
      <c r="I7" s="23" t="s">
        <v>45</v>
      </c>
    </row>
    <row r="8" spans="2:9">
      <c r="B8" s="23" t="s">
        <v>49</v>
      </c>
      <c r="C8" s="23">
        <v>1600.077</v>
      </c>
      <c r="D8" s="25">
        <f t="shared" si="0"/>
        <v>1680.0808500000001</v>
      </c>
      <c r="E8" s="25">
        <f t="shared" si="0"/>
        <v>1764.0848925</v>
      </c>
      <c r="F8" s="25">
        <f t="shared" si="0"/>
        <v>1852.289137125</v>
      </c>
      <c r="G8" s="25">
        <f t="shared" si="0"/>
        <v>1944.9035939812502</v>
      </c>
      <c r="H8" s="25">
        <f t="shared" si="0"/>
        <v>2042.1487736803128</v>
      </c>
      <c r="I8" s="23" t="s">
        <v>45</v>
      </c>
    </row>
    <row r="9" spans="2:9">
      <c r="B9" s="23" t="s">
        <v>50</v>
      </c>
      <c r="C9" s="23">
        <v>304.55599999999998</v>
      </c>
      <c r="D9" s="25">
        <f t="shared" si="0"/>
        <v>319.78379999999999</v>
      </c>
      <c r="E9" s="25">
        <f t="shared" si="0"/>
        <v>335.77298999999999</v>
      </c>
      <c r="F9" s="25">
        <f t="shared" si="0"/>
        <v>352.56163950000001</v>
      </c>
      <c r="G9" s="25">
        <f t="shared" si="0"/>
        <v>370.18972147500006</v>
      </c>
      <c r="H9" s="25">
        <f t="shared" si="0"/>
        <v>388.69920754875005</v>
      </c>
      <c r="I9" s="23" t="s">
        <v>45</v>
      </c>
    </row>
    <row r="10" spans="2:9">
      <c r="B10" s="23" t="s">
        <v>51</v>
      </c>
      <c r="C10" s="23">
        <v>1623.857</v>
      </c>
      <c r="D10" s="25">
        <f t="shared" si="0"/>
        <v>1705.0498500000001</v>
      </c>
      <c r="E10" s="25">
        <f t="shared" si="0"/>
        <v>1790.3023425000001</v>
      </c>
      <c r="F10" s="25">
        <f t="shared" si="0"/>
        <v>1879.8174596250003</v>
      </c>
      <c r="G10" s="25">
        <f t="shared" si="0"/>
        <v>1973.8083326062504</v>
      </c>
      <c r="H10" s="25">
        <f t="shared" si="0"/>
        <v>2072.4987492365631</v>
      </c>
      <c r="I10" s="23" t="s">
        <v>45</v>
      </c>
    </row>
    <row r="11" spans="2:9">
      <c r="B11" s="23" t="s">
        <v>52</v>
      </c>
      <c r="C11" s="23">
        <v>3132.1019999999999</v>
      </c>
      <c r="D11" s="25">
        <f t="shared" si="0"/>
        <v>3288.7071000000001</v>
      </c>
      <c r="E11" s="25">
        <f t="shared" si="0"/>
        <v>3453.1424550000002</v>
      </c>
      <c r="F11" s="25">
        <f t="shared" si="0"/>
        <v>3625.7995777500005</v>
      </c>
      <c r="G11" s="25">
        <f t="shared" si="0"/>
        <v>3807.0895566375007</v>
      </c>
      <c r="H11" s="25">
        <f t="shared" si="0"/>
        <v>3997.4440344693758</v>
      </c>
      <c r="I11" s="23" t="s">
        <v>45</v>
      </c>
    </row>
    <row r="12" spans="2:9">
      <c r="B12" s="23" t="s">
        <v>53</v>
      </c>
      <c r="C12" s="23">
        <v>131.52799999999999</v>
      </c>
      <c r="D12" s="25">
        <f t="shared" si="0"/>
        <v>138.1044</v>
      </c>
      <c r="E12" s="25">
        <f t="shared" si="0"/>
        <v>145.00962000000001</v>
      </c>
      <c r="F12" s="25">
        <f t="shared" si="0"/>
        <v>152.26010100000002</v>
      </c>
      <c r="G12" s="25">
        <f t="shared" si="0"/>
        <v>159.87310605000002</v>
      </c>
      <c r="H12" s="25">
        <f t="shared" si="0"/>
        <v>167.86676135250002</v>
      </c>
      <c r="I12" s="23" t="s">
        <v>45</v>
      </c>
    </row>
    <row r="13" spans="2:9">
      <c r="B13" s="23" t="s">
        <v>54</v>
      </c>
      <c r="C13" s="23">
        <v>493.09899999999999</v>
      </c>
      <c r="D13" s="25">
        <f t="shared" si="0"/>
        <v>517.75395000000003</v>
      </c>
      <c r="E13" s="25">
        <f t="shared" si="0"/>
        <v>543.64164750000009</v>
      </c>
      <c r="F13" s="25">
        <f t="shared" si="0"/>
        <v>570.82372987500014</v>
      </c>
      <c r="G13" s="25">
        <f t="shared" si="0"/>
        <v>599.36491636875019</v>
      </c>
      <c r="H13" s="25">
        <f t="shared" si="0"/>
        <v>629.33316218718767</v>
      </c>
      <c r="I13" s="23" t="s">
        <v>45</v>
      </c>
    </row>
    <row r="14" spans="2:9">
      <c r="B14" s="23" t="s">
        <v>55</v>
      </c>
      <c r="C14" s="23">
        <v>974.39300000000003</v>
      </c>
      <c r="D14" s="25">
        <f t="shared" si="0"/>
        <v>1023.11265</v>
      </c>
      <c r="E14" s="25">
        <f t="shared" si="0"/>
        <v>1074.2682825000002</v>
      </c>
      <c r="F14" s="25">
        <f t="shared" si="0"/>
        <v>1127.9816966250003</v>
      </c>
      <c r="G14" s="25">
        <f t="shared" si="0"/>
        <v>1184.3807814562504</v>
      </c>
      <c r="H14" s="25">
        <f t="shared" si="0"/>
        <v>1243.599820529063</v>
      </c>
      <c r="I14" s="23" t="s">
        <v>45</v>
      </c>
    </row>
    <row r="15" spans="2:9">
      <c r="B15" s="23" t="s">
        <v>56</v>
      </c>
      <c r="C15" s="23">
        <v>831.85599999999999</v>
      </c>
      <c r="D15" s="25">
        <f t="shared" si="0"/>
        <v>873.44880000000001</v>
      </c>
      <c r="E15" s="25">
        <f t="shared" si="0"/>
        <v>917.12124000000006</v>
      </c>
      <c r="F15" s="25">
        <f t="shared" si="0"/>
        <v>962.97730200000012</v>
      </c>
      <c r="G15" s="25">
        <f t="shared" si="0"/>
        <v>1011.1261671000002</v>
      </c>
      <c r="H15" s="25">
        <f t="shared" si="0"/>
        <v>1061.6824754550003</v>
      </c>
      <c r="I15" s="23" t="s">
        <v>45</v>
      </c>
    </row>
    <row r="16" spans="2:9">
      <c r="B16" s="23" t="s">
        <v>57</v>
      </c>
      <c r="C16" s="23">
        <v>1126.671</v>
      </c>
      <c r="D16" s="25">
        <f t="shared" si="0"/>
        <v>1183.0045500000001</v>
      </c>
      <c r="E16" s="25">
        <f t="shared" si="0"/>
        <v>1242.1547775000001</v>
      </c>
      <c r="F16" s="25">
        <f t="shared" si="0"/>
        <v>1304.2625163750001</v>
      </c>
      <c r="G16" s="25">
        <f t="shared" si="0"/>
        <v>1369.4756421937502</v>
      </c>
      <c r="H16" s="25">
        <f t="shared" si="0"/>
        <v>1437.9494243034378</v>
      </c>
      <c r="I16" s="23" t="s">
        <v>45</v>
      </c>
    </row>
    <row r="17" spans="2:9">
      <c r="B17" s="23" t="s">
        <v>58</v>
      </c>
      <c r="C17" s="23">
        <v>601.34699999999998</v>
      </c>
      <c r="D17" s="25">
        <f t="shared" si="0"/>
        <v>631.41435000000001</v>
      </c>
      <c r="E17" s="25">
        <f t="shared" si="0"/>
        <v>662.98506750000001</v>
      </c>
      <c r="F17" s="25">
        <f t="shared" si="0"/>
        <v>696.13432087500007</v>
      </c>
      <c r="G17" s="25">
        <f t="shared" si="0"/>
        <v>730.94103691875011</v>
      </c>
      <c r="H17" s="25">
        <f t="shared" si="0"/>
        <v>767.48808876468763</v>
      </c>
      <c r="I17" s="23" t="s">
        <v>45</v>
      </c>
    </row>
    <row r="18" spans="2:9">
      <c r="B18" s="23" t="s">
        <v>59</v>
      </c>
      <c r="C18" s="23">
        <v>2487.9319999999998</v>
      </c>
      <c r="D18" s="25">
        <f t="shared" si="0"/>
        <v>2612.3285999999998</v>
      </c>
      <c r="E18" s="25">
        <f t="shared" si="0"/>
        <v>2742.9450299999999</v>
      </c>
      <c r="F18" s="25">
        <f t="shared" si="0"/>
        <v>2880.0922814999999</v>
      </c>
      <c r="G18" s="25">
        <f t="shared" si="0"/>
        <v>3024.096895575</v>
      </c>
      <c r="H18" s="25">
        <f t="shared" si="0"/>
        <v>3175.3017403537501</v>
      </c>
      <c r="I18" s="23" t="s">
        <v>45</v>
      </c>
    </row>
    <row r="19" spans="2:9">
      <c r="B19" s="23" t="s">
        <v>60</v>
      </c>
      <c r="C19" s="23">
        <v>272.721</v>
      </c>
      <c r="D19" s="25">
        <f t="shared" si="0"/>
        <v>286.35705000000002</v>
      </c>
      <c r="E19" s="25">
        <f t="shared" si="0"/>
        <v>300.67490250000003</v>
      </c>
      <c r="F19" s="25">
        <f t="shared" si="0"/>
        <v>315.70864762500003</v>
      </c>
      <c r="G19" s="25">
        <f t="shared" si="0"/>
        <v>331.49408000625004</v>
      </c>
      <c r="H19" s="25">
        <f t="shared" si="0"/>
        <v>348.06878400656257</v>
      </c>
      <c r="I19" s="23" t="s">
        <v>45</v>
      </c>
    </row>
    <row r="20" spans="2:9">
      <c r="B20" s="23" t="s">
        <v>61</v>
      </c>
      <c r="C20" s="23">
        <v>167.37799999999999</v>
      </c>
      <c r="D20" s="25">
        <f t="shared" si="0"/>
        <v>175.74689999999998</v>
      </c>
      <c r="E20" s="25">
        <f t="shared" si="0"/>
        <v>184.534245</v>
      </c>
      <c r="F20" s="25">
        <f t="shared" si="0"/>
        <v>193.76095725000002</v>
      </c>
      <c r="G20" s="25">
        <f t="shared" si="0"/>
        <v>203.44900511250003</v>
      </c>
      <c r="H20" s="25">
        <f t="shared" si="0"/>
        <v>213.62145536812505</v>
      </c>
      <c r="I20" s="23" t="s">
        <v>45</v>
      </c>
    </row>
    <row r="21" spans="2:9">
      <c r="B21" s="23" t="s">
        <v>62</v>
      </c>
      <c r="C21" s="23">
        <v>275.786</v>
      </c>
      <c r="D21" s="25">
        <f t="shared" ref="D21:H36" si="1">C21*1.05</f>
        <v>289.57530000000003</v>
      </c>
      <c r="E21" s="25">
        <f t="shared" si="1"/>
        <v>304.05406500000004</v>
      </c>
      <c r="F21" s="25">
        <f t="shared" si="1"/>
        <v>319.25676825000005</v>
      </c>
      <c r="G21" s="25">
        <f t="shared" si="1"/>
        <v>335.21960666250004</v>
      </c>
      <c r="H21" s="25">
        <f t="shared" si="1"/>
        <v>351.98058699562506</v>
      </c>
      <c r="I21" s="23" t="s">
        <v>45</v>
      </c>
    </row>
    <row r="22" spans="2:9">
      <c r="B22" s="23" t="s">
        <v>63</v>
      </c>
      <c r="C22" s="23">
        <v>188.172</v>
      </c>
      <c r="D22" s="25">
        <f t="shared" si="1"/>
        <v>197.5806</v>
      </c>
      <c r="E22" s="25">
        <f t="shared" si="1"/>
        <v>207.45963</v>
      </c>
      <c r="F22" s="25">
        <f t="shared" si="1"/>
        <v>217.83261150000001</v>
      </c>
      <c r="G22" s="25">
        <f t="shared" si="1"/>
        <v>228.72424207500003</v>
      </c>
      <c r="H22" s="25">
        <f t="shared" si="1"/>
        <v>240.16045417875006</v>
      </c>
      <c r="I22" s="23" t="s">
        <v>45</v>
      </c>
    </row>
    <row r="23" spans="2:9">
      <c r="B23" s="23" t="s">
        <v>64</v>
      </c>
      <c r="C23" s="23">
        <v>176.96699999999998</v>
      </c>
      <c r="D23" s="25">
        <f t="shared" si="1"/>
        <v>185.81535</v>
      </c>
      <c r="E23" s="25">
        <f t="shared" si="1"/>
        <v>195.10611750000001</v>
      </c>
      <c r="F23" s="25">
        <f t="shared" si="1"/>
        <v>204.86142337500002</v>
      </c>
      <c r="G23" s="25">
        <f t="shared" si="1"/>
        <v>215.10449454375004</v>
      </c>
      <c r="H23" s="25">
        <f t="shared" si="1"/>
        <v>225.85971927093755</v>
      </c>
      <c r="I23" s="23" t="s">
        <v>45</v>
      </c>
    </row>
    <row r="24" spans="2:9">
      <c r="B24" s="23" t="s">
        <v>65</v>
      </c>
      <c r="C24" s="23">
        <v>245.42599999999999</v>
      </c>
      <c r="D24" s="25">
        <f t="shared" si="1"/>
        <v>257.69729999999998</v>
      </c>
      <c r="E24" s="25">
        <f t="shared" si="1"/>
        <v>270.58216499999997</v>
      </c>
      <c r="F24" s="25">
        <f t="shared" si="1"/>
        <v>284.11127325000001</v>
      </c>
      <c r="G24" s="25">
        <f t="shared" si="1"/>
        <v>298.31683691250004</v>
      </c>
      <c r="H24" s="25">
        <f t="shared" si="1"/>
        <v>313.23267875812508</v>
      </c>
      <c r="I24" s="23" t="s">
        <v>45</v>
      </c>
    </row>
    <row r="25" spans="2:9">
      <c r="B25" s="23" t="s">
        <v>66</v>
      </c>
      <c r="C25" s="23">
        <v>129.97499999999999</v>
      </c>
      <c r="D25" s="25">
        <f t="shared" si="1"/>
        <v>136.47375</v>
      </c>
      <c r="E25" s="25">
        <f t="shared" si="1"/>
        <v>143.2974375</v>
      </c>
      <c r="F25" s="25">
        <f t="shared" si="1"/>
        <v>150.46230937500002</v>
      </c>
      <c r="G25" s="25">
        <f t="shared" si="1"/>
        <v>157.98542484375002</v>
      </c>
      <c r="H25" s="25">
        <f t="shared" si="1"/>
        <v>165.88469608593752</v>
      </c>
      <c r="I25" s="23" t="s">
        <v>45</v>
      </c>
    </row>
    <row r="26" spans="2:9">
      <c r="B26" s="23" t="s">
        <v>67</v>
      </c>
      <c r="C26" s="23">
        <v>19.093</v>
      </c>
      <c r="D26" s="25">
        <f t="shared" si="1"/>
        <v>20.047650000000001</v>
      </c>
      <c r="E26" s="25">
        <f t="shared" si="1"/>
        <v>21.0500325</v>
      </c>
      <c r="F26" s="25">
        <f t="shared" si="1"/>
        <v>22.102534125000002</v>
      </c>
      <c r="G26" s="25">
        <f t="shared" si="1"/>
        <v>23.207660831250003</v>
      </c>
      <c r="H26" s="25">
        <f t="shared" si="1"/>
        <v>24.368043872812503</v>
      </c>
      <c r="I26" s="23" t="s">
        <v>45</v>
      </c>
    </row>
    <row r="27" spans="2:9">
      <c r="B27" s="23" t="s">
        <v>68</v>
      </c>
      <c r="C27" s="23">
        <v>314.16899999999998</v>
      </c>
      <c r="D27" s="25">
        <f t="shared" si="1"/>
        <v>329.87745000000001</v>
      </c>
      <c r="E27" s="25">
        <f t="shared" si="1"/>
        <v>346.37132250000002</v>
      </c>
      <c r="F27" s="25">
        <f t="shared" si="1"/>
        <v>363.68988862500004</v>
      </c>
      <c r="G27" s="25">
        <f t="shared" si="1"/>
        <v>381.87438305625005</v>
      </c>
      <c r="H27" s="25">
        <f t="shared" si="1"/>
        <v>400.96810220906258</v>
      </c>
      <c r="I27" s="23" t="s">
        <v>45</v>
      </c>
    </row>
    <row r="28" spans="2:9">
      <c r="B28" s="23" t="s">
        <v>69</v>
      </c>
      <c r="C28" s="23">
        <v>430.95600000000002</v>
      </c>
      <c r="D28" s="25">
        <f t="shared" si="1"/>
        <v>452.50380000000001</v>
      </c>
      <c r="E28" s="25">
        <f t="shared" si="1"/>
        <v>475.12899000000004</v>
      </c>
      <c r="F28" s="25">
        <f t="shared" si="1"/>
        <v>498.88543950000007</v>
      </c>
      <c r="G28" s="25">
        <f t="shared" si="1"/>
        <v>523.82971147500007</v>
      </c>
      <c r="H28" s="25">
        <f t="shared" si="1"/>
        <v>550.02119704875008</v>
      </c>
      <c r="I28" s="23" t="s">
        <v>45</v>
      </c>
    </row>
    <row r="29" spans="2:9">
      <c r="B29" s="23" t="s">
        <v>70</v>
      </c>
      <c r="C29" s="23">
        <v>1037.6130000000001</v>
      </c>
      <c r="D29" s="25">
        <f t="shared" si="1"/>
        <v>1089.4936500000001</v>
      </c>
      <c r="E29" s="25">
        <f t="shared" si="1"/>
        <v>1143.9683325000001</v>
      </c>
      <c r="F29" s="25">
        <f t="shared" si="1"/>
        <v>1201.1667491250003</v>
      </c>
      <c r="G29" s="25">
        <f t="shared" si="1"/>
        <v>1261.2250865812503</v>
      </c>
      <c r="H29" s="25">
        <f t="shared" si="1"/>
        <v>1324.2863409103129</v>
      </c>
      <c r="I29" s="23" t="s">
        <v>45</v>
      </c>
    </row>
    <row r="30" spans="2:9">
      <c r="B30" s="23" t="s">
        <v>71</v>
      </c>
      <c r="C30" s="23">
        <v>378.12299999999999</v>
      </c>
      <c r="D30" s="25">
        <f t="shared" si="1"/>
        <v>397.02915000000002</v>
      </c>
      <c r="E30" s="25">
        <f t="shared" si="1"/>
        <v>416.88060750000005</v>
      </c>
      <c r="F30" s="25">
        <f t="shared" si="1"/>
        <v>437.7246378750001</v>
      </c>
      <c r="G30" s="25">
        <f t="shared" si="1"/>
        <v>459.61086976875015</v>
      </c>
      <c r="H30" s="25">
        <f t="shared" si="1"/>
        <v>482.5914132571877</v>
      </c>
      <c r="I30" s="23" t="s">
        <v>45</v>
      </c>
    </row>
    <row r="31" spans="2:9">
      <c r="B31" s="23" t="s">
        <v>72</v>
      </c>
      <c r="C31" s="23">
        <v>196.30600000000001</v>
      </c>
      <c r="D31" s="25">
        <f t="shared" si="1"/>
        <v>206.12130000000002</v>
      </c>
      <c r="E31" s="25">
        <f t="shared" si="1"/>
        <v>216.42736500000004</v>
      </c>
      <c r="F31" s="25">
        <f t="shared" si="1"/>
        <v>227.24873325000004</v>
      </c>
      <c r="G31" s="25">
        <f t="shared" si="1"/>
        <v>238.61116991250006</v>
      </c>
      <c r="H31" s="25">
        <f t="shared" si="1"/>
        <v>250.54172840812507</v>
      </c>
      <c r="I31" s="23" t="s">
        <v>45</v>
      </c>
    </row>
    <row r="32" spans="2:9">
      <c r="B32" s="23" t="s">
        <v>73</v>
      </c>
      <c r="C32" s="23">
        <v>2044.3420000000001</v>
      </c>
      <c r="D32" s="25">
        <f t="shared" si="1"/>
        <v>2146.5591000000004</v>
      </c>
      <c r="E32" s="25">
        <f t="shared" si="1"/>
        <v>2253.8870550000006</v>
      </c>
      <c r="F32" s="25">
        <f t="shared" si="1"/>
        <v>2366.5814077500008</v>
      </c>
      <c r="G32" s="25">
        <f t="shared" si="1"/>
        <v>2484.9104781375008</v>
      </c>
      <c r="H32" s="25">
        <f t="shared" si="1"/>
        <v>2609.1560020443758</v>
      </c>
      <c r="I32" s="23" t="s">
        <v>45</v>
      </c>
    </row>
    <row r="33" spans="2:9">
      <c r="B33" s="23" t="s">
        <v>74</v>
      </c>
      <c r="C33" s="23">
        <v>97.498999999999995</v>
      </c>
      <c r="D33" s="25">
        <f t="shared" si="1"/>
        <v>102.37394999999999</v>
      </c>
      <c r="E33" s="25">
        <f t="shared" si="1"/>
        <v>107.4926475</v>
      </c>
      <c r="F33" s="25">
        <f t="shared" si="1"/>
        <v>112.86727987500001</v>
      </c>
      <c r="G33" s="25">
        <f t="shared" si="1"/>
        <v>118.51064386875001</v>
      </c>
      <c r="H33" s="25">
        <f t="shared" si="1"/>
        <v>124.43617606218751</v>
      </c>
      <c r="I33" s="23" t="s">
        <v>45</v>
      </c>
    </row>
    <row r="34" spans="2:9">
      <c r="B34" s="23" t="s">
        <v>75</v>
      </c>
      <c r="C34" s="23">
        <v>6984.4229999999998</v>
      </c>
      <c r="D34" s="25">
        <f t="shared" si="1"/>
        <v>7333.6441500000001</v>
      </c>
      <c r="E34" s="25">
        <f t="shared" si="1"/>
        <v>7700.3263575000001</v>
      </c>
      <c r="F34" s="25">
        <f t="shared" si="1"/>
        <v>8085.342675375</v>
      </c>
      <c r="G34" s="25">
        <f t="shared" si="1"/>
        <v>8489.6098091437507</v>
      </c>
      <c r="H34" s="25">
        <f t="shared" si="1"/>
        <v>8914.090299600939</v>
      </c>
      <c r="I34" s="23" t="s">
        <v>45</v>
      </c>
    </row>
    <row r="35" spans="2:9">
      <c r="B35" s="23" t="s">
        <v>76</v>
      </c>
      <c r="C35" s="23">
        <v>109.327</v>
      </c>
      <c r="D35" s="25">
        <f t="shared" si="1"/>
        <v>114.79335</v>
      </c>
      <c r="E35" s="25">
        <f t="shared" si="1"/>
        <v>120.53301750000001</v>
      </c>
      <c r="F35" s="25">
        <f t="shared" si="1"/>
        <v>126.55966837500002</v>
      </c>
      <c r="G35" s="25">
        <f t="shared" si="1"/>
        <v>132.88765179375002</v>
      </c>
      <c r="H35" s="25">
        <f t="shared" si="1"/>
        <v>139.53203438343752</v>
      </c>
      <c r="I35" s="23" t="s">
        <v>45</v>
      </c>
    </row>
    <row r="36" spans="2:9">
      <c r="B36" s="23" t="s">
        <v>77</v>
      </c>
      <c r="C36" s="23">
        <v>1932.395</v>
      </c>
      <c r="D36" s="25">
        <f t="shared" si="1"/>
        <v>2029.01475</v>
      </c>
      <c r="E36" s="25">
        <f t="shared" si="1"/>
        <v>2130.4654875000001</v>
      </c>
      <c r="F36" s="25">
        <f t="shared" si="1"/>
        <v>2236.9887618750004</v>
      </c>
      <c r="G36" s="25">
        <f t="shared" si="1"/>
        <v>2348.8381999687504</v>
      </c>
      <c r="H36" s="25">
        <f t="shared" si="1"/>
        <v>2466.2801099671879</v>
      </c>
      <c r="I36" s="23" t="s">
        <v>45</v>
      </c>
    </row>
    <row r="37" spans="2:9">
      <c r="B37" s="23" t="s">
        <v>78</v>
      </c>
      <c r="C37" s="23">
        <v>494.291</v>
      </c>
      <c r="D37" s="25">
        <f t="shared" ref="D37:H51" si="2">C37*1.05</f>
        <v>519.00554999999997</v>
      </c>
      <c r="E37" s="25">
        <f t="shared" si="2"/>
        <v>544.95582749999994</v>
      </c>
      <c r="F37" s="25">
        <f t="shared" si="2"/>
        <v>572.20361887499996</v>
      </c>
      <c r="G37" s="25">
        <f t="shared" si="2"/>
        <v>600.81379981875</v>
      </c>
      <c r="H37" s="25">
        <f t="shared" si="2"/>
        <v>630.85448980968749</v>
      </c>
      <c r="I37" s="23" t="s">
        <v>45</v>
      </c>
    </row>
    <row r="38" spans="2:9">
      <c r="B38" s="23" t="s">
        <v>79</v>
      </c>
      <c r="C38" s="23">
        <v>360.57299999999998</v>
      </c>
      <c r="D38" s="25">
        <f t="shared" si="2"/>
        <v>378.60165000000001</v>
      </c>
      <c r="E38" s="25">
        <f t="shared" si="2"/>
        <v>397.53173250000003</v>
      </c>
      <c r="F38" s="25">
        <f t="shared" si="2"/>
        <v>417.40831912500005</v>
      </c>
      <c r="G38" s="25">
        <f t="shared" si="2"/>
        <v>438.27873508125009</v>
      </c>
      <c r="H38" s="25">
        <f t="shared" si="2"/>
        <v>460.19267183531264</v>
      </c>
      <c r="I38" s="23" t="s">
        <v>45</v>
      </c>
    </row>
    <row r="39" spans="2:9">
      <c r="B39" s="23" t="s">
        <v>80</v>
      </c>
      <c r="C39" s="23">
        <v>1545.7440000000001</v>
      </c>
      <c r="D39" s="25">
        <f t="shared" si="2"/>
        <v>1623.0312000000001</v>
      </c>
      <c r="E39" s="25">
        <f t="shared" si="2"/>
        <v>1704.1827600000001</v>
      </c>
      <c r="F39" s="25">
        <f t="shared" si="2"/>
        <v>1789.3918980000003</v>
      </c>
      <c r="G39" s="25">
        <f t="shared" si="2"/>
        <v>1878.8614929000005</v>
      </c>
      <c r="H39" s="25">
        <f t="shared" si="2"/>
        <v>1972.8045675450005</v>
      </c>
      <c r="I39" s="23" t="s">
        <v>45</v>
      </c>
    </row>
    <row r="40" spans="2:9">
      <c r="B40" s="23" t="s">
        <v>81</v>
      </c>
      <c r="C40" s="23">
        <v>294.22699999999998</v>
      </c>
      <c r="D40" s="25">
        <f t="shared" si="2"/>
        <v>308.93835000000001</v>
      </c>
      <c r="E40" s="25">
        <f t="shared" si="2"/>
        <v>324.38526750000005</v>
      </c>
      <c r="F40" s="25">
        <f t="shared" si="2"/>
        <v>340.60453087500008</v>
      </c>
      <c r="G40" s="25">
        <f t="shared" si="2"/>
        <v>357.6347574187501</v>
      </c>
      <c r="H40" s="25">
        <f t="shared" si="2"/>
        <v>375.51649528968761</v>
      </c>
      <c r="I40" s="23" t="s">
        <v>45</v>
      </c>
    </row>
    <row r="41" spans="2:9">
      <c r="B41" s="23" t="s">
        <v>82</v>
      </c>
      <c r="C41" s="23">
        <v>120.292</v>
      </c>
      <c r="D41" s="25">
        <f t="shared" si="2"/>
        <v>126.3066</v>
      </c>
      <c r="E41" s="25">
        <f t="shared" si="2"/>
        <v>132.62193000000002</v>
      </c>
      <c r="F41" s="25">
        <f t="shared" si="2"/>
        <v>139.25302650000003</v>
      </c>
      <c r="G41" s="25">
        <f t="shared" si="2"/>
        <v>146.21567782500003</v>
      </c>
      <c r="H41" s="25">
        <f t="shared" si="2"/>
        <v>153.52646171625003</v>
      </c>
      <c r="I41" s="23" t="s">
        <v>45</v>
      </c>
    </row>
    <row r="42" spans="2:9">
      <c r="B42" s="23" t="s">
        <v>83</v>
      </c>
      <c r="C42" s="23">
        <v>7482.6549999999997</v>
      </c>
      <c r="D42" s="25">
        <f t="shared" si="2"/>
        <v>7856.7877500000004</v>
      </c>
      <c r="E42" s="25">
        <f t="shared" si="2"/>
        <v>8249.6271375000015</v>
      </c>
      <c r="F42" s="25">
        <f t="shared" si="2"/>
        <v>8662.1084943750011</v>
      </c>
      <c r="G42" s="25">
        <f t="shared" si="2"/>
        <v>9095.2139190937523</v>
      </c>
      <c r="H42" s="25">
        <f t="shared" si="2"/>
        <v>9549.9746150484407</v>
      </c>
      <c r="I42" s="23" t="s">
        <v>45</v>
      </c>
    </row>
    <row r="43" spans="2:9">
      <c r="B43" s="23" t="s">
        <v>84</v>
      </c>
      <c r="C43" s="23">
        <v>386.70000000000005</v>
      </c>
      <c r="D43" s="25">
        <f t="shared" si="2"/>
        <v>406.03500000000008</v>
      </c>
      <c r="E43" s="25">
        <f t="shared" si="2"/>
        <v>426.33675000000011</v>
      </c>
      <c r="F43" s="25">
        <f t="shared" si="2"/>
        <v>447.65358750000013</v>
      </c>
      <c r="G43" s="25">
        <f t="shared" si="2"/>
        <v>470.03626687500014</v>
      </c>
      <c r="H43" s="25">
        <f t="shared" si="2"/>
        <v>493.53808021875017</v>
      </c>
      <c r="I43" s="23" t="s">
        <v>45</v>
      </c>
    </row>
    <row r="44" spans="2:9">
      <c r="B44" s="23" t="s">
        <v>85</v>
      </c>
      <c r="C44" s="23">
        <v>114.34099999999999</v>
      </c>
      <c r="D44" s="25">
        <f t="shared" si="2"/>
        <v>120.05804999999999</v>
      </c>
      <c r="E44" s="25">
        <f t="shared" si="2"/>
        <v>126.0609525</v>
      </c>
      <c r="F44" s="25">
        <f t="shared" si="2"/>
        <v>132.36400012500002</v>
      </c>
      <c r="G44" s="25">
        <f t="shared" si="2"/>
        <v>138.98220013125004</v>
      </c>
      <c r="H44" s="25">
        <f t="shared" si="2"/>
        <v>145.93131013781255</v>
      </c>
      <c r="I44" s="23" t="s">
        <v>45</v>
      </c>
    </row>
    <row r="45" spans="2:9">
      <c r="B45" s="23" t="s">
        <v>86</v>
      </c>
      <c r="C45" s="23">
        <v>108.322</v>
      </c>
      <c r="D45" s="25">
        <f t="shared" si="2"/>
        <v>113.7381</v>
      </c>
      <c r="E45" s="25">
        <f t="shared" si="2"/>
        <v>119.42500500000001</v>
      </c>
      <c r="F45" s="25">
        <f t="shared" si="2"/>
        <v>125.39625525000002</v>
      </c>
      <c r="G45" s="25">
        <f t="shared" si="2"/>
        <v>131.66606801250003</v>
      </c>
      <c r="H45" s="25">
        <f t="shared" si="2"/>
        <v>138.24937141312503</v>
      </c>
      <c r="I45" s="23" t="s">
        <v>45</v>
      </c>
    </row>
    <row r="46" spans="2:9">
      <c r="B46" s="23" t="s">
        <v>87</v>
      </c>
      <c r="C46" s="23">
        <v>400.26300000000003</v>
      </c>
      <c r="D46" s="25">
        <f t="shared" si="2"/>
        <v>420.27615000000003</v>
      </c>
      <c r="E46" s="25">
        <f t="shared" si="2"/>
        <v>441.28995750000007</v>
      </c>
      <c r="F46" s="25">
        <f t="shared" si="2"/>
        <v>463.3544553750001</v>
      </c>
      <c r="G46" s="25">
        <f t="shared" si="2"/>
        <v>486.52217814375012</v>
      </c>
      <c r="H46" s="25">
        <f t="shared" si="2"/>
        <v>510.84828705093764</v>
      </c>
      <c r="I46" s="23" t="s">
        <v>45</v>
      </c>
    </row>
    <row r="47" spans="2:9">
      <c r="B47" s="23" t="s">
        <v>88</v>
      </c>
      <c r="C47" s="23">
        <v>112.628</v>
      </c>
      <c r="D47" s="25">
        <f t="shared" si="2"/>
        <v>118.2594</v>
      </c>
      <c r="E47" s="25">
        <f t="shared" si="2"/>
        <v>124.17237</v>
      </c>
      <c r="F47" s="25">
        <f t="shared" si="2"/>
        <v>130.3809885</v>
      </c>
      <c r="G47" s="25">
        <f t="shared" si="2"/>
        <v>136.90003792500002</v>
      </c>
      <c r="H47" s="25">
        <f t="shared" si="2"/>
        <v>143.74503982125003</v>
      </c>
      <c r="I47" s="23" t="s">
        <v>45</v>
      </c>
    </row>
    <row r="48" spans="2:9">
      <c r="B48" s="23" t="s">
        <v>89</v>
      </c>
      <c r="C48" s="23">
        <v>424.137</v>
      </c>
      <c r="D48" s="25">
        <f t="shared" si="2"/>
        <v>445.34385000000003</v>
      </c>
      <c r="E48" s="25">
        <f t="shared" si="2"/>
        <v>467.61104250000005</v>
      </c>
      <c r="F48" s="25">
        <f t="shared" si="2"/>
        <v>490.99159462500006</v>
      </c>
      <c r="G48" s="25">
        <f t="shared" si="2"/>
        <v>515.54117435625005</v>
      </c>
      <c r="H48" s="25">
        <f t="shared" si="2"/>
        <v>541.31823307406262</v>
      </c>
      <c r="I48" s="23" t="s">
        <v>45</v>
      </c>
    </row>
    <row r="49" spans="2:9">
      <c r="B49" s="23" t="s">
        <v>90</v>
      </c>
      <c r="C49" s="23">
        <v>121.261</v>
      </c>
      <c r="D49" s="25">
        <f t="shared" si="2"/>
        <v>127.32405</v>
      </c>
      <c r="E49" s="25">
        <f t="shared" si="2"/>
        <v>133.69025250000001</v>
      </c>
      <c r="F49" s="25">
        <f t="shared" si="2"/>
        <v>140.37476512500001</v>
      </c>
      <c r="G49" s="25">
        <f t="shared" si="2"/>
        <v>147.39350338125001</v>
      </c>
      <c r="H49" s="25">
        <f t="shared" si="2"/>
        <v>154.76317855031252</v>
      </c>
      <c r="I49" s="23" t="s">
        <v>45</v>
      </c>
    </row>
    <row r="50" spans="2:9">
      <c r="B50" s="23" t="s">
        <v>91</v>
      </c>
      <c r="C50" s="23">
        <v>265.97300000000001</v>
      </c>
      <c r="D50" s="25">
        <f t="shared" si="2"/>
        <v>279.27165000000002</v>
      </c>
      <c r="E50" s="25">
        <f t="shared" si="2"/>
        <v>293.23523250000005</v>
      </c>
      <c r="F50" s="25">
        <f t="shared" si="2"/>
        <v>307.89699412500005</v>
      </c>
      <c r="G50" s="25">
        <f t="shared" si="2"/>
        <v>323.29184383125005</v>
      </c>
      <c r="H50" s="25">
        <f t="shared" si="2"/>
        <v>339.45643602281257</v>
      </c>
      <c r="I50" s="23" t="s">
        <v>45</v>
      </c>
    </row>
    <row r="51" spans="2:9">
      <c r="B51" s="23" t="s">
        <v>92</v>
      </c>
      <c r="C51" s="23">
        <v>214.36099999999999</v>
      </c>
      <c r="D51" s="25">
        <f t="shared" si="2"/>
        <v>225.07905</v>
      </c>
      <c r="E51" s="25">
        <f t="shared" si="2"/>
        <v>236.33300249999999</v>
      </c>
      <c r="F51" s="25">
        <f t="shared" si="2"/>
        <v>248.14965262500002</v>
      </c>
      <c r="G51" s="25">
        <f t="shared" si="2"/>
        <v>260.55713525625004</v>
      </c>
      <c r="H51" s="25">
        <f t="shared" si="2"/>
        <v>273.58499201906255</v>
      </c>
      <c r="I51" s="23" t="s">
        <v>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AD962-BE30-4033-A2FE-348EC86A1006}">
  <dimension ref="B2:J7"/>
  <sheetViews>
    <sheetView workbookViewId="0">
      <selection activeCell="F19" sqref="F19"/>
    </sheetView>
  </sheetViews>
  <sheetFormatPr defaultRowHeight="13.8"/>
  <sheetData>
    <row r="2" spans="2:10">
      <c r="B2" t="s">
        <v>93</v>
      </c>
    </row>
    <row r="3" spans="2:10">
      <c r="B3" t="s">
        <v>32</v>
      </c>
      <c r="C3" t="s">
        <v>94</v>
      </c>
      <c r="D3">
        <v>2022</v>
      </c>
      <c r="E3">
        <v>2025</v>
      </c>
      <c r="F3">
        <v>2030</v>
      </c>
      <c r="G3">
        <v>2035</v>
      </c>
      <c r="H3">
        <v>2040</v>
      </c>
      <c r="I3">
        <v>2045</v>
      </c>
      <c r="J3">
        <v>2050</v>
      </c>
    </row>
    <row r="4" spans="2:10">
      <c r="B4" t="s">
        <v>95</v>
      </c>
      <c r="C4" t="s">
        <v>95</v>
      </c>
      <c r="D4">
        <v>33.4</v>
      </c>
      <c r="E4">
        <v>35.738</v>
      </c>
      <c r="F4">
        <v>41.415999999999997</v>
      </c>
      <c r="G4">
        <v>38.409999999999997</v>
      </c>
      <c r="H4">
        <v>41.75</v>
      </c>
      <c r="I4">
        <v>39.077999999999996</v>
      </c>
      <c r="J4">
        <v>44.756</v>
      </c>
    </row>
    <row r="5" spans="2:10">
      <c r="B5" t="s">
        <v>96</v>
      </c>
      <c r="C5" t="s">
        <v>96</v>
      </c>
      <c r="D5">
        <v>12.2</v>
      </c>
      <c r="E5">
        <v>12.443999999999999</v>
      </c>
      <c r="F5">
        <v>12.932</v>
      </c>
      <c r="G5">
        <v>13.054</v>
      </c>
      <c r="H5">
        <v>13.176</v>
      </c>
      <c r="I5">
        <v>13.42</v>
      </c>
      <c r="J5">
        <v>13.664</v>
      </c>
    </row>
    <row r="6" spans="2:10">
      <c r="B6" t="s">
        <v>97</v>
      </c>
      <c r="C6" t="s">
        <v>97</v>
      </c>
      <c r="D6">
        <v>53</v>
      </c>
      <c r="E6">
        <v>53.53</v>
      </c>
      <c r="F6">
        <v>58.830000000000005</v>
      </c>
      <c r="G6">
        <v>53.53</v>
      </c>
      <c r="H6">
        <v>53.53</v>
      </c>
      <c r="I6">
        <v>55.120000000000005</v>
      </c>
      <c r="J6">
        <v>60.419999999999995</v>
      </c>
    </row>
    <row r="7" spans="2:10">
      <c r="B7" t="s">
        <v>98</v>
      </c>
      <c r="C7" t="s">
        <v>98</v>
      </c>
      <c r="D7">
        <v>26</v>
      </c>
      <c r="J7">
        <v>78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701"/>
  <sheetViews>
    <sheetView zoomScale="130" zoomScaleNormal="130" workbookViewId="0">
      <selection activeCell="D247" sqref="D247"/>
    </sheetView>
  </sheetViews>
  <sheetFormatPr defaultRowHeight="13.8"/>
  <cols>
    <col min="1" max="1" width="16" customWidth="1"/>
    <col min="2" max="2" width="13" customWidth="1"/>
    <col min="3" max="3" width="16" customWidth="1"/>
    <col min="4" max="4" width="14" customWidth="1"/>
    <col min="5" max="5" width="36" customWidth="1"/>
  </cols>
  <sheetData>
    <row r="1" spans="1:5">
      <c r="A1" s="1" t="s">
        <v>0</v>
      </c>
      <c r="B1" s="1" t="s">
        <v>1</v>
      </c>
      <c r="C1" s="1" t="s">
        <v>2</v>
      </c>
      <c r="D1" s="1" t="s">
        <v>3</v>
      </c>
      <c r="E1" t="s">
        <v>29</v>
      </c>
    </row>
    <row r="2" spans="1:5">
      <c r="A2" t="str">
        <f>INDEX(Controller!$H$2:$H$11,INT((ROW()-2)/70)+1)</f>
        <v>Ref</v>
      </c>
      <c r="B2" s="2">
        <v>2022</v>
      </c>
      <c r="C2" t="str">
        <f>INDEX(Controller!$J$2:$J$11,MOD(INT((ROW()-2)/7),10)+1)</f>
        <v>hydrogen_allsect</v>
      </c>
      <c r="D2" s="4">
        <v>0</v>
      </c>
      <c r="E2" t="str">
        <f t="shared" ref="E2:E65" si="0">A2&amp;"|"&amp;C2&amp;"|"&amp;B2</f>
        <v>Ref|hydrogen_allsect|2022</v>
      </c>
    </row>
    <row r="3" spans="1:5">
      <c r="A3" t="str">
        <f>INDEX(Controller!$H$2:$H$11,INT((ROW()-2)/70)+1)</f>
        <v>Ref</v>
      </c>
      <c r="B3" s="2">
        <v>2025</v>
      </c>
      <c r="C3" t="str">
        <f>INDEX(Controller!$J$2:$J$11,MOD(INT((ROW()-2)/7),10)+1)</f>
        <v>hydrogen_allsect</v>
      </c>
      <c r="D3" s="4">
        <f>D2*2%+D2</f>
        <v>0</v>
      </c>
      <c r="E3" t="str">
        <f t="shared" si="0"/>
        <v>Ref|hydrogen_allsect|2025</v>
      </c>
    </row>
    <row r="4" spans="1:5">
      <c r="A4" t="str">
        <f>INDEX(Controller!$H$2:$H$11,INT((ROW()-2)/70)+1)</f>
        <v>Ref</v>
      </c>
      <c r="B4" s="2">
        <v>2030</v>
      </c>
      <c r="C4" t="str">
        <f>INDEX(Controller!$J$2:$J$11,MOD(INT((ROW()-2)/7),10)+1)</f>
        <v>hydrogen_allsect</v>
      </c>
      <c r="D4" s="4">
        <f t="shared" ref="D4:D8" si="1">D3*2%+D3</f>
        <v>0</v>
      </c>
      <c r="E4" t="str">
        <f t="shared" si="0"/>
        <v>Ref|hydrogen_allsect|2030</v>
      </c>
    </row>
    <row r="5" spans="1:5">
      <c r="A5" t="str">
        <f>INDEX(Controller!$H$2:$H$11,INT((ROW()-2)/70)+1)</f>
        <v>Ref</v>
      </c>
      <c r="B5" s="2">
        <v>2035</v>
      </c>
      <c r="C5" t="str">
        <f>INDEX(Controller!$J$2:$J$11,MOD(INT((ROW()-2)/7),10)+1)</f>
        <v>hydrogen_allsect</v>
      </c>
      <c r="D5" s="4">
        <f t="shared" si="1"/>
        <v>0</v>
      </c>
      <c r="E5" t="str">
        <f t="shared" si="0"/>
        <v>Ref|hydrogen_allsect|2035</v>
      </c>
    </row>
    <row r="6" spans="1:5">
      <c r="A6" t="str">
        <f>INDEX(Controller!$H$2:$H$11,INT((ROW()-2)/70)+1)</f>
        <v>Ref</v>
      </c>
      <c r="B6" s="2">
        <v>2040</v>
      </c>
      <c r="C6" t="str">
        <f>INDEX(Controller!$J$2:$J$11,MOD(INT((ROW()-2)/7),10)+1)</f>
        <v>hydrogen_allsect</v>
      </c>
      <c r="D6" s="4">
        <f t="shared" si="1"/>
        <v>0</v>
      </c>
      <c r="E6" t="str">
        <f t="shared" si="0"/>
        <v>Ref|hydrogen_allsect|2040</v>
      </c>
    </row>
    <row r="7" spans="1:5">
      <c r="A7" t="str">
        <f>INDEX(Controller!$H$2:$H$11,INT((ROW()-2)/70)+1)</f>
        <v>Ref</v>
      </c>
      <c r="B7" s="2">
        <v>2045</v>
      </c>
      <c r="C7" t="str">
        <f>INDEX(Controller!$J$2:$J$11,MOD(INT((ROW()-2)/7),10)+1)</f>
        <v>hydrogen_allsect</v>
      </c>
      <c r="D7" s="4">
        <f t="shared" si="1"/>
        <v>0</v>
      </c>
      <c r="E7" t="str">
        <f t="shared" si="0"/>
        <v>Ref|hydrogen_allsect|2045</v>
      </c>
    </row>
    <row r="8" spans="1:5">
      <c r="A8" t="str">
        <f>INDEX(Controller!$H$2:$H$11,INT((ROW()-2)/70)+1)</f>
        <v>Ref</v>
      </c>
      <c r="B8" s="2">
        <v>2050</v>
      </c>
      <c r="C8" t="str">
        <f>INDEX(Controller!$J$2:$J$11,MOD(INT((ROW()-2)/7),10)+1)</f>
        <v>hydrogen_allsect</v>
      </c>
      <c r="D8" s="4">
        <f t="shared" si="1"/>
        <v>0</v>
      </c>
      <c r="E8" t="str">
        <f t="shared" si="0"/>
        <v>Ref|hydrogen_allsect|2050</v>
      </c>
    </row>
    <row r="9" spans="1:5">
      <c r="A9" t="str">
        <f>INDEX(Controller!$H$2:$H$11,INT((ROW()-2)/70)+1)</f>
        <v>Ref</v>
      </c>
      <c r="B9" s="2">
        <v>2022</v>
      </c>
      <c r="C9" t="str">
        <f>INDEX(Controller!$J$2:$J$11,MOD(INT((ROW()-2)/7),10)+1)</f>
        <v>elc_industry</v>
      </c>
      <c r="D9" s="4">
        <v>65.478899999999996</v>
      </c>
      <c r="E9" t="str">
        <f t="shared" si="0"/>
        <v>Ref|elc_industry|2022</v>
      </c>
    </row>
    <row r="10" spans="1:5">
      <c r="A10" t="str">
        <f>INDEX(Controller!$H$2:$H$11,INT((ROW()-2)/70)+1)</f>
        <v>Ref</v>
      </c>
      <c r="B10" s="2">
        <v>2025</v>
      </c>
      <c r="C10" t="str">
        <f>INDEX(Controller!$J$2:$J$11,MOD(INT((ROW()-2)/7),10)+1)</f>
        <v>elc_industry</v>
      </c>
      <c r="D10" s="4">
        <f>D9*2%+D9</f>
        <v>66.788477999999998</v>
      </c>
      <c r="E10" t="str">
        <f t="shared" si="0"/>
        <v>Ref|elc_industry|2025</v>
      </c>
    </row>
    <row r="11" spans="1:5">
      <c r="A11" t="str">
        <f>INDEX(Controller!$H$2:$H$11,INT((ROW()-2)/70)+1)</f>
        <v>Ref</v>
      </c>
      <c r="B11" s="2">
        <v>2030</v>
      </c>
      <c r="C11" t="str">
        <f>INDEX(Controller!$J$2:$J$11,MOD(INT((ROW()-2)/7),10)+1)</f>
        <v>elc_industry</v>
      </c>
      <c r="D11" s="4">
        <f t="shared" ref="D11:D15" si="2">D10*2%+D10</f>
        <v>68.124247560000001</v>
      </c>
      <c r="E11" t="str">
        <f t="shared" si="0"/>
        <v>Ref|elc_industry|2030</v>
      </c>
    </row>
    <row r="12" spans="1:5">
      <c r="A12" t="str">
        <f>INDEX(Controller!$H$2:$H$11,INT((ROW()-2)/70)+1)</f>
        <v>Ref</v>
      </c>
      <c r="B12" s="2">
        <v>2035</v>
      </c>
      <c r="C12" t="str">
        <f>INDEX(Controller!$J$2:$J$11,MOD(INT((ROW()-2)/7),10)+1)</f>
        <v>elc_industry</v>
      </c>
      <c r="D12" s="4">
        <f t="shared" si="2"/>
        <v>69.486732511200003</v>
      </c>
      <c r="E12" t="str">
        <f t="shared" si="0"/>
        <v>Ref|elc_industry|2035</v>
      </c>
    </row>
    <row r="13" spans="1:5">
      <c r="A13" t="str">
        <f>INDEX(Controller!$H$2:$H$11,INT((ROW()-2)/70)+1)</f>
        <v>Ref</v>
      </c>
      <c r="B13" s="2">
        <v>2040</v>
      </c>
      <c r="C13" t="str">
        <f>INDEX(Controller!$J$2:$J$11,MOD(INT((ROW()-2)/7),10)+1)</f>
        <v>elc_industry</v>
      </c>
      <c r="D13" s="4">
        <f t="shared" si="2"/>
        <v>70.876467161424003</v>
      </c>
      <c r="E13" t="str">
        <f t="shared" si="0"/>
        <v>Ref|elc_industry|2040</v>
      </c>
    </row>
    <row r="14" spans="1:5">
      <c r="A14" t="str">
        <f>INDEX(Controller!$H$2:$H$11,INT((ROW()-2)/70)+1)</f>
        <v>Ref</v>
      </c>
      <c r="B14" s="2">
        <v>2045</v>
      </c>
      <c r="C14" t="str">
        <f>INDEX(Controller!$J$2:$J$11,MOD(INT((ROW()-2)/7),10)+1)</f>
        <v>elc_industry</v>
      </c>
      <c r="D14" s="4">
        <f t="shared" si="2"/>
        <v>72.293996504652483</v>
      </c>
      <c r="E14" t="str">
        <f t="shared" si="0"/>
        <v>Ref|elc_industry|2045</v>
      </c>
    </row>
    <row r="15" spans="1:5">
      <c r="A15" t="str">
        <f>INDEX(Controller!$H$2:$H$11,INT((ROW()-2)/70)+1)</f>
        <v>Ref</v>
      </c>
      <c r="B15" s="2">
        <v>2050</v>
      </c>
      <c r="C15" t="str">
        <f>INDEX(Controller!$J$2:$J$11,MOD(INT((ROW()-2)/7),10)+1)</f>
        <v>elc_industry</v>
      </c>
      <c r="D15" s="4">
        <f t="shared" si="2"/>
        <v>73.73987643474554</v>
      </c>
      <c r="E15" t="str">
        <f t="shared" si="0"/>
        <v>Ref|elc_industry|2050</v>
      </c>
    </row>
    <row r="16" spans="1:5">
      <c r="A16" t="str">
        <f>INDEX(Controller!$H$2:$H$11,INT((ROW()-2)/70)+1)</f>
        <v>Ref</v>
      </c>
      <c r="B16" s="2">
        <v>2022</v>
      </c>
      <c r="C16" t="str">
        <f>INDEX(Controller!$J$2:$J$11,MOD(INT((ROW()-2)/7),10)+1)</f>
        <v>elc_buildings</v>
      </c>
      <c r="D16" s="4">
        <v>104.41229999999999</v>
      </c>
      <c r="E16" t="str">
        <f t="shared" si="0"/>
        <v>Ref|elc_buildings|2022</v>
      </c>
    </row>
    <row r="17" spans="1:5">
      <c r="A17" t="str">
        <f>INDEX(Controller!$H$2:$H$11,INT((ROW()-2)/70)+1)</f>
        <v>Ref</v>
      </c>
      <c r="B17" s="2">
        <v>2025</v>
      </c>
      <c r="C17" t="str">
        <f>INDEX(Controller!$J$2:$J$11,MOD(INT((ROW()-2)/7),10)+1)</f>
        <v>elc_buildings</v>
      </c>
      <c r="D17" s="4">
        <f>D16*2%+D16</f>
        <v>106.50054599999999</v>
      </c>
      <c r="E17" t="str">
        <f t="shared" si="0"/>
        <v>Ref|elc_buildings|2025</v>
      </c>
    </row>
    <row r="18" spans="1:5">
      <c r="A18" t="str">
        <f>INDEX(Controller!$H$2:$H$11,INT((ROW()-2)/70)+1)</f>
        <v>Ref</v>
      </c>
      <c r="B18" s="2">
        <v>2030</v>
      </c>
      <c r="C18" t="str">
        <f>INDEX(Controller!$J$2:$J$11,MOD(INT((ROW()-2)/7),10)+1)</f>
        <v>elc_buildings</v>
      </c>
      <c r="D18" s="4">
        <f t="shared" ref="D18:D22" si="3">D17*2%+D17</f>
        <v>108.63055691999999</v>
      </c>
      <c r="E18" t="str">
        <f t="shared" si="0"/>
        <v>Ref|elc_buildings|2030</v>
      </c>
    </row>
    <row r="19" spans="1:5">
      <c r="A19" t="str">
        <f>INDEX(Controller!$H$2:$H$11,INT((ROW()-2)/70)+1)</f>
        <v>Ref</v>
      </c>
      <c r="B19" s="2">
        <v>2035</v>
      </c>
      <c r="C19" t="str">
        <f>INDEX(Controller!$J$2:$J$11,MOD(INT((ROW()-2)/7),10)+1)</f>
        <v>elc_buildings</v>
      </c>
      <c r="D19" s="4">
        <f t="shared" si="3"/>
        <v>110.80316805839999</v>
      </c>
      <c r="E19" t="str">
        <f t="shared" si="0"/>
        <v>Ref|elc_buildings|2035</v>
      </c>
    </row>
    <row r="20" spans="1:5">
      <c r="A20" t="str">
        <f>INDEX(Controller!$H$2:$H$11,INT((ROW()-2)/70)+1)</f>
        <v>Ref</v>
      </c>
      <c r="B20" s="2">
        <v>2040</v>
      </c>
      <c r="C20" t="str">
        <f>INDEX(Controller!$J$2:$J$11,MOD(INT((ROW()-2)/7),10)+1)</f>
        <v>elc_buildings</v>
      </c>
      <c r="D20" s="4">
        <f t="shared" si="3"/>
        <v>113.01923141956799</v>
      </c>
      <c r="E20" t="str">
        <f t="shared" si="0"/>
        <v>Ref|elc_buildings|2040</v>
      </c>
    </row>
    <row r="21" spans="1:5">
      <c r="A21" t="str">
        <f>INDEX(Controller!$H$2:$H$11,INT((ROW()-2)/70)+1)</f>
        <v>Ref</v>
      </c>
      <c r="B21" s="2">
        <v>2045</v>
      </c>
      <c r="C21" t="str">
        <f>INDEX(Controller!$J$2:$J$11,MOD(INT((ROW()-2)/7),10)+1)</f>
        <v>elc_buildings</v>
      </c>
      <c r="D21" s="4">
        <f t="shared" si="3"/>
        <v>115.27961604795935</v>
      </c>
      <c r="E21" t="str">
        <f t="shared" si="0"/>
        <v>Ref|elc_buildings|2045</v>
      </c>
    </row>
    <row r="22" spans="1:5">
      <c r="A22" t="str">
        <f>INDEX(Controller!$H$2:$H$11,INT((ROW()-2)/70)+1)</f>
        <v>Ref</v>
      </c>
      <c r="B22" s="2">
        <v>2050</v>
      </c>
      <c r="C22" t="str">
        <f>INDEX(Controller!$J$2:$J$11,MOD(INT((ROW()-2)/7),10)+1)</f>
        <v>elc_buildings</v>
      </c>
      <c r="D22" s="4">
        <f t="shared" si="3"/>
        <v>117.58520836891854</v>
      </c>
      <c r="E22" t="str">
        <f t="shared" si="0"/>
        <v>Ref|elc_buildings|2050</v>
      </c>
    </row>
    <row r="23" spans="1:5">
      <c r="A23" t="str">
        <f>INDEX(Controller!$H$2:$H$11,INT((ROW()-2)/70)+1)</f>
        <v>Ref</v>
      </c>
      <c r="B23" s="2">
        <v>2022</v>
      </c>
      <c r="C23" t="str">
        <f>INDEX(Controller!$J$2:$J$11,MOD(INT((ROW()-2)/7),10)+1)</f>
        <v>elc_transport</v>
      </c>
      <c r="D23" s="4">
        <v>5.3090999999999999</v>
      </c>
      <c r="E23" t="str">
        <f t="shared" si="0"/>
        <v>Ref|elc_transport|2022</v>
      </c>
    </row>
    <row r="24" spans="1:5">
      <c r="A24" t="str">
        <f>INDEX(Controller!$H$2:$H$11,INT((ROW()-2)/70)+1)</f>
        <v>Ref</v>
      </c>
      <c r="B24" s="2">
        <v>2025</v>
      </c>
      <c r="C24" t="str">
        <f>INDEX(Controller!$J$2:$J$11,MOD(INT((ROW()-2)/7),10)+1)</f>
        <v>elc_transport</v>
      </c>
      <c r="D24" s="4">
        <f>D23*2%+D23</f>
        <v>5.4152819999999995</v>
      </c>
      <c r="E24" t="str">
        <f t="shared" si="0"/>
        <v>Ref|elc_transport|2025</v>
      </c>
    </row>
    <row r="25" spans="1:5">
      <c r="A25" t="str">
        <f>INDEX(Controller!$H$2:$H$11,INT((ROW()-2)/70)+1)</f>
        <v>Ref</v>
      </c>
      <c r="B25" s="2">
        <v>2030</v>
      </c>
      <c r="C25" t="str">
        <f>INDEX(Controller!$J$2:$J$11,MOD(INT((ROW()-2)/7),10)+1)</f>
        <v>elc_transport</v>
      </c>
      <c r="D25" s="4">
        <f t="shared" ref="D25:D29" si="4">D24*2%+D24</f>
        <v>5.5235876399999997</v>
      </c>
      <c r="E25" t="str">
        <f t="shared" si="0"/>
        <v>Ref|elc_transport|2030</v>
      </c>
    </row>
    <row r="26" spans="1:5">
      <c r="A26" t="str">
        <f>INDEX(Controller!$H$2:$H$11,INT((ROW()-2)/70)+1)</f>
        <v>Ref</v>
      </c>
      <c r="B26" s="2">
        <v>2035</v>
      </c>
      <c r="C26" t="str">
        <f>INDEX(Controller!$J$2:$J$11,MOD(INT((ROW()-2)/7),10)+1)</f>
        <v>elc_transport</v>
      </c>
      <c r="D26" s="4">
        <f t="shared" si="4"/>
        <v>5.6340593927999993</v>
      </c>
      <c r="E26" t="str">
        <f t="shared" si="0"/>
        <v>Ref|elc_transport|2035</v>
      </c>
    </row>
    <row r="27" spans="1:5">
      <c r="A27" t="str">
        <f>INDEX(Controller!$H$2:$H$11,INT((ROW()-2)/70)+1)</f>
        <v>Ref</v>
      </c>
      <c r="B27" s="2">
        <v>2040</v>
      </c>
      <c r="C27" t="str">
        <f>INDEX(Controller!$J$2:$J$11,MOD(INT((ROW()-2)/7),10)+1)</f>
        <v>elc_transport</v>
      </c>
      <c r="D27" s="4">
        <f t="shared" si="4"/>
        <v>5.7467405806559997</v>
      </c>
      <c r="E27" t="str">
        <f t="shared" si="0"/>
        <v>Ref|elc_transport|2040</v>
      </c>
    </row>
    <row r="28" spans="1:5">
      <c r="A28" t="str">
        <f>INDEX(Controller!$H$2:$H$11,INT((ROW()-2)/70)+1)</f>
        <v>Ref</v>
      </c>
      <c r="B28" s="2">
        <v>2045</v>
      </c>
      <c r="C28" t="str">
        <f>INDEX(Controller!$J$2:$J$11,MOD(INT((ROW()-2)/7),10)+1)</f>
        <v>elc_transport</v>
      </c>
      <c r="D28" s="4">
        <f t="shared" si="4"/>
        <v>5.8616753922691194</v>
      </c>
      <c r="E28" t="str">
        <f t="shared" si="0"/>
        <v>Ref|elc_transport|2045</v>
      </c>
    </row>
    <row r="29" spans="1:5">
      <c r="A29" t="str">
        <f>INDEX(Controller!$H$2:$H$11,INT((ROW()-2)/70)+1)</f>
        <v>Ref</v>
      </c>
      <c r="B29" s="2">
        <v>2050</v>
      </c>
      <c r="C29" t="str">
        <f>INDEX(Controller!$J$2:$J$11,MOD(INT((ROW()-2)/7),10)+1)</f>
        <v>elc_transport</v>
      </c>
      <c r="D29" s="4">
        <f t="shared" si="4"/>
        <v>5.9789089001145017</v>
      </c>
      <c r="E29" t="str">
        <f t="shared" si="0"/>
        <v>Ref|elc_transport|2050</v>
      </c>
    </row>
    <row r="30" spans="1:5">
      <c r="A30" t="str">
        <f>INDEX(Controller!$H$2:$H$11,INT((ROW()-2)/70)+1)</f>
        <v>Ref</v>
      </c>
      <c r="B30" s="2">
        <v>2022</v>
      </c>
      <c r="C30" t="str">
        <f>INDEX(Controller!$J$2:$J$11,MOD(INT((ROW()-2)/7),10)+1)</f>
        <v>elc_roadtransport</v>
      </c>
      <c r="D30" s="4">
        <v>1.7697000000000287</v>
      </c>
      <c r="E30" t="str">
        <f t="shared" si="0"/>
        <v>Ref|elc_roadtransport|2022</v>
      </c>
    </row>
    <row r="31" spans="1:5">
      <c r="A31" t="str">
        <f>INDEX(Controller!$H$2:$H$11,INT((ROW()-2)/70)+1)</f>
        <v>Ref</v>
      </c>
      <c r="B31" s="2">
        <v>2025</v>
      </c>
      <c r="C31" t="str">
        <f>INDEX(Controller!$J$2:$J$11,MOD(INT((ROW()-2)/7),10)+1)</f>
        <v>elc_roadtransport</v>
      </c>
      <c r="D31" s="4">
        <f>D30*2%+D30</f>
        <v>1.8050940000000293</v>
      </c>
      <c r="E31" t="str">
        <f t="shared" si="0"/>
        <v>Ref|elc_roadtransport|2025</v>
      </c>
    </row>
    <row r="32" spans="1:5">
      <c r="A32" t="str">
        <f>INDEX(Controller!$H$2:$H$11,INT((ROW()-2)/70)+1)</f>
        <v>Ref</v>
      </c>
      <c r="B32" s="2">
        <v>2030</v>
      </c>
      <c r="C32" t="str">
        <f>INDEX(Controller!$J$2:$J$11,MOD(INT((ROW()-2)/7),10)+1)</f>
        <v>elc_roadtransport</v>
      </c>
      <c r="D32" s="4">
        <f t="shared" ref="D32:D36" si="5">D31*2%+D31</f>
        <v>1.8411958800000299</v>
      </c>
      <c r="E32" t="str">
        <f t="shared" si="0"/>
        <v>Ref|elc_roadtransport|2030</v>
      </c>
    </row>
    <row r="33" spans="1:5">
      <c r="A33" t="str">
        <f>INDEX(Controller!$H$2:$H$11,INT((ROW()-2)/70)+1)</f>
        <v>Ref</v>
      </c>
      <c r="B33" s="2">
        <v>2035</v>
      </c>
      <c r="C33" t="str">
        <f>INDEX(Controller!$J$2:$J$11,MOD(INT((ROW()-2)/7),10)+1)</f>
        <v>elc_roadtransport</v>
      </c>
      <c r="D33" s="4">
        <f t="shared" si="5"/>
        <v>1.8780197976000306</v>
      </c>
      <c r="E33" t="str">
        <f t="shared" si="0"/>
        <v>Ref|elc_roadtransport|2035</v>
      </c>
    </row>
    <row r="34" spans="1:5">
      <c r="A34" t="str">
        <f>INDEX(Controller!$H$2:$H$11,INT((ROW()-2)/70)+1)</f>
        <v>Ref</v>
      </c>
      <c r="B34" s="2">
        <v>2040</v>
      </c>
      <c r="C34" t="str">
        <f>INDEX(Controller!$J$2:$J$11,MOD(INT((ROW()-2)/7),10)+1)</f>
        <v>elc_roadtransport</v>
      </c>
      <c r="D34" s="4">
        <f t="shared" si="5"/>
        <v>1.9155801935520311</v>
      </c>
      <c r="E34" t="str">
        <f t="shared" si="0"/>
        <v>Ref|elc_roadtransport|2040</v>
      </c>
    </row>
    <row r="35" spans="1:5">
      <c r="A35" t="str">
        <f>INDEX(Controller!$H$2:$H$11,INT((ROW()-2)/70)+1)</f>
        <v>Ref</v>
      </c>
      <c r="B35" s="2">
        <v>2045</v>
      </c>
      <c r="C35" t="str">
        <f>INDEX(Controller!$J$2:$J$11,MOD(INT((ROW()-2)/7),10)+1)</f>
        <v>elc_roadtransport</v>
      </c>
      <c r="D35" s="4">
        <f t="shared" si="5"/>
        <v>1.9538917974230718</v>
      </c>
      <c r="E35" t="str">
        <f t="shared" si="0"/>
        <v>Ref|elc_roadtransport|2045</v>
      </c>
    </row>
    <row r="36" spans="1:5">
      <c r="A36" t="str">
        <f>INDEX(Controller!$H$2:$H$11,INT((ROW()-2)/70)+1)</f>
        <v>Ref</v>
      </c>
      <c r="B36" s="2">
        <v>2050</v>
      </c>
      <c r="C36" t="str">
        <f>INDEX(Controller!$J$2:$J$11,MOD(INT((ROW()-2)/7),10)+1)</f>
        <v>elc_roadtransport</v>
      </c>
      <c r="D36" s="4">
        <f t="shared" si="5"/>
        <v>1.9929696333715332</v>
      </c>
      <c r="E36" t="str">
        <f t="shared" si="0"/>
        <v>Ref|elc_roadtransport|2050</v>
      </c>
    </row>
    <row r="37" spans="1:5">
      <c r="A37" t="str">
        <f>INDEX(Controller!$H$2:$H$11,INT((ROW()-2)/70)+1)</f>
        <v>Ref</v>
      </c>
      <c r="B37" s="2">
        <v>2022</v>
      </c>
      <c r="C37" t="str">
        <f>INDEX(Controller!$J$2:$J$11,MOD(INT((ROW()-2)/7),10)+1)</f>
        <v>het_industry</v>
      </c>
      <c r="D37" s="4">
        <v>9.7690000000000001</v>
      </c>
      <c r="E37" t="str">
        <f t="shared" si="0"/>
        <v>Ref|het_industry|2022</v>
      </c>
    </row>
    <row r="38" spans="1:5">
      <c r="A38" t="str">
        <f>INDEX(Controller!$H$2:$H$11,INT((ROW()-2)/70)+1)</f>
        <v>Ref</v>
      </c>
      <c r="B38" s="2">
        <v>2025</v>
      </c>
      <c r="C38" t="str">
        <f>INDEX(Controller!$J$2:$J$11,MOD(INT((ROW()-2)/7),10)+1)</f>
        <v>het_industry</v>
      </c>
      <c r="D38" s="4">
        <f>D37*2%+D37</f>
        <v>9.9643800000000002</v>
      </c>
      <c r="E38" t="str">
        <f t="shared" si="0"/>
        <v>Ref|het_industry|2025</v>
      </c>
    </row>
    <row r="39" spans="1:5">
      <c r="A39" t="str">
        <f>INDEX(Controller!$H$2:$H$11,INT((ROW()-2)/70)+1)</f>
        <v>Ref</v>
      </c>
      <c r="B39" s="2">
        <v>2030</v>
      </c>
      <c r="C39" t="str">
        <f>INDEX(Controller!$J$2:$J$11,MOD(INT((ROW()-2)/7),10)+1)</f>
        <v>het_industry</v>
      </c>
      <c r="D39" s="4">
        <f t="shared" ref="D39:D43" si="6">D38*2%+D38</f>
        <v>10.1636676</v>
      </c>
      <c r="E39" t="str">
        <f t="shared" si="0"/>
        <v>Ref|het_industry|2030</v>
      </c>
    </row>
    <row r="40" spans="1:5">
      <c r="A40" t="str">
        <f>INDEX(Controller!$H$2:$H$11,INT((ROW()-2)/70)+1)</f>
        <v>Ref</v>
      </c>
      <c r="B40" s="2">
        <v>2035</v>
      </c>
      <c r="C40" t="str">
        <f>INDEX(Controller!$J$2:$J$11,MOD(INT((ROW()-2)/7),10)+1)</f>
        <v>het_industry</v>
      </c>
      <c r="D40" s="4">
        <f t="shared" si="6"/>
        <v>10.366940952</v>
      </c>
      <c r="E40" t="str">
        <f t="shared" si="0"/>
        <v>Ref|het_industry|2035</v>
      </c>
    </row>
    <row r="41" spans="1:5">
      <c r="A41" t="str">
        <f>INDEX(Controller!$H$2:$H$11,INT((ROW()-2)/70)+1)</f>
        <v>Ref</v>
      </c>
      <c r="B41" s="2">
        <v>2040</v>
      </c>
      <c r="C41" t="str">
        <f>INDEX(Controller!$J$2:$J$11,MOD(INT((ROW()-2)/7),10)+1)</f>
        <v>het_industry</v>
      </c>
      <c r="D41" s="4">
        <f t="shared" si="6"/>
        <v>10.57427977104</v>
      </c>
      <c r="E41" t="str">
        <f t="shared" si="0"/>
        <v>Ref|het_industry|2040</v>
      </c>
    </row>
    <row r="42" spans="1:5">
      <c r="A42" t="str">
        <f>INDEX(Controller!$H$2:$H$11,INT((ROW()-2)/70)+1)</f>
        <v>Ref</v>
      </c>
      <c r="B42" s="2">
        <v>2045</v>
      </c>
      <c r="C42" t="str">
        <f>INDEX(Controller!$J$2:$J$11,MOD(INT((ROW()-2)/7),10)+1)</f>
        <v>het_industry</v>
      </c>
      <c r="D42" s="4">
        <f t="shared" si="6"/>
        <v>10.785765366460801</v>
      </c>
      <c r="E42" t="str">
        <f t="shared" si="0"/>
        <v>Ref|het_industry|2045</v>
      </c>
    </row>
    <row r="43" spans="1:5">
      <c r="A43" t="str">
        <f>INDEX(Controller!$H$2:$H$11,INT((ROW()-2)/70)+1)</f>
        <v>Ref</v>
      </c>
      <c r="B43" s="2">
        <v>2050</v>
      </c>
      <c r="C43" t="str">
        <f>INDEX(Controller!$J$2:$J$11,MOD(INT((ROW()-2)/7),10)+1)</f>
        <v>het_industry</v>
      </c>
      <c r="D43" s="4">
        <f t="shared" si="6"/>
        <v>11.001480673790017</v>
      </c>
      <c r="E43" t="str">
        <f t="shared" si="0"/>
        <v>Ref|het_industry|2050</v>
      </c>
    </row>
    <row r="44" spans="1:5">
      <c r="A44" t="str">
        <f>INDEX(Controller!$H$2:$H$11,INT((ROW()-2)/70)+1)</f>
        <v>Ref</v>
      </c>
      <c r="B44" s="2">
        <v>2022</v>
      </c>
      <c r="C44" t="str">
        <f>INDEX(Controller!$J$2:$J$11,MOD(INT((ROW()-2)/7),10)+1)</f>
        <v>het_buildings</v>
      </c>
      <c r="D44" s="4">
        <v>55.512999999999998</v>
      </c>
      <c r="E44" t="str">
        <f t="shared" si="0"/>
        <v>Ref|het_buildings|2022</v>
      </c>
    </row>
    <row r="45" spans="1:5">
      <c r="A45" t="str">
        <f>INDEX(Controller!$H$2:$H$11,INT((ROW()-2)/70)+1)</f>
        <v>Ref</v>
      </c>
      <c r="B45" s="2">
        <v>2025</v>
      </c>
      <c r="C45" t="str">
        <f>INDEX(Controller!$J$2:$J$11,MOD(INT((ROW()-2)/7),10)+1)</f>
        <v>het_buildings</v>
      </c>
      <c r="D45" s="4">
        <f>D44</f>
        <v>55.512999999999998</v>
      </c>
      <c r="E45" t="str">
        <f t="shared" si="0"/>
        <v>Ref|het_buildings|2025</v>
      </c>
    </row>
    <row r="46" spans="1:5">
      <c r="A46" t="str">
        <f>INDEX(Controller!$H$2:$H$11,INT((ROW()-2)/70)+1)</f>
        <v>Ref</v>
      </c>
      <c r="B46" s="2">
        <v>2030</v>
      </c>
      <c r="C46" t="str">
        <f>INDEX(Controller!$J$2:$J$11,MOD(INT((ROW()-2)/7),10)+1)</f>
        <v>het_buildings</v>
      </c>
      <c r="D46" s="4">
        <f t="shared" ref="D46:D50" si="7">D45</f>
        <v>55.512999999999998</v>
      </c>
      <c r="E46" t="str">
        <f t="shared" si="0"/>
        <v>Ref|het_buildings|2030</v>
      </c>
    </row>
    <row r="47" spans="1:5">
      <c r="A47" t="str">
        <f>INDEX(Controller!$H$2:$H$11,INT((ROW()-2)/70)+1)</f>
        <v>Ref</v>
      </c>
      <c r="B47" s="2">
        <v>2035</v>
      </c>
      <c r="C47" t="str">
        <f>INDEX(Controller!$J$2:$J$11,MOD(INT((ROW()-2)/7),10)+1)</f>
        <v>het_buildings</v>
      </c>
      <c r="D47" s="4">
        <f t="shared" si="7"/>
        <v>55.512999999999998</v>
      </c>
      <c r="E47" t="str">
        <f t="shared" si="0"/>
        <v>Ref|het_buildings|2035</v>
      </c>
    </row>
    <row r="48" spans="1:5">
      <c r="A48" t="str">
        <f>INDEX(Controller!$H$2:$H$11,INT((ROW()-2)/70)+1)</f>
        <v>Ref</v>
      </c>
      <c r="B48" s="2">
        <v>2040</v>
      </c>
      <c r="C48" t="str">
        <f>INDEX(Controller!$J$2:$J$11,MOD(INT((ROW()-2)/7),10)+1)</f>
        <v>het_buildings</v>
      </c>
      <c r="D48" s="4">
        <f t="shared" si="7"/>
        <v>55.512999999999998</v>
      </c>
      <c r="E48" t="str">
        <f t="shared" si="0"/>
        <v>Ref|het_buildings|2040</v>
      </c>
    </row>
    <row r="49" spans="1:5">
      <c r="A49" t="str">
        <f>INDEX(Controller!$H$2:$H$11,INT((ROW()-2)/70)+1)</f>
        <v>Ref</v>
      </c>
      <c r="B49" s="2">
        <v>2045</v>
      </c>
      <c r="C49" t="str">
        <f>INDEX(Controller!$J$2:$J$11,MOD(INT((ROW()-2)/7),10)+1)</f>
        <v>het_buildings</v>
      </c>
      <c r="D49" s="4">
        <f t="shared" si="7"/>
        <v>55.512999999999998</v>
      </c>
      <c r="E49" t="str">
        <f t="shared" si="0"/>
        <v>Ref|het_buildings|2045</v>
      </c>
    </row>
    <row r="50" spans="1:5">
      <c r="A50" t="str">
        <f>INDEX(Controller!$H$2:$H$11,INT((ROW()-2)/70)+1)</f>
        <v>Ref</v>
      </c>
      <c r="B50" s="2">
        <v>2050</v>
      </c>
      <c r="C50" t="str">
        <f>INDEX(Controller!$J$2:$J$11,MOD(INT((ROW()-2)/7),10)+1)</f>
        <v>het_buildings</v>
      </c>
      <c r="D50" s="4">
        <f t="shared" si="7"/>
        <v>55.512999999999998</v>
      </c>
      <c r="E50" t="str">
        <f t="shared" si="0"/>
        <v>Ref|het_buildings|2050</v>
      </c>
    </row>
    <row r="51" spans="1:5">
      <c r="A51" t="str">
        <f>INDEX(Controller!$H$2:$H$11,INT((ROW()-2)/70)+1)</f>
        <v>Ref</v>
      </c>
      <c r="B51" s="2">
        <v>2022</v>
      </c>
      <c r="C51" t="str">
        <f>INDEX(Controller!$J$2:$J$11,MOD(INT((ROW()-2)/7),10)+1)</f>
        <v>co2net</v>
      </c>
      <c r="D51" s="4">
        <v>0</v>
      </c>
      <c r="E51" t="str">
        <f t="shared" si="0"/>
        <v>Ref|co2net|2022</v>
      </c>
    </row>
    <row r="52" spans="1:5">
      <c r="A52" t="str">
        <f>INDEX(Controller!$H$2:$H$11,INT((ROW()-2)/70)+1)</f>
        <v>Ref</v>
      </c>
      <c r="B52" s="2">
        <v>2025</v>
      </c>
      <c r="C52" t="str">
        <f>INDEX(Controller!$J$2:$J$11,MOD(INT((ROW()-2)/7),10)+1)</f>
        <v>co2net</v>
      </c>
      <c r="D52" s="26">
        <f>_xlfn.FORECAST.LINEAR(B52,CHOOSE({1,2},D51,D57),CHOOSE({1,2},B51,B57))</f>
        <v>0</v>
      </c>
      <c r="E52" t="str">
        <f t="shared" si="0"/>
        <v>Ref|co2net|2025</v>
      </c>
    </row>
    <row r="53" spans="1:5">
      <c r="A53" t="str">
        <f>INDEX(Controller!$H$2:$H$11,INT((ROW()-2)/70)+1)</f>
        <v>Ref</v>
      </c>
      <c r="B53" s="2">
        <v>2030</v>
      </c>
      <c r="C53" t="str">
        <f>INDEX(Controller!$J$2:$J$11,MOD(INT((ROW()-2)/7),10)+1)</f>
        <v>co2net</v>
      </c>
      <c r="D53" s="26">
        <f>_xlfn.FORECAST.LINEAR(B53,CHOOSE({1,2},D51,D57),CHOOSE({1,2},B51,B57))</f>
        <v>0</v>
      </c>
      <c r="E53" t="str">
        <f t="shared" si="0"/>
        <v>Ref|co2net|2030</v>
      </c>
    </row>
    <row r="54" spans="1:5">
      <c r="A54" t="str">
        <f>INDEX(Controller!$H$2:$H$11,INT((ROW()-2)/70)+1)</f>
        <v>Ref</v>
      </c>
      <c r="B54" s="2">
        <v>2035</v>
      </c>
      <c r="C54" t="str">
        <f>INDEX(Controller!$J$2:$J$11,MOD(INT((ROW()-2)/7),10)+1)</f>
        <v>co2net</v>
      </c>
      <c r="D54" s="26">
        <f>_xlfn.FORECAST.LINEAR(B54,CHOOSE({1,2},D51,D57),CHOOSE({1,2},B51,B57))</f>
        <v>0</v>
      </c>
      <c r="E54" t="str">
        <f t="shared" si="0"/>
        <v>Ref|co2net|2035</v>
      </c>
    </row>
    <row r="55" spans="1:5">
      <c r="A55" t="str">
        <f>INDEX(Controller!$H$2:$H$11,INT((ROW()-2)/70)+1)</f>
        <v>Ref</v>
      </c>
      <c r="B55" s="2">
        <v>2040</v>
      </c>
      <c r="C55" t="str">
        <f>INDEX(Controller!$J$2:$J$11,MOD(INT((ROW()-2)/7),10)+1)</f>
        <v>co2net</v>
      </c>
      <c r="D55" s="26">
        <f>_xlfn.FORECAST.LINEAR(B55,CHOOSE({1,2},D51,D57),CHOOSE({1,2},B51,B57))</f>
        <v>0</v>
      </c>
      <c r="E55" t="str">
        <f t="shared" si="0"/>
        <v>Ref|co2net|2040</v>
      </c>
    </row>
    <row r="56" spans="1:5">
      <c r="A56" t="str">
        <f>INDEX(Controller!$H$2:$H$11,INT((ROW()-2)/70)+1)</f>
        <v>Ref</v>
      </c>
      <c r="B56" s="2">
        <v>2045</v>
      </c>
      <c r="C56" t="str">
        <f>INDEX(Controller!$J$2:$J$11,MOD(INT((ROW()-2)/7),10)+1)</f>
        <v>co2net</v>
      </c>
      <c r="D56" s="26">
        <f>_xlfn.FORECAST.LINEAR(B56,CHOOSE({1,2},D51,D57),CHOOSE({1,2},B51,B57))</f>
        <v>0</v>
      </c>
      <c r="E56" t="str">
        <f t="shared" si="0"/>
        <v>Ref|co2net|2045</v>
      </c>
    </row>
    <row r="57" spans="1:5">
      <c r="A57" t="str">
        <f>INDEX(Controller!$H$2:$H$11,INT((ROW()-2)/70)+1)</f>
        <v>Ref</v>
      </c>
      <c r="B57" s="2">
        <v>2050</v>
      </c>
      <c r="C57" t="str">
        <f>INDEX(Controller!$J$2:$J$11,MOD(INT((ROW()-2)/7),10)+1)</f>
        <v>co2net</v>
      </c>
      <c r="D57" s="4">
        <v>0</v>
      </c>
      <c r="E57" t="str">
        <f t="shared" si="0"/>
        <v>Ref|co2net|2050</v>
      </c>
    </row>
    <row r="58" spans="1:5">
      <c r="A58" t="str">
        <f>INDEX(Controller!$H$2:$H$11,INT((ROW()-2)/70)+1)</f>
        <v>Ref</v>
      </c>
      <c r="B58" s="2">
        <v>2022</v>
      </c>
      <c r="C58" t="str">
        <f>INDEX(Controller!$J$2:$J$11,MOD(INT((ROW()-2)/7),10)+1)</f>
        <v>Variable 9</v>
      </c>
      <c r="D58" s="4"/>
      <c r="E58" t="str">
        <f t="shared" si="0"/>
        <v>Ref|Variable 9|2022</v>
      </c>
    </row>
    <row r="59" spans="1:5">
      <c r="A59" t="str">
        <f>INDEX(Controller!$H$2:$H$11,INT((ROW()-2)/70)+1)</f>
        <v>Ref</v>
      </c>
      <c r="B59" s="2">
        <v>2025</v>
      </c>
      <c r="C59" t="str">
        <f>INDEX(Controller!$J$2:$J$11,MOD(INT((ROW()-2)/7),10)+1)</f>
        <v>Variable 9</v>
      </c>
      <c r="D59" s="4"/>
      <c r="E59" t="str">
        <f t="shared" si="0"/>
        <v>Ref|Variable 9|2025</v>
      </c>
    </row>
    <row r="60" spans="1:5">
      <c r="A60" t="str">
        <f>INDEX(Controller!$H$2:$H$11,INT((ROW()-2)/70)+1)</f>
        <v>Ref</v>
      </c>
      <c r="B60" s="2">
        <v>2030</v>
      </c>
      <c r="C60" t="str">
        <f>INDEX(Controller!$J$2:$J$11,MOD(INT((ROW()-2)/7),10)+1)</f>
        <v>Variable 9</v>
      </c>
      <c r="D60" s="4"/>
      <c r="E60" t="str">
        <f t="shared" si="0"/>
        <v>Ref|Variable 9|2030</v>
      </c>
    </row>
    <row r="61" spans="1:5">
      <c r="A61" t="str">
        <f>INDEX(Controller!$H$2:$H$11,INT((ROW()-2)/70)+1)</f>
        <v>Ref</v>
      </c>
      <c r="B61" s="2">
        <v>2035</v>
      </c>
      <c r="C61" t="str">
        <f>INDEX(Controller!$J$2:$J$11,MOD(INT((ROW()-2)/7),10)+1)</f>
        <v>Variable 9</v>
      </c>
      <c r="D61" s="4"/>
      <c r="E61" t="str">
        <f t="shared" si="0"/>
        <v>Ref|Variable 9|2035</v>
      </c>
    </row>
    <row r="62" spans="1:5">
      <c r="A62" t="str">
        <f>INDEX(Controller!$H$2:$H$11,INT((ROW()-2)/70)+1)</f>
        <v>Ref</v>
      </c>
      <c r="B62" s="2">
        <v>2040</v>
      </c>
      <c r="C62" t="str">
        <f>INDEX(Controller!$J$2:$J$11,MOD(INT((ROW()-2)/7),10)+1)</f>
        <v>Variable 9</v>
      </c>
      <c r="D62" s="4"/>
      <c r="E62" t="str">
        <f t="shared" si="0"/>
        <v>Ref|Variable 9|2040</v>
      </c>
    </row>
    <row r="63" spans="1:5">
      <c r="A63" t="str">
        <f>INDEX(Controller!$H$2:$H$11,INT((ROW()-2)/70)+1)</f>
        <v>Ref</v>
      </c>
      <c r="B63" s="2">
        <v>2045</v>
      </c>
      <c r="C63" t="str">
        <f>INDEX(Controller!$J$2:$J$11,MOD(INT((ROW()-2)/7),10)+1)</f>
        <v>Variable 9</v>
      </c>
      <c r="D63" s="4"/>
      <c r="E63" t="str">
        <f t="shared" si="0"/>
        <v>Ref|Variable 9|2045</v>
      </c>
    </row>
    <row r="64" spans="1:5">
      <c r="A64" t="str">
        <f>INDEX(Controller!$H$2:$H$11,INT((ROW()-2)/70)+1)</f>
        <v>Ref</v>
      </c>
      <c r="B64" s="2">
        <v>2050</v>
      </c>
      <c r="C64" t="str">
        <f>INDEX(Controller!$J$2:$J$11,MOD(INT((ROW()-2)/7),10)+1)</f>
        <v>Variable 9</v>
      </c>
      <c r="D64" s="4"/>
      <c r="E64" t="str">
        <f t="shared" si="0"/>
        <v>Ref|Variable 9|2050</v>
      </c>
    </row>
    <row r="65" spans="1:5">
      <c r="A65" t="str">
        <f>INDEX(Controller!$H$2:$H$11,INT((ROW()-2)/70)+1)</f>
        <v>Ref</v>
      </c>
      <c r="B65" s="2">
        <v>2022</v>
      </c>
      <c r="C65" t="str">
        <f>INDEX(Controller!$J$2:$J$11,MOD(INT((ROW()-2)/7),10)+1)</f>
        <v>Variable 10</v>
      </c>
      <c r="D65" s="4"/>
      <c r="E65" t="str">
        <f t="shared" si="0"/>
        <v>Ref|Variable 10|2022</v>
      </c>
    </row>
    <row r="66" spans="1:5">
      <c r="A66" t="str">
        <f>INDEX(Controller!$H$2:$H$11,INT((ROW()-2)/70)+1)</f>
        <v>Ref</v>
      </c>
      <c r="B66" s="2">
        <v>2025</v>
      </c>
      <c r="C66" t="str">
        <f>INDEX(Controller!$J$2:$J$11,MOD(INT((ROW()-2)/7),10)+1)</f>
        <v>Variable 10</v>
      </c>
      <c r="D66" s="4"/>
      <c r="E66" t="str">
        <f t="shared" ref="E66:E129" si="8">A66&amp;"|"&amp;C66&amp;"|"&amp;B66</f>
        <v>Ref|Variable 10|2025</v>
      </c>
    </row>
    <row r="67" spans="1:5">
      <c r="A67" t="str">
        <f>INDEX(Controller!$H$2:$H$11,INT((ROW()-2)/70)+1)</f>
        <v>Ref</v>
      </c>
      <c r="B67" s="2">
        <v>2030</v>
      </c>
      <c r="C67" t="str">
        <f>INDEX(Controller!$J$2:$J$11,MOD(INT((ROW()-2)/7),10)+1)</f>
        <v>Variable 10</v>
      </c>
      <c r="D67" s="4"/>
      <c r="E67" t="str">
        <f t="shared" si="8"/>
        <v>Ref|Variable 10|2030</v>
      </c>
    </row>
    <row r="68" spans="1:5">
      <c r="A68" t="str">
        <f>INDEX(Controller!$H$2:$H$11,INT((ROW()-2)/70)+1)</f>
        <v>Ref</v>
      </c>
      <c r="B68" s="2">
        <v>2035</v>
      </c>
      <c r="C68" t="str">
        <f>INDEX(Controller!$J$2:$J$11,MOD(INT((ROW()-2)/7),10)+1)</f>
        <v>Variable 10</v>
      </c>
      <c r="D68" s="4"/>
      <c r="E68" t="str">
        <f t="shared" si="8"/>
        <v>Ref|Variable 10|2035</v>
      </c>
    </row>
    <row r="69" spans="1:5">
      <c r="A69" t="str">
        <f>INDEX(Controller!$H$2:$H$11,INT((ROW()-2)/70)+1)</f>
        <v>Ref</v>
      </c>
      <c r="B69" s="2">
        <v>2040</v>
      </c>
      <c r="C69" t="str">
        <f>INDEX(Controller!$J$2:$J$11,MOD(INT((ROW()-2)/7),10)+1)</f>
        <v>Variable 10</v>
      </c>
      <c r="D69" s="4"/>
      <c r="E69" t="str">
        <f t="shared" si="8"/>
        <v>Ref|Variable 10|2040</v>
      </c>
    </row>
    <row r="70" spans="1:5">
      <c r="A70" t="str">
        <f>INDEX(Controller!$H$2:$H$11,INT((ROW()-2)/70)+1)</f>
        <v>Ref</v>
      </c>
      <c r="B70" s="2">
        <v>2045</v>
      </c>
      <c r="C70" t="str">
        <f>INDEX(Controller!$J$2:$J$11,MOD(INT((ROW()-2)/7),10)+1)</f>
        <v>Variable 10</v>
      </c>
      <c r="D70" s="4"/>
      <c r="E70" t="str">
        <f t="shared" si="8"/>
        <v>Ref|Variable 10|2045</v>
      </c>
    </row>
    <row r="71" spans="1:5">
      <c r="A71" t="str">
        <f>INDEX(Controller!$H$2:$H$11,INT((ROW()-2)/70)+1)</f>
        <v>Ref</v>
      </c>
      <c r="B71" s="2">
        <v>2050</v>
      </c>
      <c r="C71" t="str">
        <f>INDEX(Controller!$J$2:$J$11,MOD(INT((ROW()-2)/7),10)+1)</f>
        <v>Variable 10</v>
      </c>
      <c r="D71" s="4"/>
      <c r="E71" t="str">
        <f t="shared" si="8"/>
        <v>Ref|Variable 10|2050</v>
      </c>
    </row>
    <row r="72" spans="1:5">
      <c r="A72" t="str">
        <f>INDEX(Controller!$H$2:$H$11,INT((ROW()-2)/70)+1)</f>
        <v>Mild</v>
      </c>
      <c r="B72" s="2">
        <v>2022</v>
      </c>
      <c r="C72" t="str">
        <f>INDEX(Controller!$J$2:$J$11,MOD(INT((ROW()-2)/7),10)+1)</f>
        <v>hydrogen_allsect</v>
      </c>
      <c r="D72" s="4">
        <v>0</v>
      </c>
      <c r="E72" t="str">
        <f t="shared" si="8"/>
        <v>Mild|hydrogen_allsect|2022</v>
      </c>
    </row>
    <row r="73" spans="1:5">
      <c r="A73" t="str">
        <f>INDEX(Controller!$H$2:$H$11,INT((ROW()-2)/70)+1)</f>
        <v>Mild</v>
      </c>
      <c r="B73" s="2">
        <v>2025</v>
      </c>
      <c r="C73" t="str">
        <f>INDEX(Controller!$J$2:$J$11,MOD(INT((ROW()-2)/7),10)+1)</f>
        <v>hydrogen_allsect</v>
      </c>
      <c r="D73" s="4">
        <f>D72*2%+D72</f>
        <v>0</v>
      </c>
      <c r="E73" t="str">
        <f t="shared" si="8"/>
        <v>Mild|hydrogen_allsect|2025</v>
      </c>
    </row>
    <row r="74" spans="1:5">
      <c r="A74" t="str">
        <f>INDEX(Controller!$H$2:$H$11,INT((ROW()-2)/70)+1)</f>
        <v>Mild</v>
      </c>
      <c r="B74" s="2">
        <v>2030</v>
      </c>
      <c r="C74" t="str">
        <f>INDEX(Controller!$J$2:$J$11,MOD(INT((ROW()-2)/7),10)+1)</f>
        <v>hydrogen_allsect</v>
      </c>
      <c r="D74" s="4">
        <f t="shared" ref="D74:D78" si="9">D73*2%+D73</f>
        <v>0</v>
      </c>
      <c r="E74" t="str">
        <f t="shared" si="8"/>
        <v>Mild|hydrogen_allsect|2030</v>
      </c>
    </row>
    <row r="75" spans="1:5">
      <c r="A75" t="str">
        <f>INDEX(Controller!$H$2:$H$11,INT((ROW()-2)/70)+1)</f>
        <v>Mild</v>
      </c>
      <c r="B75" s="2">
        <v>2035</v>
      </c>
      <c r="C75" t="str">
        <f>INDEX(Controller!$J$2:$J$11,MOD(INT((ROW()-2)/7),10)+1)</f>
        <v>hydrogen_allsect</v>
      </c>
      <c r="D75" s="4">
        <f t="shared" si="9"/>
        <v>0</v>
      </c>
      <c r="E75" t="str">
        <f t="shared" si="8"/>
        <v>Mild|hydrogen_allsect|2035</v>
      </c>
    </row>
    <row r="76" spans="1:5">
      <c r="A76" t="str">
        <f>INDEX(Controller!$H$2:$H$11,INT((ROW()-2)/70)+1)</f>
        <v>Mild</v>
      </c>
      <c r="B76" s="2">
        <v>2040</v>
      </c>
      <c r="C76" t="str">
        <f>INDEX(Controller!$J$2:$J$11,MOD(INT((ROW()-2)/7),10)+1)</f>
        <v>hydrogen_allsect</v>
      </c>
      <c r="D76" s="4">
        <f t="shared" si="9"/>
        <v>0</v>
      </c>
      <c r="E76" t="str">
        <f t="shared" si="8"/>
        <v>Mild|hydrogen_allsect|2040</v>
      </c>
    </row>
    <row r="77" spans="1:5">
      <c r="A77" t="str">
        <f>INDEX(Controller!$H$2:$H$11,INT((ROW()-2)/70)+1)</f>
        <v>Mild</v>
      </c>
      <c r="B77" s="2">
        <v>2045</v>
      </c>
      <c r="C77" t="str">
        <f>INDEX(Controller!$J$2:$J$11,MOD(INT((ROW()-2)/7),10)+1)</f>
        <v>hydrogen_allsect</v>
      </c>
      <c r="D77" s="4">
        <f t="shared" si="9"/>
        <v>0</v>
      </c>
      <c r="E77" t="str">
        <f t="shared" si="8"/>
        <v>Mild|hydrogen_allsect|2045</v>
      </c>
    </row>
    <row r="78" spans="1:5">
      <c r="A78" t="str">
        <f>INDEX(Controller!$H$2:$H$11,INT((ROW()-2)/70)+1)</f>
        <v>Mild</v>
      </c>
      <c r="B78" s="2">
        <v>2050</v>
      </c>
      <c r="C78" t="str">
        <f>INDEX(Controller!$J$2:$J$11,MOD(INT((ROW()-2)/7),10)+1)</f>
        <v>hydrogen_allsect</v>
      </c>
      <c r="D78" s="4">
        <f t="shared" si="9"/>
        <v>0</v>
      </c>
      <c r="E78" t="str">
        <f t="shared" si="8"/>
        <v>Mild|hydrogen_allsect|2050</v>
      </c>
    </row>
    <row r="79" spans="1:5">
      <c r="A79" t="str">
        <f>INDEX(Controller!$H$2:$H$11,INT((ROW()-2)/70)+1)</f>
        <v>Mild</v>
      </c>
      <c r="B79" s="2">
        <v>2022</v>
      </c>
      <c r="C79" t="str">
        <f>INDEX(Controller!$J$2:$J$11,MOD(INT((ROW()-2)/7),10)+1)</f>
        <v>elc_industry</v>
      </c>
      <c r="D79" s="4">
        <v>65.478899999999996</v>
      </c>
      <c r="E79" t="str">
        <f t="shared" si="8"/>
        <v>Mild|elc_industry|2022</v>
      </c>
    </row>
    <row r="80" spans="1:5">
      <c r="A80" t="str">
        <f>INDEX(Controller!$H$2:$H$11,INT((ROW()-2)/70)+1)</f>
        <v>Mild</v>
      </c>
      <c r="B80" s="2">
        <v>2025</v>
      </c>
      <c r="C80" t="str">
        <f>INDEX(Controller!$J$2:$J$11,MOD(INT((ROW()-2)/7),10)+1)</f>
        <v>elc_industry</v>
      </c>
      <c r="D80" s="4">
        <f>D79*5%+D79</f>
        <v>68.752844999999994</v>
      </c>
      <c r="E80" t="str">
        <f t="shared" si="8"/>
        <v>Mild|elc_industry|2025</v>
      </c>
    </row>
    <row r="81" spans="1:5">
      <c r="A81" t="str">
        <f>INDEX(Controller!$H$2:$H$11,INT((ROW()-2)/70)+1)</f>
        <v>Mild</v>
      </c>
      <c r="B81" s="2">
        <v>2030</v>
      </c>
      <c r="C81" t="str">
        <f>INDEX(Controller!$J$2:$J$11,MOD(INT((ROW()-2)/7),10)+1)</f>
        <v>elc_industry</v>
      </c>
      <c r="D81" s="4">
        <f t="shared" ref="D81:D85" si="10">D80*5%+D80</f>
        <v>72.19048724999999</v>
      </c>
      <c r="E81" t="str">
        <f t="shared" si="8"/>
        <v>Mild|elc_industry|2030</v>
      </c>
    </row>
    <row r="82" spans="1:5">
      <c r="A82" t="str">
        <f>INDEX(Controller!$H$2:$H$11,INT((ROW()-2)/70)+1)</f>
        <v>Mild</v>
      </c>
      <c r="B82" s="2">
        <v>2035</v>
      </c>
      <c r="C82" t="str">
        <f>INDEX(Controller!$J$2:$J$11,MOD(INT((ROW()-2)/7),10)+1)</f>
        <v>elc_industry</v>
      </c>
      <c r="D82" s="4">
        <f t="shared" si="10"/>
        <v>75.800011612499986</v>
      </c>
      <c r="E82" t="str">
        <f t="shared" si="8"/>
        <v>Mild|elc_industry|2035</v>
      </c>
    </row>
    <row r="83" spans="1:5">
      <c r="A83" t="str">
        <f>INDEX(Controller!$H$2:$H$11,INT((ROW()-2)/70)+1)</f>
        <v>Mild</v>
      </c>
      <c r="B83" s="2">
        <v>2040</v>
      </c>
      <c r="C83" t="str">
        <f>INDEX(Controller!$J$2:$J$11,MOD(INT((ROW()-2)/7),10)+1)</f>
        <v>elc_industry</v>
      </c>
      <c r="D83" s="4">
        <f t="shared" si="10"/>
        <v>79.590012193124991</v>
      </c>
      <c r="E83" t="str">
        <f t="shared" si="8"/>
        <v>Mild|elc_industry|2040</v>
      </c>
    </row>
    <row r="84" spans="1:5">
      <c r="A84" t="str">
        <f>INDEX(Controller!$H$2:$H$11,INT((ROW()-2)/70)+1)</f>
        <v>Mild</v>
      </c>
      <c r="B84" s="2">
        <v>2045</v>
      </c>
      <c r="C84" t="str">
        <f>INDEX(Controller!$J$2:$J$11,MOD(INT((ROW()-2)/7),10)+1)</f>
        <v>elc_industry</v>
      </c>
      <c r="D84" s="4">
        <f t="shared" si="10"/>
        <v>83.569512802781247</v>
      </c>
      <c r="E84" t="str">
        <f t="shared" si="8"/>
        <v>Mild|elc_industry|2045</v>
      </c>
    </row>
    <row r="85" spans="1:5">
      <c r="A85" t="str">
        <f>INDEX(Controller!$H$2:$H$11,INT((ROW()-2)/70)+1)</f>
        <v>Mild</v>
      </c>
      <c r="B85" s="2">
        <v>2050</v>
      </c>
      <c r="C85" t="str">
        <f>INDEX(Controller!$J$2:$J$11,MOD(INT((ROW()-2)/7),10)+1)</f>
        <v>elc_industry</v>
      </c>
      <c r="D85" s="4">
        <f t="shared" si="10"/>
        <v>87.747988442920303</v>
      </c>
      <c r="E85" t="str">
        <f t="shared" si="8"/>
        <v>Mild|elc_industry|2050</v>
      </c>
    </row>
    <row r="86" spans="1:5">
      <c r="A86" t="str">
        <f>INDEX(Controller!$H$2:$H$11,INT((ROW()-2)/70)+1)</f>
        <v>Mild</v>
      </c>
      <c r="B86" s="2">
        <v>2022</v>
      </c>
      <c r="C86" t="str">
        <f>INDEX(Controller!$J$2:$J$11,MOD(INT((ROW()-2)/7),10)+1)</f>
        <v>elc_buildings</v>
      </c>
      <c r="D86" s="4">
        <v>104.41229999999999</v>
      </c>
      <c r="E86" t="str">
        <f t="shared" si="8"/>
        <v>Mild|elc_buildings|2022</v>
      </c>
    </row>
    <row r="87" spans="1:5">
      <c r="A87" t="str">
        <f>INDEX(Controller!$H$2:$H$11,INT((ROW()-2)/70)+1)</f>
        <v>Mild</v>
      </c>
      <c r="B87" s="2">
        <v>2025</v>
      </c>
      <c r="C87" t="str">
        <f>INDEX(Controller!$J$2:$J$11,MOD(INT((ROW()-2)/7),10)+1)</f>
        <v>elc_buildings</v>
      </c>
      <c r="D87" s="4">
        <f>D86*5%+D86</f>
        <v>109.63291499999998</v>
      </c>
      <c r="E87" t="str">
        <f t="shared" si="8"/>
        <v>Mild|elc_buildings|2025</v>
      </c>
    </row>
    <row r="88" spans="1:5">
      <c r="A88" t="str">
        <f>INDEX(Controller!$H$2:$H$11,INT((ROW()-2)/70)+1)</f>
        <v>Mild</v>
      </c>
      <c r="B88" s="2">
        <v>2030</v>
      </c>
      <c r="C88" t="str">
        <f>INDEX(Controller!$J$2:$J$11,MOD(INT((ROW()-2)/7),10)+1)</f>
        <v>elc_buildings</v>
      </c>
      <c r="D88" s="4">
        <f t="shared" ref="D88:D92" si="11">D87*5%+D87</f>
        <v>115.11456074999998</v>
      </c>
      <c r="E88" t="str">
        <f t="shared" si="8"/>
        <v>Mild|elc_buildings|2030</v>
      </c>
    </row>
    <row r="89" spans="1:5">
      <c r="A89" t="str">
        <f>INDEX(Controller!$H$2:$H$11,INT((ROW()-2)/70)+1)</f>
        <v>Mild</v>
      </c>
      <c r="B89" s="2">
        <v>2035</v>
      </c>
      <c r="C89" t="str">
        <f>INDEX(Controller!$J$2:$J$11,MOD(INT((ROW()-2)/7),10)+1)</f>
        <v>elc_buildings</v>
      </c>
      <c r="D89" s="4">
        <f t="shared" si="11"/>
        <v>120.87028878749999</v>
      </c>
      <c r="E89" t="str">
        <f t="shared" si="8"/>
        <v>Mild|elc_buildings|2035</v>
      </c>
    </row>
    <row r="90" spans="1:5">
      <c r="A90" t="str">
        <f>INDEX(Controller!$H$2:$H$11,INT((ROW()-2)/70)+1)</f>
        <v>Mild</v>
      </c>
      <c r="B90" s="2">
        <v>2040</v>
      </c>
      <c r="C90" t="str">
        <f>INDEX(Controller!$J$2:$J$11,MOD(INT((ROW()-2)/7),10)+1)</f>
        <v>elc_buildings</v>
      </c>
      <c r="D90" s="4">
        <f t="shared" si="11"/>
        <v>126.91380322687499</v>
      </c>
      <c r="E90" t="str">
        <f t="shared" si="8"/>
        <v>Mild|elc_buildings|2040</v>
      </c>
    </row>
    <row r="91" spans="1:5">
      <c r="A91" t="str">
        <f>INDEX(Controller!$H$2:$H$11,INT((ROW()-2)/70)+1)</f>
        <v>Mild</v>
      </c>
      <c r="B91" s="2">
        <v>2045</v>
      </c>
      <c r="C91" t="str">
        <f>INDEX(Controller!$J$2:$J$11,MOD(INT((ROW()-2)/7),10)+1)</f>
        <v>elc_buildings</v>
      </c>
      <c r="D91" s="4">
        <f t="shared" si="11"/>
        <v>133.25949338821874</v>
      </c>
      <c r="E91" t="str">
        <f t="shared" si="8"/>
        <v>Mild|elc_buildings|2045</v>
      </c>
    </row>
    <row r="92" spans="1:5">
      <c r="A92" t="str">
        <f>INDEX(Controller!$H$2:$H$11,INT((ROW()-2)/70)+1)</f>
        <v>Mild</v>
      </c>
      <c r="B92" s="2">
        <v>2050</v>
      </c>
      <c r="C92" t="str">
        <f>INDEX(Controller!$J$2:$J$11,MOD(INT((ROW()-2)/7),10)+1)</f>
        <v>elc_buildings</v>
      </c>
      <c r="D92" s="4">
        <f t="shared" si="11"/>
        <v>139.92246805762969</v>
      </c>
      <c r="E92" t="str">
        <f t="shared" si="8"/>
        <v>Mild|elc_buildings|2050</v>
      </c>
    </row>
    <row r="93" spans="1:5">
      <c r="A93" t="str">
        <f>INDEX(Controller!$H$2:$H$11,INT((ROW()-2)/70)+1)</f>
        <v>Mild</v>
      </c>
      <c r="B93" s="2">
        <v>2022</v>
      </c>
      <c r="C93" t="str">
        <f>INDEX(Controller!$J$2:$J$11,MOD(INT((ROW()-2)/7),10)+1)</f>
        <v>elc_transport</v>
      </c>
      <c r="D93" s="4">
        <v>5.3090999999999999</v>
      </c>
      <c r="E93" t="str">
        <f t="shared" si="8"/>
        <v>Mild|elc_transport|2022</v>
      </c>
    </row>
    <row r="94" spans="1:5">
      <c r="A94" t="str">
        <f>INDEX(Controller!$H$2:$H$11,INT((ROW()-2)/70)+1)</f>
        <v>Mild</v>
      </c>
      <c r="B94" s="2">
        <v>2025</v>
      </c>
      <c r="C94" t="str">
        <f>INDEX(Controller!$J$2:$J$11,MOD(INT((ROW()-2)/7),10)+1)</f>
        <v>elc_transport</v>
      </c>
      <c r="D94" s="4">
        <f>D93*5%+D93</f>
        <v>5.5745550000000001</v>
      </c>
      <c r="E94" t="str">
        <f t="shared" si="8"/>
        <v>Mild|elc_transport|2025</v>
      </c>
    </row>
    <row r="95" spans="1:5">
      <c r="A95" t="str">
        <f>INDEX(Controller!$H$2:$H$11,INT((ROW()-2)/70)+1)</f>
        <v>Mild</v>
      </c>
      <c r="B95" s="2">
        <v>2030</v>
      </c>
      <c r="C95" t="str">
        <f>INDEX(Controller!$J$2:$J$11,MOD(INT((ROW()-2)/7),10)+1)</f>
        <v>elc_transport</v>
      </c>
      <c r="D95" s="4">
        <f t="shared" ref="D95:D99" si="12">D94*5%+D94</f>
        <v>5.85328275</v>
      </c>
      <c r="E95" t="str">
        <f t="shared" si="8"/>
        <v>Mild|elc_transport|2030</v>
      </c>
    </row>
    <row r="96" spans="1:5">
      <c r="A96" t="str">
        <f>INDEX(Controller!$H$2:$H$11,INT((ROW()-2)/70)+1)</f>
        <v>Mild</v>
      </c>
      <c r="B96" s="2">
        <v>2035</v>
      </c>
      <c r="C96" t="str">
        <f>INDEX(Controller!$J$2:$J$11,MOD(INT((ROW()-2)/7),10)+1)</f>
        <v>elc_transport</v>
      </c>
      <c r="D96" s="4">
        <f t="shared" si="12"/>
        <v>6.1459468875000001</v>
      </c>
      <c r="E96" t="str">
        <f t="shared" si="8"/>
        <v>Mild|elc_transport|2035</v>
      </c>
    </row>
    <row r="97" spans="1:5">
      <c r="A97" t="str">
        <f>INDEX(Controller!$H$2:$H$11,INT((ROW()-2)/70)+1)</f>
        <v>Mild</v>
      </c>
      <c r="B97" s="2">
        <v>2040</v>
      </c>
      <c r="C97" t="str">
        <f>INDEX(Controller!$J$2:$J$11,MOD(INT((ROW()-2)/7),10)+1)</f>
        <v>elc_transport</v>
      </c>
      <c r="D97" s="4">
        <f t="shared" si="12"/>
        <v>6.4532442318749998</v>
      </c>
      <c r="E97" t="str">
        <f t="shared" si="8"/>
        <v>Mild|elc_transport|2040</v>
      </c>
    </row>
    <row r="98" spans="1:5">
      <c r="A98" t="str">
        <f>INDEX(Controller!$H$2:$H$11,INT((ROW()-2)/70)+1)</f>
        <v>Mild</v>
      </c>
      <c r="B98" s="2">
        <v>2045</v>
      </c>
      <c r="C98" t="str">
        <f>INDEX(Controller!$J$2:$J$11,MOD(INT((ROW()-2)/7),10)+1)</f>
        <v>elc_transport</v>
      </c>
      <c r="D98" s="4">
        <f t="shared" si="12"/>
        <v>6.7759064434687497</v>
      </c>
      <c r="E98" t="str">
        <f t="shared" si="8"/>
        <v>Mild|elc_transport|2045</v>
      </c>
    </row>
    <row r="99" spans="1:5">
      <c r="A99" t="str">
        <f>INDEX(Controller!$H$2:$H$11,INT((ROW()-2)/70)+1)</f>
        <v>Mild</v>
      </c>
      <c r="B99" s="2">
        <v>2050</v>
      </c>
      <c r="C99" t="str">
        <f>INDEX(Controller!$J$2:$J$11,MOD(INT((ROW()-2)/7),10)+1)</f>
        <v>elc_transport</v>
      </c>
      <c r="D99" s="4">
        <f t="shared" si="12"/>
        <v>7.1147017656421871</v>
      </c>
      <c r="E99" t="str">
        <f t="shared" si="8"/>
        <v>Mild|elc_transport|2050</v>
      </c>
    </row>
    <row r="100" spans="1:5">
      <c r="A100" t="str">
        <f>INDEX(Controller!$H$2:$H$11,INT((ROW()-2)/70)+1)</f>
        <v>Mild</v>
      </c>
      <c r="B100" s="2">
        <v>2022</v>
      </c>
      <c r="C100" t="str">
        <f>INDEX(Controller!$J$2:$J$11,MOD(INT((ROW()-2)/7),10)+1)</f>
        <v>elc_roadtransport</v>
      </c>
      <c r="D100" s="4">
        <v>1.7697000000000287</v>
      </c>
      <c r="E100" t="str">
        <f t="shared" si="8"/>
        <v>Mild|elc_roadtransport|2022</v>
      </c>
    </row>
    <row r="101" spans="1:5">
      <c r="A101" t="str">
        <f>INDEX(Controller!$H$2:$H$11,INT((ROW()-2)/70)+1)</f>
        <v>Mild</v>
      </c>
      <c r="B101" s="2">
        <v>2025</v>
      </c>
      <c r="C101" t="str">
        <f>INDEX(Controller!$J$2:$J$11,MOD(INT((ROW()-2)/7),10)+1)</f>
        <v>elc_roadtransport</v>
      </c>
      <c r="D101" s="4">
        <f>D100*5%+D100</f>
        <v>1.8581850000000302</v>
      </c>
      <c r="E101" t="str">
        <f t="shared" si="8"/>
        <v>Mild|elc_roadtransport|2025</v>
      </c>
    </row>
    <row r="102" spans="1:5">
      <c r="A102" t="str">
        <f>INDEX(Controller!$H$2:$H$11,INT((ROW()-2)/70)+1)</f>
        <v>Mild</v>
      </c>
      <c r="B102" s="2">
        <v>2030</v>
      </c>
      <c r="C102" t="str">
        <f>INDEX(Controller!$J$2:$J$11,MOD(INT((ROW()-2)/7),10)+1)</f>
        <v>elc_roadtransport</v>
      </c>
      <c r="D102" s="4">
        <f t="shared" ref="D102:D106" si="13">D101*5%+D101</f>
        <v>1.9510942500000317</v>
      </c>
      <c r="E102" t="str">
        <f t="shared" si="8"/>
        <v>Mild|elc_roadtransport|2030</v>
      </c>
    </row>
    <row r="103" spans="1:5">
      <c r="A103" t="str">
        <f>INDEX(Controller!$H$2:$H$11,INT((ROW()-2)/70)+1)</f>
        <v>Mild</v>
      </c>
      <c r="B103" s="2">
        <v>2035</v>
      </c>
      <c r="C103" t="str">
        <f>INDEX(Controller!$J$2:$J$11,MOD(INT((ROW()-2)/7),10)+1)</f>
        <v>elc_roadtransport</v>
      </c>
      <c r="D103" s="4">
        <f t="shared" si="13"/>
        <v>2.0486489625000335</v>
      </c>
      <c r="E103" t="str">
        <f t="shared" si="8"/>
        <v>Mild|elc_roadtransport|2035</v>
      </c>
    </row>
    <row r="104" spans="1:5">
      <c r="A104" t="str">
        <f>INDEX(Controller!$H$2:$H$11,INT((ROW()-2)/70)+1)</f>
        <v>Mild</v>
      </c>
      <c r="B104" s="2">
        <v>2040</v>
      </c>
      <c r="C104" t="str">
        <f>INDEX(Controller!$J$2:$J$11,MOD(INT((ROW()-2)/7),10)+1)</f>
        <v>elc_roadtransport</v>
      </c>
      <c r="D104" s="4">
        <f t="shared" si="13"/>
        <v>2.1510814106250353</v>
      </c>
      <c r="E104" t="str">
        <f t="shared" si="8"/>
        <v>Mild|elc_roadtransport|2040</v>
      </c>
    </row>
    <row r="105" spans="1:5">
      <c r="A105" t="str">
        <f>INDEX(Controller!$H$2:$H$11,INT((ROW()-2)/70)+1)</f>
        <v>Mild</v>
      </c>
      <c r="B105" s="2">
        <v>2045</v>
      </c>
      <c r="C105" t="str">
        <f>INDEX(Controller!$J$2:$J$11,MOD(INT((ROW()-2)/7),10)+1)</f>
        <v>elc_roadtransport</v>
      </c>
      <c r="D105" s="4">
        <f t="shared" si="13"/>
        <v>2.2586354811562872</v>
      </c>
      <c r="E105" t="str">
        <f t="shared" si="8"/>
        <v>Mild|elc_roadtransport|2045</v>
      </c>
    </row>
    <row r="106" spans="1:5">
      <c r="A106" t="str">
        <f>INDEX(Controller!$H$2:$H$11,INT((ROW()-2)/70)+1)</f>
        <v>Mild</v>
      </c>
      <c r="B106" s="2">
        <v>2050</v>
      </c>
      <c r="C106" t="str">
        <f>INDEX(Controller!$J$2:$J$11,MOD(INT((ROW()-2)/7),10)+1)</f>
        <v>elc_roadtransport</v>
      </c>
      <c r="D106" s="4">
        <f t="shared" si="13"/>
        <v>2.3715672552141016</v>
      </c>
      <c r="E106" t="str">
        <f t="shared" si="8"/>
        <v>Mild|elc_roadtransport|2050</v>
      </c>
    </row>
    <row r="107" spans="1:5">
      <c r="A107" t="str">
        <f>INDEX(Controller!$H$2:$H$11,INT((ROW()-2)/70)+1)</f>
        <v>Mild</v>
      </c>
      <c r="B107" s="2">
        <v>2022</v>
      </c>
      <c r="C107" t="str">
        <f>INDEX(Controller!$J$2:$J$11,MOD(INT((ROW()-2)/7),10)+1)</f>
        <v>het_industry</v>
      </c>
      <c r="D107" s="4">
        <v>9.7690000000000001</v>
      </c>
      <c r="E107" t="str">
        <f t="shared" si="8"/>
        <v>Mild|het_industry|2022</v>
      </c>
    </row>
    <row r="108" spans="1:5">
      <c r="A108" t="str">
        <f>INDEX(Controller!$H$2:$H$11,INT((ROW()-2)/70)+1)</f>
        <v>Mild</v>
      </c>
      <c r="B108" s="2">
        <v>2025</v>
      </c>
      <c r="C108" t="str">
        <f>INDEX(Controller!$J$2:$J$11,MOD(INT((ROW()-2)/7),10)+1)</f>
        <v>het_industry</v>
      </c>
      <c r="D108" s="4">
        <f>D107*5%+D107</f>
        <v>10.25745</v>
      </c>
      <c r="E108" t="str">
        <f t="shared" si="8"/>
        <v>Mild|het_industry|2025</v>
      </c>
    </row>
    <row r="109" spans="1:5">
      <c r="A109" t="str">
        <f>INDEX(Controller!$H$2:$H$11,INT((ROW()-2)/70)+1)</f>
        <v>Mild</v>
      </c>
      <c r="B109" s="2">
        <v>2030</v>
      </c>
      <c r="C109" t="str">
        <f>INDEX(Controller!$J$2:$J$11,MOD(INT((ROW()-2)/7),10)+1)</f>
        <v>het_industry</v>
      </c>
      <c r="D109" s="4">
        <f t="shared" ref="D109:D113" si="14">D108*5%+D108</f>
        <v>10.770322500000001</v>
      </c>
      <c r="E109" t="str">
        <f t="shared" si="8"/>
        <v>Mild|het_industry|2030</v>
      </c>
    </row>
    <row r="110" spans="1:5">
      <c r="A110" t="str">
        <f>INDEX(Controller!$H$2:$H$11,INT((ROW()-2)/70)+1)</f>
        <v>Mild</v>
      </c>
      <c r="B110" s="2">
        <v>2035</v>
      </c>
      <c r="C110" t="str">
        <f>INDEX(Controller!$J$2:$J$11,MOD(INT((ROW()-2)/7),10)+1)</f>
        <v>het_industry</v>
      </c>
      <c r="D110" s="4">
        <f t="shared" si="14"/>
        <v>11.308838625</v>
      </c>
      <c r="E110" t="str">
        <f t="shared" si="8"/>
        <v>Mild|het_industry|2035</v>
      </c>
    </row>
    <row r="111" spans="1:5">
      <c r="A111" t="str">
        <f>INDEX(Controller!$H$2:$H$11,INT((ROW()-2)/70)+1)</f>
        <v>Mild</v>
      </c>
      <c r="B111" s="2">
        <v>2040</v>
      </c>
      <c r="C111" t="str">
        <f>INDEX(Controller!$J$2:$J$11,MOD(INT((ROW()-2)/7),10)+1)</f>
        <v>het_industry</v>
      </c>
      <c r="D111" s="4">
        <f t="shared" si="14"/>
        <v>11.87428055625</v>
      </c>
      <c r="E111" t="str">
        <f t="shared" si="8"/>
        <v>Mild|het_industry|2040</v>
      </c>
    </row>
    <row r="112" spans="1:5">
      <c r="A112" t="str">
        <f>INDEX(Controller!$H$2:$H$11,INT((ROW()-2)/70)+1)</f>
        <v>Mild</v>
      </c>
      <c r="B112" s="2">
        <v>2045</v>
      </c>
      <c r="C112" t="str">
        <f>INDEX(Controller!$J$2:$J$11,MOD(INT((ROW()-2)/7),10)+1)</f>
        <v>het_industry</v>
      </c>
      <c r="D112" s="4">
        <f t="shared" si="14"/>
        <v>12.467994584062499</v>
      </c>
      <c r="E112" t="str">
        <f t="shared" si="8"/>
        <v>Mild|het_industry|2045</v>
      </c>
    </row>
    <row r="113" spans="1:5">
      <c r="A113" t="str">
        <f>INDEX(Controller!$H$2:$H$11,INT((ROW()-2)/70)+1)</f>
        <v>Mild</v>
      </c>
      <c r="B113" s="2">
        <v>2050</v>
      </c>
      <c r="C113" t="str">
        <f>INDEX(Controller!$J$2:$J$11,MOD(INT((ROW()-2)/7),10)+1)</f>
        <v>het_industry</v>
      </c>
      <c r="D113" s="4">
        <f t="shared" si="14"/>
        <v>13.091394313265624</v>
      </c>
      <c r="E113" t="str">
        <f t="shared" si="8"/>
        <v>Mild|het_industry|2050</v>
      </c>
    </row>
    <row r="114" spans="1:5">
      <c r="A114" t="str">
        <f>INDEX(Controller!$H$2:$H$11,INT((ROW()-2)/70)+1)</f>
        <v>Mild</v>
      </c>
      <c r="B114" s="2">
        <v>2022</v>
      </c>
      <c r="C114" t="str">
        <f>INDEX(Controller!$J$2:$J$11,MOD(INT((ROW()-2)/7),10)+1)</f>
        <v>het_buildings</v>
      </c>
      <c r="D114" s="4">
        <v>55.512999999999998</v>
      </c>
      <c r="E114" t="str">
        <f t="shared" si="8"/>
        <v>Mild|het_buildings|2022</v>
      </c>
    </row>
    <row r="115" spans="1:5">
      <c r="A115" t="str">
        <f>INDEX(Controller!$H$2:$H$11,INT((ROW()-2)/70)+1)</f>
        <v>Mild</v>
      </c>
      <c r="B115" s="2">
        <v>2025</v>
      </c>
      <c r="C115" t="str">
        <f>INDEX(Controller!$J$2:$J$11,MOD(INT((ROW()-2)/7),10)+1)</f>
        <v>het_buildings</v>
      </c>
      <c r="D115" s="4">
        <f>D114</f>
        <v>55.512999999999998</v>
      </c>
      <c r="E115" t="str">
        <f t="shared" si="8"/>
        <v>Mild|het_buildings|2025</v>
      </c>
    </row>
    <row r="116" spans="1:5">
      <c r="A116" t="str">
        <f>INDEX(Controller!$H$2:$H$11,INT((ROW()-2)/70)+1)</f>
        <v>Mild</v>
      </c>
      <c r="B116" s="2">
        <v>2030</v>
      </c>
      <c r="C116" t="str">
        <f>INDEX(Controller!$J$2:$J$11,MOD(INT((ROW()-2)/7),10)+1)</f>
        <v>het_buildings</v>
      </c>
      <c r="D116" s="4">
        <f t="shared" ref="D116:D120" si="15">D115</f>
        <v>55.512999999999998</v>
      </c>
      <c r="E116" t="str">
        <f t="shared" si="8"/>
        <v>Mild|het_buildings|2030</v>
      </c>
    </row>
    <row r="117" spans="1:5">
      <c r="A117" t="str">
        <f>INDEX(Controller!$H$2:$H$11,INT((ROW()-2)/70)+1)</f>
        <v>Mild</v>
      </c>
      <c r="B117" s="2">
        <v>2035</v>
      </c>
      <c r="C117" t="str">
        <f>INDEX(Controller!$J$2:$J$11,MOD(INT((ROW()-2)/7),10)+1)</f>
        <v>het_buildings</v>
      </c>
      <c r="D117" s="4">
        <f t="shared" si="15"/>
        <v>55.512999999999998</v>
      </c>
      <c r="E117" t="str">
        <f t="shared" si="8"/>
        <v>Mild|het_buildings|2035</v>
      </c>
    </row>
    <row r="118" spans="1:5">
      <c r="A118" t="str">
        <f>INDEX(Controller!$H$2:$H$11,INT((ROW()-2)/70)+1)</f>
        <v>Mild</v>
      </c>
      <c r="B118" s="2">
        <v>2040</v>
      </c>
      <c r="C118" t="str">
        <f>INDEX(Controller!$J$2:$J$11,MOD(INT((ROW()-2)/7),10)+1)</f>
        <v>het_buildings</v>
      </c>
      <c r="D118" s="4">
        <f t="shared" si="15"/>
        <v>55.512999999999998</v>
      </c>
      <c r="E118" t="str">
        <f t="shared" si="8"/>
        <v>Mild|het_buildings|2040</v>
      </c>
    </row>
    <row r="119" spans="1:5">
      <c r="A119" t="str">
        <f>INDEX(Controller!$H$2:$H$11,INT((ROW()-2)/70)+1)</f>
        <v>Mild</v>
      </c>
      <c r="B119" s="2">
        <v>2045</v>
      </c>
      <c r="C119" t="str">
        <f>INDEX(Controller!$J$2:$J$11,MOD(INT((ROW()-2)/7),10)+1)</f>
        <v>het_buildings</v>
      </c>
      <c r="D119" s="4">
        <f t="shared" si="15"/>
        <v>55.512999999999998</v>
      </c>
      <c r="E119" t="str">
        <f t="shared" si="8"/>
        <v>Mild|het_buildings|2045</v>
      </c>
    </row>
    <row r="120" spans="1:5">
      <c r="A120" t="str">
        <f>INDEX(Controller!$H$2:$H$11,INT((ROW()-2)/70)+1)</f>
        <v>Mild</v>
      </c>
      <c r="B120" s="2">
        <v>2050</v>
      </c>
      <c r="C120" t="str">
        <f>INDEX(Controller!$J$2:$J$11,MOD(INT((ROW()-2)/7),10)+1)</f>
        <v>het_buildings</v>
      </c>
      <c r="D120" s="4">
        <f t="shared" si="15"/>
        <v>55.512999999999998</v>
      </c>
      <c r="E120" t="str">
        <f t="shared" si="8"/>
        <v>Mild|het_buildings|2050</v>
      </c>
    </row>
    <row r="121" spans="1:5">
      <c r="A121" t="str">
        <f>INDEX(Controller!$H$2:$H$11,INT((ROW()-2)/70)+1)</f>
        <v>Mild</v>
      </c>
      <c r="B121" s="2">
        <v>2022</v>
      </c>
      <c r="C121" t="str">
        <f>INDEX(Controller!$J$2:$J$11,MOD(INT((ROW()-2)/7),10)+1)</f>
        <v>co2net</v>
      </c>
      <c r="D121" s="4">
        <v>0</v>
      </c>
      <c r="E121" t="str">
        <f t="shared" si="8"/>
        <v>Mild|co2net|2022</v>
      </c>
    </row>
    <row r="122" spans="1:5">
      <c r="A122" t="str">
        <f>INDEX(Controller!$H$2:$H$11,INT((ROW()-2)/70)+1)</f>
        <v>Mild</v>
      </c>
      <c r="B122" s="2">
        <v>2025</v>
      </c>
      <c r="C122" t="str">
        <f>INDEX(Controller!$J$2:$J$11,MOD(INT((ROW()-2)/7),10)+1)</f>
        <v>co2net</v>
      </c>
      <c r="D122" s="26">
        <f>_xlfn.FORECAST.LINEAR(B122,CHOOSE({1,2},D121,D127),CHOOSE({1,2},B121,B127))</f>
        <v>16.071428571427532</v>
      </c>
      <c r="E122" t="str">
        <f t="shared" si="8"/>
        <v>Mild|co2net|2025</v>
      </c>
    </row>
    <row r="123" spans="1:5">
      <c r="A123" t="str">
        <f>INDEX(Controller!$H$2:$H$11,INT((ROW()-2)/70)+1)</f>
        <v>Mild</v>
      </c>
      <c r="B123" s="2">
        <v>2030</v>
      </c>
      <c r="C123" t="str">
        <f>INDEX(Controller!$J$2:$J$11,MOD(INT((ROW()-2)/7),10)+1)</f>
        <v>co2net</v>
      </c>
      <c r="D123" s="26">
        <f>_xlfn.FORECAST.LINEAR(B123,CHOOSE({1,2},D121,D127),CHOOSE({1,2},B121,B127))</f>
        <v>42.857142857143117</v>
      </c>
      <c r="E123" t="str">
        <f t="shared" si="8"/>
        <v>Mild|co2net|2030</v>
      </c>
    </row>
    <row r="124" spans="1:5">
      <c r="A124" t="str">
        <f>INDEX(Controller!$H$2:$H$11,INT((ROW()-2)/70)+1)</f>
        <v>Mild</v>
      </c>
      <c r="B124" s="2">
        <v>2035</v>
      </c>
      <c r="C124" t="str">
        <f>INDEX(Controller!$J$2:$J$11,MOD(INT((ROW()-2)/7),10)+1)</f>
        <v>co2net</v>
      </c>
      <c r="D124" s="26">
        <f>_xlfn.FORECAST.LINEAR(B124,CHOOSE({1,2},D121,D127),CHOOSE({1,2},B121,B127))</f>
        <v>69.642857142856883</v>
      </c>
      <c r="E124" t="str">
        <f t="shared" si="8"/>
        <v>Mild|co2net|2035</v>
      </c>
    </row>
    <row r="125" spans="1:5">
      <c r="A125" t="str">
        <f>INDEX(Controller!$H$2:$H$11,INT((ROW()-2)/70)+1)</f>
        <v>Mild</v>
      </c>
      <c r="B125" s="2">
        <v>2040</v>
      </c>
      <c r="C125" t="str">
        <f>INDEX(Controller!$J$2:$J$11,MOD(INT((ROW()-2)/7),10)+1)</f>
        <v>co2net</v>
      </c>
      <c r="D125" s="26">
        <f>_xlfn.FORECAST.LINEAR(B125,CHOOSE({1,2},D121,D127),CHOOSE({1,2},B121,B127))</f>
        <v>96.428571428570649</v>
      </c>
      <c r="E125" t="str">
        <f t="shared" si="8"/>
        <v>Mild|co2net|2040</v>
      </c>
    </row>
    <row r="126" spans="1:5">
      <c r="A126" t="str">
        <f>INDEX(Controller!$H$2:$H$11,INT((ROW()-2)/70)+1)</f>
        <v>Mild</v>
      </c>
      <c r="B126" s="2">
        <v>2045</v>
      </c>
      <c r="C126" t="str">
        <f>INDEX(Controller!$J$2:$J$11,MOD(INT((ROW()-2)/7),10)+1)</f>
        <v>co2net</v>
      </c>
      <c r="D126" s="26">
        <f>_xlfn.FORECAST.LINEAR(B126,CHOOSE({1,2},D121,D127),CHOOSE({1,2},B121,B127))</f>
        <v>123.21428571428442</v>
      </c>
      <c r="E126" t="str">
        <f t="shared" si="8"/>
        <v>Mild|co2net|2045</v>
      </c>
    </row>
    <row r="127" spans="1:5">
      <c r="A127" t="str">
        <f>INDEX(Controller!$H$2:$H$11,INT((ROW()-2)/70)+1)</f>
        <v>Mild</v>
      </c>
      <c r="B127" s="2">
        <v>2050</v>
      </c>
      <c r="C127" t="str">
        <f>INDEX(Controller!$J$2:$J$11,MOD(INT((ROW()-2)/7),10)+1)</f>
        <v>co2net</v>
      </c>
      <c r="D127" s="4">
        <v>150</v>
      </c>
      <c r="E127" t="str">
        <f t="shared" si="8"/>
        <v>Mild|co2net|2050</v>
      </c>
    </row>
    <row r="128" spans="1:5">
      <c r="A128" t="str">
        <f>INDEX(Controller!$H$2:$H$11,INT((ROW()-2)/70)+1)</f>
        <v>Mild</v>
      </c>
      <c r="B128" s="2">
        <v>2022</v>
      </c>
      <c r="C128" t="str">
        <f>INDEX(Controller!$J$2:$J$11,MOD(INT((ROW()-2)/7),10)+1)</f>
        <v>Variable 9</v>
      </c>
      <c r="D128" s="4"/>
      <c r="E128" t="str">
        <f t="shared" si="8"/>
        <v>Mild|Variable 9|2022</v>
      </c>
    </row>
    <row r="129" spans="1:5">
      <c r="A129" t="str">
        <f>INDEX(Controller!$H$2:$H$11,INT((ROW()-2)/70)+1)</f>
        <v>Mild</v>
      </c>
      <c r="B129" s="2">
        <v>2025</v>
      </c>
      <c r="C129" t="str">
        <f>INDEX(Controller!$J$2:$J$11,MOD(INT((ROW()-2)/7),10)+1)</f>
        <v>Variable 9</v>
      </c>
      <c r="D129" s="4"/>
      <c r="E129" t="str">
        <f t="shared" si="8"/>
        <v>Mild|Variable 9|2025</v>
      </c>
    </row>
    <row r="130" spans="1:5">
      <c r="A130" t="str">
        <f>INDEX(Controller!$H$2:$H$11,INT((ROW()-2)/70)+1)</f>
        <v>Mild</v>
      </c>
      <c r="B130" s="2">
        <v>2030</v>
      </c>
      <c r="C130" t="str">
        <f>INDEX(Controller!$J$2:$J$11,MOD(INT((ROW()-2)/7),10)+1)</f>
        <v>Variable 9</v>
      </c>
      <c r="D130" s="4"/>
      <c r="E130" t="str">
        <f t="shared" ref="E130:E193" si="16">A130&amp;"|"&amp;C130&amp;"|"&amp;B130</f>
        <v>Mild|Variable 9|2030</v>
      </c>
    </row>
    <row r="131" spans="1:5">
      <c r="A131" t="str">
        <f>INDEX(Controller!$H$2:$H$11,INT((ROW()-2)/70)+1)</f>
        <v>Mild</v>
      </c>
      <c r="B131" s="2">
        <v>2035</v>
      </c>
      <c r="C131" t="str">
        <f>INDEX(Controller!$J$2:$J$11,MOD(INT((ROW()-2)/7),10)+1)</f>
        <v>Variable 9</v>
      </c>
      <c r="D131" s="4"/>
      <c r="E131" t="str">
        <f t="shared" si="16"/>
        <v>Mild|Variable 9|2035</v>
      </c>
    </row>
    <row r="132" spans="1:5">
      <c r="A132" t="str">
        <f>INDEX(Controller!$H$2:$H$11,INT((ROW()-2)/70)+1)</f>
        <v>Mild</v>
      </c>
      <c r="B132" s="2">
        <v>2040</v>
      </c>
      <c r="C132" t="str">
        <f>INDEX(Controller!$J$2:$J$11,MOD(INT((ROW()-2)/7),10)+1)</f>
        <v>Variable 9</v>
      </c>
      <c r="D132" s="4"/>
      <c r="E132" t="str">
        <f t="shared" si="16"/>
        <v>Mild|Variable 9|2040</v>
      </c>
    </row>
    <row r="133" spans="1:5">
      <c r="A133" t="str">
        <f>INDEX(Controller!$H$2:$H$11,INT((ROW()-2)/70)+1)</f>
        <v>Mild</v>
      </c>
      <c r="B133" s="2">
        <v>2045</v>
      </c>
      <c r="C133" t="str">
        <f>INDEX(Controller!$J$2:$J$11,MOD(INT((ROW()-2)/7),10)+1)</f>
        <v>Variable 9</v>
      </c>
      <c r="D133" s="4"/>
      <c r="E133" t="str">
        <f t="shared" si="16"/>
        <v>Mild|Variable 9|2045</v>
      </c>
    </row>
    <row r="134" spans="1:5">
      <c r="A134" t="str">
        <f>INDEX(Controller!$H$2:$H$11,INT((ROW()-2)/70)+1)</f>
        <v>Mild</v>
      </c>
      <c r="B134" s="2">
        <v>2050</v>
      </c>
      <c r="C134" t="str">
        <f>INDEX(Controller!$J$2:$J$11,MOD(INT((ROW()-2)/7),10)+1)</f>
        <v>Variable 9</v>
      </c>
      <c r="D134" s="4"/>
      <c r="E134" t="str">
        <f t="shared" si="16"/>
        <v>Mild|Variable 9|2050</v>
      </c>
    </row>
    <row r="135" spans="1:5">
      <c r="A135" t="str">
        <f>INDEX(Controller!$H$2:$H$11,INT((ROW()-2)/70)+1)</f>
        <v>Mild</v>
      </c>
      <c r="B135" s="2">
        <v>2022</v>
      </c>
      <c r="C135" t="str">
        <f>INDEX(Controller!$J$2:$J$11,MOD(INT((ROW()-2)/7),10)+1)</f>
        <v>Variable 10</v>
      </c>
      <c r="D135" s="4"/>
      <c r="E135" t="str">
        <f t="shared" si="16"/>
        <v>Mild|Variable 10|2022</v>
      </c>
    </row>
    <row r="136" spans="1:5">
      <c r="A136" t="str">
        <f>INDEX(Controller!$H$2:$H$11,INT((ROW()-2)/70)+1)</f>
        <v>Mild</v>
      </c>
      <c r="B136" s="2">
        <v>2025</v>
      </c>
      <c r="C136" t="str">
        <f>INDEX(Controller!$J$2:$J$11,MOD(INT((ROW()-2)/7),10)+1)</f>
        <v>Variable 10</v>
      </c>
      <c r="D136" s="4"/>
      <c r="E136" t="str">
        <f t="shared" si="16"/>
        <v>Mild|Variable 10|2025</v>
      </c>
    </row>
    <row r="137" spans="1:5">
      <c r="A137" t="str">
        <f>INDEX(Controller!$H$2:$H$11,INT((ROW()-2)/70)+1)</f>
        <v>Mild</v>
      </c>
      <c r="B137" s="2">
        <v>2030</v>
      </c>
      <c r="C137" t="str">
        <f>INDEX(Controller!$J$2:$J$11,MOD(INT((ROW()-2)/7),10)+1)</f>
        <v>Variable 10</v>
      </c>
      <c r="D137" s="4"/>
      <c r="E137" t="str">
        <f t="shared" si="16"/>
        <v>Mild|Variable 10|2030</v>
      </c>
    </row>
    <row r="138" spans="1:5">
      <c r="A138" t="str">
        <f>INDEX(Controller!$H$2:$H$11,INT((ROW()-2)/70)+1)</f>
        <v>Mild</v>
      </c>
      <c r="B138" s="2">
        <v>2035</v>
      </c>
      <c r="C138" t="str">
        <f>INDEX(Controller!$J$2:$J$11,MOD(INT((ROW()-2)/7),10)+1)</f>
        <v>Variable 10</v>
      </c>
      <c r="D138" s="4"/>
      <c r="E138" t="str">
        <f t="shared" si="16"/>
        <v>Mild|Variable 10|2035</v>
      </c>
    </row>
    <row r="139" spans="1:5">
      <c r="A139" t="str">
        <f>INDEX(Controller!$H$2:$H$11,INT((ROW()-2)/70)+1)</f>
        <v>Mild</v>
      </c>
      <c r="B139" s="2">
        <v>2040</v>
      </c>
      <c r="C139" t="str">
        <f>INDEX(Controller!$J$2:$J$11,MOD(INT((ROW()-2)/7),10)+1)</f>
        <v>Variable 10</v>
      </c>
      <c r="D139" s="4"/>
      <c r="E139" t="str">
        <f t="shared" si="16"/>
        <v>Mild|Variable 10|2040</v>
      </c>
    </row>
    <row r="140" spans="1:5">
      <c r="A140" t="str">
        <f>INDEX(Controller!$H$2:$H$11,INT((ROW()-2)/70)+1)</f>
        <v>Mild</v>
      </c>
      <c r="B140" s="2">
        <v>2045</v>
      </c>
      <c r="C140" t="str">
        <f>INDEX(Controller!$J$2:$J$11,MOD(INT((ROW()-2)/7),10)+1)</f>
        <v>Variable 10</v>
      </c>
      <c r="D140" s="4"/>
      <c r="E140" t="str">
        <f t="shared" si="16"/>
        <v>Mild|Variable 10|2045</v>
      </c>
    </row>
    <row r="141" spans="1:5">
      <c r="A141" t="str">
        <f>INDEX(Controller!$H$2:$H$11,INT((ROW()-2)/70)+1)</f>
        <v>Mild</v>
      </c>
      <c r="B141" s="2">
        <v>2050</v>
      </c>
      <c r="C141" t="str">
        <f>INDEX(Controller!$J$2:$J$11,MOD(INT((ROW()-2)/7),10)+1)</f>
        <v>Variable 10</v>
      </c>
      <c r="D141" s="4"/>
      <c r="E141" t="str">
        <f t="shared" si="16"/>
        <v>Mild|Variable 10|2050</v>
      </c>
    </row>
    <row r="142" spans="1:5">
      <c r="A142" t="str">
        <f>INDEX(Controller!$H$2:$H$11,INT((ROW()-2)/70)+1)</f>
        <v>Mitig</v>
      </c>
      <c r="B142" s="2">
        <v>2022</v>
      </c>
      <c r="C142" t="str">
        <f>INDEX(Controller!$J$2:$J$11,MOD(INT((ROW()-2)/7),10)+1)</f>
        <v>hydrogen_allsect</v>
      </c>
      <c r="D142" s="4">
        <v>0</v>
      </c>
      <c r="E142" t="str">
        <f t="shared" si="16"/>
        <v>Mitig|hydrogen_allsect|2022</v>
      </c>
    </row>
    <row r="143" spans="1:5">
      <c r="A143" t="str">
        <f>INDEX(Controller!$H$2:$H$11,INT((ROW()-2)/70)+1)</f>
        <v>Mitig</v>
      </c>
      <c r="B143" s="2">
        <v>2025</v>
      </c>
      <c r="C143" t="str">
        <f>INDEX(Controller!$J$2:$J$11,MOD(INT((ROW()-2)/7),10)+1)</f>
        <v>hydrogen_allsect</v>
      </c>
      <c r="D143" s="4">
        <f>D142*6%+D142</f>
        <v>0</v>
      </c>
      <c r="E143" t="str">
        <f t="shared" si="16"/>
        <v>Mitig|hydrogen_allsect|2025</v>
      </c>
    </row>
    <row r="144" spans="1:5">
      <c r="A144" t="str">
        <f>INDEX(Controller!$H$2:$H$11,INT((ROW()-2)/70)+1)</f>
        <v>Mitig</v>
      </c>
      <c r="B144" s="2">
        <v>2030</v>
      </c>
      <c r="C144" t="str">
        <f>INDEX(Controller!$J$2:$J$11,MOD(INT((ROW()-2)/7),10)+1)</f>
        <v>hydrogen_allsect</v>
      </c>
      <c r="D144" s="4">
        <f t="shared" ref="D144:D148" si="17">D143*6%+D143</f>
        <v>0</v>
      </c>
      <c r="E144" t="str">
        <f t="shared" si="16"/>
        <v>Mitig|hydrogen_allsect|2030</v>
      </c>
    </row>
    <row r="145" spans="1:5">
      <c r="A145" t="str">
        <f>INDEX(Controller!$H$2:$H$11,INT((ROW()-2)/70)+1)</f>
        <v>Mitig</v>
      </c>
      <c r="B145" s="2">
        <v>2035</v>
      </c>
      <c r="C145" t="str">
        <f>INDEX(Controller!$J$2:$J$11,MOD(INT((ROW()-2)/7),10)+1)</f>
        <v>hydrogen_allsect</v>
      </c>
      <c r="D145" s="4">
        <f t="shared" si="17"/>
        <v>0</v>
      </c>
      <c r="E145" t="str">
        <f t="shared" si="16"/>
        <v>Mitig|hydrogen_allsect|2035</v>
      </c>
    </row>
    <row r="146" spans="1:5">
      <c r="A146" t="str">
        <f>INDEX(Controller!$H$2:$H$11,INT((ROW()-2)/70)+1)</f>
        <v>Mitig</v>
      </c>
      <c r="B146" s="2">
        <v>2040</v>
      </c>
      <c r="C146" t="str">
        <f>INDEX(Controller!$J$2:$J$11,MOD(INT((ROW()-2)/7),10)+1)</f>
        <v>hydrogen_allsect</v>
      </c>
      <c r="D146" s="4">
        <f t="shared" si="17"/>
        <v>0</v>
      </c>
      <c r="E146" t="str">
        <f t="shared" si="16"/>
        <v>Mitig|hydrogen_allsect|2040</v>
      </c>
    </row>
    <row r="147" spans="1:5">
      <c r="A147" t="str">
        <f>INDEX(Controller!$H$2:$H$11,INT((ROW()-2)/70)+1)</f>
        <v>Mitig</v>
      </c>
      <c r="B147" s="2">
        <v>2045</v>
      </c>
      <c r="C147" t="str">
        <f>INDEX(Controller!$J$2:$J$11,MOD(INT((ROW()-2)/7),10)+1)</f>
        <v>hydrogen_allsect</v>
      </c>
      <c r="D147" s="4">
        <f t="shared" si="17"/>
        <v>0</v>
      </c>
      <c r="E147" t="str">
        <f t="shared" si="16"/>
        <v>Mitig|hydrogen_allsect|2045</v>
      </c>
    </row>
    <row r="148" spans="1:5">
      <c r="A148" t="str">
        <f>INDEX(Controller!$H$2:$H$11,INT((ROW()-2)/70)+1)</f>
        <v>Mitig</v>
      </c>
      <c r="B148" s="2">
        <v>2050</v>
      </c>
      <c r="C148" t="str">
        <f>INDEX(Controller!$J$2:$J$11,MOD(INT((ROW()-2)/7),10)+1)</f>
        <v>hydrogen_allsect</v>
      </c>
      <c r="D148" s="4">
        <f t="shared" si="17"/>
        <v>0</v>
      </c>
      <c r="E148" t="str">
        <f t="shared" si="16"/>
        <v>Mitig|hydrogen_allsect|2050</v>
      </c>
    </row>
    <row r="149" spans="1:5">
      <c r="A149" t="str">
        <f>INDEX(Controller!$H$2:$H$11,INT((ROW()-2)/70)+1)</f>
        <v>Mitig</v>
      </c>
      <c r="B149" s="2">
        <v>2022</v>
      </c>
      <c r="C149" t="str">
        <f>INDEX(Controller!$J$2:$J$11,MOD(INT((ROW()-2)/7),10)+1)</f>
        <v>elc_industry</v>
      </c>
      <c r="D149" s="4">
        <v>65.478899999999996</v>
      </c>
      <c r="E149" t="str">
        <f t="shared" si="16"/>
        <v>Mitig|elc_industry|2022</v>
      </c>
    </row>
    <row r="150" spans="1:5">
      <c r="A150" t="str">
        <f>INDEX(Controller!$H$2:$H$11,INT((ROW()-2)/70)+1)</f>
        <v>Mitig</v>
      </c>
      <c r="B150" s="2">
        <v>2025</v>
      </c>
      <c r="C150" t="str">
        <f>INDEX(Controller!$J$2:$J$11,MOD(INT((ROW()-2)/7),10)+1)</f>
        <v>elc_industry</v>
      </c>
      <c r="D150" s="4">
        <f>D149*6%+D149</f>
        <v>69.407634000000002</v>
      </c>
      <c r="E150" t="str">
        <f t="shared" si="16"/>
        <v>Mitig|elc_industry|2025</v>
      </c>
    </row>
    <row r="151" spans="1:5">
      <c r="A151" t="str">
        <f>INDEX(Controller!$H$2:$H$11,INT((ROW()-2)/70)+1)</f>
        <v>Mitig</v>
      </c>
      <c r="B151" s="2">
        <v>2030</v>
      </c>
      <c r="C151" t="str">
        <f>INDEX(Controller!$J$2:$J$11,MOD(INT((ROW()-2)/7),10)+1)</f>
        <v>elc_industry</v>
      </c>
      <c r="D151" s="4">
        <f t="shared" ref="D151:D155" si="18">D150*6%+D150</f>
        <v>73.572092040000001</v>
      </c>
      <c r="E151" t="str">
        <f t="shared" si="16"/>
        <v>Mitig|elc_industry|2030</v>
      </c>
    </row>
    <row r="152" spans="1:5">
      <c r="A152" t="str">
        <f>INDEX(Controller!$H$2:$H$11,INT((ROW()-2)/70)+1)</f>
        <v>Mitig</v>
      </c>
      <c r="B152" s="2">
        <v>2035</v>
      </c>
      <c r="C152" t="str">
        <f>INDEX(Controller!$J$2:$J$11,MOD(INT((ROW()-2)/7),10)+1)</f>
        <v>elc_industry</v>
      </c>
      <c r="D152" s="4">
        <f t="shared" si="18"/>
        <v>77.986417562400007</v>
      </c>
      <c r="E152" t="str">
        <f t="shared" si="16"/>
        <v>Mitig|elc_industry|2035</v>
      </c>
    </row>
    <row r="153" spans="1:5">
      <c r="A153" t="str">
        <f>INDEX(Controller!$H$2:$H$11,INT((ROW()-2)/70)+1)</f>
        <v>Mitig</v>
      </c>
      <c r="B153" s="2">
        <v>2040</v>
      </c>
      <c r="C153" t="str">
        <f>INDEX(Controller!$J$2:$J$11,MOD(INT((ROW()-2)/7),10)+1)</f>
        <v>elc_industry</v>
      </c>
      <c r="D153" s="4">
        <f t="shared" si="18"/>
        <v>82.665602616144014</v>
      </c>
      <c r="E153" t="str">
        <f t="shared" si="16"/>
        <v>Mitig|elc_industry|2040</v>
      </c>
    </row>
    <row r="154" spans="1:5">
      <c r="A154" t="str">
        <f>INDEX(Controller!$H$2:$H$11,INT((ROW()-2)/70)+1)</f>
        <v>Mitig</v>
      </c>
      <c r="B154" s="2">
        <v>2045</v>
      </c>
      <c r="C154" t="str">
        <f>INDEX(Controller!$J$2:$J$11,MOD(INT((ROW()-2)/7),10)+1)</f>
        <v>elc_industry</v>
      </c>
      <c r="D154" s="4">
        <f t="shared" si="18"/>
        <v>87.625538773112652</v>
      </c>
      <c r="E154" t="str">
        <f t="shared" si="16"/>
        <v>Mitig|elc_industry|2045</v>
      </c>
    </row>
    <row r="155" spans="1:5">
      <c r="A155" t="str">
        <f>INDEX(Controller!$H$2:$H$11,INT((ROW()-2)/70)+1)</f>
        <v>Mitig</v>
      </c>
      <c r="B155" s="2">
        <v>2050</v>
      </c>
      <c r="C155" t="str">
        <f>INDEX(Controller!$J$2:$J$11,MOD(INT((ROW()-2)/7),10)+1)</f>
        <v>elc_industry</v>
      </c>
      <c r="D155" s="4">
        <f t="shared" si="18"/>
        <v>92.883071099499404</v>
      </c>
      <c r="E155" t="str">
        <f t="shared" si="16"/>
        <v>Mitig|elc_industry|2050</v>
      </c>
    </row>
    <row r="156" spans="1:5">
      <c r="A156" t="str">
        <f>INDEX(Controller!$H$2:$H$11,INT((ROW()-2)/70)+1)</f>
        <v>Mitig</v>
      </c>
      <c r="B156" s="2">
        <v>2022</v>
      </c>
      <c r="C156" t="str">
        <f>INDEX(Controller!$J$2:$J$11,MOD(INT((ROW()-2)/7),10)+1)</f>
        <v>elc_buildings</v>
      </c>
      <c r="D156" s="4">
        <v>104.41229999999999</v>
      </c>
      <c r="E156" t="str">
        <f t="shared" si="16"/>
        <v>Mitig|elc_buildings|2022</v>
      </c>
    </row>
    <row r="157" spans="1:5">
      <c r="A157" t="str">
        <f>INDEX(Controller!$H$2:$H$11,INT((ROW()-2)/70)+1)</f>
        <v>Mitig</v>
      </c>
      <c r="B157" s="2">
        <v>2025</v>
      </c>
      <c r="C157" t="str">
        <f>INDEX(Controller!$J$2:$J$11,MOD(INT((ROW()-2)/7),10)+1)</f>
        <v>elc_buildings</v>
      </c>
      <c r="D157" s="4">
        <f>D156*6%+D156</f>
        <v>110.67703799999998</v>
      </c>
      <c r="E157" t="str">
        <f t="shared" si="16"/>
        <v>Mitig|elc_buildings|2025</v>
      </c>
    </row>
    <row r="158" spans="1:5">
      <c r="A158" t="str">
        <f>INDEX(Controller!$H$2:$H$11,INT((ROW()-2)/70)+1)</f>
        <v>Mitig</v>
      </c>
      <c r="B158" s="2">
        <v>2030</v>
      </c>
      <c r="C158" t="str">
        <f>INDEX(Controller!$J$2:$J$11,MOD(INT((ROW()-2)/7),10)+1)</f>
        <v>elc_buildings</v>
      </c>
      <c r="D158" s="4">
        <f t="shared" ref="D158:D162" si="19">D157*6%+D157</f>
        <v>117.31766027999998</v>
      </c>
      <c r="E158" t="str">
        <f t="shared" si="16"/>
        <v>Mitig|elc_buildings|2030</v>
      </c>
    </row>
    <row r="159" spans="1:5">
      <c r="A159" t="str">
        <f>INDEX(Controller!$H$2:$H$11,INT((ROW()-2)/70)+1)</f>
        <v>Mitig</v>
      </c>
      <c r="B159" s="2">
        <v>2035</v>
      </c>
      <c r="C159" t="str">
        <f>INDEX(Controller!$J$2:$J$11,MOD(INT((ROW()-2)/7),10)+1)</f>
        <v>elc_buildings</v>
      </c>
      <c r="D159" s="4">
        <f t="shared" si="19"/>
        <v>124.35671989679999</v>
      </c>
      <c r="E159" t="str">
        <f t="shared" si="16"/>
        <v>Mitig|elc_buildings|2035</v>
      </c>
    </row>
    <row r="160" spans="1:5">
      <c r="A160" t="str">
        <f>INDEX(Controller!$H$2:$H$11,INT((ROW()-2)/70)+1)</f>
        <v>Mitig</v>
      </c>
      <c r="B160" s="2">
        <v>2040</v>
      </c>
      <c r="C160" t="str">
        <f>INDEX(Controller!$J$2:$J$11,MOD(INT((ROW()-2)/7),10)+1)</f>
        <v>elc_buildings</v>
      </c>
      <c r="D160" s="4">
        <f t="shared" si="19"/>
        <v>131.818123090608</v>
      </c>
      <c r="E160" t="str">
        <f t="shared" si="16"/>
        <v>Mitig|elc_buildings|2040</v>
      </c>
    </row>
    <row r="161" spans="1:5">
      <c r="A161" t="str">
        <f>INDEX(Controller!$H$2:$H$11,INT((ROW()-2)/70)+1)</f>
        <v>Mitig</v>
      </c>
      <c r="B161" s="2">
        <v>2045</v>
      </c>
      <c r="C161" t="str">
        <f>INDEX(Controller!$J$2:$J$11,MOD(INT((ROW()-2)/7),10)+1)</f>
        <v>elc_buildings</v>
      </c>
      <c r="D161" s="4">
        <f t="shared" si="19"/>
        <v>139.72721047604449</v>
      </c>
      <c r="E161" t="str">
        <f t="shared" si="16"/>
        <v>Mitig|elc_buildings|2045</v>
      </c>
    </row>
    <row r="162" spans="1:5">
      <c r="A162" t="str">
        <f>INDEX(Controller!$H$2:$H$11,INT((ROW()-2)/70)+1)</f>
        <v>Mitig</v>
      </c>
      <c r="B162" s="2">
        <v>2050</v>
      </c>
      <c r="C162" t="str">
        <f>INDEX(Controller!$J$2:$J$11,MOD(INT((ROW()-2)/7),10)+1)</f>
        <v>elc_buildings</v>
      </c>
      <c r="D162" s="4">
        <f t="shared" si="19"/>
        <v>148.11084310460717</v>
      </c>
      <c r="E162" t="str">
        <f t="shared" si="16"/>
        <v>Mitig|elc_buildings|2050</v>
      </c>
    </row>
    <row r="163" spans="1:5">
      <c r="A163" t="str">
        <f>INDEX(Controller!$H$2:$H$11,INT((ROW()-2)/70)+1)</f>
        <v>Mitig</v>
      </c>
      <c r="B163" s="2">
        <v>2022</v>
      </c>
      <c r="C163" t="str">
        <f>INDEX(Controller!$J$2:$J$11,MOD(INT((ROW()-2)/7),10)+1)</f>
        <v>elc_transport</v>
      </c>
      <c r="D163" s="4">
        <v>5.3090999999999999</v>
      </c>
      <c r="E163" t="str">
        <f t="shared" si="16"/>
        <v>Mitig|elc_transport|2022</v>
      </c>
    </row>
    <row r="164" spans="1:5">
      <c r="A164" t="str">
        <f>INDEX(Controller!$H$2:$H$11,INT((ROW()-2)/70)+1)</f>
        <v>Mitig</v>
      </c>
      <c r="B164" s="2">
        <v>2025</v>
      </c>
      <c r="C164" t="str">
        <f>INDEX(Controller!$J$2:$J$11,MOD(INT((ROW()-2)/7),10)+1)</f>
        <v>elc_transport</v>
      </c>
      <c r="D164" s="4">
        <f>D163*6%+D163</f>
        <v>5.6276460000000004</v>
      </c>
      <c r="E164" t="str">
        <f t="shared" si="16"/>
        <v>Mitig|elc_transport|2025</v>
      </c>
    </row>
    <row r="165" spans="1:5">
      <c r="A165" t="str">
        <f>INDEX(Controller!$H$2:$H$11,INT((ROW()-2)/70)+1)</f>
        <v>Mitig</v>
      </c>
      <c r="B165" s="2">
        <v>2030</v>
      </c>
      <c r="C165" t="str">
        <f>INDEX(Controller!$J$2:$J$11,MOD(INT((ROW()-2)/7),10)+1)</f>
        <v>elc_transport</v>
      </c>
      <c r="D165" s="4">
        <f t="shared" ref="D165:D169" si="20">D164*6%+D164</f>
        <v>5.9653047600000004</v>
      </c>
      <c r="E165" t="str">
        <f t="shared" si="16"/>
        <v>Mitig|elc_transport|2030</v>
      </c>
    </row>
    <row r="166" spans="1:5">
      <c r="A166" t="str">
        <f>INDEX(Controller!$H$2:$H$11,INT((ROW()-2)/70)+1)</f>
        <v>Mitig</v>
      </c>
      <c r="B166" s="2">
        <v>2035</v>
      </c>
      <c r="C166" t="str">
        <f>INDEX(Controller!$J$2:$J$11,MOD(INT((ROW()-2)/7),10)+1)</f>
        <v>elc_transport</v>
      </c>
      <c r="D166" s="4">
        <f t="shared" si="20"/>
        <v>6.3232230456000007</v>
      </c>
      <c r="E166" t="str">
        <f t="shared" si="16"/>
        <v>Mitig|elc_transport|2035</v>
      </c>
    </row>
    <row r="167" spans="1:5">
      <c r="A167" t="str">
        <f>INDEX(Controller!$H$2:$H$11,INT((ROW()-2)/70)+1)</f>
        <v>Mitig</v>
      </c>
      <c r="B167" s="2">
        <v>2040</v>
      </c>
      <c r="C167" t="str">
        <f>INDEX(Controller!$J$2:$J$11,MOD(INT((ROW()-2)/7),10)+1)</f>
        <v>elc_transport</v>
      </c>
      <c r="D167" s="4">
        <f t="shared" si="20"/>
        <v>6.7026164283360004</v>
      </c>
      <c r="E167" t="str">
        <f t="shared" si="16"/>
        <v>Mitig|elc_transport|2040</v>
      </c>
    </row>
    <row r="168" spans="1:5">
      <c r="A168" t="str">
        <f>INDEX(Controller!$H$2:$H$11,INT((ROW()-2)/70)+1)</f>
        <v>Mitig</v>
      </c>
      <c r="B168" s="2">
        <v>2045</v>
      </c>
      <c r="C168" t="str">
        <f>INDEX(Controller!$J$2:$J$11,MOD(INT((ROW()-2)/7),10)+1)</f>
        <v>elc_transport</v>
      </c>
      <c r="D168" s="4">
        <f t="shared" si="20"/>
        <v>7.1047734140361607</v>
      </c>
      <c r="E168" t="str">
        <f t="shared" si="16"/>
        <v>Mitig|elc_transport|2045</v>
      </c>
    </row>
    <row r="169" spans="1:5">
      <c r="A169" t="str">
        <f>INDEX(Controller!$H$2:$H$11,INT((ROW()-2)/70)+1)</f>
        <v>Mitig</v>
      </c>
      <c r="B169" s="2">
        <v>2050</v>
      </c>
      <c r="C169" t="str">
        <f>INDEX(Controller!$J$2:$J$11,MOD(INT((ROW()-2)/7),10)+1)</f>
        <v>elc_transport</v>
      </c>
      <c r="D169" s="4">
        <f t="shared" si="20"/>
        <v>7.5310598188783304</v>
      </c>
      <c r="E169" t="str">
        <f t="shared" si="16"/>
        <v>Mitig|elc_transport|2050</v>
      </c>
    </row>
    <row r="170" spans="1:5">
      <c r="A170" t="str">
        <f>INDEX(Controller!$H$2:$H$11,INT((ROW()-2)/70)+1)</f>
        <v>Mitig</v>
      </c>
      <c r="B170" s="2">
        <v>2022</v>
      </c>
      <c r="C170" t="str">
        <f>INDEX(Controller!$J$2:$J$11,MOD(INT((ROW()-2)/7),10)+1)</f>
        <v>elc_roadtransport</v>
      </c>
      <c r="D170" s="4">
        <v>1.7697000000000287</v>
      </c>
      <c r="E170" t="str">
        <f t="shared" si="16"/>
        <v>Mitig|elc_roadtransport|2022</v>
      </c>
    </row>
    <row r="171" spans="1:5">
      <c r="A171" t="str">
        <f>INDEX(Controller!$H$2:$H$11,INT((ROW()-2)/70)+1)</f>
        <v>Mitig</v>
      </c>
      <c r="B171" s="2">
        <v>2025</v>
      </c>
      <c r="C171" t="str">
        <f>INDEX(Controller!$J$2:$J$11,MOD(INT((ROW()-2)/7),10)+1)</f>
        <v>elc_roadtransport</v>
      </c>
      <c r="D171" s="4">
        <f>D170*80%+D170</f>
        <v>3.1854600000000515</v>
      </c>
      <c r="E171" t="str">
        <f t="shared" si="16"/>
        <v>Mitig|elc_roadtransport|2025</v>
      </c>
    </row>
    <row r="172" spans="1:5">
      <c r="A172" t="str">
        <f>INDEX(Controller!$H$2:$H$11,INT((ROW()-2)/70)+1)</f>
        <v>Mitig</v>
      </c>
      <c r="B172" s="2">
        <v>2030</v>
      </c>
      <c r="C172" t="str">
        <f>INDEX(Controller!$J$2:$J$11,MOD(INT((ROW()-2)/7),10)+1)</f>
        <v>elc_roadtransport</v>
      </c>
      <c r="D172" s="4">
        <f t="shared" ref="D172:D176" si="21">D171*80%+D171</f>
        <v>5.7338280000000932</v>
      </c>
      <c r="E172" t="str">
        <f t="shared" si="16"/>
        <v>Mitig|elc_roadtransport|2030</v>
      </c>
    </row>
    <row r="173" spans="1:5">
      <c r="A173" t="str">
        <f>INDEX(Controller!$H$2:$H$11,INT((ROW()-2)/70)+1)</f>
        <v>Mitig</v>
      </c>
      <c r="B173" s="2">
        <v>2035</v>
      </c>
      <c r="C173" t="str">
        <f>INDEX(Controller!$J$2:$J$11,MOD(INT((ROW()-2)/7),10)+1)</f>
        <v>elc_roadtransport</v>
      </c>
      <c r="D173" s="4">
        <f t="shared" si="21"/>
        <v>10.320890400000167</v>
      </c>
      <c r="E173" t="str">
        <f t="shared" si="16"/>
        <v>Mitig|elc_roadtransport|2035</v>
      </c>
    </row>
    <row r="174" spans="1:5">
      <c r="A174" t="str">
        <f>INDEX(Controller!$H$2:$H$11,INT((ROW()-2)/70)+1)</f>
        <v>Mitig</v>
      </c>
      <c r="B174" s="2">
        <v>2040</v>
      </c>
      <c r="C174" t="str">
        <f>INDEX(Controller!$J$2:$J$11,MOD(INT((ROW()-2)/7),10)+1)</f>
        <v>elc_roadtransport</v>
      </c>
      <c r="D174" s="4">
        <f t="shared" si="21"/>
        <v>18.5776027200003</v>
      </c>
      <c r="E174" t="str">
        <f t="shared" si="16"/>
        <v>Mitig|elc_roadtransport|2040</v>
      </c>
    </row>
    <row r="175" spans="1:5">
      <c r="A175" t="str">
        <f>INDEX(Controller!$H$2:$H$11,INT((ROW()-2)/70)+1)</f>
        <v>Mitig</v>
      </c>
      <c r="B175" s="2">
        <v>2045</v>
      </c>
      <c r="C175" t="str">
        <f>INDEX(Controller!$J$2:$J$11,MOD(INT((ROW()-2)/7),10)+1)</f>
        <v>elc_roadtransport</v>
      </c>
      <c r="D175" s="4">
        <f t="shared" si="21"/>
        <v>33.439684896000543</v>
      </c>
      <c r="E175" t="str">
        <f t="shared" si="16"/>
        <v>Mitig|elc_roadtransport|2045</v>
      </c>
    </row>
    <row r="176" spans="1:5">
      <c r="A176" t="str">
        <f>INDEX(Controller!$H$2:$H$11,INT((ROW()-2)/70)+1)</f>
        <v>Mitig</v>
      </c>
      <c r="B176" s="2">
        <v>2050</v>
      </c>
      <c r="C176" t="str">
        <f>INDEX(Controller!$J$2:$J$11,MOD(INT((ROW()-2)/7),10)+1)</f>
        <v>elc_roadtransport</v>
      </c>
      <c r="D176" s="4">
        <f t="shared" si="21"/>
        <v>60.191432812800983</v>
      </c>
      <c r="E176" t="str">
        <f t="shared" si="16"/>
        <v>Mitig|elc_roadtransport|2050</v>
      </c>
    </row>
    <row r="177" spans="1:5">
      <c r="A177" t="str">
        <f>INDEX(Controller!$H$2:$H$11,INT((ROW()-2)/70)+1)</f>
        <v>Mitig</v>
      </c>
      <c r="B177" s="2">
        <v>2022</v>
      </c>
      <c r="C177" t="str">
        <f>INDEX(Controller!$J$2:$J$11,MOD(INT((ROW()-2)/7),10)+1)</f>
        <v>het_industry</v>
      </c>
      <c r="D177" s="4">
        <v>9.7690000000000001</v>
      </c>
      <c r="E177" t="str">
        <f t="shared" si="16"/>
        <v>Mitig|het_industry|2022</v>
      </c>
    </row>
    <row r="178" spans="1:5">
      <c r="A178" t="str">
        <f>INDEX(Controller!$H$2:$H$11,INT((ROW()-2)/70)+1)</f>
        <v>Mitig</v>
      </c>
      <c r="B178" s="2">
        <v>2025</v>
      </c>
      <c r="C178" t="str">
        <f>INDEX(Controller!$J$2:$J$11,MOD(INT((ROW()-2)/7),10)+1)</f>
        <v>het_industry</v>
      </c>
      <c r="D178" s="4">
        <f>D177*6%+D177</f>
        <v>10.35514</v>
      </c>
      <c r="E178" t="str">
        <f t="shared" si="16"/>
        <v>Mitig|het_industry|2025</v>
      </c>
    </row>
    <row r="179" spans="1:5">
      <c r="A179" t="str">
        <f>INDEX(Controller!$H$2:$H$11,INT((ROW()-2)/70)+1)</f>
        <v>Mitig</v>
      </c>
      <c r="B179" s="2">
        <v>2030</v>
      </c>
      <c r="C179" t="str">
        <f>INDEX(Controller!$J$2:$J$11,MOD(INT((ROW()-2)/7),10)+1)</f>
        <v>het_industry</v>
      </c>
      <c r="D179" s="4">
        <f t="shared" ref="D179:D183" si="22">D178*6%+D178</f>
        <v>10.976448400000001</v>
      </c>
      <c r="E179" t="str">
        <f t="shared" si="16"/>
        <v>Mitig|het_industry|2030</v>
      </c>
    </row>
    <row r="180" spans="1:5">
      <c r="A180" t="str">
        <f>INDEX(Controller!$H$2:$H$11,INT((ROW()-2)/70)+1)</f>
        <v>Mitig</v>
      </c>
      <c r="B180" s="2">
        <v>2035</v>
      </c>
      <c r="C180" t="str">
        <f>INDEX(Controller!$J$2:$J$11,MOD(INT((ROW()-2)/7),10)+1)</f>
        <v>het_industry</v>
      </c>
      <c r="D180" s="4">
        <f t="shared" si="22"/>
        <v>11.635035304000001</v>
      </c>
      <c r="E180" t="str">
        <f t="shared" si="16"/>
        <v>Mitig|het_industry|2035</v>
      </c>
    </row>
    <row r="181" spans="1:5">
      <c r="A181" t="str">
        <f>INDEX(Controller!$H$2:$H$11,INT((ROW()-2)/70)+1)</f>
        <v>Mitig</v>
      </c>
      <c r="B181" s="2">
        <v>2040</v>
      </c>
      <c r="C181" t="str">
        <f>INDEX(Controller!$J$2:$J$11,MOD(INT((ROW()-2)/7),10)+1)</f>
        <v>het_industry</v>
      </c>
      <c r="D181" s="4">
        <f t="shared" si="22"/>
        <v>12.33313742224</v>
      </c>
      <c r="E181" t="str">
        <f t="shared" si="16"/>
        <v>Mitig|het_industry|2040</v>
      </c>
    </row>
    <row r="182" spans="1:5">
      <c r="A182" t="str">
        <f>INDEX(Controller!$H$2:$H$11,INT((ROW()-2)/70)+1)</f>
        <v>Mitig</v>
      </c>
      <c r="B182" s="2">
        <v>2045</v>
      </c>
      <c r="C182" t="str">
        <f>INDEX(Controller!$J$2:$J$11,MOD(INT((ROW()-2)/7),10)+1)</f>
        <v>het_industry</v>
      </c>
      <c r="D182" s="4">
        <f t="shared" si="22"/>
        <v>13.0731256675744</v>
      </c>
      <c r="E182" t="str">
        <f t="shared" si="16"/>
        <v>Mitig|het_industry|2045</v>
      </c>
    </row>
    <row r="183" spans="1:5">
      <c r="A183" t="str">
        <f>INDEX(Controller!$H$2:$H$11,INT((ROW()-2)/70)+1)</f>
        <v>Mitig</v>
      </c>
      <c r="B183" s="2">
        <v>2050</v>
      </c>
      <c r="C183" t="str">
        <f>INDEX(Controller!$J$2:$J$11,MOD(INT((ROW()-2)/7),10)+1)</f>
        <v>het_industry</v>
      </c>
      <c r="D183" s="4">
        <f t="shared" si="22"/>
        <v>13.857513207628864</v>
      </c>
      <c r="E183" t="str">
        <f t="shared" si="16"/>
        <v>Mitig|het_industry|2050</v>
      </c>
    </row>
    <row r="184" spans="1:5">
      <c r="A184" t="str">
        <f>INDEX(Controller!$H$2:$H$11,INT((ROW()-2)/70)+1)</f>
        <v>Mitig</v>
      </c>
      <c r="B184" s="2">
        <v>2022</v>
      </c>
      <c r="C184" t="str">
        <f>INDEX(Controller!$J$2:$J$11,MOD(INT((ROW()-2)/7),10)+1)</f>
        <v>het_buildings</v>
      </c>
      <c r="D184" s="4">
        <v>55.512999999999998</v>
      </c>
      <c r="E184" t="str">
        <f t="shared" si="16"/>
        <v>Mitig|het_buildings|2022</v>
      </c>
    </row>
    <row r="185" spans="1:5">
      <c r="A185" t="str">
        <f>INDEX(Controller!$H$2:$H$11,INT((ROW()-2)/70)+1)</f>
        <v>Mitig</v>
      </c>
      <c r="B185" s="2">
        <v>2025</v>
      </c>
      <c r="C185" t="str">
        <f>INDEX(Controller!$J$2:$J$11,MOD(INT((ROW()-2)/7),10)+1)</f>
        <v>het_buildings</v>
      </c>
      <c r="D185" s="4">
        <f>D184</f>
        <v>55.512999999999998</v>
      </c>
      <c r="E185" t="str">
        <f t="shared" si="16"/>
        <v>Mitig|het_buildings|2025</v>
      </c>
    </row>
    <row r="186" spans="1:5">
      <c r="A186" t="str">
        <f>INDEX(Controller!$H$2:$H$11,INT((ROW()-2)/70)+1)</f>
        <v>Mitig</v>
      </c>
      <c r="B186" s="2">
        <v>2030</v>
      </c>
      <c r="C186" t="str">
        <f>INDEX(Controller!$J$2:$J$11,MOD(INT((ROW()-2)/7),10)+1)</f>
        <v>het_buildings</v>
      </c>
      <c r="D186" s="4">
        <f t="shared" ref="D186:D190" si="23">D185</f>
        <v>55.512999999999998</v>
      </c>
      <c r="E186" t="str">
        <f t="shared" si="16"/>
        <v>Mitig|het_buildings|2030</v>
      </c>
    </row>
    <row r="187" spans="1:5">
      <c r="A187" t="str">
        <f>INDEX(Controller!$H$2:$H$11,INT((ROW()-2)/70)+1)</f>
        <v>Mitig</v>
      </c>
      <c r="B187" s="2">
        <v>2035</v>
      </c>
      <c r="C187" t="str">
        <f>INDEX(Controller!$J$2:$J$11,MOD(INT((ROW()-2)/7),10)+1)</f>
        <v>het_buildings</v>
      </c>
      <c r="D187" s="4">
        <f t="shared" si="23"/>
        <v>55.512999999999998</v>
      </c>
      <c r="E187" t="str">
        <f t="shared" si="16"/>
        <v>Mitig|het_buildings|2035</v>
      </c>
    </row>
    <row r="188" spans="1:5">
      <c r="A188" t="str">
        <f>INDEX(Controller!$H$2:$H$11,INT((ROW()-2)/70)+1)</f>
        <v>Mitig</v>
      </c>
      <c r="B188" s="2">
        <v>2040</v>
      </c>
      <c r="C188" t="str">
        <f>INDEX(Controller!$J$2:$J$11,MOD(INT((ROW()-2)/7),10)+1)</f>
        <v>het_buildings</v>
      </c>
      <c r="D188" s="4">
        <f t="shared" si="23"/>
        <v>55.512999999999998</v>
      </c>
      <c r="E188" t="str">
        <f t="shared" si="16"/>
        <v>Mitig|het_buildings|2040</v>
      </c>
    </row>
    <row r="189" spans="1:5">
      <c r="A189" t="str">
        <f>INDEX(Controller!$H$2:$H$11,INT((ROW()-2)/70)+1)</f>
        <v>Mitig</v>
      </c>
      <c r="B189" s="2">
        <v>2045</v>
      </c>
      <c r="C189" t="str">
        <f>INDEX(Controller!$J$2:$J$11,MOD(INT((ROW()-2)/7),10)+1)</f>
        <v>het_buildings</v>
      </c>
      <c r="D189" s="4">
        <f t="shared" si="23"/>
        <v>55.512999999999998</v>
      </c>
      <c r="E189" t="str">
        <f t="shared" si="16"/>
        <v>Mitig|het_buildings|2045</v>
      </c>
    </row>
    <row r="190" spans="1:5">
      <c r="A190" t="str">
        <f>INDEX(Controller!$H$2:$H$11,INT((ROW()-2)/70)+1)</f>
        <v>Mitig</v>
      </c>
      <c r="B190" s="2">
        <v>2050</v>
      </c>
      <c r="C190" t="str">
        <f>INDEX(Controller!$J$2:$J$11,MOD(INT((ROW()-2)/7),10)+1)</f>
        <v>het_buildings</v>
      </c>
      <c r="D190" s="4">
        <f t="shared" si="23"/>
        <v>55.512999999999998</v>
      </c>
      <c r="E190" t="str">
        <f t="shared" si="16"/>
        <v>Mitig|het_buildings|2050</v>
      </c>
    </row>
    <row r="191" spans="1:5">
      <c r="A191" t="str">
        <f>INDEX(Controller!$H$2:$H$11,INT((ROW()-2)/70)+1)</f>
        <v>Mitig</v>
      </c>
      <c r="B191" s="2">
        <v>2022</v>
      </c>
      <c r="C191" t="str">
        <f>INDEX(Controller!$J$2:$J$11,MOD(INT((ROW()-2)/7),10)+1)</f>
        <v>co2net</v>
      </c>
      <c r="D191" s="4">
        <v>0</v>
      </c>
      <c r="E191" t="str">
        <f t="shared" si="16"/>
        <v>Mitig|co2net|2022</v>
      </c>
    </row>
    <row r="192" spans="1:5">
      <c r="A192" t="str">
        <f>INDEX(Controller!$H$2:$H$11,INT((ROW()-2)/70)+1)</f>
        <v>Mitig</v>
      </c>
      <c r="B192" s="2">
        <v>2025</v>
      </c>
      <c r="C192" t="str">
        <f>INDEX(Controller!$J$2:$J$11,MOD(INT((ROW()-2)/7),10)+1)</f>
        <v>co2net</v>
      </c>
      <c r="D192" s="26">
        <f>_xlfn.FORECAST.LINEAR(B192,CHOOSE({1,2},D191,D197),CHOOSE({1,2},B191,B197))</f>
        <v>26.785714285717404</v>
      </c>
      <c r="E192" t="str">
        <f t="shared" si="16"/>
        <v>Mitig|co2net|2025</v>
      </c>
    </row>
    <row r="193" spans="1:5">
      <c r="A193" t="str">
        <f>INDEX(Controller!$H$2:$H$11,INT((ROW()-2)/70)+1)</f>
        <v>Mitig</v>
      </c>
      <c r="B193" s="2">
        <v>2030</v>
      </c>
      <c r="C193" t="str">
        <f>INDEX(Controller!$J$2:$J$11,MOD(INT((ROW()-2)/7),10)+1)</f>
        <v>co2net</v>
      </c>
      <c r="D193" s="26">
        <f>_xlfn.FORECAST.LINEAR(B193,CHOOSE({1,2},D191,D197),CHOOSE({1,2},B191,B197))</f>
        <v>71.428571428572468</v>
      </c>
      <c r="E193" t="str">
        <f t="shared" si="16"/>
        <v>Mitig|co2net|2030</v>
      </c>
    </row>
    <row r="194" spans="1:5">
      <c r="A194" t="str">
        <f>INDEX(Controller!$H$2:$H$11,INT((ROW()-2)/70)+1)</f>
        <v>Mitig</v>
      </c>
      <c r="B194" s="2">
        <v>2035</v>
      </c>
      <c r="C194" t="str">
        <f>INDEX(Controller!$J$2:$J$11,MOD(INT((ROW()-2)/7),10)+1)</f>
        <v>co2net</v>
      </c>
      <c r="D194" s="26">
        <f>_xlfn.FORECAST.LINEAR(B194,CHOOSE({1,2},D191,D197),CHOOSE({1,2},B191,B197))</f>
        <v>116.07142857143117</v>
      </c>
      <c r="E194" t="str">
        <f t="shared" ref="E194:E257" si="24">A194&amp;"|"&amp;C194&amp;"|"&amp;B194</f>
        <v>Mitig|co2net|2035</v>
      </c>
    </row>
    <row r="195" spans="1:5">
      <c r="A195" t="str">
        <f>INDEX(Controller!$H$2:$H$11,INT((ROW()-2)/70)+1)</f>
        <v>Mitig</v>
      </c>
      <c r="B195" s="2">
        <v>2040</v>
      </c>
      <c r="C195" t="str">
        <f>INDEX(Controller!$J$2:$J$11,MOD(INT((ROW()-2)/7),10)+1)</f>
        <v>co2net</v>
      </c>
      <c r="D195" s="26">
        <f>_xlfn.FORECAST.LINEAR(B195,CHOOSE({1,2},D191,D197),CHOOSE({1,2},B191,B197))</f>
        <v>160.71428571428623</v>
      </c>
      <c r="E195" t="str">
        <f t="shared" si="24"/>
        <v>Mitig|co2net|2040</v>
      </c>
    </row>
    <row r="196" spans="1:5">
      <c r="A196" t="str">
        <f>INDEX(Controller!$H$2:$H$11,INT((ROW()-2)/70)+1)</f>
        <v>Mitig</v>
      </c>
      <c r="B196" s="2">
        <v>2045</v>
      </c>
      <c r="C196" t="str">
        <f>INDEX(Controller!$J$2:$J$11,MOD(INT((ROW()-2)/7),10)+1)</f>
        <v>co2net</v>
      </c>
      <c r="D196" s="26">
        <f>_xlfn.FORECAST.LINEAR(B196,CHOOSE({1,2},D191,D197),CHOOSE({1,2},B191,B197))</f>
        <v>205.35714285714494</v>
      </c>
      <c r="E196" t="str">
        <f t="shared" si="24"/>
        <v>Mitig|co2net|2045</v>
      </c>
    </row>
    <row r="197" spans="1:5">
      <c r="A197" t="str">
        <f>INDEX(Controller!$H$2:$H$11,INT((ROW()-2)/70)+1)</f>
        <v>Mitig</v>
      </c>
      <c r="B197" s="2">
        <v>2050</v>
      </c>
      <c r="C197" t="str">
        <f>INDEX(Controller!$J$2:$J$11,MOD(INT((ROW()-2)/7),10)+1)</f>
        <v>co2net</v>
      </c>
      <c r="D197" s="4">
        <v>250</v>
      </c>
      <c r="E197" t="str">
        <f t="shared" si="24"/>
        <v>Mitig|co2net|2050</v>
      </c>
    </row>
    <row r="198" spans="1:5">
      <c r="A198" t="str">
        <f>INDEX(Controller!$H$2:$H$11,INT((ROW()-2)/70)+1)</f>
        <v>Mitig</v>
      </c>
      <c r="B198" s="2">
        <v>2022</v>
      </c>
      <c r="C198" t="str">
        <f>INDEX(Controller!$J$2:$J$11,MOD(INT((ROW()-2)/7),10)+1)</f>
        <v>Variable 9</v>
      </c>
      <c r="D198" s="4"/>
      <c r="E198" t="str">
        <f t="shared" si="24"/>
        <v>Mitig|Variable 9|2022</v>
      </c>
    </row>
    <row r="199" spans="1:5">
      <c r="A199" t="str">
        <f>INDEX(Controller!$H$2:$H$11,INT((ROW()-2)/70)+1)</f>
        <v>Mitig</v>
      </c>
      <c r="B199" s="2">
        <v>2025</v>
      </c>
      <c r="C199" t="str">
        <f>INDEX(Controller!$J$2:$J$11,MOD(INT((ROW()-2)/7),10)+1)</f>
        <v>Variable 9</v>
      </c>
      <c r="D199" s="4"/>
      <c r="E199" t="str">
        <f t="shared" si="24"/>
        <v>Mitig|Variable 9|2025</v>
      </c>
    </row>
    <row r="200" spans="1:5">
      <c r="A200" t="str">
        <f>INDEX(Controller!$H$2:$H$11,INT((ROW()-2)/70)+1)</f>
        <v>Mitig</v>
      </c>
      <c r="B200" s="2">
        <v>2030</v>
      </c>
      <c r="C200" t="str">
        <f>INDEX(Controller!$J$2:$J$11,MOD(INT((ROW()-2)/7),10)+1)</f>
        <v>Variable 9</v>
      </c>
      <c r="D200" s="4"/>
      <c r="E200" t="str">
        <f t="shared" si="24"/>
        <v>Mitig|Variable 9|2030</v>
      </c>
    </row>
    <row r="201" spans="1:5">
      <c r="A201" t="str">
        <f>INDEX(Controller!$H$2:$H$11,INT((ROW()-2)/70)+1)</f>
        <v>Mitig</v>
      </c>
      <c r="B201" s="2">
        <v>2035</v>
      </c>
      <c r="C201" t="str">
        <f>INDEX(Controller!$J$2:$J$11,MOD(INT((ROW()-2)/7),10)+1)</f>
        <v>Variable 9</v>
      </c>
      <c r="D201" s="4"/>
      <c r="E201" t="str">
        <f t="shared" si="24"/>
        <v>Mitig|Variable 9|2035</v>
      </c>
    </row>
    <row r="202" spans="1:5">
      <c r="A202" t="str">
        <f>INDEX(Controller!$H$2:$H$11,INT((ROW()-2)/70)+1)</f>
        <v>Mitig</v>
      </c>
      <c r="B202" s="2">
        <v>2040</v>
      </c>
      <c r="C202" t="str">
        <f>INDEX(Controller!$J$2:$J$11,MOD(INT((ROW()-2)/7),10)+1)</f>
        <v>Variable 9</v>
      </c>
      <c r="D202" s="4"/>
      <c r="E202" t="str">
        <f t="shared" si="24"/>
        <v>Mitig|Variable 9|2040</v>
      </c>
    </row>
    <row r="203" spans="1:5">
      <c r="A203" t="str">
        <f>INDEX(Controller!$H$2:$H$11,INT((ROW()-2)/70)+1)</f>
        <v>Mitig</v>
      </c>
      <c r="B203" s="2">
        <v>2045</v>
      </c>
      <c r="C203" t="str">
        <f>INDEX(Controller!$J$2:$J$11,MOD(INT((ROW()-2)/7),10)+1)</f>
        <v>Variable 9</v>
      </c>
      <c r="D203" s="4"/>
      <c r="E203" t="str">
        <f t="shared" si="24"/>
        <v>Mitig|Variable 9|2045</v>
      </c>
    </row>
    <row r="204" spans="1:5">
      <c r="A204" t="str">
        <f>INDEX(Controller!$H$2:$H$11,INT((ROW()-2)/70)+1)</f>
        <v>Mitig</v>
      </c>
      <c r="B204" s="2">
        <v>2050</v>
      </c>
      <c r="C204" t="str">
        <f>INDEX(Controller!$J$2:$J$11,MOD(INT((ROW()-2)/7),10)+1)</f>
        <v>Variable 9</v>
      </c>
      <c r="D204" s="4"/>
      <c r="E204" t="str">
        <f t="shared" si="24"/>
        <v>Mitig|Variable 9|2050</v>
      </c>
    </row>
    <row r="205" spans="1:5">
      <c r="A205" t="str">
        <f>INDEX(Controller!$H$2:$H$11,INT((ROW()-2)/70)+1)</f>
        <v>Mitig</v>
      </c>
      <c r="B205" s="2">
        <v>2022</v>
      </c>
      <c r="C205" t="str">
        <f>INDEX(Controller!$J$2:$J$11,MOD(INT((ROW()-2)/7),10)+1)</f>
        <v>Variable 10</v>
      </c>
      <c r="D205" s="4"/>
      <c r="E205" t="str">
        <f t="shared" si="24"/>
        <v>Mitig|Variable 10|2022</v>
      </c>
    </row>
    <row r="206" spans="1:5">
      <c r="A206" t="str">
        <f>INDEX(Controller!$H$2:$H$11,INT((ROW()-2)/70)+1)</f>
        <v>Mitig</v>
      </c>
      <c r="B206" s="2">
        <v>2025</v>
      </c>
      <c r="C206" t="str">
        <f>INDEX(Controller!$J$2:$J$11,MOD(INT((ROW()-2)/7),10)+1)</f>
        <v>Variable 10</v>
      </c>
      <c r="D206" s="4"/>
      <c r="E206" t="str">
        <f t="shared" si="24"/>
        <v>Mitig|Variable 10|2025</v>
      </c>
    </row>
    <row r="207" spans="1:5">
      <c r="A207" t="str">
        <f>INDEX(Controller!$H$2:$H$11,INT((ROW()-2)/70)+1)</f>
        <v>Mitig</v>
      </c>
      <c r="B207" s="2">
        <v>2030</v>
      </c>
      <c r="C207" t="str">
        <f>INDEX(Controller!$J$2:$J$11,MOD(INT((ROW()-2)/7),10)+1)</f>
        <v>Variable 10</v>
      </c>
      <c r="D207" s="4"/>
      <c r="E207" t="str">
        <f t="shared" si="24"/>
        <v>Mitig|Variable 10|2030</v>
      </c>
    </row>
    <row r="208" spans="1:5">
      <c r="A208" t="str">
        <f>INDEX(Controller!$H$2:$H$11,INT((ROW()-2)/70)+1)</f>
        <v>Mitig</v>
      </c>
      <c r="B208" s="2">
        <v>2035</v>
      </c>
      <c r="C208" t="str">
        <f>INDEX(Controller!$J$2:$J$11,MOD(INT((ROW()-2)/7),10)+1)</f>
        <v>Variable 10</v>
      </c>
      <c r="D208" s="4"/>
      <c r="E208" t="str">
        <f t="shared" si="24"/>
        <v>Mitig|Variable 10|2035</v>
      </c>
    </row>
    <row r="209" spans="1:5">
      <c r="A209" t="str">
        <f>INDEX(Controller!$H$2:$H$11,INT((ROW()-2)/70)+1)</f>
        <v>Mitig</v>
      </c>
      <c r="B209" s="2">
        <v>2040</v>
      </c>
      <c r="C209" t="str">
        <f>INDEX(Controller!$J$2:$J$11,MOD(INT((ROW()-2)/7),10)+1)</f>
        <v>Variable 10</v>
      </c>
      <c r="D209" s="4"/>
      <c r="E209" t="str">
        <f t="shared" si="24"/>
        <v>Mitig|Variable 10|2040</v>
      </c>
    </row>
    <row r="210" spans="1:5">
      <c r="A210" t="str">
        <f>INDEX(Controller!$H$2:$H$11,INT((ROW()-2)/70)+1)</f>
        <v>Mitig</v>
      </c>
      <c r="B210" s="2">
        <v>2045</v>
      </c>
      <c r="C210" t="str">
        <f>INDEX(Controller!$J$2:$J$11,MOD(INT((ROW()-2)/7),10)+1)</f>
        <v>Variable 10</v>
      </c>
      <c r="D210" s="4"/>
      <c r="E210" t="str">
        <f t="shared" si="24"/>
        <v>Mitig|Variable 10|2045</v>
      </c>
    </row>
    <row r="211" spans="1:5">
      <c r="A211" t="str">
        <f>INDEX(Controller!$H$2:$H$11,INT((ROW()-2)/70)+1)</f>
        <v>Mitig</v>
      </c>
      <c r="B211" s="2">
        <v>2050</v>
      </c>
      <c r="C211" t="str">
        <f>INDEX(Controller!$J$2:$J$11,MOD(INT((ROW()-2)/7),10)+1)</f>
        <v>Variable 10</v>
      </c>
      <c r="D211" s="4"/>
      <c r="E211" t="str">
        <f t="shared" si="24"/>
        <v>Mitig|Variable 10|2050</v>
      </c>
    </row>
    <row r="212" spans="1:5">
      <c r="A212" t="str">
        <f>INDEX(Controller!$H$2:$H$11,INT((ROW()-2)/70)+1)</f>
        <v>NZ</v>
      </c>
      <c r="B212" s="2">
        <v>2022</v>
      </c>
      <c r="C212" t="str">
        <f>INDEX(Controller!$J$2:$J$11,MOD(INT((ROW()-2)/7),10)+1)</f>
        <v>hydrogen_allsect</v>
      </c>
      <c r="D212" s="4">
        <v>0</v>
      </c>
      <c r="E212" t="str">
        <f t="shared" si="24"/>
        <v>NZ|hydrogen_allsect|2022</v>
      </c>
    </row>
    <row r="213" spans="1:5">
      <c r="A213" t="str">
        <f>INDEX(Controller!$H$2:$H$11,INT((ROW()-2)/70)+1)</f>
        <v>NZ</v>
      </c>
      <c r="B213" s="2">
        <v>2025</v>
      </c>
      <c r="C213" t="str">
        <f>INDEX(Controller!$J$2:$J$11,MOD(INT((ROW()-2)/7),10)+1)</f>
        <v>hydrogen_allsect</v>
      </c>
      <c r="D213" s="4">
        <f>D212*8%+D212</f>
        <v>0</v>
      </c>
      <c r="E213" t="str">
        <f t="shared" si="24"/>
        <v>NZ|hydrogen_allsect|2025</v>
      </c>
    </row>
    <row r="214" spans="1:5">
      <c r="A214" t="str">
        <f>INDEX(Controller!$H$2:$H$11,INT((ROW()-2)/70)+1)</f>
        <v>NZ</v>
      </c>
      <c r="B214" s="2">
        <v>2030</v>
      </c>
      <c r="C214" t="str">
        <f>INDEX(Controller!$J$2:$J$11,MOD(INT((ROW()-2)/7),10)+1)</f>
        <v>hydrogen_allsect</v>
      </c>
      <c r="D214" s="4">
        <f t="shared" ref="D214:D218" si="25">D213*8%+D213</f>
        <v>0</v>
      </c>
      <c r="E214" t="str">
        <f t="shared" si="24"/>
        <v>NZ|hydrogen_allsect|2030</v>
      </c>
    </row>
    <row r="215" spans="1:5">
      <c r="A215" t="str">
        <f>INDEX(Controller!$H$2:$H$11,INT((ROW()-2)/70)+1)</f>
        <v>NZ</v>
      </c>
      <c r="B215" s="2">
        <v>2035</v>
      </c>
      <c r="C215" t="str">
        <f>INDEX(Controller!$J$2:$J$11,MOD(INT((ROW()-2)/7),10)+1)</f>
        <v>hydrogen_allsect</v>
      </c>
      <c r="D215" s="4">
        <f t="shared" si="25"/>
        <v>0</v>
      </c>
      <c r="E215" t="str">
        <f t="shared" si="24"/>
        <v>NZ|hydrogen_allsect|2035</v>
      </c>
    </row>
    <row r="216" spans="1:5">
      <c r="A216" t="str">
        <f>INDEX(Controller!$H$2:$H$11,INT((ROW()-2)/70)+1)</f>
        <v>NZ</v>
      </c>
      <c r="B216" s="2">
        <v>2040</v>
      </c>
      <c r="C216" t="str">
        <f>INDEX(Controller!$J$2:$J$11,MOD(INT((ROW()-2)/7),10)+1)</f>
        <v>hydrogen_allsect</v>
      </c>
      <c r="D216" s="4">
        <f t="shared" si="25"/>
        <v>0</v>
      </c>
      <c r="E216" t="str">
        <f t="shared" si="24"/>
        <v>NZ|hydrogen_allsect|2040</v>
      </c>
    </row>
    <row r="217" spans="1:5">
      <c r="A217" t="str">
        <f>INDEX(Controller!$H$2:$H$11,INT((ROW()-2)/70)+1)</f>
        <v>NZ</v>
      </c>
      <c r="B217" s="2">
        <v>2045</v>
      </c>
      <c r="C217" t="str">
        <f>INDEX(Controller!$J$2:$J$11,MOD(INT((ROW()-2)/7),10)+1)</f>
        <v>hydrogen_allsect</v>
      </c>
      <c r="D217" s="4">
        <f t="shared" si="25"/>
        <v>0</v>
      </c>
      <c r="E217" t="str">
        <f t="shared" si="24"/>
        <v>NZ|hydrogen_allsect|2045</v>
      </c>
    </row>
    <row r="218" spans="1:5">
      <c r="A218" t="str">
        <f>INDEX(Controller!$H$2:$H$11,INT((ROW()-2)/70)+1)</f>
        <v>NZ</v>
      </c>
      <c r="B218" s="2">
        <v>2050</v>
      </c>
      <c r="C218" t="str">
        <f>INDEX(Controller!$J$2:$J$11,MOD(INT((ROW()-2)/7),10)+1)</f>
        <v>hydrogen_allsect</v>
      </c>
      <c r="D218" s="4">
        <f t="shared" si="25"/>
        <v>0</v>
      </c>
      <c r="E218" t="str">
        <f t="shared" si="24"/>
        <v>NZ|hydrogen_allsect|2050</v>
      </c>
    </row>
    <row r="219" spans="1:5">
      <c r="A219" t="str">
        <f>INDEX(Controller!$H$2:$H$11,INT((ROW()-2)/70)+1)</f>
        <v>NZ</v>
      </c>
      <c r="B219" s="2">
        <v>2022</v>
      </c>
      <c r="C219" t="str">
        <f>INDEX(Controller!$J$2:$J$11,MOD(INT((ROW()-2)/7),10)+1)</f>
        <v>elc_industry</v>
      </c>
      <c r="D219" s="4">
        <v>65.478899999999996</v>
      </c>
      <c r="E219" t="str">
        <f t="shared" si="24"/>
        <v>NZ|elc_industry|2022</v>
      </c>
    </row>
    <row r="220" spans="1:5">
      <c r="A220" t="str">
        <f>INDEX(Controller!$H$2:$H$11,INT((ROW()-2)/70)+1)</f>
        <v>NZ</v>
      </c>
      <c r="B220" s="2">
        <v>2025</v>
      </c>
      <c r="C220" t="str">
        <f>INDEX(Controller!$J$2:$J$11,MOD(INT((ROW()-2)/7),10)+1)</f>
        <v>elc_industry</v>
      </c>
      <c r="D220" s="4">
        <f>D219*8%+D219</f>
        <v>70.717211999999989</v>
      </c>
      <c r="E220" t="str">
        <f t="shared" si="24"/>
        <v>NZ|elc_industry|2025</v>
      </c>
    </row>
    <row r="221" spans="1:5">
      <c r="A221" t="str">
        <f>INDEX(Controller!$H$2:$H$11,INT((ROW()-2)/70)+1)</f>
        <v>NZ</v>
      </c>
      <c r="B221" s="2">
        <v>2030</v>
      </c>
      <c r="C221" t="str">
        <f>INDEX(Controller!$J$2:$J$11,MOD(INT((ROW()-2)/7),10)+1)</f>
        <v>elc_industry</v>
      </c>
      <c r="D221" s="4">
        <f t="shared" ref="D221:D225" si="26">D220*8%+D220</f>
        <v>76.374588959999983</v>
      </c>
      <c r="E221" t="str">
        <f t="shared" si="24"/>
        <v>NZ|elc_industry|2030</v>
      </c>
    </row>
    <row r="222" spans="1:5">
      <c r="A222" t="str">
        <f>INDEX(Controller!$H$2:$H$11,INT((ROW()-2)/70)+1)</f>
        <v>NZ</v>
      </c>
      <c r="B222" s="2">
        <v>2035</v>
      </c>
      <c r="C222" t="str">
        <f>INDEX(Controller!$J$2:$J$11,MOD(INT((ROW()-2)/7),10)+1)</f>
        <v>elc_industry</v>
      </c>
      <c r="D222" s="4">
        <f t="shared" si="26"/>
        <v>82.484556076799976</v>
      </c>
      <c r="E222" t="str">
        <f t="shared" si="24"/>
        <v>NZ|elc_industry|2035</v>
      </c>
    </row>
    <row r="223" spans="1:5">
      <c r="A223" t="str">
        <f>INDEX(Controller!$H$2:$H$11,INT((ROW()-2)/70)+1)</f>
        <v>NZ</v>
      </c>
      <c r="B223" s="2">
        <v>2040</v>
      </c>
      <c r="C223" t="str">
        <f>INDEX(Controller!$J$2:$J$11,MOD(INT((ROW()-2)/7),10)+1)</f>
        <v>elc_industry</v>
      </c>
      <c r="D223" s="4">
        <f t="shared" si="26"/>
        <v>89.083320562943968</v>
      </c>
      <c r="E223" t="str">
        <f t="shared" si="24"/>
        <v>NZ|elc_industry|2040</v>
      </c>
    </row>
    <row r="224" spans="1:5">
      <c r="A224" t="str">
        <f>INDEX(Controller!$H$2:$H$11,INT((ROW()-2)/70)+1)</f>
        <v>NZ</v>
      </c>
      <c r="B224" s="2">
        <v>2045</v>
      </c>
      <c r="C224" t="str">
        <f>INDEX(Controller!$J$2:$J$11,MOD(INT((ROW()-2)/7),10)+1)</f>
        <v>elc_industry</v>
      </c>
      <c r="D224" s="4">
        <f t="shared" si="26"/>
        <v>96.209986207979483</v>
      </c>
      <c r="E224" t="str">
        <f t="shared" si="24"/>
        <v>NZ|elc_industry|2045</v>
      </c>
    </row>
    <row r="225" spans="1:5">
      <c r="A225" t="str">
        <f>INDEX(Controller!$H$2:$H$11,INT((ROW()-2)/70)+1)</f>
        <v>NZ</v>
      </c>
      <c r="B225" s="2">
        <v>2050</v>
      </c>
      <c r="C225" t="str">
        <f>INDEX(Controller!$J$2:$J$11,MOD(INT((ROW()-2)/7),10)+1)</f>
        <v>elc_industry</v>
      </c>
      <c r="D225" s="4">
        <f t="shared" si="26"/>
        <v>103.90678510461784</v>
      </c>
      <c r="E225" t="str">
        <f t="shared" si="24"/>
        <v>NZ|elc_industry|2050</v>
      </c>
    </row>
    <row r="226" spans="1:5">
      <c r="A226" t="str">
        <f>INDEX(Controller!$H$2:$H$11,INT((ROW()-2)/70)+1)</f>
        <v>NZ</v>
      </c>
      <c r="B226" s="2">
        <v>2022</v>
      </c>
      <c r="C226" t="str">
        <f>INDEX(Controller!$J$2:$J$11,MOD(INT((ROW()-2)/7),10)+1)</f>
        <v>elc_buildings</v>
      </c>
      <c r="D226" s="4">
        <v>104.41229999999999</v>
      </c>
      <c r="E226" t="str">
        <f t="shared" si="24"/>
        <v>NZ|elc_buildings|2022</v>
      </c>
    </row>
    <row r="227" spans="1:5">
      <c r="A227" t="str">
        <f>INDEX(Controller!$H$2:$H$11,INT((ROW()-2)/70)+1)</f>
        <v>NZ</v>
      </c>
      <c r="B227" s="2">
        <v>2025</v>
      </c>
      <c r="C227" t="str">
        <f>INDEX(Controller!$J$2:$J$11,MOD(INT((ROW()-2)/7),10)+1)</f>
        <v>elc_buildings</v>
      </c>
      <c r="D227" s="4">
        <f t="shared" ref="D227:D232" si="27">D226*10%+D226</f>
        <v>114.85352999999999</v>
      </c>
      <c r="E227" t="str">
        <f t="shared" si="24"/>
        <v>NZ|elc_buildings|2025</v>
      </c>
    </row>
    <row r="228" spans="1:5">
      <c r="A228" t="str">
        <f>INDEX(Controller!$H$2:$H$11,INT((ROW()-2)/70)+1)</f>
        <v>NZ</v>
      </c>
      <c r="B228" s="2">
        <v>2030</v>
      </c>
      <c r="C228" t="str">
        <f>INDEX(Controller!$J$2:$J$11,MOD(INT((ROW()-2)/7),10)+1)</f>
        <v>elc_buildings</v>
      </c>
      <c r="D228" s="4">
        <f t="shared" si="27"/>
        <v>126.338883</v>
      </c>
      <c r="E228" t="str">
        <f t="shared" si="24"/>
        <v>NZ|elc_buildings|2030</v>
      </c>
    </row>
    <row r="229" spans="1:5">
      <c r="A229" t="str">
        <f>INDEX(Controller!$H$2:$H$11,INT((ROW()-2)/70)+1)</f>
        <v>NZ</v>
      </c>
      <c r="B229" s="2">
        <v>2035</v>
      </c>
      <c r="C229" t="str">
        <f>INDEX(Controller!$J$2:$J$11,MOD(INT((ROW()-2)/7),10)+1)</f>
        <v>elc_buildings</v>
      </c>
      <c r="D229" s="4">
        <f t="shared" si="27"/>
        <v>138.97277130000001</v>
      </c>
      <c r="E229" t="str">
        <f t="shared" si="24"/>
        <v>NZ|elc_buildings|2035</v>
      </c>
    </row>
    <row r="230" spans="1:5">
      <c r="A230" t="str">
        <f>INDEX(Controller!$H$2:$H$11,INT((ROW()-2)/70)+1)</f>
        <v>NZ</v>
      </c>
      <c r="B230" s="2">
        <v>2040</v>
      </c>
      <c r="C230" t="str">
        <f>INDEX(Controller!$J$2:$J$11,MOD(INT((ROW()-2)/7),10)+1)</f>
        <v>elc_buildings</v>
      </c>
      <c r="D230" s="4">
        <f t="shared" si="27"/>
        <v>152.87004843</v>
      </c>
      <c r="E230" t="str">
        <f t="shared" si="24"/>
        <v>NZ|elc_buildings|2040</v>
      </c>
    </row>
    <row r="231" spans="1:5">
      <c r="A231" t="str">
        <f>INDEX(Controller!$H$2:$H$11,INT((ROW()-2)/70)+1)</f>
        <v>NZ</v>
      </c>
      <c r="B231" s="2">
        <v>2045</v>
      </c>
      <c r="C231" t="str">
        <f>INDEX(Controller!$J$2:$J$11,MOD(INT((ROW()-2)/7),10)+1)</f>
        <v>elc_buildings</v>
      </c>
      <c r="D231" s="4">
        <f t="shared" si="27"/>
        <v>168.157053273</v>
      </c>
      <c r="E231" t="str">
        <f t="shared" si="24"/>
        <v>NZ|elc_buildings|2045</v>
      </c>
    </row>
    <row r="232" spans="1:5">
      <c r="A232" t="str">
        <f>INDEX(Controller!$H$2:$H$11,INT((ROW()-2)/70)+1)</f>
        <v>NZ</v>
      </c>
      <c r="B232" s="2">
        <v>2050</v>
      </c>
      <c r="C232" t="str">
        <f>INDEX(Controller!$J$2:$J$11,MOD(INT((ROW()-2)/7),10)+1)</f>
        <v>elc_buildings</v>
      </c>
      <c r="D232" s="4">
        <f t="shared" si="27"/>
        <v>184.97275860030001</v>
      </c>
      <c r="E232" t="str">
        <f t="shared" si="24"/>
        <v>NZ|elc_buildings|2050</v>
      </c>
    </row>
    <row r="233" spans="1:5">
      <c r="A233" t="str">
        <f>INDEX(Controller!$H$2:$H$11,INT((ROW()-2)/70)+1)</f>
        <v>NZ</v>
      </c>
      <c r="B233" s="2">
        <v>2022</v>
      </c>
      <c r="C233" t="str">
        <f>INDEX(Controller!$J$2:$J$11,MOD(INT((ROW()-2)/7),10)+1)</f>
        <v>elc_transport</v>
      </c>
      <c r="D233" s="4">
        <v>5.3090999999999999</v>
      </c>
      <c r="E233" t="str">
        <f t="shared" si="24"/>
        <v>NZ|elc_transport|2022</v>
      </c>
    </row>
    <row r="234" spans="1:5">
      <c r="A234" t="str">
        <f>INDEX(Controller!$H$2:$H$11,INT((ROW()-2)/70)+1)</f>
        <v>NZ</v>
      </c>
      <c r="B234" s="2">
        <v>2025</v>
      </c>
      <c r="C234" t="str">
        <f>INDEX(Controller!$J$2:$J$11,MOD(INT((ROW()-2)/7),10)+1)</f>
        <v>elc_transport</v>
      </c>
      <c r="D234" s="4">
        <f>D233*8%+D233</f>
        <v>5.7338279999999999</v>
      </c>
      <c r="E234" t="str">
        <f t="shared" si="24"/>
        <v>NZ|elc_transport|2025</v>
      </c>
    </row>
    <row r="235" spans="1:5">
      <c r="A235" t="str">
        <f>INDEX(Controller!$H$2:$H$11,INT((ROW()-2)/70)+1)</f>
        <v>NZ</v>
      </c>
      <c r="B235" s="2">
        <v>2030</v>
      </c>
      <c r="C235" t="str">
        <f>INDEX(Controller!$J$2:$J$11,MOD(INT((ROW()-2)/7),10)+1)</f>
        <v>elc_transport</v>
      </c>
      <c r="D235" s="4">
        <f t="shared" ref="D235:D239" si="28">D234*8%+D234</f>
        <v>6.1925342399999996</v>
      </c>
      <c r="E235" t="str">
        <f t="shared" si="24"/>
        <v>NZ|elc_transport|2030</v>
      </c>
    </row>
    <row r="236" spans="1:5">
      <c r="A236" t="str">
        <f>INDEX(Controller!$H$2:$H$11,INT((ROW()-2)/70)+1)</f>
        <v>NZ</v>
      </c>
      <c r="B236" s="2">
        <v>2035</v>
      </c>
      <c r="C236" t="str">
        <f>INDEX(Controller!$J$2:$J$11,MOD(INT((ROW()-2)/7),10)+1)</f>
        <v>elc_transport</v>
      </c>
      <c r="D236" s="4">
        <f t="shared" si="28"/>
        <v>6.6879369791999999</v>
      </c>
      <c r="E236" t="str">
        <f t="shared" si="24"/>
        <v>NZ|elc_transport|2035</v>
      </c>
    </row>
    <row r="237" spans="1:5">
      <c r="A237" t="str">
        <f>INDEX(Controller!$H$2:$H$11,INT((ROW()-2)/70)+1)</f>
        <v>NZ</v>
      </c>
      <c r="B237" s="2">
        <v>2040</v>
      </c>
      <c r="C237" t="str">
        <f>INDEX(Controller!$J$2:$J$11,MOD(INT((ROW()-2)/7),10)+1)</f>
        <v>elc_transport</v>
      </c>
      <c r="D237" s="4">
        <f t="shared" si="28"/>
        <v>7.2229719375360002</v>
      </c>
      <c r="E237" t="str">
        <f t="shared" si="24"/>
        <v>NZ|elc_transport|2040</v>
      </c>
    </row>
    <row r="238" spans="1:5">
      <c r="A238" t="str">
        <f>INDEX(Controller!$H$2:$H$11,INT((ROW()-2)/70)+1)</f>
        <v>NZ</v>
      </c>
      <c r="B238" s="2">
        <v>2045</v>
      </c>
      <c r="C238" t="str">
        <f>INDEX(Controller!$J$2:$J$11,MOD(INT((ROW()-2)/7),10)+1)</f>
        <v>elc_transport</v>
      </c>
      <c r="D238" s="4">
        <f t="shared" si="28"/>
        <v>7.8008096925388806</v>
      </c>
      <c r="E238" t="str">
        <f t="shared" si="24"/>
        <v>NZ|elc_transport|2045</v>
      </c>
    </row>
    <row r="239" spans="1:5">
      <c r="A239" t="str">
        <f>INDEX(Controller!$H$2:$H$11,INT((ROW()-2)/70)+1)</f>
        <v>NZ</v>
      </c>
      <c r="B239" s="2">
        <v>2050</v>
      </c>
      <c r="C239" t="str">
        <f>INDEX(Controller!$J$2:$J$11,MOD(INT((ROW()-2)/7),10)+1)</f>
        <v>elc_transport</v>
      </c>
      <c r="D239" s="4">
        <f t="shared" si="28"/>
        <v>8.4248744679419918</v>
      </c>
      <c r="E239" t="str">
        <f t="shared" si="24"/>
        <v>NZ|elc_transport|2050</v>
      </c>
    </row>
    <row r="240" spans="1:5">
      <c r="A240" t="str">
        <f>INDEX(Controller!$H$2:$H$11,INT((ROW()-2)/70)+1)</f>
        <v>NZ</v>
      </c>
      <c r="B240" s="2">
        <v>2022</v>
      </c>
      <c r="C240" t="str">
        <f>INDEX(Controller!$J$2:$J$11,MOD(INT((ROW()-2)/7),10)+1)</f>
        <v>elc_roadtransport</v>
      </c>
      <c r="D240" s="4">
        <v>1.7697000000000287</v>
      </c>
      <c r="E240" t="str">
        <f t="shared" si="24"/>
        <v>NZ|elc_roadtransport|2022</v>
      </c>
    </row>
    <row r="241" spans="1:5">
      <c r="A241" t="str">
        <f>INDEX(Controller!$H$2:$H$11,INT((ROW()-2)/70)+1)</f>
        <v>NZ</v>
      </c>
      <c r="B241" s="2">
        <v>2025</v>
      </c>
      <c r="C241" t="str">
        <f>INDEX(Controller!$J$2:$J$11,MOD(INT((ROW()-2)/7),10)+1)</f>
        <v>elc_roadtransport</v>
      </c>
      <c r="D241" s="4">
        <f t="shared" ref="D241:D246" si="29">D240*100%+D240</f>
        <v>3.5394000000000574</v>
      </c>
      <c r="E241" t="str">
        <f t="shared" si="24"/>
        <v>NZ|elc_roadtransport|2025</v>
      </c>
    </row>
    <row r="242" spans="1:5">
      <c r="A242" t="str">
        <f>INDEX(Controller!$H$2:$H$11,INT((ROW()-2)/70)+1)</f>
        <v>NZ</v>
      </c>
      <c r="B242" s="2">
        <v>2030</v>
      </c>
      <c r="C242" t="str">
        <f>INDEX(Controller!$J$2:$J$11,MOD(INT((ROW()-2)/7),10)+1)</f>
        <v>elc_roadtransport</v>
      </c>
      <c r="D242" s="4">
        <f t="shared" si="29"/>
        <v>7.0788000000001148</v>
      </c>
      <c r="E242" t="str">
        <f t="shared" si="24"/>
        <v>NZ|elc_roadtransport|2030</v>
      </c>
    </row>
    <row r="243" spans="1:5">
      <c r="A243" t="str">
        <f>INDEX(Controller!$H$2:$H$11,INT((ROW()-2)/70)+1)</f>
        <v>NZ</v>
      </c>
      <c r="B243" s="2">
        <v>2035</v>
      </c>
      <c r="C243" t="str">
        <f>INDEX(Controller!$J$2:$J$11,MOD(INT((ROW()-2)/7),10)+1)</f>
        <v>elc_roadtransport</v>
      </c>
      <c r="D243" s="4">
        <f t="shared" si="29"/>
        <v>14.15760000000023</v>
      </c>
      <c r="E243" t="str">
        <f t="shared" si="24"/>
        <v>NZ|elc_roadtransport|2035</v>
      </c>
    </row>
    <row r="244" spans="1:5">
      <c r="A244" t="str">
        <f>INDEX(Controller!$H$2:$H$11,INT((ROW()-2)/70)+1)</f>
        <v>NZ</v>
      </c>
      <c r="B244" s="2">
        <v>2040</v>
      </c>
      <c r="C244" t="str">
        <f>INDEX(Controller!$J$2:$J$11,MOD(INT((ROW()-2)/7),10)+1)</f>
        <v>elc_roadtransport</v>
      </c>
      <c r="D244" s="4">
        <f t="shared" si="29"/>
        <v>28.315200000000459</v>
      </c>
      <c r="E244" t="str">
        <f t="shared" si="24"/>
        <v>NZ|elc_roadtransport|2040</v>
      </c>
    </row>
    <row r="245" spans="1:5">
      <c r="A245" t="str">
        <f>INDEX(Controller!$H$2:$H$11,INT((ROW()-2)/70)+1)</f>
        <v>NZ</v>
      </c>
      <c r="B245" s="2">
        <v>2045</v>
      </c>
      <c r="C245" t="str">
        <f>INDEX(Controller!$J$2:$J$11,MOD(INT((ROW()-2)/7),10)+1)</f>
        <v>elc_roadtransport</v>
      </c>
      <c r="D245" s="4">
        <f t="shared" si="29"/>
        <v>56.630400000000918</v>
      </c>
      <c r="E245" t="str">
        <f t="shared" si="24"/>
        <v>NZ|elc_roadtransport|2045</v>
      </c>
    </row>
    <row r="246" spans="1:5">
      <c r="A246" t="str">
        <f>INDEX(Controller!$H$2:$H$11,INT((ROW()-2)/70)+1)</f>
        <v>NZ</v>
      </c>
      <c r="B246" s="2">
        <v>2050</v>
      </c>
      <c r="C246" t="str">
        <f>INDEX(Controller!$J$2:$J$11,MOD(INT((ROW()-2)/7),10)+1)</f>
        <v>elc_roadtransport</v>
      </c>
      <c r="D246" s="4">
        <f t="shared" si="29"/>
        <v>113.26080000000184</v>
      </c>
      <c r="E246" t="str">
        <f t="shared" si="24"/>
        <v>NZ|elc_roadtransport|2050</v>
      </c>
    </row>
    <row r="247" spans="1:5">
      <c r="A247" t="str">
        <f>INDEX(Controller!$H$2:$H$11,INT((ROW()-2)/70)+1)</f>
        <v>NZ</v>
      </c>
      <c r="B247" s="2">
        <v>2022</v>
      </c>
      <c r="C247" t="str">
        <f>INDEX(Controller!$J$2:$J$11,MOD(INT((ROW()-2)/7),10)+1)</f>
        <v>het_industry</v>
      </c>
      <c r="D247" s="4">
        <v>9.7690000000000001</v>
      </c>
      <c r="E247" t="str">
        <f t="shared" si="24"/>
        <v>NZ|het_industry|2022</v>
      </c>
    </row>
    <row r="248" spans="1:5">
      <c r="A248" t="str">
        <f>INDEX(Controller!$H$2:$H$11,INT((ROW()-2)/70)+1)</f>
        <v>NZ</v>
      </c>
      <c r="B248" s="2">
        <v>2025</v>
      </c>
      <c r="C248" t="str">
        <f>INDEX(Controller!$J$2:$J$11,MOD(INT((ROW()-2)/7),10)+1)</f>
        <v>het_industry</v>
      </c>
      <c r="D248" s="4">
        <f>D247*8%+D247</f>
        <v>10.550520000000001</v>
      </c>
      <c r="E248" t="str">
        <f t="shared" si="24"/>
        <v>NZ|het_industry|2025</v>
      </c>
    </row>
    <row r="249" spans="1:5">
      <c r="A249" t="str">
        <f>INDEX(Controller!$H$2:$H$11,INT((ROW()-2)/70)+1)</f>
        <v>NZ</v>
      </c>
      <c r="B249" s="2">
        <v>2030</v>
      </c>
      <c r="C249" t="str">
        <f>INDEX(Controller!$J$2:$J$11,MOD(INT((ROW()-2)/7),10)+1)</f>
        <v>het_industry</v>
      </c>
      <c r="D249" s="4">
        <f t="shared" ref="D249:D253" si="30">D248*8%+D248</f>
        <v>11.394561600000001</v>
      </c>
      <c r="E249" t="str">
        <f t="shared" si="24"/>
        <v>NZ|het_industry|2030</v>
      </c>
    </row>
    <row r="250" spans="1:5">
      <c r="A250" t="str">
        <f>INDEX(Controller!$H$2:$H$11,INT((ROW()-2)/70)+1)</f>
        <v>NZ</v>
      </c>
      <c r="B250" s="2">
        <v>2035</v>
      </c>
      <c r="C250" t="str">
        <f>INDEX(Controller!$J$2:$J$11,MOD(INT((ROW()-2)/7),10)+1)</f>
        <v>het_industry</v>
      </c>
      <c r="D250" s="4">
        <f t="shared" si="30"/>
        <v>12.306126528000002</v>
      </c>
      <c r="E250" t="str">
        <f t="shared" si="24"/>
        <v>NZ|het_industry|2035</v>
      </c>
    </row>
    <row r="251" spans="1:5">
      <c r="A251" t="str">
        <f>INDEX(Controller!$H$2:$H$11,INT((ROW()-2)/70)+1)</f>
        <v>NZ</v>
      </c>
      <c r="B251" s="2">
        <v>2040</v>
      </c>
      <c r="C251" t="str">
        <f>INDEX(Controller!$J$2:$J$11,MOD(INT((ROW()-2)/7),10)+1)</f>
        <v>het_industry</v>
      </c>
      <c r="D251" s="4">
        <f t="shared" si="30"/>
        <v>13.290616650240002</v>
      </c>
      <c r="E251" t="str">
        <f t="shared" si="24"/>
        <v>NZ|het_industry|2040</v>
      </c>
    </row>
    <row r="252" spans="1:5">
      <c r="A252" t="str">
        <f>INDEX(Controller!$H$2:$H$11,INT((ROW()-2)/70)+1)</f>
        <v>NZ</v>
      </c>
      <c r="B252" s="2">
        <v>2045</v>
      </c>
      <c r="C252" t="str">
        <f>INDEX(Controller!$J$2:$J$11,MOD(INT((ROW()-2)/7),10)+1)</f>
        <v>het_industry</v>
      </c>
      <c r="D252" s="4">
        <f t="shared" si="30"/>
        <v>14.353865982259203</v>
      </c>
      <c r="E252" t="str">
        <f t="shared" si="24"/>
        <v>NZ|het_industry|2045</v>
      </c>
    </row>
    <row r="253" spans="1:5">
      <c r="A253" t="str">
        <f>INDEX(Controller!$H$2:$H$11,INT((ROW()-2)/70)+1)</f>
        <v>NZ</v>
      </c>
      <c r="B253" s="2">
        <v>2050</v>
      </c>
      <c r="C253" t="str">
        <f>INDEX(Controller!$J$2:$J$11,MOD(INT((ROW()-2)/7),10)+1)</f>
        <v>het_industry</v>
      </c>
      <c r="D253" s="4">
        <f t="shared" si="30"/>
        <v>15.502175260839939</v>
      </c>
      <c r="E253" t="str">
        <f t="shared" si="24"/>
        <v>NZ|het_industry|2050</v>
      </c>
    </row>
    <row r="254" spans="1:5">
      <c r="A254" t="str">
        <f>INDEX(Controller!$H$2:$H$11,INT((ROW()-2)/70)+1)</f>
        <v>NZ</v>
      </c>
      <c r="B254" s="2">
        <v>2022</v>
      </c>
      <c r="C254" t="str">
        <f>INDEX(Controller!$J$2:$J$11,MOD(INT((ROW()-2)/7),10)+1)</f>
        <v>het_buildings</v>
      </c>
      <c r="D254" s="4">
        <v>55.512999999999998</v>
      </c>
      <c r="E254" t="str">
        <f t="shared" si="24"/>
        <v>NZ|het_buildings|2022</v>
      </c>
    </row>
    <row r="255" spans="1:5">
      <c r="A255" t="str">
        <f>INDEX(Controller!$H$2:$H$11,INT((ROW()-2)/70)+1)</f>
        <v>NZ</v>
      </c>
      <c r="B255" s="2">
        <v>2025</v>
      </c>
      <c r="C255" t="str">
        <f>INDEX(Controller!$J$2:$J$11,MOD(INT((ROW()-2)/7),10)+1)</f>
        <v>het_buildings</v>
      </c>
      <c r="D255" s="4">
        <f>D254</f>
        <v>55.512999999999998</v>
      </c>
      <c r="E255" t="str">
        <f t="shared" si="24"/>
        <v>NZ|het_buildings|2025</v>
      </c>
    </row>
    <row r="256" spans="1:5">
      <c r="A256" t="str">
        <f>INDEX(Controller!$H$2:$H$11,INT((ROW()-2)/70)+1)</f>
        <v>NZ</v>
      </c>
      <c r="B256" s="2">
        <v>2030</v>
      </c>
      <c r="C256" t="str">
        <f>INDEX(Controller!$J$2:$J$11,MOD(INT((ROW()-2)/7),10)+1)</f>
        <v>het_buildings</v>
      </c>
      <c r="D256" s="4">
        <f t="shared" ref="D256:D260" si="31">D255</f>
        <v>55.512999999999998</v>
      </c>
      <c r="E256" t="str">
        <f t="shared" si="24"/>
        <v>NZ|het_buildings|2030</v>
      </c>
    </row>
    <row r="257" spans="1:5">
      <c r="A257" t="str">
        <f>INDEX(Controller!$H$2:$H$11,INT((ROW()-2)/70)+1)</f>
        <v>NZ</v>
      </c>
      <c r="B257" s="2">
        <v>2035</v>
      </c>
      <c r="C257" t="str">
        <f>INDEX(Controller!$J$2:$J$11,MOD(INT((ROW()-2)/7),10)+1)</f>
        <v>het_buildings</v>
      </c>
      <c r="D257" s="4">
        <f t="shared" si="31"/>
        <v>55.512999999999998</v>
      </c>
      <c r="E257" t="str">
        <f t="shared" si="24"/>
        <v>NZ|het_buildings|2035</v>
      </c>
    </row>
    <row r="258" spans="1:5">
      <c r="A258" t="str">
        <f>INDEX(Controller!$H$2:$H$11,INT((ROW()-2)/70)+1)</f>
        <v>NZ</v>
      </c>
      <c r="B258" s="2">
        <v>2040</v>
      </c>
      <c r="C258" t="str">
        <f>INDEX(Controller!$J$2:$J$11,MOD(INT((ROW()-2)/7),10)+1)</f>
        <v>het_buildings</v>
      </c>
      <c r="D258" s="4">
        <f t="shared" si="31"/>
        <v>55.512999999999998</v>
      </c>
      <c r="E258" t="str">
        <f t="shared" ref="E258:E321" si="32">A258&amp;"|"&amp;C258&amp;"|"&amp;B258</f>
        <v>NZ|het_buildings|2040</v>
      </c>
    </row>
    <row r="259" spans="1:5">
      <c r="A259" t="str">
        <f>INDEX(Controller!$H$2:$H$11,INT((ROW()-2)/70)+1)</f>
        <v>NZ</v>
      </c>
      <c r="B259" s="2">
        <v>2045</v>
      </c>
      <c r="C259" t="str">
        <f>INDEX(Controller!$J$2:$J$11,MOD(INT((ROW()-2)/7),10)+1)</f>
        <v>het_buildings</v>
      </c>
      <c r="D259" s="4">
        <f t="shared" si="31"/>
        <v>55.512999999999998</v>
      </c>
      <c r="E259" t="str">
        <f t="shared" si="32"/>
        <v>NZ|het_buildings|2045</v>
      </c>
    </row>
    <row r="260" spans="1:5">
      <c r="A260" t="str">
        <f>INDEX(Controller!$H$2:$H$11,INT((ROW()-2)/70)+1)</f>
        <v>NZ</v>
      </c>
      <c r="B260" s="2">
        <v>2050</v>
      </c>
      <c r="C260" t="str">
        <f>INDEX(Controller!$J$2:$J$11,MOD(INT((ROW()-2)/7),10)+1)</f>
        <v>het_buildings</v>
      </c>
      <c r="D260" s="4">
        <f t="shared" si="31"/>
        <v>55.512999999999998</v>
      </c>
      <c r="E260" t="str">
        <f t="shared" si="32"/>
        <v>NZ|het_buildings|2050</v>
      </c>
    </row>
    <row r="261" spans="1:5">
      <c r="A261" t="str">
        <f>INDEX(Controller!$H$2:$H$11,INT((ROW()-2)/70)+1)</f>
        <v>NZ</v>
      </c>
      <c r="B261" s="2">
        <v>2022</v>
      </c>
      <c r="C261" t="str">
        <f>INDEX(Controller!$J$2:$J$11,MOD(INT((ROW()-2)/7),10)+1)</f>
        <v>co2net</v>
      </c>
      <c r="D261" s="4">
        <v>0</v>
      </c>
      <c r="E261" t="str">
        <f t="shared" si="32"/>
        <v>NZ|co2net|2022</v>
      </c>
    </row>
    <row r="262" spans="1:5">
      <c r="A262" t="str">
        <f>INDEX(Controller!$H$2:$H$11,INT((ROW()-2)/70)+1)</f>
        <v>NZ</v>
      </c>
      <c r="B262" s="2">
        <v>2025</v>
      </c>
      <c r="C262" t="str">
        <f>INDEX(Controller!$J$2:$J$11,MOD(INT((ROW()-2)/7),10)+1)</f>
        <v>co2net</v>
      </c>
      <c r="D262" s="26">
        <f>_xlfn.FORECAST.LINEAR(B262,CHOOSE({1,2},D261,D267),CHOOSE({1,2},B261,B267))</f>
        <v>48.214285714282596</v>
      </c>
      <c r="E262" t="str">
        <f t="shared" si="32"/>
        <v>NZ|co2net|2025</v>
      </c>
    </row>
    <row r="263" spans="1:5">
      <c r="A263" t="str">
        <f>INDEX(Controller!$H$2:$H$11,INT((ROW()-2)/70)+1)</f>
        <v>NZ</v>
      </c>
      <c r="B263" s="2">
        <v>2030</v>
      </c>
      <c r="C263" t="str">
        <f>INDEX(Controller!$J$2:$J$11,MOD(INT((ROW()-2)/7),10)+1)</f>
        <v>co2net</v>
      </c>
      <c r="D263" s="26">
        <f>_xlfn.FORECAST.LINEAR(B263,CHOOSE({1,2},D261,D267),CHOOSE({1,2},B261,B267))</f>
        <v>128.57142857142753</v>
      </c>
      <c r="E263" t="str">
        <f t="shared" si="32"/>
        <v>NZ|co2net|2030</v>
      </c>
    </row>
    <row r="264" spans="1:5">
      <c r="A264" t="str">
        <f>INDEX(Controller!$H$2:$H$11,INT((ROW()-2)/70)+1)</f>
        <v>NZ</v>
      </c>
      <c r="B264" s="2">
        <v>2035</v>
      </c>
      <c r="C264" t="str">
        <f>INDEX(Controller!$J$2:$J$11,MOD(INT((ROW()-2)/7),10)+1)</f>
        <v>co2net</v>
      </c>
      <c r="D264" s="26">
        <f>_xlfn.FORECAST.LINEAR(B264,CHOOSE({1,2},D261,D267),CHOOSE({1,2},B261,B267))</f>
        <v>208.92857142856883</v>
      </c>
      <c r="E264" t="str">
        <f t="shared" si="32"/>
        <v>NZ|co2net|2035</v>
      </c>
    </row>
    <row r="265" spans="1:5">
      <c r="A265" t="str">
        <f>INDEX(Controller!$H$2:$H$11,INT((ROW()-2)/70)+1)</f>
        <v>NZ</v>
      </c>
      <c r="B265" s="2">
        <v>2040</v>
      </c>
      <c r="C265" t="str">
        <f>INDEX(Controller!$J$2:$J$11,MOD(INT((ROW()-2)/7),10)+1)</f>
        <v>co2net</v>
      </c>
      <c r="D265" s="26">
        <f>_xlfn.FORECAST.LINEAR(B265,CHOOSE({1,2},D261,D267),CHOOSE({1,2},B261,B267))</f>
        <v>289.28571428571377</v>
      </c>
      <c r="E265" t="str">
        <f t="shared" si="32"/>
        <v>NZ|co2net|2040</v>
      </c>
    </row>
    <row r="266" spans="1:5">
      <c r="A266" t="str">
        <f>INDEX(Controller!$H$2:$H$11,INT((ROW()-2)/70)+1)</f>
        <v>NZ</v>
      </c>
      <c r="B266" s="2">
        <v>2045</v>
      </c>
      <c r="C266" t="str">
        <f>INDEX(Controller!$J$2:$J$11,MOD(INT((ROW()-2)/7),10)+1)</f>
        <v>co2net</v>
      </c>
      <c r="D266" s="26">
        <f>_xlfn.FORECAST.LINEAR(B266,CHOOSE({1,2},D261,D267),CHOOSE({1,2},B261,B267))</f>
        <v>369.6428571428587</v>
      </c>
      <c r="E266" t="str">
        <f t="shared" si="32"/>
        <v>NZ|co2net|2045</v>
      </c>
    </row>
    <row r="267" spans="1:5">
      <c r="A267" t="str">
        <f>INDEX(Controller!$H$2:$H$11,INT((ROW()-2)/70)+1)</f>
        <v>NZ</v>
      </c>
      <c r="B267" s="2">
        <v>2050</v>
      </c>
      <c r="C267" t="str">
        <f>INDEX(Controller!$J$2:$J$11,MOD(INT((ROW()-2)/7),10)+1)</f>
        <v>co2net</v>
      </c>
      <c r="D267" s="4">
        <v>450</v>
      </c>
      <c r="E267" t="str">
        <f t="shared" si="32"/>
        <v>NZ|co2net|2050</v>
      </c>
    </row>
    <row r="268" spans="1:5">
      <c r="A268" t="str">
        <f>INDEX(Controller!$H$2:$H$11,INT((ROW()-2)/70)+1)</f>
        <v>NZ</v>
      </c>
      <c r="B268" s="2">
        <v>2022</v>
      </c>
      <c r="C268" t="str">
        <f>INDEX(Controller!$J$2:$J$11,MOD(INT((ROW()-2)/7),10)+1)</f>
        <v>Variable 9</v>
      </c>
      <c r="D268" s="4"/>
      <c r="E268" t="str">
        <f t="shared" si="32"/>
        <v>NZ|Variable 9|2022</v>
      </c>
    </row>
    <row r="269" spans="1:5">
      <c r="A269" t="str">
        <f>INDEX(Controller!$H$2:$H$11,INT((ROW()-2)/70)+1)</f>
        <v>NZ</v>
      </c>
      <c r="B269" s="2">
        <v>2025</v>
      </c>
      <c r="C269" t="str">
        <f>INDEX(Controller!$J$2:$J$11,MOD(INT((ROW()-2)/7),10)+1)</f>
        <v>Variable 9</v>
      </c>
      <c r="D269" s="4"/>
      <c r="E269" t="str">
        <f t="shared" si="32"/>
        <v>NZ|Variable 9|2025</v>
      </c>
    </row>
    <row r="270" spans="1:5">
      <c r="A270" t="str">
        <f>INDEX(Controller!$H$2:$H$11,INT((ROW()-2)/70)+1)</f>
        <v>NZ</v>
      </c>
      <c r="B270" s="2">
        <v>2030</v>
      </c>
      <c r="C270" t="str">
        <f>INDEX(Controller!$J$2:$J$11,MOD(INT((ROW()-2)/7),10)+1)</f>
        <v>Variable 9</v>
      </c>
      <c r="D270" s="4"/>
      <c r="E270" t="str">
        <f t="shared" si="32"/>
        <v>NZ|Variable 9|2030</v>
      </c>
    </row>
    <row r="271" spans="1:5">
      <c r="A271" t="str">
        <f>INDEX(Controller!$H$2:$H$11,INT((ROW()-2)/70)+1)</f>
        <v>NZ</v>
      </c>
      <c r="B271" s="2">
        <v>2035</v>
      </c>
      <c r="C271" t="str">
        <f>INDEX(Controller!$J$2:$J$11,MOD(INT((ROW()-2)/7),10)+1)</f>
        <v>Variable 9</v>
      </c>
      <c r="D271" s="4"/>
      <c r="E271" t="str">
        <f t="shared" si="32"/>
        <v>NZ|Variable 9|2035</v>
      </c>
    </row>
    <row r="272" spans="1:5">
      <c r="A272" t="str">
        <f>INDEX(Controller!$H$2:$H$11,INT((ROW()-2)/70)+1)</f>
        <v>NZ</v>
      </c>
      <c r="B272" s="2">
        <v>2040</v>
      </c>
      <c r="C272" t="str">
        <f>INDEX(Controller!$J$2:$J$11,MOD(INT((ROW()-2)/7),10)+1)</f>
        <v>Variable 9</v>
      </c>
      <c r="D272" s="4"/>
      <c r="E272" t="str">
        <f t="shared" si="32"/>
        <v>NZ|Variable 9|2040</v>
      </c>
    </row>
    <row r="273" spans="1:5">
      <c r="A273" t="str">
        <f>INDEX(Controller!$H$2:$H$11,INT((ROW()-2)/70)+1)</f>
        <v>NZ</v>
      </c>
      <c r="B273" s="2">
        <v>2045</v>
      </c>
      <c r="C273" t="str">
        <f>INDEX(Controller!$J$2:$J$11,MOD(INT((ROW()-2)/7),10)+1)</f>
        <v>Variable 9</v>
      </c>
      <c r="D273" s="4"/>
      <c r="E273" t="str">
        <f t="shared" si="32"/>
        <v>NZ|Variable 9|2045</v>
      </c>
    </row>
    <row r="274" spans="1:5">
      <c r="A274" t="str">
        <f>INDEX(Controller!$H$2:$H$11,INT((ROW()-2)/70)+1)</f>
        <v>NZ</v>
      </c>
      <c r="B274" s="2">
        <v>2050</v>
      </c>
      <c r="C274" t="str">
        <f>INDEX(Controller!$J$2:$J$11,MOD(INT((ROW()-2)/7),10)+1)</f>
        <v>Variable 9</v>
      </c>
      <c r="D274" s="4"/>
      <c r="E274" t="str">
        <f t="shared" si="32"/>
        <v>NZ|Variable 9|2050</v>
      </c>
    </row>
    <row r="275" spans="1:5">
      <c r="A275" t="str">
        <f>INDEX(Controller!$H$2:$H$11,INT((ROW()-2)/70)+1)</f>
        <v>NZ</v>
      </c>
      <c r="B275" s="2">
        <v>2022</v>
      </c>
      <c r="C275" t="str">
        <f>INDEX(Controller!$J$2:$J$11,MOD(INT((ROW()-2)/7),10)+1)</f>
        <v>Variable 10</v>
      </c>
      <c r="D275" s="4"/>
      <c r="E275" t="str">
        <f t="shared" si="32"/>
        <v>NZ|Variable 10|2022</v>
      </c>
    </row>
    <row r="276" spans="1:5">
      <c r="A276" t="str">
        <f>INDEX(Controller!$H$2:$H$11,INT((ROW()-2)/70)+1)</f>
        <v>NZ</v>
      </c>
      <c r="B276" s="2">
        <v>2025</v>
      </c>
      <c r="C276" t="str">
        <f>INDEX(Controller!$J$2:$J$11,MOD(INT((ROW()-2)/7),10)+1)</f>
        <v>Variable 10</v>
      </c>
      <c r="D276" s="4"/>
      <c r="E276" t="str">
        <f t="shared" si="32"/>
        <v>NZ|Variable 10|2025</v>
      </c>
    </row>
    <row r="277" spans="1:5">
      <c r="A277" t="str">
        <f>INDEX(Controller!$H$2:$H$11,INT((ROW()-2)/70)+1)</f>
        <v>NZ</v>
      </c>
      <c r="B277" s="2">
        <v>2030</v>
      </c>
      <c r="C277" t="str">
        <f>INDEX(Controller!$J$2:$J$11,MOD(INT((ROW()-2)/7),10)+1)</f>
        <v>Variable 10</v>
      </c>
      <c r="D277" s="4"/>
      <c r="E277" t="str">
        <f t="shared" si="32"/>
        <v>NZ|Variable 10|2030</v>
      </c>
    </row>
    <row r="278" spans="1:5">
      <c r="A278" t="str">
        <f>INDEX(Controller!$H$2:$H$11,INT((ROW()-2)/70)+1)</f>
        <v>NZ</v>
      </c>
      <c r="B278" s="2">
        <v>2035</v>
      </c>
      <c r="C278" t="str">
        <f>INDEX(Controller!$J$2:$J$11,MOD(INT((ROW()-2)/7),10)+1)</f>
        <v>Variable 10</v>
      </c>
      <c r="D278" s="4"/>
      <c r="E278" t="str">
        <f t="shared" si="32"/>
        <v>NZ|Variable 10|2035</v>
      </c>
    </row>
    <row r="279" spans="1:5">
      <c r="A279" t="str">
        <f>INDEX(Controller!$H$2:$H$11,INT((ROW()-2)/70)+1)</f>
        <v>NZ</v>
      </c>
      <c r="B279" s="2">
        <v>2040</v>
      </c>
      <c r="C279" t="str">
        <f>INDEX(Controller!$J$2:$J$11,MOD(INT((ROW()-2)/7),10)+1)</f>
        <v>Variable 10</v>
      </c>
      <c r="D279" s="4"/>
      <c r="E279" t="str">
        <f t="shared" si="32"/>
        <v>NZ|Variable 10|2040</v>
      </c>
    </row>
    <row r="280" spans="1:5">
      <c r="A280" t="str">
        <f>INDEX(Controller!$H$2:$H$11,INT((ROW()-2)/70)+1)</f>
        <v>NZ</v>
      </c>
      <c r="B280" s="2">
        <v>2045</v>
      </c>
      <c r="C280" t="str">
        <f>INDEX(Controller!$J$2:$J$11,MOD(INT((ROW()-2)/7),10)+1)</f>
        <v>Variable 10</v>
      </c>
      <c r="D280" s="4"/>
      <c r="E280" t="str">
        <f t="shared" si="32"/>
        <v>NZ|Variable 10|2045</v>
      </c>
    </row>
    <row r="281" spans="1:5">
      <c r="A281" t="str">
        <f>INDEX(Controller!$H$2:$H$11,INT((ROW()-2)/70)+1)</f>
        <v>NZ</v>
      </c>
      <c r="B281" s="2">
        <v>2050</v>
      </c>
      <c r="C281" t="str">
        <f>INDEX(Controller!$J$2:$J$11,MOD(INT((ROW()-2)/7),10)+1)</f>
        <v>Variable 10</v>
      </c>
      <c r="D281" s="4"/>
      <c r="E281" t="str">
        <f t="shared" si="32"/>
        <v>NZ|Variable 10|2050</v>
      </c>
    </row>
    <row r="282" spans="1:5">
      <c r="A282" t="str">
        <f>INDEX(Controller!$H$2:$H$11,INT((ROW()-2)/70)+1)</f>
        <v>Scenario 5</v>
      </c>
      <c r="B282" s="2">
        <v>2022</v>
      </c>
      <c r="C282" t="str">
        <f>INDEX(Controller!$J$2:$J$11,MOD(INT((ROW()-2)/7),10)+1)</f>
        <v>hydrogen_allsect</v>
      </c>
      <c r="D282" s="4"/>
      <c r="E282" t="str">
        <f t="shared" si="32"/>
        <v>Scenario 5|hydrogen_allsect|2022</v>
      </c>
    </row>
    <row r="283" spans="1:5">
      <c r="A283" t="str">
        <f>INDEX(Controller!$H$2:$H$11,INT((ROW()-2)/70)+1)</f>
        <v>Scenario 5</v>
      </c>
      <c r="B283" s="2">
        <v>2025</v>
      </c>
      <c r="C283" t="str">
        <f>INDEX(Controller!$J$2:$J$11,MOD(INT((ROW()-2)/7),10)+1)</f>
        <v>hydrogen_allsect</v>
      </c>
      <c r="D283" s="4"/>
      <c r="E283" t="str">
        <f t="shared" si="32"/>
        <v>Scenario 5|hydrogen_allsect|2025</v>
      </c>
    </row>
    <row r="284" spans="1:5">
      <c r="A284" t="str">
        <f>INDEX(Controller!$H$2:$H$11,INT((ROW()-2)/70)+1)</f>
        <v>Scenario 5</v>
      </c>
      <c r="B284" s="2">
        <v>2030</v>
      </c>
      <c r="C284" t="str">
        <f>INDEX(Controller!$J$2:$J$11,MOD(INT((ROW()-2)/7),10)+1)</f>
        <v>hydrogen_allsect</v>
      </c>
      <c r="D284" s="4"/>
      <c r="E284" t="str">
        <f t="shared" si="32"/>
        <v>Scenario 5|hydrogen_allsect|2030</v>
      </c>
    </row>
    <row r="285" spans="1:5">
      <c r="A285" t="str">
        <f>INDEX(Controller!$H$2:$H$11,INT((ROW()-2)/70)+1)</f>
        <v>Scenario 5</v>
      </c>
      <c r="B285" s="2">
        <v>2035</v>
      </c>
      <c r="C285" t="str">
        <f>INDEX(Controller!$J$2:$J$11,MOD(INT((ROW()-2)/7),10)+1)</f>
        <v>hydrogen_allsect</v>
      </c>
      <c r="D285" s="4"/>
      <c r="E285" t="str">
        <f t="shared" si="32"/>
        <v>Scenario 5|hydrogen_allsect|2035</v>
      </c>
    </row>
    <row r="286" spans="1:5">
      <c r="A286" t="str">
        <f>INDEX(Controller!$H$2:$H$11,INT((ROW()-2)/70)+1)</f>
        <v>Scenario 5</v>
      </c>
      <c r="B286" s="2">
        <v>2040</v>
      </c>
      <c r="C286" t="str">
        <f>INDEX(Controller!$J$2:$J$11,MOD(INT((ROW()-2)/7),10)+1)</f>
        <v>hydrogen_allsect</v>
      </c>
      <c r="D286" s="4"/>
      <c r="E286" t="str">
        <f t="shared" si="32"/>
        <v>Scenario 5|hydrogen_allsect|2040</v>
      </c>
    </row>
    <row r="287" spans="1:5">
      <c r="A287" t="str">
        <f>INDEX(Controller!$H$2:$H$11,INT((ROW()-2)/70)+1)</f>
        <v>Scenario 5</v>
      </c>
      <c r="B287" s="2">
        <v>2045</v>
      </c>
      <c r="C287" t="str">
        <f>INDEX(Controller!$J$2:$J$11,MOD(INT((ROW()-2)/7),10)+1)</f>
        <v>hydrogen_allsect</v>
      </c>
      <c r="D287" s="4"/>
      <c r="E287" t="str">
        <f t="shared" si="32"/>
        <v>Scenario 5|hydrogen_allsect|2045</v>
      </c>
    </row>
    <row r="288" spans="1:5">
      <c r="A288" t="str">
        <f>INDEX(Controller!$H$2:$H$11,INT((ROW()-2)/70)+1)</f>
        <v>Scenario 5</v>
      </c>
      <c r="B288" s="2">
        <v>2050</v>
      </c>
      <c r="C288" t="str">
        <f>INDEX(Controller!$J$2:$J$11,MOD(INT((ROW()-2)/7),10)+1)</f>
        <v>hydrogen_allsect</v>
      </c>
      <c r="D288" s="4"/>
      <c r="E288" t="str">
        <f t="shared" si="32"/>
        <v>Scenario 5|hydrogen_allsect|2050</v>
      </c>
    </row>
    <row r="289" spans="1:5">
      <c r="A289" t="str">
        <f>INDEX(Controller!$H$2:$H$11,INT((ROW()-2)/70)+1)</f>
        <v>Scenario 5</v>
      </c>
      <c r="B289" s="2">
        <v>2022</v>
      </c>
      <c r="C289" t="str">
        <f>INDEX(Controller!$J$2:$J$11,MOD(INT((ROW()-2)/7),10)+1)</f>
        <v>elc_industry</v>
      </c>
      <c r="D289" s="4"/>
      <c r="E289" t="str">
        <f t="shared" si="32"/>
        <v>Scenario 5|elc_industry|2022</v>
      </c>
    </row>
    <row r="290" spans="1:5">
      <c r="A290" t="str">
        <f>INDEX(Controller!$H$2:$H$11,INT((ROW()-2)/70)+1)</f>
        <v>Scenario 5</v>
      </c>
      <c r="B290" s="2">
        <v>2025</v>
      </c>
      <c r="C290" t="str">
        <f>INDEX(Controller!$J$2:$J$11,MOD(INT((ROW()-2)/7),10)+1)</f>
        <v>elc_industry</v>
      </c>
      <c r="D290" s="4"/>
      <c r="E290" t="str">
        <f t="shared" si="32"/>
        <v>Scenario 5|elc_industry|2025</v>
      </c>
    </row>
    <row r="291" spans="1:5">
      <c r="A291" t="str">
        <f>INDEX(Controller!$H$2:$H$11,INT((ROW()-2)/70)+1)</f>
        <v>Scenario 5</v>
      </c>
      <c r="B291" s="2">
        <v>2030</v>
      </c>
      <c r="C291" t="str">
        <f>INDEX(Controller!$J$2:$J$11,MOD(INT((ROW()-2)/7),10)+1)</f>
        <v>elc_industry</v>
      </c>
      <c r="D291" s="4"/>
      <c r="E291" t="str">
        <f t="shared" si="32"/>
        <v>Scenario 5|elc_industry|2030</v>
      </c>
    </row>
    <row r="292" spans="1:5">
      <c r="A292" t="str">
        <f>INDEX(Controller!$H$2:$H$11,INT((ROW()-2)/70)+1)</f>
        <v>Scenario 5</v>
      </c>
      <c r="B292" s="2">
        <v>2035</v>
      </c>
      <c r="C292" t="str">
        <f>INDEX(Controller!$J$2:$J$11,MOD(INT((ROW()-2)/7),10)+1)</f>
        <v>elc_industry</v>
      </c>
      <c r="D292" s="4"/>
      <c r="E292" t="str">
        <f t="shared" si="32"/>
        <v>Scenario 5|elc_industry|2035</v>
      </c>
    </row>
    <row r="293" spans="1:5">
      <c r="A293" t="str">
        <f>INDEX(Controller!$H$2:$H$11,INT((ROW()-2)/70)+1)</f>
        <v>Scenario 5</v>
      </c>
      <c r="B293" s="2">
        <v>2040</v>
      </c>
      <c r="C293" t="str">
        <f>INDEX(Controller!$J$2:$J$11,MOD(INT((ROW()-2)/7),10)+1)</f>
        <v>elc_industry</v>
      </c>
      <c r="D293" s="4"/>
      <c r="E293" t="str">
        <f t="shared" si="32"/>
        <v>Scenario 5|elc_industry|2040</v>
      </c>
    </row>
    <row r="294" spans="1:5">
      <c r="A294" t="str">
        <f>INDEX(Controller!$H$2:$H$11,INT((ROW()-2)/70)+1)</f>
        <v>Scenario 5</v>
      </c>
      <c r="B294" s="2">
        <v>2045</v>
      </c>
      <c r="C294" t="str">
        <f>INDEX(Controller!$J$2:$J$11,MOD(INT((ROW()-2)/7),10)+1)</f>
        <v>elc_industry</v>
      </c>
      <c r="D294" s="4"/>
      <c r="E294" t="str">
        <f t="shared" si="32"/>
        <v>Scenario 5|elc_industry|2045</v>
      </c>
    </row>
    <row r="295" spans="1:5">
      <c r="A295" t="str">
        <f>INDEX(Controller!$H$2:$H$11,INT((ROW()-2)/70)+1)</f>
        <v>Scenario 5</v>
      </c>
      <c r="B295" s="2">
        <v>2050</v>
      </c>
      <c r="C295" t="str">
        <f>INDEX(Controller!$J$2:$J$11,MOD(INT((ROW()-2)/7),10)+1)</f>
        <v>elc_industry</v>
      </c>
      <c r="D295" s="4"/>
      <c r="E295" t="str">
        <f t="shared" si="32"/>
        <v>Scenario 5|elc_industry|2050</v>
      </c>
    </row>
    <row r="296" spans="1:5">
      <c r="A296" t="str">
        <f>INDEX(Controller!$H$2:$H$11,INT((ROW()-2)/70)+1)</f>
        <v>Scenario 5</v>
      </c>
      <c r="B296" s="2">
        <v>2022</v>
      </c>
      <c r="C296" t="str">
        <f>INDEX(Controller!$J$2:$J$11,MOD(INT((ROW()-2)/7),10)+1)</f>
        <v>elc_buildings</v>
      </c>
      <c r="D296" s="4"/>
      <c r="E296" t="str">
        <f t="shared" si="32"/>
        <v>Scenario 5|elc_buildings|2022</v>
      </c>
    </row>
    <row r="297" spans="1:5">
      <c r="A297" t="str">
        <f>INDEX(Controller!$H$2:$H$11,INT((ROW()-2)/70)+1)</f>
        <v>Scenario 5</v>
      </c>
      <c r="B297" s="2">
        <v>2025</v>
      </c>
      <c r="C297" t="str">
        <f>INDEX(Controller!$J$2:$J$11,MOD(INT((ROW()-2)/7),10)+1)</f>
        <v>elc_buildings</v>
      </c>
      <c r="D297" s="4"/>
      <c r="E297" t="str">
        <f t="shared" si="32"/>
        <v>Scenario 5|elc_buildings|2025</v>
      </c>
    </row>
    <row r="298" spans="1:5">
      <c r="A298" t="str">
        <f>INDEX(Controller!$H$2:$H$11,INT((ROW()-2)/70)+1)</f>
        <v>Scenario 5</v>
      </c>
      <c r="B298" s="2">
        <v>2030</v>
      </c>
      <c r="C298" t="str">
        <f>INDEX(Controller!$J$2:$J$11,MOD(INT((ROW()-2)/7),10)+1)</f>
        <v>elc_buildings</v>
      </c>
      <c r="D298" s="4"/>
      <c r="E298" t="str">
        <f t="shared" si="32"/>
        <v>Scenario 5|elc_buildings|2030</v>
      </c>
    </row>
    <row r="299" spans="1:5">
      <c r="A299" t="str">
        <f>INDEX(Controller!$H$2:$H$11,INT((ROW()-2)/70)+1)</f>
        <v>Scenario 5</v>
      </c>
      <c r="B299" s="2">
        <v>2035</v>
      </c>
      <c r="C299" t="str">
        <f>INDEX(Controller!$J$2:$J$11,MOD(INT((ROW()-2)/7),10)+1)</f>
        <v>elc_buildings</v>
      </c>
      <c r="D299" s="4"/>
      <c r="E299" t="str">
        <f t="shared" si="32"/>
        <v>Scenario 5|elc_buildings|2035</v>
      </c>
    </row>
    <row r="300" spans="1:5">
      <c r="A300" t="str">
        <f>INDEX(Controller!$H$2:$H$11,INT((ROW()-2)/70)+1)</f>
        <v>Scenario 5</v>
      </c>
      <c r="B300" s="2">
        <v>2040</v>
      </c>
      <c r="C300" t="str">
        <f>INDEX(Controller!$J$2:$J$11,MOD(INT((ROW()-2)/7),10)+1)</f>
        <v>elc_buildings</v>
      </c>
      <c r="D300" s="4"/>
      <c r="E300" t="str">
        <f t="shared" si="32"/>
        <v>Scenario 5|elc_buildings|2040</v>
      </c>
    </row>
    <row r="301" spans="1:5">
      <c r="A301" t="str">
        <f>INDEX(Controller!$H$2:$H$11,INT((ROW()-2)/70)+1)</f>
        <v>Scenario 5</v>
      </c>
      <c r="B301" s="2">
        <v>2045</v>
      </c>
      <c r="C301" t="str">
        <f>INDEX(Controller!$J$2:$J$11,MOD(INT((ROW()-2)/7),10)+1)</f>
        <v>elc_buildings</v>
      </c>
      <c r="D301" s="4"/>
      <c r="E301" t="str">
        <f t="shared" si="32"/>
        <v>Scenario 5|elc_buildings|2045</v>
      </c>
    </row>
    <row r="302" spans="1:5">
      <c r="A302" t="str">
        <f>INDEX(Controller!$H$2:$H$11,INT((ROW()-2)/70)+1)</f>
        <v>Scenario 5</v>
      </c>
      <c r="B302" s="2">
        <v>2050</v>
      </c>
      <c r="C302" t="str">
        <f>INDEX(Controller!$J$2:$J$11,MOD(INT((ROW()-2)/7),10)+1)</f>
        <v>elc_buildings</v>
      </c>
      <c r="D302" s="4"/>
      <c r="E302" t="str">
        <f t="shared" si="32"/>
        <v>Scenario 5|elc_buildings|2050</v>
      </c>
    </row>
    <row r="303" spans="1:5">
      <c r="A303" t="str">
        <f>INDEX(Controller!$H$2:$H$11,INT((ROW()-2)/70)+1)</f>
        <v>Scenario 5</v>
      </c>
      <c r="B303" s="2">
        <v>2022</v>
      </c>
      <c r="C303" t="str">
        <f>INDEX(Controller!$J$2:$J$11,MOD(INT((ROW()-2)/7),10)+1)</f>
        <v>elc_transport</v>
      </c>
      <c r="D303" s="4"/>
      <c r="E303" t="str">
        <f t="shared" si="32"/>
        <v>Scenario 5|elc_transport|2022</v>
      </c>
    </row>
    <row r="304" spans="1:5">
      <c r="A304" t="str">
        <f>INDEX(Controller!$H$2:$H$11,INT((ROW()-2)/70)+1)</f>
        <v>Scenario 5</v>
      </c>
      <c r="B304" s="2">
        <v>2025</v>
      </c>
      <c r="C304" t="str">
        <f>INDEX(Controller!$J$2:$J$11,MOD(INT((ROW()-2)/7),10)+1)</f>
        <v>elc_transport</v>
      </c>
      <c r="D304" s="4"/>
      <c r="E304" t="str">
        <f t="shared" si="32"/>
        <v>Scenario 5|elc_transport|2025</v>
      </c>
    </row>
    <row r="305" spans="1:5">
      <c r="A305" t="str">
        <f>INDEX(Controller!$H$2:$H$11,INT((ROW()-2)/70)+1)</f>
        <v>Scenario 5</v>
      </c>
      <c r="B305" s="2">
        <v>2030</v>
      </c>
      <c r="C305" t="str">
        <f>INDEX(Controller!$J$2:$J$11,MOD(INT((ROW()-2)/7),10)+1)</f>
        <v>elc_transport</v>
      </c>
      <c r="D305" s="4"/>
      <c r="E305" t="str">
        <f t="shared" si="32"/>
        <v>Scenario 5|elc_transport|2030</v>
      </c>
    </row>
    <row r="306" spans="1:5">
      <c r="A306" t="str">
        <f>INDEX(Controller!$H$2:$H$11,INT((ROW()-2)/70)+1)</f>
        <v>Scenario 5</v>
      </c>
      <c r="B306" s="2">
        <v>2035</v>
      </c>
      <c r="C306" t="str">
        <f>INDEX(Controller!$J$2:$J$11,MOD(INT((ROW()-2)/7),10)+1)</f>
        <v>elc_transport</v>
      </c>
      <c r="D306" s="4"/>
      <c r="E306" t="str">
        <f t="shared" si="32"/>
        <v>Scenario 5|elc_transport|2035</v>
      </c>
    </row>
    <row r="307" spans="1:5">
      <c r="A307" t="str">
        <f>INDEX(Controller!$H$2:$H$11,INT((ROW()-2)/70)+1)</f>
        <v>Scenario 5</v>
      </c>
      <c r="B307" s="2">
        <v>2040</v>
      </c>
      <c r="C307" t="str">
        <f>INDEX(Controller!$J$2:$J$11,MOD(INT((ROW()-2)/7),10)+1)</f>
        <v>elc_transport</v>
      </c>
      <c r="D307" s="4"/>
      <c r="E307" t="str">
        <f t="shared" si="32"/>
        <v>Scenario 5|elc_transport|2040</v>
      </c>
    </row>
    <row r="308" spans="1:5">
      <c r="A308" t="str">
        <f>INDEX(Controller!$H$2:$H$11,INT((ROW()-2)/70)+1)</f>
        <v>Scenario 5</v>
      </c>
      <c r="B308" s="2">
        <v>2045</v>
      </c>
      <c r="C308" t="str">
        <f>INDEX(Controller!$J$2:$J$11,MOD(INT((ROW()-2)/7),10)+1)</f>
        <v>elc_transport</v>
      </c>
      <c r="D308" s="4"/>
      <c r="E308" t="str">
        <f t="shared" si="32"/>
        <v>Scenario 5|elc_transport|2045</v>
      </c>
    </row>
    <row r="309" spans="1:5">
      <c r="A309" t="str">
        <f>INDEX(Controller!$H$2:$H$11,INT((ROW()-2)/70)+1)</f>
        <v>Scenario 5</v>
      </c>
      <c r="B309" s="2">
        <v>2050</v>
      </c>
      <c r="C309" t="str">
        <f>INDEX(Controller!$J$2:$J$11,MOD(INT((ROW()-2)/7),10)+1)</f>
        <v>elc_transport</v>
      </c>
      <c r="D309" s="4"/>
      <c r="E309" t="str">
        <f t="shared" si="32"/>
        <v>Scenario 5|elc_transport|2050</v>
      </c>
    </row>
    <row r="310" spans="1:5">
      <c r="A310" t="str">
        <f>INDEX(Controller!$H$2:$H$11,INT((ROW()-2)/70)+1)</f>
        <v>Scenario 5</v>
      </c>
      <c r="B310" s="2">
        <v>2022</v>
      </c>
      <c r="C310" t="str">
        <f>INDEX(Controller!$J$2:$J$11,MOD(INT((ROW()-2)/7),10)+1)</f>
        <v>elc_roadtransport</v>
      </c>
      <c r="D310" s="4"/>
      <c r="E310" t="str">
        <f t="shared" si="32"/>
        <v>Scenario 5|elc_roadtransport|2022</v>
      </c>
    </row>
    <row r="311" spans="1:5">
      <c r="A311" t="str">
        <f>INDEX(Controller!$H$2:$H$11,INT((ROW()-2)/70)+1)</f>
        <v>Scenario 5</v>
      </c>
      <c r="B311" s="2">
        <v>2025</v>
      </c>
      <c r="C311" t="str">
        <f>INDEX(Controller!$J$2:$J$11,MOD(INT((ROW()-2)/7),10)+1)</f>
        <v>elc_roadtransport</v>
      </c>
      <c r="D311" s="4"/>
      <c r="E311" t="str">
        <f t="shared" si="32"/>
        <v>Scenario 5|elc_roadtransport|2025</v>
      </c>
    </row>
    <row r="312" spans="1:5">
      <c r="A312" t="str">
        <f>INDEX(Controller!$H$2:$H$11,INT((ROW()-2)/70)+1)</f>
        <v>Scenario 5</v>
      </c>
      <c r="B312" s="2">
        <v>2030</v>
      </c>
      <c r="C312" t="str">
        <f>INDEX(Controller!$J$2:$J$11,MOD(INT((ROW()-2)/7),10)+1)</f>
        <v>elc_roadtransport</v>
      </c>
      <c r="D312" s="4"/>
      <c r="E312" t="str">
        <f t="shared" si="32"/>
        <v>Scenario 5|elc_roadtransport|2030</v>
      </c>
    </row>
    <row r="313" spans="1:5">
      <c r="A313" t="str">
        <f>INDEX(Controller!$H$2:$H$11,INT((ROW()-2)/70)+1)</f>
        <v>Scenario 5</v>
      </c>
      <c r="B313" s="2">
        <v>2035</v>
      </c>
      <c r="C313" t="str">
        <f>INDEX(Controller!$J$2:$J$11,MOD(INT((ROW()-2)/7),10)+1)</f>
        <v>elc_roadtransport</v>
      </c>
      <c r="D313" s="4"/>
      <c r="E313" t="str">
        <f t="shared" si="32"/>
        <v>Scenario 5|elc_roadtransport|2035</v>
      </c>
    </row>
    <row r="314" spans="1:5">
      <c r="A314" t="str">
        <f>INDEX(Controller!$H$2:$H$11,INT((ROW()-2)/70)+1)</f>
        <v>Scenario 5</v>
      </c>
      <c r="B314" s="2">
        <v>2040</v>
      </c>
      <c r="C314" t="str">
        <f>INDEX(Controller!$J$2:$J$11,MOD(INT((ROW()-2)/7),10)+1)</f>
        <v>elc_roadtransport</v>
      </c>
      <c r="D314" s="4"/>
      <c r="E314" t="str">
        <f t="shared" si="32"/>
        <v>Scenario 5|elc_roadtransport|2040</v>
      </c>
    </row>
    <row r="315" spans="1:5">
      <c r="A315" t="str">
        <f>INDEX(Controller!$H$2:$H$11,INT((ROW()-2)/70)+1)</f>
        <v>Scenario 5</v>
      </c>
      <c r="B315" s="2">
        <v>2045</v>
      </c>
      <c r="C315" t="str">
        <f>INDEX(Controller!$J$2:$J$11,MOD(INT((ROW()-2)/7),10)+1)</f>
        <v>elc_roadtransport</v>
      </c>
      <c r="D315" s="4"/>
      <c r="E315" t="str">
        <f t="shared" si="32"/>
        <v>Scenario 5|elc_roadtransport|2045</v>
      </c>
    </row>
    <row r="316" spans="1:5">
      <c r="A316" t="str">
        <f>INDEX(Controller!$H$2:$H$11,INT((ROW()-2)/70)+1)</f>
        <v>Scenario 5</v>
      </c>
      <c r="B316" s="2">
        <v>2050</v>
      </c>
      <c r="C316" t="str">
        <f>INDEX(Controller!$J$2:$J$11,MOD(INT((ROW()-2)/7),10)+1)</f>
        <v>elc_roadtransport</v>
      </c>
      <c r="D316" s="4"/>
      <c r="E316" t="str">
        <f t="shared" si="32"/>
        <v>Scenario 5|elc_roadtransport|2050</v>
      </c>
    </row>
    <row r="317" spans="1:5">
      <c r="A317" t="str">
        <f>INDEX(Controller!$H$2:$H$11,INT((ROW()-2)/70)+1)</f>
        <v>Scenario 5</v>
      </c>
      <c r="B317" s="2">
        <v>2022</v>
      </c>
      <c r="C317" t="str">
        <f>INDEX(Controller!$J$2:$J$11,MOD(INT((ROW()-2)/7),10)+1)</f>
        <v>het_industry</v>
      </c>
      <c r="D317" s="4"/>
      <c r="E317" t="str">
        <f t="shared" si="32"/>
        <v>Scenario 5|het_industry|2022</v>
      </c>
    </row>
    <row r="318" spans="1:5">
      <c r="A318" t="str">
        <f>INDEX(Controller!$H$2:$H$11,INT((ROW()-2)/70)+1)</f>
        <v>Scenario 5</v>
      </c>
      <c r="B318" s="2">
        <v>2025</v>
      </c>
      <c r="C318" t="str">
        <f>INDEX(Controller!$J$2:$J$11,MOD(INT((ROW()-2)/7),10)+1)</f>
        <v>het_industry</v>
      </c>
      <c r="D318" s="4"/>
      <c r="E318" t="str">
        <f t="shared" si="32"/>
        <v>Scenario 5|het_industry|2025</v>
      </c>
    </row>
    <row r="319" spans="1:5">
      <c r="A319" t="str">
        <f>INDEX(Controller!$H$2:$H$11,INT((ROW()-2)/70)+1)</f>
        <v>Scenario 5</v>
      </c>
      <c r="B319" s="2">
        <v>2030</v>
      </c>
      <c r="C319" t="str">
        <f>INDEX(Controller!$J$2:$J$11,MOD(INT((ROW()-2)/7),10)+1)</f>
        <v>het_industry</v>
      </c>
      <c r="D319" s="4"/>
      <c r="E319" t="str">
        <f t="shared" si="32"/>
        <v>Scenario 5|het_industry|2030</v>
      </c>
    </row>
    <row r="320" spans="1:5">
      <c r="A320" t="str">
        <f>INDEX(Controller!$H$2:$H$11,INT((ROW()-2)/70)+1)</f>
        <v>Scenario 5</v>
      </c>
      <c r="B320" s="2">
        <v>2035</v>
      </c>
      <c r="C320" t="str">
        <f>INDEX(Controller!$J$2:$J$11,MOD(INT((ROW()-2)/7),10)+1)</f>
        <v>het_industry</v>
      </c>
      <c r="D320" s="4"/>
      <c r="E320" t="str">
        <f t="shared" si="32"/>
        <v>Scenario 5|het_industry|2035</v>
      </c>
    </row>
    <row r="321" spans="1:5">
      <c r="A321" t="str">
        <f>INDEX(Controller!$H$2:$H$11,INT((ROW()-2)/70)+1)</f>
        <v>Scenario 5</v>
      </c>
      <c r="B321" s="2">
        <v>2040</v>
      </c>
      <c r="C321" t="str">
        <f>INDEX(Controller!$J$2:$J$11,MOD(INT((ROW()-2)/7),10)+1)</f>
        <v>het_industry</v>
      </c>
      <c r="D321" s="4"/>
      <c r="E321" t="str">
        <f t="shared" si="32"/>
        <v>Scenario 5|het_industry|2040</v>
      </c>
    </row>
    <row r="322" spans="1:5">
      <c r="A322" t="str">
        <f>INDEX(Controller!$H$2:$H$11,INT((ROW()-2)/70)+1)</f>
        <v>Scenario 5</v>
      </c>
      <c r="B322" s="2">
        <v>2045</v>
      </c>
      <c r="C322" t="str">
        <f>INDEX(Controller!$J$2:$J$11,MOD(INT((ROW()-2)/7),10)+1)</f>
        <v>het_industry</v>
      </c>
      <c r="D322" s="4"/>
      <c r="E322" t="str">
        <f t="shared" ref="E322:E385" si="33">A322&amp;"|"&amp;C322&amp;"|"&amp;B322</f>
        <v>Scenario 5|het_industry|2045</v>
      </c>
    </row>
    <row r="323" spans="1:5">
      <c r="A323" t="str">
        <f>INDEX(Controller!$H$2:$H$11,INT((ROW()-2)/70)+1)</f>
        <v>Scenario 5</v>
      </c>
      <c r="B323" s="2">
        <v>2050</v>
      </c>
      <c r="C323" t="str">
        <f>INDEX(Controller!$J$2:$J$11,MOD(INT((ROW()-2)/7),10)+1)</f>
        <v>het_industry</v>
      </c>
      <c r="D323" s="4"/>
      <c r="E323" t="str">
        <f t="shared" si="33"/>
        <v>Scenario 5|het_industry|2050</v>
      </c>
    </row>
    <row r="324" spans="1:5">
      <c r="A324" t="str">
        <f>INDEX(Controller!$H$2:$H$11,INT((ROW()-2)/70)+1)</f>
        <v>Scenario 5</v>
      </c>
      <c r="B324" s="2">
        <v>2022</v>
      </c>
      <c r="C324" t="str">
        <f>INDEX(Controller!$J$2:$J$11,MOD(INT((ROW()-2)/7),10)+1)</f>
        <v>het_buildings</v>
      </c>
      <c r="D324" s="4"/>
      <c r="E324" t="str">
        <f t="shared" si="33"/>
        <v>Scenario 5|het_buildings|2022</v>
      </c>
    </row>
    <row r="325" spans="1:5">
      <c r="A325" t="str">
        <f>INDEX(Controller!$H$2:$H$11,INT((ROW()-2)/70)+1)</f>
        <v>Scenario 5</v>
      </c>
      <c r="B325" s="2">
        <v>2025</v>
      </c>
      <c r="C325" t="str">
        <f>INDEX(Controller!$J$2:$J$11,MOD(INT((ROW()-2)/7),10)+1)</f>
        <v>het_buildings</v>
      </c>
      <c r="D325" s="4"/>
      <c r="E325" t="str">
        <f t="shared" si="33"/>
        <v>Scenario 5|het_buildings|2025</v>
      </c>
    </row>
    <row r="326" spans="1:5">
      <c r="A326" t="str">
        <f>INDEX(Controller!$H$2:$H$11,INT((ROW()-2)/70)+1)</f>
        <v>Scenario 5</v>
      </c>
      <c r="B326" s="2">
        <v>2030</v>
      </c>
      <c r="C326" t="str">
        <f>INDEX(Controller!$J$2:$J$11,MOD(INT((ROW()-2)/7),10)+1)</f>
        <v>het_buildings</v>
      </c>
      <c r="D326" s="4"/>
      <c r="E326" t="str">
        <f t="shared" si="33"/>
        <v>Scenario 5|het_buildings|2030</v>
      </c>
    </row>
    <row r="327" spans="1:5">
      <c r="A327" t="str">
        <f>INDEX(Controller!$H$2:$H$11,INT((ROW()-2)/70)+1)</f>
        <v>Scenario 5</v>
      </c>
      <c r="B327" s="2">
        <v>2035</v>
      </c>
      <c r="C327" t="str">
        <f>INDEX(Controller!$J$2:$J$11,MOD(INT((ROW()-2)/7),10)+1)</f>
        <v>het_buildings</v>
      </c>
      <c r="D327" s="4"/>
      <c r="E327" t="str">
        <f t="shared" si="33"/>
        <v>Scenario 5|het_buildings|2035</v>
      </c>
    </row>
    <row r="328" spans="1:5">
      <c r="A328" t="str">
        <f>INDEX(Controller!$H$2:$H$11,INT((ROW()-2)/70)+1)</f>
        <v>Scenario 5</v>
      </c>
      <c r="B328" s="2">
        <v>2040</v>
      </c>
      <c r="C328" t="str">
        <f>INDEX(Controller!$J$2:$J$11,MOD(INT((ROW()-2)/7),10)+1)</f>
        <v>het_buildings</v>
      </c>
      <c r="D328" s="4"/>
      <c r="E328" t="str">
        <f t="shared" si="33"/>
        <v>Scenario 5|het_buildings|2040</v>
      </c>
    </row>
    <row r="329" spans="1:5">
      <c r="A329" t="str">
        <f>INDEX(Controller!$H$2:$H$11,INT((ROW()-2)/70)+1)</f>
        <v>Scenario 5</v>
      </c>
      <c r="B329" s="2">
        <v>2045</v>
      </c>
      <c r="C329" t="str">
        <f>INDEX(Controller!$J$2:$J$11,MOD(INT((ROW()-2)/7),10)+1)</f>
        <v>het_buildings</v>
      </c>
      <c r="D329" s="4"/>
      <c r="E329" t="str">
        <f t="shared" si="33"/>
        <v>Scenario 5|het_buildings|2045</v>
      </c>
    </row>
    <row r="330" spans="1:5">
      <c r="A330" t="str">
        <f>INDEX(Controller!$H$2:$H$11,INT((ROW()-2)/70)+1)</f>
        <v>Scenario 5</v>
      </c>
      <c r="B330" s="2">
        <v>2050</v>
      </c>
      <c r="C330" t="str">
        <f>INDEX(Controller!$J$2:$J$11,MOD(INT((ROW()-2)/7),10)+1)</f>
        <v>het_buildings</v>
      </c>
      <c r="D330" s="4"/>
      <c r="E330" t="str">
        <f t="shared" si="33"/>
        <v>Scenario 5|het_buildings|2050</v>
      </c>
    </row>
    <row r="331" spans="1:5">
      <c r="A331" t="str">
        <f>INDEX(Controller!$H$2:$H$11,INT((ROW()-2)/70)+1)</f>
        <v>Scenario 5</v>
      </c>
      <c r="B331" s="2">
        <v>2022</v>
      </c>
      <c r="C331" t="str">
        <f>INDEX(Controller!$J$2:$J$11,MOD(INT((ROW()-2)/7),10)+1)</f>
        <v>co2net</v>
      </c>
      <c r="D331" s="4"/>
      <c r="E331" t="str">
        <f t="shared" si="33"/>
        <v>Scenario 5|co2net|2022</v>
      </c>
    </row>
    <row r="332" spans="1:5">
      <c r="A332" t="str">
        <f>INDEX(Controller!$H$2:$H$11,INT((ROW()-2)/70)+1)</f>
        <v>Scenario 5</v>
      </c>
      <c r="B332" s="2">
        <v>2025</v>
      </c>
      <c r="C332" t="str">
        <f>INDEX(Controller!$J$2:$J$11,MOD(INT((ROW()-2)/7),10)+1)</f>
        <v>co2net</v>
      </c>
      <c r="D332" s="4"/>
      <c r="E332" t="str">
        <f t="shared" si="33"/>
        <v>Scenario 5|co2net|2025</v>
      </c>
    </row>
    <row r="333" spans="1:5">
      <c r="A333" t="str">
        <f>INDEX(Controller!$H$2:$H$11,INT((ROW()-2)/70)+1)</f>
        <v>Scenario 5</v>
      </c>
      <c r="B333" s="2">
        <v>2030</v>
      </c>
      <c r="C333" t="str">
        <f>INDEX(Controller!$J$2:$J$11,MOD(INT((ROW()-2)/7),10)+1)</f>
        <v>co2net</v>
      </c>
      <c r="D333" s="4"/>
      <c r="E333" t="str">
        <f t="shared" si="33"/>
        <v>Scenario 5|co2net|2030</v>
      </c>
    </row>
    <row r="334" spans="1:5">
      <c r="A334" t="str">
        <f>INDEX(Controller!$H$2:$H$11,INT((ROW()-2)/70)+1)</f>
        <v>Scenario 5</v>
      </c>
      <c r="B334" s="2">
        <v>2035</v>
      </c>
      <c r="C334" t="str">
        <f>INDEX(Controller!$J$2:$J$11,MOD(INT((ROW()-2)/7),10)+1)</f>
        <v>co2net</v>
      </c>
      <c r="D334" s="4"/>
      <c r="E334" t="str">
        <f t="shared" si="33"/>
        <v>Scenario 5|co2net|2035</v>
      </c>
    </row>
    <row r="335" spans="1:5">
      <c r="A335" t="str">
        <f>INDEX(Controller!$H$2:$H$11,INT((ROW()-2)/70)+1)</f>
        <v>Scenario 5</v>
      </c>
      <c r="B335" s="2">
        <v>2040</v>
      </c>
      <c r="C335" t="str">
        <f>INDEX(Controller!$J$2:$J$11,MOD(INT((ROW()-2)/7),10)+1)</f>
        <v>co2net</v>
      </c>
      <c r="D335" s="4"/>
      <c r="E335" t="str">
        <f t="shared" si="33"/>
        <v>Scenario 5|co2net|2040</v>
      </c>
    </row>
    <row r="336" spans="1:5">
      <c r="A336" t="str">
        <f>INDEX(Controller!$H$2:$H$11,INT((ROW()-2)/70)+1)</f>
        <v>Scenario 5</v>
      </c>
      <c r="B336" s="2">
        <v>2045</v>
      </c>
      <c r="C336" t="str">
        <f>INDEX(Controller!$J$2:$J$11,MOD(INT((ROW()-2)/7),10)+1)</f>
        <v>co2net</v>
      </c>
      <c r="D336" s="4"/>
      <c r="E336" t="str">
        <f t="shared" si="33"/>
        <v>Scenario 5|co2net|2045</v>
      </c>
    </row>
    <row r="337" spans="1:5">
      <c r="A337" t="str">
        <f>INDEX(Controller!$H$2:$H$11,INT((ROW()-2)/70)+1)</f>
        <v>Scenario 5</v>
      </c>
      <c r="B337" s="2">
        <v>2050</v>
      </c>
      <c r="C337" t="str">
        <f>INDEX(Controller!$J$2:$J$11,MOD(INT((ROW()-2)/7),10)+1)</f>
        <v>co2net</v>
      </c>
      <c r="D337" s="4"/>
      <c r="E337" t="str">
        <f t="shared" si="33"/>
        <v>Scenario 5|co2net|2050</v>
      </c>
    </row>
    <row r="338" spans="1:5">
      <c r="A338" t="str">
        <f>INDEX(Controller!$H$2:$H$11,INT((ROW()-2)/70)+1)</f>
        <v>Scenario 5</v>
      </c>
      <c r="B338" s="2">
        <v>2022</v>
      </c>
      <c r="C338" t="str">
        <f>INDEX(Controller!$J$2:$J$11,MOD(INT((ROW()-2)/7),10)+1)</f>
        <v>Variable 9</v>
      </c>
      <c r="D338" s="4"/>
      <c r="E338" t="str">
        <f t="shared" si="33"/>
        <v>Scenario 5|Variable 9|2022</v>
      </c>
    </row>
    <row r="339" spans="1:5">
      <c r="A339" t="str">
        <f>INDEX(Controller!$H$2:$H$11,INT((ROW()-2)/70)+1)</f>
        <v>Scenario 5</v>
      </c>
      <c r="B339" s="2">
        <v>2025</v>
      </c>
      <c r="C339" t="str">
        <f>INDEX(Controller!$J$2:$J$11,MOD(INT((ROW()-2)/7),10)+1)</f>
        <v>Variable 9</v>
      </c>
      <c r="D339" s="4"/>
      <c r="E339" t="str">
        <f t="shared" si="33"/>
        <v>Scenario 5|Variable 9|2025</v>
      </c>
    </row>
    <row r="340" spans="1:5">
      <c r="A340" t="str">
        <f>INDEX(Controller!$H$2:$H$11,INT((ROW()-2)/70)+1)</f>
        <v>Scenario 5</v>
      </c>
      <c r="B340" s="2">
        <v>2030</v>
      </c>
      <c r="C340" t="str">
        <f>INDEX(Controller!$J$2:$J$11,MOD(INT((ROW()-2)/7),10)+1)</f>
        <v>Variable 9</v>
      </c>
      <c r="D340" s="4"/>
      <c r="E340" t="str">
        <f t="shared" si="33"/>
        <v>Scenario 5|Variable 9|2030</v>
      </c>
    </row>
    <row r="341" spans="1:5">
      <c r="A341" t="str">
        <f>INDEX(Controller!$H$2:$H$11,INT((ROW()-2)/70)+1)</f>
        <v>Scenario 5</v>
      </c>
      <c r="B341" s="2">
        <v>2035</v>
      </c>
      <c r="C341" t="str">
        <f>INDEX(Controller!$J$2:$J$11,MOD(INT((ROW()-2)/7),10)+1)</f>
        <v>Variable 9</v>
      </c>
      <c r="D341" s="4"/>
      <c r="E341" t="str">
        <f t="shared" si="33"/>
        <v>Scenario 5|Variable 9|2035</v>
      </c>
    </row>
    <row r="342" spans="1:5">
      <c r="A342" t="str">
        <f>INDEX(Controller!$H$2:$H$11,INT((ROW()-2)/70)+1)</f>
        <v>Scenario 5</v>
      </c>
      <c r="B342" s="2">
        <v>2040</v>
      </c>
      <c r="C342" t="str">
        <f>INDEX(Controller!$J$2:$J$11,MOD(INT((ROW()-2)/7),10)+1)</f>
        <v>Variable 9</v>
      </c>
      <c r="D342" s="4"/>
      <c r="E342" t="str">
        <f t="shared" si="33"/>
        <v>Scenario 5|Variable 9|2040</v>
      </c>
    </row>
    <row r="343" spans="1:5">
      <c r="A343" t="str">
        <f>INDEX(Controller!$H$2:$H$11,INT((ROW()-2)/70)+1)</f>
        <v>Scenario 5</v>
      </c>
      <c r="B343" s="2">
        <v>2045</v>
      </c>
      <c r="C343" t="str">
        <f>INDEX(Controller!$J$2:$J$11,MOD(INT((ROW()-2)/7),10)+1)</f>
        <v>Variable 9</v>
      </c>
      <c r="D343" s="4"/>
      <c r="E343" t="str">
        <f t="shared" si="33"/>
        <v>Scenario 5|Variable 9|2045</v>
      </c>
    </row>
    <row r="344" spans="1:5">
      <c r="A344" t="str">
        <f>INDEX(Controller!$H$2:$H$11,INT((ROW()-2)/70)+1)</f>
        <v>Scenario 5</v>
      </c>
      <c r="B344" s="2">
        <v>2050</v>
      </c>
      <c r="C344" t="str">
        <f>INDEX(Controller!$J$2:$J$11,MOD(INT((ROW()-2)/7),10)+1)</f>
        <v>Variable 9</v>
      </c>
      <c r="D344" s="4"/>
      <c r="E344" t="str">
        <f t="shared" si="33"/>
        <v>Scenario 5|Variable 9|2050</v>
      </c>
    </row>
    <row r="345" spans="1:5">
      <c r="A345" t="str">
        <f>INDEX(Controller!$H$2:$H$11,INT((ROW()-2)/70)+1)</f>
        <v>Scenario 5</v>
      </c>
      <c r="B345" s="2">
        <v>2022</v>
      </c>
      <c r="C345" t="str">
        <f>INDEX(Controller!$J$2:$J$11,MOD(INT((ROW()-2)/7),10)+1)</f>
        <v>Variable 10</v>
      </c>
      <c r="D345" s="4"/>
      <c r="E345" t="str">
        <f t="shared" si="33"/>
        <v>Scenario 5|Variable 10|2022</v>
      </c>
    </row>
    <row r="346" spans="1:5">
      <c r="A346" t="str">
        <f>INDEX(Controller!$H$2:$H$11,INT((ROW()-2)/70)+1)</f>
        <v>Scenario 5</v>
      </c>
      <c r="B346" s="2">
        <v>2025</v>
      </c>
      <c r="C346" t="str">
        <f>INDEX(Controller!$J$2:$J$11,MOD(INT((ROW()-2)/7),10)+1)</f>
        <v>Variable 10</v>
      </c>
      <c r="D346" s="4"/>
      <c r="E346" t="str">
        <f t="shared" si="33"/>
        <v>Scenario 5|Variable 10|2025</v>
      </c>
    </row>
    <row r="347" spans="1:5">
      <c r="A347" t="str">
        <f>INDEX(Controller!$H$2:$H$11,INT((ROW()-2)/70)+1)</f>
        <v>Scenario 5</v>
      </c>
      <c r="B347" s="2">
        <v>2030</v>
      </c>
      <c r="C347" t="str">
        <f>INDEX(Controller!$J$2:$J$11,MOD(INT((ROW()-2)/7),10)+1)</f>
        <v>Variable 10</v>
      </c>
      <c r="D347" s="4"/>
      <c r="E347" t="str">
        <f t="shared" si="33"/>
        <v>Scenario 5|Variable 10|2030</v>
      </c>
    </row>
    <row r="348" spans="1:5">
      <c r="A348" t="str">
        <f>INDEX(Controller!$H$2:$H$11,INT((ROW()-2)/70)+1)</f>
        <v>Scenario 5</v>
      </c>
      <c r="B348" s="2">
        <v>2035</v>
      </c>
      <c r="C348" t="str">
        <f>INDEX(Controller!$J$2:$J$11,MOD(INT((ROW()-2)/7),10)+1)</f>
        <v>Variable 10</v>
      </c>
      <c r="D348" s="4"/>
      <c r="E348" t="str">
        <f t="shared" si="33"/>
        <v>Scenario 5|Variable 10|2035</v>
      </c>
    </row>
    <row r="349" spans="1:5">
      <c r="A349" t="str">
        <f>INDEX(Controller!$H$2:$H$11,INT((ROW()-2)/70)+1)</f>
        <v>Scenario 5</v>
      </c>
      <c r="B349" s="2">
        <v>2040</v>
      </c>
      <c r="C349" t="str">
        <f>INDEX(Controller!$J$2:$J$11,MOD(INT((ROW()-2)/7),10)+1)</f>
        <v>Variable 10</v>
      </c>
      <c r="D349" s="4"/>
      <c r="E349" t="str">
        <f t="shared" si="33"/>
        <v>Scenario 5|Variable 10|2040</v>
      </c>
    </row>
    <row r="350" spans="1:5">
      <c r="A350" t="str">
        <f>INDEX(Controller!$H$2:$H$11,INT((ROW()-2)/70)+1)</f>
        <v>Scenario 5</v>
      </c>
      <c r="B350" s="2">
        <v>2045</v>
      </c>
      <c r="C350" t="str">
        <f>INDEX(Controller!$J$2:$J$11,MOD(INT((ROW()-2)/7),10)+1)</f>
        <v>Variable 10</v>
      </c>
      <c r="D350" s="4"/>
      <c r="E350" t="str">
        <f t="shared" si="33"/>
        <v>Scenario 5|Variable 10|2045</v>
      </c>
    </row>
    <row r="351" spans="1:5">
      <c r="A351" t="str">
        <f>INDEX(Controller!$H$2:$H$11,INT((ROW()-2)/70)+1)</f>
        <v>Scenario 5</v>
      </c>
      <c r="B351" s="2">
        <v>2050</v>
      </c>
      <c r="C351" t="str">
        <f>INDEX(Controller!$J$2:$J$11,MOD(INT((ROW()-2)/7),10)+1)</f>
        <v>Variable 10</v>
      </c>
      <c r="D351" s="4"/>
      <c r="E351" t="str">
        <f t="shared" si="33"/>
        <v>Scenario 5|Variable 10|2050</v>
      </c>
    </row>
    <row r="352" spans="1:5">
      <c r="A352" t="str">
        <f>INDEX(Controller!$H$2:$H$11,INT((ROW()-2)/70)+1)</f>
        <v>Scenario 6</v>
      </c>
      <c r="B352" s="2">
        <v>2022</v>
      </c>
      <c r="C352" t="str">
        <f>INDEX(Controller!$J$2:$J$11,MOD(INT((ROW()-2)/7),10)+1)</f>
        <v>hydrogen_allsect</v>
      </c>
      <c r="D352" s="4"/>
      <c r="E352" t="str">
        <f t="shared" si="33"/>
        <v>Scenario 6|hydrogen_allsect|2022</v>
      </c>
    </row>
    <row r="353" spans="1:5">
      <c r="A353" t="str">
        <f>INDEX(Controller!$H$2:$H$11,INT((ROW()-2)/70)+1)</f>
        <v>Scenario 6</v>
      </c>
      <c r="B353" s="2">
        <v>2025</v>
      </c>
      <c r="C353" t="str">
        <f>INDEX(Controller!$J$2:$J$11,MOD(INT((ROW()-2)/7),10)+1)</f>
        <v>hydrogen_allsect</v>
      </c>
      <c r="D353" s="4"/>
      <c r="E353" t="str">
        <f t="shared" si="33"/>
        <v>Scenario 6|hydrogen_allsect|2025</v>
      </c>
    </row>
    <row r="354" spans="1:5">
      <c r="A354" t="str">
        <f>INDEX(Controller!$H$2:$H$11,INT((ROW()-2)/70)+1)</f>
        <v>Scenario 6</v>
      </c>
      <c r="B354" s="2">
        <v>2030</v>
      </c>
      <c r="C354" t="str">
        <f>INDEX(Controller!$J$2:$J$11,MOD(INT((ROW()-2)/7),10)+1)</f>
        <v>hydrogen_allsect</v>
      </c>
      <c r="D354" s="4"/>
      <c r="E354" t="str">
        <f t="shared" si="33"/>
        <v>Scenario 6|hydrogen_allsect|2030</v>
      </c>
    </row>
    <row r="355" spans="1:5">
      <c r="A355" t="str">
        <f>INDEX(Controller!$H$2:$H$11,INT((ROW()-2)/70)+1)</f>
        <v>Scenario 6</v>
      </c>
      <c r="B355" s="2">
        <v>2035</v>
      </c>
      <c r="C355" t="str">
        <f>INDEX(Controller!$J$2:$J$11,MOD(INT((ROW()-2)/7),10)+1)</f>
        <v>hydrogen_allsect</v>
      </c>
      <c r="D355" s="4"/>
      <c r="E355" t="str">
        <f t="shared" si="33"/>
        <v>Scenario 6|hydrogen_allsect|2035</v>
      </c>
    </row>
    <row r="356" spans="1:5">
      <c r="A356" t="str">
        <f>INDEX(Controller!$H$2:$H$11,INT((ROW()-2)/70)+1)</f>
        <v>Scenario 6</v>
      </c>
      <c r="B356" s="2">
        <v>2040</v>
      </c>
      <c r="C356" t="str">
        <f>INDEX(Controller!$J$2:$J$11,MOD(INT((ROW()-2)/7),10)+1)</f>
        <v>hydrogen_allsect</v>
      </c>
      <c r="D356" s="4"/>
      <c r="E356" t="str">
        <f t="shared" si="33"/>
        <v>Scenario 6|hydrogen_allsect|2040</v>
      </c>
    </row>
    <row r="357" spans="1:5">
      <c r="A357" t="str">
        <f>INDEX(Controller!$H$2:$H$11,INT((ROW()-2)/70)+1)</f>
        <v>Scenario 6</v>
      </c>
      <c r="B357" s="2">
        <v>2045</v>
      </c>
      <c r="C357" t="str">
        <f>INDEX(Controller!$J$2:$J$11,MOD(INT((ROW()-2)/7),10)+1)</f>
        <v>hydrogen_allsect</v>
      </c>
      <c r="D357" s="4"/>
      <c r="E357" t="str">
        <f t="shared" si="33"/>
        <v>Scenario 6|hydrogen_allsect|2045</v>
      </c>
    </row>
    <row r="358" spans="1:5">
      <c r="A358" t="str">
        <f>INDEX(Controller!$H$2:$H$11,INT((ROW()-2)/70)+1)</f>
        <v>Scenario 6</v>
      </c>
      <c r="B358" s="2">
        <v>2050</v>
      </c>
      <c r="C358" t="str">
        <f>INDEX(Controller!$J$2:$J$11,MOD(INT((ROW()-2)/7),10)+1)</f>
        <v>hydrogen_allsect</v>
      </c>
      <c r="D358" s="4"/>
      <c r="E358" t="str">
        <f t="shared" si="33"/>
        <v>Scenario 6|hydrogen_allsect|2050</v>
      </c>
    </row>
    <row r="359" spans="1:5">
      <c r="A359" t="str">
        <f>INDEX(Controller!$H$2:$H$11,INT((ROW()-2)/70)+1)</f>
        <v>Scenario 6</v>
      </c>
      <c r="B359" s="2">
        <v>2022</v>
      </c>
      <c r="C359" t="str">
        <f>INDEX(Controller!$J$2:$J$11,MOD(INT((ROW()-2)/7),10)+1)</f>
        <v>elc_industry</v>
      </c>
      <c r="D359" s="4"/>
      <c r="E359" t="str">
        <f t="shared" si="33"/>
        <v>Scenario 6|elc_industry|2022</v>
      </c>
    </row>
    <row r="360" spans="1:5">
      <c r="A360" t="str">
        <f>INDEX(Controller!$H$2:$H$11,INT((ROW()-2)/70)+1)</f>
        <v>Scenario 6</v>
      </c>
      <c r="B360" s="2">
        <v>2025</v>
      </c>
      <c r="C360" t="str">
        <f>INDEX(Controller!$J$2:$J$11,MOD(INT((ROW()-2)/7),10)+1)</f>
        <v>elc_industry</v>
      </c>
      <c r="D360" s="4"/>
      <c r="E360" t="str">
        <f t="shared" si="33"/>
        <v>Scenario 6|elc_industry|2025</v>
      </c>
    </row>
    <row r="361" spans="1:5">
      <c r="A361" t="str">
        <f>INDEX(Controller!$H$2:$H$11,INT((ROW()-2)/70)+1)</f>
        <v>Scenario 6</v>
      </c>
      <c r="B361" s="2">
        <v>2030</v>
      </c>
      <c r="C361" t="str">
        <f>INDEX(Controller!$J$2:$J$11,MOD(INT((ROW()-2)/7),10)+1)</f>
        <v>elc_industry</v>
      </c>
      <c r="D361" s="4"/>
      <c r="E361" t="str">
        <f t="shared" si="33"/>
        <v>Scenario 6|elc_industry|2030</v>
      </c>
    </row>
    <row r="362" spans="1:5">
      <c r="A362" t="str">
        <f>INDEX(Controller!$H$2:$H$11,INT((ROW()-2)/70)+1)</f>
        <v>Scenario 6</v>
      </c>
      <c r="B362" s="2">
        <v>2035</v>
      </c>
      <c r="C362" t="str">
        <f>INDEX(Controller!$J$2:$J$11,MOD(INT((ROW()-2)/7),10)+1)</f>
        <v>elc_industry</v>
      </c>
      <c r="D362" s="4"/>
      <c r="E362" t="str">
        <f t="shared" si="33"/>
        <v>Scenario 6|elc_industry|2035</v>
      </c>
    </row>
    <row r="363" spans="1:5">
      <c r="A363" t="str">
        <f>INDEX(Controller!$H$2:$H$11,INT((ROW()-2)/70)+1)</f>
        <v>Scenario 6</v>
      </c>
      <c r="B363" s="2">
        <v>2040</v>
      </c>
      <c r="C363" t="str">
        <f>INDEX(Controller!$J$2:$J$11,MOD(INT((ROW()-2)/7),10)+1)</f>
        <v>elc_industry</v>
      </c>
      <c r="D363" s="4"/>
      <c r="E363" t="str">
        <f t="shared" si="33"/>
        <v>Scenario 6|elc_industry|2040</v>
      </c>
    </row>
    <row r="364" spans="1:5">
      <c r="A364" t="str">
        <f>INDEX(Controller!$H$2:$H$11,INT((ROW()-2)/70)+1)</f>
        <v>Scenario 6</v>
      </c>
      <c r="B364" s="2">
        <v>2045</v>
      </c>
      <c r="C364" t="str">
        <f>INDEX(Controller!$J$2:$J$11,MOD(INT((ROW()-2)/7),10)+1)</f>
        <v>elc_industry</v>
      </c>
      <c r="D364" s="4"/>
      <c r="E364" t="str">
        <f t="shared" si="33"/>
        <v>Scenario 6|elc_industry|2045</v>
      </c>
    </row>
    <row r="365" spans="1:5">
      <c r="A365" t="str">
        <f>INDEX(Controller!$H$2:$H$11,INT((ROW()-2)/70)+1)</f>
        <v>Scenario 6</v>
      </c>
      <c r="B365" s="2">
        <v>2050</v>
      </c>
      <c r="C365" t="str">
        <f>INDEX(Controller!$J$2:$J$11,MOD(INT((ROW()-2)/7),10)+1)</f>
        <v>elc_industry</v>
      </c>
      <c r="D365" s="4"/>
      <c r="E365" t="str">
        <f t="shared" si="33"/>
        <v>Scenario 6|elc_industry|2050</v>
      </c>
    </row>
    <row r="366" spans="1:5">
      <c r="A366" t="str">
        <f>INDEX(Controller!$H$2:$H$11,INT((ROW()-2)/70)+1)</f>
        <v>Scenario 6</v>
      </c>
      <c r="B366" s="2">
        <v>2022</v>
      </c>
      <c r="C366" t="str">
        <f>INDEX(Controller!$J$2:$J$11,MOD(INT((ROW()-2)/7),10)+1)</f>
        <v>elc_buildings</v>
      </c>
      <c r="D366" s="4"/>
      <c r="E366" t="str">
        <f t="shared" si="33"/>
        <v>Scenario 6|elc_buildings|2022</v>
      </c>
    </row>
    <row r="367" spans="1:5">
      <c r="A367" t="str">
        <f>INDEX(Controller!$H$2:$H$11,INT((ROW()-2)/70)+1)</f>
        <v>Scenario 6</v>
      </c>
      <c r="B367" s="2">
        <v>2025</v>
      </c>
      <c r="C367" t="str">
        <f>INDEX(Controller!$J$2:$J$11,MOD(INT((ROW()-2)/7),10)+1)</f>
        <v>elc_buildings</v>
      </c>
      <c r="D367" s="4"/>
      <c r="E367" t="str">
        <f t="shared" si="33"/>
        <v>Scenario 6|elc_buildings|2025</v>
      </c>
    </row>
    <row r="368" spans="1:5">
      <c r="A368" t="str">
        <f>INDEX(Controller!$H$2:$H$11,INT((ROW()-2)/70)+1)</f>
        <v>Scenario 6</v>
      </c>
      <c r="B368" s="2">
        <v>2030</v>
      </c>
      <c r="C368" t="str">
        <f>INDEX(Controller!$J$2:$J$11,MOD(INT((ROW()-2)/7),10)+1)</f>
        <v>elc_buildings</v>
      </c>
      <c r="D368" s="4"/>
      <c r="E368" t="str">
        <f t="shared" si="33"/>
        <v>Scenario 6|elc_buildings|2030</v>
      </c>
    </row>
    <row r="369" spans="1:5">
      <c r="A369" t="str">
        <f>INDEX(Controller!$H$2:$H$11,INT((ROW()-2)/70)+1)</f>
        <v>Scenario 6</v>
      </c>
      <c r="B369" s="2">
        <v>2035</v>
      </c>
      <c r="C369" t="str">
        <f>INDEX(Controller!$J$2:$J$11,MOD(INT((ROW()-2)/7),10)+1)</f>
        <v>elc_buildings</v>
      </c>
      <c r="D369" s="4"/>
      <c r="E369" t="str">
        <f t="shared" si="33"/>
        <v>Scenario 6|elc_buildings|2035</v>
      </c>
    </row>
    <row r="370" spans="1:5">
      <c r="A370" t="str">
        <f>INDEX(Controller!$H$2:$H$11,INT((ROW()-2)/70)+1)</f>
        <v>Scenario 6</v>
      </c>
      <c r="B370" s="2">
        <v>2040</v>
      </c>
      <c r="C370" t="str">
        <f>INDEX(Controller!$J$2:$J$11,MOD(INT((ROW()-2)/7),10)+1)</f>
        <v>elc_buildings</v>
      </c>
      <c r="D370" s="4"/>
      <c r="E370" t="str">
        <f t="shared" si="33"/>
        <v>Scenario 6|elc_buildings|2040</v>
      </c>
    </row>
    <row r="371" spans="1:5">
      <c r="A371" t="str">
        <f>INDEX(Controller!$H$2:$H$11,INT((ROW()-2)/70)+1)</f>
        <v>Scenario 6</v>
      </c>
      <c r="B371" s="2">
        <v>2045</v>
      </c>
      <c r="C371" t="str">
        <f>INDEX(Controller!$J$2:$J$11,MOD(INT((ROW()-2)/7),10)+1)</f>
        <v>elc_buildings</v>
      </c>
      <c r="D371" s="4"/>
      <c r="E371" t="str">
        <f t="shared" si="33"/>
        <v>Scenario 6|elc_buildings|2045</v>
      </c>
    </row>
    <row r="372" spans="1:5">
      <c r="A372" t="str">
        <f>INDEX(Controller!$H$2:$H$11,INT((ROW()-2)/70)+1)</f>
        <v>Scenario 6</v>
      </c>
      <c r="B372" s="2">
        <v>2050</v>
      </c>
      <c r="C372" t="str">
        <f>INDEX(Controller!$J$2:$J$11,MOD(INT((ROW()-2)/7),10)+1)</f>
        <v>elc_buildings</v>
      </c>
      <c r="D372" s="4"/>
      <c r="E372" t="str">
        <f t="shared" si="33"/>
        <v>Scenario 6|elc_buildings|2050</v>
      </c>
    </row>
    <row r="373" spans="1:5">
      <c r="A373" t="str">
        <f>INDEX(Controller!$H$2:$H$11,INT((ROW()-2)/70)+1)</f>
        <v>Scenario 6</v>
      </c>
      <c r="B373" s="2">
        <v>2022</v>
      </c>
      <c r="C373" t="str">
        <f>INDEX(Controller!$J$2:$J$11,MOD(INT((ROW()-2)/7),10)+1)</f>
        <v>elc_transport</v>
      </c>
      <c r="D373" s="4"/>
      <c r="E373" t="str">
        <f t="shared" si="33"/>
        <v>Scenario 6|elc_transport|2022</v>
      </c>
    </row>
    <row r="374" spans="1:5">
      <c r="A374" t="str">
        <f>INDEX(Controller!$H$2:$H$11,INT((ROW()-2)/70)+1)</f>
        <v>Scenario 6</v>
      </c>
      <c r="B374" s="2">
        <v>2025</v>
      </c>
      <c r="C374" t="str">
        <f>INDEX(Controller!$J$2:$J$11,MOD(INT((ROW()-2)/7),10)+1)</f>
        <v>elc_transport</v>
      </c>
      <c r="D374" s="4"/>
      <c r="E374" t="str">
        <f t="shared" si="33"/>
        <v>Scenario 6|elc_transport|2025</v>
      </c>
    </row>
    <row r="375" spans="1:5">
      <c r="A375" t="str">
        <f>INDEX(Controller!$H$2:$H$11,INT((ROW()-2)/70)+1)</f>
        <v>Scenario 6</v>
      </c>
      <c r="B375" s="2">
        <v>2030</v>
      </c>
      <c r="C375" t="str">
        <f>INDEX(Controller!$J$2:$J$11,MOD(INT((ROW()-2)/7),10)+1)</f>
        <v>elc_transport</v>
      </c>
      <c r="D375" s="4"/>
      <c r="E375" t="str">
        <f t="shared" si="33"/>
        <v>Scenario 6|elc_transport|2030</v>
      </c>
    </row>
    <row r="376" spans="1:5">
      <c r="A376" t="str">
        <f>INDEX(Controller!$H$2:$H$11,INT((ROW()-2)/70)+1)</f>
        <v>Scenario 6</v>
      </c>
      <c r="B376" s="2">
        <v>2035</v>
      </c>
      <c r="C376" t="str">
        <f>INDEX(Controller!$J$2:$J$11,MOD(INT((ROW()-2)/7),10)+1)</f>
        <v>elc_transport</v>
      </c>
      <c r="D376" s="4"/>
      <c r="E376" t="str">
        <f t="shared" si="33"/>
        <v>Scenario 6|elc_transport|2035</v>
      </c>
    </row>
    <row r="377" spans="1:5">
      <c r="A377" t="str">
        <f>INDEX(Controller!$H$2:$H$11,INT((ROW()-2)/70)+1)</f>
        <v>Scenario 6</v>
      </c>
      <c r="B377" s="2">
        <v>2040</v>
      </c>
      <c r="C377" t="str">
        <f>INDEX(Controller!$J$2:$J$11,MOD(INT((ROW()-2)/7),10)+1)</f>
        <v>elc_transport</v>
      </c>
      <c r="D377" s="4"/>
      <c r="E377" t="str">
        <f t="shared" si="33"/>
        <v>Scenario 6|elc_transport|2040</v>
      </c>
    </row>
    <row r="378" spans="1:5">
      <c r="A378" t="str">
        <f>INDEX(Controller!$H$2:$H$11,INT((ROW()-2)/70)+1)</f>
        <v>Scenario 6</v>
      </c>
      <c r="B378" s="2">
        <v>2045</v>
      </c>
      <c r="C378" t="str">
        <f>INDEX(Controller!$J$2:$J$11,MOD(INT((ROW()-2)/7),10)+1)</f>
        <v>elc_transport</v>
      </c>
      <c r="D378" s="4"/>
      <c r="E378" t="str">
        <f t="shared" si="33"/>
        <v>Scenario 6|elc_transport|2045</v>
      </c>
    </row>
    <row r="379" spans="1:5">
      <c r="A379" t="str">
        <f>INDEX(Controller!$H$2:$H$11,INT((ROW()-2)/70)+1)</f>
        <v>Scenario 6</v>
      </c>
      <c r="B379" s="2">
        <v>2050</v>
      </c>
      <c r="C379" t="str">
        <f>INDEX(Controller!$J$2:$J$11,MOD(INT((ROW()-2)/7),10)+1)</f>
        <v>elc_transport</v>
      </c>
      <c r="D379" s="4"/>
      <c r="E379" t="str">
        <f t="shared" si="33"/>
        <v>Scenario 6|elc_transport|2050</v>
      </c>
    </row>
    <row r="380" spans="1:5">
      <c r="A380" t="str">
        <f>INDEX(Controller!$H$2:$H$11,INT((ROW()-2)/70)+1)</f>
        <v>Scenario 6</v>
      </c>
      <c r="B380" s="2">
        <v>2022</v>
      </c>
      <c r="C380" t="str">
        <f>INDEX(Controller!$J$2:$J$11,MOD(INT((ROW()-2)/7),10)+1)</f>
        <v>elc_roadtransport</v>
      </c>
      <c r="D380" s="4"/>
      <c r="E380" t="str">
        <f t="shared" si="33"/>
        <v>Scenario 6|elc_roadtransport|2022</v>
      </c>
    </row>
    <row r="381" spans="1:5">
      <c r="A381" t="str">
        <f>INDEX(Controller!$H$2:$H$11,INT((ROW()-2)/70)+1)</f>
        <v>Scenario 6</v>
      </c>
      <c r="B381" s="2">
        <v>2025</v>
      </c>
      <c r="C381" t="str">
        <f>INDEX(Controller!$J$2:$J$11,MOD(INT((ROW()-2)/7),10)+1)</f>
        <v>elc_roadtransport</v>
      </c>
      <c r="D381" s="4"/>
      <c r="E381" t="str">
        <f t="shared" si="33"/>
        <v>Scenario 6|elc_roadtransport|2025</v>
      </c>
    </row>
    <row r="382" spans="1:5">
      <c r="A382" t="str">
        <f>INDEX(Controller!$H$2:$H$11,INT((ROW()-2)/70)+1)</f>
        <v>Scenario 6</v>
      </c>
      <c r="B382" s="2">
        <v>2030</v>
      </c>
      <c r="C382" t="str">
        <f>INDEX(Controller!$J$2:$J$11,MOD(INT((ROW()-2)/7),10)+1)</f>
        <v>elc_roadtransport</v>
      </c>
      <c r="D382" s="4"/>
      <c r="E382" t="str">
        <f t="shared" si="33"/>
        <v>Scenario 6|elc_roadtransport|2030</v>
      </c>
    </row>
    <row r="383" spans="1:5">
      <c r="A383" t="str">
        <f>INDEX(Controller!$H$2:$H$11,INT((ROW()-2)/70)+1)</f>
        <v>Scenario 6</v>
      </c>
      <c r="B383" s="2">
        <v>2035</v>
      </c>
      <c r="C383" t="str">
        <f>INDEX(Controller!$J$2:$J$11,MOD(INT((ROW()-2)/7),10)+1)</f>
        <v>elc_roadtransport</v>
      </c>
      <c r="D383" s="4"/>
      <c r="E383" t="str">
        <f t="shared" si="33"/>
        <v>Scenario 6|elc_roadtransport|2035</v>
      </c>
    </row>
    <row r="384" spans="1:5">
      <c r="A384" t="str">
        <f>INDEX(Controller!$H$2:$H$11,INT((ROW()-2)/70)+1)</f>
        <v>Scenario 6</v>
      </c>
      <c r="B384" s="2">
        <v>2040</v>
      </c>
      <c r="C384" t="str">
        <f>INDEX(Controller!$J$2:$J$11,MOD(INT((ROW()-2)/7),10)+1)</f>
        <v>elc_roadtransport</v>
      </c>
      <c r="D384" s="4"/>
      <c r="E384" t="str">
        <f t="shared" si="33"/>
        <v>Scenario 6|elc_roadtransport|2040</v>
      </c>
    </row>
    <row r="385" spans="1:5">
      <c r="A385" t="str">
        <f>INDEX(Controller!$H$2:$H$11,INT((ROW()-2)/70)+1)</f>
        <v>Scenario 6</v>
      </c>
      <c r="B385" s="2">
        <v>2045</v>
      </c>
      <c r="C385" t="str">
        <f>INDEX(Controller!$J$2:$J$11,MOD(INT((ROW()-2)/7),10)+1)</f>
        <v>elc_roadtransport</v>
      </c>
      <c r="D385" s="4"/>
      <c r="E385" t="str">
        <f t="shared" si="33"/>
        <v>Scenario 6|elc_roadtransport|2045</v>
      </c>
    </row>
    <row r="386" spans="1:5">
      <c r="A386" t="str">
        <f>INDEX(Controller!$H$2:$H$11,INT((ROW()-2)/70)+1)</f>
        <v>Scenario 6</v>
      </c>
      <c r="B386" s="2">
        <v>2050</v>
      </c>
      <c r="C386" t="str">
        <f>INDEX(Controller!$J$2:$J$11,MOD(INT((ROW()-2)/7),10)+1)</f>
        <v>elc_roadtransport</v>
      </c>
      <c r="D386" s="4"/>
      <c r="E386" t="str">
        <f t="shared" ref="E386:E449" si="34">A386&amp;"|"&amp;C386&amp;"|"&amp;B386</f>
        <v>Scenario 6|elc_roadtransport|2050</v>
      </c>
    </row>
    <row r="387" spans="1:5">
      <c r="A387" t="str">
        <f>INDEX(Controller!$H$2:$H$11,INT((ROW()-2)/70)+1)</f>
        <v>Scenario 6</v>
      </c>
      <c r="B387" s="2">
        <v>2022</v>
      </c>
      <c r="C387" t="str">
        <f>INDEX(Controller!$J$2:$J$11,MOD(INT((ROW()-2)/7),10)+1)</f>
        <v>het_industry</v>
      </c>
      <c r="D387" s="4"/>
      <c r="E387" t="str">
        <f t="shared" si="34"/>
        <v>Scenario 6|het_industry|2022</v>
      </c>
    </row>
    <row r="388" spans="1:5">
      <c r="A388" t="str">
        <f>INDEX(Controller!$H$2:$H$11,INT((ROW()-2)/70)+1)</f>
        <v>Scenario 6</v>
      </c>
      <c r="B388" s="2">
        <v>2025</v>
      </c>
      <c r="C388" t="str">
        <f>INDEX(Controller!$J$2:$J$11,MOD(INT((ROW()-2)/7),10)+1)</f>
        <v>het_industry</v>
      </c>
      <c r="D388" s="4"/>
      <c r="E388" t="str">
        <f t="shared" si="34"/>
        <v>Scenario 6|het_industry|2025</v>
      </c>
    </row>
    <row r="389" spans="1:5">
      <c r="A389" t="str">
        <f>INDEX(Controller!$H$2:$H$11,INT((ROW()-2)/70)+1)</f>
        <v>Scenario 6</v>
      </c>
      <c r="B389" s="2">
        <v>2030</v>
      </c>
      <c r="C389" t="str">
        <f>INDEX(Controller!$J$2:$J$11,MOD(INT((ROW()-2)/7),10)+1)</f>
        <v>het_industry</v>
      </c>
      <c r="D389" s="4"/>
      <c r="E389" t="str">
        <f t="shared" si="34"/>
        <v>Scenario 6|het_industry|2030</v>
      </c>
    </row>
    <row r="390" spans="1:5">
      <c r="A390" t="str">
        <f>INDEX(Controller!$H$2:$H$11,INT((ROW()-2)/70)+1)</f>
        <v>Scenario 6</v>
      </c>
      <c r="B390" s="2">
        <v>2035</v>
      </c>
      <c r="C390" t="str">
        <f>INDEX(Controller!$J$2:$J$11,MOD(INT((ROW()-2)/7),10)+1)</f>
        <v>het_industry</v>
      </c>
      <c r="D390" s="4"/>
      <c r="E390" t="str">
        <f t="shared" si="34"/>
        <v>Scenario 6|het_industry|2035</v>
      </c>
    </row>
    <row r="391" spans="1:5">
      <c r="A391" t="str">
        <f>INDEX(Controller!$H$2:$H$11,INT((ROW()-2)/70)+1)</f>
        <v>Scenario 6</v>
      </c>
      <c r="B391" s="2">
        <v>2040</v>
      </c>
      <c r="C391" t="str">
        <f>INDEX(Controller!$J$2:$J$11,MOD(INT((ROW()-2)/7),10)+1)</f>
        <v>het_industry</v>
      </c>
      <c r="D391" s="4"/>
      <c r="E391" t="str">
        <f t="shared" si="34"/>
        <v>Scenario 6|het_industry|2040</v>
      </c>
    </row>
    <row r="392" spans="1:5">
      <c r="A392" t="str">
        <f>INDEX(Controller!$H$2:$H$11,INT((ROW()-2)/70)+1)</f>
        <v>Scenario 6</v>
      </c>
      <c r="B392" s="2">
        <v>2045</v>
      </c>
      <c r="C392" t="str">
        <f>INDEX(Controller!$J$2:$J$11,MOD(INT((ROW()-2)/7),10)+1)</f>
        <v>het_industry</v>
      </c>
      <c r="D392" s="4"/>
      <c r="E392" t="str">
        <f t="shared" si="34"/>
        <v>Scenario 6|het_industry|2045</v>
      </c>
    </row>
    <row r="393" spans="1:5">
      <c r="A393" t="str">
        <f>INDEX(Controller!$H$2:$H$11,INT((ROW()-2)/70)+1)</f>
        <v>Scenario 6</v>
      </c>
      <c r="B393" s="2">
        <v>2050</v>
      </c>
      <c r="C393" t="str">
        <f>INDEX(Controller!$J$2:$J$11,MOD(INT((ROW()-2)/7),10)+1)</f>
        <v>het_industry</v>
      </c>
      <c r="D393" s="4"/>
      <c r="E393" t="str">
        <f t="shared" si="34"/>
        <v>Scenario 6|het_industry|2050</v>
      </c>
    </row>
    <row r="394" spans="1:5">
      <c r="A394" t="str">
        <f>INDEX(Controller!$H$2:$H$11,INT((ROW()-2)/70)+1)</f>
        <v>Scenario 6</v>
      </c>
      <c r="B394" s="2">
        <v>2022</v>
      </c>
      <c r="C394" t="str">
        <f>INDEX(Controller!$J$2:$J$11,MOD(INT((ROW()-2)/7),10)+1)</f>
        <v>het_buildings</v>
      </c>
      <c r="D394" s="4"/>
      <c r="E394" t="str">
        <f t="shared" si="34"/>
        <v>Scenario 6|het_buildings|2022</v>
      </c>
    </row>
    <row r="395" spans="1:5">
      <c r="A395" t="str">
        <f>INDEX(Controller!$H$2:$H$11,INT((ROW()-2)/70)+1)</f>
        <v>Scenario 6</v>
      </c>
      <c r="B395" s="2">
        <v>2025</v>
      </c>
      <c r="C395" t="str">
        <f>INDEX(Controller!$J$2:$J$11,MOD(INT((ROW()-2)/7),10)+1)</f>
        <v>het_buildings</v>
      </c>
      <c r="D395" s="4"/>
      <c r="E395" t="str">
        <f t="shared" si="34"/>
        <v>Scenario 6|het_buildings|2025</v>
      </c>
    </row>
    <row r="396" spans="1:5">
      <c r="A396" t="str">
        <f>INDEX(Controller!$H$2:$H$11,INT((ROW()-2)/70)+1)</f>
        <v>Scenario 6</v>
      </c>
      <c r="B396" s="2">
        <v>2030</v>
      </c>
      <c r="C396" t="str">
        <f>INDEX(Controller!$J$2:$J$11,MOD(INT((ROW()-2)/7),10)+1)</f>
        <v>het_buildings</v>
      </c>
      <c r="D396" s="4"/>
      <c r="E396" t="str">
        <f t="shared" si="34"/>
        <v>Scenario 6|het_buildings|2030</v>
      </c>
    </row>
    <row r="397" spans="1:5">
      <c r="A397" t="str">
        <f>INDEX(Controller!$H$2:$H$11,INT((ROW()-2)/70)+1)</f>
        <v>Scenario 6</v>
      </c>
      <c r="B397" s="2">
        <v>2035</v>
      </c>
      <c r="C397" t="str">
        <f>INDEX(Controller!$J$2:$J$11,MOD(INT((ROW()-2)/7),10)+1)</f>
        <v>het_buildings</v>
      </c>
      <c r="D397" s="4"/>
      <c r="E397" t="str">
        <f t="shared" si="34"/>
        <v>Scenario 6|het_buildings|2035</v>
      </c>
    </row>
    <row r="398" spans="1:5">
      <c r="A398" t="str">
        <f>INDEX(Controller!$H$2:$H$11,INT((ROW()-2)/70)+1)</f>
        <v>Scenario 6</v>
      </c>
      <c r="B398" s="2">
        <v>2040</v>
      </c>
      <c r="C398" t="str">
        <f>INDEX(Controller!$J$2:$J$11,MOD(INT((ROW()-2)/7),10)+1)</f>
        <v>het_buildings</v>
      </c>
      <c r="D398" s="4"/>
      <c r="E398" t="str">
        <f t="shared" si="34"/>
        <v>Scenario 6|het_buildings|2040</v>
      </c>
    </row>
    <row r="399" spans="1:5">
      <c r="A399" t="str">
        <f>INDEX(Controller!$H$2:$H$11,INT((ROW()-2)/70)+1)</f>
        <v>Scenario 6</v>
      </c>
      <c r="B399" s="2">
        <v>2045</v>
      </c>
      <c r="C399" t="str">
        <f>INDEX(Controller!$J$2:$J$11,MOD(INT((ROW()-2)/7),10)+1)</f>
        <v>het_buildings</v>
      </c>
      <c r="D399" s="4"/>
      <c r="E399" t="str">
        <f t="shared" si="34"/>
        <v>Scenario 6|het_buildings|2045</v>
      </c>
    </row>
    <row r="400" spans="1:5">
      <c r="A400" t="str">
        <f>INDEX(Controller!$H$2:$H$11,INT((ROW()-2)/70)+1)</f>
        <v>Scenario 6</v>
      </c>
      <c r="B400" s="2">
        <v>2050</v>
      </c>
      <c r="C400" t="str">
        <f>INDEX(Controller!$J$2:$J$11,MOD(INT((ROW()-2)/7),10)+1)</f>
        <v>het_buildings</v>
      </c>
      <c r="D400" s="4"/>
      <c r="E400" t="str">
        <f t="shared" si="34"/>
        <v>Scenario 6|het_buildings|2050</v>
      </c>
    </row>
    <row r="401" spans="1:5">
      <c r="A401" t="str">
        <f>INDEX(Controller!$H$2:$H$11,INT((ROW()-2)/70)+1)</f>
        <v>Scenario 6</v>
      </c>
      <c r="B401" s="2">
        <v>2022</v>
      </c>
      <c r="C401" t="str">
        <f>INDEX(Controller!$J$2:$J$11,MOD(INT((ROW()-2)/7),10)+1)</f>
        <v>co2net</v>
      </c>
      <c r="D401" s="4"/>
      <c r="E401" t="str">
        <f t="shared" si="34"/>
        <v>Scenario 6|co2net|2022</v>
      </c>
    </row>
    <row r="402" spans="1:5">
      <c r="A402" t="str">
        <f>INDEX(Controller!$H$2:$H$11,INT((ROW()-2)/70)+1)</f>
        <v>Scenario 6</v>
      </c>
      <c r="B402" s="2">
        <v>2025</v>
      </c>
      <c r="C402" t="str">
        <f>INDEX(Controller!$J$2:$J$11,MOD(INT((ROW()-2)/7),10)+1)</f>
        <v>co2net</v>
      </c>
      <c r="D402" s="4"/>
      <c r="E402" t="str">
        <f t="shared" si="34"/>
        <v>Scenario 6|co2net|2025</v>
      </c>
    </row>
    <row r="403" spans="1:5">
      <c r="A403" t="str">
        <f>INDEX(Controller!$H$2:$H$11,INT((ROW()-2)/70)+1)</f>
        <v>Scenario 6</v>
      </c>
      <c r="B403" s="2">
        <v>2030</v>
      </c>
      <c r="C403" t="str">
        <f>INDEX(Controller!$J$2:$J$11,MOD(INT((ROW()-2)/7),10)+1)</f>
        <v>co2net</v>
      </c>
      <c r="D403" s="4"/>
      <c r="E403" t="str">
        <f t="shared" si="34"/>
        <v>Scenario 6|co2net|2030</v>
      </c>
    </row>
    <row r="404" spans="1:5">
      <c r="A404" t="str">
        <f>INDEX(Controller!$H$2:$H$11,INT((ROW()-2)/70)+1)</f>
        <v>Scenario 6</v>
      </c>
      <c r="B404" s="2">
        <v>2035</v>
      </c>
      <c r="C404" t="str">
        <f>INDEX(Controller!$J$2:$J$11,MOD(INT((ROW()-2)/7),10)+1)</f>
        <v>co2net</v>
      </c>
      <c r="D404" s="4"/>
      <c r="E404" t="str">
        <f t="shared" si="34"/>
        <v>Scenario 6|co2net|2035</v>
      </c>
    </row>
    <row r="405" spans="1:5">
      <c r="A405" t="str">
        <f>INDEX(Controller!$H$2:$H$11,INT((ROW()-2)/70)+1)</f>
        <v>Scenario 6</v>
      </c>
      <c r="B405" s="2">
        <v>2040</v>
      </c>
      <c r="C405" t="str">
        <f>INDEX(Controller!$J$2:$J$11,MOD(INT((ROW()-2)/7),10)+1)</f>
        <v>co2net</v>
      </c>
      <c r="D405" s="4"/>
      <c r="E405" t="str">
        <f t="shared" si="34"/>
        <v>Scenario 6|co2net|2040</v>
      </c>
    </row>
    <row r="406" spans="1:5">
      <c r="A406" t="str">
        <f>INDEX(Controller!$H$2:$H$11,INT((ROW()-2)/70)+1)</f>
        <v>Scenario 6</v>
      </c>
      <c r="B406" s="2">
        <v>2045</v>
      </c>
      <c r="C406" t="str">
        <f>INDEX(Controller!$J$2:$J$11,MOD(INT((ROW()-2)/7),10)+1)</f>
        <v>co2net</v>
      </c>
      <c r="D406" s="4"/>
      <c r="E406" t="str">
        <f t="shared" si="34"/>
        <v>Scenario 6|co2net|2045</v>
      </c>
    </row>
    <row r="407" spans="1:5">
      <c r="A407" t="str">
        <f>INDEX(Controller!$H$2:$H$11,INT((ROW()-2)/70)+1)</f>
        <v>Scenario 6</v>
      </c>
      <c r="B407" s="2">
        <v>2050</v>
      </c>
      <c r="C407" t="str">
        <f>INDEX(Controller!$J$2:$J$11,MOD(INT((ROW()-2)/7),10)+1)</f>
        <v>co2net</v>
      </c>
      <c r="D407" s="4"/>
      <c r="E407" t="str">
        <f t="shared" si="34"/>
        <v>Scenario 6|co2net|2050</v>
      </c>
    </row>
    <row r="408" spans="1:5">
      <c r="A408" t="str">
        <f>INDEX(Controller!$H$2:$H$11,INT((ROW()-2)/70)+1)</f>
        <v>Scenario 6</v>
      </c>
      <c r="B408" s="2">
        <v>2022</v>
      </c>
      <c r="C408" t="str">
        <f>INDEX(Controller!$J$2:$J$11,MOD(INT((ROW()-2)/7),10)+1)</f>
        <v>Variable 9</v>
      </c>
      <c r="D408" s="4"/>
      <c r="E408" t="str">
        <f t="shared" si="34"/>
        <v>Scenario 6|Variable 9|2022</v>
      </c>
    </row>
    <row r="409" spans="1:5">
      <c r="A409" t="str">
        <f>INDEX(Controller!$H$2:$H$11,INT((ROW()-2)/70)+1)</f>
        <v>Scenario 6</v>
      </c>
      <c r="B409" s="2">
        <v>2025</v>
      </c>
      <c r="C409" t="str">
        <f>INDEX(Controller!$J$2:$J$11,MOD(INT((ROW()-2)/7),10)+1)</f>
        <v>Variable 9</v>
      </c>
      <c r="D409" s="4"/>
      <c r="E409" t="str">
        <f t="shared" si="34"/>
        <v>Scenario 6|Variable 9|2025</v>
      </c>
    </row>
    <row r="410" spans="1:5">
      <c r="A410" t="str">
        <f>INDEX(Controller!$H$2:$H$11,INT((ROW()-2)/70)+1)</f>
        <v>Scenario 6</v>
      </c>
      <c r="B410" s="2">
        <v>2030</v>
      </c>
      <c r="C410" t="str">
        <f>INDEX(Controller!$J$2:$J$11,MOD(INT((ROW()-2)/7),10)+1)</f>
        <v>Variable 9</v>
      </c>
      <c r="D410" s="4"/>
      <c r="E410" t="str">
        <f t="shared" si="34"/>
        <v>Scenario 6|Variable 9|2030</v>
      </c>
    </row>
    <row r="411" spans="1:5">
      <c r="A411" t="str">
        <f>INDEX(Controller!$H$2:$H$11,INT((ROW()-2)/70)+1)</f>
        <v>Scenario 6</v>
      </c>
      <c r="B411" s="2">
        <v>2035</v>
      </c>
      <c r="C411" t="str">
        <f>INDEX(Controller!$J$2:$J$11,MOD(INT((ROW()-2)/7),10)+1)</f>
        <v>Variable 9</v>
      </c>
      <c r="D411" s="4"/>
      <c r="E411" t="str">
        <f t="shared" si="34"/>
        <v>Scenario 6|Variable 9|2035</v>
      </c>
    </row>
    <row r="412" spans="1:5">
      <c r="A412" t="str">
        <f>INDEX(Controller!$H$2:$H$11,INT((ROW()-2)/70)+1)</f>
        <v>Scenario 6</v>
      </c>
      <c r="B412" s="2">
        <v>2040</v>
      </c>
      <c r="C412" t="str">
        <f>INDEX(Controller!$J$2:$J$11,MOD(INT((ROW()-2)/7),10)+1)</f>
        <v>Variable 9</v>
      </c>
      <c r="D412" s="4"/>
      <c r="E412" t="str">
        <f t="shared" si="34"/>
        <v>Scenario 6|Variable 9|2040</v>
      </c>
    </row>
    <row r="413" spans="1:5">
      <c r="A413" t="str">
        <f>INDEX(Controller!$H$2:$H$11,INT((ROW()-2)/70)+1)</f>
        <v>Scenario 6</v>
      </c>
      <c r="B413" s="2">
        <v>2045</v>
      </c>
      <c r="C413" t="str">
        <f>INDEX(Controller!$J$2:$J$11,MOD(INT((ROW()-2)/7),10)+1)</f>
        <v>Variable 9</v>
      </c>
      <c r="D413" s="4"/>
      <c r="E413" t="str">
        <f t="shared" si="34"/>
        <v>Scenario 6|Variable 9|2045</v>
      </c>
    </row>
    <row r="414" spans="1:5">
      <c r="A414" t="str">
        <f>INDEX(Controller!$H$2:$H$11,INT((ROW()-2)/70)+1)</f>
        <v>Scenario 6</v>
      </c>
      <c r="B414" s="2">
        <v>2050</v>
      </c>
      <c r="C414" t="str">
        <f>INDEX(Controller!$J$2:$J$11,MOD(INT((ROW()-2)/7),10)+1)</f>
        <v>Variable 9</v>
      </c>
      <c r="D414" s="4"/>
      <c r="E414" t="str">
        <f t="shared" si="34"/>
        <v>Scenario 6|Variable 9|2050</v>
      </c>
    </row>
    <row r="415" spans="1:5">
      <c r="A415" t="str">
        <f>INDEX(Controller!$H$2:$H$11,INT((ROW()-2)/70)+1)</f>
        <v>Scenario 6</v>
      </c>
      <c r="B415" s="2">
        <v>2022</v>
      </c>
      <c r="C415" t="str">
        <f>INDEX(Controller!$J$2:$J$11,MOD(INT((ROW()-2)/7),10)+1)</f>
        <v>Variable 10</v>
      </c>
      <c r="D415" s="4"/>
      <c r="E415" t="str">
        <f t="shared" si="34"/>
        <v>Scenario 6|Variable 10|2022</v>
      </c>
    </row>
    <row r="416" spans="1:5">
      <c r="A416" t="str">
        <f>INDEX(Controller!$H$2:$H$11,INT((ROW()-2)/70)+1)</f>
        <v>Scenario 6</v>
      </c>
      <c r="B416" s="2">
        <v>2025</v>
      </c>
      <c r="C416" t="str">
        <f>INDEX(Controller!$J$2:$J$11,MOD(INT((ROW()-2)/7),10)+1)</f>
        <v>Variable 10</v>
      </c>
      <c r="D416" s="4"/>
      <c r="E416" t="str">
        <f t="shared" si="34"/>
        <v>Scenario 6|Variable 10|2025</v>
      </c>
    </row>
    <row r="417" spans="1:5">
      <c r="A417" t="str">
        <f>INDEX(Controller!$H$2:$H$11,INT((ROW()-2)/70)+1)</f>
        <v>Scenario 6</v>
      </c>
      <c r="B417" s="2">
        <v>2030</v>
      </c>
      <c r="C417" t="str">
        <f>INDEX(Controller!$J$2:$J$11,MOD(INT((ROW()-2)/7),10)+1)</f>
        <v>Variable 10</v>
      </c>
      <c r="D417" s="4"/>
      <c r="E417" t="str">
        <f t="shared" si="34"/>
        <v>Scenario 6|Variable 10|2030</v>
      </c>
    </row>
    <row r="418" spans="1:5">
      <c r="A418" t="str">
        <f>INDEX(Controller!$H$2:$H$11,INT((ROW()-2)/70)+1)</f>
        <v>Scenario 6</v>
      </c>
      <c r="B418" s="2">
        <v>2035</v>
      </c>
      <c r="C418" t="str">
        <f>INDEX(Controller!$J$2:$J$11,MOD(INT((ROW()-2)/7),10)+1)</f>
        <v>Variable 10</v>
      </c>
      <c r="D418" s="4"/>
      <c r="E418" t="str">
        <f t="shared" si="34"/>
        <v>Scenario 6|Variable 10|2035</v>
      </c>
    </row>
    <row r="419" spans="1:5">
      <c r="A419" t="str">
        <f>INDEX(Controller!$H$2:$H$11,INT((ROW()-2)/70)+1)</f>
        <v>Scenario 6</v>
      </c>
      <c r="B419" s="2">
        <v>2040</v>
      </c>
      <c r="C419" t="str">
        <f>INDEX(Controller!$J$2:$J$11,MOD(INT((ROW()-2)/7),10)+1)</f>
        <v>Variable 10</v>
      </c>
      <c r="D419" s="4"/>
      <c r="E419" t="str">
        <f t="shared" si="34"/>
        <v>Scenario 6|Variable 10|2040</v>
      </c>
    </row>
    <row r="420" spans="1:5">
      <c r="A420" t="str">
        <f>INDEX(Controller!$H$2:$H$11,INT((ROW()-2)/70)+1)</f>
        <v>Scenario 6</v>
      </c>
      <c r="B420" s="2">
        <v>2045</v>
      </c>
      <c r="C420" t="str">
        <f>INDEX(Controller!$J$2:$J$11,MOD(INT((ROW()-2)/7),10)+1)</f>
        <v>Variable 10</v>
      </c>
      <c r="D420" s="4"/>
      <c r="E420" t="str">
        <f t="shared" si="34"/>
        <v>Scenario 6|Variable 10|2045</v>
      </c>
    </row>
    <row r="421" spans="1:5">
      <c r="A421" t="str">
        <f>INDEX(Controller!$H$2:$H$11,INT((ROW()-2)/70)+1)</f>
        <v>Scenario 6</v>
      </c>
      <c r="B421" s="2">
        <v>2050</v>
      </c>
      <c r="C421" t="str">
        <f>INDEX(Controller!$J$2:$J$11,MOD(INT((ROW()-2)/7),10)+1)</f>
        <v>Variable 10</v>
      </c>
      <c r="D421" s="4"/>
      <c r="E421" t="str">
        <f t="shared" si="34"/>
        <v>Scenario 6|Variable 10|2050</v>
      </c>
    </row>
    <row r="422" spans="1:5">
      <c r="A422" t="str">
        <f>INDEX(Controller!$H$2:$H$11,INT((ROW()-2)/70)+1)</f>
        <v>Scenario 7</v>
      </c>
      <c r="B422" s="2">
        <v>2022</v>
      </c>
      <c r="C422" t="str">
        <f>INDEX(Controller!$J$2:$J$11,MOD(INT((ROW()-2)/7),10)+1)</f>
        <v>hydrogen_allsect</v>
      </c>
      <c r="D422" s="4"/>
      <c r="E422" t="str">
        <f t="shared" si="34"/>
        <v>Scenario 7|hydrogen_allsect|2022</v>
      </c>
    </row>
    <row r="423" spans="1:5">
      <c r="A423" t="str">
        <f>INDEX(Controller!$H$2:$H$11,INT((ROW()-2)/70)+1)</f>
        <v>Scenario 7</v>
      </c>
      <c r="B423" s="2">
        <v>2025</v>
      </c>
      <c r="C423" t="str">
        <f>INDEX(Controller!$J$2:$J$11,MOD(INT((ROW()-2)/7),10)+1)</f>
        <v>hydrogen_allsect</v>
      </c>
      <c r="D423" s="4"/>
      <c r="E423" t="str">
        <f t="shared" si="34"/>
        <v>Scenario 7|hydrogen_allsect|2025</v>
      </c>
    </row>
    <row r="424" spans="1:5">
      <c r="A424" t="str">
        <f>INDEX(Controller!$H$2:$H$11,INT((ROW()-2)/70)+1)</f>
        <v>Scenario 7</v>
      </c>
      <c r="B424" s="2">
        <v>2030</v>
      </c>
      <c r="C424" t="str">
        <f>INDEX(Controller!$J$2:$J$11,MOD(INT((ROW()-2)/7),10)+1)</f>
        <v>hydrogen_allsect</v>
      </c>
      <c r="D424" s="4"/>
      <c r="E424" t="str">
        <f t="shared" si="34"/>
        <v>Scenario 7|hydrogen_allsect|2030</v>
      </c>
    </row>
    <row r="425" spans="1:5">
      <c r="A425" t="str">
        <f>INDEX(Controller!$H$2:$H$11,INT((ROW()-2)/70)+1)</f>
        <v>Scenario 7</v>
      </c>
      <c r="B425" s="2">
        <v>2035</v>
      </c>
      <c r="C425" t="str">
        <f>INDEX(Controller!$J$2:$J$11,MOD(INT((ROW()-2)/7),10)+1)</f>
        <v>hydrogen_allsect</v>
      </c>
      <c r="D425" s="4"/>
      <c r="E425" t="str">
        <f t="shared" si="34"/>
        <v>Scenario 7|hydrogen_allsect|2035</v>
      </c>
    </row>
    <row r="426" spans="1:5">
      <c r="A426" t="str">
        <f>INDEX(Controller!$H$2:$H$11,INT((ROW()-2)/70)+1)</f>
        <v>Scenario 7</v>
      </c>
      <c r="B426" s="2">
        <v>2040</v>
      </c>
      <c r="C426" t="str">
        <f>INDEX(Controller!$J$2:$J$11,MOD(INT((ROW()-2)/7),10)+1)</f>
        <v>hydrogen_allsect</v>
      </c>
      <c r="D426" s="4"/>
      <c r="E426" t="str">
        <f t="shared" si="34"/>
        <v>Scenario 7|hydrogen_allsect|2040</v>
      </c>
    </row>
    <row r="427" spans="1:5">
      <c r="A427" t="str">
        <f>INDEX(Controller!$H$2:$H$11,INT((ROW()-2)/70)+1)</f>
        <v>Scenario 7</v>
      </c>
      <c r="B427" s="2">
        <v>2045</v>
      </c>
      <c r="C427" t="str">
        <f>INDEX(Controller!$J$2:$J$11,MOD(INT((ROW()-2)/7),10)+1)</f>
        <v>hydrogen_allsect</v>
      </c>
      <c r="D427" s="4"/>
      <c r="E427" t="str">
        <f t="shared" si="34"/>
        <v>Scenario 7|hydrogen_allsect|2045</v>
      </c>
    </row>
    <row r="428" spans="1:5">
      <c r="A428" t="str">
        <f>INDEX(Controller!$H$2:$H$11,INT((ROW()-2)/70)+1)</f>
        <v>Scenario 7</v>
      </c>
      <c r="B428" s="2">
        <v>2050</v>
      </c>
      <c r="C428" t="str">
        <f>INDEX(Controller!$J$2:$J$11,MOD(INT((ROW()-2)/7),10)+1)</f>
        <v>hydrogen_allsect</v>
      </c>
      <c r="D428" s="4"/>
      <c r="E428" t="str">
        <f t="shared" si="34"/>
        <v>Scenario 7|hydrogen_allsect|2050</v>
      </c>
    </row>
    <row r="429" spans="1:5">
      <c r="A429" t="str">
        <f>INDEX(Controller!$H$2:$H$11,INT((ROW()-2)/70)+1)</f>
        <v>Scenario 7</v>
      </c>
      <c r="B429" s="2">
        <v>2022</v>
      </c>
      <c r="C429" t="str">
        <f>INDEX(Controller!$J$2:$J$11,MOD(INT((ROW()-2)/7),10)+1)</f>
        <v>elc_industry</v>
      </c>
      <c r="D429" s="4"/>
      <c r="E429" t="str">
        <f t="shared" si="34"/>
        <v>Scenario 7|elc_industry|2022</v>
      </c>
    </row>
    <row r="430" spans="1:5">
      <c r="A430" t="str">
        <f>INDEX(Controller!$H$2:$H$11,INT((ROW()-2)/70)+1)</f>
        <v>Scenario 7</v>
      </c>
      <c r="B430" s="2">
        <v>2025</v>
      </c>
      <c r="C430" t="str">
        <f>INDEX(Controller!$J$2:$J$11,MOD(INT((ROW()-2)/7),10)+1)</f>
        <v>elc_industry</v>
      </c>
      <c r="D430" s="4"/>
      <c r="E430" t="str">
        <f t="shared" si="34"/>
        <v>Scenario 7|elc_industry|2025</v>
      </c>
    </row>
    <row r="431" spans="1:5">
      <c r="A431" t="str">
        <f>INDEX(Controller!$H$2:$H$11,INT((ROW()-2)/70)+1)</f>
        <v>Scenario 7</v>
      </c>
      <c r="B431" s="2">
        <v>2030</v>
      </c>
      <c r="C431" t="str">
        <f>INDEX(Controller!$J$2:$J$11,MOD(INT((ROW()-2)/7),10)+1)</f>
        <v>elc_industry</v>
      </c>
      <c r="D431" s="4"/>
      <c r="E431" t="str">
        <f t="shared" si="34"/>
        <v>Scenario 7|elc_industry|2030</v>
      </c>
    </row>
    <row r="432" spans="1:5">
      <c r="A432" t="str">
        <f>INDEX(Controller!$H$2:$H$11,INT((ROW()-2)/70)+1)</f>
        <v>Scenario 7</v>
      </c>
      <c r="B432" s="2">
        <v>2035</v>
      </c>
      <c r="C432" t="str">
        <f>INDEX(Controller!$J$2:$J$11,MOD(INT((ROW()-2)/7),10)+1)</f>
        <v>elc_industry</v>
      </c>
      <c r="D432" s="4"/>
      <c r="E432" t="str">
        <f t="shared" si="34"/>
        <v>Scenario 7|elc_industry|2035</v>
      </c>
    </row>
    <row r="433" spans="1:5">
      <c r="A433" t="str">
        <f>INDEX(Controller!$H$2:$H$11,INT((ROW()-2)/70)+1)</f>
        <v>Scenario 7</v>
      </c>
      <c r="B433" s="2">
        <v>2040</v>
      </c>
      <c r="C433" t="str">
        <f>INDEX(Controller!$J$2:$J$11,MOD(INT((ROW()-2)/7),10)+1)</f>
        <v>elc_industry</v>
      </c>
      <c r="D433" s="4"/>
      <c r="E433" t="str">
        <f t="shared" si="34"/>
        <v>Scenario 7|elc_industry|2040</v>
      </c>
    </row>
    <row r="434" spans="1:5">
      <c r="A434" t="str">
        <f>INDEX(Controller!$H$2:$H$11,INT((ROW()-2)/70)+1)</f>
        <v>Scenario 7</v>
      </c>
      <c r="B434" s="2">
        <v>2045</v>
      </c>
      <c r="C434" t="str">
        <f>INDEX(Controller!$J$2:$J$11,MOD(INT((ROW()-2)/7),10)+1)</f>
        <v>elc_industry</v>
      </c>
      <c r="D434" s="4"/>
      <c r="E434" t="str">
        <f t="shared" si="34"/>
        <v>Scenario 7|elc_industry|2045</v>
      </c>
    </row>
    <row r="435" spans="1:5">
      <c r="A435" t="str">
        <f>INDEX(Controller!$H$2:$H$11,INT((ROW()-2)/70)+1)</f>
        <v>Scenario 7</v>
      </c>
      <c r="B435" s="2">
        <v>2050</v>
      </c>
      <c r="C435" t="str">
        <f>INDEX(Controller!$J$2:$J$11,MOD(INT((ROW()-2)/7),10)+1)</f>
        <v>elc_industry</v>
      </c>
      <c r="D435" s="4"/>
      <c r="E435" t="str">
        <f t="shared" si="34"/>
        <v>Scenario 7|elc_industry|2050</v>
      </c>
    </row>
    <row r="436" spans="1:5">
      <c r="A436" t="str">
        <f>INDEX(Controller!$H$2:$H$11,INT((ROW()-2)/70)+1)</f>
        <v>Scenario 7</v>
      </c>
      <c r="B436" s="2">
        <v>2022</v>
      </c>
      <c r="C436" t="str">
        <f>INDEX(Controller!$J$2:$J$11,MOD(INT((ROW()-2)/7),10)+1)</f>
        <v>elc_buildings</v>
      </c>
      <c r="D436" s="4"/>
      <c r="E436" t="str">
        <f t="shared" si="34"/>
        <v>Scenario 7|elc_buildings|2022</v>
      </c>
    </row>
    <row r="437" spans="1:5">
      <c r="A437" t="str">
        <f>INDEX(Controller!$H$2:$H$11,INT((ROW()-2)/70)+1)</f>
        <v>Scenario 7</v>
      </c>
      <c r="B437" s="2">
        <v>2025</v>
      </c>
      <c r="C437" t="str">
        <f>INDEX(Controller!$J$2:$J$11,MOD(INT((ROW()-2)/7),10)+1)</f>
        <v>elc_buildings</v>
      </c>
      <c r="D437" s="4"/>
      <c r="E437" t="str">
        <f t="shared" si="34"/>
        <v>Scenario 7|elc_buildings|2025</v>
      </c>
    </row>
    <row r="438" spans="1:5">
      <c r="A438" t="str">
        <f>INDEX(Controller!$H$2:$H$11,INT((ROW()-2)/70)+1)</f>
        <v>Scenario 7</v>
      </c>
      <c r="B438" s="2">
        <v>2030</v>
      </c>
      <c r="C438" t="str">
        <f>INDEX(Controller!$J$2:$J$11,MOD(INT((ROW()-2)/7),10)+1)</f>
        <v>elc_buildings</v>
      </c>
      <c r="D438" s="4"/>
      <c r="E438" t="str">
        <f t="shared" si="34"/>
        <v>Scenario 7|elc_buildings|2030</v>
      </c>
    </row>
    <row r="439" spans="1:5">
      <c r="A439" t="str">
        <f>INDEX(Controller!$H$2:$H$11,INT((ROW()-2)/70)+1)</f>
        <v>Scenario 7</v>
      </c>
      <c r="B439" s="2">
        <v>2035</v>
      </c>
      <c r="C439" t="str">
        <f>INDEX(Controller!$J$2:$J$11,MOD(INT((ROW()-2)/7),10)+1)</f>
        <v>elc_buildings</v>
      </c>
      <c r="D439" s="4"/>
      <c r="E439" t="str">
        <f t="shared" si="34"/>
        <v>Scenario 7|elc_buildings|2035</v>
      </c>
    </row>
    <row r="440" spans="1:5">
      <c r="A440" t="str">
        <f>INDEX(Controller!$H$2:$H$11,INT((ROW()-2)/70)+1)</f>
        <v>Scenario 7</v>
      </c>
      <c r="B440" s="2">
        <v>2040</v>
      </c>
      <c r="C440" t="str">
        <f>INDEX(Controller!$J$2:$J$11,MOD(INT((ROW()-2)/7),10)+1)</f>
        <v>elc_buildings</v>
      </c>
      <c r="D440" s="4"/>
      <c r="E440" t="str">
        <f t="shared" si="34"/>
        <v>Scenario 7|elc_buildings|2040</v>
      </c>
    </row>
    <row r="441" spans="1:5">
      <c r="A441" t="str">
        <f>INDEX(Controller!$H$2:$H$11,INT((ROW()-2)/70)+1)</f>
        <v>Scenario 7</v>
      </c>
      <c r="B441" s="2">
        <v>2045</v>
      </c>
      <c r="C441" t="str">
        <f>INDEX(Controller!$J$2:$J$11,MOD(INT((ROW()-2)/7),10)+1)</f>
        <v>elc_buildings</v>
      </c>
      <c r="D441" s="4"/>
      <c r="E441" t="str">
        <f t="shared" si="34"/>
        <v>Scenario 7|elc_buildings|2045</v>
      </c>
    </row>
    <row r="442" spans="1:5">
      <c r="A442" t="str">
        <f>INDEX(Controller!$H$2:$H$11,INT((ROW()-2)/70)+1)</f>
        <v>Scenario 7</v>
      </c>
      <c r="B442" s="2">
        <v>2050</v>
      </c>
      <c r="C442" t="str">
        <f>INDEX(Controller!$J$2:$J$11,MOD(INT((ROW()-2)/7),10)+1)</f>
        <v>elc_buildings</v>
      </c>
      <c r="D442" s="4"/>
      <c r="E442" t="str">
        <f t="shared" si="34"/>
        <v>Scenario 7|elc_buildings|2050</v>
      </c>
    </row>
    <row r="443" spans="1:5">
      <c r="A443" t="str">
        <f>INDEX(Controller!$H$2:$H$11,INT((ROW()-2)/70)+1)</f>
        <v>Scenario 7</v>
      </c>
      <c r="B443" s="2">
        <v>2022</v>
      </c>
      <c r="C443" t="str">
        <f>INDEX(Controller!$J$2:$J$11,MOD(INT((ROW()-2)/7),10)+1)</f>
        <v>elc_transport</v>
      </c>
      <c r="D443" s="4"/>
      <c r="E443" t="str">
        <f t="shared" si="34"/>
        <v>Scenario 7|elc_transport|2022</v>
      </c>
    </row>
    <row r="444" spans="1:5">
      <c r="A444" t="str">
        <f>INDEX(Controller!$H$2:$H$11,INT((ROW()-2)/70)+1)</f>
        <v>Scenario 7</v>
      </c>
      <c r="B444" s="2">
        <v>2025</v>
      </c>
      <c r="C444" t="str">
        <f>INDEX(Controller!$J$2:$J$11,MOD(INT((ROW()-2)/7),10)+1)</f>
        <v>elc_transport</v>
      </c>
      <c r="D444" s="4"/>
      <c r="E444" t="str">
        <f t="shared" si="34"/>
        <v>Scenario 7|elc_transport|2025</v>
      </c>
    </row>
    <row r="445" spans="1:5">
      <c r="A445" t="str">
        <f>INDEX(Controller!$H$2:$H$11,INT((ROW()-2)/70)+1)</f>
        <v>Scenario 7</v>
      </c>
      <c r="B445" s="2">
        <v>2030</v>
      </c>
      <c r="C445" t="str">
        <f>INDEX(Controller!$J$2:$J$11,MOD(INT((ROW()-2)/7),10)+1)</f>
        <v>elc_transport</v>
      </c>
      <c r="D445" s="4"/>
      <c r="E445" t="str">
        <f t="shared" si="34"/>
        <v>Scenario 7|elc_transport|2030</v>
      </c>
    </row>
    <row r="446" spans="1:5">
      <c r="A446" t="str">
        <f>INDEX(Controller!$H$2:$H$11,INT((ROW()-2)/70)+1)</f>
        <v>Scenario 7</v>
      </c>
      <c r="B446" s="2">
        <v>2035</v>
      </c>
      <c r="C446" t="str">
        <f>INDEX(Controller!$J$2:$J$11,MOD(INT((ROW()-2)/7),10)+1)</f>
        <v>elc_transport</v>
      </c>
      <c r="D446" s="4"/>
      <c r="E446" t="str">
        <f t="shared" si="34"/>
        <v>Scenario 7|elc_transport|2035</v>
      </c>
    </row>
    <row r="447" spans="1:5">
      <c r="A447" t="str">
        <f>INDEX(Controller!$H$2:$H$11,INT((ROW()-2)/70)+1)</f>
        <v>Scenario 7</v>
      </c>
      <c r="B447" s="2">
        <v>2040</v>
      </c>
      <c r="C447" t="str">
        <f>INDEX(Controller!$J$2:$J$11,MOD(INT((ROW()-2)/7),10)+1)</f>
        <v>elc_transport</v>
      </c>
      <c r="D447" s="4"/>
      <c r="E447" t="str">
        <f t="shared" si="34"/>
        <v>Scenario 7|elc_transport|2040</v>
      </c>
    </row>
    <row r="448" spans="1:5">
      <c r="A448" t="str">
        <f>INDEX(Controller!$H$2:$H$11,INT((ROW()-2)/70)+1)</f>
        <v>Scenario 7</v>
      </c>
      <c r="B448" s="2">
        <v>2045</v>
      </c>
      <c r="C448" t="str">
        <f>INDEX(Controller!$J$2:$J$11,MOD(INT((ROW()-2)/7),10)+1)</f>
        <v>elc_transport</v>
      </c>
      <c r="D448" s="4"/>
      <c r="E448" t="str">
        <f t="shared" si="34"/>
        <v>Scenario 7|elc_transport|2045</v>
      </c>
    </row>
    <row r="449" spans="1:5">
      <c r="A449" t="str">
        <f>INDEX(Controller!$H$2:$H$11,INT((ROW()-2)/70)+1)</f>
        <v>Scenario 7</v>
      </c>
      <c r="B449" s="2">
        <v>2050</v>
      </c>
      <c r="C449" t="str">
        <f>INDEX(Controller!$J$2:$J$11,MOD(INT((ROW()-2)/7),10)+1)</f>
        <v>elc_transport</v>
      </c>
      <c r="D449" s="4"/>
      <c r="E449" t="str">
        <f t="shared" si="34"/>
        <v>Scenario 7|elc_transport|2050</v>
      </c>
    </row>
    <row r="450" spans="1:5">
      <c r="A450" t="str">
        <f>INDEX(Controller!$H$2:$H$11,INT((ROW()-2)/70)+1)</f>
        <v>Scenario 7</v>
      </c>
      <c r="B450" s="2">
        <v>2022</v>
      </c>
      <c r="C450" t="str">
        <f>INDEX(Controller!$J$2:$J$11,MOD(INT((ROW()-2)/7),10)+1)</f>
        <v>elc_roadtransport</v>
      </c>
      <c r="D450" s="4"/>
      <c r="E450" t="str">
        <f t="shared" ref="E450:E513" si="35">A450&amp;"|"&amp;C450&amp;"|"&amp;B450</f>
        <v>Scenario 7|elc_roadtransport|2022</v>
      </c>
    </row>
    <row r="451" spans="1:5">
      <c r="A451" t="str">
        <f>INDEX(Controller!$H$2:$H$11,INT((ROW()-2)/70)+1)</f>
        <v>Scenario 7</v>
      </c>
      <c r="B451" s="2">
        <v>2025</v>
      </c>
      <c r="C451" t="str">
        <f>INDEX(Controller!$J$2:$J$11,MOD(INT((ROW()-2)/7),10)+1)</f>
        <v>elc_roadtransport</v>
      </c>
      <c r="D451" s="4"/>
      <c r="E451" t="str">
        <f t="shared" si="35"/>
        <v>Scenario 7|elc_roadtransport|2025</v>
      </c>
    </row>
    <row r="452" spans="1:5">
      <c r="A452" t="str">
        <f>INDEX(Controller!$H$2:$H$11,INT((ROW()-2)/70)+1)</f>
        <v>Scenario 7</v>
      </c>
      <c r="B452" s="2">
        <v>2030</v>
      </c>
      <c r="C452" t="str">
        <f>INDEX(Controller!$J$2:$J$11,MOD(INT((ROW()-2)/7),10)+1)</f>
        <v>elc_roadtransport</v>
      </c>
      <c r="D452" s="4"/>
      <c r="E452" t="str">
        <f t="shared" si="35"/>
        <v>Scenario 7|elc_roadtransport|2030</v>
      </c>
    </row>
    <row r="453" spans="1:5">
      <c r="A453" t="str">
        <f>INDEX(Controller!$H$2:$H$11,INT((ROW()-2)/70)+1)</f>
        <v>Scenario 7</v>
      </c>
      <c r="B453" s="2">
        <v>2035</v>
      </c>
      <c r="C453" t="str">
        <f>INDEX(Controller!$J$2:$J$11,MOD(INT((ROW()-2)/7),10)+1)</f>
        <v>elc_roadtransport</v>
      </c>
      <c r="D453" s="4"/>
      <c r="E453" t="str">
        <f t="shared" si="35"/>
        <v>Scenario 7|elc_roadtransport|2035</v>
      </c>
    </row>
    <row r="454" spans="1:5">
      <c r="A454" t="str">
        <f>INDEX(Controller!$H$2:$H$11,INT((ROW()-2)/70)+1)</f>
        <v>Scenario 7</v>
      </c>
      <c r="B454" s="2">
        <v>2040</v>
      </c>
      <c r="C454" t="str">
        <f>INDEX(Controller!$J$2:$J$11,MOD(INT((ROW()-2)/7),10)+1)</f>
        <v>elc_roadtransport</v>
      </c>
      <c r="D454" s="4"/>
      <c r="E454" t="str">
        <f t="shared" si="35"/>
        <v>Scenario 7|elc_roadtransport|2040</v>
      </c>
    </row>
    <row r="455" spans="1:5">
      <c r="A455" t="str">
        <f>INDEX(Controller!$H$2:$H$11,INT((ROW()-2)/70)+1)</f>
        <v>Scenario 7</v>
      </c>
      <c r="B455" s="2">
        <v>2045</v>
      </c>
      <c r="C455" t="str">
        <f>INDEX(Controller!$J$2:$J$11,MOD(INT((ROW()-2)/7),10)+1)</f>
        <v>elc_roadtransport</v>
      </c>
      <c r="D455" s="4"/>
      <c r="E455" t="str">
        <f t="shared" si="35"/>
        <v>Scenario 7|elc_roadtransport|2045</v>
      </c>
    </row>
    <row r="456" spans="1:5">
      <c r="A456" t="str">
        <f>INDEX(Controller!$H$2:$H$11,INT((ROW()-2)/70)+1)</f>
        <v>Scenario 7</v>
      </c>
      <c r="B456" s="2">
        <v>2050</v>
      </c>
      <c r="C456" t="str">
        <f>INDEX(Controller!$J$2:$J$11,MOD(INT((ROW()-2)/7),10)+1)</f>
        <v>elc_roadtransport</v>
      </c>
      <c r="D456" s="4"/>
      <c r="E456" t="str">
        <f t="shared" si="35"/>
        <v>Scenario 7|elc_roadtransport|2050</v>
      </c>
    </row>
    <row r="457" spans="1:5">
      <c r="A457" t="str">
        <f>INDEX(Controller!$H$2:$H$11,INT((ROW()-2)/70)+1)</f>
        <v>Scenario 7</v>
      </c>
      <c r="B457" s="2">
        <v>2022</v>
      </c>
      <c r="C457" t="str">
        <f>INDEX(Controller!$J$2:$J$11,MOD(INT((ROW()-2)/7),10)+1)</f>
        <v>het_industry</v>
      </c>
      <c r="D457" s="4"/>
      <c r="E457" t="str">
        <f t="shared" si="35"/>
        <v>Scenario 7|het_industry|2022</v>
      </c>
    </row>
    <row r="458" spans="1:5">
      <c r="A458" t="str">
        <f>INDEX(Controller!$H$2:$H$11,INT((ROW()-2)/70)+1)</f>
        <v>Scenario 7</v>
      </c>
      <c r="B458" s="2">
        <v>2025</v>
      </c>
      <c r="C458" t="str">
        <f>INDEX(Controller!$J$2:$J$11,MOD(INT((ROW()-2)/7),10)+1)</f>
        <v>het_industry</v>
      </c>
      <c r="D458" s="4"/>
      <c r="E458" t="str">
        <f t="shared" si="35"/>
        <v>Scenario 7|het_industry|2025</v>
      </c>
    </row>
    <row r="459" spans="1:5">
      <c r="A459" t="str">
        <f>INDEX(Controller!$H$2:$H$11,INT((ROW()-2)/70)+1)</f>
        <v>Scenario 7</v>
      </c>
      <c r="B459" s="2">
        <v>2030</v>
      </c>
      <c r="C459" t="str">
        <f>INDEX(Controller!$J$2:$J$11,MOD(INT((ROW()-2)/7),10)+1)</f>
        <v>het_industry</v>
      </c>
      <c r="D459" s="4"/>
      <c r="E459" t="str">
        <f t="shared" si="35"/>
        <v>Scenario 7|het_industry|2030</v>
      </c>
    </row>
    <row r="460" spans="1:5">
      <c r="A460" t="str">
        <f>INDEX(Controller!$H$2:$H$11,INT((ROW()-2)/70)+1)</f>
        <v>Scenario 7</v>
      </c>
      <c r="B460" s="2">
        <v>2035</v>
      </c>
      <c r="C460" t="str">
        <f>INDEX(Controller!$J$2:$J$11,MOD(INT((ROW()-2)/7),10)+1)</f>
        <v>het_industry</v>
      </c>
      <c r="D460" s="4"/>
      <c r="E460" t="str">
        <f t="shared" si="35"/>
        <v>Scenario 7|het_industry|2035</v>
      </c>
    </row>
    <row r="461" spans="1:5">
      <c r="A461" t="str">
        <f>INDEX(Controller!$H$2:$H$11,INT((ROW()-2)/70)+1)</f>
        <v>Scenario 7</v>
      </c>
      <c r="B461" s="2">
        <v>2040</v>
      </c>
      <c r="C461" t="str">
        <f>INDEX(Controller!$J$2:$J$11,MOD(INT((ROW()-2)/7),10)+1)</f>
        <v>het_industry</v>
      </c>
      <c r="D461" s="4"/>
      <c r="E461" t="str">
        <f t="shared" si="35"/>
        <v>Scenario 7|het_industry|2040</v>
      </c>
    </row>
    <row r="462" spans="1:5">
      <c r="A462" t="str">
        <f>INDEX(Controller!$H$2:$H$11,INT((ROW()-2)/70)+1)</f>
        <v>Scenario 7</v>
      </c>
      <c r="B462" s="2">
        <v>2045</v>
      </c>
      <c r="C462" t="str">
        <f>INDEX(Controller!$J$2:$J$11,MOD(INT((ROW()-2)/7),10)+1)</f>
        <v>het_industry</v>
      </c>
      <c r="D462" s="4"/>
      <c r="E462" t="str">
        <f t="shared" si="35"/>
        <v>Scenario 7|het_industry|2045</v>
      </c>
    </row>
    <row r="463" spans="1:5">
      <c r="A463" t="str">
        <f>INDEX(Controller!$H$2:$H$11,INT((ROW()-2)/70)+1)</f>
        <v>Scenario 7</v>
      </c>
      <c r="B463" s="2">
        <v>2050</v>
      </c>
      <c r="C463" t="str">
        <f>INDEX(Controller!$J$2:$J$11,MOD(INT((ROW()-2)/7),10)+1)</f>
        <v>het_industry</v>
      </c>
      <c r="D463" s="4"/>
      <c r="E463" t="str">
        <f t="shared" si="35"/>
        <v>Scenario 7|het_industry|2050</v>
      </c>
    </row>
    <row r="464" spans="1:5">
      <c r="A464" t="str">
        <f>INDEX(Controller!$H$2:$H$11,INT((ROW()-2)/70)+1)</f>
        <v>Scenario 7</v>
      </c>
      <c r="B464" s="2">
        <v>2022</v>
      </c>
      <c r="C464" t="str">
        <f>INDEX(Controller!$J$2:$J$11,MOD(INT((ROW()-2)/7),10)+1)</f>
        <v>het_buildings</v>
      </c>
      <c r="D464" s="4"/>
      <c r="E464" t="str">
        <f t="shared" si="35"/>
        <v>Scenario 7|het_buildings|2022</v>
      </c>
    </row>
    <row r="465" spans="1:5">
      <c r="A465" t="str">
        <f>INDEX(Controller!$H$2:$H$11,INT((ROW()-2)/70)+1)</f>
        <v>Scenario 7</v>
      </c>
      <c r="B465" s="2">
        <v>2025</v>
      </c>
      <c r="C465" t="str">
        <f>INDEX(Controller!$J$2:$J$11,MOD(INT((ROW()-2)/7),10)+1)</f>
        <v>het_buildings</v>
      </c>
      <c r="D465" s="4"/>
      <c r="E465" t="str">
        <f t="shared" si="35"/>
        <v>Scenario 7|het_buildings|2025</v>
      </c>
    </row>
    <row r="466" spans="1:5">
      <c r="A466" t="str">
        <f>INDEX(Controller!$H$2:$H$11,INT((ROW()-2)/70)+1)</f>
        <v>Scenario 7</v>
      </c>
      <c r="B466" s="2">
        <v>2030</v>
      </c>
      <c r="C466" t="str">
        <f>INDEX(Controller!$J$2:$J$11,MOD(INT((ROW()-2)/7),10)+1)</f>
        <v>het_buildings</v>
      </c>
      <c r="D466" s="4"/>
      <c r="E466" t="str">
        <f t="shared" si="35"/>
        <v>Scenario 7|het_buildings|2030</v>
      </c>
    </row>
    <row r="467" spans="1:5">
      <c r="A467" t="str">
        <f>INDEX(Controller!$H$2:$H$11,INT((ROW()-2)/70)+1)</f>
        <v>Scenario 7</v>
      </c>
      <c r="B467" s="2">
        <v>2035</v>
      </c>
      <c r="C467" t="str">
        <f>INDEX(Controller!$J$2:$J$11,MOD(INT((ROW()-2)/7),10)+1)</f>
        <v>het_buildings</v>
      </c>
      <c r="D467" s="4"/>
      <c r="E467" t="str">
        <f t="shared" si="35"/>
        <v>Scenario 7|het_buildings|2035</v>
      </c>
    </row>
    <row r="468" spans="1:5">
      <c r="A468" t="str">
        <f>INDEX(Controller!$H$2:$H$11,INT((ROW()-2)/70)+1)</f>
        <v>Scenario 7</v>
      </c>
      <c r="B468" s="2">
        <v>2040</v>
      </c>
      <c r="C468" t="str">
        <f>INDEX(Controller!$J$2:$J$11,MOD(INT((ROW()-2)/7),10)+1)</f>
        <v>het_buildings</v>
      </c>
      <c r="D468" s="4"/>
      <c r="E468" t="str">
        <f t="shared" si="35"/>
        <v>Scenario 7|het_buildings|2040</v>
      </c>
    </row>
    <row r="469" spans="1:5">
      <c r="A469" t="str">
        <f>INDEX(Controller!$H$2:$H$11,INT((ROW()-2)/70)+1)</f>
        <v>Scenario 7</v>
      </c>
      <c r="B469" s="2">
        <v>2045</v>
      </c>
      <c r="C469" t="str">
        <f>INDEX(Controller!$J$2:$J$11,MOD(INT((ROW()-2)/7),10)+1)</f>
        <v>het_buildings</v>
      </c>
      <c r="D469" s="4"/>
      <c r="E469" t="str">
        <f t="shared" si="35"/>
        <v>Scenario 7|het_buildings|2045</v>
      </c>
    </row>
    <row r="470" spans="1:5">
      <c r="A470" t="str">
        <f>INDEX(Controller!$H$2:$H$11,INT((ROW()-2)/70)+1)</f>
        <v>Scenario 7</v>
      </c>
      <c r="B470" s="2">
        <v>2050</v>
      </c>
      <c r="C470" t="str">
        <f>INDEX(Controller!$J$2:$J$11,MOD(INT((ROW()-2)/7),10)+1)</f>
        <v>het_buildings</v>
      </c>
      <c r="D470" s="4"/>
      <c r="E470" t="str">
        <f t="shared" si="35"/>
        <v>Scenario 7|het_buildings|2050</v>
      </c>
    </row>
    <row r="471" spans="1:5">
      <c r="A471" t="str">
        <f>INDEX(Controller!$H$2:$H$11,INT((ROW()-2)/70)+1)</f>
        <v>Scenario 7</v>
      </c>
      <c r="B471" s="2">
        <v>2022</v>
      </c>
      <c r="C471" t="str">
        <f>INDEX(Controller!$J$2:$J$11,MOD(INT((ROW()-2)/7),10)+1)</f>
        <v>co2net</v>
      </c>
      <c r="D471" s="4"/>
      <c r="E471" t="str">
        <f t="shared" si="35"/>
        <v>Scenario 7|co2net|2022</v>
      </c>
    </row>
    <row r="472" spans="1:5">
      <c r="A472" t="str">
        <f>INDEX(Controller!$H$2:$H$11,INT((ROW()-2)/70)+1)</f>
        <v>Scenario 7</v>
      </c>
      <c r="B472" s="2">
        <v>2025</v>
      </c>
      <c r="C472" t="str">
        <f>INDEX(Controller!$J$2:$J$11,MOD(INT((ROW()-2)/7),10)+1)</f>
        <v>co2net</v>
      </c>
      <c r="D472" s="4"/>
      <c r="E472" t="str">
        <f t="shared" si="35"/>
        <v>Scenario 7|co2net|2025</v>
      </c>
    </row>
    <row r="473" spans="1:5">
      <c r="A473" t="str">
        <f>INDEX(Controller!$H$2:$H$11,INT((ROW()-2)/70)+1)</f>
        <v>Scenario 7</v>
      </c>
      <c r="B473" s="2">
        <v>2030</v>
      </c>
      <c r="C473" t="str">
        <f>INDEX(Controller!$J$2:$J$11,MOD(INT((ROW()-2)/7),10)+1)</f>
        <v>co2net</v>
      </c>
      <c r="D473" s="4"/>
      <c r="E473" t="str">
        <f t="shared" si="35"/>
        <v>Scenario 7|co2net|2030</v>
      </c>
    </row>
    <row r="474" spans="1:5">
      <c r="A474" t="str">
        <f>INDEX(Controller!$H$2:$H$11,INT((ROW()-2)/70)+1)</f>
        <v>Scenario 7</v>
      </c>
      <c r="B474" s="2">
        <v>2035</v>
      </c>
      <c r="C474" t="str">
        <f>INDEX(Controller!$J$2:$J$11,MOD(INT((ROW()-2)/7),10)+1)</f>
        <v>co2net</v>
      </c>
      <c r="D474" s="4"/>
      <c r="E474" t="str">
        <f t="shared" si="35"/>
        <v>Scenario 7|co2net|2035</v>
      </c>
    </row>
    <row r="475" spans="1:5">
      <c r="A475" t="str">
        <f>INDEX(Controller!$H$2:$H$11,INT((ROW()-2)/70)+1)</f>
        <v>Scenario 7</v>
      </c>
      <c r="B475" s="2">
        <v>2040</v>
      </c>
      <c r="C475" t="str">
        <f>INDEX(Controller!$J$2:$J$11,MOD(INT((ROW()-2)/7),10)+1)</f>
        <v>co2net</v>
      </c>
      <c r="D475" s="4"/>
      <c r="E475" t="str">
        <f t="shared" si="35"/>
        <v>Scenario 7|co2net|2040</v>
      </c>
    </row>
    <row r="476" spans="1:5">
      <c r="A476" t="str">
        <f>INDEX(Controller!$H$2:$H$11,INT((ROW()-2)/70)+1)</f>
        <v>Scenario 7</v>
      </c>
      <c r="B476" s="2">
        <v>2045</v>
      </c>
      <c r="C476" t="str">
        <f>INDEX(Controller!$J$2:$J$11,MOD(INT((ROW()-2)/7),10)+1)</f>
        <v>co2net</v>
      </c>
      <c r="D476" s="4"/>
      <c r="E476" t="str">
        <f t="shared" si="35"/>
        <v>Scenario 7|co2net|2045</v>
      </c>
    </row>
    <row r="477" spans="1:5">
      <c r="A477" t="str">
        <f>INDEX(Controller!$H$2:$H$11,INT((ROW()-2)/70)+1)</f>
        <v>Scenario 7</v>
      </c>
      <c r="B477" s="2">
        <v>2050</v>
      </c>
      <c r="C477" t="str">
        <f>INDEX(Controller!$J$2:$J$11,MOD(INT((ROW()-2)/7),10)+1)</f>
        <v>co2net</v>
      </c>
      <c r="D477" s="4"/>
      <c r="E477" t="str">
        <f t="shared" si="35"/>
        <v>Scenario 7|co2net|2050</v>
      </c>
    </row>
    <row r="478" spans="1:5">
      <c r="A478" t="str">
        <f>INDEX(Controller!$H$2:$H$11,INT((ROW()-2)/70)+1)</f>
        <v>Scenario 7</v>
      </c>
      <c r="B478" s="2">
        <v>2022</v>
      </c>
      <c r="C478" t="str">
        <f>INDEX(Controller!$J$2:$J$11,MOD(INT((ROW()-2)/7),10)+1)</f>
        <v>Variable 9</v>
      </c>
      <c r="D478" s="4"/>
      <c r="E478" t="str">
        <f t="shared" si="35"/>
        <v>Scenario 7|Variable 9|2022</v>
      </c>
    </row>
    <row r="479" spans="1:5">
      <c r="A479" t="str">
        <f>INDEX(Controller!$H$2:$H$11,INT((ROW()-2)/70)+1)</f>
        <v>Scenario 7</v>
      </c>
      <c r="B479" s="2">
        <v>2025</v>
      </c>
      <c r="C479" t="str">
        <f>INDEX(Controller!$J$2:$J$11,MOD(INT((ROW()-2)/7),10)+1)</f>
        <v>Variable 9</v>
      </c>
      <c r="D479" s="4"/>
      <c r="E479" t="str">
        <f t="shared" si="35"/>
        <v>Scenario 7|Variable 9|2025</v>
      </c>
    </row>
    <row r="480" spans="1:5">
      <c r="A480" t="str">
        <f>INDEX(Controller!$H$2:$H$11,INT((ROW()-2)/70)+1)</f>
        <v>Scenario 7</v>
      </c>
      <c r="B480" s="2">
        <v>2030</v>
      </c>
      <c r="C480" t="str">
        <f>INDEX(Controller!$J$2:$J$11,MOD(INT((ROW()-2)/7),10)+1)</f>
        <v>Variable 9</v>
      </c>
      <c r="D480" s="4"/>
      <c r="E480" t="str">
        <f t="shared" si="35"/>
        <v>Scenario 7|Variable 9|2030</v>
      </c>
    </row>
    <row r="481" spans="1:5">
      <c r="A481" t="str">
        <f>INDEX(Controller!$H$2:$H$11,INT((ROW()-2)/70)+1)</f>
        <v>Scenario 7</v>
      </c>
      <c r="B481" s="2">
        <v>2035</v>
      </c>
      <c r="C481" t="str">
        <f>INDEX(Controller!$J$2:$J$11,MOD(INT((ROW()-2)/7),10)+1)</f>
        <v>Variable 9</v>
      </c>
      <c r="D481" s="4"/>
      <c r="E481" t="str">
        <f t="shared" si="35"/>
        <v>Scenario 7|Variable 9|2035</v>
      </c>
    </row>
    <row r="482" spans="1:5">
      <c r="A482" t="str">
        <f>INDEX(Controller!$H$2:$H$11,INT((ROW()-2)/70)+1)</f>
        <v>Scenario 7</v>
      </c>
      <c r="B482" s="2">
        <v>2040</v>
      </c>
      <c r="C482" t="str">
        <f>INDEX(Controller!$J$2:$J$11,MOD(INT((ROW()-2)/7),10)+1)</f>
        <v>Variable 9</v>
      </c>
      <c r="D482" s="4"/>
      <c r="E482" t="str">
        <f t="shared" si="35"/>
        <v>Scenario 7|Variable 9|2040</v>
      </c>
    </row>
    <row r="483" spans="1:5">
      <c r="A483" t="str">
        <f>INDEX(Controller!$H$2:$H$11,INT((ROW()-2)/70)+1)</f>
        <v>Scenario 7</v>
      </c>
      <c r="B483" s="2">
        <v>2045</v>
      </c>
      <c r="C483" t="str">
        <f>INDEX(Controller!$J$2:$J$11,MOD(INT((ROW()-2)/7),10)+1)</f>
        <v>Variable 9</v>
      </c>
      <c r="D483" s="4"/>
      <c r="E483" t="str">
        <f t="shared" si="35"/>
        <v>Scenario 7|Variable 9|2045</v>
      </c>
    </row>
    <row r="484" spans="1:5">
      <c r="A484" t="str">
        <f>INDEX(Controller!$H$2:$H$11,INT((ROW()-2)/70)+1)</f>
        <v>Scenario 7</v>
      </c>
      <c r="B484" s="2">
        <v>2050</v>
      </c>
      <c r="C484" t="str">
        <f>INDEX(Controller!$J$2:$J$11,MOD(INT((ROW()-2)/7),10)+1)</f>
        <v>Variable 9</v>
      </c>
      <c r="D484" s="4"/>
      <c r="E484" t="str">
        <f t="shared" si="35"/>
        <v>Scenario 7|Variable 9|2050</v>
      </c>
    </row>
    <row r="485" spans="1:5">
      <c r="A485" t="str">
        <f>INDEX(Controller!$H$2:$H$11,INT((ROW()-2)/70)+1)</f>
        <v>Scenario 7</v>
      </c>
      <c r="B485" s="2">
        <v>2022</v>
      </c>
      <c r="C485" t="str">
        <f>INDEX(Controller!$J$2:$J$11,MOD(INT((ROW()-2)/7),10)+1)</f>
        <v>Variable 10</v>
      </c>
      <c r="D485" s="4"/>
      <c r="E485" t="str">
        <f t="shared" si="35"/>
        <v>Scenario 7|Variable 10|2022</v>
      </c>
    </row>
    <row r="486" spans="1:5">
      <c r="A486" t="str">
        <f>INDEX(Controller!$H$2:$H$11,INT((ROW()-2)/70)+1)</f>
        <v>Scenario 7</v>
      </c>
      <c r="B486" s="2">
        <v>2025</v>
      </c>
      <c r="C486" t="str">
        <f>INDEX(Controller!$J$2:$J$11,MOD(INT((ROW()-2)/7),10)+1)</f>
        <v>Variable 10</v>
      </c>
      <c r="D486" s="4"/>
      <c r="E486" t="str">
        <f t="shared" si="35"/>
        <v>Scenario 7|Variable 10|2025</v>
      </c>
    </row>
    <row r="487" spans="1:5">
      <c r="A487" t="str">
        <f>INDEX(Controller!$H$2:$H$11,INT((ROW()-2)/70)+1)</f>
        <v>Scenario 7</v>
      </c>
      <c r="B487" s="2">
        <v>2030</v>
      </c>
      <c r="C487" t="str">
        <f>INDEX(Controller!$J$2:$J$11,MOD(INT((ROW()-2)/7),10)+1)</f>
        <v>Variable 10</v>
      </c>
      <c r="D487" s="4"/>
      <c r="E487" t="str">
        <f t="shared" si="35"/>
        <v>Scenario 7|Variable 10|2030</v>
      </c>
    </row>
    <row r="488" spans="1:5">
      <c r="A488" t="str">
        <f>INDEX(Controller!$H$2:$H$11,INT((ROW()-2)/70)+1)</f>
        <v>Scenario 7</v>
      </c>
      <c r="B488" s="2">
        <v>2035</v>
      </c>
      <c r="C488" t="str">
        <f>INDEX(Controller!$J$2:$J$11,MOD(INT((ROW()-2)/7),10)+1)</f>
        <v>Variable 10</v>
      </c>
      <c r="D488" s="4"/>
      <c r="E488" t="str">
        <f t="shared" si="35"/>
        <v>Scenario 7|Variable 10|2035</v>
      </c>
    </row>
    <row r="489" spans="1:5">
      <c r="A489" t="str">
        <f>INDEX(Controller!$H$2:$H$11,INT((ROW()-2)/70)+1)</f>
        <v>Scenario 7</v>
      </c>
      <c r="B489" s="2">
        <v>2040</v>
      </c>
      <c r="C489" t="str">
        <f>INDEX(Controller!$J$2:$J$11,MOD(INT((ROW()-2)/7),10)+1)</f>
        <v>Variable 10</v>
      </c>
      <c r="D489" s="4"/>
      <c r="E489" t="str">
        <f t="shared" si="35"/>
        <v>Scenario 7|Variable 10|2040</v>
      </c>
    </row>
    <row r="490" spans="1:5">
      <c r="A490" t="str">
        <f>INDEX(Controller!$H$2:$H$11,INT((ROW()-2)/70)+1)</f>
        <v>Scenario 7</v>
      </c>
      <c r="B490" s="2">
        <v>2045</v>
      </c>
      <c r="C490" t="str">
        <f>INDEX(Controller!$J$2:$J$11,MOD(INT((ROW()-2)/7),10)+1)</f>
        <v>Variable 10</v>
      </c>
      <c r="D490" s="4"/>
      <c r="E490" t="str">
        <f t="shared" si="35"/>
        <v>Scenario 7|Variable 10|2045</v>
      </c>
    </row>
    <row r="491" spans="1:5">
      <c r="A491" t="str">
        <f>INDEX(Controller!$H$2:$H$11,INT((ROW()-2)/70)+1)</f>
        <v>Scenario 7</v>
      </c>
      <c r="B491" s="2">
        <v>2050</v>
      </c>
      <c r="C491" t="str">
        <f>INDEX(Controller!$J$2:$J$11,MOD(INT((ROW()-2)/7),10)+1)</f>
        <v>Variable 10</v>
      </c>
      <c r="D491" s="4"/>
      <c r="E491" t="str">
        <f t="shared" si="35"/>
        <v>Scenario 7|Variable 10|2050</v>
      </c>
    </row>
    <row r="492" spans="1:5">
      <c r="A492" t="str">
        <f>INDEX(Controller!$H$2:$H$11,INT((ROW()-2)/70)+1)</f>
        <v>Scenario 8</v>
      </c>
      <c r="B492" s="2">
        <v>2022</v>
      </c>
      <c r="C492" t="str">
        <f>INDEX(Controller!$J$2:$J$11,MOD(INT((ROW()-2)/7),10)+1)</f>
        <v>hydrogen_allsect</v>
      </c>
      <c r="D492" s="4"/>
      <c r="E492" t="str">
        <f t="shared" si="35"/>
        <v>Scenario 8|hydrogen_allsect|2022</v>
      </c>
    </row>
    <row r="493" spans="1:5">
      <c r="A493" t="str">
        <f>INDEX(Controller!$H$2:$H$11,INT((ROW()-2)/70)+1)</f>
        <v>Scenario 8</v>
      </c>
      <c r="B493" s="2">
        <v>2025</v>
      </c>
      <c r="C493" t="str">
        <f>INDEX(Controller!$J$2:$J$11,MOD(INT((ROW()-2)/7),10)+1)</f>
        <v>hydrogen_allsect</v>
      </c>
      <c r="D493" s="4"/>
      <c r="E493" t="str">
        <f t="shared" si="35"/>
        <v>Scenario 8|hydrogen_allsect|2025</v>
      </c>
    </row>
    <row r="494" spans="1:5">
      <c r="A494" t="str">
        <f>INDEX(Controller!$H$2:$H$11,INT((ROW()-2)/70)+1)</f>
        <v>Scenario 8</v>
      </c>
      <c r="B494" s="2">
        <v>2030</v>
      </c>
      <c r="C494" t="str">
        <f>INDEX(Controller!$J$2:$J$11,MOD(INT((ROW()-2)/7),10)+1)</f>
        <v>hydrogen_allsect</v>
      </c>
      <c r="D494" s="4"/>
      <c r="E494" t="str">
        <f t="shared" si="35"/>
        <v>Scenario 8|hydrogen_allsect|2030</v>
      </c>
    </row>
    <row r="495" spans="1:5">
      <c r="A495" t="str">
        <f>INDEX(Controller!$H$2:$H$11,INT((ROW()-2)/70)+1)</f>
        <v>Scenario 8</v>
      </c>
      <c r="B495" s="2">
        <v>2035</v>
      </c>
      <c r="C495" t="str">
        <f>INDEX(Controller!$J$2:$J$11,MOD(INT((ROW()-2)/7),10)+1)</f>
        <v>hydrogen_allsect</v>
      </c>
      <c r="D495" s="4"/>
      <c r="E495" t="str">
        <f t="shared" si="35"/>
        <v>Scenario 8|hydrogen_allsect|2035</v>
      </c>
    </row>
    <row r="496" spans="1:5">
      <c r="A496" t="str">
        <f>INDEX(Controller!$H$2:$H$11,INT((ROW()-2)/70)+1)</f>
        <v>Scenario 8</v>
      </c>
      <c r="B496" s="2">
        <v>2040</v>
      </c>
      <c r="C496" t="str">
        <f>INDEX(Controller!$J$2:$J$11,MOD(INT((ROW()-2)/7),10)+1)</f>
        <v>hydrogen_allsect</v>
      </c>
      <c r="D496" s="4"/>
      <c r="E496" t="str">
        <f t="shared" si="35"/>
        <v>Scenario 8|hydrogen_allsect|2040</v>
      </c>
    </row>
    <row r="497" spans="1:5">
      <c r="A497" t="str">
        <f>INDEX(Controller!$H$2:$H$11,INT((ROW()-2)/70)+1)</f>
        <v>Scenario 8</v>
      </c>
      <c r="B497" s="2">
        <v>2045</v>
      </c>
      <c r="C497" t="str">
        <f>INDEX(Controller!$J$2:$J$11,MOD(INT((ROW()-2)/7),10)+1)</f>
        <v>hydrogen_allsect</v>
      </c>
      <c r="D497" s="4"/>
      <c r="E497" t="str">
        <f t="shared" si="35"/>
        <v>Scenario 8|hydrogen_allsect|2045</v>
      </c>
    </row>
    <row r="498" spans="1:5">
      <c r="A498" t="str">
        <f>INDEX(Controller!$H$2:$H$11,INT((ROW()-2)/70)+1)</f>
        <v>Scenario 8</v>
      </c>
      <c r="B498" s="2">
        <v>2050</v>
      </c>
      <c r="C498" t="str">
        <f>INDEX(Controller!$J$2:$J$11,MOD(INT((ROW()-2)/7),10)+1)</f>
        <v>hydrogen_allsect</v>
      </c>
      <c r="D498" s="4"/>
      <c r="E498" t="str">
        <f t="shared" si="35"/>
        <v>Scenario 8|hydrogen_allsect|2050</v>
      </c>
    </row>
    <row r="499" spans="1:5">
      <c r="A499" t="str">
        <f>INDEX(Controller!$H$2:$H$11,INT((ROW()-2)/70)+1)</f>
        <v>Scenario 8</v>
      </c>
      <c r="B499" s="2">
        <v>2022</v>
      </c>
      <c r="C499" t="str">
        <f>INDEX(Controller!$J$2:$J$11,MOD(INT((ROW()-2)/7),10)+1)</f>
        <v>elc_industry</v>
      </c>
      <c r="D499" s="4"/>
      <c r="E499" t="str">
        <f t="shared" si="35"/>
        <v>Scenario 8|elc_industry|2022</v>
      </c>
    </row>
    <row r="500" spans="1:5">
      <c r="A500" t="str">
        <f>INDEX(Controller!$H$2:$H$11,INT((ROW()-2)/70)+1)</f>
        <v>Scenario 8</v>
      </c>
      <c r="B500" s="2">
        <v>2025</v>
      </c>
      <c r="C500" t="str">
        <f>INDEX(Controller!$J$2:$J$11,MOD(INT((ROW()-2)/7),10)+1)</f>
        <v>elc_industry</v>
      </c>
      <c r="D500" s="4"/>
      <c r="E500" t="str">
        <f t="shared" si="35"/>
        <v>Scenario 8|elc_industry|2025</v>
      </c>
    </row>
    <row r="501" spans="1:5">
      <c r="A501" t="str">
        <f>INDEX(Controller!$H$2:$H$11,INT((ROW()-2)/70)+1)</f>
        <v>Scenario 8</v>
      </c>
      <c r="B501" s="2">
        <v>2030</v>
      </c>
      <c r="C501" t="str">
        <f>INDEX(Controller!$J$2:$J$11,MOD(INT((ROW()-2)/7),10)+1)</f>
        <v>elc_industry</v>
      </c>
      <c r="D501" s="4"/>
      <c r="E501" t="str">
        <f t="shared" si="35"/>
        <v>Scenario 8|elc_industry|2030</v>
      </c>
    </row>
    <row r="502" spans="1:5">
      <c r="A502" t="str">
        <f>INDEX(Controller!$H$2:$H$11,INT((ROW()-2)/70)+1)</f>
        <v>Scenario 8</v>
      </c>
      <c r="B502" s="2">
        <v>2035</v>
      </c>
      <c r="C502" t="str">
        <f>INDEX(Controller!$J$2:$J$11,MOD(INT((ROW()-2)/7),10)+1)</f>
        <v>elc_industry</v>
      </c>
      <c r="D502" s="4"/>
      <c r="E502" t="str">
        <f t="shared" si="35"/>
        <v>Scenario 8|elc_industry|2035</v>
      </c>
    </row>
    <row r="503" spans="1:5">
      <c r="A503" t="str">
        <f>INDEX(Controller!$H$2:$H$11,INT((ROW()-2)/70)+1)</f>
        <v>Scenario 8</v>
      </c>
      <c r="B503" s="2">
        <v>2040</v>
      </c>
      <c r="C503" t="str">
        <f>INDEX(Controller!$J$2:$J$11,MOD(INT((ROW()-2)/7),10)+1)</f>
        <v>elc_industry</v>
      </c>
      <c r="D503" s="4"/>
      <c r="E503" t="str">
        <f t="shared" si="35"/>
        <v>Scenario 8|elc_industry|2040</v>
      </c>
    </row>
    <row r="504" spans="1:5">
      <c r="A504" t="str">
        <f>INDEX(Controller!$H$2:$H$11,INT((ROW()-2)/70)+1)</f>
        <v>Scenario 8</v>
      </c>
      <c r="B504" s="2">
        <v>2045</v>
      </c>
      <c r="C504" t="str">
        <f>INDEX(Controller!$J$2:$J$11,MOD(INT((ROW()-2)/7),10)+1)</f>
        <v>elc_industry</v>
      </c>
      <c r="D504" s="4"/>
      <c r="E504" t="str">
        <f t="shared" si="35"/>
        <v>Scenario 8|elc_industry|2045</v>
      </c>
    </row>
    <row r="505" spans="1:5">
      <c r="A505" t="str">
        <f>INDEX(Controller!$H$2:$H$11,INT((ROW()-2)/70)+1)</f>
        <v>Scenario 8</v>
      </c>
      <c r="B505" s="2">
        <v>2050</v>
      </c>
      <c r="C505" t="str">
        <f>INDEX(Controller!$J$2:$J$11,MOD(INT((ROW()-2)/7),10)+1)</f>
        <v>elc_industry</v>
      </c>
      <c r="D505" s="4"/>
      <c r="E505" t="str">
        <f t="shared" si="35"/>
        <v>Scenario 8|elc_industry|2050</v>
      </c>
    </row>
    <row r="506" spans="1:5">
      <c r="A506" t="str">
        <f>INDEX(Controller!$H$2:$H$11,INT((ROW()-2)/70)+1)</f>
        <v>Scenario 8</v>
      </c>
      <c r="B506" s="2">
        <v>2022</v>
      </c>
      <c r="C506" t="str">
        <f>INDEX(Controller!$J$2:$J$11,MOD(INT((ROW()-2)/7),10)+1)</f>
        <v>elc_buildings</v>
      </c>
      <c r="D506" s="4"/>
      <c r="E506" t="str">
        <f t="shared" si="35"/>
        <v>Scenario 8|elc_buildings|2022</v>
      </c>
    </row>
    <row r="507" spans="1:5">
      <c r="A507" t="str">
        <f>INDEX(Controller!$H$2:$H$11,INT((ROW()-2)/70)+1)</f>
        <v>Scenario 8</v>
      </c>
      <c r="B507" s="2">
        <v>2025</v>
      </c>
      <c r="C507" t="str">
        <f>INDEX(Controller!$J$2:$J$11,MOD(INT((ROW()-2)/7),10)+1)</f>
        <v>elc_buildings</v>
      </c>
      <c r="D507" s="4"/>
      <c r="E507" t="str">
        <f t="shared" si="35"/>
        <v>Scenario 8|elc_buildings|2025</v>
      </c>
    </row>
    <row r="508" spans="1:5">
      <c r="A508" t="str">
        <f>INDEX(Controller!$H$2:$H$11,INT((ROW()-2)/70)+1)</f>
        <v>Scenario 8</v>
      </c>
      <c r="B508" s="2">
        <v>2030</v>
      </c>
      <c r="C508" t="str">
        <f>INDEX(Controller!$J$2:$J$11,MOD(INT((ROW()-2)/7),10)+1)</f>
        <v>elc_buildings</v>
      </c>
      <c r="D508" s="4"/>
      <c r="E508" t="str">
        <f t="shared" si="35"/>
        <v>Scenario 8|elc_buildings|2030</v>
      </c>
    </row>
    <row r="509" spans="1:5">
      <c r="A509" t="str">
        <f>INDEX(Controller!$H$2:$H$11,INT((ROW()-2)/70)+1)</f>
        <v>Scenario 8</v>
      </c>
      <c r="B509" s="2">
        <v>2035</v>
      </c>
      <c r="C509" t="str">
        <f>INDEX(Controller!$J$2:$J$11,MOD(INT((ROW()-2)/7),10)+1)</f>
        <v>elc_buildings</v>
      </c>
      <c r="D509" s="4"/>
      <c r="E509" t="str">
        <f t="shared" si="35"/>
        <v>Scenario 8|elc_buildings|2035</v>
      </c>
    </row>
    <row r="510" spans="1:5">
      <c r="A510" t="str">
        <f>INDEX(Controller!$H$2:$H$11,INT((ROW()-2)/70)+1)</f>
        <v>Scenario 8</v>
      </c>
      <c r="B510" s="2">
        <v>2040</v>
      </c>
      <c r="C510" t="str">
        <f>INDEX(Controller!$J$2:$J$11,MOD(INT((ROW()-2)/7),10)+1)</f>
        <v>elc_buildings</v>
      </c>
      <c r="D510" s="4"/>
      <c r="E510" t="str">
        <f t="shared" si="35"/>
        <v>Scenario 8|elc_buildings|2040</v>
      </c>
    </row>
    <row r="511" spans="1:5">
      <c r="A511" t="str">
        <f>INDEX(Controller!$H$2:$H$11,INT((ROW()-2)/70)+1)</f>
        <v>Scenario 8</v>
      </c>
      <c r="B511" s="2">
        <v>2045</v>
      </c>
      <c r="C511" t="str">
        <f>INDEX(Controller!$J$2:$J$11,MOD(INT((ROW()-2)/7),10)+1)</f>
        <v>elc_buildings</v>
      </c>
      <c r="D511" s="4"/>
      <c r="E511" t="str">
        <f t="shared" si="35"/>
        <v>Scenario 8|elc_buildings|2045</v>
      </c>
    </row>
    <row r="512" spans="1:5">
      <c r="A512" t="str">
        <f>INDEX(Controller!$H$2:$H$11,INT((ROW()-2)/70)+1)</f>
        <v>Scenario 8</v>
      </c>
      <c r="B512" s="2">
        <v>2050</v>
      </c>
      <c r="C512" t="str">
        <f>INDEX(Controller!$J$2:$J$11,MOD(INT((ROW()-2)/7),10)+1)</f>
        <v>elc_buildings</v>
      </c>
      <c r="D512" s="4"/>
      <c r="E512" t="str">
        <f t="shared" si="35"/>
        <v>Scenario 8|elc_buildings|2050</v>
      </c>
    </row>
    <row r="513" spans="1:5">
      <c r="A513" t="str">
        <f>INDEX(Controller!$H$2:$H$11,INT((ROW()-2)/70)+1)</f>
        <v>Scenario 8</v>
      </c>
      <c r="B513" s="2">
        <v>2022</v>
      </c>
      <c r="C513" t="str">
        <f>INDEX(Controller!$J$2:$J$11,MOD(INT((ROW()-2)/7),10)+1)</f>
        <v>elc_transport</v>
      </c>
      <c r="D513" s="4"/>
      <c r="E513" t="str">
        <f t="shared" si="35"/>
        <v>Scenario 8|elc_transport|2022</v>
      </c>
    </row>
    <row r="514" spans="1:5">
      <c r="A514" t="str">
        <f>INDEX(Controller!$H$2:$H$11,INT((ROW()-2)/70)+1)</f>
        <v>Scenario 8</v>
      </c>
      <c r="B514" s="2">
        <v>2025</v>
      </c>
      <c r="C514" t="str">
        <f>INDEX(Controller!$J$2:$J$11,MOD(INT((ROW()-2)/7),10)+1)</f>
        <v>elc_transport</v>
      </c>
      <c r="D514" s="4"/>
      <c r="E514" t="str">
        <f t="shared" ref="E514:E577" si="36">A514&amp;"|"&amp;C514&amp;"|"&amp;B514</f>
        <v>Scenario 8|elc_transport|2025</v>
      </c>
    </row>
    <row r="515" spans="1:5">
      <c r="A515" t="str">
        <f>INDEX(Controller!$H$2:$H$11,INT((ROW()-2)/70)+1)</f>
        <v>Scenario 8</v>
      </c>
      <c r="B515" s="2">
        <v>2030</v>
      </c>
      <c r="C515" t="str">
        <f>INDEX(Controller!$J$2:$J$11,MOD(INT((ROW()-2)/7),10)+1)</f>
        <v>elc_transport</v>
      </c>
      <c r="D515" s="4"/>
      <c r="E515" t="str">
        <f t="shared" si="36"/>
        <v>Scenario 8|elc_transport|2030</v>
      </c>
    </row>
    <row r="516" spans="1:5">
      <c r="A516" t="str">
        <f>INDEX(Controller!$H$2:$H$11,INT((ROW()-2)/70)+1)</f>
        <v>Scenario 8</v>
      </c>
      <c r="B516" s="2">
        <v>2035</v>
      </c>
      <c r="C516" t="str">
        <f>INDEX(Controller!$J$2:$J$11,MOD(INT((ROW()-2)/7),10)+1)</f>
        <v>elc_transport</v>
      </c>
      <c r="D516" s="4"/>
      <c r="E516" t="str">
        <f t="shared" si="36"/>
        <v>Scenario 8|elc_transport|2035</v>
      </c>
    </row>
    <row r="517" spans="1:5">
      <c r="A517" t="str">
        <f>INDEX(Controller!$H$2:$H$11,INT((ROW()-2)/70)+1)</f>
        <v>Scenario 8</v>
      </c>
      <c r="B517" s="2">
        <v>2040</v>
      </c>
      <c r="C517" t="str">
        <f>INDEX(Controller!$J$2:$J$11,MOD(INT((ROW()-2)/7),10)+1)</f>
        <v>elc_transport</v>
      </c>
      <c r="D517" s="4"/>
      <c r="E517" t="str">
        <f t="shared" si="36"/>
        <v>Scenario 8|elc_transport|2040</v>
      </c>
    </row>
    <row r="518" spans="1:5">
      <c r="A518" t="str">
        <f>INDEX(Controller!$H$2:$H$11,INT((ROW()-2)/70)+1)</f>
        <v>Scenario 8</v>
      </c>
      <c r="B518" s="2">
        <v>2045</v>
      </c>
      <c r="C518" t="str">
        <f>INDEX(Controller!$J$2:$J$11,MOD(INT((ROW()-2)/7),10)+1)</f>
        <v>elc_transport</v>
      </c>
      <c r="D518" s="4"/>
      <c r="E518" t="str">
        <f t="shared" si="36"/>
        <v>Scenario 8|elc_transport|2045</v>
      </c>
    </row>
    <row r="519" spans="1:5">
      <c r="A519" t="str">
        <f>INDEX(Controller!$H$2:$H$11,INT((ROW()-2)/70)+1)</f>
        <v>Scenario 8</v>
      </c>
      <c r="B519" s="2">
        <v>2050</v>
      </c>
      <c r="C519" t="str">
        <f>INDEX(Controller!$J$2:$J$11,MOD(INT((ROW()-2)/7),10)+1)</f>
        <v>elc_transport</v>
      </c>
      <c r="D519" s="4"/>
      <c r="E519" t="str">
        <f t="shared" si="36"/>
        <v>Scenario 8|elc_transport|2050</v>
      </c>
    </row>
    <row r="520" spans="1:5">
      <c r="A520" t="str">
        <f>INDEX(Controller!$H$2:$H$11,INT((ROW()-2)/70)+1)</f>
        <v>Scenario 8</v>
      </c>
      <c r="B520" s="2">
        <v>2022</v>
      </c>
      <c r="C520" t="str">
        <f>INDEX(Controller!$J$2:$J$11,MOD(INT((ROW()-2)/7),10)+1)</f>
        <v>elc_roadtransport</v>
      </c>
      <c r="D520" s="4"/>
      <c r="E520" t="str">
        <f t="shared" si="36"/>
        <v>Scenario 8|elc_roadtransport|2022</v>
      </c>
    </row>
    <row r="521" spans="1:5">
      <c r="A521" t="str">
        <f>INDEX(Controller!$H$2:$H$11,INT((ROW()-2)/70)+1)</f>
        <v>Scenario 8</v>
      </c>
      <c r="B521" s="2">
        <v>2025</v>
      </c>
      <c r="C521" t="str">
        <f>INDEX(Controller!$J$2:$J$11,MOD(INT((ROW()-2)/7),10)+1)</f>
        <v>elc_roadtransport</v>
      </c>
      <c r="D521" s="4"/>
      <c r="E521" t="str">
        <f t="shared" si="36"/>
        <v>Scenario 8|elc_roadtransport|2025</v>
      </c>
    </row>
    <row r="522" spans="1:5">
      <c r="A522" t="str">
        <f>INDEX(Controller!$H$2:$H$11,INT((ROW()-2)/70)+1)</f>
        <v>Scenario 8</v>
      </c>
      <c r="B522" s="2">
        <v>2030</v>
      </c>
      <c r="C522" t="str">
        <f>INDEX(Controller!$J$2:$J$11,MOD(INT((ROW()-2)/7),10)+1)</f>
        <v>elc_roadtransport</v>
      </c>
      <c r="D522" s="4"/>
      <c r="E522" t="str">
        <f t="shared" si="36"/>
        <v>Scenario 8|elc_roadtransport|2030</v>
      </c>
    </row>
    <row r="523" spans="1:5">
      <c r="A523" t="str">
        <f>INDEX(Controller!$H$2:$H$11,INT((ROW()-2)/70)+1)</f>
        <v>Scenario 8</v>
      </c>
      <c r="B523" s="2">
        <v>2035</v>
      </c>
      <c r="C523" t="str">
        <f>INDEX(Controller!$J$2:$J$11,MOD(INT((ROW()-2)/7),10)+1)</f>
        <v>elc_roadtransport</v>
      </c>
      <c r="D523" s="4"/>
      <c r="E523" t="str">
        <f t="shared" si="36"/>
        <v>Scenario 8|elc_roadtransport|2035</v>
      </c>
    </row>
    <row r="524" spans="1:5">
      <c r="A524" t="str">
        <f>INDEX(Controller!$H$2:$H$11,INT((ROW()-2)/70)+1)</f>
        <v>Scenario 8</v>
      </c>
      <c r="B524" s="2">
        <v>2040</v>
      </c>
      <c r="C524" t="str">
        <f>INDEX(Controller!$J$2:$J$11,MOD(INT((ROW()-2)/7),10)+1)</f>
        <v>elc_roadtransport</v>
      </c>
      <c r="D524" s="4"/>
      <c r="E524" t="str">
        <f t="shared" si="36"/>
        <v>Scenario 8|elc_roadtransport|2040</v>
      </c>
    </row>
    <row r="525" spans="1:5">
      <c r="A525" t="str">
        <f>INDEX(Controller!$H$2:$H$11,INT((ROW()-2)/70)+1)</f>
        <v>Scenario 8</v>
      </c>
      <c r="B525" s="2">
        <v>2045</v>
      </c>
      <c r="C525" t="str">
        <f>INDEX(Controller!$J$2:$J$11,MOD(INT((ROW()-2)/7),10)+1)</f>
        <v>elc_roadtransport</v>
      </c>
      <c r="D525" s="4"/>
      <c r="E525" t="str">
        <f t="shared" si="36"/>
        <v>Scenario 8|elc_roadtransport|2045</v>
      </c>
    </row>
    <row r="526" spans="1:5">
      <c r="A526" t="str">
        <f>INDEX(Controller!$H$2:$H$11,INT((ROW()-2)/70)+1)</f>
        <v>Scenario 8</v>
      </c>
      <c r="B526" s="2">
        <v>2050</v>
      </c>
      <c r="C526" t="str">
        <f>INDEX(Controller!$J$2:$J$11,MOD(INT((ROW()-2)/7),10)+1)</f>
        <v>elc_roadtransport</v>
      </c>
      <c r="D526" s="4"/>
      <c r="E526" t="str">
        <f t="shared" si="36"/>
        <v>Scenario 8|elc_roadtransport|2050</v>
      </c>
    </row>
    <row r="527" spans="1:5">
      <c r="A527" t="str">
        <f>INDEX(Controller!$H$2:$H$11,INT((ROW()-2)/70)+1)</f>
        <v>Scenario 8</v>
      </c>
      <c r="B527" s="2">
        <v>2022</v>
      </c>
      <c r="C527" t="str">
        <f>INDEX(Controller!$J$2:$J$11,MOD(INT((ROW()-2)/7),10)+1)</f>
        <v>het_industry</v>
      </c>
      <c r="D527" s="4"/>
      <c r="E527" t="str">
        <f t="shared" si="36"/>
        <v>Scenario 8|het_industry|2022</v>
      </c>
    </row>
    <row r="528" spans="1:5">
      <c r="A528" t="str">
        <f>INDEX(Controller!$H$2:$H$11,INT((ROW()-2)/70)+1)</f>
        <v>Scenario 8</v>
      </c>
      <c r="B528" s="2">
        <v>2025</v>
      </c>
      <c r="C528" t="str">
        <f>INDEX(Controller!$J$2:$J$11,MOD(INT((ROW()-2)/7),10)+1)</f>
        <v>het_industry</v>
      </c>
      <c r="D528" s="4"/>
      <c r="E528" t="str">
        <f t="shared" si="36"/>
        <v>Scenario 8|het_industry|2025</v>
      </c>
    </row>
    <row r="529" spans="1:5">
      <c r="A529" t="str">
        <f>INDEX(Controller!$H$2:$H$11,INT((ROW()-2)/70)+1)</f>
        <v>Scenario 8</v>
      </c>
      <c r="B529" s="2">
        <v>2030</v>
      </c>
      <c r="C529" t="str">
        <f>INDEX(Controller!$J$2:$J$11,MOD(INT((ROW()-2)/7),10)+1)</f>
        <v>het_industry</v>
      </c>
      <c r="D529" s="4"/>
      <c r="E529" t="str">
        <f t="shared" si="36"/>
        <v>Scenario 8|het_industry|2030</v>
      </c>
    </row>
    <row r="530" spans="1:5">
      <c r="A530" t="str">
        <f>INDEX(Controller!$H$2:$H$11,INT((ROW()-2)/70)+1)</f>
        <v>Scenario 8</v>
      </c>
      <c r="B530" s="2">
        <v>2035</v>
      </c>
      <c r="C530" t="str">
        <f>INDEX(Controller!$J$2:$J$11,MOD(INT((ROW()-2)/7),10)+1)</f>
        <v>het_industry</v>
      </c>
      <c r="D530" s="4"/>
      <c r="E530" t="str">
        <f t="shared" si="36"/>
        <v>Scenario 8|het_industry|2035</v>
      </c>
    </row>
    <row r="531" spans="1:5">
      <c r="A531" t="str">
        <f>INDEX(Controller!$H$2:$H$11,INT((ROW()-2)/70)+1)</f>
        <v>Scenario 8</v>
      </c>
      <c r="B531" s="2">
        <v>2040</v>
      </c>
      <c r="C531" t="str">
        <f>INDEX(Controller!$J$2:$J$11,MOD(INT((ROW()-2)/7),10)+1)</f>
        <v>het_industry</v>
      </c>
      <c r="D531" s="4"/>
      <c r="E531" t="str">
        <f t="shared" si="36"/>
        <v>Scenario 8|het_industry|2040</v>
      </c>
    </row>
    <row r="532" spans="1:5">
      <c r="A532" t="str">
        <f>INDEX(Controller!$H$2:$H$11,INT((ROW()-2)/70)+1)</f>
        <v>Scenario 8</v>
      </c>
      <c r="B532" s="2">
        <v>2045</v>
      </c>
      <c r="C532" t="str">
        <f>INDEX(Controller!$J$2:$J$11,MOD(INT((ROW()-2)/7),10)+1)</f>
        <v>het_industry</v>
      </c>
      <c r="D532" s="4"/>
      <c r="E532" t="str">
        <f t="shared" si="36"/>
        <v>Scenario 8|het_industry|2045</v>
      </c>
    </row>
    <row r="533" spans="1:5">
      <c r="A533" t="str">
        <f>INDEX(Controller!$H$2:$H$11,INT((ROW()-2)/70)+1)</f>
        <v>Scenario 8</v>
      </c>
      <c r="B533" s="2">
        <v>2050</v>
      </c>
      <c r="C533" t="str">
        <f>INDEX(Controller!$J$2:$J$11,MOD(INT((ROW()-2)/7),10)+1)</f>
        <v>het_industry</v>
      </c>
      <c r="D533" s="4"/>
      <c r="E533" t="str">
        <f t="shared" si="36"/>
        <v>Scenario 8|het_industry|2050</v>
      </c>
    </row>
    <row r="534" spans="1:5">
      <c r="A534" t="str">
        <f>INDEX(Controller!$H$2:$H$11,INT((ROW()-2)/70)+1)</f>
        <v>Scenario 8</v>
      </c>
      <c r="B534" s="2">
        <v>2022</v>
      </c>
      <c r="C534" t="str">
        <f>INDEX(Controller!$J$2:$J$11,MOD(INT((ROW()-2)/7),10)+1)</f>
        <v>het_buildings</v>
      </c>
      <c r="D534" s="4"/>
      <c r="E534" t="str">
        <f t="shared" si="36"/>
        <v>Scenario 8|het_buildings|2022</v>
      </c>
    </row>
    <row r="535" spans="1:5">
      <c r="A535" t="str">
        <f>INDEX(Controller!$H$2:$H$11,INT((ROW()-2)/70)+1)</f>
        <v>Scenario 8</v>
      </c>
      <c r="B535" s="2">
        <v>2025</v>
      </c>
      <c r="C535" t="str">
        <f>INDEX(Controller!$J$2:$J$11,MOD(INT((ROW()-2)/7),10)+1)</f>
        <v>het_buildings</v>
      </c>
      <c r="D535" s="4"/>
      <c r="E535" t="str">
        <f t="shared" si="36"/>
        <v>Scenario 8|het_buildings|2025</v>
      </c>
    </row>
    <row r="536" spans="1:5">
      <c r="A536" t="str">
        <f>INDEX(Controller!$H$2:$H$11,INT((ROW()-2)/70)+1)</f>
        <v>Scenario 8</v>
      </c>
      <c r="B536" s="2">
        <v>2030</v>
      </c>
      <c r="C536" t="str">
        <f>INDEX(Controller!$J$2:$J$11,MOD(INT((ROW()-2)/7),10)+1)</f>
        <v>het_buildings</v>
      </c>
      <c r="D536" s="4"/>
      <c r="E536" t="str">
        <f t="shared" si="36"/>
        <v>Scenario 8|het_buildings|2030</v>
      </c>
    </row>
    <row r="537" spans="1:5">
      <c r="A537" t="str">
        <f>INDEX(Controller!$H$2:$H$11,INT((ROW()-2)/70)+1)</f>
        <v>Scenario 8</v>
      </c>
      <c r="B537" s="2">
        <v>2035</v>
      </c>
      <c r="C537" t="str">
        <f>INDEX(Controller!$J$2:$J$11,MOD(INT((ROW()-2)/7),10)+1)</f>
        <v>het_buildings</v>
      </c>
      <c r="D537" s="4"/>
      <c r="E537" t="str">
        <f t="shared" si="36"/>
        <v>Scenario 8|het_buildings|2035</v>
      </c>
    </row>
    <row r="538" spans="1:5">
      <c r="A538" t="str">
        <f>INDEX(Controller!$H$2:$H$11,INT((ROW()-2)/70)+1)</f>
        <v>Scenario 8</v>
      </c>
      <c r="B538" s="2">
        <v>2040</v>
      </c>
      <c r="C538" t="str">
        <f>INDEX(Controller!$J$2:$J$11,MOD(INT((ROW()-2)/7),10)+1)</f>
        <v>het_buildings</v>
      </c>
      <c r="D538" s="4"/>
      <c r="E538" t="str">
        <f t="shared" si="36"/>
        <v>Scenario 8|het_buildings|2040</v>
      </c>
    </row>
    <row r="539" spans="1:5">
      <c r="A539" t="str">
        <f>INDEX(Controller!$H$2:$H$11,INT((ROW()-2)/70)+1)</f>
        <v>Scenario 8</v>
      </c>
      <c r="B539" s="2">
        <v>2045</v>
      </c>
      <c r="C539" t="str">
        <f>INDEX(Controller!$J$2:$J$11,MOD(INT((ROW()-2)/7),10)+1)</f>
        <v>het_buildings</v>
      </c>
      <c r="D539" s="4"/>
      <c r="E539" t="str">
        <f t="shared" si="36"/>
        <v>Scenario 8|het_buildings|2045</v>
      </c>
    </row>
    <row r="540" spans="1:5">
      <c r="A540" t="str">
        <f>INDEX(Controller!$H$2:$H$11,INT((ROW()-2)/70)+1)</f>
        <v>Scenario 8</v>
      </c>
      <c r="B540" s="2">
        <v>2050</v>
      </c>
      <c r="C540" t="str">
        <f>INDEX(Controller!$J$2:$J$11,MOD(INT((ROW()-2)/7),10)+1)</f>
        <v>het_buildings</v>
      </c>
      <c r="D540" s="4"/>
      <c r="E540" t="str">
        <f t="shared" si="36"/>
        <v>Scenario 8|het_buildings|2050</v>
      </c>
    </row>
    <row r="541" spans="1:5">
      <c r="A541" t="str">
        <f>INDEX(Controller!$H$2:$H$11,INT((ROW()-2)/70)+1)</f>
        <v>Scenario 8</v>
      </c>
      <c r="B541" s="2">
        <v>2022</v>
      </c>
      <c r="C541" t="str">
        <f>INDEX(Controller!$J$2:$J$11,MOD(INT((ROW()-2)/7),10)+1)</f>
        <v>co2net</v>
      </c>
      <c r="D541" s="4"/>
      <c r="E541" t="str">
        <f t="shared" si="36"/>
        <v>Scenario 8|co2net|2022</v>
      </c>
    </row>
    <row r="542" spans="1:5">
      <c r="A542" t="str">
        <f>INDEX(Controller!$H$2:$H$11,INT((ROW()-2)/70)+1)</f>
        <v>Scenario 8</v>
      </c>
      <c r="B542" s="2">
        <v>2025</v>
      </c>
      <c r="C542" t="str">
        <f>INDEX(Controller!$J$2:$J$11,MOD(INT((ROW()-2)/7),10)+1)</f>
        <v>co2net</v>
      </c>
      <c r="D542" s="4"/>
      <c r="E542" t="str">
        <f t="shared" si="36"/>
        <v>Scenario 8|co2net|2025</v>
      </c>
    </row>
    <row r="543" spans="1:5">
      <c r="A543" t="str">
        <f>INDEX(Controller!$H$2:$H$11,INT((ROW()-2)/70)+1)</f>
        <v>Scenario 8</v>
      </c>
      <c r="B543" s="2">
        <v>2030</v>
      </c>
      <c r="C543" t="str">
        <f>INDEX(Controller!$J$2:$J$11,MOD(INT((ROW()-2)/7),10)+1)</f>
        <v>co2net</v>
      </c>
      <c r="D543" s="4"/>
      <c r="E543" t="str">
        <f t="shared" si="36"/>
        <v>Scenario 8|co2net|2030</v>
      </c>
    </row>
    <row r="544" spans="1:5">
      <c r="A544" t="str">
        <f>INDEX(Controller!$H$2:$H$11,INT((ROW()-2)/70)+1)</f>
        <v>Scenario 8</v>
      </c>
      <c r="B544" s="2">
        <v>2035</v>
      </c>
      <c r="C544" t="str">
        <f>INDEX(Controller!$J$2:$J$11,MOD(INT((ROW()-2)/7),10)+1)</f>
        <v>co2net</v>
      </c>
      <c r="D544" s="4"/>
      <c r="E544" t="str">
        <f t="shared" si="36"/>
        <v>Scenario 8|co2net|2035</v>
      </c>
    </row>
    <row r="545" spans="1:5">
      <c r="A545" t="str">
        <f>INDEX(Controller!$H$2:$H$11,INT((ROW()-2)/70)+1)</f>
        <v>Scenario 8</v>
      </c>
      <c r="B545" s="2">
        <v>2040</v>
      </c>
      <c r="C545" t="str">
        <f>INDEX(Controller!$J$2:$J$11,MOD(INT((ROW()-2)/7),10)+1)</f>
        <v>co2net</v>
      </c>
      <c r="D545" s="4"/>
      <c r="E545" t="str">
        <f t="shared" si="36"/>
        <v>Scenario 8|co2net|2040</v>
      </c>
    </row>
    <row r="546" spans="1:5">
      <c r="A546" t="str">
        <f>INDEX(Controller!$H$2:$H$11,INT((ROW()-2)/70)+1)</f>
        <v>Scenario 8</v>
      </c>
      <c r="B546" s="2">
        <v>2045</v>
      </c>
      <c r="C546" t="str">
        <f>INDEX(Controller!$J$2:$J$11,MOD(INT((ROW()-2)/7),10)+1)</f>
        <v>co2net</v>
      </c>
      <c r="D546" s="4"/>
      <c r="E546" t="str">
        <f t="shared" si="36"/>
        <v>Scenario 8|co2net|2045</v>
      </c>
    </row>
    <row r="547" spans="1:5">
      <c r="A547" t="str">
        <f>INDEX(Controller!$H$2:$H$11,INT((ROW()-2)/70)+1)</f>
        <v>Scenario 8</v>
      </c>
      <c r="B547" s="2">
        <v>2050</v>
      </c>
      <c r="C547" t="str">
        <f>INDEX(Controller!$J$2:$J$11,MOD(INT((ROW()-2)/7),10)+1)</f>
        <v>co2net</v>
      </c>
      <c r="D547" s="4"/>
      <c r="E547" t="str">
        <f t="shared" si="36"/>
        <v>Scenario 8|co2net|2050</v>
      </c>
    </row>
    <row r="548" spans="1:5">
      <c r="A548" t="str">
        <f>INDEX(Controller!$H$2:$H$11,INT((ROW()-2)/70)+1)</f>
        <v>Scenario 8</v>
      </c>
      <c r="B548" s="2">
        <v>2022</v>
      </c>
      <c r="C548" t="str">
        <f>INDEX(Controller!$J$2:$J$11,MOD(INT((ROW()-2)/7),10)+1)</f>
        <v>Variable 9</v>
      </c>
      <c r="D548" s="4"/>
      <c r="E548" t="str">
        <f t="shared" si="36"/>
        <v>Scenario 8|Variable 9|2022</v>
      </c>
    </row>
    <row r="549" spans="1:5">
      <c r="A549" t="str">
        <f>INDEX(Controller!$H$2:$H$11,INT((ROW()-2)/70)+1)</f>
        <v>Scenario 8</v>
      </c>
      <c r="B549" s="2">
        <v>2025</v>
      </c>
      <c r="C549" t="str">
        <f>INDEX(Controller!$J$2:$J$11,MOD(INT((ROW()-2)/7),10)+1)</f>
        <v>Variable 9</v>
      </c>
      <c r="D549" s="4"/>
      <c r="E549" t="str">
        <f t="shared" si="36"/>
        <v>Scenario 8|Variable 9|2025</v>
      </c>
    </row>
    <row r="550" spans="1:5">
      <c r="A550" t="str">
        <f>INDEX(Controller!$H$2:$H$11,INT((ROW()-2)/70)+1)</f>
        <v>Scenario 8</v>
      </c>
      <c r="B550" s="2">
        <v>2030</v>
      </c>
      <c r="C550" t="str">
        <f>INDEX(Controller!$J$2:$J$11,MOD(INT((ROW()-2)/7),10)+1)</f>
        <v>Variable 9</v>
      </c>
      <c r="D550" s="4"/>
      <c r="E550" t="str">
        <f t="shared" si="36"/>
        <v>Scenario 8|Variable 9|2030</v>
      </c>
    </row>
    <row r="551" spans="1:5">
      <c r="A551" t="str">
        <f>INDEX(Controller!$H$2:$H$11,INT((ROW()-2)/70)+1)</f>
        <v>Scenario 8</v>
      </c>
      <c r="B551" s="2">
        <v>2035</v>
      </c>
      <c r="C551" t="str">
        <f>INDEX(Controller!$J$2:$J$11,MOD(INT((ROW()-2)/7),10)+1)</f>
        <v>Variable 9</v>
      </c>
      <c r="D551" s="4"/>
      <c r="E551" t="str">
        <f t="shared" si="36"/>
        <v>Scenario 8|Variable 9|2035</v>
      </c>
    </row>
    <row r="552" spans="1:5">
      <c r="A552" t="str">
        <f>INDEX(Controller!$H$2:$H$11,INT((ROW()-2)/70)+1)</f>
        <v>Scenario 8</v>
      </c>
      <c r="B552" s="2">
        <v>2040</v>
      </c>
      <c r="C552" t="str">
        <f>INDEX(Controller!$J$2:$J$11,MOD(INT((ROW()-2)/7),10)+1)</f>
        <v>Variable 9</v>
      </c>
      <c r="D552" s="4"/>
      <c r="E552" t="str">
        <f t="shared" si="36"/>
        <v>Scenario 8|Variable 9|2040</v>
      </c>
    </row>
    <row r="553" spans="1:5">
      <c r="A553" t="str">
        <f>INDEX(Controller!$H$2:$H$11,INT((ROW()-2)/70)+1)</f>
        <v>Scenario 8</v>
      </c>
      <c r="B553" s="2">
        <v>2045</v>
      </c>
      <c r="C553" t="str">
        <f>INDEX(Controller!$J$2:$J$11,MOD(INT((ROW()-2)/7),10)+1)</f>
        <v>Variable 9</v>
      </c>
      <c r="D553" s="4"/>
      <c r="E553" t="str">
        <f t="shared" si="36"/>
        <v>Scenario 8|Variable 9|2045</v>
      </c>
    </row>
    <row r="554" spans="1:5">
      <c r="A554" t="str">
        <f>INDEX(Controller!$H$2:$H$11,INT((ROW()-2)/70)+1)</f>
        <v>Scenario 8</v>
      </c>
      <c r="B554" s="2">
        <v>2050</v>
      </c>
      <c r="C554" t="str">
        <f>INDEX(Controller!$J$2:$J$11,MOD(INT((ROW()-2)/7),10)+1)</f>
        <v>Variable 9</v>
      </c>
      <c r="D554" s="4"/>
      <c r="E554" t="str">
        <f t="shared" si="36"/>
        <v>Scenario 8|Variable 9|2050</v>
      </c>
    </row>
    <row r="555" spans="1:5">
      <c r="A555" t="str">
        <f>INDEX(Controller!$H$2:$H$11,INT((ROW()-2)/70)+1)</f>
        <v>Scenario 8</v>
      </c>
      <c r="B555" s="2">
        <v>2022</v>
      </c>
      <c r="C555" t="str">
        <f>INDEX(Controller!$J$2:$J$11,MOD(INT((ROW()-2)/7),10)+1)</f>
        <v>Variable 10</v>
      </c>
      <c r="D555" s="4"/>
      <c r="E555" t="str">
        <f t="shared" si="36"/>
        <v>Scenario 8|Variable 10|2022</v>
      </c>
    </row>
    <row r="556" spans="1:5">
      <c r="A556" t="str">
        <f>INDEX(Controller!$H$2:$H$11,INT((ROW()-2)/70)+1)</f>
        <v>Scenario 8</v>
      </c>
      <c r="B556" s="2">
        <v>2025</v>
      </c>
      <c r="C556" t="str">
        <f>INDEX(Controller!$J$2:$J$11,MOD(INT((ROW()-2)/7),10)+1)</f>
        <v>Variable 10</v>
      </c>
      <c r="D556" s="4"/>
      <c r="E556" t="str">
        <f t="shared" si="36"/>
        <v>Scenario 8|Variable 10|2025</v>
      </c>
    </row>
    <row r="557" spans="1:5">
      <c r="A557" t="str">
        <f>INDEX(Controller!$H$2:$H$11,INT((ROW()-2)/70)+1)</f>
        <v>Scenario 8</v>
      </c>
      <c r="B557" s="2">
        <v>2030</v>
      </c>
      <c r="C557" t="str">
        <f>INDEX(Controller!$J$2:$J$11,MOD(INT((ROW()-2)/7),10)+1)</f>
        <v>Variable 10</v>
      </c>
      <c r="D557" s="4"/>
      <c r="E557" t="str">
        <f t="shared" si="36"/>
        <v>Scenario 8|Variable 10|2030</v>
      </c>
    </row>
    <row r="558" spans="1:5">
      <c r="A558" t="str">
        <f>INDEX(Controller!$H$2:$H$11,INT((ROW()-2)/70)+1)</f>
        <v>Scenario 8</v>
      </c>
      <c r="B558" s="2">
        <v>2035</v>
      </c>
      <c r="C558" t="str">
        <f>INDEX(Controller!$J$2:$J$11,MOD(INT((ROW()-2)/7),10)+1)</f>
        <v>Variable 10</v>
      </c>
      <c r="D558" s="4"/>
      <c r="E558" t="str">
        <f t="shared" si="36"/>
        <v>Scenario 8|Variable 10|2035</v>
      </c>
    </row>
    <row r="559" spans="1:5">
      <c r="A559" t="str">
        <f>INDEX(Controller!$H$2:$H$11,INT((ROW()-2)/70)+1)</f>
        <v>Scenario 8</v>
      </c>
      <c r="B559" s="2">
        <v>2040</v>
      </c>
      <c r="C559" t="str">
        <f>INDEX(Controller!$J$2:$J$11,MOD(INT((ROW()-2)/7),10)+1)</f>
        <v>Variable 10</v>
      </c>
      <c r="D559" s="4"/>
      <c r="E559" t="str">
        <f t="shared" si="36"/>
        <v>Scenario 8|Variable 10|2040</v>
      </c>
    </row>
    <row r="560" spans="1:5">
      <c r="A560" t="str">
        <f>INDEX(Controller!$H$2:$H$11,INT((ROW()-2)/70)+1)</f>
        <v>Scenario 8</v>
      </c>
      <c r="B560" s="2">
        <v>2045</v>
      </c>
      <c r="C560" t="str">
        <f>INDEX(Controller!$J$2:$J$11,MOD(INT((ROW()-2)/7),10)+1)</f>
        <v>Variable 10</v>
      </c>
      <c r="D560" s="4"/>
      <c r="E560" t="str">
        <f t="shared" si="36"/>
        <v>Scenario 8|Variable 10|2045</v>
      </c>
    </row>
    <row r="561" spans="1:5">
      <c r="A561" t="str">
        <f>INDEX(Controller!$H$2:$H$11,INT((ROW()-2)/70)+1)</f>
        <v>Scenario 8</v>
      </c>
      <c r="B561" s="2">
        <v>2050</v>
      </c>
      <c r="C561" t="str">
        <f>INDEX(Controller!$J$2:$J$11,MOD(INT((ROW()-2)/7),10)+1)</f>
        <v>Variable 10</v>
      </c>
      <c r="D561" s="4"/>
      <c r="E561" t="str">
        <f t="shared" si="36"/>
        <v>Scenario 8|Variable 10|2050</v>
      </c>
    </row>
    <row r="562" spans="1:5">
      <c r="A562" t="str">
        <f>INDEX(Controller!$H$2:$H$11,INT((ROW()-2)/70)+1)</f>
        <v>Scenario 9</v>
      </c>
      <c r="B562" s="2">
        <v>2022</v>
      </c>
      <c r="C562" t="str">
        <f>INDEX(Controller!$J$2:$J$11,MOD(INT((ROW()-2)/7),10)+1)</f>
        <v>hydrogen_allsect</v>
      </c>
      <c r="D562" s="4"/>
      <c r="E562" t="str">
        <f t="shared" si="36"/>
        <v>Scenario 9|hydrogen_allsect|2022</v>
      </c>
    </row>
    <row r="563" spans="1:5">
      <c r="A563" t="str">
        <f>INDEX(Controller!$H$2:$H$11,INT((ROW()-2)/70)+1)</f>
        <v>Scenario 9</v>
      </c>
      <c r="B563" s="2">
        <v>2025</v>
      </c>
      <c r="C563" t="str">
        <f>INDEX(Controller!$J$2:$J$11,MOD(INT((ROW()-2)/7),10)+1)</f>
        <v>hydrogen_allsect</v>
      </c>
      <c r="D563" s="4"/>
      <c r="E563" t="str">
        <f t="shared" si="36"/>
        <v>Scenario 9|hydrogen_allsect|2025</v>
      </c>
    </row>
    <row r="564" spans="1:5">
      <c r="A564" t="str">
        <f>INDEX(Controller!$H$2:$H$11,INT((ROW()-2)/70)+1)</f>
        <v>Scenario 9</v>
      </c>
      <c r="B564" s="2">
        <v>2030</v>
      </c>
      <c r="C564" t="str">
        <f>INDEX(Controller!$J$2:$J$11,MOD(INT((ROW()-2)/7),10)+1)</f>
        <v>hydrogen_allsect</v>
      </c>
      <c r="D564" s="4"/>
      <c r="E564" t="str">
        <f t="shared" si="36"/>
        <v>Scenario 9|hydrogen_allsect|2030</v>
      </c>
    </row>
    <row r="565" spans="1:5">
      <c r="A565" t="str">
        <f>INDEX(Controller!$H$2:$H$11,INT((ROW()-2)/70)+1)</f>
        <v>Scenario 9</v>
      </c>
      <c r="B565" s="2">
        <v>2035</v>
      </c>
      <c r="C565" t="str">
        <f>INDEX(Controller!$J$2:$J$11,MOD(INT((ROW()-2)/7),10)+1)</f>
        <v>hydrogen_allsect</v>
      </c>
      <c r="D565" s="4"/>
      <c r="E565" t="str">
        <f t="shared" si="36"/>
        <v>Scenario 9|hydrogen_allsect|2035</v>
      </c>
    </row>
    <row r="566" spans="1:5">
      <c r="A566" t="str">
        <f>INDEX(Controller!$H$2:$H$11,INT((ROW()-2)/70)+1)</f>
        <v>Scenario 9</v>
      </c>
      <c r="B566" s="2">
        <v>2040</v>
      </c>
      <c r="C566" t="str">
        <f>INDEX(Controller!$J$2:$J$11,MOD(INT((ROW()-2)/7),10)+1)</f>
        <v>hydrogen_allsect</v>
      </c>
      <c r="D566" s="4"/>
      <c r="E566" t="str">
        <f t="shared" si="36"/>
        <v>Scenario 9|hydrogen_allsect|2040</v>
      </c>
    </row>
    <row r="567" spans="1:5">
      <c r="A567" t="str">
        <f>INDEX(Controller!$H$2:$H$11,INT((ROW()-2)/70)+1)</f>
        <v>Scenario 9</v>
      </c>
      <c r="B567" s="2">
        <v>2045</v>
      </c>
      <c r="C567" t="str">
        <f>INDEX(Controller!$J$2:$J$11,MOD(INT((ROW()-2)/7),10)+1)</f>
        <v>hydrogen_allsect</v>
      </c>
      <c r="D567" s="4"/>
      <c r="E567" t="str">
        <f t="shared" si="36"/>
        <v>Scenario 9|hydrogen_allsect|2045</v>
      </c>
    </row>
    <row r="568" spans="1:5">
      <c r="A568" t="str">
        <f>INDEX(Controller!$H$2:$H$11,INT((ROW()-2)/70)+1)</f>
        <v>Scenario 9</v>
      </c>
      <c r="B568" s="2">
        <v>2050</v>
      </c>
      <c r="C568" t="str">
        <f>INDEX(Controller!$J$2:$J$11,MOD(INT((ROW()-2)/7),10)+1)</f>
        <v>hydrogen_allsect</v>
      </c>
      <c r="D568" s="4"/>
      <c r="E568" t="str">
        <f t="shared" si="36"/>
        <v>Scenario 9|hydrogen_allsect|2050</v>
      </c>
    </row>
    <row r="569" spans="1:5">
      <c r="A569" t="str">
        <f>INDEX(Controller!$H$2:$H$11,INT((ROW()-2)/70)+1)</f>
        <v>Scenario 9</v>
      </c>
      <c r="B569" s="2">
        <v>2022</v>
      </c>
      <c r="C569" t="str">
        <f>INDEX(Controller!$J$2:$J$11,MOD(INT((ROW()-2)/7),10)+1)</f>
        <v>elc_industry</v>
      </c>
      <c r="D569" s="4"/>
      <c r="E569" t="str">
        <f t="shared" si="36"/>
        <v>Scenario 9|elc_industry|2022</v>
      </c>
    </row>
    <row r="570" spans="1:5">
      <c r="A570" t="str">
        <f>INDEX(Controller!$H$2:$H$11,INT((ROW()-2)/70)+1)</f>
        <v>Scenario 9</v>
      </c>
      <c r="B570" s="2">
        <v>2025</v>
      </c>
      <c r="C570" t="str">
        <f>INDEX(Controller!$J$2:$J$11,MOD(INT((ROW()-2)/7),10)+1)</f>
        <v>elc_industry</v>
      </c>
      <c r="D570" s="4"/>
      <c r="E570" t="str">
        <f t="shared" si="36"/>
        <v>Scenario 9|elc_industry|2025</v>
      </c>
    </row>
    <row r="571" spans="1:5">
      <c r="A571" t="str">
        <f>INDEX(Controller!$H$2:$H$11,INT((ROW()-2)/70)+1)</f>
        <v>Scenario 9</v>
      </c>
      <c r="B571" s="2">
        <v>2030</v>
      </c>
      <c r="C571" t="str">
        <f>INDEX(Controller!$J$2:$J$11,MOD(INT((ROW()-2)/7),10)+1)</f>
        <v>elc_industry</v>
      </c>
      <c r="D571" s="4"/>
      <c r="E571" t="str">
        <f t="shared" si="36"/>
        <v>Scenario 9|elc_industry|2030</v>
      </c>
    </row>
    <row r="572" spans="1:5">
      <c r="A572" t="str">
        <f>INDEX(Controller!$H$2:$H$11,INT((ROW()-2)/70)+1)</f>
        <v>Scenario 9</v>
      </c>
      <c r="B572" s="2">
        <v>2035</v>
      </c>
      <c r="C572" t="str">
        <f>INDEX(Controller!$J$2:$J$11,MOD(INT((ROW()-2)/7),10)+1)</f>
        <v>elc_industry</v>
      </c>
      <c r="D572" s="4"/>
      <c r="E572" t="str">
        <f t="shared" si="36"/>
        <v>Scenario 9|elc_industry|2035</v>
      </c>
    </row>
    <row r="573" spans="1:5">
      <c r="A573" t="str">
        <f>INDEX(Controller!$H$2:$H$11,INT((ROW()-2)/70)+1)</f>
        <v>Scenario 9</v>
      </c>
      <c r="B573" s="2">
        <v>2040</v>
      </c>
      <c r="C573" t="str">
        <f>INDEX(Controller!$J$2:$J$11,MOD(INT((ROW()-2)/7),10)+1)</f>
        <v>elc_industry</v>
      </c>
      <c r="D573" s="4"/>
      <c r="E573" t="str">
        <f t="shared" si="36"/>
        <v>Scenario 9|elc_industry|2040</v>
      </c>
    </row>
    <row r="574" spans="1:5">
      <c r="A574" t="str">
        <f>INDEX(Controller!$H$2:$H$11,INT((ROW()-2)/70)+1)</f>
        <v>Scenario 9</v>
      </c>
      <c r="B574" s="2">
        <v>2045</v>
      </c>
      <c r="C574" t="str">
        <f>INDEX(Controller!$J$2:$J$11,MOD(INT((ROW()-2)/7),10)+1)</f>
        <v>elc_industry</v>
      </c>
      <c r="D574" s="4"/>
      <c r="E574" t="str">
        <f t="shared" si="36"/>
        <v>Scenario 9|elc_industry|2045</v>
      </c>
    </row>
    <row r="575" spans="1:5">
      <c r="A575" t="str">
        <f>INDEX(Controller!$H$2:$H$11,INT((ROW()-2)/70)+1)</f>
        <v>Scenario 9</v>
      </c>
      <c r="B575" s="2">
        <v>2050</v>
      </c>
      <c r="C575" t="str">
        <f>INDEX(Controller!$J$2:$J$11,MOD(INT((ROW()-2)/7),10)+1)</f>
        <v>elc_industry</v>
      </c>
      <c r="D575" s="4"/>
      <c r="E575" t="str">
        <f t="shared" si="36"/>
        <v>Scenario 9|elc_industry|2050</v>
      </c>
    </row>
    <row r="576" spans="1:5">
      <c r="A576" t="str">
        <f>INDEX(Controller!$H$2:$H$11,INT((ROW()-2)/70)+1)</f>
        <v>Scenario 9</v>
      </c>
      <c r="B576" s="2">
        <v>2022</v>
      </c>
      <c r="C576" t="str">
        <f>INDEX(Controller!$J$2:$J$11,MOD(INT((ROW()-2)/7),10)+1)</f>
        <v>elc_buildings</v>
      </c>
      <c r="D576" s="4"/>
      <c r="E576" t="str">
        <f t="shared" si="36"/>
        <v>Scenario 9|elc_buildings|2022</v>
      </c>
    </row>
    <row r="577" spans="1:5">
      <c r="A577" t="str">
        <f>INDEX(Controller!$H$2:$H$11,INT((ROW()-2)/70)+1)</f>
        <v>Scenario 9</v>
      </c>
      <c r="B577" s="2">
        <v>2025</v>
      </c>
      <c r="C577" t="str">
        <f>INDEX(Controller!$J$2:$J$11,MOD(INT((ROW()-2)/7),10)+1)</f>
        <v>elc_buildings</v>
      </c>
      <c r="D577" s="4"/>
      <c r="E577" t="str">
        <f t="shared" si="36"/>
        <v>Scenario 9|elc_buildings|2025</v>
      </c>
    </row>
    <row r="578" spans="1:5">
      <c r="A578" t="str">
        <f>INDEX(Controller!$H$2:$H$11,INT((ROW()-2)/70)+1)</f>
        <v>Scenario 9</v>
      </c>
      <c r="B578" s="2">
        <v>2030</v>
      </c>
      <c r="C578" t="str">
        <f>INDEX(Controller!$J$2:$J$11,MOD(INT((ROW()-2)/7),10)+1)</f>
        <v>elc_buildings</v>
      </c>
      <c r="D578" s="4"/>
      <c r="E578" t="str">
        <f t="shared" ref="E578:E641" si="37">A578&amp;"|"&amp;C578&amp;"|"&amp;B578</f>
        <v>Scenario 9|elc_buildings|2030</v>
      </c>
    </row>
    <row r="579" spans="1:5">
      <c r="A579" t="str">
        <f>INDEX(Controller!$H$2:$H$11,INT((ROW()-2)/70)+1)</f>
        <v>Scenario 9</v>
      </c>
      <c r="B579" s="2">
        <v>2035</v>
      </c>
      <c r="C579" t="str">
        <f>INDEX(Controller!$J$2:$J$11,MOD(INT((ROW()-2)/7),10)+1)</f>
        <v>elc_buildings</v>
      </c>
      <c r="D579" s="4"/>
      <c r="E579" t="str">
        <f t="shared" si="37"/>
        <v>Scenario 9|elc_buildings|2035</v>
      </c>
    </row>
    <row r="580" spans="1:5">
      <c r="A580" t="str">
        <f>INDEX(Controller!$H$2:$H$11,INT((ROW()-2)/70)+1)</f>
        <v>Scenario 9</v>
      </c>
      <c r="B580" s="2">
        <v>2040</v>
      </c>
      <c r="C580" t="str">
        <f>INDEX(Controller!$J$2:$J$11,MOD(INT((ROW()-2)/7),10)+1)</f>
        <v>elc_buildings</v>
      </c>
      <c r="D580" s="4"/>
      <c r="E580" t="str">
        <f t="shared" si="37"/>
        <v>Scenario 9|elc_buildings|2040</v>
      </c>
    </row>
    <row r="581" spans="1:5">
      <c r="A581" t="str">
        <f>INDEX(Controller!$H$2:$H$11,INT((ROW()-2)/70)+1)</f>
        <v>Scenario 9</v>
      </c>
      <c r="B581" s="2">
        <v>2045</v>
      </c>
      <c r="C581" t="str">
        <f>INDEX(Controller!$J$2:$J$11,MOD(INT((ROW()-2)/7),10)+1)</f>
        <v>elc_buildings</v>
      </c>
      <c r="D581" s="4"/>
      <c r="E581" t="str">
        <f t="shared" si="37"/>
        <v>Scenario 9|elc_buildings|2045</v>
      </c>
    </row>
    <row r="582" spans="1:5">
      <c r="A582" t="str">
        <f>INDEX(Controller!$H$2:$H$11,INT((ROW()-2)/70)+1)</f>
        <v>Scenario 9</v>
      </c>
      <c r="B582" s="2">
        <v>2050</v>
      </c>
      <c r="C582" t="str">
        <f>INDEX(Controller!$J$2:$J$11,MOD(INT((ROW()-2)/7),10)+1)</f>
        <v>elc_buildings</v>
      </c>
      <c r="D582" s="4"/>
      <c r="E582" t="str">
        <f t="shared" si="37"/>
        <v>Scenario 9|elc_buildings|2050</v>
      </c>
    </row>
    <row r="583" spans="1:5">
      <c r="A583" t="str">
        <f>INDEX(Controller!$H$2:$H$11,INT((ROW()-2)/70)+1)</f>
        <v>Scenario 9</v>
      </c>
      <c r="B583" s="2">
        <v>2022</v>
      </c>
      <c r="C583" t="str">
        <f>INDEX(Controller!$J$2:$J$11,MOD(INT((ROW()-2)/7),10)+1)</f>
        <v>elc_transport</v>
      </c>
      <c r="D583" s="4"/>
      <c r="E583" t="str">
        <f t="shared" si="37"/>
        <v>Scenario 9|elc_transport|2022</v>
      </c>
    </row>
    <row r="584" spans="1:5">
      <c r="A584" t="str">
        <f>INDEX(Controller!$H$2:$H$11,INT((ROW()-2)/70)+1)</f>
        <v>Scenario 9</v>
      </c>
      <c r="B584" s="2">
        <v>2025</v>
      </c>
      <c r="C584" t="str">
        <f>INDEX(Controller!$J$2:$J$11,MOD(INT((ROW()-2)/7),10)+1)</f>
        <v>elc_transport</v>
      </c>
      <c r="D584" s="4"/>
      <c r="E584" t="str">
        <f t="shared" si="37"/>
        <v>Scenario 9|elc_transport|2025</v>
      </c>
    </row>
    <row r="585" spans="1:5">
      <c r="A585" t="str">
        <f>INDEX(Controller!$H$2:$H$11,INT((ROW()-2)/70)+1)</f>
        <v>Scenario 9</v>
      </c>
      <c r="B585" s="2">
        <v>2030</v>
      </c>
      <c r="C585" t="str">
        <f>INDEX(Controller!$J$2:$J$11,MOD(INT((ROW()-2)/7),10)+1)</f>
        <v>elc_transport</v>
      </c>
      <c r="D585" s="4"/>
      <c r="E585" t="str">
        <f t="shared" si="37"/>
        <v>Scenario 9|elc_transport|2030</v>
      </c>
    </row>
    <row r="586" spans="1:5">
      <c r="A586" t="str">
        <f>INDEX(Controller!$H$2:$H$11,INT((ROW()-2)/70)+1)</f>
        <v>Scenario 9</v>
      </c>
      <c r="B586" s="2">
        <v>2035</v>
      </c>
      <c r="C586" t="str">
        <f>INDEX(Controller!$J$2:$J$11,MOD(INT((ROW()-2)/7),10)+1)</f>
        <v>elc_transport</v>
      </c>
      <c r="D586" s="4"/>
      <c r="E586" t="str">
        <f t="shared" si="37"/>
        <v>Scenario 9|elc_transport|2035</v>
      </c>
    </row>
    <row r="587" spans="1:5">
      <c r="A587" t="str">
        <f>INDEX(Controller!$H$2:$H$11,INT((ROW()-2)/70)+1)</f>
        <v>Scenario 9</v>
      </c>
      <c r="B587" s="2">
        <v>2040</v>
      </c>
      <c r="C587" t="str">
        <f>INDEX(Controller!$J$2:$J$11,MOD(INT((ROW()-2)/7),10)+1)</f>
        <v>elc_transport</v>
      </c>
      <c r="D587" s="4"/>
      <c r="E587" t="str">
        <f t="shared" si="37"/>
        <v>Scenario 9|elc_transport|2040</v>
      </c>
    </row>
    <row r="588" spans="1:5">
      <c r="A588" t="str">
        <f>INDEX(Controller!$H$2:$H$11,INT((ROW()-2)/70)+1)</f>
        <v>Scenario 9</v>
      </c>
      <c r="B588" s="2">
        <v>2045</v>
      </c>
      <c r="C588" t="str">
        <f>INDEX(Controller!$J$2:$J$11,MOD(INT((ROW()-2)/7),10)+1)</f>
        <v>elc_transport</v>
      </c>
      <c r="D588" s="4"/>
      <c r="E588" t="str">
        <f t="shared" si="37"/>
        <v>Scenario 9|elc_transport|2045</v>
      </c>
    </row>
    <row r="589" spans="1:5">
      <c r="A589" t="str">
        <f>INDEX(Controller!$H$2:$H$11,INT((ROW()-2)/70)+1)</f>
        <v>Scenario 9</v>
      </c>
      <c r="B589" s="2">
        <v>2050</v>
      </c>
      <c r="C589" t="str">
        <f>INDEX(Controller!$J$2:$J$11,MOD(INT((ROW()-2)/7),10)+1)</f>
        <v>elc_transport</v>
      </c>
      <c r="D589" s="4"/>
      <c r="E589" t="str">
        <f t="shared" si="37"/>
        <v>Scenario 9|elc_transport|2050</v>
      </c>
    </row>
    <row r="590" spans="1:5">
      <c r="A590" t="str">
        <f>INDEX(Controller!$H$2:$H$11,INT((ROW()-2)/70)+1)</f>
        <v>Scenario 9</v>
      </c>
      <c r="B590" s="2">
        <v>2022</v>
      </c>
      <c r="C590" t="str">
        <f>INDEX(Controller!$J$2:$J$11,MOD(INT((ROW()-2)/7),10)+1)</f>
        <v>elc_roadtransport</v>
      </c>
      <c r="D590" s="4"/>
      <c r="E590" t="str">
        <f t="shared" si="37"/>
        <v>Scenario 9|elc_roadtransport|2022</v>
      </c>
    </row>
    <row r="591" spans="1:5">
      <c r="A591" t="str">
        <f>INDEX(Controller!$H$2:$H$11,INT((ROW()-2)/70)+1)</f>
        <v>Scenario 9</v>
      </c>
      <c r="B591" s="2">
        <v>2025</v>
      </c>
      <c r="C591" t="str">
        <f>INDEX(Controller!$J$2:$J$11,MOD(INT((ROW()-2)/7),10)+1)</f>
        <v>elc_roadtransport</v>
      </c>
      <c r="D591" s="4"/>
      <c r="E591" t="str">
        <f t="shared" si="37"/>
        <v>Scenario 9|elc_roadtransport|2025</v>
      </c>
    </row>
    <row r="592" spans="1:5">
      <c r="A592" t="str">
        <f>INDEX(Controller!$H$2:$H$11,INT((ROW()-2)/70)+1)</f>
        <v>Scenario 9</v>
      </c>
      <c r="B592" s="2">
        <v>2030</v>
      </c>
      <c r="C592" t="str">
        <f>INDEX(Controller!$J$2:$J$11,MOD(INT((ROW()-2)/7),10)+1)</f>
        <v>elc_roadtransport</v>
      </c>
      <c r="D592" s="4"/>
      <c r="E592" t="str">
        <f t="shared" si="37"/>
        <v>Scenario 9|elc_roadtransport|2030</v>
      </c>
    </row>
    <row r="593" spans="1:5">
      <c r="A593" t="str">
        <f>INDEX(Controller!$H$2:$H$11,INT((ROW()-2)/70)+1)</f>
        <v>Scenario 9</v>
      </c>
      <c r="B593" s="2">
        <v>2035</v>
      </c>
      <c r="C593" t="str">
        <f>INDEX(Controller!$J$2:$J$11,MOD(INT((ROW()-2)/7),10)+1)</f>
        <v>elc_roadtransport</v>
      </c>
      <c r="D593" s="4"/>
      <c r="E593" t="str">
        <f t="shared" si="37"/>
        <v>Scenario 9|elc_roadtransport|2035</v>
      </c>
    </row>
    <row r="594" spans="1:5">
      <c r="A594" t="str">
        <f>INDEX(Controller!$H$2:$H$11,INT((ROW()-2)/70)+1)</f>
        <v>Scenario 9</v>
      </c>
      <c r="B594" s="2">
        <v>2040</v>
      </c>
      <c r="C594" t="str">
        <f>INDEX(Controller!$J$2:$J$11,MOD(INT((ROW()-2)/7),10)+1)</f>
        <v>elc_roadtransport</v>
      </c>
      <c r="D594" s="4"/>
      <c r="E594" t="str">
        <f t="shared" si="37"/>
        <v>Scenario 9|elc_roadtransport|2040</v>
      </c>
    </row>
    <row r="595" spans="1:5">
      <c r="A595" t="str">
        <f>INDEX(Controller!$H$2:$H$11,INT((ROW()-2)/70)+1)</f>
        <v>Scenario 9</v>
      </c>
      <c r="B595" s="2">
        <v>2045</v>
      </c>
      <c r="C595" t="str">
        <f>INDEX(Controller!$J$2:$J$11,MOD(INT((ROW()-2)/7),10)+1)</f>
        <v>elc_roadtransport</v>
      </c>
      <c r="D595" s="4"/>
      <c r="E595" t="str">
        <f t="shared" si="37"/>
        <v>Scenario 9|elc_roadtransport|2045</v>
      </c>
    </row>
    <row r="596" spans="1:5">
      <c r="A596" t="str">
        <f>INDEX(Controller!$H$2:$H$11,INT((ROW()-2)/70)+1)</f>
        <v>Scenario 9</v>
      </c>
      <c r="B596" s="2">
        <v>2050</v>
      </c>
      <c r="C596" t="str">
        <f>INDEX(Controller!$J$2:$J$11,MOD(INT((ROW()-2)/7),10)+1)</f>
        <v>elc_roadtransport</v>
      </c>
      <c r="D596" s="4"/>
      <c r="E596" t="str">
        <f t="shared" si="37"/>
        <v>Scenario 9|elc_roadtransport|2050</v>
      </c>
    </row>
    <row r="597" spans="1:5">
      <c r="A597" t="str">
        <f>INDEX(Controller!$H$2:$H$11,INT((ROW()-2)/70)+1)</f>
        <v>Scenario 9</v>
      </c>
      <c r="B597" s="2">
        <v>2022</v>
      </c>
      <c r="C597" t="str">
        <f>INDEX(Controller!$J$2:$J$11,MOD(INT((ROW()-2)/7),10)+1)</f>
        <v>het_industry</v>
      </c>
      <c r="D597" s="4"/>
      <c r="E597" t="str">
        <f t="shared" si="37"/>
        <v>Scenario 9|het_industry|2022</v>
      </c>
    </row>
    <row r="598" spans="1:5">
      <c r="A598" t="str">
        <f>INDEX(Controller!$H$2:$H$11,INT((ROW()-2)/70)+1)</f>
        <v>Scenario 9</v>
      </c>
      <c r="B598" s="2">
        <v>2025</v>
      </c>
      <c r="C598" t="str">
        <f>INDEX(Controller!$J$2:$J$11,MOD(INT((ROW()-2)/7),10)+1)</f>
        <v>het_industry</v>
      </c>
      <c r="D598" s="4"/>
      <c r="E598" t="str">
        <f t="shared" si="37"/>
        <v>Scenario 9|het_industry|2025</v>
      </c>
    </row>
    <row r="599" spans="1:5">
      <c r="A599" t="str">
        <f>INDEX(Controller!$H$2:$H$11,INT((ROW()-2)/70)+1)</f>
        <v>Scenario 9</v>
      </c>
      <c r="B599" s="2">
        <v>2030</v>
      </c>
      <c r="C599" t="str">
        <f>INDEX(Controller!$J$2:$J$11,MOD(INT((ROW()-2)/7),10)+1)</f>
        <v>het_industry</v>
      </c>
      <c r="D599" s="4"/>
      <c r="E599" t="str">
        <f t="shared" si="37"/>
        <v>Scenario 9|het_industry|2030</v>
      </c>
    </row>
    <row r="600" spans="1:5">
      <c r="A600" t="str">
        <f>INDEX(Controller!$H$2:$H$11,INT((ROW()-2)/70)+1)</f>
        <v>Scenario 9</v>
      </c>
      <c r="B600" s="2">
        <v>2035</v>
      </c>
      <c r="C600" t="str">
        <f>INDEX(Controller!$J$2:$J$11,MOD(INT((ROW()-2)/7),10)+1)</f>
        <v>het_industry</v>
      </c>
      <c r="D600" s="4"/>
      <c r="E600" t="str">
        <f t="shared" si="37"/>
        <v>Scenario 9|het_industry|2035</v>
      </c>
    </row>
    <row r="601" spans="1:5">
      <c r="A601" t="str">
        <f>INDEX(Controller!$H$2:$H$11,INT((ROW()-2)/70)+1)</f>
        <v>Scenario 9</v>
      </c>
      <c r="B601" s="2">
        <v>2040</v>
      </c>
      <c r="C601" t="str">
        <f>INDEX(Controller!$J$2:$J$11,MOD(INT((ROW()-2)/7),10)+1)</f>
        <v>het_industry</v>
      </c>
      <c r="D601" s="4"/>
      <c r="E601" t="str">
        <f t="shared" si="37"/>
        <v>Scenario 9|het_industry|2040</v>
      </c>
    </row>
    <row r="602" spans="1:5">
      <c r="A602" t="str">
        <f>INDEX(Controller!$H$2:$H$11,INT((ROW()-2)/70)+1)</f>
        <v>Scenario 9</v>
      </c>
      <c r="B602" s="2">
        <v>2045</v>
      </c>
      <c r="C602" t="str">
        <f>INDEX(Controller!$J$2:$J$11,MOD(INT((ROW()-2)/7),10)+1)</f>
        <v>het_industry</v>
      </c>
      <c r="D602" s="4"/>
      <c r="E602" t="str">
        <f t="shared" si="37"/>
        <v>Scenario 9|het_industry|2045</v>
      </c>
    </row>
    <row r="603" spans="1:5">
      <c r="A603" t="str">
        <f>INDEX(Controller!$H$2:$H$11,INT((ROW()-2)/70)+1)</f>
        <v>Scenario 9</v>
      </c>
      <c r="B603" s="2">
        <v>2050</v>
      </c>
      <c r="C603" t="str">
        <f>INDEX(Controller!$J$2:$J$11,MOD(INT((ROW()-2)/7),10)+1)</f>
        <v>het_industry</v>
      </c>
      <c r="D603" s="4"/>
      <c r="E603" t="str">
        <f t="shared" si="37"/>
        <v>Scenario 9|het_industry|2050</v>
      </c>
    </row>
    <row r="604" spans="1:5">
      <c r="A604" t="str">
        <f>INDEX(Controller!$H$2:$H$11,INT((ROW()-2)/70)+1)</f>
        <v>Scenario 9</v>
      </c>
      <c r="B604" s="2">
        <v>2022</v>
      </c>
      <c r="C604" t="str">
        <f>INDEX(Controller!$J$2:$J$11,MOD(INT((ROW()-2)/7),10)+1)</f>
        <v>het_buildings</v>
      </c>
      <c r="D604" s="4"/>
      <c r="E604" t="str">
        <f t="shared" si="37"/>
        <v>Scenario 9|het_buildings|2022</v>
      </c>
    </row>
    <row r="605" spans="1:5">
      <c r="A605" t="str">
        <f>INDEX(Controller!$H$2:$H$11,INT((ROW()-2)/70)+1)</f>
        <v>Scenario 9</v>
      </c>
      <c r="B605" s="2">
        <v>2025</v>
      </c>
      <c r="C605" t="str">
        <f>INDEX(Controller!$J$2:$J$11,MOD(INT((ROW()-2)/7),10)+1)</f>
        <v>het_buildings</v>
      </c>
      <c r="D605" s="4"/>
      <c r="E605" t="str">
        <f t="shared" si="37"/>
        <v>Scenario 9|het_buildings|2025</v>
      </c>
    </row>
    <row r="606" spans="1:5">
      <c r="A606" t="str">
        <f>INDEX(Controller!$H$2:$H$11,INT((ROW()-2)/70)+1)</f>
        <v>Scenario 9</v>
      </c>
      <c r="B606" s="2">
        <v>2030</v>
      </c>
      <c r="C606" t="str">
        <f>INDEX(Controller!$J$2:$J$11,MOD(INT((ROW()-2)/7),10)+1)</f>
        <v>het_buildings</v>
      </c>
      <c r="D606" s="4"/>
      <c r="E606" t="str">
        <f t="shared" si="37"/>
        <v>Scenario 9|het_buildings|2030</v>
      </c>
    </row>
    <row r="607" spans="1:5">
      <c r="A607" t="str">
        <f>INDEX(Controller!$H$2:$H$11,INT((ROW()-2)/70)+1)</f>
        <v>Scenario 9</v>
      </c>
      <c r="B607" s="2">
        <v>2035</v>
      </c>
      <c r="C607" t="str">
        <f>INDEX(Controller!$J$2:$J$11,MOD(INT((ROW()-2)/7),10)+1)</f>
        <v>het_buildings</v>
      </c>
      <c r="D607" s="4"/>
      <c r="E607" t="str">
        <f t="shared" si="37"/>
        <v>Scenario 9|het_buildings|2035</v>
      </c>
    </row>
    <row r="608" spans="1:5">
      <c r="A608" t="str">
        <f>INDEX(Controller!$H$2:$H$11,INT((ROW()-2)/70)+1)</f>
        <v>Scenario 9</v>
      </c>
      <c r="B608" s="2">
        <v>2040</v>
      </c>
      <c r="C608" t="str">
        <f>INDEX(Controller!$J$2:$J$11,MOD(INT((ROW()-2)/7),10)+1)</f>
        <v>het_buildings</v>
      </c>
      <c r="D608" s="4"/>
      <c r="E608" t="str">
        <f t="shared" si="37"/>
        <v>Scenario 9|het_buildings|2040</v>
      </c>
    </row>
    <row r="609" spans="1:5">
      <c r="A609" t="str">
        <f>INDEX(Controller!$H$2:$H$11,INT((ROW()-2)/70)+1)</f>
        <v>Scenario 9</v>
      </c>
      <c r="B609" s="2">
        <v>2045</v>
      </c>
      <c r="C609" t="str">
        <f>INDEX(Controller!$J$2:$J$11,MOD(INT((ROW()-2)/7),10)+1)</f>
        <v>het_buildings</v>
      </c>
      <c r="D609" s="4"/>
      <c r="E609" t="str">
        <f t="shared" si="37"/>
        <v>Scenario 9|het_buildings|2045</v>
      </c>
    </row>
    <row r="610" spans="1:5">
      <c r="A610" t="str">
        <f>INDEX(Controller!$H$2:$H$11,INT((ROW()-2)/70)+1)</f>
        <v>Scenario 9</v>
      </c>
      <c r="B610" s="2">
        <v>2050</v>
      </c>
      <c r="C610" t="str">
        <f>INDEX(Controller!$J$2:$J$11,MOD(INT((ROW()-2)/7),10)+1)</f>
        <v>het_buildings</v>
      </c>
      <c r="D610" s="4"/>
      <c r="E610" t="str">
        <f t="shared" si="37"/>
        <v>Scenario 9|het_buildings|2050</v>
      </c>
    </row>
    <row r="611" spans="1:5">
      <c r="A611" t="str">
        <f>INDEX(Controller!$H$2:$H$11,INT((ROW()-2)/70)+1)</f>
        <v>Scenario 9</v>
      </c>
      <c r="B611" s="2">
        <v>2022</v>
      </c>
      <c r="C611" t="str">
        <f>INDEX(Controller!$J$2:$J$11,MOD(INT((ROW()-2)/7),10)+1)</f>
        <v>co2net</v>
      </c>
      <c r="D611" s="4"/>
      <c r="E611" t="str">
        <f t="shared" si="37"/>
        <v>Scenario 9|co2net|2022</v>
      </c>
    </row>
    <row r="612" spans="1:5">
      <c r="A612" t="str">
        <f>INDEX(Controller!$H$2:$H$11,INT((ROW()-2)/70)+1)</f>
        <v>Scenario 9</v>
      </c>
      <c r="B612" s="2">
        <v>2025</v>
      </c>
      <c r="C612" t="str">
        <f>INDEX(Controller!$J$2:$J$11,MOD(INT((ROW()-2)/7),10)+1)</f>
        <v>co2net</v>
      </c>
      <c r="D612" s="4"/>
      <c r="E612" t="str">
        <f t="shared" si="37"/>
        <v>Scenario 9|co2net|2025</v>
      </c>
    </row>
    <row r="613" spans="1:5">
      <c r="A613" t="str">
        <f>INDEX(Controller!$H$2:$H$11,INT((ROW()-2)/70)+1)</f>
        <v>Scenario 9</v>
      </c>
      <c r="B613" s="2">
        <v>2030</v>
      </c>
      <c r="C613" t="str">
        <f>INDEX(Controller!$J$2:$J$11,MOD(INT((ROW()-2)/7),10)+1)</f>
        <v>co2net</v>
      </c>
      <c r="D613" s="4"/>
      <c r="E613" t="str">
        <f t="shared" si="37"/>
        <v>Scenario 9|co2net|2030</v>
      </c>
    </row>
    <row r="614" spans="1:5">
      <c r="A614" t="str">
        <f>INDEX(Controller!$H$2:$H$11,INT((ROW()-2)/70)+1)</f>
        <v>Scenario 9</v>
      </c>
      <c r="B614" s="2">
        <v>2035</v>
      </c>
      <c r="C614" t="str">
        <f>INDEX(Controller!$J$2:$J$11,MOD(INT((ROW()-2)/7),10)+1)</f>
        <v>co2net</v>
      </c>
      <c r="D614" s="4"/>
      <c r="E614" t="str">
        <f t="shared" si="37"/>
        <v>Scenario 9|co2net|2035</v>
      </c>
    </row>
    <row r="615" spans="1:5">
      <c r="A615" t="str">
        <f>INDEX(Controller!$H$2:$H$11,INT((ROW()-2)/70)+1)</f>
        <v>Scenario 9</v>
      </c>
      <c r="B615" s="2">
        <v>2040</v>
      </c>
      <c r="C615" t="str">
        <f>INDEX(Controller!$J$2:$J$11,MOD(INT((ROW()-2)/7),10)+1)</f>
        <v>co2net</v>
      </c>
      <c r="D615" s="4"/>
      <c r="E615" t="str">
        <f t="shared" si="37"/>
        <v>Scenario 9|co2net|2040</v>
      </c>
    </row>
    <row r="616" spans="1:5">
      <c r="A616" t="str">
        <f>INDEX(Controller!$H$2:$H$11,INT((ROW()-2)/70)+1)</f>
        <v>Scenario 9</v>
      </c>
      <c r="B616" s="2">
        <v>2045</v>
      </c>
      <c r="C616" t="str">
        <f>INDEX(Controller!$J$2:$J$11,MOD(INT((ROW()-2)/7),10)+1)</f>
        <v>co2net</v>
      </c>
      <c r="D616" s="4"/>
      <c r="E616" t="str">
        <f t="shared" si="37"/>
        <v>Scenario 9|co2net|2045</v>
      </c>
    </row>
    <row r="617" spans="1:5">
      <c r="A617" t="str">
        <f>INDEX(Controller!$H$2:$H$11,INT((ROW()-2)/70)+1)</f>
        <v>Scenario 9</v>
      </c>
      <c r="B617" s="2">
        <v>2050</v>
      </c>
      <c r="C617" t="str">
        <f>INDEX(Controller!$J$2:$J$11,MOD(INT((ROW()-2)/7),10)+1)</f>
        <v>co2net</v>
      </c>
      <c r="D617" s="4"/>
      <c r="E617" t="str">
        <f t="shared" si="37"/>
        <v>Scenario 9|co2net|2050</v>
      </c>
    </row>
    <row r="618" spans="1:5">
      <c r="A618" t="str">
        <f>INDEX(Controller!$H$2:$H$11,INT((ROW()-2)/70)+1)</f>
        <v>Scenario 9</v>
      </c>
      <c r="B618" s="2">
        <v>2022</v>
      </c>
      <c r="C618" t="str">
        <f>INDEX(Controller!$J$2:$J$11,MOD(INT((ROW()-2)/7),10)+1)</f>
        <v>Variable 9</v>
      </c>
      <c r="D618" s="4"/>
      <c r="E618" t="str">
        <f t="shared" si="37"/>
        <v>Scenario 9|Variable 9|2022</v>
      </c>
    </row>
    <row r="619" spans="1:5">
      <c r="A619" t="str">
        <f>INDEX(Controller!$H$2:$H$11,INT((ROW()-2)/70)+1)</f>
        <v>Scenario 9</v>
      </c>
      <c r="B619" s="2">
        <v>2025</v>
      </c>
      <c r="C619" t="str">
        <f>INDEX(Controller!$J$2:$J$11,MOD(INT((ROW()-2)/7),10)+1)</f>
        <v>Variable 9</v>
      </c>
      <c r="D619" s="4"/>
      <c r="E619" t="str">
        <f t="shared" si="37"/>
        <v>Scenario 9|Variable 9|2025</v>
      </c>
    </row>
    <row r="620" spans="1:5">
      <c r="A620" t="str">
        <f>INDEX(Controller!$H$2:$H$11,INT((ROW()-2)/70)+1)</f>
        <v>Scenario 9</v>
      </c>
      <c r="B620" s="2">
        <v>2030</v>
      </c>
      <c r="C620" t="str">
        <f>INDEX(Controller!$J$2:$J$11,MOD(INT((ROW()-2)/7),10)+1)</f>
        <v>Variable 9</v>
      </c>
      <c r="D620" s="4"/>
      <c r="E620" t="str">
        <f t="shared" si="37"/>
        <v>Scenario 9|Variable 9|2030</v>
      </c>
    </row>
    <row r="621" spans="1:5">
      <c r="A621" t="str">
        <f>INDEX(Controller!$H$2:$H$11,INT((ROW()-2)/70)+1)</f>
        <v>Scenario 9</v>
      </c>
      <c r="B621" s="2">
        <v>2035</v>
      </c>
      <c r="C621" t="str">
        <f>INDEX(Controller!$J$2:$J$11,MOD(INT((ROW()-2)/7),10)+1)</f>
        <v>Variable 9</v>
      </c>
      <c r="D621" s="4"/>
      <c r="E621" t="str">
        <f t="shared" si="37"/>
        <v>Scenario 9|Variable 9|2035</v>
      </c>
    </row>
    <row r="622" spans="1:5">
      <c r="A622" t="str">
        <f>INDEX(Controller!$H$2:$H$11,INT((ROW()-2)/70)+1)</f>
        <v>Scenario 9</v>
      </c>
      <c r="B622" s="2">
        <v>2040</v>
      </c>
      <c r="C622" t="str">
        <f>INDEX(Controller!$J$2:$J$11,MOD(INT((ROW()-2)/7),10)+1)</f>
        <v>Variable 9</v>
      </c>
      <c r="D622" s="4"/>
      <c r="E622" t="str">
        <f t="shared" si="37"/>
        <v>Scenario 9|Variable 9|2040</v>
      </c>
    </row>
    <row r="623" spans="1:5">
      <c r="A623" t="str">
        <f>INDEX(Controller!$H$2:$H$11,INT((ROW()-2)/70)+1)</f>
        <v>Scenario 9</v>
      </c>
      <c r="B623" s="2">
        <v>2045</v>
      </c>
      <c r="C623" t="str">
        <f>INDEX(Controller!$J$2:$J$11,MOD(INT((ROW()-2)/7),10)+1)</f>
        <v>Variable 9</v>
      </c>
      <c r="D623" s="4"/>
      <c r="E623" t="str">
        <f t="shared" si="37"/>
        <v>Scenario 9|Variable 9|2045</v>
      </c>
    </row>
    <row r="624" spans="1:5">
      <c r="A624" t="str">
        <f>INDEX(Controller!$H$2:$H$11,INT((ROW()-2)/70)+1)</f>
        <v>Scenario 9</v>
      </c>
      <c r="B624" s="2">
        <v>2050</v>
      </c>
      <c r="C624" t="str">
        <f>INDEX(Controller!$J$2:$J$11,MOD(INT((ROW()-2)/7),10)+1)</f>
        <v>Variable 9</v>
      </c>
      <c r="D624" s="4"/>
      <c r="E624" t="str">
        <f t="shared" si="37"/>
        <v>Scenario 9|Variable 9|2050</v>
      </c>
    </row>
    <row r="625" spans="1:5">
      <c r="A625" t="str">
        <f>INDEX(Controller!$H$2:$H$11,INT((ROW()-2)/70)+1)</f>
        <v>Scenario 9</v>
      </c>
      <c r="B625" s="2">
        <v>2022</v>
      </c>
      <c r="C625" t="str">
        <f>INDEX(Controller!$J$2:$J$11,MOD(INT((ROW()-2)/7),10)+1)</f>
        <v>Variable 10</v>
      </c>
      <c r="D625" s="4"/>
      <c r="E625" t="str">
        <f t="shared" si="37"/>
        <v>Scenario 9|Variable 10|2022</v>
      </c>
    </row>
    <row r="626" spans="1:5">
      <c r="A626" t="str">
        <f>INDEX(Controller!$H$2:$H$11,INT((ROW()-2)/70)+1)</f>
        <v>Scenario 9</v>
      </c>
      <c r="B626" s="2">
        <v>2025</v>
      </c>
      <c r="C626" t="str">
        <f>INDEX(Controller!$J$2:$J$11,MOD(INT((ROW()-2)/7),10)+1)</f>
        <v>Variable 10</v>
      </c>
      <c r="D626" s="4"/>
      <c r="E626" t="str">
        <f t="shared" si="37"/>
        <v>Scenario 9|Variable 10|2025</v>
      </c>
    </row>
    <row r="627" spans="1:5">
      <c r="A627" t="str">
        <f>INDEX(Controller!$H$2:$H$11,INT((ROW()-2)/70)+1)</f>
        <v>Scenario 9</v>
      </c>
      <c r="B627" s="2">
        <v>2030</v>
      </c>
      <c r="C627" t="str">
        <f>INDEX(Controller!$J$2:$J$11,MOD(INT((ROW()-2)/7),10)+1)</f>
        <v>Variable 10</v>
      </c>
      <c r="D627" s="4"/>
      <c r="E627" t="str">
        <f t="shared" si="37"/>
        <v>Scenario 9|Variable 10|2030</v>
      </c>
    </row>
    <row r="628" spans="1:5">
      <c r="A628" t="str">
        <f>INDEX(Controller!$H$2:$H$11,INT((ROW()-2)/70)+1)</f>
        <v>Scenario 9</v>
      </c>
      <c r="B628" s="2">
        <v>2035</v>
      </c>
      <c r="C628" t="str">
        <f>INDEX(Controller!$J$2:$J$11,MOD(INT((ROW()-2)/7),10)+1)</f>
        <v>Variable 10</v>
      </c>
      <c r="D628" s="4"/>
      <c r="E628" t="str">
        <f t="shared" si="37"/>
        <v>Scenario 9|Variable 10|2035</v>
      </c>
    </row>
    <row r="629" spans="1:5">
      <c r="A629" t="str">
        <f>INDEX(Controller!$H$2:$H$11,INT((ROW()-2)/70)+1)</f>
        <v>Scenario 9</v>
      </c>
      <c r="B629" s="2">
        <v>2040</v>
      </c>
      <c r="C629" t="str">
        <f>INDEX(Controller!$J$2:$J$11,MOD(INT((ROW()-2)/7),10)+1)</f>
        <v>Variable 10</v>
      </c>
      <c r="D629" s="4"/>
      <c r="E629" t="str">
        <f t="shared" si="37"/>
        <v>Scenario 9|Variable 10|2040</v>
      </c>
    </row>
    <row r="630" spans="1:5">
      <c r="A630" t="str">
        <f>INDEX(Controller!$H$2:$H$11,INT((ROW()-2)/70)+1)</f>
        <v>Scenario 9</v>
      </c>
      <c r="B630" s="2">
        <v>2045</v>
      </c>
      <c r="C630" t="str">
        <f>INDEX(Controller!$J$2:$J$11,MOD(INT((ROW()-2)/7),10)+1)</f>
        <v>Variable 10</v>
      </c>
      <c r="D630" s="4"/>
      <c r="E630" t="str">
        <f t="shared" si="37"/>
        <v>Scenario 9|Variable 10|2045</v>
      </c>
    </row>
    <row r="631" spans="1:5">
      <c r="A631" t="str">
        <f>INDEX(Controller!$H$2:$H$11,INT((ROW()-2)/70)+1)</f>
        <v>Scenario 9</v>
      </c>
      <c r="B631" s="2">
        <v>2050</v>
      </c>
      <c r="C631" t="str">
        <f>INDEX(Controller!$J$2:$J$11,MOD(INT((ROW()-2)/7),10)+1)</f>
        <v>Variable 10</v>
      </c>
      <c r="D631" s="4"/>
      <c r="E631" t="str">
        <f t="shared" si="37"/>
        <v>Scenario 9|Variable 10|2050</v>
      </c>
    </row>
    <row r="632" spans="1:5">
      <c r="A632" t="str">
        <f>INDEX(Controller!$H$2:$H$11,INT((ROW()-2)/70)+1)</f>
        <v>Scenario 10</v>
      </c>
      <c r="B632" s="2">
        <v>2022</v>
      </c>
      <c r="C632" t="str">
        <f>INDEX(Controller!$J$2:$J$11,MOD(INT((ROW()-2)/7),10)+1)</f>
        <v>hydrogen_allsect</v>
      </c>
      <c r="D632" s="4"/>
      <c r="E632" t="str">
        <f t="shared" si="37"/>
        <v>Scenario 10|hydrogen_allsect|2022</v>
      </c>
    </row>
    <row r="633" spans="1:5">
      <c r="A633" t="str">
        <f>INDEX(Controller!$H$2:$H$11,INT((ROW()-2)/70)+1)</f>
        <v>Scenario 10</v>
      </c>
      <c r="B633" s="2">
        <v>2025</v>
      </c>
      <c r="C633" t="str">
        <f>INDEX(Controller!$J$2:$J$11,MOD(INT((ROW()-2)/7),10)+1)</f>
        <v>hydrogen_allsect</v>
      </c>
      <c r="D633" s="4"/>
      <c r="E633" t="str">
        <f t="shared" si="37"/>
        <v>Scenario 10|hydrogen_allsect|2025</v>
      </c>
    </row>
    <row r="634" spans="1:5">
      <c r="A634" t="str">
        <f>INDEX(Controller!$H$2:$H$11,INT((ROW()-2)/70)+1)</f>
        <v>Scenario 10</v>
      </c>
      <c r="B634" s="2">
        <v>2030</v>
      </c>
      <c r="C634" t="str">
        <f>INDEX(Controller!$J$2:$J$11,MOD(INT((ROW()-2)/7),10)+1)</f>
        <v>hydrogen_allsect</v>
      </c>
      <c r="D634" s="4"/>
      <c r="E634" t="str">
        <f t="shared" si="37"/>
        <v>Scenario 10|hydrogen_allsect|2030</v>
      </c>
    </row>
    <row r="635" spans="1:5">
      <c r="A635" t="str">
        <f>INDEX(Controller!$H$2:$H$11,INT((ROW()-2)/70)+1)</f>
        <v>Scenario 10</v>
      </c>
      <c r="B635" s="2">
        <v>2035</v>
      </c>
      <c r="C635" t="str">
        <f>INDEX(Controller!$J$2:$J$11,MOD(INT((ROW()-2)/7),10)+1)</f>
        <v>hydrogen_allsect</v>
      </c>
      <c r="D635" s="4"/>
      <c r="E635" t="str">
        <f t="shared" si="37"/>
        <v>Scenario 10|hydrogen_allsect|2035</v>
      </c>
    </row>
    <row r="636" spans="1:5">
      <c r="A636" t="str">
        <f>INDEX(Controller!$H$2:$H$11,INT((ROW()-2)/70)+1)</f>
        <v>Scenario 10</v>
      </c>
      <c r="B636" s="2">
        <v>2040</v>
      </c>
      <c r="C636" t="str">
        <f>INDEX(Controller!$J$2:$J$11,MOD(INT((ROW()-2)/7),10)+1)</f>
        <v>hydrogen_allsect</v>
      </c>
      <c r="D636" s="4"/>
      <c r="E636" t="str">
        <f t="shared" si="37"/>
        <v>Scenario 10|hydrogen_allsect|2040</v>
      </c>
    </row>
    <row r="637" spans="1:5">
      <c r="A637" t="str">
        <f>INDEX(Controller!$H$2:$H$11,INT((ROW()-2)/70)+1)</f>
        <v>Scenario 10</v>
      </c>
      <c r="B637" s="2">
        <v>2045</v>
      </c>
      <c r="C637" t="str">
        <f>INDEX(Controller!$J$2:$J$11,MOD(INT((ROW()-2)/7),10)+1)</f>
        <v>hydrogen_allsect</v>
      </c>
      <c r="D637" s="4"/>
      <c r="E637" t="str">
        <f t="shared" si="37"/>
        <v>Scenario 10|hydrogen_allsect|2045</v>
      </c>
    </row>
    <row r="638" spans="1:5">
      <c r="A638" t="str">
        <f>INDEX(Controller!$H$2:$H$11,INT((ROW()-2)/70)+1)</f>
        <v>Scenario 10</v>
      </c>
      <c r="B638" s="2">
        <v>2050</v>
      </c>
      <c r="C638" t="str">
        <f>INDEX(Controller!$J$2:$J$11,MOD(INT((ROW()-2)/7),10)+1)</f>
        <v>hydrogen_allsect</v>
      </c>
      <c r="D638" s="4"/>
      <c r="E638" t="str">
        <f t="shared" si="37"/>
        <v>Scenario 10|hydrogen_allsect|2050</v>
      </c>
    </row>
    <row r="639" spans="1:5">
      <c r="A639" t="str">
        <f>INDEX(Controller!$H$2:$H$11,INT((ROW()-2)/70)+1)</f>
        <v>Scenario 10</v>
      </c>
      <c r="B639" s="2">
        <v>2022</v>
      </c>
      <c r="C639" t="str">
        <f>INDEX(Controller!$J$2:$J$11,MOD(INT((ROW()-2)/7),10)+1)</f>
        <v>elc_industry</v>
      </c>
      <c r="D639" s="4"/>
      <c r="E639" t="str">
        <f t="shared" si="37"/>
        <v>Scenario 10|elc_industry|2022</v>
      </c>
    </row>
    <row r="640" spans="1:5">
      <c r="A640" t="str">
        <f>INDEX(Controller!$H$2:$H$11,INT((ROW()-2)/70)+1)</f>
        <v>Scenario 10</v>
      </c>
      <c r="B640" s="2">
        <v>2025</v>
      </c>
      <c r="C640" t="str">
        <f>INDEX(Controller!$J$2:$J$11,MOD(INT((ROW()-2)/7),10)+1)</f>
        <v>elc_industry</v>
      </c>
      <c r="D640" s="4"/>
      <c r="E640" t="str">
        <f t="shared" si="37"/>
        <v>Scenario 10|elc_industry|2025</v>
      </c>
    </row>
    <row r="641" spans="1:5">
      <c r="A641" t="str">
        <f>INDEX(Controller!$H$2:$H$11,INT((ROW()-2)/70)+1)</f>
        <v>Scenario 10</v>
      </c>
      <c r="B641" s="2">
        <v>2030</v>
      </c>
      <c r="C641" t="str">
        <f>INDEX(Controller!$J$2:$J$11,MOD(INT((ROW()-2)/7),10)+1)</f>
        <v>elc_industry</v>
      </c>
      <c r="D641" s="4"/>
      <c r="E641" t="str">
        <f t="shared" si="37"/>
        <v>Scenario 10|elc_industry|2030</v>
      </c>
    </row>
    <row r="642" spans="1:5">
      <c r="A642" t="str">
        <f>INDEX(Controller!$H$2:$H$11,INT((ROW()-2)/70)+1)</f>
        <v>Scenario 10</v>
      </c>
      <c r="B642" s="2">
        <v>2035</v>
      </c>
      <c r="C642" t="str">
        <f>INDEX(Controller!$J$2:$J$11,MOD(INT((ROW()-2)/7),10)+1)</f>
        <v>elc_industry</v>
      </c>
      <c r="D642" s="4"/>
      <c r="E642" t="str">
        <f t="shared" ref="E642:E701" si="38">A642&amp;"|"&amp;C642&amp;"|"&amp;B642</f>
        <v>Scenario 10|elc_industry|2035</v>
      </c>
    </row>
    <row r="643" spans="1:5">
      <c r="A643" t="str">
        <f>INDEX(Controller!$H$2:$H$11,INT((ROW()-2)/70)+1)</f>
        <v>Scenario 10</v>
      </c>
      <c r="B643" s="2">
        <v>2040</v>
      </c>
      <c r="C643" t="str">
        <f>INDEX(Controller!$J$2:$J$11,MOD(INT((ROW()-2)/7),10)+1)</f>
        <v>elc_industry</v>
      </c>
      <c r="D643" s="4"/>
      <c r="E643" t="str">
        <f t="shared" si="38"/>
        <v>Scenario 10|elc_industry|2040</v>
      </c>
    </row>
    <row r="644" spans="1:5">
      <c r="A644" t="str">
        <f>INDEX(Controller!$H$2:$H$11,INT((ROW()-2)/70)+1)</f>
        <v>Scenario 10</v>
      </c>
      <c r="B644" s="2">
        <v>2045</v>
      </c>
      <c r="C644" t="str">
        <f>INDEX(Controller!$J$2:$J$11,MOD(INT((ROW()-2)/7),10)+1)</f>
        <v>elc_industry</v>
      </c>
      <c r="D644" s="4"/>
      <c r="E644" t="str">
        <f t="shared" si="38"/>
        <v>Scenario 10|elc_industry|2045</v>
      </c>
    </row>
    <row r="645" spans="1:5">
      <c r="A645" t="str">
        <f>INDEX(Controller!$H$2:$H$11,INT((ROW()-2)/70)+1)</f>
        <v>Scenario 10</v>
      </c>
      <c r="B645" s="2">
        <v>2050</v>
      </c>
      <c r="C645" t="str">
        <f>INDEX(Controller!$J$2:$J$11,MOD(INT((ROW()-2)/7),10)+1)</f>
        <v>elc_industry</v>
      </c>
      <c r="D645" s="4"/>
      <c r="E645" t="str">
        <f t="shared" si="38"/>
        <v>Scenario 10|elc_industry|2050</v>
      </c>
    </row>
    <row r="646" spans="1:5">
      <c r="A646" t="str">
        <f>INDEX(Controller!$H$2:$H$11,INT((ROW()-2)/70)+1)</f>
        <v>Scenario 10</v>
      </c>
      <c r="B646" s="2">
        <v>2022</v>
      </c>
      <c r="C646" t="str">
        <f>INDEX(Controller!$J$2:$J$11,MOD(INT((ROW()-2)/7),10)+1)</f>
        <v>elc_buildings</v>
      </c>
      <c r="D646" s="4"/>
      <c r="E646" t="str">
        <f t="shared" si="38"/>
        <v>Scenario 10|elc_buildings|2022</v>
      </c>
    </row>
    <row r="647" spans="1:5">
      <c r="A647" t="str">
        <f>INDEX(Controller!$H$2:$H$11,INT((ROW()-2)/70)+1)</f>
        <v>Scenario 10</v>
      </c>
      <c r="B647" s="2">
        <v>2025</v>
      </c>
      <c r="C647" t="str">
        <f>INDEX(Controller!$J$2:$J$11,MOD(INT((ROW()-2)/7),10)+1)</f>
        <v>elc_buildings</v>
      </c>
      <c r="D647" s="4"/>
      <c r="E647" t="str">
        <f t="shared" si="38"/>
        <v>Scenario 10|elc_buildings|2025</v>
      </c>
    </row>
    <row r="648" spans="1:5">
      <c r="A648" t="str">
        <f>INDEX(Controller!$H$2:$H$11,INT((ROW()-2)/70)+1)</f>
        <v>Scenario 10</v>
      </c>
      <c r="B648" s="2">
        <v>2030</v>
      </c>
      <c r="C648" t="str">
        <f>INDEX(Controller!$J$2:$J$11,MOD(INT((ROW()-2)/7),10)+1)</f>
        <v>elc_buildings</v>
      </c>
      <c r="D648" s="4"/>
      <c r="E648" t="str">
        <f t="shared" si="38"/>
        <v>Scenario 10|elc_buildings|2030</v>
      </c>
    </row>
    <row r="649" spans="1:5">
      <c r="A649" t="str">
        <f>INDEX(Controller!$H$2:$H$11,INT((ROW()-2)/70)+1)</f>
        <v>Scenario 10</v>
      </c>
      <c r="B649" s="2">
        <v>2035</v>
      </c>
      <c r="C649" t="str">
        <f>INDEX(Controller!$J$2:$J$11,MOD(INT((ROW()-2)/7),10)+1)</f>
        <v>elc_buildings</v>
      </c>
      <c r="D649" s="4"/>
      <c r="E649" t="str">
        <f t="shared" si="38"/>
        <v>Scenario 10|elc_buildings|2035</v>
      </c>
    </row>
    <row r="650" spans="1:5">
      <c r="A650" t="str">
        <f>INDEX(Controller!$H$2:$H$11,INT((ROW()-2)/70)+1)</f>
        <v>Scenario 10</v>
      </c>
      <c r="B650" s="2">
        <v>2040</v>
      </c>
      <c r="C650" t="str">
        <f>INDEX(Controller!$J$2:$J$11,MOD(INT((ROW()-2)/7),10)+1)</f>
        <v>elc_buildings</v>
      </c>
      <c r="D650" s="4"/>
      <c r="E650" t="str">
        <f t="shared" si="38"/>
        <v>Scenario 10|elc_buildings|2040</v>
      </c>
    </row>
    <row r="651" spans="1:5">
      <c r="A651" t="str">
        <f>INDEX(Controller!$H$2:$H$11,INT((ROW()-2)/70)+1)</f>
        <v>Scenario 10</v>
      </c>
      <c r="B651" s="2">
        <v>2045</v>
      </c>
      <c r="C651" t="str">
        <f>INDEX(Controller!$J$2:$J$11,MOD(INT((ROW()-2)/7),10)+1)</f>
        <v>elc_buildings</v>
      </c>
      <c r="D651" s="4"/>
      <c r="E651" t="str">
        <f t="shared" si="38"/>
        <v>Scenario 10|elc_buildings|2045</v>
      </c>
    </row>
    <row r="652" spans="1:5">
      <c r="A652" t="str">
        <f>INDEX(Controller!$H$2:$H$11,INT((ROW()-2)/70)+1)</f>
        <v>Scenario 10</v>
      </c>
      <c r="B652" s="2">
        <v>2050</v>
      </c>
      <c r="C652" t="str">
        <f>INDEX(Controller!$J$2:$J$11,MOD(INT((ROW()-2)/7),10)+1)</f>
        <v>elc_buildings</v>
      </c>
      <c r="D652" s="4"/>
      <c r="E652" t="str">
        <f t="shared" si="38"/>
        <v>Scenario 10|elc_buildings|2050</v>
      </c>
    </row>
    <row r="653" spans="1:5">
      <c r="A653" t="str">
        <f>INDEX(Controller!$H$2:$H$11,INT((ROW()-2)/70)+1)</f>
        <v>Scenario 10</v>
      </c>
      <c r="B653" s="2">
        <v>2022</v>
      </c>
      <c r="C653" t="str">
        <f>INDEX(Controller!$J$2:$J$11,MOD(INT((ROW()-2)/7),10)+1)</f>
        <v>elc_transport</v>
      </c>
      <c r="D653" s="4"/>
      <c r="E653" t="str">
        <f t="shared" si="38"/>
        <v>Scenario 10|elc_transport|2022</v>
      </c>
    </row>
    <row r="654" spans="1:5">
      <c r="A654" t="str">
        <f>INDEX(Controller!$H$2:$H$11,INT((ROW()-2)/70)+1)</f>
        <v>Scenario 10</v>
      </c>
      <c r="B654" s="2">
        <v>2025</v>
      </c>
      <c r="C654" t="str">
        <f>INDEX(Controller!$J$2:$J$11,MOD(INT((ROW()-2)/7),10)+1)</f>
        <v>elc_transport</v>
      </c>
      <c r="D654" s="4"/>
      <c r="E654" t="str">
        <f t="shared" si="38"/>
        <v>Scenario 10|elc_transport|2025</v>
      </c>
    </row>
    <row r="655" spans="1:5">
      <c r="A655" t="str">
        <f>INDEX(Controller!$H$2:$H$11,INT((ROW()-2)/70)+1)</f>
        <v>Scenario 10</v>
      </c>
      <c r="B655" s="2">
        <v>2030</v>
      </c>
      <c r="C655" t="str">
        <f>INDEX(Controller!$J$2:$J$11,MOD(INT((ROW()-2)/7),10)+1)</f>
        <v>elc_transport</v>
      </c>
      <c r="D655" s="4"/>
      <c r="E655" t="str">
        <f t="shared" si="38"/>
        <v>Scenario 10|elc_transport|2030</v>
      </c>
    </row>
    <row r="656" spans="1:5">
      <c r="A656" t="str">
        <f>INDEX(Controller!$H$2:$H$11,INT((ROW()-2)/70)+1)</f>
        <v>Scenario 10</v>
      </c>
      <c r="B656" s="2">
        <v>2035</v>
      </c>
      <c r="C656" t="str">
        <f>INDEX(Controller!$J$2:$J$11,MOD(INT((ROW()-2)/7),10)+1)</f>
        <v>elc_transport</v>
      </c>
      <c r="D656" s="4"/>
      <c r="E656" t="str">
        <f t="shared" si="38"/>
        <v>Scenario 10|elc_transport|2035</v>
      </c>
    </row>
    <row r="657" spans="1:5">
      <c r="A657" t="str">
        <f>INDEX(Controller!$H$2:$H$11,INT((ROW()-2)/70)+1)</f>
        <v>Scenario 10</v>
      </c>
      <c r="B657" s="2">
        <v>2040</v>
      </c>
      <c r="C657" t="str">
        <f>INDEX(Controller!$J$2:$J$11,MOD(INT((ROW()-2)/7),10)+1)</f>
        <v>elc_transport</v>
      </c>
      <c r="D657" s="4"/>
      <c r="E657" t="str">
        <f t="shared" si="38"/>
        <v>Scenario 10|elc_transport|2040</v>
      </c>
    </row>
    <row r="658" spans="1:5">
      <c r="A658" t="str">
        <f>INDEX(Controller!$H$2:$H$11,INT((ROW()-2)/70)+1)</f>
        <v>Scenario 10</v>
      </c>
      <c r="B658" s="2">
        <v>2045</v>
      </c>
      <c r="C658" t="str">
        <f>INDEX(Controller!$J$2:$J$11,MOD(INT((ROW()-2)/7),10)+1)</f>
        <v>elc_transport</v>
      </c>
      <c r="D658" s="4"/>
      <c r="E658" t="str">
        <f t="shared" si="38"/>
        <v>Scenario 10|elc_transport|2045</v>
      </c>
    </row>
    <row r="659" spans="1:5">
      <c r="A659" t="str">
        <f>INDEX(Controller!$H$2:$H$11,INT((ROW()-2)/70)+1)</f>
        <v>Scenario 10</v>
      </c>
      <c r="B659" s="2">
        <v>2050</v>
      </c>
      <c r="C659" t="str">
        <f>INDEX(Controller!$J$2:$J$11,MOD(INT((ROW()-2)/7),10)+1)</f>
        <v>elc_transport</v>
      </c>
      <c r="D659" s="4"/>
      <c r="E659" t="str">
        <f t="shared" si="38"/>
        <v>Scenario 10|elc_transport|2050</v>
      </c>
    </row>
    <row r="660" spans="1:5">
      <c r="A660" t="str">
        <f>INDEX(Controller!$H$2:$H$11,INT((ROW()-2)/70)+1)</f>
        <v>Scenario 10</v>
      </c>
      <c r="B660" s="2">
        <v>2022</v>
      </c>
      <c r="C660" t="str">
        <f>INDEX(Controller!$J$2:$J$11,MOD(INT((ROW()-2)/7),10)+1)</f>
        <v>elc_roadtransport</v>
      </c>
      <c r="D660" s="4"/>
      <c r="E660" t="str">
        <f t="shared" si="38"/>
        <v>Scenario 10|elc_roadtransport|2022</v>
      </c>
    </row>
    <row r="661" spans="1:5">
      <c r="A661" t="str">
        <f>INDEX(Controller!$H$2:$H$11,INT((ROW()-2)/70)+1)</f>
        <v>Scenario 10</v>
      </c>
      <c r="B661" s="2">
        <v>2025</v>
      </c>
      <c r="C661" t="str">
        <f>INDEX(Controller!$J$2:$J$11,MOD(INT((ROW()-2)/7),10)+1)</f>
        <v>elc_roadtransport</v>
      </c>
      <c r="D661" s="4"/>
      <c r="E661" t="str">
        <f t="shared" si="38"/>
        <v>Scenario 10|elc_roadtransport|2025</v>
      </c>
    </row>
    <row r="662" spans="1:5">
      <c r="A662" t="str">
        <f>INDEX(Controller!$H$2:$H$11,INT((ROW()-2)/70)+1)</f>
        <v>Scenario 10</v>
      </c>
      <c r="B662" s="2">
        <v>2030</v>
      </c>
      <c r="C662" t="str">
        <f>INDEX(Controller!$J$2:$J$11,MOD(INT((ROW()-2)/7),10)+1)</f>
        <v>elc_roadtransport</v>
      </c>
      <c r="D662" s="4"/>
      <c r="E662" t="str">
        <f t="shared" si="38"/>
        <v>Scenario 10|elc_roadtransport|2030</v>
      </c>
    </row>
    <row r="663" spans="1:5">
      <c r="A663" t="str">
        <f>INDEX(Controller!$H$2:$H$11,INT((ROW()-2)/70)+1)</f>
        <v>Scenario 10</v>
      </c>
      <c r="B663" s="2">
        <v>2035</v>
      </c>
      <c r="C663" t="str">
        <f>INDEX(Controller!$J$2:$J$11,MOD(INT((ROW()-2)/7),10)+1)</f>
        <v>elc_roadtransport</v>
      </c>
      <c r="D663" s="4"/>
      <c r="E663" t="str">
        <f t="shared" si="38"/>
        <v>Scenario 10|elc_roadtransport|2035</v>
      </c>
    </row>
    <row r="664" spans="1:5">
      <c r="A664" t="str">
        <f>INDEX(Controller!$H$2:$H$11,INT((ROW()-2)/70)+1)</f>
        <v>Scenario 10</v>
      </c>
      <c r="B664" s="2">
        <v>2040</v>
      </c>
      <c r="C664" t="str">
        <f>INDEX(Controller!$J$2:$J$11,MOD(INT((ROW()-2)/7),10)+1)</f>
        <v>elc_roadtransport</v>
      </c>
      <c r="D664" s="4"/>
      <c r="E664" t="str">
        <f t="shared" si="38"/>
        <v>Scenario 10|elc_roadtransport|2040</v>
      </c>
    </row>
    <row r="665" spans="1:5">
      <c r="A665" t="str">
        <f>INDEX(Controller!$H$2:$H$11,INT((ROW()-2)/70)+1)</f>
        <v>Scenario 10</v>
      </c>
      <c r="B665" s="2">
        <v>2045</v>
      </c>
      <c r="C665" t="str">
        <f>INDEX(Controller!$J$2:$J$11,MOD(INT((ROW()-2)/7),10)+1)</f>
        <v>elc_roadtransport</v>
      </c>
      <c r="D665" s="4"/>
      <c r="E665" t="str">
        <f t="shared" si="38"/>
        <v>Scenario 10|elc_roadtransport|2045</v>
      </c>
    </row>
    <row r="666" spans="1:5">
      <c r="A666" t="str">
        <f>INDEX(Controller!$H$2:$H$11,INT((ROW()-2)/70)+1)</f>
        <v>Scenario 10</v>
      </c>
      <c r="B666" s="2">
        <v>2050</v>
      </c>
      <c r="C666" t="str">
        <f>INDEX(Controller!$J$2:$J$11,MOD(INT((ROW()-2)/7),10)+1)</f>
        <v>elc_roadtransport</v>
      </c>
      <c r="D666" s="4"/>
      <c r="E666" t="str">
        <f t="shared" si="38"/>
        <v>Scenario 10|elc_roadtransport|2050</v>
      </c>
    </row>
    <row r="667" spans="1:5">
      <c r="A667" t="str">
        <f>INDEX(Controller!$H$2:$H$11,INT((ROW()-2)/70)+1)</f>
        <v>Scenario 10</v>
      </c>
      <c r="B667" s="2">
        <v>2022</v>
      </c>
      <c r="C667" t="str">
        <f>INDEX(Controller!$J$2:$J$11,MOD(INT((ROW()-2)/7),10)+1)</f>
        <v>het_industry</v>
      </c>
      <c r="D667" s="4"/>
      <c r="E667" t="str">
        <f t="shared" si="38"/>
        <v>Scenario 10|het_industry|2022</v>
      </c>
    </row>
    <row r="668" spans="1:5">
      <c r="A668" t="str">
        <f>INDEX(Controller!$H$2:$H$11,INT((ROW()-2)/70)+1)</f>
        <v>Scenario 10</v>
      </c>
      <c r="B668" s="2">
        <v>2025</v>
      </c>
      <c r="C668" t="str">
        <f>INDEX(Controller!$J$2:$J$11,MOD(INT((ROW()-2)/7),10)+1)</f>
        <v>het_industry</v>
      </c>
      <c r="D668" s="4"/>
      <c r="E668" t="str">
        <f t="shared" si="38"/>
        <v>Scenario 10|het_industry|2025</v>
      </c>
    </row>
    <row r="669" spans="1:5">
      <c r="A669" t="str">
        <f>INDEX(Controller!$H$2:$H$11,INT((ROW()-2)/70)+1)</f>
        <v>Scenario 10</v>
      </c>
      <c r="B669" s="2">
        <v>2030</v>
      </c>
      <c r="C669" t="str">
        <f>INDEX(Controller!$J$2:$J$11,MOD(INT((ROW()-2)/7),10)+1)</f>
        <v>het_industry</v>
      </c>
      <c r="D669" s="4"/>
      <c r="E669" t="str">
        <f t="shared" si="38"/>
        <v>Scenario 10|het_industry|2030</v>
      </c>
    </row>
    <row r="670" spans="1:5">
      <c r="A670" t="str">
        <f>INDEX(Controller!$H$2:$H$11,INT((ROW()-2)/70)+1)</f>
        <v>Scenario 10</v>
      </c>
      <c r="B670" s="2">
        <v>2035</v>
      </c>
      <c r="C670" t="str">
        <f>INDEX(Controller!$J$2:$J$11,MOD(INT((ROW()-2)/7),10)+1)</f>
        <v>het_industry</v>
      </c>
      <c r="D670" s="4"/>
      <c r="E670" t="str">
        <f t="shared" si="38"/>
        <v>Scenario 10|het_industry|2035</v>
      </c>
    </row>
    <row r="671" spans="1:5">
      <c r="A671" t="str">
        <f>INDEX(Controller!$H$2:$H$11,INT((ROW()-2)/70)+1)</f>
        <v>Scenario 10</v>
      </c>
      <c r="B671" s="2">
        <v>2040</v>
      </c>
      <c r="C671" t="str">
        <f>INDEX(Controller!$J$2:$J$11,MOD(INT((ROW()-2)/7),10)+1)</f>
        <v>het_industry</v>
      </c>
      <c r="D671" s="4"/>
      <c r="E671" t="str">
        <f t="shared" si="38"/>
        <v>Scenario 10|het_industry|2040</v>
      </c>
    </row>
    <row r="672" spans="1:5">
      <c r="A672" t="str">
        <f>INDEX(Controller!$H$2:$H$11,INT((ROW()-2)/70)+1)</f>
        <v>Scenario 10</v>
      </c>
      <c r="B672" s="2">
        <v>2045</v>
      </c>
      <c r="C672" t="str">
        <f>INDEX(Controller!$J$2:$J$11,MOD(INT((ROW()-2)/7),10)+1)</f>
        <v>het_industry</v>
      </c>
      <c r="D672" s="4"/>
      <c r="E672" t="str">
        <f t="shared" si="38"/>
        <v>Scenario 10|het_industry|2045</v>
      </c>
    </row>
    <row r="673" spans="1:5">
      <c r="A673" t="str">
        <f>INDEX(Controller!$H$2:$H$11,INT((ROW()-2)/70)+1)</f>
        <v>Scenario 10</v>
      </c>
      <c r="B673" s="2">
        <v>2050</v>
      </c>
      <c r="C673" t="str">
        <f>INDEX(Controller!$J$2:$J$11,MOD(INT((ROW()-2)/7),10)+1)</f>
        <v>het_industry</v>
      </c>
      <c r="D673" s="4"/>
      <c r="E673" t="str">
        <f t="shared" si="38"/>
        <v>Scenario 10|het_industry|2050</v>
      </c>
    </row>
    <row r="674" spans="1:5">
      <c r="A674" t="str">
        <f>INDEX(Controller!$H$2:$H$11,INT((ROW()-2)/70)+1)</f>
        <v>Scenario 10</v>
      </c>
      <c r="B674" s="2">
        <v>2022</v>
      </c>
      <c r="C674" t="str">
        <f>INDEX(Controller!$J$2:$J$11,MOD(INT((ROW()-2)/7),10)+1)</f>
        <v>het_buildings</v>
      </c>
      <c r="D674" s="4"/>
      <c r="E674" t="str">
        <f t="shared" si="38"/>
        <v>Scenario 10|het_buildings|2022</v>
      </c>
    </row>
    <row r="675" spans="1:5">
      <c r="A675" t="str">
        <f>INDEX(Controller!$H$2:$H$11,INT((ROW()-2)/70)+1)</f>
        <v>Scenario 10</v>
      </c>
      <c r="B675" s="2">
        <v>2025</v>
      </c>
      <c r="C675" t="str">
        <f>INDEX(Controller!$J$2:$J$11,MOD(INT((ROW()-2)/7),10)+1)</f>
        <v>het_buildings</v>
      </c>
      <c r="D675" s="4"/>
      <c r="E675" t="str">
        <f t="shared" si="38"/>
        <v>Scenario 10|het_buildings|2025</v>
      </c>
    </row>
    <row r="676" spans="1:5">
      <c r="A676" t="str">
        <f>INDEX(Controller!$H$2:$H$11,INT((ROW()-2)/70)+1)</f>
        <v>Scenario 10</v>
      </c>
      <c r="B676" s="2">
        <v>2030</v>
      </c>
      <c r="C676" t="str">
        <f>INDEX(Controller!$J$2:$J$11,MOD(INT((ROW()-2)/7),10)+1)</f>
        <v>het_buildings</v>
      </c>
      <c r="D676" s="4"/>
      <c r="E676" t="str">
        <f t="shared" si="38"/>
        <v>Scenario 10|het_buildings|2030</v>
      </c>
    </row>
    <row r="677" spans="1:5">
      <c r="A677" t="str">
        <f>INDEX(Controller!$H$2:$H$11,INT((ROW()-2)/70)+1)</f>
        <v>Scenario 10</v>
      </c>
      <c r="B677" s="2">
        <v>2035</v>
      </c>
      <c r="C677" t="str">
        <f>INDEX(Controller!$J$2:$J$11,MOD(INT((ROW()-2)/7),10)+1)</f>
        <v>het_buildings</v>
      </c>
      <c r="D677" s="4"/>
      <c r="E677" t="str">
        <f t="shared" si="38"/>
        <v>Scenario 10|het_buildings|2035</v>
      </c>
    </row>
    <row r="678" spans="1:5">
      <c r="A678" t="str">
        <f>INDEX(Controller!$H$2:$H$11,INT((ROW()-2)/70)+1)</f>
        <v>Scenario 10</v>
      </c>
      <c r="B678" s="2">
        <v>2040</v>
      </c>
      <c r="C678" t="str">
        <f>INDEX(Controller!$J$2:$J$11,MOD(INT((ROW()-2)/7),10)+1)</f>
        <v>het_buildings</v>
      </c>
      <c r="D678" s="4"/>
      <c r="E678" t="str">
        <f t="shared" si="38"/>
        <v>Scenario 10|het_buildings|2040</v>
      </c>
    </row>
    <row r="679" spans="1:5">
      <c r="A679" t="str">
        <f>INDEX(Controller!$H$2:$H$11,INT((ROW()-2)/70)+1)</f>
        <v>Scenario 10</v>
      </c>
      <c r="B679" s="2">
        <v>2045</v>
      </c>
      <c r="C679" t="str">
        <f>INDEX(Controller!$J$2:$J$11,MOD(INT((ROW()-2)/7),10)+1)</f>
        <v>het_buildings</v>
      </c>
      <c r="D679" s="4"/>
      <c r="E679" t="str">
        <f t="shared" si="38"/>
        <v>Scenario 10|het_buildings|2045</v>
      </c>
    </row>
    <row r="680" spans="1:5">
      <c r="A680" t="str">
        <f>INDEX(Controller!$H$2:$H$11,INT((ROW()-2)/70)+1)</f>
        <v>Scenario 10</v>
      </c>
      <c r="B680" s="2">
        <v>2050</v>
      </c>
      <c r="C680" t="str">
        <f>INDEX(Controller!$J$2:$J$11,MOD(INT((ROW()-2)/7),10)+1)</f>
        <v>het_buildings</v>
      </c>
      <c r="D680" s="4"/>
      <c r="E680" t="str">
        <f t="shared" si="38"/>
        <v>Scenario 10|het_buildings|2050</v>
      </c>
    </row>
    <row r="681" spans="1:5">
      <c r="A681" t="str">
        <f>INDEX(Controller!$H$2:$H$11,INT((ROW()-2)/70)+1)</f>
        <v>Scenario 10</v>
      </c>
      <c r="B681" s="2">
        <v>2022</v>
      </c>
      <c r="C681" t="str">
        <f>INDEX(Controller!$J$2:$J$11,MOD(INT((ROW()-2)/7),10)+1)</f>
        <v>co2net</v>
      </c>
      <c r="D681" s="4"/>
      <c r="E681" t="str">
        <f t="shared" si="38"/>
        <v>Scenario 10|co2net|2022</v>
      </c>
    </row>
    <row r="682" spans="1:5">
      <c r="A682" t="str">
        <f>INDEX(Controller!$H$2:$H$11,INT((ROW()-2)/70)+1)</f>
        <v>Scenario 10</v>
      </c>
      <c r="B682" s="2">
        <v>2025</v>
      </c>
      <c r="C682" t="str">
        <f>INDEX(Controller!$J$2:$J$11,MOD(INT((ROW()-2)/7),10)+1)</f>
        <v>co2net</v>
      </c>
      <c r="D682" s="4"/>
      <c r="E682" t="str">
        <f t="shared" si="38"/>
        <v>Scenario 10|co2net|2025</v>
      </c>
    </row>
    <row r="683" spans="1:5">
      <c r="A683" t="str">
        <f>INDEX(Controller!$H$2:$H$11,INT((ROW()-2)/70)+1)</f>
        <v>Scenario 10</v>
      </c>
      <c r="B683" s="2">
        <v>2030</v>
      </c>
      <c r="C683" t="str">
        <f>INDEX(Controller!$J$2:$J$11,MOD(INT((ROW()-2)/7),10)+1)</f>
        <v>co2net</v>
      </c>
      <c r="D683" s="4"/>
      <c r="E683" t="str">
        <f t="shared" si="38"/>
        <v>Scenario 10|co2net|2030</v>
      </c>
    </row>
    <row r="684" spans="1:5">
      <c r="A684" t="str">
        <f>INDEX(Controller!$H$2:$H$11,INT((ROW()-2)/70)+1)</f>
        <v>Scenario 10</v>
      </c>
      <c r="B684" s="2">
        <v>2035</v>
      </c>
      <c r="C684" t="str">
        <f>INDEX(Controller!$J$2:$J$11,MOD(INT((ROW()-2)/7),10)+1)</f>
        <v>co2net</v>
      </c>
      <c r="D684" s="4"/>
      <c r="E684" t="str">
        <f t="shared" si="38"/>
        <v>Scenario 10|co2net|2035</v>
      </c>
    </row>
    <row r="685" spans="1:5">
      <c r="A685" t="str">
        <f>INDEX(Controller!$H$2:$H$11,INT((ROW()-2)/70)+1)</f>
        <v>Scenario 10</v>
      </c>
      <c r="B685" s="2">
        <v>2040</v>
      </c>
      <c r="C685" t="str">
        <f>INDEX(Controller!$J$2:$J$11,MOD(INT((ROW()-2)/7),10)+1)</f>
        <v>co2net</v>
      </c>
      <c r="D685" s="4"/>
      <c r="E685" t="str">
        <f t="shared" si="38"/>
        <v>Scenario 10|co2net|2040</v>
      </c>
    </row>
    <row r="686" spans="1:5">
      <c r="A686" t="str">
        <f>INDEX(Controller!$H$2:$H$11,INT((ROW()-2)/70)+1)</f>
        <v>Scenario 10</v>
      </c>
      <c r="B686" s="2">
        <v>2045</v>
      </c>
      <c r="C686" t="str">
        <f>INDEX(Controller!$J$2:$J$11,MOD(INT((ROW()-2)/7),10)+1)</f>
        <v>co2net</v>
      </c>
      <c r="D686" s="4"/>
      <c r="E686" t="str">
        <f t="shared" si="38"/>
        <v>Scenario 10|co2net|2045</v>
      </c>
    </row>
    <row r="687" spans="1:5">
      <c r="A687" t="str">
        <f>INDEX(Controller!$H$2:$H$11,INT((ROW()-2)/70)+1)</f>
        <v>Scenario 10</v>
      </c>
      <c r="B687" s="2">
        <v>2050</v>
      </c>
      <c r="C687" t="str">
        <f>INDEX(Controller!$J$2:$J$11,MOD(INT((ROW()-2)/7),10)+1)</f>
        <v>co2net</v>
      </c>
      <c r="D687" s="4"/>
      <c r="E687" t="str">
        <f t="shared" si="38"/>
        <v>Scenario 10|co2net|2050</v>
      </c>
    </row>
    <row r="688" spans="1:5">
      <c r="A688" t="str">
        <f>INDEX(Controller!$H$2:$H$11,INT((ROW()-2)/70)+1)</f>
        <v>Scenario 10</v>
      </c>
      <c r="B688" s="2">
        <v>2022</v>
      </c>
      <c r="C688" t="str">
        <f>INDEX(Controller!$J$2:$J$11,MOD(INT((ROW()-2)/7),10)+1)</f>
        <v>Variable 9</v>
      </c>
      <c r="D688" s="4"/>
      <c r="E688" t="str">
        <f t="shared" si="38"/>
        <v>Scenario 10|Variable 9|2022</v>
      </c>
    </row>
    <row r="689" spans="1:5">
      <c r="A689" t="str">
        <f>INDEX(Controller!$H$2:$H$11,INT((ROW()-2)/70)+1)</f>
        <v>Scenario 10</v>
      </c>
      <c r="B689" s="2">
        <v>2025</v>
      </c>
      <c r="C689" t="str">
        <f>INDEX(Controller!$J$2:$J$11,MOD(INT((ROW()-2)/7),10)+1)</f>
        <v>Variable 9</v>
      </c>
      <c r="D689" s="4"/>
      <c r="E689" t="str">
        <f t="shared" si="38"/>
        <v>Scenario 10|Variable 9|2025</v>
      </c>
    </row>
    <row r="690" spans="1:5">
      <c r="A690" t="str">
        <f>INDEX(Controller!$H$2:$H$11,INT((ROW()-2)/70)+1)</f>
        <v>Scenario 10</v>
      </c>
      <c r="B690" s="2">
        <v>2030</v>
      </c>
      <c r="C690" t="str">
        <f>INDEX(Controller!$J$2:$J$11,MOD(INT((ROW()-2)/7),10)+1)</f>
        <v>Variable 9</v>
      </c>
      <c r="D690" s="4"/>
      <c r="E690" t="str">
        <f t="shared" si="38"/>
        <v>Scenario 10|Variable 9|2030</v>
      </c>
    </row>
    <row r="691" spans="1:5">
      <c r="A691" t="str">
        <f>INDEX(Controller!$H$2:$H$11,INT((ROW()-2)/70)+1)</f>
        <v>Scenario 10</v>
      </c>
      <c r="B691" s="2">
        <v>2035</v>
      </c>
      <c r="C691" t="str">
        <f>INDEX(Controller!$J$2:$J$11,MOD(INT((ROW()-2)/7),10)+1)</f>
        <v>Variable 9</v>
      </c>
      <c r="D691" s="4"/>
      <c r="E691" t="str">
        <f t="shared" si="38"/>
        <v>Scenario 10|Variable 9|2035</v>
      </c>
    </row>
    <row r="692" spans="1:5">
      <c r="A692" t="str">
        <f>INDEX(Controller!$H$2:$H$11,INT((ROW()-2)/70)+1)</f>
        <v>Scenario 10</v>
      </c>
      <c r="B692" s="2">
        <v>2040</v>
      </c>
      <c r="C692" t="str">
        <f>INDEX(Controller!$J$2:$J$11,MOD(INT((ROW()-2)/7),10)+1)</f>
        <v>Variable 9</v>
      </c>
      <c r="D692" s="4"/>
      <c r="E692" t="str">
        <f t="shared" si="38"/>
        <v>Scenario 10|Variable 9|2040</v>
      </c>
    </row>
    <row r="693" spans="1:5">
      <c r="A693" t="str">
        <f>INDEX(Controller!$H$2:$H$11,INT((ROW()-2)/70)+1)</f>
        <v>Scenario 10</v>
      </c>
      <c r="B693" s="2">
        <v>2045</v>
      </c>
      <c r="C693" t="str">
        <f>INDEX(Controller!$J$2:$J$11,MOD(INT((ROW()-2)/7),10)+1)</f>
        <v>Variable 9</v>
      </c>
      <c r="D693" s="4"/>
      <c r="E693" t="str">
        <f t="shared" si="38"/>
        <v>Scenario 10|Variable 9|2045</v>
      </c>
    </row>
    <row r="694" spans="1:5">
      <c r="A694" t="str">
        <f>INDEX(Controller!$H$2:$H$11,INT((ROW()-2)/70)+1)</f>
        <v>Scenario 10</v>
      </c>
      <c r="B694" s="2">
        <v>2050</v>
      </c>
      <c r="C694" t="str">
        <f>INDEX(Controller!$J$2:$J$11,MOD(INT((ROW()-2)/7),10)+1)</f>
        <v>Variable 9</v>
      </c>
      <c r="D694" s="4"/>
      <c r="E694" t="str">
        <f t="shared" si="38"/>
        <v>Scenario 10|Variable 9|2050</v>
      </c>
    </row>
    <row r="695" spans="1:5">
      <c r="A695" t="str">
        <f>INDEX(Controller!$H$2:$H$11,INT((ROW()-2)/70)+1)</f>
        <v>Scenario 10</v>
      </c>
      <c r="B695" s="2">
        <v>2022</v>
      </c>
      <c r="C695" t="str">
        <f>INDEX(Controller!$J$2:$J$11,MOD(INT((ROW()-2)/7),10)+1)</f>
        <v>Variable 10</v>
      </c>
      <c r="D695" s="4"/>
      <c r="E695" t="str">
        <f t="shared" si="38"/>
        <v>Scenario 10|Variable 10|2022</v>
      </c>
    </row>
    <row r="696" spans="1:5">
      <c r="A696" t="str">
        <f>INDEX(Controller!$H$2:$H$11,INT((ROW()-2)/70)+1)</f>
        <v>Scenario 10</v>
      </c>
      <c r="B696" s="2">
        <v>2025</v>
      </c>
      <c r="C696" t="str">
        <f>INDEX(Controller!$J$2:$J$11,MOD(INT((ROW()-2)/7),10)+1)</f>
        <v>Variable 10</v>
      </c>
      <c r="D696" s="4"/>
      <c r="E696" t="str">
        <f t="shared" si="38"/>
        <v>Scenario 10|Variable 10|2025</v>
      </c>
    </row>
    <row r="697" spans="1:5">
      <c r="A697" t="str">
        <f>INDEX(Controller!$H$2:$H$11,INT((ROW()-2)/70)+1)</f>
        <v>Scenario 10</v>
      </c>
      <c r="B697" s="2">
        <v>2030</v>
      </c>
      <c r="C697" t="str">
        <f>INDEX(Controller!$J$2:$J$11,MOD(INT((ROW()-2)/7),10)+1)</f>
        <v>Variable 10</v>
      </c>
      <c r="D697" s="4"/>
      <c r="E697" t="str">
        <f t="shared" si="38"/>
        <v>Scenario 10|Variable 10|2030</v>
      </c>
    </row>
    <row r="698" spans="1:5">
      <c r="A698" t="str">
        <f>INDEX(Controller!$H$2:$H$11,INT((ROW()-2)/70)+1)</f>
        <v>Scenario 10</v>
      </c>
      <c r="B698" s="2">
        <v>2035</v>
      </c>
      <c r="C698" t="str">
        <f>INDEX(Controller!$J$2:$J$11,MOD(INT((ROW()-2)/7),10)+1)</f>
        <v>Variable 10</v>
      </c>
      <c r="D698" s="4"/>
      <c r="E698" t="str">
        <f t="shared" si="38"/>
        <v>Scenario 10|Variable 10|2035</v>
      </c>
    </row>
    <row r="699" spans="1:5">
      <c r="A699" t="str">
        <f>INDEX(Controller!$H$2:$H$11,INT((ROW()-2)/70)+1)</f>
        <v>Scenario 10</v>
      </c>
      <c r="B699" s="2">
        <v>2040</v>
      </c>
      <c r="C699" t="str">
        <f>INDEX(Controller!$J$2:$J$11,MOD(INT((ROW()-2)/7),10)+1)</f>
        <v>Variable 10</v>
      </c>
      <c r="D699" s="4"/>
      <c r="E699" t="str">
        <f t="shared" si="38"/>
        <v>Scenario 10|Variable 10|2040</v>
      </c>
    </row>
    <row r="700" spans="1:5">
      <c r="A700" t="str">
        <f>INDEX(Controller!$H$2:$H$11,INT((ROW()-2)/70)+1)</f>
        <v>Scenario 10</v>
      </c>
      <c r="B700" s="2">
        <v>2045</v>
      </c>
      <c r="C700" t="str">
        <f>INDEX(Controller!$J$2:$J$11,MOD(INT((ROW()-2)/7),10)+1)</f>
        <v>Variable 10</v>
      </c>
      <c r="D700" s="4"/>
      <c r="E700" t="str">
        <f t="shared" si="38"/>
        <v>Scenario 10|Variable 10|2045</v>
      </c>
    </row>
    <row r="701" spans="1:5">
      <c r="A701" t="str">
        <f>INDEX(Controller!$H$2:$H$11,INT((ROW()-2)/70)+1)</f>
        <v>Scenario 10</v>
      </c>
      <c r="B701" s="2">
        <v>2050</v>
      </c>
      <c r="C701" t="str">
        <f>INDEX(Controller!$J$2:$J$11,MOD(INT((ROW()-2)/7),10)+1)</f>
        <v>Variable 10</v>
      </c>
      <c r="D701" s="4"/>
      <c r="E701" t="str">
        <f t="shared" si="38"/>
        <v>Scenario 10|Variable 10|2050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48335-8530-473F-BF76-67EDDB11BA78}">
  <dimension ref="A3:C5"/>
  <sheetViews>
    <sheetView zoomScale="115" zoomScaleNormal="115" workbookViewId="0">
      <selection activeCell="A4" sqref="A4"/>
    </sheetView>
  </sheetViews>
  <sheetFormatPr defaultRowHeight="13.8"/>
  <sheetData>
    <row r="3" spans="1:3">
      <c r="A3" t="s">
        <v>107</v>
      </c>
    </row>
    <row r="4" spans="1:3">
      <c r="A4" t="s">
        <v>102</v>
      </c>
      <c r="B4" t="s">
        <v>103</v>
      </c>
      <c r="C4" t="s">
        <v>104</v>
      </c>
    </row>
    <row r="5" spans="1:3">
      <c r="A5" t="s">
        <v>105</v>
      </c>
      <c r="B5">
        <v>2100</v>
      </c>
      <c r="C5" t="s">
        <v>106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Controller</vt:lpstr>
      <vt:lpstr>VEDA</vt:lpstr>
      <vt:lpstr>Scenario_View</vt:lpstr>
      <vt:lpstr>CO2_t</vt:lpstr>
      <vt:lpstr>Prices</vt:lpstr>
      <vt:lpstr>Data</vt:lpstr>
      <vt:lpstr>Sheet4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Rocco De Miglio</cp:lastModifiedBy>
  <dcterms:modified xsi:type="dcterms:W3CDTF">2026-09-01T12:05:09Z</dcterms:modified>
</cp:coreProperties>
</file>