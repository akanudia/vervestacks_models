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DB42E6A0-F271-4F21-916A-7657AEAB3C53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48" i="1" s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F46" i="1"/>
  <c r="G46" i="1"/>
  <c r="J46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J50" i="1"/>
  <c r="T24" i="1" l="1"/>
  <c r="P24" i="1"/>
  <c r="P25" i="1"/>
  <c r="R24" i="1"/>
  <c r="R25" i="1"/>
  <c r="S24" i="1"/>
  <c r="S25" i="1"/>
  <c r="U24" i="1"/>
  <c r="U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<sst xmlns="http://schemas.openxmlformats.org/spreadsheetml/2006/main" count="1689" uniqueCount="109">
  <si>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</si>
  <si>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</si>
  <si>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</si>
  <si>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</si>
  <si>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</si>
  <si>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</si>
  <si>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</si>
  <si>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</si>
  <si>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</si>
  <si>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</si>
  <si>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</si>
  <si>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</si>
  <si>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</si>
  <si>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</si>
  <si>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</si>
  <si>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</si>
  <si>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</si>
  <si>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</si>
  <si>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</si>
  <si>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</si>
  <si>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</si>
  <si>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</si>
  <si>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</si>
  <si>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</si>
  <si>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</si>
  <si>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</si>
  <si>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</si>
  <si>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</si>
  <si>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</si>
  <si>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</si>
  <si>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</si>
  <si>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</si>
  <si>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</si>
  <si>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</si>
  <si>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</si>
  <si>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</si>
  <si>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</si>
  <si>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</si>
  <si>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</si>
  <si>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</si>
  <si>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</si>
  <si>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</si>
  <si>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</si>
  <si>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</si>
  <si>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</si>
  <si>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</si>
  <si>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</si>
  <si>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</si>
  <si>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</si>
  <si>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</si>
  <si>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</si>
  <si>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</si>
  <si>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</si>
  <si>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</si>
  <si>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</si>
  <si>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</si>
  <si>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</si>
  <si>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</si>
  <si>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</si>
  <si>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</si>
  <si>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</si>
  <si>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</si>
  <si>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</si>
  <si>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</si>
  <si>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</si>
  <si>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</si>
  <si>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</si>
  <si>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</si>
  <si>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</si>
  <si>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</si>
  <si>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</si>
  <si>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</si>
  <si>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</si>
  <si>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</si>
  <si>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</si>
  <si>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</si>
  <si>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</si>
  <si>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</si>
  <si>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</si>
  <si>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</si>
  <si>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</si>
  <si>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</si>
  <si>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</si>
  <si>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</si>
  <si>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</si>
  <si>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</si>
  <si>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</si>
  <si>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</si>
  <si>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</si>
  <si>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</si>
  <si>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</si>
  <si>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</si>
  <si>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</si>
  <si>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</si>
  <si>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</si>
  <si>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</si>
  <si>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</si>
  <si>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</si>
  <si>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</si>
  <si>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</si>
  <si>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1-8</t>
  </si>
  <si>
    <t>chp_heat_twh</t>
  </si>
  <si>
    <t>heat_industry_twh</t>
  </si>
  <si>
    <t>heat_buildings_twh</t>
  </si>
  <si>
    <t>het_industry</t>
  </si>
  <si>
    <t>het_buildings</t>
  </si>
  <si>
    <t>~tfm_ins-ts: region=POL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</si>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</sst>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176.97</c:v>
                </c:pt>
                <c:pt idx="1">
                  <c:v>185.8185</c:v>
                </c:pt>
                <c:pt idx="2">
                  <c:v>207.05489999999998</c:v>
                </c:pt>
                <c:pt idx="3">
                  <c:v>228.29130000000001</c:v>
                </c:pt>
                <c:pt idx="4">
                  <c:v>251.29739999999998</c:v>
                </c:pt>
                <c:pt idx="5">
                  <c:v>281.38229999999999</c:v>
                </c:pt>
                <c:pt idx="6">
                  <c:v>306.15809999999999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100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98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176.97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9.7690000000000001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55.512999999999998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176.97</v>
      </c>
      <c r="P15" s="8">
        <f t="shared" ref="P15:U15" si="0">$N$11*E15</f>
        <v>185.8185</v>
      </c>
      <c r="Q15" s="8">
        <f t="shared" si="0"/>
        <v>207.05489999999998</v>
      </c>
      <c r="R15" s="8">
        <f t="shared" si="0"/>
        <v>228.29130000000001</v>
      </c>
      <c r="S15" s="8">
        <f t="shared" si="0"/>
        <v>251.29739999999998</v>
      </c>
      <c r="T15" s="8">
        <f t="shared" si="0"/>
        <v>281.38229999999999</v>
      </c>
      <c r="U15" s="8">
        <f t="shared" si="0"/>
        <v>306.15809999999999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6">
      <c r="N17" s="5" t="str">
        <f>"~TFM_INS-TS: region="&amp;$A$1</f>
        <v>~TFM_INS-TS: region=POL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65.478899999999996</v>
      </c>
      <c r="P20" s="6">
        <f t="shared" si="2"/>
        <v>65.036474999999996</v>
      </c>
      <c r="Q20" s="6">
        <f t="shared" si="2"/>
        <v>70.398665999999992</v>
      </c>
      <c r="R20" s="6">
        <f t="shared" si="2"/>
        <v>75.336129</v>
      </c>
      <c r="S20" s="6">
        <f t="shared" si="2"/>
        <v>75.389219999999995</v>
      </c>
      <c r="T20" s="6">
        <f t="shared" si="2"/>
        <v>81.600866999999994</v>
      </c>
      <c r="U20" s="6">
        <f t="shared" si="2"/>
        <v>91.847429999999989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104.41229999999999</v>
      </c>
      <c r="P21" s="6">
        <f t="shared" si="2"/>
        <v>109.632915</v>
      </c>
      <c r="Q21" s="6">
        <f t="shared" si="2"/>
        <v>122.16239099999999</v>
      </c>
      <c r="R21" s="6">
        <f t="shared" si="2"/>
        <v>132.40895399999999</v>
      </c>
      <c r="S21" s="6">
        <f t="shared" si="2"/>
        <v>145.75249199999999</v>
      </c>
      <c r="T21" s="6">
        <f t="shared" si="2"/>
        <v>157.57408800000002</v>
      </c>
      <c r="U21" s="6">
        <f t="shared" si="2"/>
        <v>165.32537400000001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5.3090999999999999</v>
      </c>
      <c r="P22" s="6">
        <f t="shared" ref="P22:U22" si="3">O22</f>
        <v>5.3090999999999999</v>
      </c>
      <c r="Q22" s="6">
        <f t="shared" si="3"/>
        <v>5.3090999999999999</v>
      </c>
      <c r="R22" s="6">
        <f t="shared" si="3"/>
        <v>5.3090999999999999</v>
      </c>
      <c r="S22" s="6">
        <f t="shared" si="3"/>
        <v>5.3090999999999999</v>
      </c>
      <c r="T22" s="6">
        <f t="shared" si="3"/>
        <v>5.3090999999999999</v>
      </c>
      <c r="U22" s="6">
        <f t="shared" si="3"/>
        <v>5.3090999999999999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1.7697000000000287</v>
      </c>
      <c r="P23" s="6">
        <f t="shared" si="4"/>
        <v>5.8400100000000066</v>
      </c>
      <c r="Q23" s="6">
        <f t="shared" si="4"/>
        <v>9.1847429999999974</v>
      </c>
      <c r="R23" s="6">
        <f t="shared" si="4"/>
        <v>15.237117000000012</v>
      </c>
      <c r="S23" s="6">
        <f t="shared" si="4"/>
        <v>24.846587999999997</v>
      </c>
      <c r="T23" s="6">
        <f t="shared" si="4"/>
        <v>36.898244999999974</v>
      </c>
      <c r="U23" s="6">
        <f t="shared" si="4"/>
        <v>43.676196000000004</v>
      </c>
      <c r="V23" t="s">
        <v>16</v>
      </c>
    </row>
    <row r="24" spans="2:24" x14ac:dyDescent="0.45">
      <c r="N24" s="18" t="s">
        <v>104</v>
      </c>
      <c r="O24" s="19">
        <f>N12</f>
        <v>9.7690000000000001</v>
      </c>
      <c r="P24" s="20">
        <f>$N$12*E16</f>
        <v>9.57362</v>
      </c>
      <c r="Q24" s="20">
        <f>$N$12*F16</f>
        <v>9.3782399999999999</v>
      </c>
      <c r="R24" s="20">
        <f t="shared" ref="R24:U24" si="5">$N$12*G16</f>
        <v>8.9874799999999997</v>
      </c>
      <c r="S24" s="20">
        <f t="shared" si="5"/>
        <v>8.2059599999999993</v>
      </c>
      <c r="T24" s="20">
        <f t="shared" si="5"/>
        <v>8.1082699999999992</v>
      </c>
      <c r="U24" s="20">
        <f t="shared" si="5"/>
        <v>7.8152000000000008</v>
      </c>
      <c r="V24" s="18" t="s">
        <v>16</v>
      </c>
    </row>
    <row r="25" spans="2:24" x14ac:dyDescent="0.45">
      <c r="N25" s="18" t="s">
        <v>105</v>
      </c>
      <c r="O25" s="19">
        <f>N13</f>
        <v>55.512999999999998</v>
      </c>
      <c r="P25" s="20">
        <f>$N$13*E16</f>
        <v>54.402739999999994</v>
      </c>
      <c r="Q25" s="20">
        <f t="shared" ref="Q25:U25" si="6">$N$13*F16</f>
        <v>53.292479999999998</v>
      </c>
      <c r="R25" s="20">
        <f t="shared" si="6"/>
        <v>51.071959999999997</v>
      </c>
      <c r="S25" s="20">
        <f t="shared" si="6"/>
        <v>46.630919999999996</v>
      </c>
      <c r="T25" s="20">
        <f t="shared" si="6"/>
        <v>46.075789999999998</v>
      </c>
      <c r="U25" s="20">
        <f t="shared" si="6"/>
        <v>44.410400000000003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region=POL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15.24</v>
      </c>
      <c r="N30" t="s">
        <v>30</v>
      </c>
      <c r="O30" s="3">
        <f>L30</f>
        <v>15.24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16.91</v>
      </c>
      <c r="N31" t="s">
        <v>33</v>
      </c>
      <c r="O31" s="3">
        <f>ABS(L31)</f>
        <v>16.91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649999999999999" thickBot="1" x14ac:dyDescent="0.6">
      <c r="B45" s="5" t="str">
        <f>"~TFM_INS-TS: region="&amp;$A$1&amp;"; attribute=flo_cost;pset_pn=-IMP*Z"</f>
        <v>~TFM_INS-TS: region=POL;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12.2</v>
      </c>
      <c r="E48">
        <f t="shared" si="9"/>
        <v>12.443999999999999</v>
      </c>
      <c r="F48">
        <f t="shared" si="9"/>
        <v>12.932</v>
      </c>
      <c r="G48">
        <f t="shared" si="9"/>
        <v>13.054</v>
      </c>
      <c r="H48">
        <f t="shared" si="9"/>
        <v>13.176</v>
      </c>
      <c r="I48">
        <f t="shared" si="9"/>
        <v>13.42</v>
      </c>
      <c r="J48">
        <f t="shared" si="9"/>
        <v>13.664</v>
      </c>
      <c r="M48">
        <f>HLOOKUP($B48&amp;"_"&amp;M$46,fuel_prices!$B$10:$I$100,MATCH($A$1,fuel_prices!$A$10:$A$100,0),FALSE)</f>
        <v>10.7</v>
      </c>
      <c r="N48">
        <f>HLOOKUP($B48&amp;"_"&amp;N$46,fuel_prices!$B$10:$I$100,MATCH($A$1,fuel_prices!$A$10:$A$100,0),FALSE)</f>
        <v>13.7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26</v>
      </c>
      <c r="J50">
        <f>VLOOKUP($C$15,$AF$9:$AH$16,3,FALSE)*D50</f>
        <v>78</v>
      </c>
      <c r="M50">
        <f>HLOOKUP($B50&amp;"_"&amp;M$46,fuel_prices!$B$10:$I$100,MATCH($A$1,fuel_prices!$A$10:$A$100,0),FALSE)</f>
        <v>22</v>
      </c>
      <c r="N50">
        <f>HLOOKUP($B50&amp;"_"&amp;N$46,fuel_prices!$B$10:$I$100,MATCH($A$1,fuel_prices!$A$10:$A$100,0),FALSE)</f>
        <v>30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1.4550000000000001</v>
      </c>
      <c r="D56">
        <v>1.881</v>
      </c>
      <c r="E56">
        <v>1.881</v>
      </c>
      <c r="F56" t="s">
        <v>108</v>
      </c>
    </row>
    <row r="57" spans="1:14" x14ac:dyDescent="0.45">
      <c r="A57" t="s">
        <v>30</v>
      </c>
      <c r="B57" t="s">
        <v>107</v>
      </c>
      <c r="C57">
        <v>1.8</v>
      </c>
      <c r="D57">
        <v>3.3</v>
      </c>
      <c r="E57">
        <v>3.3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98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101</v>
      </c>
      <c r="K10" t="s">
        <v>97</v>
      </c>
      <c r="L10" t="s">
        <v>102</v>
      </c>
      <c r="M10" t="s">
        <v>103</v>
      </c>
    </row>
    <row r="11" spans="1:13" x14ac:dyDescent="0.45">
      <c r="A11" t="s">
        <v>98</v>
      </c>
      <c r="B11">
        <v>2015</v>
      </c>
      <c r="C11">
        <v>58.76</v>
      </c>
      <c r="D11">
        <v>75.23</v>
      </c>
      <c r="E11">
        <v>3.09</v>
      </c>
      <c r="F11">
        <v>0.02</v>
      </c>
      <c r="G11">
        <v>14.46</v>
      </c>
      <c r="H11">
        <v>14.79</v>
      </c>
      <c r="I11">
        <v>164.23</v>
      </c>
      <c r="J11">
        <v>51.51</v>
      </c>
      <c r="K11">
        <v>63.417000000000002</v>
      </c>
      <c r="L11">
        <v>7.577</v>
      </c>
      <c r="M11">
        <v>55.84</v>
      </c>
    </row>
    <row r="12" spans="1:13" x14ac:dyDescent="0.45">
      <c r="A12" t="s">
        <v>98</v>
      </c>
      <c r="B12">
        <v>2016</v>
      </c>
      <c r="C12">
        <v>61.61</v>
      </c>
      <c r="D12">
        <v>78.34</v>
      </c>
      <c r="E12">
        <v>3.26</v>
      </c>
      <c r="F12">
        <v>0.02</v>
      </c>
      <c r="G12">
        <v>14.02</v>
      </c>
      <c r="H12">
        <v>12.02</v>
      </c>
      <c r="I12">
        <v>166.1</v>
      </c>
      <c r="J12">
        <v>52.508000000000003</v>
      </c>
      <c r="K12">
        <v>65.775999999999996</v>
      </c>
      <c r="L12">
        <v>7.8079999999999998</v>
      </c>
      <c r="M12">
        <v>57.968000000000004</v>
      </c>
    </row>
    <row r="13" spans="1:13" x14ac:dyDescent="0.45">
      <c r="A13" t="s">
        <v>98</v>
      </c>
      <c r="B13">
        <v>2017</v>
      </c>
      <c r="C13">
        <v>66.400000000000006</v>
      </c>
      <c r="D13">
        <v>77.92</v>
      </c>
      <c r="E13">
        <v>3.3</v>
      </c>
      <c r="F13">
        <v>0.03</v>
      </c>
      <c r="G13">
        <v>13.27</v>
      </c>
      <c r="H13">
        <v>10.98</v>
      </c>
      <c r="I13">
        <v>169.94</v>
      </c>
      <c r="J13">
        <v>54.637999999999998</v>
      </c>
      <c r="K13">
        <v>67.507000000000005</v>
      </c>
      <c r="L13">
        <v>8.2490000000000006</v>
      </c>
      <c r="M13">
        <v>59.258000000000003</v>
      </c>
    </row>
    <row r="14" spans="1:13" x14ac:dyDescent="0.45">
      <c r="A14" t="s">
        <v>98</v>
      </c>
      <c r="B14">
        <v>2018</v>
      </c>
      <c r="C14">
        <v>71.209999999999994</v>
      </c>
      <c r="D14">
        <v>80.58</v>
      </c>
      <c r="E14">
        <v>3.44</v>
      </c>
      <c r="F14">
        <v>0.03</v>
      </c>
      <c r="G14">
        <v>13.82</v>
      </c>
      <c r="H14">
        <v>8.1199999999999992</v>
      </c>
      <c r="I14">
        <v>169.56</v>
      </c>
      <c r="J14">
        <v>53.701000000000001</v>
      </c>
      <c r="K14">
        <v>65.034000000000006</v>
      </c>
      <c r="L14">
        <v>9.5869999999999997</v>
      </c>
      <c r="M14">
        <v>55.447000000000003</v>
      </c>
    </row>
    <row r="15" spans="1:13" x14ac:dyDescent="0.45">
      <c r="A15" t="s">
        <v>98</v>
      </c>
      <c r="B15">
        <v>2019</v>
      </c>
      <c r="C15">
        <v>73.83</v>
      </c>
      <c r="D15">
        <v>80.319999999999993</v>
      </c>
      <c r="E15">
        <v>3.38</v>
      </c>
      <c r="F15">
        <v>0.03</v>
      </c>
      <c r="G15">
        <v>17.87</v>
      </c>
      <c r="H15">
        <v>7.25</v>
      </c>
      <c r="I15">
        <v>163.22</v>
      </c>
      <c r="J15">
        <v>52.756999999999998</v>
      </c>
      <c r="K15">
        <v>64.430000000000007</v>
      </c>
      <c r="L15">
        <v>9.6519999999999992</v>
      </c>
      <c r="M15">
        <v>54.777999999999999</v>
      </c>
    </row>
    <row r="16" spans="1:13" x14ac:dyDescent="0.45">
      <c r="A16" t="s">
        <v>98</v>
      </c>
      <c r="B16">
        <v>2020</v>
      </c>
      <c r="C16">
        <v>73.010000000000005</v>
      </c>
      <c r="D16">
        <v>79.84</v>
      </c>
      <c r="E16">
        <v>3.1</v>
      </c>
      <c r="F16">
        <v>7.0000000000000007E-2</v>
      </c>
      <c r="G16">
        <v>20.62</v>
      </c>
      <c r="H16">
        <v>7.36</v>
      </c>
      <c r="I16">
        <v>157.13</v>
      </c>
      <c r="J16">
        <v>51.826999999999998</v>
      </c>
      <c r="K16">
        <v>65.027000000000001</v>
      </c>
      <c r="L16">
        <v>9.8190000000000008</v>
      </c>
      <c r="M16">
        <v>55.207999999999998</v>
      </c>
    </row>
    <row r="17" spans="1:13" x14ac:dyDescent="0.45">
      <c r="A17" t="s">
        <v>98</v>
      </c>
      <c r="B17">
        <v>2021</v>
      </c>
      <c r="C17">
        <v>75.22</v>
      </c>
      <c r="D17">
        <v>83.99</v>
      </c>
      <c r="E17">
        <v>3.33</v>
      </c>
      <c r="F17">
        <v>0.06</v>
      </c>
      <c r="G17">
        <v>15.1</v>
      </c>
      <c r="H17">
        <v>14.21</v>
      </c>
      <c r="I17">
        <v>178.79</v>
      </c>
      <c r="J17">
        <v>54.496000000000002</v>
      </c>
      <c r="K17">
        <v>69.337999999999994</v>
      </c>
      <c r="L17">
        <v>10.542</v>
      </c>
      <c r="M17">
        <v>58.795999999999999</v>
      </c>
    </row>
    <row r="18" spans="1:13" x14ac:dyDescent="0.45">
      <c r="A18" t="s">
        <v>98</v>
      </c>
      <c r="B18">
        <v>2022</v>
      </c>
      <c r="C18">
        <v>75.180000000000007</v>
      </c>
      <c r="D18">
        <v>83.17</v>
      </c>
      <c r="E18">
        <v>3.34</v>
      </c>
      <c r="F18">
        <v>0.17</v>
      </c>
      <c r="G18">
        <v>15.24</v>
      </c>
      <c r="H18">
        <v>16.91</v>
      </c>
      <c r="I18">
        <v>178.64</v>
      </c>
      <c r="J18">
        <v>50.323999999999998</v>
      </c>
      <c r="K18">
        <v>65.281999999999996</v>
      </c>
      <c r="L18">
        <v>9.7690000000000001</v>
      </c>
      <c r="M18">
        <v>55.512999999999998</v>
      </c>
    </row>
    <row r="19" spans="1:13" x14ac:dyDescent="0.45">
      <c r="A19" t="s">
        <v>98</v>
      </c>
      <c r="B19">
        <v>2023</v>
      </c>
      <c r="C19">
        <v>76.92</v>
      </c>
      <c r="D19">
        <v>79.83</v>
      </c>
      <c r="E19">
        <v>3.5</v>
      </c>
      <c r="F19">
        <v>0.23</v>
      </c>
      <c r="G19">
        <v>15.14</v>
      </c>
      <c r="H19">
        <v>11.4</v>
      </c>
      <c r="I19">
        <v>165.99</v>
      </c>
      <c r="J19">
        <v>49.042999999999999</v>
      </c>
      <c r="K19">
        <v>60.381</v>
      </c>
      <c r="L19">
        <v>8.3460000000000001</v>
      </c>
      <c r="M19">
        <v>52.034999999999997</v>
      </c>
    </row>
    <row r="20" spans="1:13" x14ac:dyDescent="0.45">
      <c r="A20" t="s">
        <v>98</v>
      </c>
      <c r="B20">
        <v>2024</v>
      </c>
      <c r="C20">
        <v>84.11</v>
      </c>
      <c r="D20">
        <v>82.19</v>
      </c>
      <c r="E20">
        <v>3.57</v>
      </c>
      <c r="F20">
        <v>0.37</v>
      </c>
      <c r="G20">
        <v>15.21</v>
      </c>
      <c r="H20">
        <v>13.25</v>
      </c>
      <c r="I20">
        <v>171.32</v>
      </c>
      <c r="J20">
        <v>47.503</v>
      </c>
      <c r="K20">
        <v>57.613999999999997</v>
      </c>
      <c r="L20">
        <v>8.0820000000000007</v>
      </c>
      <c r="M20">
        <v>49.531999999999996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2026-09-06T18:12:23Z</dcterms:modified>
</cp:coreProperties>
</file>