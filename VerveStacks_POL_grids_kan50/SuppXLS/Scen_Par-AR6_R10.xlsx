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ppXLS\"/>
    </mc:Choice>
  </mc:AlternateContent>
  <xr:revisionPtr revIDLastSave="0" documentId="13_ncr:1_{4D60EFBD-B462-4F8C-B984-22F9B1C50A19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39" i="1"/>
  <c r="E47" i="1" s="1"/>
  <c r="E42" i="1"/>
  <c r="E41" i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E49" i="1"/>
  <c r="F46" i="1"/>
  <c r="G46" i="1"/>
  <c r="J46" i="1"/>
  <c r="E48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Q24" i="1"/>
  <c r="J50" i="1"/>
  <c r="T24" i="1" l="1"/>
  <c r="S24" i="1"/>
  <c r="S25" i="1"/>
  <c r="P24" i="1"/>
  <c r="P25" i="1"/>
  <c r="R24" i="1"/>
  <c r="R25" i="1"/>
  <c r="U24" i="1"/>
  <c r="U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<sst xmlns="http://schemas.openxmlformats.org/spreadsheetml/2006/main" count="1689" uniqueCount="109">
  <si>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</si>
  <si>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</si>
  <si>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</si>
  <si>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</si>
  <si>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</si>
  <si>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</si>
  <si>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</si>
  <si>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</si>
  <si>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</si>
  <si>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</si>
  <si>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</si>
  <si>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</si>
  <si>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</si>
  <si>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</si>
  <si>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</si>
  <si>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</si>
  <si>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</si>
  <si>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</si>
  <si>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</si>
  <si>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</si>
  <si>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</si>
  <si>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</si>
  <si>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</si>
  <si>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</si>
  <si>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</si>
  <si>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</si>
  <si>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</si>
  <si>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</si>
  <si>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</si>
  <si>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</si>
  <si>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</si>
  <si>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</si>
  <si>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</si>
  <si>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</si>
  <si>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</si>
  <si>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</si>
  <si>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</si>
  <si>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</si>
  <si>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</si>
  <si>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</si>
  <si>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</si>
  <si>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</si>
  <si>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</si>
  <si>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</si>
  <si>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</si>
  <si>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</si>
  <si>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</si>
  <si>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</si>
  <si>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</si>
  <si>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</si>
  <si>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</si>
  <si>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</si>
  <si>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</si>
  <si>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</si>
  <si>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</si>
  <si>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</si>
  <si>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</si>
  <si>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</si>
  <si>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</si>
  <si>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</si>
  <si>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</si>
  <si>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</si>
  <si>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</si>
  <si>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</si>
  <si>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</si>
  <si>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</si>
  <si>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</si>
  <si>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</si>
  <si>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</si>
  <si>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</si>
  <si>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</si>
  <si>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</si>
  <si>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</si>
  <si>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</si>
  <si>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</si>
  <si>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</si>
  <si>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</si>
  <si>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</si>
  <si>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</si>
  <si>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</si>
  <si>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</si>
  <si>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</si>
  <si>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</si>
  <si>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</si>
  <si>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</si>
  <si>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</si>
  <si>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</si>
  <si>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</si>
  <si>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</si>
  <si>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</si>
  <si>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</si>
  <si>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</si>
  <si>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</si>
  <si>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R10EUROPE</t>
  </si>
  <si>
    <t>Heat growth relative to 2020</t>
  </si>
  <si>
    <t>base</t>
  </si>
  <si>
    <t>co2price</t>
  </si>
  <si>
    <t>heat_tfc_twh</t>
  </si>
  <si>
    <t>POL</t>
  </si>
  <si>
    <t>Pipeline gas, coal &amp; forest resources</t>
  </si>
  <si>
    <t>1-8</t>
  </si>
  <si>
    <t>chp_heat_twh</t>
  </si>
  <si>
    <t>heat_industry_twh</t>
  </si>
  <si>
    <t>heat_buildings_twh</t>
  </si>
  <si>
    <t>het_industry</t>
  </si>
  <si>
    <t>het_buildings</t>
  </si>
  <si>
    <t>~tfm_ins-ts: region=POL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</si>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</sst>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176.97</c:v>
                </c:pt>
                <c:pt idx="1">
                  <c:v>185.8185</c:v>
                </c:pt>
                <c:pt idx="2">
                  <c:v>207.05489999999998</c:v>
                </c:pt>
                <c:pt idx="3">
                  <c:v>228.29130000000001</c:v>
                </c:pt>
                <c:pt idx="4">
                  <c:v>251.29739999999998</c:v>
                </c:pt>
                <c:pt idx="5">
                  <c:v>281.38229999999999</c:v>
                </c:pt>
                <c:pt idx="6">
                  <c:v>306.15809999999999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100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96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95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95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95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95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98</v>
      </c>
      <c r="B1" s="16"/>
    </row>
    <row r="2" spans="1:34" x14ac:dyDescent="0.45">
      <c r="A2" s="15" t="s">
        <v>93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95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176.97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9.7690000000000001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55.512999999999998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176.97</v>
      </c>
      <c r="P15" s="8">
        <f t="shared" ref="P15:U15" si="0">$N$11*E15</f>
        <v>185.8185</v>
      </c>
      <c r="Q15" s="8">
        <f t="shared" si="0"/>
        <v>207.05489999999998</v>
      </c>
      <c r="R15" s="8">
        <f t="shared" si="0"/>
        <v>228.29130000000001</v>
      </c>
      <c r="S15" s="8">
        <f t="shared" si="0"/>
        <v>251.29739999999998</v>
      </c>
      <c r="T15" s="8">
        <f t="shared" si="0"/>
        <v>281.38229999999999</v>
      </c>
      <c r="U15" s="8">
        <f t="shared" si="0"/>
        <v>306.15809999999999</v>
      </c>
    </row>
    <row r="16" spans="1:34" ht="14.65" thickTop="1" x14ac:dyDescent="0.45">
      <c r="B16" t="s">
        <v>94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6">
      <c r="N17" s="5" t="str">
        <f>"~TFM_INS-TS: region="&amp;$A$1</f>
        <v>~TFM_INS-TS: region=POL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65.478899999999996</v>
      </c>
      <c r="P20" s="6">
        <f t="shared" si="2"/>
        <v>65.036474999999996</v>
      </c>
      <c r="Q20" s="6">
        <f t="shared" si="2"/>
        <v>70.398665999999992</v>
      </c>
      <c r="R20" s="6">
        <f t="shared" si="2"/>
        <v>75.336129</v>
      </c>
      <c r="S20" s="6">
        <f t="shared" si="2"/>
        <v>75.389219999999995</v>
      </c>
      <c r="T20" s="6">
        <f t="shared" si="2"/>
        <v>81.600866999999994</v>
      </c>
      <c r="U20" s="6">
        <f t="shared" si="2"/>
        <v>91.847429999999989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104.41229999999999</v>
      </c>
      <c r="P21" s="6">
        <f t="shared" si="2"/>
        <v>109.632915</v>
      </c>
      <c r="Q21" s="6">
        <f t="shared" si="2"/>
        <v>122.16239099999999</v>
      </c>
      <c r="R21" s="6">
        <f t="shared" si="2"/>
        <v>132.40895399999999</v>
      </c>
      <c r="S21" s="6">
        <f t="shared" si="2"/>
        <v>145.75249199999999</v>
      </c>
      <c r="T21" s="6">
        <f t="shared" si="2"/>
        <v>157.57408800000002</v>
      </c>
      <c r="U21" s="6">
        <f t="shared" si="2"/>
        <v>165.32537400000001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5.3090999999999999</v>
      </c>
      <c r="P22" s="6">
        <f t="shared" ref="P22:U22" si="3">O22</f>
        <v>5.3090999999999999</v>
      </c>
      <c r="Q22" s="6">
        <f t="shared" si="3"/>
        <v>5.3090999999999999</v>
      </c>
      <c r="R22" s="6">
        <f t="shared" si="3"/>
        <v>5.3090999999999999</v>
      </c>
      <c r="S22" s="6">
        <f t="shared" si="3"/>
        <v>5.3090999999999999</v>
      </c>
      <c r="T22" s="6">
        <f t="shared" si="3"/>
        <v>5.3090999999999999</v>
      </c>
      <c r="U22" s="6">
        <f t="shared" si="3"/>
        <v>5.3090999999999999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1.7697000000000287</v>
      </c>
      <c r="P23" s="6">
        <f t="shared" si="4"/>
        <v>5.8400100000000066</v>
      </c>
      <c r="Q23" s="6">
        <f t="shared" si="4"/>
        <v>9.1847429999999974</v>
      </c>
      <c r="R23" s="6">
        <f t="shared" si="4"/>
        <v>15.237117000000012</v>
      </c>
      <c r="S23" s="6">
        <f t="shared" si="4"/>
        <v>24.846587999999997</v>
      </c>
      <c r="T23" s="6">
        <f t="shared" si="4"/>
        <v>36.898244999999974</v>
      </c>
      <c r="U23" s="6">
        <f t="shared" si="4"/>
        <v>43.676196000000004</v>
      </c>
      <c r="V23" t="s">
        <v>16</v>
      </c>
    </row>
    <row r="24" spans="2:24" x14ac:dyDescent="0.45">
      <c r="N24" s="18" t="s">
        <v>104</v>
      </c>
      <c r="O24" s="19">
        <f>N12</f>
        <v>9.7690000000000001</v>
      </c>
      <c r="P24" s="20">
        <f>$N$12*E16</f>
        <v>9.57362</v>
      </c>
      <c r="Q24" s="20">
        <f>$N$12*F16</f>
        <v>9.3782399999999999</v>
      </c>
      <c r="R24" s="20">
        <f t="shared" ref="R24:U24" si="5">$N$12*G16</f>
        <v>8.9874799999999997</v>
      </c>
      <c r="S24" s="20">
        <f t="shared" si="5"/>
        <v>8.2059599999999993</v>
      </c>
      <c r="T24" s="20">
        <f t="shared" si="5"/>
        <v>8.1082699999999992</v>
      </c>
      <c r="U24" s="20">
        <f t="shared" si="5"/>
        <v>7.8152000000000008</v>
      </c>
      <c r="V24" s="18" t="s">
        <v>16</v>
      </c>
    </row>
    <row r="25" spans="2:24" x14ac:dyDescent="0.45">
      <c r="N25" s="18" t="s">
        <v>105</v>
      </c>
      <c r="O25" s="19">
        <f>N13</f>
        <v>55.512999999999998</v>
      </c>
      <c r="P25" s="20">
        <f>$N$13*E16</f>
        <v>54.402739999999994</v>
      </c>
      <c r="Q25" s="20">
        <f t="shared" ref="Q25:U25" si="6">$N$13*F16</f>
        <v>53.292479999999998</v>
      </c>
      <c r="R25" s="20">
        <f t="shared" si="6"/>
        <v>51.071959999999997</v>
      </c>
      <c r="S25" s="20">
        <f t="shared" si="6"/>
        <v>46.630919999999996</v>
      </c>
      <c r="T25" s="20">
        <f t="shared" si="6"/>
        <v>46.075789999999998</v>
      </c>
      <c r="U25" s="20">
        <f t="shared" si="6"/>
        <v>44.410400000000003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region=POL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15.24</v>
      </c>
      <c r="N30" t="s">
        <v>30</v>
      </c>
      <c r="O30" s="3">
        <f>L30</f>
        <v>15.24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16.91</v>
      </c>
      <c r="N31" t="s">
        <v>33</v>
      </c>
      <c r="O31" s="3">
        <f>ABS(L31)</f>
        <v>16.91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649999999999999" thickBot="1" x14ac:dyDescent="0.6">
      <c r="B45" s="5" t="str">
        <f>"~TFM_INS-TS: region="&amp;$A$1&amp;"; attribute=flo_cost;pset_pn=-IMP*Z"</f>
        <v>~TFM_INS-TS: region=POL;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33.4</v>
      </c>
      <c r="E47">
        <f t="shared" si="9"/>
        <v>35.738</v>
      </c>
      <c r="F47">
        <f t="shared" si="9"/>
        <v>41.415999999999997</v>
      </c>
      <c r="G47">
        <f t="shared" si="9"/>
        <v>38.409999999999997</v>
      </c>
      <c r="H47">
        <f t="shared" si="9"/>
        <v>41.75</v>
      </c>
      <c r="I47">
        <f t="shared" si="9"/>
        <v>39.077999999999996</v>
      </c>
      <c r="J47">
        <f t="shared" si="9"/>
        <v>44.756</v>
      </c>
      <c r="M47">
        <f>HLOOKUP($B47&amp;"_"&amp;M$46,fuel_prices!$B$10:$I$100,MATCH($A$1,fuel_prices!$A$10:$A$100,0),FALSE)</f>
        <v>27.4</v>
      </c>
      <c r="N47">
        <f>HLOOKUP($B47&amp;"_"&amp;N$46,fuel_prices!$B$10:$I$100,MATCH($A$1,fuel_prices!$A$10:$A$100,0),FALSE)</f>
        <v>39.4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12.2</v>
      </c>
      <c r="E48">
        <f t="shared" si="9"/>
        <v>12.443999999999999</v>
      </c>
      <c r="F48">
        <f t="shared" si="9"/>
        <v>12.932</v>
      </c>
      <c r="G48">
        <f t="shared" si="9"/>
        <v>13.054</v>
      </c>
      <c r="H48">
        <f t="shared" si="9"/>
        <v>13.176</v>
      </c>
      <c r="I48">
        <f t="shared" si="9"/>
        <v>13.42</v>
      </c>
      <c r="J48">
        <f t="shared" si="9"/>
        <v>13.664</v>
      </c>
      <c r="M48">
        <f>HLOOKUP($B48&amp;"_"&amp;M$46,fuel_prices!$B$10:$I$100,MATCH($A$1,fuel_prices!$A$10:$A$100,0),FALSE)</f>
        <v>10.7</v>
      </c>
      <c r="N48">
        <f>HLOOKUP($B48&amp;"_"&amp;N$46,fuel_prices!$B$10:$I$100,MATCH($A$1,fuel_prices!$A$10:$A$100,0),FALSE)</f>
        <v>13.7</v>
      </c>
    </row>
    <row r="49" spans="1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79</v>
      </c>
      <c r="C50" t="str">
        <f t="shared" si="10"/>
        <v>Bioenergy</v>
      </c>
      <c r="D50">
        <f t="shared" si="9"/>
        <v>26</v>
      </c>
      <c r="J50">
        <f>VLOOKUP($C$15,$AF$9:$AH$16,3,FALSE)*D50</f>
        <v>78</v>
      </c>
      <c r="M50">
        <f>HLOOKUP($B50&amp;"_"&amp;M$46,fuel_prices!$B$10:$I$100,MATCH($A$1,fuel_prices!$A$10:$A$100,0),FALSE)</f>
        <v>22</v>
      </c>
      <c r="N50">
        <f>HLOOKUP($B50&amp;"_"&amp;N$46,fuel_prices!$B$10:$I$100,MATCH($A$1,fuel_prices!$A$10:$A$100,0),FALSE)</f>
        <v>30</v>
      </c>
    </row>
    <row r="54" spans="1:14" x14ac:dyDescent="0.45">
      <c r="A54" t="s">
        <v>106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33</v>
      </c>
      <c r="B56" t="s">
        <v>107</v>
      </c>
      <c r="C56">
        <v>1.4550000000000001</v>
      </c>
      <c r="D56">
        <v>1.881</v>
      </c>
      <c r="E56">
        <v>1.881</v>
      </c>
      <c r="F56" t="s">
        <v>108</v>
      </c>
    </row>
    <row r="57" spans="1:14" x14ac:dyDescent="0.45">
      <c r="A57" t="s">
        <v>30</v>
      </c>
      <c r="B57" t="s">
        <v>107</v>
      </c>
      <c r="C57">
        <v>1.8</v>
      </c>
      <c r="D57">
        <v>3.3</v>
      </c>
      <c r="E57">
        <v>3.3</v>
      </c>
      <c r="F57" t="s">
        <v>108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98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101</v>
      </c>
      <c r="K10" t="s">
        <v>97</v>
      </c>
      <c r="L10" t="s">
        <v>102</v>
      </c>
      <c r="M10" t="s">
        <v>103</v>
      </c>
    </row>
    <row r="11" spans="1:13" x14ac:dyDescent="0.45">
      <c r="A11" t="s">
        <v>98</v>
      </c>
      <c r="B11">
        <v>2015</v>
      </c>
      <c r="C11">
        <v>58.76</v>
      </c>
      <c r="D11">
        <v>75.23</v>
      </c>
      <c r="E11">
        <v>3.09</v>
      </c>
      <c r="F11">
        <v>0.02</v>
      </c>
      <c r="G11">
        <v>14.46</v>
      </c>
      <c r="H11">
        <v>14.79</v>
      </c>
      <c r="I11">
        <v>164.23</v>
      </c>
      <c r="J11">
        <v>51.51</v>
      </c>
      <c r="K11">
        <v>63.417000000000002</v>
      </c>
      <c r="L11">
        <v>7.577</v>
      </c>
      <c r="M11">
        <v>55.84</v>
      </c>
    </row>
    <row r="12" spans="1:13" x14ac:dyDescent="0.45">
      <c r="A12" t="s">
        <v>98</v>
      </c>
      <c r="B12">
        <v>2016</v>
      </c>
      <c r="C12">
        <v>61.61</v>
      </c>
      <c r="D12">
        <v>78.34</v>
      </c>
      <c r="E12">
        <v>3.26</v>
      </c>
      <c r="F12">
        <v>0.02</v>
      </c>
      <c r="G12">
        <v>14.02</v>
      </c>
      <c r="H12">
        <v>12.02</v>
      </c>
      <c r="I12">
        <v>166.1</v>
      </c>
      <c r="J12">
        <v>52.508000000000003</v>
      </c>
      <c r="K12">
        <v>65.775999999999996</v>
      </c>
      <c r="L12">
        <v>7.8079999999999998</v>
      </c>
      <c r="M12">
        <v>57.968000000000004</v>
      </c>
    </row>
    <row r="13" spans="1:13" x14ac:dyDescent="0.45">
      <c r="A13" t="s">
        <v>98</v>
      </c>
      <c r="B13">
        <v>2017</v>
      </c>
      <c r="C13">
        <v>66.400000000000006</v>
      </c>
      <c r="D13">
        <v>77.92</v>
      </c>
      <c r="E13">
        <v>3.3</v>
      </c>
      <c r="F13">
        <v>0.03</v>
      </c>
      <c r="G13">
        <v>13.27</v>
      </c>
      <c r="H13">
        <v>10.98</v>
      </c>
      <c r="I13">
        <v>169.94</v>
      </c>
      <c r="J13">
        <v>54.637999999999998</v>
      </c>
      <c r="K13">
        <v>67.507000000000005</v>
      </c>
      <c r="L13">
        <v>8.2490000000000006</v>
      </c>
      <c r="M13">
        <v>59.258000000000003</v>
      </c>
    </row>
    <row r="14" spans="1:13" x14ac:dyDescent="0.45">
      <c r="A14" t="s">
        <v>98</v>
      </c>
      <c r="B14">
        <v>2018</v>
      </c>
      <c r="C14">
        <v>71.209999999999994</v>
      </c>
      <c r="D14">
        <v>80.58</v>
      </c>
      <c r="E14">
        <v>3.44</v>
      </c>
      <c r="F14">
        <v>0.03</v>
      </c>
      <c r="G14">
        <v>13.82</v>
      </c>
      <c r="H14">
        <v>8.1199999999999992</v>
      </c>
      <c r="I14">
        <v>169.56</v>
      </c>
      <c r="J14">
        <v>53.701000000000001</v>
      </c>
      <c r="K14">
        <v>65.034000000000006</v>
      </c>
      <c r="L14">
        <v>9.5869999999999997</v>
      </c>
      <c r="M14">
        <v>55.447000000000003</v>
      </c>
    </row>
    <row r="15" spans="1:13" x14ac:dyDescent="0.45">
      <c r="A15" t="s">
        <v>98</v>
      </c>
      <c r="B15">
        <v>2019</v>
      </c>
      <c r="C15">
        <v>73.83</v>
      </c>
      <c r="D15">
        <v>80.319999999999993</v>
      </c>
      <c r="E15">
        <v>3.38</v>
      </c>
      <c r="F15">
        <v>0.03</v>
      </c>
      <c r="G15">
        <v>17.87</v>
      </c>
      <c r="H15">
        <v>7.25</v>
      </c>
      <c r="I15">
        <v>163.22</v>
      </c>
      <c r="J15">
        <v>52.756999999999998</v>
      </c>
      <c r="K15">
        <v>64.430000000000007</v>
      </c>
      <c r="L15">
        <v>9.6519999999999992</v>
      </c>
      <c r="M15">
        <v>54.777999999999999</v>
      </c>
    </row>
    <row r="16" spans="1:13" x14ac:dyDescent="0.45">
      <c r="A16" t="s">
        <v>98</v>
      </c>
      <c r="B16">
        <v>2020</v>
      </c>
      <c r="C16">
        <v>73.010000000000005</v>
      </c>
      <c r="D16">
        <v>79.84</v>
      </c>
      <c r="E16">
        <v>3.1</v>
      </c>
      <c r="F16">
        <v>7.0000000000000007E-2</v>
      </c>
      <c r="G16">
        <v>20.62</v>
      </c>
      <c r="H16">
        <v>7.36</v>
      </c>
      <c r="I16">
        <v>157.13</v>
      </c>
      <c r="J16">
        <v>51.826999999999998</v>
      </c>
      <c r="K16">
        <v>65.027000000000001</v>
      </c>
      <c r="L16">
        <v>9.8190000000000008</v>
      </c>
      <c r="M16">
        <v>55.207999999999998</v>
      </c>
    </row>
    <row r="17" spans="1:13" x14ac:dyDescent="0.45">
      <c r="A17" t="s">
        <v>98</v>
      </c>
      <c r="B17">
        <v>2021</v>
      </c>
      <c r="C17">
        <v>75.22</v>
      </c>
      <c r="D17">
        <v>83.99</v>
      </c>
      <c r="E17">
        <v>3.33</v>
      </c>
      <c r="F17">
        <v>0.06</v>
      </c>
      <c r="G17">
        <v>15.1</v>
      </c>
      <c r="H17">
        <v>14.21</v>
      </c>
      <c r="I17">
        <v>178.79</v>
      </c>
      <c r="J17">
        <v>54.496000000000002</v>
      </c>
      <c r="K17">
        <v>69.337999999999994</v>
      </c>
      <c r="L17">
        <v>10.542</v>
      </c>
      <c r="M17">
        <v>58.795999999999999</v>
      </c>
    </row>
    <row r="18" spans="1:13" x14ac:dyDescent="0.45">
      <c r="A18" t="s">
        <v>98</v>
      </c>
      <c r="B18">
        <v>2022</v>
      </c>
      <c r="C18">
        <v>75.180000000000007</v>
      </c>
      <c r="D18">
        <v>83.17</v>
      </c>
      <c r="E18">
        <v>3.34</v>
      </c>
      <c r="F18">
        <v>0.17</v>
      </c>
      <c r="G18">
        <v>15.24</v>
      </c>
      <c r="H18">
        <v>16.91</v>
      </c>
      <c r="I18">
        <v>178.64</v>
      </c>
      <c r="J18">
        <v>50.323999999999998</v>
      </c>
      <c r="K18">
        <v>65.281999999999996</v>
      </c>
      <c r="L18">
        <v>9.7690000000000001</v>
      </c>
      <c r="M18">
        <v>55.512999999999998</v>
      </c>
    </row>
    <row r="19" spans="1:13" x14ac:dyDescent="0.45">
      <c r="A19" t="s">
        <v>98</v>
      </c>
      <c r="B19">
        <v>2023</v>
      </c>
      <c r="C19">
        <v>76.92</v>
      </c>
      <c r="D19">
        <v>79.83</v>
      </c>
      <c r="E19">
        <v>3.5</v>
      </c>
      <c r="F19">
        <v>0.23</v>
      </c>
      <c r="G19">
        <v>15.14</v>
      </c>
      <c r="H19">
        <v>11.4</v>
      </c>
      <c r="I19">
        <v>165.99</v>
      </c>
      <c r="J19">
        <v>49.042999999999999</v>
      </c>
      <c r="K19">
        <v>60.381</v>
      </c>
      <c r="L19">
        <v>8.3460000000000001</v>
      </c>
      <c r="M19">
        <v>52.034999999999997</v>
      </c>
    </row>
    <row r="20" spans="1:13" x14ac:dyDescent="0.45">
      <c r="A20" t="s">
        <v>98</v>
      </c>
      <c r="B20">
        <v>2024</v>
      </c>
      <c r="C20">
        <v>84.11</v>
      </c>
      <c r="D20">
        <v>82.19</v>
      </c>
      <c r="E20">
        <v>3.57</v>
      </c>
      <c r="F20">
        <v>0.37</v>
      </c>
      <c r="G20">
        <v>15.21</v>
      </c>
      <c r="H20">
        <v>13.25</v>
      </c>
      <c r="I20">
        <v>171.32</v>
      </c>
      <c r="J20">
        <v>47.503</v>
      </c>
      <c r="K20">
        <v>57.613999999999997</v>
      </c>
      <c r="L20">
        <v>8.0820000000000007</v>
      </c>
      <c r="M20">
        <v>49.531999999999996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93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45">
      <c r="A12" t="s">
        <v>0</v>
      </c>
      <c r="B12" t="s">
        <v>93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93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45">
      <c r="A14" t="s">
        <v>0</v>
      </c>
      <c r="B14" t="s">
        <v>93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45">
      <c r="A15" t="s">
        <v>0</v>
      </c>
      <c r="B15" t="s">
        <v>93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45">
      <c r="A16" t="s">
        <v>0</v>
      </c>
      <c r="B16" t="s">
        <v>93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45">
      <c r="A17" t="s">
        <v>0</v>
      </c>
      <c r="B17" t="s">
        <v>93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45">
      <c r="A18" t="s">
        <v>2</v>
      </c>
      <c r="B18" t="s">
        <v>93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45">
      <c r="A19" t="s">
        <v>2</v>
      </c>
      <c r="B19" t="s">
        <v>93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45">
      <c r="A20" t="s">
        <v>2</v>
      </c>
      <c r="B20" t="s">
        <v>93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45">
      <c r="A21" t="s">
        <v>2</v>
      </c>
      <c r="B21" t="s">
        <v>93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45">
      <c r="A22" t="s">
        <v>2</v>
      </c>
      <c r="B22" t="s">
        <v>93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45">
      <c r="A23" t="s">
        <v>2</v>
      </c>
      <c r="B23" t="s">
        <v>93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45">
      <c r="A24" t="s">
        <v>2</v>
      </c>
      <c r="B24" t="s">
        <v>93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93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45">
      <c r="A26" t="s">
        <v>5</v>
      </c>
      <c r="B26" t="s">
        <v>93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45">
      <c r="A27" t="s">
        <v>5</v>
      </c>
      <c r="B27" t="s">
        <v>93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45">
      <c r="A28" t="s">
        <v>5</v>
      </c>
      <c r="B28" t="s">
        <v>93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45">
      <c r="A29" t="s">
        <v>5</v>
      </c>
      <c r="B29" t="s">
        <v>93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45">
      <c r="A30" t="s">
        <v>5</v>
      </c>
      <c r="B30" t="s">
        <v>93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45">
      <c r="A31" t="s">
        <v>5</v>
      </c>
      <c r="B31" t="s">
        <v>93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45">
      <c r="A32" t="s">
        <v>7</v>
      </c>
      <c r="B32" t="s">
        <v>93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45">
      <c r="A33" t="s">
        <v>7</v>
      </c>
      <c r="B33" t="s">
        <v>93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45">
      <c r="A34" t="s">
        <v>7</v>
      </c>
      <c r="B34" t="s">
        <v>93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45">
      <c r="A35" t="s">
        <v>7</v>
      </c>
      <c r="B35" t="s">
        <v>93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93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45">
      <c r="A37" t="s">
        <v>7</v>
      </c>
      <c r="B37" t="s">
        <v>93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93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93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45">
      <c r="A40" t="s">
        <v>9</v>
      </c>
      <c r="B40" t="s">
        <v>93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45">
      <c r="A41" t="s">
        <v>9</v>
      </c>
      <c r="B41" t="s">
        <v>93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45">
      <c r="A42" t="s">
        <v>9</v>
      </c>
      <c r="B42" t="s">
        <v>93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45">
      <c r="A43" t="s">
        <v>9</v>
      </c>
      <c r="B43" t="s">
        <v>93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45">
      <c r="A44" t="s">
        <v>9</v>
      </c>
      <c r="B44" t="s">
        <v>93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45">
      <c r="A45" t="s">
        <v>9</v>
      </c>
      <c r="B45" t="s">
        <v>93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45">
      <c r="A46" t="s">
        <v>0</v>
      </c>
      <c r="B46" t="s">
        <v>93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93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93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93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93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93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93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93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93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93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93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93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93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93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93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93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93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93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93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93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93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93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93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93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93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93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93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93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93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93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93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93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93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93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93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93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94</v>
      </c>
    </row>
    <row r="82" spans="1:13" x14ac:dyDescent="0.45">
      <c r="A82" t="s">
        <v>0</v>
      </c>
      <c r="B82" t="s">
        <v>93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94</v>
      </c>
    </row>
    <row r="83" spans="1:13" x14ac:dyDescent="0.45">
      <c r="A83" t="s">
        <v>0</v>
      </c>
      <c r="B83" t="s">
        <v>93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94</v>
      </c>
    </row>
    <row r="84" spans="1:13" x14ac:dyDescent="0.45">
      <c r="A84" t="s">
        <v>0</v>
      </c>
      <c r="B84" t="s">
        <v>93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94</v>
      </c>
    </row>
    <row r="85" spans="1:13" x14ac:dyDescent="0.45">
      <c r="A85" t="s">
        <v>0</v>
      </c>
      <c r="B85" t="s">
        <v>93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94</v>
      </c>
    </row>
    <row r="86" spans="1:13" x14ac:dyDescent="0.45">
      <c r="A86" t="s">
        <v>0</v>
      </c>
      <c r="B86" t="s">
        <v>93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94</v>
      </c>
    </row>
    <row r="87" spans="1:13" x14ac:dyDescent="0.45">
      <c r="A87" t="s">
        <v>0</v>
      </c>
      <c r="B87" t="s">
        <v>93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94</v>
      </c>
    </row>
    <row r="88" spans="1:13" x14ac:dyDescent="0.45">
      <c r="A88" t="s">
        <v>2</v>
      </c>
      <c r="B88" t="s">
        <v>93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94</v>
      </c>
    </row>
    <row r="89" spans="1:13" x14ac:dyDescent="0.45">
      <c r="A89" t="s">
        <v>2</v>
      </c>
      <c r="B89" t="s">
        <v>93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94</v>
      </c>
    </row>
    <row r="90" spans="1:13" x14ac:dyDescent="0.45">
      <c r="A90" t="s">
        <v>2</v>
      </c>
      <c r="B90" t="s">
        <v>93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94</v>
      </c>
    </row>
    <row r="91" spans="1:13" x14ac:dyDescent="0.45">
      <c r="A91" t="s">
        <v>2</v>
      </c>
      <c r="B91" t="s">
        <v>93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94</v>
      </c>
    </row>
    <row r="92" spans="1:13" x14ac:dyDescent="0.45">
      <c r="A92" t="s">
        <v>2</v>
      </c>
      <c r="B92" t="s">
        <v>93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94</v>
      </c>
    </row>
    <row r="93" spans="1:13" x14ac:dyDescent="0.45">
      <c r="A93" t="s">
        <v>2</v>
      </c>
      <c r="B93" t="s">
        <v>93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94</v>
      </c>
    </row>
    <row r="94" spans="1:13" x14ac:dyDescent="0.45">
      <c r="A94" t="s">
        <v>2</v>
      </c>
      <c r="B94" t="s">
        <v>93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94</v>
      </c>
    </row>
    <row r="95" spans="1:13" x14ac:dyDescent="0.45">
      <c r="A95" t="s">
        <v>5</v>
      </c>
      <c r="B95" t="s">
        <v>93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94</v>
      </c>
    </row>
    <row r="96" spans="1:13" x14ac:dyDescent="0.45">
      <c r="A96" t="s">
        <v>5</v>
      </c>
      <c r="B96" t="s">
        <v>93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94</v>
      </c>
    </row>
    <row r="97" spans="1:13" x14ac:dyDescent="0.45">
      <c r="A97" t="s">
        <v>5</v>
      </c>
      <c r="B97" t="s">
        <v>93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94</v>
      </c>
    </row>
    <row r="98" spans="1:13" x14ac:dyDescent="0.45">
      <c r="A98" t="s">
        <v>5</v>
      </c>
      <c r="B98" t="s">
        <v>93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94</v>
      </c>
    </row>
    <row r="99" spans="1:13" x14ac:dyDescent="0.45">
      <c r="A99" t="s">
        <v>5</v>
      </c>
      <c r="B99" t="s">
        <v>93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94</v>
      </c>
    </row>
    <row r="100" spans="1:13" x14ac:dyDescent="0.45">
      <c r="A100" t="s">
        <v>5</v>
      </c>
      <c r="B100" t="s">
        <v>93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94</v>
      </c>
    </row>
    <row r="101" spans="1:13" x14ac:dyDescent="0.45">
      <c r="A101" t="s">
        <v>5</v>
      </c>
      <c r="B101" t="s">
        <v>93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94</v>
      </c>
    </row>
    <row r="102" spans="1:13" x14ac:dyDescent="0.45">
      <c r="A102" t="s">
        <v>7</v>
      </c>
      <c r="B102" t="s">
        <v>93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94</v>
      </c>
    </row>
    <row r="103" spans="1:13" x14ac:dyDescent="0.45">
      <c r="A103" t="s">
        <v>7</v>
      </c>
      <c r="B103" t="s">
        <v>93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94</v>
      </c>
    </row>
    <row r="104" spans="1:13" x14ac:dyDescent="0.45">
      <c r="A104" t="s">
        <v>7</v>
      </c>
      <c r="B104" t="s">
        <v>93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94</v>
      </c>
    </row>
    <row r="105" spans="1:13" x14ac:dyDescent="0.45">
      <c r="A105" t="s">
        <v>7</v>
      </c>
      <c r="B105" t="s">
        <v>93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94</v>
      </c>
    </row>
    <row r="106" spans="1:13" x14ac:dyDescent="0.45">
      <c r="A106" t="s">
        <v>7</v>
      </c>
      <c r="B106" t="s">
        <v>93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94</v>
      </c>
    </row>
    <row r="107" spans="1:13" x14ac:dyDescent="0.45">
      <c r="A107" t="s">
        <v>7</v>
      </c>
      <c r="B107" t="s">
        <v>93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94</v>
      </c>
    </row>
    <row r="108" spans="1:13" x14ac:dyDescent="0.45">
      <c r="A108" t="s">
        <v>7</v>
      </c>
      <c r="B108" t="s">
        <v>93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94</v>
      </c>
    </row>
    <row r="109" spans="1:13" x14ac:dyDescent="0.45">
      <c r="A109" t="s">
        <v>9</v>
      </c>
      <c r="B109" t="s">
        <v>93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94</v>
      </c>
    </row>
    <row r="110" spans="1:13" x14ac:dyDescent="0.45">
      <c r="A110" t="s">
        <v>9</v>
      </c>
      <c r="B110" t="s">
        <v>93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94</v>
      </c>
    </row>
    <row r="111" spans="1:13" x14ac:dyDescent="0.45">
      <c r="A111" t="s">
        <v>9</v>
      </c>
      <c r="B111" t="s">
        <v>93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94</v>
      </c>
    </row>
    <row r="112" spans="1:13" x14ac:dyDescent="0.45">
      <c r="A112" t="s">
        <v>9</v>
      </c>
      <c r="B112" t="s">
        <v>93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94</v>
      </c>
    </row>
    <row r="113" spans="1:13" x14ac:dyDescent="0.45">
      <c r="A113" t="s">
        <v>9</v>
      </c>
      <c r="B113" t="s">
        <v>93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94</v>
      </c>
    </row>
    <row r="114" spans="1:13" x14ac:dyDescent="0.45">
      <c r="A114" t="s">
        <v>9</v>
      </c>
      <c r="B114" t="s">
        <v>93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94</v>
      </c>
    </row>
    <row r="115" spans="1:13" x14ac:dyDescent="0.45">
      <c r="A115" t="s">
        <v>9</v>
      </c>
      <c r="B115" t="s">
        <v>93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94</v>
      </c>
    </row>
    <row r="116" spans="1:13" x14ac:dyDescent="0.45">
      <c r="A116" t="s">
        <v>0</v>
      </c>
      <c r="B116" t="s">
        <v>93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93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93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93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93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14</v>
      </c>
    </row>
    <row r="121" spans="1:13" x14ac:dyDescent="0.45">
      <c r="A121" t="s">
        <v>0</v>
      </c>
      <c r="B121" t="s">
        <v>93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93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93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93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93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14</v>
      </c>
    </row>
    <row r="126" spans="1:13" x14ac:dyDescent="0.45">
      <c r="A126" t="s">
        <v>2</v>
      </c>
      <c r="B126" t="s">
        <v>93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14</v>
      </c>
    </row>
    <row r="127" spans="1:13" x14ac:dyDescent="0.45">
      <c r="A127" t="s">
        <v>2</v>
      </c>
      <c r="B127" t="s">
        <v>93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93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93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14</v>
      </c>
    </row>
    <row r="130" spans="1:13" x14ac:dyDescent="0.45">
      <c r="A130" t="s">
        <v>5</v>
      </c>
      <c r="B130" t="s">
        <v>93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93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93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14</v>
      </c>
    </row>
    <row r="133" spans="1:13" x14ac:dyDescent="0.45">
      <c r="A133" t="s">
        <v>5</v>
      </c>
      <c r="B133" t="s">
        <v>93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14</v>
      </c>
    </row>
    <row r="134" spans="1:13" x14ac:dyDescent="0.45">
      <c r="A134" t="s">
        <v>5</v>
      </c>
      <c r="B134" t="s">
        <v>93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93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14</v>
      </c>
    </row>
    <row r="136" spans="1:13" x14ac:dyDescent="0.45">
      <c r="A136" t="s">
        <v>5</v>
      </c>
      <c r="B136" t="s">
        <v>93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93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93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93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93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93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14</v>
      </c>
    </row>
    <row r="142" spans="1:13" x14ac:dyDescent="0.45">
      <c r="A142" t="s">
        <v>7</v>
      </c>
      <c r="B142" t="s">
        <v>93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93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93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93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93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14</v>
      </c>
    </row>
    <row r="147" spans="1:13" x14ac:dyDescent="0.45">
      <c r="A147" t="s">
        <v>9</v>
      </c>
      <c r="B147" t="s">
        <v>93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14</v>
      </c>
    </row>
    <row r="148" spans="1:13" x14ac:dyDescent="0.45">
      <c r="A148" t="s">
        <v>9</v>
      </c>
      <c r="B148" t="s">
        <v>93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14</v>
      </c>
    </row>
    <row r="149" spans="1:13" x14ac:dyDescent="0.45">
      <c r="A149" t="s">
        <v>9</v>
      </c>
      <c r="B149" t="s">
        <v>93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93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93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17</v>
      </c>
    </row>
    <row r="152" spans="1:13" x14ac:dyDescent="0.45">
      <c r="A152" t="s">
        <v>0</v>
      </c>
      <c r="B152" t="s">
        <v>93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17</v>
      </c>
    </row>
    <row r="153" spans="1:13" x14ac:dyDescent="0.45">
      <c r="A153" t="s">
        <v>0</v>
      </c>
      <c r="B153" t="s">
        <v>93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17</v>
      </c>
    </row>
    <row r="154" spans="1:13" x14ac:dyDescent="0.45">
      <c r="A154" t="s">
        <v>0</v>
      </c>
      <c r="B154" t="s">
        <v>93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17</v>
      </c>
    </row>
    <row r="155" spans="1:13" x14ac:dyDescent="0.45">
      <c r="A155" t="s">
        <v>0</v>
      </c>
      <c r="B155" t="s">
        <v>93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17</v>
      </c>
    </row>
    <row r="156" spans="1:13" x14ac:dyDescent="0.45">
      <c r="A156" t="s">
        <v>0</v>
      </c>
      <c r="B156" t="s">
        <v>93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17</v>
      </c>
    </row>
    <row r="157" spans="1:13" x14ac:dyDescent="0.45">
      <c r="A157" t="s">
        <v>0</v>
      </c>
      <c r="B157" t="s">
        <v>93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17</v>
      </c>
    </row>
    <row r="158" spans="1:13" x14ac:dyDescent="0.45">
      <c r="A158" t="s">
        <v>2</v>
      </c>
      <c r="B158" t="s">
        <v>93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17</v>
      </c>
    </row>
    <row r="159" spans="1:13" x14ac:dyDescent="0.45">
      <c r="A159" t="s">
        <v>2</v>
      </c>
      <c r="B159" t="s">
        <v>93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17</v>
      </c>
    </row>
    <row r="160" spans="1:13" x14ac:dyDescent="0.45">
      <c r="A160" t="s">
        <v>2</v>
      </c>
      <c r="B160" t="s">
        <v>93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17</v>
      </c>
    </row>
    <row r="161" spans="1:13" x14ac:dyDescent="0.45">
      <c r="A161" t="s">
        <v>2</v>
      </c>
      <c r="B161" t="s">
        <v>93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17</v>
      </c>
    </row>
    <row r="162" spans="1:13" x14ac:dyDescent="0.45">
      <c r="A162" t="s">
        <v>2</v>
      </c>
      <c r="B162" t="s">
        <v>93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17</v>
      </c>
    </row>
    <row r="163" spans="1:13" x14ac:dyDescent="0.45">
      <c r="A163" t="s">
        <v>2</v>
      </c>
      <c r="B163" t="s">
        <v>93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17</v>
      </c>
    </row>
    <row r="164" spans="1:13" x14ac:dyDescent="0.45">
      <c r="A164" t="s">
        <v>2</v>
      </c>
      <c r="B164" t="s">
        <v>93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17</v>
      </c>
    </row>
    <row r="165" spans="1:13" x14ac:dyDescent="0.45">
      <c r="A165" t="s">
        <v>5</v>
      </c>
      <c r="B165" t="s">
        <v>93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93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17</v>
      </c>
    </row>
    <row r="167" spans="1:13" x14ac:dyDescent="0.45">
      <c r="A167" t="s">
        <v>5</v>
      </c>
      <c r="B167" t="s">
        <v>93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17</v>
      </c>
    </row>
    <row r="168" spans="1:13" x14ac:dyDescent="0.45">
      <c r="A168" t="s">
        <v>5</v>
      </c>
      <c r="B168" t="s">
        <v>93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17</v>
      </c>
    </row>
    <row r="169" spans="1:13" x14ac:dyDescent="0.45">
      <c r="A169" t="s">
        <v>5</v>
      </c>
      <c r="B169" t="s">
        <v>93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17</v>
      </c>
    </row>
    <row r="170" spans="1:13" x14ac:dyDescent="0.45">
      <c r="A170" t="s">
        <v>5</v>
      </c>
      <c r="B170" t="s">
        <v>93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17</v>
      </c>
    </row>
    <row r="171" spans="1:13" x14ac:dyDescent="0.45">
      <c r="A171" t="s">
        <v>5</v>
      </c>
      <c r="B171" t="s">
        <v>93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17</v>
      </c>
    </row>
    <row r="172" spans="1:13" x14ac:dyDescent="0.45">
      <c r="A172" t="s">
        <v>7</v>
      </c>
      <c r="B172" t="s">
        <v>93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17</v>
      </c>
    </row>
    <row r="173" spans="1:13" x14ac:dyDescent="0.45">
      <c r="A173" t="s">
        <v>7</v>
      </c>
      <c r="B173" t="s">
        <v>93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17</v>
      </c>
    </row>
    <row r="174" spans="1:13" x14ac:dyDescent="0.45">
      <c r="A174" t="s">
        <v>7</v>
      </c>
      <c r="B174" t="s">
        <v>93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17</v>
      </c>
    </row>
    <row r="175" spans="1:13" x14ac:dyDescent="0.45">
      <c r="A175" t="s">
        <v>7</v>
      </c>
      <c r="B175" t="s">
        <v>93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17</v>
      </c>
    </row>
    <row r="176" spans="1:13" x14ac:dyDescent="0.45">
      <c r="A176" t="s">
        <v>7</v>
      </c>
      <c r="B176" t="s">
        <v>93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17</v>
      </c>
    </row>
    <row r="177" spans="1:13" x14ac:dyDescent="0.45">
      <c r="A177" t="s">
        <v>7</v>
      </c>
      <c r="B177" t="s">
        <v>93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17</v>
      </c>
    </row>
    <row r="178" spans="1:13" x14ac:dyDescent="0.45">
      <c r="A178" t="s">
        <v>7</v>
      </c>
      <c r="B178" t="s">
        <v>93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93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17</v>
      </c>
    </row>
    <row r="180" spans="1:13" x14ac:dyDescent="0.45">
      <c r="A180" t="s">
        <v>9</v>
      </c>
      <c r="B180" t="s">
        <v>93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17</v>
      </c>
    </row>
    <row r="181" spans="1:13" x14ac:dyDescent="0.45">
      <c r="A181" t="s">
        <v>9</v>
      </c>
      <c r="B181" t="s">
        <v>93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17</v>
      </c>
    </row>
    <row r="182" spans="1:13" x14ac:dyDescent="0.45">
      <c r="A182" t="s">
        <v>9</v>
      </c>
      <c r="B182" t="s">
        <v>93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17</v>
      </c>
    </row>
    <row r="183" spans="1:13" x14ac:dyDescent="0.45">
      <c r="A183" t="s">
        <v>9</v>
      </c>
      <c r="B183" t="s">
        <v>93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17</v>
      </c>
    </row>
    <row r="184" spans="1:13" x14ac:dyDescent="0.45">
      <c r="A184" t="s">
        <v>9</v>
      </c>
      <c r="B184" t="s">
        <v>93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17</v>
      </c>
    </row>
    <row r="185" spans="1:13" x14ac:dyDescent="0.45">
      <c r="A185" t="s">
        <v>9</v>
      </c>
      <c r="B185" t="s">
        <v>93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17</v>
      </c>
    </row>
    <row r="186" spans="1:13" x14ac:dyDescent="0.45">
      <c r="A186" t="s">
        <v>0</v>
      </c>
      <c r="B186" t="s">
        <v>93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20</v>
      </c>
    </row>
    <row r="187" spans="1:13" x14ac:dyDescent="0.45">
      <c r="A187" t="s">
        <v>0</v>
      </c>
      <c r="B187" t="s">
        <v>93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20</v>
      </c>
    </row>
    <row r="188" spans="1:13" x14ac:dyDescent="0.45">
      <c r="A188" t="s">
        <v>0</v>
      </c>
      <c r="B188" t="s">
        <v>93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20</v>
      </c>
    </row>
    <row r="189" spans="1:13" x14ac:dyDescent="0.45">
      <c r="A189" t="s">
        <v>0</v>
      </c>
      <c r="B189" t="s">
        <v>93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20</v>
      </c>
    </row>
    <row r="190" spans="1:13" x14ac:dyDescent="0.45">
      <c r="A190" t="s">
        <v>0</v>
      </c>
      <c r="B190" t="s">
        <v>93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20</v>
      </c>
    </row>
    <row r="191" spans="1:13" x14ac:dyDescent="0.45">
      <c r="A191" t="s">
        <v>0</v>
      </c>
      <c r="B191" t="s">
        <v>93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20</v>
      </c>
    </row>
    <row r="192" spans="1:13" x14ac:dyDescent="0.45">
      <c r="A192" t="s">
        <v>0</v>
      </c>
      <c r="B192" t="s">
        <v>93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20</v>
      </c>
    </row>
    <row r="193" spans="1:13" x14ac:dyDescent="0.45">
      <c r="A193" t="s">
        <v>2</v>
      </c>
      <c r="B193" t="s">
        <v>93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20</v>
      </c>
    </row>
    <row r="194" spans="1:13" x14ac:dyDescent="0.45">
      <c r="A194" t="s">
        <v>2</v>
      </c>
      <c r="B194" t="s">
        <v>93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20</v>
      </c>
    </row>
    <row r="195" spans="1:13" x14ac:dyDescent="0.45">
      <c r="A195" t="s">
        <v>2</v>
      </c>
      <c r="B195" t="s">
        <v>93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20</v>
      </c>
    </row>
    <row r="196" spans="1:13" x14ac:dyDescent="0.45">
      <c r="A196" t="s">
        <v>2</v>
      </c>
      <c r="B196" t="s">
        <v>93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20</v>
      </c>
    </row>
    <row r="197" spans="1:13" x14ac:dyDescent="0.45">
      <c r="A197" t="s">
        <v>2</v>
      </c>
      <c r="B197" t="s">
        <v>93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20</v>
      </c>
    </row>
    <row r="198" spans="1:13" x14ac:dyDescent="0.45">
      <c r="A198" t="s">
        <v>2</v>
      </c>
      <c r="B198" t="s">
        <v>93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20</v>
      </c>
    </row>
    <row r="199" spans="1:13" x14ac:dyDescent="0.45">
      <c r="A199" t="s">
        <v>2</v>
      </c>
      <c r="B199" t="s">
        <v>93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20</v>
      </c>
    </row>
    <row r="200" spans="1:13" x14ac:dyDescent="0.45">
      <c r="A200" t="s">
        <v>5</v>
      </c>
      <c r="B200" t="s">
        <v>93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20</v>
      </c>
    </row>
    <row r="201" spans="1:13" x14ac:dyDescent="0.45">
      <c r="A201" t="s">
        <v>5</v>
      </c>
      <c r="B201" t="s">
        <v>93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20</v>
      </c>
    </row>
    <row r="202" spans="1:13" x14ac:dyDescent="0.45">
      <c r="A202" t="s">
        <v>5</v>
      </c>
      <c r="B202" t="s">
        <v>93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20</v>
      </c>
    </row>
    <row r="203" spans="1:13" x14ac:dyDescent="0.45">
      <c r="A203" t="s">
        <v>5</v>
      </c>
      <c r="B203" t="s">
        <v>93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20</v>
      </c>
    </row>
    <row r="204" spans="1:13" x14ac:dyDescent="0.45">
      <c r="A204" t="s">
        <v>5</v>
      </c>
      <c r="B204" t="s">
        <v>93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20</v>
      </c>
    </row>
    <row r="205" spans="1:13" x14ac:dyDescent="0.45">
      <c r="A205" t="s">
        <v>5</v>
      </c>
      <c r="B205" t="s">
        <v>93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20</v>
      </c>
    </row>
    <row r="206" spans="1:13" x14ac:dyDescent="0.45">
      <c r="A206" t="s">
        <v>5</v>
      </c>
      <c r="B206" t="s">
        <v>93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20</v>
      </c>
    </row>
    <row r="207" spans="1:13" x14ac:dyDescent="0.45">
      <c r="A207" t="s">
        <v>7</v>
      </c>
      <c r="B207" t="s">
        <v>93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20</v>
      </c>
    </row>
    <row r="208" spans="1:13" x14ac:dyDescent="0.45">
      <c r="A208" t="s">
        <v>7</v>
      </c>
      <c r="B208" t="s">
        <v>93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20</v>
      </c>
    </row>
    <row r="209" spans="1:13" x14ac:dyDescent="0.45">
      <c r="A209" t="s">
        <v>7</v>
      </c>
      <c r="B209" t="s">
        <v>93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20</v>
      </c>
    </row>
    <row r="210" spans="1:13" x14ac:dyDescent="0.45">
      <c r="A210" t="s">
        <v>7</v>
      </c>
      <c r="B210" t="s">
        <v>93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20</v>
      </c>
    </row>
    <row r="211" spans="1:13" x14ac:dyDescent="0.45">
      <c r="A211" t="s">
        <v>7</v>
      </c>
      <c r="B211" t="s">
        <v>93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20</v>
      </c>
    </row>
    <row r="212" spans="1:13" x14ac:dyDescent="0.45">
      <c r="A212" t="s">
        <v>7</v>
      </c>
      <c r="B212" t="s">
        <v>93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20</v>
      </c>
    </row>
    <row r="213" spans="1:13" x14ac:dyDescent="0.45">
      <c r="A213" t="s">
        <v>7</v>
      </c>
      <c r="B213" t="s">
        <v>93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20</v>
      </c>
    </row>
    <row r="214" spans="1:13" x14ac:dyDescent="0.45">
      <c r="A214" t="s">
        <v>9</v>
      </c>
      <c r="B214" t="s">
        <v>93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20</v>
      </c>
    </row>
    <row r="215" spans="1:13" x14ac:dyDescent="0.45">
      <c r="A215" t="s">
        <v>9</v>
      </c>
      <c r="B215" t="s">
        <v>93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20</v>
      </c>
    </row>
    <row r="216" spans="1:13" x14ac:dyDescent="0.45">
      <c r="A216" t="s">
        <v>9</v>
      </c>
      <c r="B216" t="s">
        <v>93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20</v>
      </c>
    </row>
    <row r="217" spans="1:13" x14ac:dyDescent="0.45">
      <c r="A217" t="s">
        <v>9</v>
      </c>
      <c r="B217" t="s">
        <v>93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20</v>
      </c>
    </row>
    <row r="218" spans="1:13" x14ac:dyDescent="0.45">
      <c r="A218" t="s">
        <v>9</v>
      </c>
      <c r="B218" t="s">
        <v>93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20</v>
      </c>
    </row>
    <row r="219" spans="1:13" x14ac:dyDescent="0.45">
      <c r="A219" t="s">
        <v>9</v>
      </c>
      <c r="B219" t="s">
        <v>93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20</v>
      </c>
    </row>
    <row r="220" spans="1:13" x14ac:dyDescent="0.45">
      <c r="A220" t="s">
        <v>9</v>
      </c>
      <c r="B220" t="s">
        <v>93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20</v>
      </c>
    </row>
    <row r="221" spans="1:13" x14ac:dyDescent="0.45">
      <c r="A221" t="s">
        <v>0</v>
      </c>
      <c r="B221" t="s">
        <v>93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93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22</v>
      </c>
    </row>
    <row r="223" spans="1:13" x14ac:dyDescent="0.45">
      <c r="A223" t="s">
        <v>0</v>
      </c>
      <c r="B223" t="s">
        <v>93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22</v>
      </c>
    </row>
    <row r="224" spans="1:13" x14ac:dyDescent="0.45">
      <c r="A224" t="s">
        <v>0</v>
      </c>
      <c r="B224" t="s">
        <v>93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22</v>
      </c>
    </row>
    <row r="225" spans="1:13" x14ac:dyDescent="0.45">
      <c r="A225" t="s">
        <v>0</v>
      </c>
      <c r="B225" t="s">
        <v>93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22</v>
      </c>
    </row>
    <row r="226" spans="1:13" x14ac:dyDescent="0.45">
      <c r="A226" t="s">
        <v>0</v>
      </c>
      <c r="B226" t="s">
        <v>93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22</v>
      </c>
    </row>
    <row r="227" spans="1:13" x14ac:dyDescent="0.45">
      <c r="A227" t="s">
        <v>0</v>
      </c>
      <c r="B227" t="s">
        <v>93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22</v>
      </c>
    </row>
    <row r="228" spans="1:13" x14ac:dyDescent="0.45">
      <c r="A228" t="s">
        <v>2</v>
      </c>
      <c r="B228" t="s">
        <v>93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22</v>
      </c>
    </row>
    <row r="229" spans="1:13" x14ac:dyDescent="0.45">
      <c r="A229" t="s">
        <v>2</v>
      </c>
      <c r="B229" t="s">
        <v>93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22</v>
      </c>
    </row>
    <row r="230" spans="1:13" x14ac:dyDescent="0.45">
      <c r="A230" t="s">
        <v>2</v>
      </c>
      <c r="B230" t="s">
        <v>93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22</v>
      </c>
    </row>
    <row r="231" spans="1:13" x14ac:dyDescent="0.45">
      <c r="A231" t="s">
        <v>2</v>
      </c>
      <c r="B231" t="s">
        <v>93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22</v>
      </c>
    </row>
    <row r="232" spans="1:13" x14ac:dyDescent="0.45">
      <c r="A232" t="s">
        <v>2</v>
      </c>
      <c r="B232" t="s">
        <v>93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22</v>
      </c>
    </row>
    <row r="233" spans="1:13" x14ac:dyDescent="0.45">
      <c r="A233" t="s">
        <v>2</v>
      </c>
      <c r="B233" t="s">
        <v>93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22</v>
      </c>
    </row>
    <row r="234" spans="1:13" x14ac:dyDescent="0.45">
      <c r="A234" t="s">
        <v>2</v>
      </c>
      <c r="B234" t="s">
        <v>93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22</v>
      </c>
    </row>
    <row r="235" spans="1:13" x14ac:dyDescent="0.45">
      <c r="A235" t="s">
        <v>5</v>
      </c>
      <c r="B235" t="s">
        <v>93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93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22</v>
      </c>
    </row>
    <row r="237" spans="1:13" x14ac:dyDescent="0.45">
      <c r="A237" t="s">
        <v>5</v>
      </c>
      <c r="B237" t="s">
        <v>93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22</v>
      </c>
    </row>
    <row r="238" spans="1:13" x14ac:dyDescent="0.45">
      <c r="A238" t="s">
        <v>5</v>
      </c>
      <c r="B238" t="s">
        <v>93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22</v>
      </c>
    </row>
    <row r="239" spans="1:13" x14ac:dyDescent="0.45">
      <c r="A239" t="s">
        <v>5</v>
      </c>
      <c r="B239" t="s">
        <v>93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22</v>
      </c>
    </row>
    <row r="240" spans="1:13" x14ac:dyDescent="0.45">
      <c r="A240" t="s">
        <v>5</v>
      </c>
      <c r="B240" t="s">
        <v>93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22</v>
      </c>
    </row>
    <row r="241" spans="1:13" x14ac:dyDescent="0.45">
      <c r="A241" t="s">
        <v>5</v>
      </c>
      <c r="B241" t="s">
        <v>93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22</v>
      </c>
    </row>
    <row r="242" spans="1:13" x14ac:dyDescent="0.45">
      <c r="A242" t="s">
        <v>7</v>
      </c>
      <c r="B242" t="s">
        <v>93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22</v>
      </c>
    </row>
    <row r="243" spans="1:13" x14ac:dyDescent="0.45">
      <c r="A243" t="s">
        <v>7</v>
      </c>
      <c r="B243" t="s">
        <v>93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22</v>
      </c>
    </row>
    <row r="244" spans="1:13" x14ac:dyDescent="0.45">
      <c r="A244" t="s">
        <v>7</v>
      </c>
      <c r="B244" t="s">
        <v>93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22</v>
      </c>
    </row>
    <row r="245" spans="1:13" x14ac:dyDescent="0.45">
      <c r="A245" t="s">
        <v>7</v>
      </c>
      <c r="B245" t="s">
        <v>93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22</v>
      </c>
    </row>
    <row r="246" spans="1:13" x14ac:dyDescent="0.45">
      <c r="A246" t="s">
        <v>7</v>
      </c>
      <c r="B246" t="s">
        <v>93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22</v>
      </c>
    </row>
    <row r="247" spans="1:13" x14ac:dyDescent="0.45">
      <c r="A247" t="s">
        <v>7</v>
      </c>
      <c r="B247" t="s">
        <v>93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22</v>
      </c>
    </row>
    <row r="248" spans="1:13" x14ac:dyDescent="0.45">
      <c r="A248" t="s">
        <v>7</v>
      </c>
      <c r="B248" t="s">
        <v>93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22</v>
      </c>
    </row>
    <row r="249" spans="1:13" x14ac:dyDescent="0.45">
      <c r="A249" t="s">
        <v>9</v>
      </c>
      <c r="B249" t="s">
        <v>93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22</v>
      </c>
    </row>
    <row r="250" spans="1:13" x14ac:dyDescent="0.45">
      <c r="A250" t="s">
        <v>9</v>
      </c>
      <c r="B250" t="s">
        <v>93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22</v>
      </c>
    </row>
    <row r="251" spans="1:13" x14ac:dyDescent="0.45">
      <c r="A251" t="s">
        <v>9</v>
      </c>
      <c r="B251" t="s">
        <v>93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22</v>
      </c>
    </row>
    <row r="252" spans="1:13" x14ac:dyDescent="0.45">
      <c r="A252" t="s">
        <v>9</v>
      </c>
      <c r="B252" t="s">
        <v>93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22</v>
      </c>
    </row>
    <row r="253" spans="1:13" x14ac:dyDescent="0.45">
      <c r="A253" t="s">
        <v>9</v>
      </c>
      <c r="B253" t="s">
        <v>93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22</v>
      </c>
    </row>
    <row r="254" spans="1:13" x14ac:dyDescent="0.45">
      <c r="A254" t="s">
        <v>9</v>
      </c>
      <c r="B254" t="s">
        <v>93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22</v>
      </c>
    </row>
    <row r="255" spans="1:13" x14ac:dyDescent="0.45">
      <c r="A255" t="s">
        <v>9</v>
      </c>
      <c r="B255" t="s">
        <v>93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22</v>
      </c>
    </row>
    <row r="256" spans="1:13" x14ac:dyDescent="0.45">
      <c r="A256" t="s">
        <v>0</v>
      </c>
      <c r="B256" t="s">
        <v>93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93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68</v>
      </c>
    </row>
    <row r="258" spans="1:13" x14ac:dyDescent="0.45">
      <c r="A258" t="s">
        <v>0</v>
      </c>
      <c r="B258" t="s">
        <v>93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68</v>
      </c>
    </row>
    <row r="259" spans="1:13" x14ac:dyDescent="0.45">
      <c r="A259" t="s">
        <v>0</v>
      </c>
      <c r="B259" t="s">
        <v>93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68</v>
      </c>
    </row>
    <row r="260" spans="1:13" x14ac:dyDescent="0.45">
      <c r="A260" t="s">
        <v>0</v>
      </c>
      <c r="B260" t="s">
        <v>93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68</v>
      </c>
    </row>
    <row r="261" spans="1:13" x14ac:dyDescent="0.45">
      <c r="A261" t="s">
        <v>0</v>
      </c>
      <c r="B261" t="s">
        <v>93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68</v>
      </c>
    </row>
    <row r="262" spans="1:13" x14ac:dyDescent="0.45">
      <c r="A262" t="s">
        <v>0</v>
      </c>
      <c r="B262" t="s">
        <v>93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68</v>
      </c>
    </row>
    <row r="263" spans="1:13" x14ac:dyDescent="0.45">
      <c r="A263" t="s">
        <v>2</v>
      </c>
      <c r="B263" t="s">
        <v>93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93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68</v>
      </c>
    </row>
    <row r="265" spans="1:13" x14ac:dyDescent="0.45">
      <c r="A265" t="s">
        <v>2</v>
      </c>
      <c r="B265" t="s">
        <v>93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68</v>
      </c>
    </row>
    <row r="266" spans="1:13" x14ac:dyDescent="0.45">
      <c r="A266" t="s">
        <v>2</v>
      </c>
      <c r="B266" t="s">
        <v>93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68</v>
      </c>
    </row>
    <row r="267" spans="1:13" x14ac:dyDescent="0.45">
      <c r="A267" t="s">
        <v>2</v>
      </c>
      <c r="B267" t="s">
        <v>93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68</v>
      </c>
    </row>
    <row r="268" spans="1:13" x14ac:dyDescent="0.45">
      <c r="A268" t="s">
        <v>2</v>
      </c>
      <c r="B268" t="s">
        <v>93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68</v>
      </c>
    </row>
    <row r="269" spans="1:13" x14ac:dyDescent="0.45">
      <c r="A269" t="s">
        <v>2</v>
      </c>
      <c r="B269" t="s">
        <v>93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68</v>
      </c>
    </row>
    <row r="270" spans="1:13" x14ac:dyDescent="0.45">
      <c r="A270" t="s">
        <v>5</v>
      </c>
      <c r="B270" t="s">
        <v>93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93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68</v>
      </c>
    </row>
    <row r="272" spans="1:13" x14ac:dyDescent="0.45">
      <c r="A272" t="s">
        <v>5</v>
      </c>
      <c r="B272" t="s">
        <v>93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68</v>
      </c>
    </row>
    <row r="273" spans="1:13" x14ac:dyDescent="0.45">
      <c r="A273" t="s">
        <v>5</v>
      </c>
      <c r="B273" t="s">
        <v>93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68</v>
      </c>
    </row>
    <row r="274" spans="1:13" x14ac:dyDescent="0.45">
      <c r="A274" t="s">
        <v>5</v>
      </c>
      <c r="B274" t="s">
        <v>93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68</v>
      </c>
    </row>
    <row r="275" spans="1:13" x14ac:dyDescent="0.45">
      <c r="A275" t="s">
        <v>5</v>
      </c>
      <c r="B275" t="s">
        <v>93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68</v>
      </c>
    </row>
    <row r="276" spans="1:13" x14ac:dyDescent="0.45">
      <c r="A276" t="s">
        <v>5</v>
      </c>
      <c r="B276" t="s">
        <v>93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68</v>
      </c>
    </row>
    <row r="277" spans="1:13" x14ac:dyDescent="0.45">
      <c r="A277" t="s">
        <v>7</v>
      </c>
      <c r="B277" t="s">
        <v>93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93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68</v>
      </c>
    </row>
    <row r="279" spans="1:13" x14ac:dyDescent="0.45">
      <c r="A279" t="s">
        <v>7</v>
      </c>
      <c r="B279" t="s">
        <v>93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68</v>
      </c>
    </row>
    <row r="280" spans="1:13" x14ac:dyDescent="0.45">
      <c r="A280" t="s">
        <v>7</v>
      </c>
      <c r="B280" t="s">
        <v>93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68</v>
      </c>
    </row>
    <row r="281" spans="1:13" x14ac:dyDescent="0.45">
      <c r="A281" t="s">
        <v>7</v>
      </c>
      <c r="B281" t="s">
        <v>93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68</v>
      </c>
    </row>
    <row r="282" spans="1:13" x14ac:dyDescent="0.45">
      <c r="A282" t="s">
        <v>7</v>
      </c>
      <c r="B282" t="s">
        <v>93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68</v>
      </c>
    </row>
    <row r="283" spans="1:13" x14ac:dyDescent="0.45">
      <c r="A283" t="s">
        <v>7</v>
      </c>
      <c r="B283" t="s">
        <v>93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68</v>
      </c>
    </row>
    <row r="284" spans="1:13" x14ac:dyDescent="0.45">
      <c r="A284" t="s">
        <v>9</v>
      </c>
      <c r="B284" t="s">
        <v>93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93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68</v>
      </c>
    </row>
    <row r="286" spans="1:13" x14ac:dyDescent="0.45">
      <c r="A286" t="s">
        <v>9</v>
      </c>
      <c r="B286" t="s">
        <v>93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68</v>
      </c>
    </row>
    <row r="287" spans="1:13" x14ac:dyDescent="0.45">
      <c r="A287" t="s">
        <v>9</v>
      </c>
      <c r="B287" t="s">
        <v>93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68</v>
      </c>
    </row>
    <row r="288" spans="1:13" x14ac:dyDescent="0.45">
      <c r="A288" t="s">
        <v>9</v>
      </c>
      <c r="B288" t="s">
        <v>93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68</v>
      </c>
    </row>
    <row r="289" spans="1:13" x14ac:dyDescent="0.45">
      <c r="A289" t="s">
        <v>9</v>
      </c>
      <c r="B289" t="s">
        <v>93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68</v>
      </c>
    </row>
    <row r="290" spans="1:13" x14ac:dyDescent="0.45">
      <c r="A290" t="s">
        <v>9</v>
      </c>
      <c r="B290" t="s">
        <v>93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68</v>
      </c>
    </row>
    <row r="291" spans="1:13" x14ac:dyDescent="0.45">
      <c r="A291" t="s">
        <v>0</v>
      </c>
      <c r="B291" t="s">
        <v>93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93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69</v>
      </c>
    </row>
    <row r="293" spans="1:13" x14ac:dyDescent="0.45">
      <c r="A293" t="s">
        <v>0</v>
      </c>
      <c r="B293" t="s">
        <v>93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69</v>
      </c>
    </row>
    <row r="294" spans="1:13" x14ac:dyDescent="0.45">
      <c r="A294" t="s">
        <v>0</v>
      </c>
      <c r="B294" t="s">
        <v>93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69</v>
      </c>
    </row>
    <row r="295" spans="1:13" x14ac:dyDescent="0.45">
      <c r="A295" t="s">
        <v>0</v>
      </c>
      <c r="B295" t="s">
        <v>93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69</v>
      </c>
    </row>
    <row r="296" spans="1:13" x14ac:dyDescent="0.45">
      <c r="A296" t="s">
        <v>0</v>
      </c>
      <c r="B296" t="s">
        <v>93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69</v>
      </c>
    </row>
    <row r="297" spans="1:13" x14ac:dyDescent="0.45">
      <c r="A297" t="s">
        <v>0</v>
      </c>
      <c r="B297" t="s">
        <v>93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69</v>
      </c>
    </row>
    <row r="298" spans="1:13" x14ac:dyDescent="0.45">
      <c r="A298" t="s">
        <v>2</v>
      </c>
      <c r="B298" t="s">
        <v>93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93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69</v>
      </c>
    </row>
    <row r="300" spans="1:13" x14ac:dyDescent="0.45">
      <c r="A300" t="s">
        <v>2</v>
      </c>
      <c r="B300" t="s">
        <v>93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69</v>
      </c>
    </row>
    <row r="301" spans="1:13" x14ac:dyDescent="0.45">
      <c r="A301" t="s">
        <v>2</v>
      </c>
      <c r="B301" t="s">
        <v>93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69</v>
      </c>
    </row>
    <row r="302" spans="1:13" x14ac:dyDescent="0.45">
      <c r="A302" t="s">
        <v>2</v>
      </c>
      <c r="B302" t="s">
        <v>93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69</v>
      </c>
    </row>
    <row r="303" spans="1:13" x14ac:dyDescent="0.45">
      <c r="A303" t="s">
        <v>2</v>
      </c>
      <c r="B303" t="s">
        <v>93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69</v>
      </c>
    </row>
    <row r="304" spans="1:13" x14ac:dyDescent="0.45">
      <c r="A304" t="s">
        <v>2</v>
      </c>
      <c r="B304" t="s">
        <v>93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69</v>
      </c>
    </row>
    <row r="305" spans="1:13" x14ac:dyDescent="0.45">
      <c r="A305" t="s">
        <v>5</v>
      </c>
      <c r="B305" t="s">
        <v>93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93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69</v>
      </c>
    </row>
    <row r="307" spans="1:13" x14ac:dyDescent="0.45">
      <c r="A307" t="s">
        <v>5</v>
      </c>
      <c r="B307" t="s">
        <v>93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69</v>
      </c>
    </row>
    <row r="308" spans="1:13" x14ac:dyDescent="0.45">
      <c r="A308" t="s">
        <v>5</v>
      </c>
      <c r="B308" t="s">
        <v>93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69</v>
      </c>
    </row>
    <row r="309" spans="1:13" x14ac:dyDescent="0.45">
      <c r="A309" t="s">
        <v>5</v>
      </c>
      <c r="B309" t="s">
        <v>93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69</v>
      </c>
    </row>
    <row r="310" spans="1:13" x14ac:dyDescent="0.45">
      <c r="A310" t="s">
        <v>5</v>
      </c>
      <c r="B310" t="s">
        <v>93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69</v>
      </c>
    </row>
    <row r="311" spans="1:13" x14ac:dyDescent="0.45">
      <c r="A311" t="s">
        <v>5</v>
      </c>
      <c r="B311" t="s">
        <v>93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69</v>
      </c>
    </row>
    <row r="312" spans="1:13" x14ac:dyDescent="0.45">
      <c r="A312" t="s">
        <v>7</v>
      </c>
      <c r="B312" t="s">
        <v>93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93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69</v>
      </c>
    </row>
    <row r="314" spans="1:13" x14ac:dyDescent="0.45">
      <c r="A314" t="s">
        <v>7</v>
      </c>
      <c r="B314" t="s">
        <v>93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69</v>
      </c>
    </row>
    <row r="315" spans="1:13" x14ac:dyDescent="0.45">
      <c r="A315" t="s">
        <v>7</v>
      </c>
      <c r="B315" t="s">
        <v>93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69</v>
      </c>
    </row>
    <row r="316" spans="1:13" x14ac:dyDescent="0.45">
      <c r="A316" t="s">
        <v>7</v>
      </c>
      <c r="B316" t="s">
        <v>93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69</v>
      </c>
    </row>
    <row r="317" spans="1:13" x14ac:dyDescent="0.45">
      <c r="A317" t="s">
        <v>7</v>
      </c>
      <c r="B317" t="s">
        <v>93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69</v>
      </c>
    </row>
    <row r="318" spans="1:13" x14ac:dyDescent="0.45">
      <c r="A318" t="s">
        <v>7</v>
      </c>
      <c r="B318" t="s">
        <v>93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69</v>
      </c>
    </row>
    <row r="319" spans="1:13" x14ac:dyDescent="0.45">
      <c r="A319" t="s">
        <v>9</v>
      </c>
      <c r="B319" t="s">
        <v>93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93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93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69</v>
      </c>
    </row>
    <row r="322" spans="1:13" x14ac:dyDescent="0.45">
      <c r="A322" t="s">
        <v>9</v>
      </c>
      <c r="B322" t="s">
        <v>93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69</v>
      </c>
    </row>
    <row r="323" spans="1:13" x14ac:dyDescent="0.45">
      <c r="A323" t="s">
        <v>9</v>
      </c>
      <c r="B323" t="s">
        <v>93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69</v>
      </c>
    </row>
    <row r="324" spans="1:13" x14ac:dyDescent="0.45">
      <c r="A324" t="s">
        <v>9</v>
      </c>
      <c r="B324" t="s">
        <v>93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69</v>
      </c>
    </row>
    <row r="325" spans="1:13" x14ac:dyDescent="0.45">
      <c r="A325" t="s">
        <v>9</v>
      </c>
      <c r="B325" t="s">
        <v>93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69</v>
      </c>
    </row>
    <row r="326" spans="1:13" x14ac:dyDescent="0.45">
      <c r="A326" t="s">
        <v>0</v>
      </c>
      <c r="B326" t="s">
        <v>93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93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70</v>
      </c>
    </row>
    <row r="328" spans="1:13" x14ac:dyDescent="0.45">
      <c r="A328" t="s">
        <v>0</v>
      </c>
      <c r="B328" t="s">
        <v>93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70</v>
      </c>
    </row>
    <row r="329" spans="1:13" x14ac:dyDescent="0.45">
      <c r="A329" t="s">
        <v>0</v>
      </c>
      <c r="B329" t="s">
        <v>93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70</v>
      </c>
    </row>
    <row r="330" spans="1:13" x14ac:dyDescent="0.45">
      <c r="A330" t="s">
        <v>0</v>
      </c>
      <c r="B330" t="s">
        <v>93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70</v>
      </c>
    </row>
    <row r="331" spans="1:13" x14ac:dyDescent="0.45">
      <c r="A331" t="s">
        <v>0</v>
      </c>
      <c r="B331" t="s">
        <v>93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70</v>
      </c>
    </row>
    <row r="332" spans="1:13" x14ac:dyDescent="0.45">
      <c r="A332" t="s">
        <v>0</v>
      </c>
      <c r="B332" t="s">
        <v>93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70</v>
      </c>
    </row>
    <row r="333" spans="1:13" x14ac:dyDescent="0.45">
      <c r="A333" t="s">
        <v>2</v>
      </c>
      <c r="B333" t="s">
        <v>93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93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70</v>
      </c>
    </row>
    <row r="335" spans="1:13" x14ac:dyDescent="0.45">
      <c r="A335" t="s">
        <v>2</v>
      </c>
      <c r="B335" t="s">
        <v>93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70</v>
      </c>
    </row>
    <row r="336" spans="1:13" x14ac:dyDescent="0.45">
      <c r="A336" t="s">
        <v>2</v>
      </c>
      <c r="B336" t="s">
        <v>93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70</v>
      </c>
    </row>
    <row r="337" spans="1:13" x14ac:dyDescent="0.45">
      <c r="A337" t="s">
        <v>2</v>
      </c>
      <c r="B337" t="s">
        <v>93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70</v>
      </c>
    </row>
    <row r="338" spans="1:13" x14ac:dyDescent="0.45">
      <c r="A338" t="s">
        <v>2</v>
      </c>
      <c r="B338" t="s">
        <v>93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70</v>
      </c>
    </row>
    <row r="339" spans="1:13" x14ac:dyDescent="0.45">
      <c r="A339" t="s">
        <v>2</v>
      </c>
      <c r="B339" t="s">
        <v>93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70</v>
      </c>
    </row>
    <row r="340" spans="1:13" x14ac:dyDescent="0.45">
      <c r="A340" t="s">
        <v>5</v>
      </c>
      <c r="B340" t="s">
        <v>93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93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70</v>
      </c>
    </row>
    <row r="342" spans="1:13" x14ac:dyDescent="0.45">
      <c r="A342" t="s">
        <v>5</v>
      </c>
      <c r="B342" t="s">
        <v>93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70</v>
      </c>
    </row>
    <row r="343" spans="1:13" x14ac:dyDescent="0.45">
      <c r="A343" t="s">
        <v>5</v>
      </c>
      <c r="B343" t="s">
        <v>93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70</v>
      </c>
    </row>
    <row r="344" spans="1:13" x14ac:dyDescent="0.45">
      <c r="A344" t="s">
        <v>5</v>
      </c>
      <c r="B344" t="s">
        <v>93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70</v>
      </c>
    </row>
    <row r="345" spans="1:13" x14ac:dyDescent="0.45">
      <c r="A345" t="s">
        <v>5</v>
      </c>
      <c r="B345" t="s">
        <v>93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70</v>
      </c>
    </row>
    <row r="346" spans="1:13" x14ac:dyDescent="0.45">
      <c r="A346" t="s">
        <v>5</v>
      </c>
      <c r="B346" t="s">
        <v>93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70</v>
      </c>
    </row>
    <row r="347" spans="1:13" x14ac:dyDescent="0.45">
      <c r="A347" t="s">
        <v>7</v>
      </c>
      <c r="B347" t="s">
        <v>93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93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70</v>
      </c>
    </row>
    <row r="349" spans="1:13" x14ac:dyDescent="0.45">
      <c r="A349" t="s">
        <v>7</v>
      </c>
      <c r="B349" t="s">
        <v>93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70</v>
      </c>
    </row>
    <row r="350" spans="1:13" x14ac:dyDescent="0.45">
      <c r="A350" t="s">
        <v>7</v>
      </c>
      <c r="B350" t="s">
        <v>93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70</v>
      </c>
    </row>
    <row r="351" spans="1:13" x14ac:dyDescent="0.45">
      <c r="A351" t="s">
        <v>7</v>
      </c>
      <c r="B351" t="s">
        <v>93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70</v>
      </c>
    </row>
    <row r="352" spans="1:13" x14ac:dyDescent="0.45">
      <c r="A352" t="s">
        <v>7</v>
      </c>
      <c r="B352" t="s">
        <v>93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70</v>
      </c>
    </row>
    <row r="353" spans="1:13" x14ac:dyDescent="0.45">
      <c r="A353" t="s">
        <v>7</v>
      </c>
      <c r="B353" t="s">
        <v>93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70</v>
      </c>
    </row>
    <row r="354" spans="1:13" x14ac:dyDescent="0.45">
      <c r="A354" t="s">
        <v>9</v>
      </c>
      <c r="B354" t="s">
        <v>93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93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70</v>
      </c>
    </row>
    <row r="356" spans="1:13" x14ac:dyDescent="0.45">
      <c r="A356" t="s">
        <v>9</v>
      </c>
      <c r="B356" t="s">
        <v>93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70</v>
      </c>
    </row>
    <row r="357" spans="1:13" x14ac:dyDescent="0.45">
      <c r="A357" t="s">
        <v>9</v>
      </c>
      <c r="B357" t="s">
        <v>93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70</v>
      </c>
    </row>
    <row r="358" spans="1:13" x14ac:dyDescent="0.45">
      <c r="A358" t="s">
        <v>9</v>
      </c>
      <c r="B358" t="s">
        <v>93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70</v>
      </c>
    </row>
    <row r="359" spans="1:13" x14ac:dyDescent="0.45">
      <c r="A359" t="s">
        <v>9</v>
      </c>
      <c r="B359" t="s">
        <v>93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70</v>
      </c>
    </row>
    <row r="360" spans="1:13" x14ac:dyDescent="0.45">
      <c r="A360" t="s">
        <v>9</v>
      </c>
      <c r="B360" t="s">
        <v>93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70</v>
      </c>
    </row>
    <row r="361" spans="1:13" x14ac:dyDescent="0.45">
      <c r="A361" t="s">
        <v>0</v>
      </c>
      <c r="B361" t="s">
        <v>93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93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93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93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71</v>
      </c>
    </row>
    <row r="365" spans="1:13" x14ac:dyDescent="0.45">
      <c r="A365" t="s">
        <v>0</v>
      </c>
      <c r="B365" t="s">
        <v>93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71</v>
      </c>
    </row>
    <row r="366" spans="1:13" x14ac:dyDescent="0.45">
      <c r="A366" t="s">
        <v>0</v>
      </c>
      <c r="B366" t="s">
        <v>93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71</v>
      </c>
    </row>
    <row r="367" spans="1:13" x14ac:dyDescent="0.45">
      <c r="A367" t="s">
        <v>0</v>
      </c>
      <c r="B367" t="s">
        <v>93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71</v>
      </c>
    </row>
    <row r="368" spans="1:13" x14ac:dyDescent="0.45">
      <c r="A368" t="s">
        <v>2</v>
      </c>
      <c r="B368" t="s">
        <v>93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93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93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93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71</v>
      </c>
    </row>
    <row r="372" spans="1:13" x14ac:dyDescent="0.45">
      <c r="A372" t="s">
        <v>2</v>
      </c>
      <c r="B372" t="s">
        <v>93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71</v>
      </c>
    </row>
    <row r="373" spans="1:13" x14ac:dyDescent="0.45">
      <c r="A373" t="s">
        <v>2</v>
      </c>
      <c r="B373" t="s">
        <v>93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71</v>
      </c>
    </row>
    <row r="374" spans="1:13" x14ac:dyDescent="0.45">
      <c r="A374" t="s">
        <v>2</v>
      </c>
      <c r="B374" t="s">
        <v>93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71</v>
      </c>
    </row>
    <row r="375" spans="1:13" x14ac:dyDescent="0.45">
      <c r="A375" t="s">
        <v>5</v>
      </c>
      <c r="B375" t="s">
        <v>93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93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71</v>
      </c>
    </row>
    <row r="377" spans="1:13" x14ac:dyDescent="0.45">
      <c r="A377" t="s">
        <v>5</v>
      </c>
      <c r="B377" t="s">
        <v>93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71</v>
      </c>
    </row>
    <row r="378" spans="1:13" x14ac:dyDescent="0.45">
      <c r="A378" t="s">
        <v>5</v>
      </c>
      <c r="B378" t="s">
        <v>93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71</v>
      </c>
    </row>
    <row r="379" spans="1:13" x14ac:dyDescent="0.45">
      <c r="A379" t="s">
        <v>5</v>
      </c>
      <c r="B379" t="s">
        <v>93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71</v>
      </c>
    </row>
    <row r="380" spans="1:13" x14ac:dyDescent="0.45">
      <c r="A380" t="s">
        <v>5</v>
      </c>
      <c r="B380" t="s">
        <v>93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71</v>
      </c>
    </row>
    <row r="381" spans="1:13" x14ac:dyDescent="0.45">
      <c r="A381" t="s">
        <v>5</v>
      </c>
      <c r="B381" t="s">
        <v>93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71</v>
      </c>
    </row>
    <row r="382" spans="1:13" x14ac:dyDescent="0.45">
      <c r="A382" t="s">
        <v>7</v>
      </c>
      <c r="B382" t="s">
        <v>93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93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71</v>
      </c>
    </row>
    <row r="384" spans="1:13" x14ac:dyDescent="0.45">
      <c r="A384" t="s">
        <v>7</v>
      </c>
      <c r="B384" t="s">
        <v>93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71</v>
      </c>
    </row>
    <row r="385" spans="1:13" x14ac:dyDescent="0.45">
      <c r="A385" t="s">
        <v>7</v>
      </c>
      <c r="B385" t="s">
        <v>93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71</v>
      </c>
    </row>
    <row r="386" spans="1:13" x14ac:dyDescent="0.45">
      <c r="A386" t="s">
        <v>7</v>
      </c>
      <c r="B386" t="s">
        <v>93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71</v>
      </c>
    </row>
    <row r="387" spans="1:13" x14ac:dyDescent="0.45">
      <c r="A387" t="s">
        <v>7</v>
      </c>
      <c r="B387" t="s">
        <v>93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71</v>
      </c>
    </row>
    <row r="388" spans="1:13" x14ac:dyDescent="0.45">
      <c r="A388" t="s">
        <v>7</v>
      </c>
      <c r="B388" t="s">
        <v>93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71</v>
      </c>
    </row>
    <row r="389" spans="1:13" x14ac:dyDescent="0.45">
      <c r="A389" t="s">
        <v>9</v>
      </c>
      <c r="B389" t="s">
        <v>93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93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71</v>
      </c>
    </row>
    <row r="391" spans="1:13" x14ac:dyDescent="0.45">
      <c r="A391" t="s">
        <v>9</v>
      </c>
      <c r="B391" t="s">
        <v>93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93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71</v>
      </c>
    </row>
    <row r="393" spans="1:13" x14ac:dyDescent="0.45">
      <c r="A393" t="s">
        <v>9</v>
      </c>
      <c r="B393" t="s">
        <v>93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71</v>
      </c>
    </row>
    <row r="394" spans="1:13" x14ac:dyDescent="0.45">
      <c r="A394" t="s">
        <v>9</v>
      </c>
      <c r="B394" t="s">
        <v>93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71</v>
      </c>
    </row>
    <row r="395" spans="1:13" x14ac:dyDescent="0.45">
      <c r="A395" t="s">
        <v>9</v>
      </c>
      <c r="B395" t="s">
        <v>93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2026-10-19T18:38:42Z</dcterms:modified>
</cp:coreProperties>
</file>