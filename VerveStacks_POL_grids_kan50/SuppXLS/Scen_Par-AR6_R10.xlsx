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614ADB42-3F22-4961-AA96-B7671368E004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7" i="1" s="1"/>
  <c r="J42" i="1"/>
  <c r="J41" i="1"/>
  <c r="J49" i="1" s="1"/>
  <c r="D49" i="1"/>
  <c r="H46" i="1"/>
  <c r="I46" i="1"/>
  <c r="D48" i="1"/>
  <c r="D50" i="1"/>
  <c r="D47" i="1"/>
  <c r="F46" i="1"/>
  <c r="G46" i="1"/>
  <c r="J46" i="1"/>
  <c r="E48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T24" i="1"/>
  <c r="J50" i="1"/>
  <c r="U24" i="1" l="1"/>
  <c r="U25" i="1"/>
  <c r="Q24" i="1"/>
  <c r="S24" i="1"/>
  <c r="S25" i="1"/>
  <c r="P24" i="1"/>
  <c r="P25" i="1"/>
  <c r="R24" i="1"/>
  <c r="R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<sst xmlns="http://schemas.openxmlformats.org/spreadsheetml/2006/main" count="1689" uniqueCount="109">
  <si>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</si>
  <si>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</si>
  <si>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</si>
  <si>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</si>
  <si>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</si>
  <si>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</si>
  <si>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</si>
  <si>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</si>
  <si>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</si>
  <si>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</si>
  <si>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</si>
  <si>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</si>
  <si>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</si>
  <si>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</si>
  <si>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</si>
  <si>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</si>
  <si>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</si>
  <si>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</si>
  <si>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</si>
  <si>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</si>
  <si>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</si>
  <si>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</si>
  <si>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</si>
  <si>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</si>
  <si>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</si>
  <si>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</si>
  <si>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</si>
  <si>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</si>
  <si>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</si>
  <si>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</si>
  <si>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</si>
  <si>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</si>
  <si>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</si>
  <si>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</si>
  <si>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</si>
  <si>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</si>
  <si>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</si>
  <si>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</si>
  <si>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</si>
  <si>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</si>
  <si>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</si>
  <si>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</si>
  <si>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</si>
  <si>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</si>
  <si>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</si>
  <si>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</si>
  <si>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</si>
  <si>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</si>
  <si>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</si>
  <si>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</si>
  <si>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</si>
  <si>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</si>
  <si>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</si>
  <si>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</si>
  <si>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</si>
  <si>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</si>
  <si>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</si>
  <si>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</si>
  <si>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</si>
  <si>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</si>
  <si>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</si>
  <si>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</si>
  <si>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</si>
  <si>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</si>
  <si>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</si>
  <si>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</si>
  <si>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</si>
  <si>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</si>
  <si>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</si>
  <si>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</si>
  <si>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</si>
  <si>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</si>
  <si>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</si>
  <si>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</si>
  <si>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</si>
  <si>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</si>
  <si>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</si>
  <si>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</si>
  <si>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</si>
  <si>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</si>
  <si>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</si>
  <si>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</si>
  <si>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</si>
  <si>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</si>
  <si>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</si>
  <si>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</si>
  <si>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</si>
  <si>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</si>
  <si>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</si>
  <si>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</si>
  <si>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</si>
  <si>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</si>
  <si>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</si>
  <si>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R10EUROPE</t>
  </si>
  <si>
    <t>Heat growth relative to 2020</t>
  </si>
  <si>
    <t>base</t>
  </si>
  <si>
    <t>co2price</t>
  </si>
  <si>
    <t>heat_tfc_twh</t>
  </si>
  <si>
    <t>POL</t>
  </si>
  <si>
    <t>Pipeline gas, coal &amp; forest resources</t>
  </si>
  <si>
    <t>1-8</t>
  </si>
  <si>
    <t>chp_heat_twh</t>
  </si>
  <si>
    <t>heat_industry_twh</t>
  </si>
  <si>
    <t>heat_buildings_twh</t>
  </si>
  <si>
    <t>het_industry</t>
  </si>
  <si>
    <t>het_buildings</t>
  </si>
  <si>
    <t>~tfm_ins-ts: region=POL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</si>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</sst>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176.97</c:v>
                </c:pt>
                <c:pt idx="1">
                  <c:v>185.8185</c:v>
                </c:pt>
                <c:pt idx="2">
                  <c:v>207.05489999999998</c:v>
                </c:pt>
                <c:pt idx="3">
                  <c:v>228.29130000000001</c:v>
                </c:pt>
                <c:pt idx="4">
                  <c:v>251.29739999999998</c:v>
                </c:pt>
                <c:pt idx="5">
                  <c:v>281.38229999999999</c:v>
                </c:pt>
                <c:pt idx="6">
                  <c:v>306.15809999999999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100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96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95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95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95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95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7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98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176.97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9.7690000000000001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55.512999999999998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176.97</v>
      </c>
      <c r="P15" s="8">
        <f t="shared" ref="P15:U15" si="0">$N$11*E15</f>
        <v>185.8185</v>
      </c>
      <c r="Q15" s="8">
        <f t="shared" si="0"/>
        <v>207.05489999999998</v>
      </c>
      <c r="R15" s="8">
        <f t="shared" si="0"/>
        <v>228.29130000000001</v>
      </c>
      <c r="S15" s="8">
        <f t="shared" si="0"/>
        <v>251.29739999999998</v>
      </c>
      <c r="T15" s="8">
        <f t="shared" si="0"/>
        <v>281.38229999999999</v>
      </c>
      <c r="U15" s="8">
        <f t="shared" si="0"/>
        <v>306.15809999999999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6">
      <c r="N17" s="5" t="str">
        <f>"~TFM_INS-TS: region="&amp;$A$1</f>
        <v>~TFM_INS-TS: region=POL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65.478899999999996</v>
      </c>
      <c r="P20" s="6">
        <f t="shared" si="2"/>
        <v>65.036474999999996</v>
      </c>
      <c r="Q20" s="6">
        <f t="shared" si="2"/>
        <v>70.398665999999992</v>
      </c>
      <c r="R20" s="6">
        <f t="shared" si="2"/>
        <v>75.336129</v>
      </c>
      <c r="S20" s="6">
        <f t="shared" si="2"/>
        <v>75.389219999999995</v>
      </c>
      <c r="T20" s="6">
        <f t="shared" si="2"/>
        <v>81.600866999999994</v>
      </c>
      <c r="U20" s="6">
        <f t="shared" si="2"/>
        <v>91.847429999999989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104.41229999999999</v>
      </c>
      <c r="P21" s="6">
        <f t="shared" si="2"/>
        <v>109.632915</v>
      </c>
      <c r="Q21" s="6">
        <f t="shared" si="2"/>
        <v>122.16239099999999</v>
      </c>
      <c r="R21" s="6">
        <f t="shared" si="2"/>
        <v>132.40895399999999</v>
      </c>
      <c r="S21" s="6">
        <f t="shared" si="2"/>
        <v>145.75249199999999</v>
      </c>
      <c r="T21" s="6">
        <f t="shared" si="2"/>
        <v>157.57408800000002</v>
      </c>
      <c r="U21" s="6">
        <f t="shared" si="2"/>
        <v>165.32537400000001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5.3090999999999999</v>
      </c>
      <c r="P22" s="6">
        <f t="shared" ref="P22:U22" si="3">O22</f>
        <v>5.3090999999999999</v>
      </c>
      <c r="Q22" s="6">
        <f t="shared" si="3"/>
        <v>5.3090999999999999</v>
      </c>
      <c r="R22" s="6">
        <f t="shared" si="3"/>
        <v>5.3090999999999999</v>
      </c>
      <c r="S22" s="6">
        <f t="shared" si="3"/>
        <v>5.3090999999999999</v>
      </c>
      <c r="T22" s="6">
        <f t="shared" si="3"/>
        <v>5.3090999999999999</v>
      </c>
      <c r="U22" s="6">
        <f t="shared" si="3"/>
        <v>5.3090999999999999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1.7697000000000287</v>
      </c>
      <c r="P23" s="6">
        <f t="shared" si="4"/>
        <v>5.8400100000000066</v>
      </c>
      <c r="Q23" s="6">
        <f t="shared" si="4"/>
        <v>9.1847429999999974</v>
      </c>
      <c r="R23" s="6">
        <f t="shared" si="4"/>
        <v>15.237117000000012</v>
      </c>
      <c r="S23" s="6">
        <f t="shared" si="4"/>
        <v>24.846587999999997</v>
      </c>
      <c r="T23" s="6">
        <f t="shared" si="4"/>
        <v>36.898244999999974</v>
      </c>
      <c r="U23" s="6">
        <f t="shared" si="4"/>
        <v>43.676196000000004</v>
      </c>
      <c r="V23" t="s">
        <v>16</v>
      </c>
    </row>
    <row r="24" spans="2:24" x14ac:dyDescent="0.45">
      <c r="N24" s="18" t="s">
        <v>104</v>
      </c>
      <c r="O24" s="19">
        <f>N12</f>
        <v>9.7690000000000001</v>
      </c>
      <c r="P24" s="20">
        <f>$N$12*E16</f>
        <v>9.57362</v>
      </c>
      <c r="Q24" s="20">
        <f>$N$12*F16</f>
        <v>9.3782399999999999</v>
      </c>
      <c r="R24" s="20">
        <f t="shared" ref="R24:U24" si="5">$N$12*G16</f>
        <v>8.9874799999999997</v>
      </c>
      <c r="S24" s="20">
        <f t="shared" si="5"/>
        <v>8.2059599999999993</v>
      </c>
      <c r="T24" s="20">
        <f t="shared" si="5"/>
        <v>8.1082699999999992</v>
      </c>
      <c r="U24" s="20">
        <f t="shared" si="5"/>
        <v>7.8152000000000008</v>
      </c>
      <c r="V24" s="18" t="s">
        <v>16</v>
      </c>
    </row>
    <row r="25" spans="2:24" x14ac:dyDescent="0.45">
      <c r="N25" s="18" t="s">
        <v>105</v>
      </c>
      <c r="O25" s="19">
        <f>N13</f>
        <v>55.512999999999998</v>
      </c>
      <c r="P25" s="20">
        <f>$N$13*E16</f>
        <v>54.402739999999994</v>
      </c>
      <c r="Q25" s="20">
        <f t="shared" ref="Q25:U25" si="6">$N$13*F16</f>
        <v>53.292479999999998</v>
      </c>
      <c r="R25" s="20">
        <f t="shared" si="6"/>
        <v>51.071959999999997</v>
      </c>
      <c r="S25" s="20">
        <f t="shared" si="6"/>
        <v>46.630919999999996</v>
      </c>
      <c r="T25" s="20">
        <f t="shared" si="6"/>
        <v>46.075789999999998</v>
      </c>
      <c r="U25" s="20">
        <f t="shared" si="6"/>
        <v>44.410400000000003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region=POL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15.24</v>
      </c>
      <c r="N30" t="s">
        <v>30</v>
      </c>
      <c r="O30" s="3">
        <f>L30</f>
        <v>15.24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16.91</v>
      </c>
      <c r="N31" t="s">
        <v>33</v>
      </c>
      <c r="O31" s="3">
        <f>ABS(L31)</f>
        <v>16.91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649999999999999" thickBot="1" x14ac:dyDescent="0.6">
      <c r="B45" s="5" t="str">
        <f>"~TFM_INS-TS: region="&amp;$A$1&amp;"; attribute=flo_cost;pset_pn=-IMP*Z"</f>
        <v>~TFM_INS-TS: region=POL;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33.4</v>
      </c>
      <c r="E47">
        <f t="shared" si="9"/>
        <v>35.738</v>
      </c>
      <c r="F47">
        <f t="shared" si="9"/>
        <v>41.415999999999997</v>
      </c>
      <c r="G47">
        <f t="shared" si="9"/>
        <v>38.409999999999997</v>
      </c>
      <c r="H47">
        <f t="shared" si="9"/>
        <v>41.75</v>
      </c>
      <c r="I47">
        <f t="shared" si="9"/>
        <v>39.077999999999996</v>
      </c>
      <c r="J47">
        <f t="shared" si="9"/>
        <v>44.756</v>
      </c>
      <c r="M47">
        <f>HLOOKUP($B47&amp;"_"&amp;M$46,fuel_prices!$B$10:$I$100,MATCH($A$1,fuel_prices!$A$10:$A$100,0),FALSE)</f>
        <v>27.4</v>
      </c>
      <c r="N47">
        <f>HLOOKUP($B47&amp;"_"&amp;N$46,fuel_prices!$B$10:$I$100,MATCH($A$1,fuel_prices!$A$10:$A$100,0),FALSE)</f>
        <v>39.4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12.2</v>
      </c>
      <c r="E48">
        <f t="shared" si="9"/>
        <v>12.443999999999999</v>
      </c>
      <c r="F48">
        <f t="shared" si="9"/>
        <v>12.932</v>
      </c>
      <c r="G48">
        <f t="shared" si="9"/>
        <v>13.054</v>
      </c>
      <c r="H48">
        <f t="shared" si="9"/>
        <v>13.176</v>
      </c>
      <c r="I48">
        <f t="shared" si="9"/>
        <v>13.42</v>
      </c>
      <c r="J48">
        <f t="shared" si="9"/>
        <v>13.664</v>
      </c>
      <c r="M48">
        <f>HLOOKUP($B48&amp;"_"&amp;M$46,fuel_prices!$B$10:$I$100,MATCH($A$1,fuel_prices!$A$10:$A$100,0),FALSE)</f>
        <v>10.7</v>
      </c>
      <c r="N48">
        <f>HLOOKUP($B48&amp;"_"&amp;N$46,fuel_prices!$B$10:$I$100,MATCH($A$1,fuel_prices!$A$10:$A$100,0),FALSE)</f>
        <v>13.7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26</v>
      </c>
      <c r="J50">
        <f>VLOOKUP($C$15,$AF$9:$AH$16,3,FALSE)*D50</f>
        <v>78</v>
      </c>
      <c r="M50">
        <f>HLOOKUP($B50&amp;"_"&amp;M$46,fuel_prices!$B$10:$I$100,MATCH($A$1,fuel_prices!$A$10:$A$100,0),FALSE)</f>
        <v>22</v>
      </c>
      <c r="N50">
        <f>HLOOKUP($B50&amp;"_"&amp;N$46,fuel_prices!$B$10:$I$100,MATCH($A$1,fuel_prices!$A$10:$A$100,0),FALSE)</f>
        <v>30</v>
      </c>
    </row>
    <row r="54" spans="1:14" x14ac:dyDescent="0.45">
      <c r="A54" t="s">
        <v>106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1.4550000000000001</v>
      </c>
      <c r="D56">
        <v>1.881</v>
      </c>
      <c r="E56">
        <v>1.881</v>
      </c>
      <c r="F56" t="s">
        <v>108</v>
      </c>
    </row>
    <row r="57" spans="1:14" x14ac:dyDescent="0.45">
      <c r="A57" t="s">
        <v>30</v>
      </c>
      <c r="B57" t="s">
        <v>107</v>
      </c>
      <c r="C57">
        <v>1.8</v>
      </c>
      <c r="D57">
        <v>3.3</v>
      </c>
      <c r="E57">
        <v>3.3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98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99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101</v>
      </c>
      <c r="K10" t="s">
        <v>97</v>
      </c>
      <c r="L10" t="s">
        <v>102</v>
      </c>
      <c r="M10" t="s">
        <v>103</v>
      </c>
    </row>
    <row r="11" spans="1:13" x14ac:dyDescent="0.45">
      <c r="A11" t="s">
        <v>98</v>
      </c>
      <c r="B11">
        <v>2015</v>
      </c>
      <c r="C11">
        <v>58.76</v>
      </c>
      <c r="D11">
        <v>75.23</v>
      </c>
      <c r="E11">
        <v>3.09</v>
      </c>
      <c r="F11">
        <v>0.02</v>
      </c>
      <c r="G11">
        <v>14.46</v>
      </c>
      <c r="H11">
        <v>14.79</v>
      </c>
      <c r="I11">
        <v>164.23</v>
      </c>
      <c r="J11">
        <v>51.51</v>
      </c>
      <c r="K11">
        <v>63.417000000000002</v>
      </c>
      <c r="L11">
        <v>7.577</v>
      </c>
      <c r="M11">
        <v>55.84</v>
      </c>
    </row>
    <row r="12" spans="1:13" x14ac:dyDescent="0.45">
      <c r="A12" t="s">
        <v>98</v>
      </c>
      <c r="B12">
        <v>2016</v>
      </c>
      <c r="C12">
        <v>61.61</v>
      </c>
      <c r="D12">
        <v>78.34</v>
      </c>
      <c r="E12">
        <v>3.26</v>
      </c>
      <c r="F12">
        <v>0.02</v>
      </c>
      <c r="G12">
        <v>14.02</v>
      </c>
      <c r="H12">
        <v>12.02</v>
      </c>
      <c r="I12">
        <v>166.1</v>
      </c>
      <c r="J12">
        <v>52.508000000000003</v>
      </c>
      <c r="K12">
        <v>65.775999999999996</v>
      </c>
      <c r="L12">
        <v>7.8079999999999998</v>
      </c>
      <c r="M12">
        <v>57.968000000000004</v>
      </c>
    </row>
    <row r="13" spans="1:13" x14ac:dyDescent="0.45">
      <c r="A13" t="s">
        <v>98</v>
      </c>
      <c r="B13">
        <v>2017</v>
      </c>
      <c r="C13">
        <v>66.400000000000006</v>
      </c>
      <c r="D13">
        <v>77.92</v>
      </c>
      <c r="E13">
        <v>3.3</v>
      </c>
      <c r="F13">
        <v>0.03</v>
      </c>
      <c r="G13">
        <v>13.27</v>
      </c>
      <c r="H13">
        <v>10.98</v>
      </c>
      <c r="I13">
        <v>169.94</v>
      </c>
      <c r="J13">
        <v>54.637999999999998</v>
      </c>
      <c r="K13">
        <v>67.507000000000005</v>
      </c>
      <c r="L13">
        <v>8.2490000000000006</v>
      </c>
      <c r="M13">
        <v>59.258000000000003</v>
      </c>
    </row>
    <row r="14" spans="1:13" x14ac:dyDescent="0.45">
      <c r="A14" t="s">
        <v>98</v>
      </c>
      <c r="B14">
        <v>2018</v>
      </c>
      <c r="C14">
        <v>71.209999999999994</v>
      </c>
      <c r="D14">
        <v>80.58</v>
      </c>
      <c r="E14">
        <v>3.44</v>
      </c>
      <c r="F14">
        <v>0.03</v>
      </c>
      <c r="G14">
        <v>13.82</v>
      </c>
      <c r="H14">
        <v>8.1199999999999992</v>
      </c>
      <c r="I14">
        <v>169.56</v>
      </c>
      <c r="J14">
        <v>53.701000000000001</v>
      </c>
      <c r="K14">
        <v>65.034000000000006</v>
      </c>
      <c r="L14">
        <v>9.5869999999999997</v>
      </c>
      <c r="M14">
        <v>55.447000000000003</v>
      </c>
    </row>
    <row r="15" spans="1:13" x14ac:dyDescent="0.45">
      <c r="A15" t="s">
        <v>98</v>
      </c>
      <c r="B15">
        <v>2019</v>
      </c>
      <c r="C15">
        <v>73.83</v>
      </c>
      <c r="D15">
        <v>80.319999999999993</v>
      </c>
      <c r="E15">
        <v>3.38</v>
      </c>
      <c r="F15">
        <v>0.03</v>
      </c>
      <c r="G15">
        <v>17.87</v>
      </c>
      <c r="H15">
        <v>7.25</v>
      </c>
      <c r="I15">
        <v>163.22</v>
      </c>
      <c r="J15">
        <v>52.756999999999998</v>
      </c>
      <c r="K15">
        <v>64.430000000000007</v>
      </c>
      <c r="L15">
        <v>9.6519999999999992</v>
      </c>
      <c r="M15">
        <v>54.777999999999999</v>
      </c>
    </row>
    <row r="16" spans="1:13" x14ac:dyDescent="0.45">
      <c r="A16" t="s">
        <v>98</v>
      </c>
      <c r="B16">
        <v>2020</v>
      </c>
      <c r="C16">
        <v>73.010000000000005</v>
      </c>
      <c r="D16">
        <v>79.84</v>
      </c>
      <c r="E16">
        <v>3.1</v>
      </c>
      <c r="F16">
        <v>7.0000000000000007E-2</v>
      </c>
      <c r="G16">
        <v>20.62</v>
      </c>
      <c r="H16">
        <v>7.36</v>
      </c>
      <c r="I16">
        <v>157.13</v>
      </c>
      <c r="J16">
        <v>51.826999999999998</v>
      </c>
      <c r="K16">
        <v>65.027000000000001</v>
      </c>
      <c r="L16">
        <v>9.8190000000000008</v>
      </c>
      <c r="M16">
        <v>55.207999999999998</v>
      </c>
    </row>
    <row r="17" spans="1:13" x14ac:dyDescent="0.45">
      <c r="A17" t="s">
        <v>98</v>
      </c>
      <c r="B17">
        <v>2021</v>
      </c>
      <c r="C17">
        <v>75.22</v>
      </c>
      <c r="D17">
        <v>83.99</v>
      </c>
      <c r="E17">
        <v>3.33</v>
      </c>
      <c r="F17">
        <v>0.06</v>
      </c>
      <c r="G17">
        <v>15.1</v>
      </c>
      <c r="H17">
        <v>14.21</v>
      </c>
      <c r="I17">
        <v>178.79</v>
      </c>
      <c r="J17">
        <v>54.496000000000002</v>
      </c>
      <c r="K17">
        <v>69.337999999999994</v>
      </c>
      <c r="L17">
        <v>10.542</v>
      </c>
      <c r="M17">
        <v>58.795999999999999</v>
      </c>
    </row>
    <row r="18" spans="1:13" x14ac:dyDescent="0.45">
      <c r="A18" t="s">
        <v>98</v>
      </c>
      <c r="B18">
        <v>2022</v>
      </c>
      <c r="C18">
        <v>75.180000000000007</v>
      </c>
      <c r="D18">
        <v>83.17</v>
      </c>
      <c r="E18">
        <v>3.34</v>
      </c>
      <c r="F18">
        <v>0.17</v>
      </c>
      <c r="G18">
        <v>15.24</v>
      </c>
      <c r="H18">
        <v>16.91</v>
      </c>
      <c r="I18">
        <v>178.64</v>
      </c>
      <c r="J18">
        <v>50.323999999999998</v>
      </c>
      <c r="K18">
        <v>65.281999999999996</v>
      </c>
      <c r="L18">
        <v>9.7690000000000001</v>
      </c>
      <c r="M18">
        <v>55.512999999999998</v>
      </c>
    </row>
    <row r="19" spans="1:13" x14ac:dyDescent="0.45">
      <c r="A19" t="s">
        <v>98</v>
      </c>
      <c r="B19">
        <v>2023</v>
      </c>
      <c r="C19">
        <v>76.92</v>
      </c>
      <c r="D19">
        <v>79.83</v>
      </c>
      <c r="E19">
        <v>3.5</v>
      </c>
      <c r="F19">
        <v>0.23</v>
      </c>
      <c r="G19">
        <v>15.14</v>
      </c>
      <c r="H19">
        <v>11.4</v>
      </c>
      <c r="I19">
        <v>165.99</v>
      </c>
      <c r="J19">
        <v>49.042999999999999</v>
      </c>
      <c r="K19">
        <v>60.381</v>
      </c>
      <c r="L19">
        <v>8.3460000000000001</v>
      </c>
      <c r="M19">
        <v>52.034999999999997</v>
      </c>
    </row>
    <row r="20" spans="1:13" x14ac:dyDescent="0.45">
      <c r="A20" t="s">
        <v>98</v>
      </c>
      <c r="B20">
        <v>2024</v>
      </c>
      <c r="C20">
        <v>84.11</v>
      </c>
      <c r="D20">
        <v>82.19</v>
      </c>
      <c r="E20">
        <v>3.57</v>
      </c>
      <c r="F20">
        <v>0.37</v>
      </c>
      <c r="G20">
        <v>15.21</v>
      </c>
      <c r="H20">
        <v>13.25</v>
      </c>
      <c r="I20">
        <v>171.32</v>
      </c>
      <c r="J20">
        <v>47.503</v>
      </c>
      <c r="K20">
        <v>57.613999999999997</v>
      </c>
      <c r="L20">
        <v>8.0820000000000007</v>
      </c>
      <c r="M20">
        <v>49.531999999999996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93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93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93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93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93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93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93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93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93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93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93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93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93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93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93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93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93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93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93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93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93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93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93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93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93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93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93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93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93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93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93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93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93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93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93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93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93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93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93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93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93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93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93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93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93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93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93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93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93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93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93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93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93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93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93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93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93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93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93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93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93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93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93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93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93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93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94</v>
      </c>
    </row>
    <row r="82" spans="1:13" x14ac:dyDescent="0.45">
      <c r="A82" t="s">
        <v>0</v>
      </c>
      <c r="B82" t="s">
        <v>93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94</v>
      </c>
    </row>
    <row r="83" spans="1:13" x14ac:dyDescent="0.45">
      <c r="A83" t="s">
        <v>0</v>
      </c>
      <c r="B83" t="s">
        <v>93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94</v>
      </c>
    </row>
    <row r="84" spans="1:13" x14ac:dyDescent="0.45">
      <c r="A84" t="s">
        <v>0</v>
      </c>
      <c r="B84" t="s">
        <v>93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94</v>
      </c>
    </row>
    <row r="85" spans="1:13" x14ac:dyDescent="0.45">
      <c r="A85" t="s">
        <v>0</v>
      </c>
      <c r="B85" t="s">
        <v>93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94</v>
      </c>
    </row>
    <row r="86" spans="1:13" x14ac:dyDescent="0.45">
      <c r="A86" t="s">
        <v>0</v>
      </c>
      <c r="B86" t="s">
        <v>93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94</v>
      </c>
    </row>
    <row r="87" spans="1:13" x14ac:dyDescent="0.45">
      <c r="A87" t="s">
        <v>0</v>
      </c>
      <c r="B87" t="s">
        <v>93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94</v>
      </c>
    </row>
    <row r="88" spans="1:13" x14ac:dyDescent="0.45">
      <c r="A88" t="s">
        <v>2</v>
      </c>
      <c r="B88" t="s">
        <v>93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94</v>
      </c>
    </row>
    <row r="89" spans="1:13" x14ac:dyDescent="0.45">
      <c r="A89" t="s">
        <v>2</v>
      </c>
      <c r="B89" t="s">
        <v>93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94</v>
      </c>
    </row>
    <row r="90" spans="1:13" x14ac:dyDescent="0.45">
      <c r="A90" t="s">
        <v>2</v>
      </c>
      <c r="B90" t="s">
        <v>93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94</v>
      </c>
    </row>
    <row r="91" spans="1:13" x14ac:dyDescent="0.45">
      <c r="A91" t="s">
        <v>2</v>
      </c>
      <c r="B91" t="s">
        <v>93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94</v>
      </c>
    </row>
    <row r="92" spans="1:13" x14ac:dyDescent="0.45">
      <c r="A92" t="s">
        <v>2</v>
      </c>
      <c r="B92" t="s">
        <v>93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94</v>
      </c>
    </row>
    <row r="93" spans="1:13" x14ac:dyDescent="0.45">
      <c r="A93" t="s">
        <v>2</v>
      </c>
      <c r="B93" t="s">
        <v>93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94</v>
      </c>
    </row>
    <row r="94" spans="1:13" x14ac:dyDescent="0.45">
      <c r="A94" t="s">
        <v>2</v>
      </c>
      <c r="B94" t="s">
        <v>93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94</v>
      </c>
    </row>
    <row r="95" spans="1:13" x14ac:dyDescent="0.45">
      <c r="A95" t="s">
        <v>5</v>
      </c>
      <c r="B95" t="s">
        <v>93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94</v>
      </c>
    </row>
    <row r="96" spans="1:13" x14ac:dyDescent="0.45">
      <c r="A96" t="s">
        <v>5</v>
      </c>
      <c r="B96" t="s">
        <v>93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94</v>
      </c>
    </row>
    <row r="97" spans="1:13" x14ac:dyDescent="0.45">
      <c r="A97" t="s">
        <v>5</v>
      </c>
      <c r="B97" t="s">
        <v>93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94</v>
      </c>
    </row>
    <row r="98" spans="1:13" x14ac:dyDescent="0.45">
      <c r="A98" t="s">
        <v>5</v>
      </c>
      <c r="B98" t="s">
        <v>93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94</v>
      </c>
    </row>
    <row r="99" spans="1:13" x14ac:dyDescent="0.45">
      <c r="A99" t="s">
        <v>5</v>
      </c>
      <c r="B99" t="s">
        <v>93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94</v>
      </c>
    </row>
    <row r="100" spans="1:13" x14ac:dyDescent="0.45">
      <c r="A100" t="s">
        <v>5</v>
      </c>
      <c r="B100" t="s">
        <v>93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94</v>
      </c>
    </row>
    <row r="101" spans="1:13" x14ac:dyDescent="0.45">
      <c r="A101" t="s">
        <v>5</v>
      </c>
      <c r="B101" t="s">
        <v>93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94</v>
      </c>
    </row>
    <row r="102" spans="1:13" x14ac:dyDescent="0.45">
      <c r="A102" t="s">
        <v>7</v>
      </c>
      <c r="B102" t="s">
        <v>93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94</v>
      </c>
    </row>
    <row r="103" spans="1:13" x14ac:dyDescent="0.45">
      <c r="A103" t="s">
        <v>7</v>
      </c>
      <c r="B103" t="s">
        <v>93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94</v>
      </c>
    </row>
    <row r="104" spans="1:13" x14ac:dyDescent="0.45">
      <c r="A104" t="s">
        <v>7</v>
      </c>
      <c r="B104" t="s">
        <v>93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94</v>
      </c>
    </row>
    <row r="105" spans="1:13" x14ac:dyDescent="0.45">
      <c r="A105" t="s">
        <v>7</v>
      </c>
      <c r="B105" t="s">
        <v>93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94</v>
      </c>
    </row>
    <row r="106" spans="1:13" x14ac:dyDescent="0.45">
      <c r="A106" t="s">
        <v>7</v>
      </c>
      <c r="B106" t="s">
        <v>93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94</v>
      </c>
    </row>
    <row r="107" spans="1:13" x14ac:dyDescent="0.45">
      <c r="A107" t="s">
        <v>7</v>
      </c>
      <c r="B107" t="s">
        <v>93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94</v>
      </c>
    </row>
    <row r="108" spans="1:13" x14ac:dyDescent="0.45">
      <c r="A108" t="s">
        <v>7</v>
      </c>
      <c r="B108" t="s">
        <v>93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94</v>
      </c>
    </row>
    <row r="109" spans="1:13" x14ac:dyDescent="0.45">
      <c r="A109" t="s">
        <v>9</v>
      </c>
      <c r="B109" t="s">
        <v>93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94</v>
      </c>
    </row>
    <row r="110" spans="1:13" x14ac:dyDescent="0.45">
      <c r="A110" t="s">
        <v>9</v>
      </c>
      <c r="B110" t="s">
        <v>93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94</v>
      </c>
    </row>
    <row r="111" spans="1:13" x14ac:dyDescent="0.45">
      <c r="A111" t="s">
        <v>9</v>
      </c>
      <c r="B111" t="s">
        <v>93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94</v>
      </c>
    </row>
    <row r="112" spans="1:13" x14ac:dyDescent="0.45">
      <c r="A112" t="s">
        <v>9</v>
      </c>
      <c r="B112" t="s">
        <v>93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94</v>
      </c>
    </row>
    <row r="113" spans="1:13" x14ac:dyDescent="0.45">
      <c r="A113" t="s">
        <v>9</v>
      </c>
      <c r="B113" t="s">
        <v>93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94</v>
      </c>
    </row>
    <row r="114" spans="1:13" x14ac:dyDescent="0.45">
      <c r="A114" t="s">
        <v>9</v>
      </c>
      <c r="B114" t="s">
        <v>93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94</v>
      </c>
    </row>
    <row r="115" spans="1:13" x14ac:dyDescent="0.45">
      <c r="A115" t="s">
        <v>9</v>
      </c>
      <c r="B115" t="s">
        <v>93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94</v>
      </c>
    </row>
    <row r="116" spans="1:13" x14ac:dyDescent="0.45">
      <c r="A116" t="s">
        <v>0</v>
      </c>
      <c r="B116" t="s">
        <v>93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93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93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93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93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93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93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93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93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93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93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93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93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93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93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93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93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93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93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93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93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93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93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93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93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93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93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93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93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93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93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93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93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93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93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93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93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93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93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93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93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93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93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93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93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93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93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93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93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93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93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93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93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93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93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93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93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93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93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93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93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93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93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93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93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93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93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93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93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93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93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93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93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93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93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93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93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93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93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93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93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93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93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93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93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93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93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93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93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93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93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93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93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93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93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93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93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93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93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93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93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93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93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93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93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93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93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93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93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93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93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93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93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93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93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93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93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93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93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93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93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93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93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93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93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93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93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93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93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93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93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93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93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93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93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93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93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93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93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93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93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93</v>
      </c>
      <c r="C257">
        <v>2025</v>
      </c>
      <c r="D257">
        <v>34</v>
      </c>
      <c r="E257" t="e">
        <v>#NUM!</v>
      </c>
      <c r="F257">
        <v>2.42</v>
      </c>
      <c r="H257">
        <v>1.18</v>
      </c>
      <c r="I257" t="e">
        <v>#NUM!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93</v>
      </c>
      <c r="C258">
        <v>2030</v>
      </c>
      <c r="D258">
        <v>34</v>
      </c>
      <c r="E258" t="e">
        <v>#NUM!</v>
      </c>
      <c r="F258">
        <v>3.1</v>
      </c>
      <c r="H258">
        <v>1.71</v>
      </c>
      <c r="I258" t="e">
        <v>#NUM!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93</v>
      </c>
      <c r="C259">
        <v>2035</v>
      </c>
      <c r="D259">
        <v>34</v>
      </c>
      <c r="E259" t="e">
        <v>#NUM!</v>
      </c>
      <c r="F259">
        <v>3.54</v>
      </c>
      <c r="H259">
        <v>1.91</v>
      </c>
      <c r="I259" t="e">
        <v>#NUM!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93</v>
      </c>
      <c r="C260">
        <v>2040</v>
      </c>
      <c r="D260">
        <v>34</v>
      </c>
      <c r="E260" t="e">
        <v>#NUM!</v>
      </c>
      <c r="F260">
        <v>4.0999999999999996</v>
      </c>
      <c r="H260">
        <v>2.27</v>
      </c>
      <c r="I260" t="e">
        <v>#NUM!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93</v>
      </c>
      <c r="C261">
        <v>2045</v>
      </c>
      <c r="D261">
        <v>34</v>
      </c>
      <c r="E261" t="e">
        <v>#NUM!</v>
      </c>
      <c r="F261">
        <v>3.86</v>
      </c>
      <c r="H261">
        <v>2.54</v>
      </c>
      <c r="I261" t="e">
        <v>#NUM!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93</v>
      </c>
      <c r="C262">
        <v>2050</v>
      </c>
      <c r="D262">
        <v>34</v>
      </c>
      <c r="E262" t="e">
        <v>#NUM!</v>
      </c>
      <c r="F262">
        <v>3.59</v>
      </c>
      <c r="H262">
        <v>2.73</v>
      </c>
      <c r="I262" t="e">
        <v>#NUM!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93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93</v>
      </c>
      <c r="C264">
        <v>2025</v>
      </c>
      <c r="D264">
        <v>44</v>
      </c>
      <c r="E264" t="e">
        <v>#NUM!</v>
      </c>
      <c r="F264">
        <v>1.22</v>
      </c>
      <c r="H264">
        <v>0</v>
      </c>
      <c r="I264" t="e">
        <v>#NUM!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93</v>
      </c>
      <c r="C265">
        <v>2030</v>
      </c>
      <c r="D265">
        <v>44</v>
      </c>
      <c r="E265" t="e">
        <v>#NUM!</v>
      </c>
      <c r="F265">
        <v>1.5</v>
      </c>
      <c r="H265">
        <v>0</v>
      </c>
      <c r="I265" t="e">
        <v>#NUM!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93</v>
      </c>
      <c r="C266">
        <v>2035</v>
      </c>
      <c r="D266">
        <v>44</v>
      </c>
      <c r="E266" t="e">
        <v>#NUM!</v>
      </c>
      <c r="F266">
        <v>2.12</v>
      </c>
      <c r="H266">
        <v>0</v>
      </c>
      <c r="I266" t="e">
        <v>#NUM!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93</v>
      </c>
      <c r="C267">
        <v>2040</v>
      </c>
      <c r="D267">
        <v>44</v>
      </c>
      <c r="E267" t="e">
        <v>#NUM!</v>
      </c>
      <c r="F267">
        <v>2.5</v>
      </c>
      <c r="H267">
        <v>0</v>
      </c>
      <c r="I267" t="e">
        <v>#NUM!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93</v>
      </c>
      <c r="C268">
        <v>2045</v>
      </c>
      <c r="D268">
        <v>44</v>
      </c>
      <c r="E268" t="e">
        <v>#NUM!</v>
      </c>
      <c r="F268">
        <v>2.79</v>
      </c>
      <c r="H268">
        <v>0</v>
      </c>
      <c r="I268" t="e">
        <v>#NUM!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93</v>
      </c>
      <c r="C269">
        <v>2050</v>
      </c>
      <c r="D269">
        <v>44</v>
      </c>
      <c r="E269" t="e">
        <v>#NUM!</v>
      </c>
      <c r="F269">
        <v>2.95</v>
      </c>
      <c r="H269">
        <v>0</v>
      </c>
      <c r="I269" t="e">
        <v>#NUM!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93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93</v>
      </c>
      <c r="C271">
        <v>2025</v>
      </c>
      <c r="D271">
        <v>112</v>
      </c>
      <c r="E271" t="e">
        <v>#NUM!</v>
      </c>
      <c r="F271">
        <v>1.41</v>
      </c>
      <c r="H271">
        <v>0.98</v>
      </c>
      <c r="I271" t="e">
        <v>#NUM!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93</v>
      </c>
      <c r="C272">
        <v>2030</v>
      </c>
      <c r="D272">
        <v>112</v>
      </c>
      <c r="E272" t="e">
        <v>#NUM!</v>
      </c>
      <c r="F272">
        <v>2.04</v>
      </c>
      <c r="H272">
        <v>1.05</v>
      </c>
      <c r="I272" t="e">
        <v>#NUM!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93</v>
      </c>
      <c r="C273">
        <v>2035</v>
      </c>
      <c r="D273">
        <v>112</v>
      </c>
      <c r="E273" t="e">
        <v>#NUM!</v>
      </c>
      <c r="F273">
        <v>2.4</v>
      </c>
      <c r="H273">
        <v>1.05</v>
      </c>
      <c r="I273" t="e">
        <v>#NUM!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93</v>
      </c>
      <c r="C274">
        <v>2040</v>
      </c>
      <c r="D274">
        <v>112</v>
      </c>
      <c r="E274" t="e">
        <v>#NUM!</v>
      </c>
      <c r="F274">
        <v>2.6</v>
      </c>
      <c r="H274">
        <v>1.06</v>
      </c>
      <c r="I274" t="e">
        <v>#NUM!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93</v>
      </c>
      <c r="C275">
        <v>2045</v>
      </c>
      <c r="D275">
        <v>112</v>
      </c>
      <c r="E275" t="e">
        <v>#NUM!</v>
      </c>
      <c r="F275">
        <v>2.85</v>
      </c>
      <c r="H275">
        <v>1.08</v>
      </c>
      <c r="I275" t="e">
        <v>#NUM!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93</v>
      </c>
      <c r="C276">
        <v>2050</v>
      </c>
      <c r="D276">
        <v>112</v>
      </c>
      <c r="E276" t="e">
        <v>#NUM!</v>
      </c>
      <c r="F276">
        <v>2.97</v>
      </c>
      <c r="H276">
        <v>0</v>
      </c>
      <c r="I276" t="e">
        <v>#NUM!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93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93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93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93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93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93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93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93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93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93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93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93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93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93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93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93</v>
      </c>
      <c r="C292">
        <v>2025</v>
      </c>
      <c r="D292">
        <v>50</v>
      </c>
      <c r="E292" t="e">
        <v>#NUM!</v>
      </c>
      <c r="F292">
        <v>1.1000000000000001</v>
      </c>
      <c r="H292">
        <v>-4.33</v>
      </c>
      <c r="I292" t="e">
        <v>#NUM!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93</v>
      </c>
      <c r="C293">
        <v>2030</v>
      </c>
      <c r="D293">
        <v>50</v>
      </c>
      <c r="E293" t="e">
        <v>#NUM!</v>
      </c>
      <c r="F293">
        <v>1.77</v>
      </c>
      <c r="H293">
        <v>-6.1</v>
      </c>
      <c r="I293" t="e">
        <v>#NUM!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93</v>
      </c>
      <c r="C294">
        <v>2035</v>
      </c>
      <c r="D294">
        <v>50</v>
      </c>
      <c r="E294" t="e">
        <v>#NUM!</v>
      </c>
      <c r="F294">
        <v>1.87</v>
      </c>
      <c r="H294">
        <v>-6.86</v>
      </c>
      <c r="I294" t="e">
        <v>#NUM!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93</v>
      </c>
      <c r="C295">
        <v>2040</v>
      </c>
      <c r="D295">
        <v>50</v>
      </c>
      <c r="E295" t="e">
        <v>#NUM!</v>
      </c>
      <c r="F295">
        <v>1.96</v>
      </c>
      <c r="H295">
        <v>-9.2100000000000009</v>
      </c>
      <c r="I295" t="e">
        <v>#NUM!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93</v>
      </c>
      <c r="C296">
        <v>2045</v>
      </c>
      <c r="D296">
        <v>50</v>
      </c>
      <c r="E296" t="e">
        <v>#NUM!</v>
      </c>
      <c r="F296">
        <v>2.13</v>
      </c>
      <c r="H296">
        <v>-6.95</v>
      </c>
      <c r="I296" t="e">
        <v>#NUM!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93</v>
      </c>
      <c r="C297">
        <v>2050</v>
      </c>
      <c r="D297">
        <v>50</v>
      </c>
      <c r="E297" t="e">
        <v>#NUM!</v>
      </c>
      <c r="F297">
        <v>2</v>
      </c>
      <c r="H297">
        <v>-10.07</v>
      </c>
      <c r="I297" t="e">
        <v>#NUM!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93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93</v>
      </c>
      <c r="C299">
        <v>2025</v>
      </c>
      <c r="D299">
        <v>52</v>
      </c>
      <c r="E299" t="e">
        <v>#NUM!</v>
      </c>
      <c r="F299">
        <v>0.61</v>
      </c>
      <c r="H299">
        <v>0</v>
      </c>
      <c r="I299" t="e">
        <v>#NUM!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93</v>
      </c>
      <c r="C300">
        <v>2030</v>
      </c>
      <c r="D300">
        <v>63</v>
      </c>
      <c r="E300" t="e">
        <v>#NUM!</v>
      </c>
      <c r="F300">
        <v>1.07</v>
      </c>
      <c r="H300">
        <v>0</v>
      </c>
      <c r="I300" t="e">
        <v>#NUM!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93</v>
      </c>
      <c r="C301">
        <v>2035</v>
      </c>
      <c r="D301">
        <v>52</v>
      </c>
      <c r="E301" t="e">
        <v>#NUM!</v>
      </c>
      <c r="F301">
        <v>1.0900000000000001</v>
      </c>
      <c r="H301">
        <v>0</v>
      </c>
      <c r="I301" t="e">
        <v>#NUM!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93</v>
      </c>
      <c r="C302">
        <v>2040</v>
      </c>
      <c r="D302">
        <v>63</v>
      </c>
      <c r="E302" t="e">
        <v>#NUM!</v>
      </c>
      <c r="F302">
        <v>1.25</v>
      </c>
      <c r="H302">
        <v>0</v>
      </c>
      <c r="I302" t="e">
        <v>#NUM!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93</v>
      </c>
      <c r="C303">
        <v>2045</v>
      </c>
      <c r="D303">
        <v>52</v>
      </c>
      <c r="E303" t="e">
        <v>#NUM!</v>
      </c>
      <c r="F303">
        <v>1.35</v>
      </c>
      <c r="H303">
        <v>0</v>
      </c>
      <c r="I303" t="e">
        <v>#NUM!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93</v>
      </c>
      <c r="C304">
        <v>2050</v>
      </c>
      <c r="D304">
        <v>63</v>
      </c>
      <c r="E304" t="e">
        <v>#NUM!</v>
      </c>
      <c r="F304">
        <v>1.62</v>
      </c>
      <c r="H304">
        <v>-2.31</v>
      </c>
      <c r="I304" t="e">
        <v>#NUM!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93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93</v>
      </c>
      <c r="C306">
        <v>2025</v>
      </c>
      <c r="D306">
        <v>163</v>
      </c>
      <c r="E306" t="e">
        <v>#NUM!</v>
      </c>
      <c r="F306">
        <v>0.75</v>
      </c>
      <c r="H306">
        <v>0.46</v>
      </c>
      <c r="I306" t="e">
        <v>#NUM!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93</v>
      </c>
      <c r="C307">
        <v>2030</v>
      </c>
      <c r="D307">
        <v>166</v>
      </c>
      <c r="E307" t="e">
        <v>#NUM!</v>
      </c>
      <c r="F307">
        <v>1.1499999999999999</v>
      </c>
      <c r="H307">
        <v>0.51</v>
      </c>
      <c r="I307" t="e">
        <v>#NUM!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93</v>
      </c>
      <c r="C308">
        <v>2035</v>
      </c>
      <c r="D308">
        <v>163</v>
      </c>
      <c r="E308" t="e">
        <v>#NUM!</v>
      </c>
      <c r="F308">
        <v>1.21</v>
      </c>
      <c r="H308">
        <v>-0.95</v>
      </c>
      <c r="I308" t="e">
        <v>#NUM!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93</v>
      </c>
      <c r="C309">
        <v>2040</v>
      </c>
      <c r="D309">
        <v>166</v>
      </c>
      <c r="E309" t="e">
        <v>#NUM!</v>
      </c>
      <c r="F309">
        <v>1.28</v>
      </c>
      <c r="H309">
        <v>-1.8</v>
      </c>
      <c r="I309" t="e">
        <v>#NUM!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93</v>
      </c>
      <c r="C310">
        <v>2045</v>
      </c>
      <c r="D310">
        <v>163</v>
      </c>
      <c r="E310" t="e">
        <v>#NUM!</v>
      </c>
      <c r="F310">
        <v>1.48</v>
      </c>
      <c r="H310">
        <v>-5.93</v>
      </c>
      <c r="I310" t="e">
        <v>#NUM!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93</v>
      </c>
      <c r="C311">
        <v>2050</v>
      </c>
      <c r="D311">
        <v>166</v>
      </c>
      <c r="E311" t="e">
        <v>#NUM!</v>
      </c>
      <c r="F311">
        <v>1.59</v>
      </c>
      <c r="H311">
        <v>-5.35</v>
      </c>
      <c r="I311" t="e">
        <v>#NUM!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93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93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93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93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93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93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93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93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93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93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93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93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93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93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93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93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93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93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93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93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93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93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93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93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93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93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93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93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93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93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93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93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93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93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93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93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93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93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93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93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93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93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93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93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93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93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93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93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93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93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93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93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93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93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93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93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93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93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93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93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93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93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93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93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93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93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93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93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93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93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93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93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93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93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93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93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93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93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93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93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93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93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93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93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2026-10-19T19:03:14Z</dcterms:modified>
</cp:coreProperties>
</file>