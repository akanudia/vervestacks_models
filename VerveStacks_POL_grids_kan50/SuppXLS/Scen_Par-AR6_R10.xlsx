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1\SuppXLS\"/>
    </mc:Choice>
  </mc:AlternateContent>
  <xr:revisionPtr revIDLastSave="0" documentId="13_ncr:1_{AF46E494-DDEA-441F-B4D5-E295D03CA5F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E49" i="1"/>
  <c r="J47" i="1"/>
  <c r="F46" i="1"/>
  <c r="G46" i="1"/>
  <c r="J46" i="1"/>
  <c r="E48" i="1"/>
  <c r="O15" i="1"/>
  <c r="C26" i="1" l="1"/>
  <c r="J26" i="1" l="1"/>
  <c r="I26" i="1"/>
  <c r="T26" i="1" s="1"/>
  <c r="H26" i="1"/>
  <c r="S26" i="1" s="1"/>
  <c r="G26" i="1"/>
  <c r="R26" i="1" s="1"/>
  <c r="F26" i="1"/>
  <c r="Q26" i="1" s="1"/>
  <c r="U26" i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T24" i="1" l="1"/>
  <c r="S24" i="1"/>
  <c r="S25" i="1"/>
  <c r="Q24" i="1"/>
  <c r="P24" i="1"/>
  <c r="P25" i="1"/>
  <c r="R24" i="1"/>
  <c r="R25" i="1"/>
  <c r="U24" i="1"/>
  <c r="U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<sst xmlns="http://schemas.openxmlformats.org/spreadsheetml/2006/main" count="1549" uniqueCount="109">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</sst>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5" x14ac:dyDescent="0.25"/>
  <cols>
    <col min="1" max="1" width="6.42578125" bestFit="1" customWidth="1"/>
    <col min="2" max="6" width="10.5703125" customWidth="1"/>
    <col min="7" max="7" width="35.42578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7" x14ac:dyDescent="0.25">
      <c r="G1" s="16" t="s">
        <v>100</v>
      </c>
    </row>
    <row r="2" spans="1:7" x14ac:dyDescent="0.25">
      <c r="D2" s="1" t="str">
        <f>"~Inputcell: "&amp;_xlfn.TEXTJOIN(",",TRUE,B1:DZ1)</f>
        <v>~Inputcell: 1-8</v>
      </c>
    </row>
    <row r="3" spans="1:7" x14ac:dyDescent="0.25">
      <c r="D3" s="9">
        <v>3</v>
      </c>
    </row>
    <row r="5" spans="1:7" x14ac:dyDescent="0.25">
      <c r="D5" s="1" t="str">
        <f>VLOOKUP(D3,$C$9:$E$16,2,FALSE)</f>
        <v>base</v>
      </c>
      <c r="E5" s="1">
        <f>VLOOKUP(D3,$C$9:$E$16,3,FALSE)</f>
        <v>200</v>
      </c>
    </row>
    <row r="7" spans="1:7" x14ac:dyDescent="0.25">
      <c r="B7" s="13" t="s">
        <v>88</v>
      </c>
    </row>
    <row r="8" spans="1:7" ht="15.75" thickBot="1" x14ac:dyDescent="0.3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2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2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2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2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2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2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2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2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25">
      <c r="A17">
        <v>5</v>
      </c>
    </row>
    <row r="24" spans="1:1" ht="14.65" customHeight="1" x14ac:dyDescent="0.25"/>
    <row r="25" spans="1:1" ht="14.65" customHeight="1" x14ac:dyDescent="0.25"/>
    <row r="26" spans="1:1" ht="17.649999999999999" customHeight="1" x14ac:dyDescent="0.25"/>
    <row r="27" spans="1:1" ht="15" customHeight="1" x14ac:dyDescent="0.25"/>
    <row r="28" spans="1:1" ht="14.65" customHeight="1" x14ac:dyDescent="0.25"/>
    <row r="29" spans="1:1" ht="15" customHeight="1" x14ac:dyDescent="0.25"/>
    <row r="30" spans="1:1" ht="14.65" customHeight="1" x14ac:dyDescent="0.2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5" x14ac:dyDescent="0.25"/>
  <cols>
    <col min="1" max="1" width="10.5703125" customWidth="1"/>
    <col min="2" max="2" width="35.42578125" customWidth="1"/>
    <col min="3" max="3" width="9.7109375" bestFit="1" customWidth="1"/>
    <col min="4" max="5" width="5.28515625" bestFit="1" customWidth="1"/>
    <col min="6" max="6" width="7.28515625" bestFit="1" customWidth="1"/>
    <col min="7" max="9" width="5.28515625" bestFit="1" customWidth="1"/>
    <col min="10" max="10" width="6.28515625" bestFit="1" customWidth="1"/>
    <col min="14" max="14" width="14.7109375" bestFit="1" customWidth="1"/>
    <col min="28" max="28" width="2.7109375" bestFit="1" customWidth="1"/>
    <col min="29" max="29" width="9.28515625" bestFit="1" customWidth="1"/>
    <col min="30" max="30" width="6.28515625" bestFit="1" customWidth="1"/>
    <col min="31" max="31" width="2.7109375" bestFit="1" customWidth="1"/>
    <col min="32" max="32" width="3" bestFit="1" customWidth="1"/>
    <col min="33" max="33" width="12.5703125" bestFit="1" customWidth="1"/>
  </cols>
  <sheetData>
    <row r="1" spans="1:34" x14ac:dyDescent="0.25">
      <c r="A1" s="15" t="s">
        <v>98</v>
      </c>
      <c r="B1" s="16"/>
    </row>
    <row r="2" spans="1:34" x14ac:dyDescent="0.2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2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2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25">
      <c r="F5" s="10">
        <v>100</v>
      </c>
      <c r="G5" s="10" t="s">
        <v>7</v>
      </c>
    </row>
    <row r="6" spans="1:34" x14ac:dyDescent="0.25">
      <c r="F6" s="10">
        <v>0</v>
      </c>
      <c r="G6" s="10" t="s">
        <v>9</v>
      </c>
    </row>
    <row r="8" spans="1:34" x14ac:dyDescent="0.25">
      <c r="AH8" s="2" t="s">
        <v>92</v>
      </c>
    </row>
    <row r="9" spans="1:34" x14ac:dyDescent="0.25">
      <c r="N9" t="s">
        <v>4</v>
      </c>
      <c r="AF9" t="s">
        <v>0</v>
      </c>
      <c r="AG9" t="s">
        <v>83</v>
      </c>
      <c r="AH9" s="12">
        <v>5</v>
      </c>
    </row>
    <row r="10" spans="1:34" x14ac:dyDescent="0.25">
      <c r="N10" s="1">
        <v>2022</v>
      </c>
      <c r="AF10" t="s">
        <v>2</v>
      </c>
      <c r="AG10" t="s">
        <v>84</v>
      </c>
      <c r="AH10" s="12">
        <v>4</v>
      </c>
    </row>
    <row r="11" spans="1:34" ht="15.75" thickBot="1" x14ac:dyDescent="0.3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3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3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25"/>
    <row r="15" spans="1:34" ht="15.75" thickBot="1" x14ac:dyDescent="0.3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5.75" thickTop="1" x14ac:dyDescent="0.25">
      <c r="B16" t="s">
        <v>94</v>
      </c>
      <c r="D16" s="11">
        <f>SUMIFS(ar6_r10!$F$2:$F$99999,ar6_r10!$A$2:$A$99999,$C$15,ar6_r10!$C$2:$C$99999,D$18,ar6_r10!$M$2:$M$99999,$B16,ar6_r10!$B$2:$B$99999,$A$2)</f>
        <v>0</v>
      </c>
      <c r="E16" s="11">
        <f>SUMIFS(ar6_r10!$F$2:$F$99999,ar6_r10!$A$2:$A$99999,$C$15,ar6_r10!$C$2:$C$99999,E$18,ar6_r10!$M$2:$M$99999,$B16,ar6_r10!$B$2:$B$99999,$A$2)</f>
        <v>0</v>
      </c>
      <c r="F16" s="11">
        <f>SUMIFS(ar6_r10!$F$2:$F$99999,ar6_r10!$A$2:$A$99999,$C$15,ar6_r10!$C$2:$C$99999,F$18,ar6_r10!$M$2:$M$99999,$B16,ar6_r10!$B$2:$B$99999,$A$2)</f>
        <v>0</v>
      </c>
      <c r="G16" s="11">
        <f>SUMIFS(ar6_r10!$F$2:$F$99999,ar6_r10!$A$2:$A$99999,$C$15,ar6_r10!$C$2:$C$99999,G$18,ar6_r10!$M$2:$M$99999,$B16,ar6_r10!$B$2:$B$99999,$A$2)</f>
        <v>0</v>
      </c>
      <c r="H16" s="11">
        <f>SUMIFS(ar6_r10!$F$2:$F$99999,ar6_r10!$A$2:$A$99999,$C$15,ar6_r10!$C$2:$C$99999,H$18,ar6_r10!$M$2:$M$99999,$B16,ar6_r10!$B$2:$B$99999,$A$2)</f>
        <v>0</v>
      </c>
      <c r="I16" s="11">
        <f>SUMIFS(ar6_r10!$F$2:$F$99999,ar6_r10!$A$2:$A$99999,$C$15,ar6_r10!$C$2:$C$99999,I$18,ar6_r10!$M$2:$M$99999,$B16,ar6_r10!$B$2:$B$99999,$A$2)</f>
        <v>0</v>
      </c>
      <c r="J16" s="11">
        <f>SUMIFS(ar6_r10!$F$2:$F$99999,ar6_r10!$A$2:$A$99999,$C$15,ar6_r10!$C$2:$C$99999,J$18,ar6_r10!$M$2:$M$99999,$B16,ar6_r10!$B$2:$B$99999,$A$2)</f>
        <v>0</v>
      </c>
    </row>
    <row r="17" spans="2:24" ht="17.649999999999999" customHeight="1" thickBot="1" x14ac:dyDescent="0.35">
      <c r="N17" s="5" t="str">
        <f>"~TFM_INS-TS: region="&amp;$A$1</f>
        <v>~TFM_INS-TS: region=POL</v>
      </c>
    </row>
    <row r="18" spans="2:24" ht="15" customHeight="1" thickTop="1" thickBot="1" x14ac:dyDescent="0.3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2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2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2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2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2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25">
      <c r="N24" s="18" t="s">
        <v>104</v>
      </c>
      <c r="O24" s="19">
        <f>N12</f>
        <v>9.7690000000000001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25">
      <c r="N25" s="18" t="s">
        <v>105</v>
      </c>
      <c r="O25" s="19">
        <f>N13</f>
        <v>55.512999999999998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3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25"/>
    <row r="28" spans="2:24" ht="17.649999999999999" customHeight="1" thickBot="1" x14ac:dyDescent="0.35">
      <c r="N28" s="5" t="str">
        <f>"~TFM_INS-TS: region="&amp;$A$1</f>
        <v>~TFM_INS-TS: region=POL</v>
      </c>
    </row>
    <row r="29" spans="2:24" ht="15" customHeight="1" thickTop="1" thickBot="1" x14ac:dyDescent="0.3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3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3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25"/>
    <row r="38" spans="2:14" x14ac:dyDescent="0.25">
      <c r="B38" s="2" t="s">
        <v>9</v>
      </c>
    </row>
    <row r="39" spans="2:14" x14ac:dyDescent="0.2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2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2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2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8" thickBot="1" x14ac:dyDescent="0.35">
      <c r="B45" s="5" t="str">
        <f>"~TFM_INS-TS: region="&amp;$A$1&amp;"; attribute=flo_cost;pset_pn=-IMP*Z"</f>
        <v>~TFM_INS-TS: region=POL; attribute=flo_cost;pset_pn=-IMP*Z</v>
      </c>
    </row>
    <row r="46" spans="2:14" ht="15.75" thickTop="1" x14ac:dyDescent="0.2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2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2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2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2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25">
      <c r="A54" t="s">
        <v>106</v>
      </c>
    </row>
    <row r="55" spans="1:14" x14ac:dyDescent="0.2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2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2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7109375" bestFit="1" customWidth="1"/>
  </cols>
  <sheetData>
    <row r="1" spans="1:10" ht="22.15" customHeight="1" x14ac:dyDescent="0.25"/>
    <row r="9" spans="1:10" x14ac:dyDescent="0.25">
      <c r="A9" t="s">
        <v>58</v>
      </c>
    </row>
    <row r="10" spans="1:10" x14ac:dyDescent="0.2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2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  <col min="10" max="10" width="11.5703125" bestFit="1" customWidth="1"/>
  </cols>
  <sheetData>
    <row r="1" spans="1:13" ht="22.15" customHeight="1" x14ac:dyDescent="0.25"/>
    <row r="9" spans="1:13" x14ac:dyDescent="0.25">
      <c r="A9" t="s">
        <v>56</v>
      </c>
    </row>
    <row r="10" spans="1:13" x14ac:dyDescent="0.2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2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2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2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2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2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2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2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2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2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2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activeCell="A14" sqref="A14"/>
    </sheetView>
  </sheetViews>
  <sheetFormatPr defaultRowHeight="15" x14ac:dyDescent="0.25"/>
  <cols>
    <col min="1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57</v>
      </c>
    </row>
    <row r="10" spans="1:13" x14ac:dyDescent="0.2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2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2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2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2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2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2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2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2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2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2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2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2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2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2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2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2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2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2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2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2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2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2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2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2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2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2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2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2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2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2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2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2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2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2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2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2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2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2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2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2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2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2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2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2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2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2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2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2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2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2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2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2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2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2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2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2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2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2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2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2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2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2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2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2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2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25">
      <c r="A81" t="s">
        <v>0</v>
      </c>
      <c r="B81" t="s">
        <v>93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14</v>
      </c>
    </row>
    <row r="82" spans="1:13" x14ac:dyDescent="0.25">
      <c r="A82" t="s">
        <v>0</v>
      </c>
      <c r="B82" t="s">
        <v>93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14</v>
      </c>
    </row>
    <row r="83" spans="1:13" x14ac:dyDescent="0.25">
      <c r="A83" t="s">
        <v>0</v>
      </c>
      <c r="B83" t="s">
        <v>93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14</v>
      </c>
    </row>
    <row r="84" spans="1:13" x14ac:dyDescent="0.25">
      <c r="A84" t="s">
        <v>0</v>
      </c>
      <c r="B84" t="s">
        <v>93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14</v>
      </c>
    </row>
    <row r="85" spans="1:13" x14ac:dyDescent="0.25">
      <c r="A85" t="s">
        <v>0</v>
      </c>
      <c r="B85" t="s">
        <v>93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14</v>
      </c>
    </row>
    <row r="86" spans="1:13" x14ac:dyDescent="0.25">
      <c r="A86" t="s">
        <v>0</v>
      </c>
      <c r="B86" t="s">
        <v>93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14</v>
      </c>
    </row>
    <row r="87" spans="1:13" x14ac:dyDescent="0.25">
      <c r="A87" t="s">
        <v>0</v>
      </c>
      <c r="B87" t="s">
        <v>93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14</v>
      </c>
    </row>
    <row r="88" spans="1:13" x14ac:dyDescent="0.25">
      <c r="A88" t="s">
        <v>2</v>
      </c>
      <c r="B88" t="s">
        <v>93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14</v>
      </c>
    </row>
    <row r="89" spans="1:13" x14ac:dyDescent="0.25">
      <c r="A89" t="s">
        <v>2</v>
      </c>
      <c r="B89" t="s">
        <v>93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14</v>
      </c>
    </row>
    <row r="90" spans="1:13" x14ac:dyDescent="0.25">
      <c r="A90" t="s">
        <v>2</v>
      </c>
      <c r="B90" t="s">
        <v>93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14</v>
      </c>
    </row>
    <row r="91" spans="1:13" x14ac:dyDescent="0.25">
      <c r="A91" t="s">
        <v>2</v>
      </c>
      <c r="B91" t="s">
        <v>93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14</v>
      </c>
    </row>
    <row r="92" spans="1:13" x14ac:dyDescent="0.25">
      <c r="A92" t="s">
        <v>2</v>
      </c>
      <c r="B92" t="s">
        <v>93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14</v>
      </c>
    </row>
    <row r="93" spans="1:13" x14ac:dyDescent="0.25">
      <c r="A93" t="s">
        <v>2</v>
      </c>
      <c r="B93" t="s">
        <v>93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14</v>
      </c>
    </row>
    <row r="94" spans="1:13" x14ac:dyDescent="0.25">
      <c r="A94" t="s">
        <v>2</v>
      </c>
      <c r="B94" t="s">
        <v>93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14</v>
      </c>
    </row>
    <row r="95" spans="1:13" x14ac:dyDescent="0.25">
      <c r="A95" t="s">
        <v>5</v>
      </c>
      <c r="B95" t="s">
        <v>93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14</v>
      </c>
    </row>
    <row r="96" spans="1:13" x14ac:dyDescent="0.25">
      <c r="A96" t="s">
        <v>5</v>
      </c>
      <c r="B96" t="s">
        <v>93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14</v>
      </c>
    </row>
    <row r="97" spans="1:13" x14ac:dyDescent="0.25">
      <c r="A97" t="s">
        <v>5</v>
      </c>
      <c r="B97" t="s">
        <v>93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14</v>
      </c>
    </row>
    <row r="98" spans="1:13" x14ac:dyDescent="0.25">
      <c r="A98" t="s">
        <v>5</v>
      </c>
      <c r="B98" t="s">
        <v>93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14</v>
      </c>
    </row>
    <row r="99" spans="1:13" x14ac:dyDescent="0.25">
      <c r="A99" t="s">
        <v>5</v>
      </c>
      <c r="B99" t="s">
        <v>93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14</v>
      </c>
    </row>
    <row r="100" spans="1:13" x14ac:dyDescent="0.25">
      <c r="A100" t="s">
        <v>5</v>
      </c>
      <c r="B100" t="s">
        <v>93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14</v>
      </c>
    </row>
    <row r="101" spans="1:13" x14ac:dyDescent="0.25">
      <c r="A101" t="s">
        <v>5</v>
      </c>
      <c r="B101" t="s">
        <v>93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14</v>
      </c>
    </row>
    <row r="102" spans="1:13" x14ac:dyDescent="0.25">
      <c r="A102" t="s">
        <v>7</v>
      </c>
      <c r="B102" t="s">
        <v>93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14</v>
      </c>
    </row>
    <row r="103" spans="1:13" x14ac:dyDescent="0.25">
      <c r="A103" t="s">
        <v>7</v>
      </c>
      <c r="B103" t="s">
        <v>93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14</v>
      </c>
    </row>
    <row r="104" spans="1:13" x14ac:dyDescent="0.25">
      <c r="A104" t="s">
        <v>7</v>
      </c>
      <c r="B104" t="s">
        <v>93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14</v>
      </c>
    </row>
    <row r="105" spans="1:13" x14ac:dyDescent="0.25">
      <c r="A105" t="s">
        <v>7</v>
      </c>
      <c r="B105" t="s">
        <v>93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14</v>
      </c>
    </row>
    <row r="106" spans="1:13" x14ac:dyDescent="0.25">
      <c r="A106" t="s">
        <v>7</v>
      </c>
      <c r="B106" t="s">
        <v>93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14</v>
      </c>
    </row>
    <row r="107" spans="1:13" x14ac:dyDescent="0.25">
      <c r="A107" t="s">
        <v>7</v>
      </c>
      <c r="B107" t="s">
        <v>93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14</v>
      </c>
    </row>
    <row r="108" spans="1:13" x14ac:dyDescent="0.25">
      <c r="A108" t="s">
        <v>7</v>
      </c>
      <c r="B108" t="s">
        <v>93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14</v>
      </c>
    </row>
    <row r="109" spans="1:13" x14ac:dyDescent="0.25">
      <c r="A109" t="s">
        <v>9</v>
      </c>
      <c r="B109" t="s">
        <v>93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14</v>
      </c>
    </row>
    <row r="110" spans="1:13" x14ac:dyDescent="0.25">
      <c r="A110" t="s">
        <v>9</v>
      </c>
      <c r="B110" t="s">
        <v>93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14</v>
      </c>
    </row>
    <row r="111" spans="1:13" x14ac:dyDescent="0.25">
      <c r="A111" t="s">
        <v>9</v>
      </c>
      <c r="B111" t="s">
        <v>93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14</v>
      </c>
    </row>
    <row r="112" spans="1:13" x14ac:dyDescent="0.25">
      <c r="A112" t="s">
        <v>9</v>
      </c>
      <c r="B112" t="s">
        <v>93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14</v>
      </c>
    </row>
    <row r="113" spans="1:13" x14ac:dyDescent="0.25">
      <c r="A113" t="s">
        <v>9</v>
      </c>
      <c r="B113" t="s">
        <v>93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14</v>
      </c>
    </row>
    <row r="114" spans="1:13" x14ac:dyDescent="0.25">
      <c r="A114" t="s">
        <v>9</v>
      </c>
      <c r="B114" t="s">
        <v>93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14</v>
      </c>
    </row>
    <row r="115" spans="1:13" x14ac:dyDescent="0.25">
      <c r="A115" t="s">
        <v>9</v>
      </c>
      <c r="B115" t="s">
        <v>93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14</v>
      </c>
    </row>
    <row r="116" spans="1:13" x14ac:dyDescent="0.25">
      <c r="A116" t="s">
        <v>0</v>
      </c>
      <c r="B116" t="s">
        <v>93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17</v>
      </c>
    </row>
    <row r="117" spans="1:13" x14ac:dyDescent="0.25">
      <c r="A117" t="s">
        <v>0</v>
      </c>
      <c r="B117" t="s">
        <v>93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17</v>
      </c>
    </row>
    <row r="118" spans="1:13" x14ac:dyDescent="0.25">
      <c r="A118" t="s">
        <v>0</v>
      </c>
      <c r="B118" t="s">
        <v>93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17</v>
      </c>
    </row>
    <row r="119" spans="1:13" x14ac:dyDescent="0.25">
      <c r="A119" t="s">
        <v>0</v>
      </c>
      <c r="B119" t="s">
        <v>93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17</v>
      </c>
    </row>
    <row r="120" spans="1:13" x14ac:dyDescent="0.25">
      <c r="A120" t="s">
        <v>0</v>
      </c>
      <c r="B120" t="s">
        <v>93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17</v>
      </c>
    </row>
    <row r="121" spans="1:13" x14ac:dyDescent="0.25">
      <c r="A121" t="s">
        <v>0</v>
      </c>
      <c r="B121" t="s">
        <v>93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17</v>
      </c>
    </row>
    <row r="122" spans="1:13" x14ac:dyDescent="0.25">
      <c r="A122" t="s">
        <v>0</v>
      </c>
      <c r="B122" t="s">
        <v>93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17</v>
      </c>
    </row>
    <row r="123" spans="1:13" x14ac:dyDescent="0.25">
      <c r="A123" t="s">
        <v>2</v>
      </c>
      <c r="B123" t="s">
        <v>93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17</v>
      </c>
    </row>
    <row r="124" spans="1:13" x14ac:dyDescent="0.25">
      <c r="A124" t="s">
        <v>2</v>
      </c>
      <c r="B124" t="s">
        <v>93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17</v>
      </c>
    </row>
    <row r="125" spans="1:13" x14ac:dyDescent="0.25">
      <c r="A125" t="s">
        <v>2</v>
      </c>
      <c r="B125" t="s">
        <v>93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17</v>
      </c>
    </row>
    <row r="126" spans="1:13" x14ac:dyDescent="0.25">
      <c r="A126" t="s">
        <v>2</v>
      </c>
      <c r="B126" t="s">
        <v>93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17</v>
      </c>
    </row>
    <row r="127" spans="1:13" x14ac:dyDescent="0.25">
      <c r="A127" t="s">
        <v>2</v>
      </c>
      <c r="B127" t="s">
        <v>93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17</v>
      </c>
    </row>
    <row r="128" spans="1:13" x14ac:dyDescent="0.25">
      <c r="A128" t="s">
        <v>2</v>
      </c>
      <c r="B128" t="s">
        <v>93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17</v>
      </c>
    </row>
    <row r="129" spans="1:13" x14ac:dyDescent="0.25">
      <c r="A129" t="s">
        <v>2</v>
      </c>
      <c r="B129" t="s">
        <v>93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17</v>
      </c>
    </row>
    <row r="130" spans="1:13" x14ac:dyDescent="0.25">
      <c r="A130" t="s">
        <v>5</v>
      </c>
      <c r="B130" t="s">
        <v>93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17</v>
      </c>
    </row>
    <row r="131" spans="1:13" x14ac:dyDescent="0.25">
      <c r="A131" t="s">
        <v>5</v>
      </c>
      <c r="B131" t="s">
        <v>93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17</v>
      </c>
    </row>
    <row r="132" spans="1:13" x14ac:dyDescent="0.25">
      <c r="A132" t="s">
        <v>5</v>
      </c>
      <c r="B132" t="s">
        <v>93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17</v>
      </c>
    </row>
    <row r="133" spans="1:13" x14ac:dyDescent="0.25">
      <c r="A133" t="s">
        <v>5</v>
      </c>
      <c r="B133" t="s">
        <v>93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17</v>
      </c>
    </row>
    <row r="134" spans="1:13" x14ac:dyDescent="0.25">
      <c r="A134" t="s">
        <v>5</v>
      </c>
      <c r="B134" t="s">
        <v>93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17</v>
      </c>
    </row>
    <row r="135" spans="1:13" x14ac:dyDescent="0.25">
      <c r="A135" t="s">
        <v>5</v>
      </c>
      <c r="B135" t="s">
        <v>93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17</v>
      </c>
    </row>
    <row r="136" spans="1:13" x14ac:dyDescent="0.25">
      <c r="A136" t="s">
        <v>5</v>
      </c>
      <c r="B136" t="s">
        <v>93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17</v>
      </c>
    </row>
    <row r="137" spans="1:13" x14ac:dyDescent="0.25">
      <c r="A137" t="s">
        <v>7</v>
      </c>
      <c r="B137" t="s">
        <v>93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17</v>
      </c>
    </row>
    <row r="138" spans="1:13" x14ac:dyDescent="0.25">
      <c r="A138" t="s">
        <v>7</v>
      </c>
      <c r="B138" t="s">
        <v>93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17</v>
      </c>
    </row>
    <row r="139" spans="1:13" x14ac:dyDescent="0.25">
      <c r="A139" t="s">
        <v>7</v>
      </c>
      <c r="B139" t="s">
        <v>93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17</v>
      </c>
    </row>
    <row r="140" spans="1:13" x14ac:dyDescent="0.25">
      <c r="A140" t="s">
        <v>7</v>
      </c>
      <c r="B140" t="s">
        <v>93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17</v>
      </c>
    </row>
    <row r="141" spans="1:13" x14ac:dyDescent="0.25">
      <c r="A141" t="s">
        <v>7</v>
      </c>
      <c r="B141" t="s">
        <v>93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17</v>
      </c>
    </row>
    <row r="142" spans="1:13" x14ac:dyDescent="0.25">
      <c r="A142" t="s">
        <v>7</v>
      </c>
      <c r="B142" t="s">
        <v>93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17</v>
      </c>
    </row>
    <row r="143" spans="1:13" x14ac:dyDescent="0.25">
      <c r="A143" t="s">
        <v>7</v>
      </c>
      <c r="B143" t="s">
        <v>93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17</v>
      </c>
    </row>
    <row r="144" spans="1:13" x14ac:dyDescent="0.25">
      <c r="A144" t="s">
        <v>9</v>
      </c>
      <c r="B144" t="s">
        <v>93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17</v>
      </c>
    </row>
    <row r="145" spans="1:13" x14ac:dyDescent="0.25">
      <c r="A145" t="s">
        <v>9</v>
      </c>
      <c r="B145" t="s">
        <v>93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17</v>
      </c>
    </row>
    <row r="146" spans="1:13" x14ac:dyDescent="0.25">
      <c r="A146" t="s">
        <v>9</v>
      </c>
      <c r="B146" t="s">
        <v>93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17</v>
      </c>
    </row>
    <row r="147" spans="1:13" x14ac:dyDescent="0.25">
      <c r="A147" t="s">
        <v>9</v>
      </c>
      <c r="B147" t="s">
        <v>93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17</v>
      </c>
    </row>
    <row r="148" spans="1:13" x14ac:dyDescent="0.25">
      <c r="A148" t="s">
        <v>9</v>
      </c>
      <c r="B148" t="s">
        <v>93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17</v>
      </c>
    </row>
    <row r="149" spans="1:13" x14ac:dyDescent="0.25">
      <c r="A149" t="s">
        <v>9</v>
      </c>
      <c r="B149" t="s">
        <v>93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17</v>
      </c>
    </row>
    <row r="150" spans="1:13" x14ac:dyDescent="0.25">
      <c r="A150" t="s">
        <v>9</v>
      </c>
      <c r="B150" t="s">
        <v>93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17</v>
      </c>
    </row>
    <row r="151" spans="1:13" x14ac:dyDescent="0.25">
      <c r="A151" t="s">
        <v>0</v>
      </c>
      <c r="B151" t="s">
        <v>93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20</v>
      </c>
    </row>
    <row r="152" spans="1:13" x14ac:dyDescent="0.25">
      <c r="A152" t="s">
        <v>0</v>
      </c>
      <c r="B152" t="s">
        <v>93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20</v>
      </c>
    </row>
    <row r="153" spans="1:13" x14ac:dyDescent="0.25">
      <c r="A153" t="s">
        <v>0</v>
      </c>
      <c r="B153" t="s">
        <v>93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20</v>
      </c>
    </row>
    <row r="154" spans="1:13" x14ac:dyDescent="0.25">
      <c r="A154" t="s">
        <v>0</v>
      </c>
      <c r="B154" t="s">
        <v>93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20</v>
      </c>
    </row>
    <row r="155" spans="1:13" x14ac:dyDescent="0.25">
      <c r="A155" t="s">
        <v>0</v>
      </c>
      <c r="B155" t="s">
        <v>93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20</v>
      </c>
    </row>
    <row r="156" spans="1:13" x14ac:dyDescent="0.25">
      <c r="A156" t="s">
        <v>0</v>
      </c>
      <c r="B156" t="s">
        <v>93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20</v>
      </c>
    </row>
    <row r="157" spans="1:13" x14ac:dyDescent="0.25">
      <c r="A157" t="s">
        <v>0</v>
      </c>
      <c r="B157" t="s">
        <v>93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20</v>
      </c>
    </row>
    <row r="158" spans="1:13" x14ac:dyDescent="0.25">
      <c r="A158" t="s">
        <v>2</v>
      </c>
      <c r="B158" t="s">
        <v>93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20</v>
      </c>
    </row>
    <row r="159" spans="1:13" x14ac:dyDescent="0.25">
      <c r="A159" t="s">
        <v>2</v>
      </c>
      <c r="B159" t="s">
        <v>93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20</v>
      </c>
    </row>
    <row r="160" spans="1:13" x14ac:dyDescent="0.25">
      <c r="A160" t="s">
        <v>2</v>
      </c>
      <c r="B160" t="s">
        <v>93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20</v>
      </c>
    </row>
    <row r="161" spans="1:13" x14ac:dyDescent="0.25">
      <c r="A161" t="s">
        <v>2</v>
      </c>
      <c r="B161" t="s">
        <v>93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20</v>
      </c>
    </row>
    <row r="162" spans="1:13" x14ac:dyDescent="0.25">
      <c r="A162" t="s">
        <v>2</v>
      </c>
      <c r="B162" t="s">
        <v>93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20</v>
      </c>
    </row>
    <row r="163" spans="1:13" x14ac:dyDescent="0.25">
      <c r="A163" t="s">
        <v>2</v>
      </c>
      <c r="B163" t="s">
        <v>93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20</v>
      </c>
    </row>
    <row r="164" spans="1:13" x14ac:dyDescent="0.25">
      <c r="A164" t="s">
        <v>2</v>
      </c>
      <c r="B164" t="s">
        <v>93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20</v>
      </c>
    </row>
    <row r="165" spans="1:13" x14ac:dyDescent="0.25">
      <c r="A165" t="s">
        <v>5</v>
      </c>
      <c r="B165" t="s">
        <v>93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20</v>
      </c>
    </row>
    <row r="166" spans="1:13" x14ac:dyDescent="0.25">
      <c r="A166" t="s">
        <v>5</v>
      </c>
      <c r="B166" t="s">
        <v>93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20</v>
      </c>
    </row>
    <row r="167" spans="1:13" x14ac:dyDescent="0.25">
      <c r="A167" t="s">
        <v>5</v>
      </c>
      <c r="B167" t="s">
        <v>93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20</v>
      </c>
    </row>
    <row r="168" spans="1:13" x14ac:dyDescent="0.25">
      <c r="A168" t="s">
        <v>5</v>
      </c>
      <c r="B168" t="s">
        <v>93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20</v>
      </c>
    </row>
    <row r="169" spans="1:13" x14ac:dyDescent="0.25">
      <c r="A169" t="s">
        <v>5</v>
      </c>
      <c r="B169" t="s">
        <v>93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20</v>
      </c>
    </row>
    <row r="170" spans="1:13" x14ac:dyDescent="0.25">
      <c r="A170" t="s">
        <v>5</v>
      </c>
      <c r="B170" t="s">
        <v>93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20</v>
      </c>
    </row>
    <row r="171" spans="1:13" x14ac:dyDescent="0.25">
      <c r="A171" t="s">
        <v>5</v>
      </c>
      <c r="B171" t="s">
        <v>93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20</v>
      </c>
    </row>
    <row r="172" spans="1:13" x14ac:dyDescent="0.25">
      <c r="A172" t="s">
        <v>7</v>
      </c>
      <c r="B172" t="s">
        <v>93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20</v>
      </c>
    </row>
    <row r="173" spans="1:13" x14ac:dyDescent="0.25">
      <c r="A173" t="s">
        <v>7</v>
      </c>
      <c r="B173" t="s">
        <v>93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20</v>
      </c>
    </row>
    <row r="174" spans="1:13" x14ac:dyDescent="0.25">
      <c r="A174" t="s">
        <v>7</v>
      </c>
      <c r="B174" t="s">
        <v>93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20</v>
      </c>
    </row>
    <row r="175" spans="1:13" x14ac:dyDescent="0.25">
      <c r="A175" t="s">
        <v>7</v>
      </c>
      <c r="B175" t="s">
        <v>93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20</v>
      </c>
    </row>
    <row r="176" spans="1:13" x14ac:dyDescent="0.25">
      <c r="A176" t="s">
        <v>7</v>
      </c>
      <c r="B176" t="s">
        <v>93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20</v>
      </c>
    </row>
    <row r="177" spans="1:13" x14ac:dyDescent="0.25">
      <c r="A177" t="s">
        <v>7</v>
      </c>
      <c r="B177" t="s">
        <v>93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20</v>
      </c>
    </row>
    <row r="178" spans="1:13" x14ac:dyDescent="0.25">
      <c r="A178" t="s">
        <v>7</v>
      </c>
      <c r="B178" t="s">
        <v>93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20</v>
      </c>
    </row>
    <row r="179" spans="1:13" x14ac:dyDescent="0.25">
      <c r="A179" t="s">
        <v>9</v>
      </c>
      <c r="B179" t="s">
        <v>93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20</v>
      </c>
    </row>
    <row r="180" spans="1:13" x14ac:dyDescent="0.25">
      <c r="A180" t="s">
        <v>9</v>
      </c>
      <c r="B180" t="s">
        <v>93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20</v>
      </c>
    </row>
    <row r="181" spans="1:13" x14ac:dyDescent="0.25">
      <c r="A181" t="s">
        <v>9</v>
      </c>
      <c r="B181" t="s">
        <v>93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20</v>
      </c>
    </row>
    <row r="182" spans="1:13" x14ac:dyDescent="0.25">
      <c r="A182" t="s">
        <v>9</v>
      </c>
      <c r="B182" t="s">
        <v>93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20</v>
      </c>
    </row>
    <row r="183" spans="1:13" x14ac:dyDescent="0.25">
      <c r="A183" t="s">
        <v>9</v>
      </c>
      <c r="B183" t="s">
        <v>93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20</v>
      </c>
    </row>
    <row r="184" spans="1:13" x14ac:dyDescent="0.25">
      <c r="A184" t="s">
        <v>9</v>
      </c>
      <c r="B184" t="s">
        <v>93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20</v>
      </c>
    </row>
    <row r="185" spans="1:13" x14ac:dyDescent="0.25">
      <c r="A185" t="s">
        <v>9</v>
      </c>
      <c r="B185" t="s">
        <v>93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20</v>
      </c>
    </row>
    <row r="186" spans="1:13" x14ac:dyDescent="0.25">
      <c r="A186" t="s">
        <v>0</v>
      </c>
      <c r="B186" t="s">
        <v>93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22</v>
      </c>
    </row>
    <row r="187" spans="1:13" x14ac:dyDescent="0.25">
      <c r="A187" t="s">
        <v>0</v>
      </c>
      <c r="B187" t="s">
        <v>93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22</v>
      </c>
    </row>
    <row r="188" spans="1:13" x14ac:dyDescent="0.25">
      <c r="A188" t="s">
        <v>0</v>
      </c>
      <c r="B188" t="s">
        <v>93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22</v>
      </c>
    </row>
    <row r="189" spans="1:13" x14ac:dyDescent="0.25">
      <c r="A189" t="s">
        <v>0</v>
      </c>
      <c r="B189" t="s">
        <v>93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22</v>
      </c>
    </row>
    <row r="190" spans="1:13" x14ac:dyDescent="0.25">
      <c r="A190" t="s">
        <v>0</v>
      </c>
      <c r="B190" t="s">
        <v>93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22</v>
      </c>
    </row>
    <row r="191" spans="1:13" x14ac:dyDescent="0.25">
      <c r="A191" t="s">
        <v>0</v>
      </c>
      <c r="B191" t="s">
        <v>93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22</v>
      </c>
    </row>
    <row r="192" spans="1:13" x14ac:dyDescent="0.25">
      <c r="A192" t="s">
        <v>0</v>
      </c>
      <c r="B192" t="s">
        <v>93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22</v>
      </c>
    </row>
    <row r="193" spans="1:13" x14ac:dyDescent="0.25">
      <c r="A193" t="s">
        <v>2</v>
      </c>
      <c r="B193" t="s">
        <v>93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22</v>
      </c>
    </row>
    <row r="194" spans="1:13" x14ac:dyDescent="0.25">
      <c r="A194" t="s">
        <v>2</v>
      </c>
      <c r="B194" t="s">
        <v>93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22</v>
      </c>
    </row>
    <row r="195" spans="1:13" x14ac:dyDescent="0.25">
      <c r="A195" t="s">
        <v>2</v>
      </c>
      <c r="B195" t="s">
        <v>93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22</v>
      </c>
    </row>
    <row r="196" spans="1:13" x14ac:dyDescent="0.25">
      <c r="A196" t="s">
        <v>2</v>
      </c>
      <c r="B196" t="s">
        <v>93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22</v>
      </c>
    </row>
    <row r="197" spans="1:13" x14ac:dyDescent="0.25">
      <c r="A197" t="s">
        <v>2</v>
      </c>
      <c r="B197" t="s">
        <v>93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22</v>
      </c>
    </row>
    <row r="198" spans="1:13" x14ac:dyDescent="0.25">
      <c r="A198" t="s">
        <v>2</v>
      </c>
      <c r="B198" t="s">
        <v>93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22</v>
      </c>
    </row>
    <row r="199" spans="1:13" x14ac:dyDescent="0.25">
      <c r="A199" t="s">
        <v>2</v>
      </c>
      <c r="B199" t="s">
        <v>93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22</v>
      </c>
    </row>
    <row r="200" spans="1:13" x14ac:dyDescent="0.25">
      <c r="A200" t="s">
        <v>5</v>
      </c>
      <c r="B200" t="s">
        <v>93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22</v>
      </c>
    </row>
    <row r="201" spans="1:13" x14ac:dyDescent="0.25">
      <c r="A201" t="s">
        <v>5</v>
      </c>
      <c r="B201" t="s">
        <v>93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22</v>
      </c>
    </row>
    <row r="202" spans="1:13" x14ac:dyDescent="0.25">
      <c r="A202" t="s">
        <v>5</v>
      </c>
      <c r="B202" t="s">
        <v>93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22</v>
      </c>
    </row>
    <row r="203" spans="1:13" x14ac:dyDescent="0.25">
      <c r="A203" t="s">
        <v>5</v>
      </c>
      <c r="B203" t="s">
        <v>93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22</v>
      </c>
    </row>
    <row r="204" spans="1:13" x14ac:dyDescent="0.25">
      <c r="A204" t="s">
        <v>5</v>
      </c>
      <c r="B204" t="s">
        <v>93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22</v>
      </c>
    </row>
    <row r="205" spans="1:13" x14ac:dyDescent="0.25">
      <c r="A205" t="s">
        <v>5</v>
      </c>
      <c r="B205" t="s">
        <v>93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22</v>
      </c>
    </row>
    <row r="206" spans="1:13" x14ac:dyDescent="0.25">
      <c r="A206" t="s">
        <v>5</v>
      </c>
      <c r="B206" t="s">
        <v>93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22</v>
      </c>
    </row>
    <row r="207" spans="1:13" x14ac:dyDescent="0.25">
      <c r="A207" t="s">
        <v>7</v>
      </c>
      <c r="B207" t="s">
        <v>93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22</v>
      </c>
    </row>
    <row r="208" spans="1:13" x14ac:dyDescent="0.25">
      <c r="A208" t="s">
        <v>7</v>
      </c>
      <c r="B208" t="s">
        <v>93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22</v>
      </c>
    </row>
    <row r="209" spans="1:13" x14ac:dyDescent="0.25">
      <c r="A209" t="s">
        <v>7</v>
      </c>
      <c r="B209" t="s">
        <v>93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22</v>
      </c>
    </row>
    <row r="210" spans="1:13" x14ac:dyDescent="0.25">
      <c r="A210" t="s">
        <v>7</v>
      </c>
      <c r="B210" t="s">
        <v>93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22</v>
      </c>
    </row>
    <row r="211" spans="1:13" x14ac:dyDescent="0.25">
      <c r="A211" t="s">
        <v>7</v>
      </c>
      <c r="B211" t="s">
        <v>93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22</v>
      </c>
    </row>
    <row r="212" spans="1:13" x14ac:dyDescent="0.25">
      <c r="A212" t="s">
        <v>7</v>
      </c>
      <c r="B212" t="s">
        <v>93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22</v>
      </c>
    </row>
    <row r="213" spans="1:13" x14ac:dyDescent="0.25">
      <c r="A213" t="s">
        <v>7</v>
      </c>
      <c r="B213" t="s">
        <v>93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22</v>
      </c>
    </row>
    <row r="214" spans="1:13" x14ac:dyDescent="0.25">
      <c r="A214" t="s">
        <v>9</v>
      </c>
      <c r="B214" t="s">
        <v>93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22</v>
      </c>
    </row>
    <row r="215" spans="1:13" x14ac:dyDescent="0.25">
      <c r="A215" t="s">
        <v>9</v>
      </c>
      <c r="B215" t="s">
        <v>93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22</v>
      </c>
    </row>
    <row r="216" spans="1:13" x14ac:dyDescent="0.25">
      <c r="A216" t="s">
        <v>9</v>
      </c>
      <c r="B216" t="s">
        <v>93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22</v>
      </c>
    </row>
    <row r="217" spans="1:13" x14ac:dyDescent="0.25">
      <c r="A217" t="s">
        <v>9</v>
      </c>
      <c r="B217" t="s">
        <v>93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22</v>
      </c>
    </row>
    <row r="218" spans="1:13" x14ac:dyDescent="0.25">
      <c r="A218" t="s">
        <v>9</v>
      </c>
      <c r="B218" t="s">
        <v>93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22</v>
      </c>
    </row>
    <row r="219" spans="1:13" x14ac:dyDescent="0.25">
      <c r="A219" t="s">
        <v>9</v>
      </c>
      <c r="B219" t="s">
        <v>93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22</v>
      </c>
    </row>
    <row r="220" spans="1:13" x14ac:dyDescent="0.25">
      <c r="A220" t="s">
        <v>9</v>
      </c>
      <c r="B220" t="s">
        <v>93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22</v>
      </c>
    </row>
    <row r="221" spans="1:13" x14ac:dyDescent="0.25">
      <c r="A221" t="s">
        <v>0</v>
      </c>
      <c r="B221" t="s">
        <v>93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68</v>
      </c>
    </row>
    <row r="222" spans="1:13" x14ac:dyDescent="0.25">
      <c r="A222" t="s">
        <v>0</v>
      </c>
      <c r="B222" t="s">
        <v>93</v>
      </c>
      <c r="C222">
        <v>2025</v>
      </c>
      <c r="D222">
        <v>34</v>
      </c>
      <c r="E222" t="e">
        <v>#NUM!</v>
      </c>
      <c r="F222">
        <v>2.42</v>
      </c>
      <c r="H222">
        <v>1.18</v>
      </c>
      <c r="I222" t="e">
        <v>#NUM!</v>
      </c>
      <c r="J222">
        <v>2.0099999999999998</v>
      </c>
      <c r="K222">
        <v>2.75</v>
      </c>
      <c r="L222" t="s">
        <v>1</v>
      </c>
      <c r="M222" t="s">
        <v>68</v>
      </c>
    </row>
    <row r="223" spans="1:13" x14ac:dyDescent="0.25">
      <c r="A223" t="s">
        <v>0</v>
      </c>
      <c r="B223" t="s">
        <v>93</v>
      </c>
      <c r="C223">
        <v>2030</v>
      </c>
      <c r="D223">
        <v>34</v>
      </c>
      <c r="E223" t="e">
        <v>#NUM!</v>
      </c>
      <c r="F223">
        <v>3.1</v>
      </c>
      <c r="H223">
        <v>1.71</v>
      </c>
      <c r="I223" t="e">
        <v>#NUM!</v>
      </c>
      <c r="J223">
        <v>2.38</v>
      </c>
      <c r="K223">
        <v>3.46</v>
      </c>
      <c r="L223" t="s">
        <v>1</v>
      </c>
      <c r="M223" t="s">
        <v>68</v>
      </c>
    </row>
    <row r="224" spans="1:13" x14ac:dyDescent="0.25">
      <c r="A224" t="s">
        <v>0</v>
      </c>
      <c r="B224" t="s">
        <v>93</v>
      </c>
      <c r="C224">
        <v>2035</v>
      </c>
      <c r="D224">
        <v>34</v>
      </c>
      <c r="E224" t="e">
        <v>#NUM!</v>
      </c>
      <c r="F224">
        <v>3.54</v>
      </c>
      <c r="H224">
        <v>1.91</v>
      </c>
      <c r="I224" t="e">
        <v>#NUM!</v>
      </c>
      <c r="J224">
        <v>2.66</v>
      </c>
      <c r="K224">
        <v>4.16</v>
      </c>
      <c r="L224" t="s">
        <v>1</v>
      </c>
      <c r="M224" t="s">
        <v>68</v>
      </c>
    </row>
    <row r="225" spans="1:13" x14ac:dyDescent="0.25">
      <c r="A225" t="s">
        <v>0</v>
      </c>
      <c r="B225" t="s">
        <v>93</v>
      </c>
      <c r="C225">
        <v>2040</v>
      </c>
      <c r="D225">
        <v>34</v>
      </c>
      <c r="E225" t="e">
        <v>#NUM!</v>
      </c>
      <c r="F225">
        <v>4.0999999999999996</v>
      </c>
      <c r="H225">
        <v>2.27</v>
      </c>
      <c r="I225" t="e">
        <v>#NUM!</v>
      </c>
      <c r="J225">
        <v>2.96</v>
      </c>
      <c r="K225">
        <v>4.5199999999999996</v>
      </c>
      <c r="L225" t="s">
        <v>1</v>
      </c>
      <c r="M225" t="s">
        <v>68</v>
      </c>
    </row>
    <row r="226" spans="1:13" x14ac:dyDescent="0.25">
      <c r="A226" t="s">
        <v>0</v>
      </c>
      <c r="B226" t="s">
        <v>93</v>
      </c>
      <c r="C226">
        <v>2045</v>
      </c>
      <c r="D226">
        <v>34</v>
      </c>
      <c r="E226" t="e">
        <v>#NUM!</v>
      </c>
      <c r="F226">
        <v>3.86</v>
      </c>
      <c r="H226">
        <v>2.54</v>
      </c>
      <c r="I226" t="e">
        <v>#NUM!</v>
      </c>
      <c r="J226">
        <v>3.3</v>
      </c>
      <c r="K226">
        <v>4.8899999999999997</v>
      </c>
      <c r="L226" t="s">
        <v>1</v>
      </c>
      <c r="M226" t="s">
        <v>68</v>
      </c>
    </row>
    <row r="227" spans="1:13" x14ac:dyDescent="0.25">
      <c r="A227" t="s">
        <v>0</v>
      </c>
      <c r="B227" t="s">
        <v>93</v>
      </c>
      <c r="C227">
        <v>2050</v>
      </c>
      <c r="D227">
        <v>34</v>
      </c>
      <c r="E227" t="e">
        <v>#NUM!</v>
      </c>
      <c r="F227">
        <v>3.59</v>
      </c>
      <c r="H227">
        <v>2.73</v>
      </c>
      <c r="I227" t="e">
        <v>#NUM!</v>
      </c>
      <c r="J227">
        <v>3.07</v>
      </c>
      <c r="K227">
        <v>4.0599999999999996</v>
      </c>
      <c r="L227" t="s">
        <v>1</v>
      </c>
      <c r="M227" t="s">
        <v>68</v>
      </c>
    </row>
    <row r="228" spans="1:13" x14ac:dyDescent="0.25">
      <c r="A228" t="s">
        <v>2</v>
      </c>
      <c r="B228" t="s">
        <v>93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68</v>
      </c>
    </row>
    <row r="229" spans="1:13" x14ac:dyDescent="0.25">
      <c r="A229" t="s">
        <v>2</v>
      </c>
      <c r="B229" t="s">
        <v>93</v>
      </c>
      <c r="C229">
        <v>2025</v>
      </c>
      <c r="D229">
        <v>44</v>
      </c>
      <c r="E229" t="e">
        <v>#NUM!</v>
      </c>
      <c r="F229">
        <v>1.22</v>
      </c>
      <c r="H229">
        <v>0</v>
      </c>
      <c r="I229" t="e">
        <v>#NUM!</v>
      </c>
      <c r="J229">
        <v>1.1299999999999999</v>
      </c>
      <c r="K229">
        <v>1.35</v>
      </c>
      <c r="L229" t="s">
        <v>3</v>
      </c>
      <c r="M229" t="s">
        <v>68</v>
      </c>
    </row>
    <row r="230" spans="1:13" x14ac:dyDescent="0.25">
      <c r="A230" t="s">
        <v>2</v>
      </c>
      <c r="B230" t="s">
        <v>93</v>
      </c>
      <c r="C230">
        <v>2030</v>
      </c>
      <c r="D230">
        <v>44</v>
      </c>
      <c r="E230" t="e">
        <v>#NUM!</v>
      </c>
      <c r="F230">
        <v>1.5</v>
      </c>
      <c r="H230">
        <v>0</v>
      </c>
      <c r="I230" t="e">
        <v>#NUM!</v>
      </c>
      <c r="J230">
        <v>1.31</v>
      </c>
      <c r="K230">
        <v>1.83</v>
      </c>
      <c r="L230" t="s">
        <v>3</v>
      </c>
      <c r="M230" t="s">
        <v>68</v>
      </c>
    </row>
    <row r="231" spans="1:13" x14ac:dyDescent="0.25">
      <c r="A231" t="s">
        <v>2</v>
      </c>
      <c r="B231" t="s">
        <v>93</v>
      </c>
      <c r="C231">
        <v>2035</v>
      </c>
      <c r="D231">
        <v>44</v>
      </c>
      <c r="E231" t="e">
        <v>#NUM!</v>
      </c>
      <c r="F231">
        <v>2.12</v>
      </c>
      <c r="H231">
        <v>0</v>
      </c>
      <c r="I231" t="e">
        <v>#NUM!</v>
      </c>
      <c r="J231">
        <v>1.68</v>
      </c>
      <c r="K231">
        <v>2.46</v>
      </c>
      <c r="L231" t="s">
        <v>3</v>
      </c>
      <c r="M231" t="s">
        <v>68</v>
      </c>
    </row>
    <row r="232" spans="1:13" x14ac:dyDescent="0.25">
      <c r="A232" t="s">
        <v>2</v>
      </c>
      <c r="B232" t="s">
        <v>93</v>
      </c>
      <c r="C232">
        <v>2040</v>
      </c>
      <c r="D232">
        <v>44</v>
      </c>
      <c r="E232" t="e">
        <v>#NUM!</v>
      </c>
      <c r="F232">
        <v>2.5</v>
      </c>
      <c r="H232">
        <v>0</v>
      </c>
      <c r="I232" t="e">
        <v>#NUM!</v>
      </c>
      <c r="J232">
        <v>2</v>
      </c>
      <c r="K232">
        <v>2.94</v>
      </c>
      <c r="L232" t="s">
        <v>3</v>
      </c>
      <c r="M232" t="s">
        <v>68</v>
      </c>
    </row>
    <row r="233" spans="1:13" x14ac:dyDescent="0.25">
      <c r="A233" t="s">
        <v>2</v>
      </c>
      <c r="B233" t="s">
        <v>93</v>
      </c>
      <c r="C233">
        <v>2045</v>
      </c>
      <c r="D233">
        <v>44</v>
      </c>
      <c r="E233" t="e">
        <v>#NUM!</v>
      </c>
      <c r="F233">
        <v>2.79</v>
      </c>
      <c r="H233">
        <v>0</v>
      </c>
      <c r="I233" t="e">
        <v>#NUM!</v>
      </c>
      <c r="J233">
        <v>2.08</v>
      </c>
      <c r="K233">
        <v>3.44</v>
      </c>
      <c r="L233" t="s">
        <v>3</v>
      </c>
      <c r="M233" t="s">
        <v>68</v>
      </c>
    </row>
    <row r="234" spans="1:13" x14ac:dyDescent="0.25">
      <c r="A234" t="s">
        <v>2</v>
      </c>
      <c r="B234" t="s">
        <v>93</v>
      </c>
      <c r="C234">
        <v>2050</v>
      </c>
      <c r="D234">
        <v>44</v>
      </c>
      <c r="E234" t="e">
        <v>#NUM!</v>
      </c>
      <c r="F234">
        <v>2.95</v>
      </c>
      <c r="H234">
        <v>0</v>
      </c>
      <c r="I234" t="e">
        <v>#NUM!</v>
      </c>
      <c r="J234">
        <v>2.4900000000000002</v>
      </c>
      <c r="K234">
        <v>3.78</v>
      </c>
      <c r="L234" t="s">
        <v>3</v>
      </c>
      <c r="M234" t="s">
        <v>68</v>
      </c>
    </row>
    <row r="235" spans="1:13" x14ac:dyDescent="0.25">
      <c r="A235" t="s">
        <v>5</v>
      </c>
      <c r="B235" t="s">
        <v>93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68</v>
      </c>
    </row>
    <row r="236" spans="1:13" x14ac:dyDescent="0.25">
      <c r="A236" t="s">
        <v>5</v>
      </c>
      <c r="B236" t="s">
        <v>93</v>
      </c>
      <c r="C236">
        <v>2025</v>
      </c>
      <c r="D236">
        <v>112</v>
      </c>
      <c r="E236" t="e">
        <v>#NUM!</v>
      </c>
      <c r="F236">
        <v>1.41</v>
      </c>
      <c r="H236">
        <v>0.98</v>
      </c>
      <c r="I236" t="e">
        <v>#NUM!</v>
      </c>
      <c r="J236">
        <v>1.23</v>
      </c>
      <c r="K236">
        <v>1.96</v>
      </c>
      <c r="L236" t="s">
        <v>6</v>
      </c>
      <c r="M236" t="s">
        <v>68</v>
      </c>
    </row>
    <row r="237" spans="1:13" x14ac:dyDescent="0.25">
      <c r="A237" t="s">
        <v>5</v>
      </c>
      <c r="B237" t="s">
        <v>93</v>
      </c>
      <c r="C237">
        <v>2030</v>
      </c>
      <c r="D237">
        <v>112</v>
      </c>
      <c r="E237" t="e">
        <v>#NUM!</v>
      </c>
      <c r="F237">
        <v>2.04</v>
      </c>
      <c r="H237">
        <v>1.05</v>
      </c>
      <c r="I237" t="e">
        <v>#NUM!</v>
      </c>
      <c r="J237">
        <v>1.52</v>
      </c>
      <c r="K237">
        <v>2.5499999999999998</v>
      </c>
      <c r="L237" t="s">
        <v>6</v>
      </c>
      <c r="M237" t="s">
        <v>68</v>
      </c>
    </row>
    <row r="238" spans="1:13" x14ac:dyDescent="0.25">
      <c r="A238" t="s">
        <v>5</v>
      </c>
      <c r="B238" t="s">
        <v>93</v>
      </c>
      <c r="C238">
        <v>2035</v>
      </c>
      <c r="D238">
        <v>112</v>
      </c>
      <c r="E238" t="e">
        <v>#NUM!</v>
      </c>
      <c r="F238">
        <v>2.4</v>
      </c>
      <c r="H238">
        <v>1.05</v>
      </c>
      <c r="I238" t="e">
        <v>#NUM!</v>
      </c>
      <c r="J238">
        <v>1.71</v>
      </c>
      <c r="K238">
        <v>3.14</v>
      </c>
      <c r="L238" t="s">
        <v>6</v>
      </c>
      <c r="M238" t="s">
        <v>68</v>
      </c>
    </row>
    <row r="239" spans="1:13" x14ac:dyDescent="0.25">
      <c r="A239" t="s">
        <v>5</v>
      </c>
      <c r="B239" t="s">
        <v>93</v>
      </c>
      <c r="C239">
        <v>2040</v>
      </c>
      <c r="D239">
        <v>112</v>
      </c>
      <c r="E239" t="e">
        <v>#NUM!</v>
      </c>
      <c r="F239">
        <v>2.6</v>
      </c>
      <c r="H239">
        <v>1.06</v>
      </c>
      <c r="I239" t="e">
        <v>#NUM!</v>
      </c>
      <c r="J239">
        <v>1.85</v>
      </c>
      <c r="K239">
        <v>3.74</v>
      </c>
      <c r="L239" t="s">
        <v>6</v>
      </c>
      <c r="M239" t="s">
        <v>68</v>
      </c>
    </row>
    <row r="240" spans="1:13" x14ac:dyDescent="0.25">
      <c r="A240" t="s">
        <v>5</v>
      </c>
      <c r="B240" t="s">
        <v>93</v>
      </c>
      <c r="C240">
        <v>2045</v>
      </c>
      <c r="D240">
        <v>112</v>
      </c>
      <c r="E240" t="e">
        <v>#NUM!</v>
      </c>
      <c r="F240">
        <v>2.85</v>
      </c>
      <c r="H240">
        <v>1.08</v>
      </c>
      <c r="I240" t="e">
        <v>#NUM!</v>
      </c>
      <c r="J240">
        <v>2</v>
      </c>
      <c r="K240">
        <v>4.28</v>
      </c>
      <c r="L240" t="s">
        <v>6</v>
      </c>
      <c r="M240" t="s">
        <v>68</v>
      </c>
    </row>
    <row r="241" spans="1:13" x14ac:dyDescent="0.25">
      <c r="A241" t="s">
        <v>5</v>
      </c>
      <c r="B241" t="s">
        <v>93</v>
      </c>
      <c r="C241">
        <v>2050</v>
      </c>
      <c r="D241">
        <v>112</v>
      </c>
      <c r="E241" t="e">
        <v>#NUM!</v>
      </c>
      <c r="F241">
        <v>2.97</v>
      </c>
      <c r="H241">
        <v>0</v>
      </c>
      <c r="I241" t="e">
        <v>#NUM!</v>
      </c>
      <c r="J241">
        <v>2.15</v>
      </c>
      <c r="K241">
        <v>4.51</v>
      </c>
      <c r="L241" t="s">
        <v>6</v>
      </c>
      <c r="M241" t="s">
        <v>68</v>
      </c>
    </row>
    <row r="242" spans="1:13" x14ac:dyDescent="0.25">
      <c r="A242" t="s">
        <v>7</v>
      </c>
      <c r="B242" t="s">
        <v>93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68</v>
      </c>
    </row>
    <row r="243" spans="1:13" x14ac:dyDescent="0.25">
      <c r="A243" t="s">
        <v>7</v>
      </c>
      <c r="B243" t="s">
        <v>93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68</v>
      </c>
    </row>
    <row r="244" spans="1:13" x14ac:dyDescent="0.25">
      <c r="A244" t="s">
        <v>7</v>
      </c>
      <c r="B244" t="s">
        <v>93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68</v>
      </c>
    </row>
    <row r="245" spans="1:13" x14ac:dyDescent="0.25">
      <c r="A245" t="s">
        <v>7</v>
      </c>
      <c r="B245" t="s">
        <v>93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68</v>
      </c>
    </row>
    <row r="246" spans="1:13" x14ac:dyDescent="0.25">
      <c r="A246" t="s">
        <v>7</v>
      </c>
      <c r="B246" t="s">
        <v>93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68</v>
      </c>
    </row>
    <row r="247" spans="1:13" x14ac:dyDescent="0.25">
      <c r="A247" t="s">
        <v>7</v>
      </c>
      <c r="B247" t="s">
        <v>93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68</v>
      </c>
    </row>
    <row r="248" spans="1:13" x14ac:dyDescent="0.25">
      <c r="A248" t="s">
        <v>7</v>
      </c>
      <c r="B248" t="s">
        <v>93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68</v>
      </c>
    </row>
    <row r="249" spans="1:13" x14ac:dyDescent="0.25">
      <c r="A249" t="s">
        <v>9</v>
      </c>
      <c r="B249" t="s">
        <v>93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68</v>
      </c>
    </row>
    <row r="250" spans="1:13" x14ac:dyDescent="0.25">
      <c r="A250" t="s">
        <v>9</v>
      </c>
      <c r="B250" t="s">
        <v>93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68</v>
      </c>
    </row>
    <row r="251" spans="1:13" x14ac:dyDescent="0.25">
      <c r="A251" t="s">
        <v>9</v>
      </c>
      <c r="B251" t="s">
        <v>93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68</v>
      </c>
    </row>
    <row r="252" spans="1:13" x14ac:dyDescent="0.25">
      <c r="A252" t="s">
        <v>9</v>
      </c>
      <c r="B252" t="s">
        <v>93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68</v>
      </c>
    </row>
    <row r="253" spans="1:13" x14ac:dyDescent="0.25">
      <c r="A253" t="s">
        <v>9</v>
      </c>
      <c r="B253" t="s">
        <v>93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68</v>
      </c>
    </row>
    <row r="254" spans="1:13" x14ac:dyDescent="0.25">
      <c r="A254" t="s">
        <v>9</v>
      </c>
      <c r="B254" t="s">
        <v>93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68</v>
      </c>
    </row>
    <row r="255" spans="1:13" x14ac:dyDescent="0.25">
      <c r="A255" t="s">
        <v>9</v>
      </c>
      <c r="B255" t="s">
        <v>93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68</v>
      </c>
    </row>
    <row r="256" spans="1:13" x14ac:dyDescent="0.25">
      <c r="A256" t="s">
        <v>0</v>
      </c>
      <c r="B256" t="s">
        <v>93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25">
      <c r="A257" t="s">
        <v>0</v>
      </c>
      <c r="B257" t="s">
        <v>93</v>
      </c>
      <c r="C257">
        <v>2025</v>
      </c>
      <c r="D257">
        <v>50</v>
      </c>
      <c r="E257" t="e">
        <v>#NUM!</v>
      </c>
      <c r="F257">
        <v>1.1000000000000001</v>
      </c>
      <c r="H257">
        <v>-4.33</v>
      </c>
      <c r="I257" t="e">
        <v>#NUM!</v>
      </c>
      <c r="J257">
        <v>0.81</v>
      </c>
      <c r="K257">
        <v>1.5</v>
      </c>
      <c r="L257" t="s">
        <v>1</v>
      </c>
      <c r="M257" t="s">
        <v>69</v>
      </c>
    </row>
    <row r="258" spans="1:13" x14ac:dyDescent="0.25">
      <c r="A258" t="s">
        <v>0</v>
      </c>
      <c r="B258" t="s">
        <v>93</v>
      </c>
      <c r="C258">
        <v>2030</v>
      </c>
      <c r="D258">
        <v>50</v>
      </c>
      <c r="E258" t="e">
        <v>#NUM!</v>
      </c>
      <c r="F258">
        <v>1.77</v>
      </c>
      <c r="H258">
        <v>-6.1</v>
      </c>
      <c r="I258" t="e">
        <v>#NUM!</v>
      </c>
      <c r="J258">
        <v>1.27</v>
      </c>
      <c r="K258">
        <v>2.54</v>
      </c>
      <c r="L258" t="s">
        <v>1</v>
      </c>
      <c r="M258" t="s">
        <v>69</v>
      </c>
    </row>
    <row r="259" spans="1:13" x14ac:dyDescent="0.25">
      <c r="A259" t="s">
        <v>0</v>
      </c>
      <c r="B259" t="s">
        <v>93</v>
      </c>
      <c r="C259">
        <v>2035</v>
      </c>
      <c r="D259">
        <v>50</v>
      </c>
      <c r="E259" t="e">
        <v>#NUM!</v>
      </c>
      <c r="F259">
        <v>1.87</v>
      </c>
      <c r="H259">
        <v>-6.86</v>
      </c>
      <c r="I259" t="e">
        <v>#NUM!</v>
      </c>
      <c r="J259">
        <v>1.1499999999999999</v>
      </c>
      <c r="K259">
        <v>2.77</v>
      </c>
      <c r="L259" t="s">
        <v>1</v>
      </c>
      <c r="M259" t="s">
        <v>69</v>
      </c>
    </row>
    <row r="260" spans="1:13" x14ac:dyDescent="0.25">
      <c r="A260" t="s">
        <v>0</v>
      </c>
      <c r="B260" t="s">
        <v>93</v>
      </c>
      <c r="C260">
        <v>2040</v>
      </c>
      <c r="D260">
        <v>50</v>
      </c>
      <c r="E260" t="e">
        <v>#NUM!</v>
      </c>
      <c r="F260">
        <v>1.96</v>
      </c>
      <c r="H260">
        <v>-9.2100000000000009</v>
      </c>
      <c r="I260" t="e">
        <v>#NUM!</v>
      </c>
      <c r="J260">
        <v>1.31</v>
      </c>
      <c r="K260">
        <v>3.39</v>
      </c>
      <c r="L260" t="s">
        <v>1</v>
      </c>
      <c r="M260" t="s">
        <v>69</v>
      </c>
    </row>
    <row r="261" spans="1:13" x14ac:dyDescent="0.25">
      <c r="A261" t="s">
        <v>0</v>
      </c>
      <c r="B261" t="s">
        <v>93</v>
      </c>
      <c r="C261">
        <v>2045</v>
      </c>
      <c r="D261">
        <v>50</v>
      </c>
      <c r="E261" t="e">
        <v>#NUM!</v>
      </c>
      <c r="F261">
        <v>2.13</v>
      </c>
      <c r="H261">
        <v>-6.95</v>
      </c>
      <c r="I261" t="e">
        <v>#NUM!</v>
      </c>
      <c r="J261">
        <v>1.6</v>
      </c>
      <c r="K261">
        <v>3.41</v>
      </c>
      <c r="L261" t="s">
        <v>1</v>
      </c>
      <c r="M261" t="s">
        <v>69</v>
      </c>
    </row>
    <row r="262" spans="1:13" x14ac:dyDescent="0.25">
      <c r="A262" t="s">
        <v>0</v>
      </c>
      <c r="B262" t="s">
        <v>93</v>
      </c>
      <c r="C262">
        <v>2050</v>
      </c>
      <c r="D262">
        <v>50</v>
      </c>
      <c r="E262" t="e">
        <v>#NUM!</v>
      </c>
      <c r="F262">
        <v>2</v>
      </c>
      <c r="H262">
        <v>-10.07</v>
      </c>
      <c r="I262" t="e">
        <v>#NUM!</v>
      </c>
      <c r="J262">
        <v>1.55</v>
      </c>
      <c r="K262">
        <v>4.63</v>
      </c>
      <c r="L262" t="s">
        <v>1</v>
      </c>
      <c r="M262" t="s">
        <v>69</v>
      </c>
    </row>
    <row r="263" spans="1:13" x14ac:dyDescent="0.25">
      <c r="A263" t="s">
        <v>2</v>
      </c>
      <c r="B263" t="s">
        <v>93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25">
      <c r="A264" t="s">
        <v>2</v>
      </c>
      <c r="B264" t="s">
        <v>93</v>
      </c>
      <c r="C264">
        <v>2025</v>
      </c>
      <c r="D264">
        <v>52</v>
      </c>
      <c r="E264" t="e">
        <v>#NUM!</v>
      </c>
      <c r="F264">
        <v>0.61</v>
      </c>
      <c r="H264">
        <v>0</v>
      </c>
      <c r="I264" t="e">
        <v>#NUM!</v>
      </c>
      <c r="J264">
        <v>0.53</v>
      </c>
      <c r="K264">
        <v>0.89</v>
      </c>
      <c r="L264" t="s">
        <v>3</v>
      </c>
      <c r="M264" t="s">
        <v>69</v>
      </c>
    </row>
    <row r="265" spans="1:13" x14ac:dyDescent="0.25">
      <c r="A265" t="s">
        <v>2</v>
      </c>
      <c r="B265" t="s">
        <v>93</v>
      </c>
      <c r="C265">
        <v>2030</v>
      </c>
      <c r="D265">
        <v>63</v>
      </c>
      <c r="E265" t="e">
        <v>#NUM!</v>
      </c>
      <c r="F265">
        <v>1.07</v>
      </c>
      <c r="H265">
        <v>0</v>
      </c>
      <c r="I265" t="e">
        <v>#NUM!</v>
      </c>
      <c r="J265">
        <v>0.6</v>
      </c>
      <c r="K265">
        <v>1.55</v>
      </c>
      <c r="L265" t="s">
        <v>3</v>
      </c>
      <c r="M265" t="s">
        <v>69</v>
      </c>
    </row>
    <row r="266" spans="1:13" x14ac:dyDescent="0.25">
      <c r="A266" t="s">
        <v>2</v>
      </c>
      <c r="B266" t="s">
        <v>93</v>
      </c>
      <c r="C266">
        <v>2035</v>
      </c>
      <c r="D266">
        <v>52</v>
      </c>
      <c r="E266" t="e">
        <v>#NUM!</v>
      </c>
      <c r="F266">
        <v>1.0900000000000001</v>
      </c>
      <c r="H266">
        <v>0</v>
      </c>
      <c r="I266" t="e">
        <v>#NUM!</v>
      </c>
      <c r="J266">
        <v>0.6</v>
      </c>
      <c r="K266">
        <v>1.76</v>
      </c>
      <c r="L266" t="s">
        <v>3</v>
      </c>
      <c r="M266" t="s">
        <v>69</v>
      </c>
    </row>
    <row r="267" spans="1:13" x14ac:dyDescent="0.25">
      <c r="A267" t="s">
        <v>2</v>
      </c>
      <c r="B267" t="s">
        <v>93</v>
      </c>
      <c r="C267">
        <v>2040</v>
      </c>
      <c r="D267">
        <v>63</v>
      </c>
      <c r="E267" t="e">
        <v>#NUM!</v>
      </c>
      <c r="F267">
        <v>1.25</v>
      </c>
      <c r="H267">
        <v>0</v>
      </c>
      <c r="I267" t="e">
        <v>#NUM!</v>
      </c>
      <c r="J267">
        <v>0.87</v>
      </c>
      <c r="K267">
        <v>1.91</v>
      </c>
      <c r="L267" t="s">
        <v>3</v>
      </c>
      <c r="M267" t="s">
        <v>69</v>
      </c>
    </row>
    <row r="268" spans="1:13" x14ac:dyDescent="0.25">
      <c r="A268" t="s">
        <v>2</v>
      </c>
      <c r="B268" t="s">
        <v>93</v>
      </c>
      <c r="C268">
        <v>2045</v>
      </c>
      <c r="D268">
        <v>52</v>
      </c>
      <c r="E268" t="e">
        <v>#NUM!</v>
      </c>
      <c r="F268">
        <v>1.35</v>
      </c>
      <c r="H268">
        <v>0</v>
      </c>
      <c r="I268" t="e">
        <v>#NUM!</v>
      </c>
      <c r="J268">
        <v>0.78</v>
      </c>
      <c r="K268">
        <v>1.89</v>
      </c>
      <c r="L268" t="s">
        <v>3</v>
      </c>
      <c r="M268" t="s">
        <v>69</v>
      </c>
    </row>
    <row r="269" spans="1:13" x14ac:dyDescent="0.25">
      <c r="A269" t="s">
        <v>2</v>
      </c>
      <c r="B269" t="s">
        <v>93</v>
      </c>
      <c r="C269">
        <v>2050</v>
      </c>
      <c r="D269">
        <v>63</v>
      </c>
      <c r="E269" t="e">
        <v>#NUM!</v>
      </c>
      <c r="F269">
        <v>1.62</v>
      </c>
      <c r="H269">
        <v>-2.31</v>
      </c>
      <c r="I269" t="e">
        <v>#NUM!</v>
      </c>
      <c r="J269">
        <v>0.61</v>
      </c>
      <c r="K269">
        <v>2.16</v>
      </c>
      <c r="L269" t="s">
        <v>3</v>
      </c>
      <c r="M269" t="s">
        <v>69</v>
      </c>
    </row>
    <row r="270" spans="1:13" x14ac:dyDescent="0.25">
      <c r="A270" t="s">
        <v>5</v>
      </c>
      <c r="B270" t="s">
        <v>93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25">
      <c r="A271" t="s">
        <v>5</v>
      </c>
      <c r="B271" t="s">
        <v>93</v>
      </c>
      <c r="C271">
        <v>2025</v>
      </c>
      <c r="D271">
        <v>163</v>
      </c>
      <c r="E271" t="e">
        <v>#NUM!</v>
      </c>
      <c r="F271">
        <v>0.75</v>
      </c>
      <c r="H271">
        <v>0.46</v>
      </c>
      <c r="I271" t="e">
        <v>#NUM!</v>
      </c>
      <c r="J271">
        <v>0.54</v>
      </c>
      <c r="K271">
        <v>1.24</v>
      </c>
      <c r="L271" t="s">
        <v>6</v>
      </c>
      <c r="M271" t="s">
        <v>69</v>
      </c>
    </row>
    <row r="272" spans="1:13" x14ac:dyDescent="0.25">
      <c r="A272" t="s">
        <v>5</v>
      </c>
      <c r="B272" t="s">
        <v>93</v>
      </c>
      <c r="C272">
        <v>2030</v>
      </c>
      <c r="D272">
        <v>166</v>
      </c>
      <c r="E272" t="e">
        <v>#NUM!</v>
      </c>
      <c r="F272">
        <v>1.1499999999999999</v>
      </c>
      <c r="H272">
        <v>0.51</v>
      </c>
      <c r="I272" t="e">
        <v>#NUM!</v>
      </c>
      <c r="J272">
        <v>0.74</v>
      </c>
      <c r="K272">
        <v>1.65</v>
      </c>
      <c r="L272" t="s">
        <v>6</v>
      </c>
      <c r="M272" t="s">
        <v>69</v>
      </c>
    </row>
    <row r="273" spans="1:13" x14ac:dyDescent="0.25">
      <c r="A273" t="s">
        <v>5</v>
      </c>
      <c r="B273" t="s">
        <v>93</v>
      </c>
      <c r="C273">
        <v>2035</v>
      </c>
      <c r="D273">
        <v>163</v>
      </c>
      <c r="E273" t="e">
        <v>#NUM!</v>
      </c>
      <c r="F273">
        <v>1.21</v>
      </c>
      <c r="H273">
        <v>-0.95</v>
      </c>
      <c r="I273" t="e">
        <v>#NUM!</v>
      </c>
      <c r="J273">
        <v>0.88</v>
      </c>
      <c r="K273">
        <v>2.11</v>
      </c>
      <c r="L273" t="s">
        <v>6</v>
      </c>
      <c r="M273" t="s">
        <v>69</v>
      </c>
    </row>
    <row r="274" spans="1:13" x14ac:dyDescent="0.25">
      <c r="A274" t="s">
        <v>5</v>
      </c>
      <c r="B274" t="s">
        <v>93</v>
      </c>
      <c r="C274">
        <v>2040</v>
      </c>
      <c r="D274">
        <v>166</v>
      </c>
      <c r="E274" t="e">
        <v>#NUM!</v>
      </c>
      <c r="F274">
        <v>1.28</v>
      </c>
      <c r="H274">
        <v>-1.8</v>
      </c>
      <c r="I274" t="e">
        <v>#NUM!</v>
      </c>
      <c r="J274">
        <v>0.89</v>
      </c>
      <c r="K274">
        <v>2.4300000000000002</v>
      </c>
      <c r="L274" t="s">
        <v>6</v>
      </c>
      <c r="M274" t="s">
        <v>69</v>
      </c>
    </row>
    <row r="275" spans="1:13" x14ac:dyDescent="0.25">
      <c r="A275" t="s">
        <v>5</v>
      </c>
      <c r="B275" t="s">
        <v>93</v>
      </c>
      <c r="C275">
        <v>2045</v>
      </c>
      <c r="D275">
        <v>163</v>
      </c>
      <c r="E275" t="e">
        <v>#NUM!</v>
      </c>
      <c r="F275">
        <v>1.48</v>
      </c>
      <c r="H275">
        <v>-5.93</v>
      </c>
      <c r="I275" t="e">
        <v>#NUM!</v>
      </c>
      <c r="J275">
        <v>1.08</v>
      </c>
      <c r="K275">
        <v>2.75</v>
      </c>
      <c r="L275" t="s">
        <v>6</v>
      </c>
      <c r="M275" t="s">
        <v>69</v>
      </c>
    </row>
    <row r="276" spans="1:13" x14ac:dyDescent="0.25">
      <c r="A276" t="s">
        <v>5</v>
      </c>
      <c r="B276" t="s">
        <v>93</v>
      </c>
      <c r="C276">
        <v>2050</v>
      </c>
      <c r="D276">
        <v>166</v>
      </c>
      <c r="E276" t="e">
        <v>#NUM!</v>
      </c>
      <c r="F276">
        <v>1.59</v>
      </c>
      <c r="H276">
        <v>-5.35</v>
      </c>
      <c r="I276" t="e">
        <v>#NUM!</v>
      </c>
      <c r="J276">
        <v>0.97</v>
      </c>
      <c r="K276">
        <v>2.91</v>
      </c>
      <c r="L276" t="s">
        <v>6</v>
      </c>
      <c r="M276" t="s">
        <v>69</v>
      </c>
    </row>
    <row r="277" spans="1:13" x14ac:dyDescent="0.25">
      <c r="A277" t="s">
        <v>7</v>
      </c>
      <c r="B277" t="s">
        <v>93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25">
      <c r="A278" t="s">
        <v>7</v>
      </c>
      <c r="B278" t="s">
        <v>93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69</v>
      </c>
    </row>
    <row r="279" spans="1:13" x14ac:dyDescent="0.25">
      <c r="A279" t="s">
        <v>7</v>
      </c>
      <c r="B279" t="s">
        <v>93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69</v>
      </c>
    </row>
    <row r="280" spans="1:13" x14ac:dyDescent="0.25">
      <c r="A280" t="s">
        <v>7</v>
      </c>
      <c r="B280" t="s">
        <v>93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69</v>
      </c>
    </row>
    <row r="281" spans="1:13" x14ac:dyDescent="0.25">
      <c r="A281" t="s">
        <v>7</v>
      </c>
      <c r="B281" t="s">
        <v>93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69</v>
      </c>
    </row>
    <row r="282" spans="1:13" x14ac:dyDescent="0.25">
      <c r="A282" t="s">
        <v>7</v>
      </c>
      <c r="B282" t="s">
        <v>93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69</v>
      </c>
    </row>
    <row r="283" spans="1:13" x14ac:dyDescent="0.25">
      <c r="A283" t="s">
        <v>7</v>
      </c>
      <c r="B283" t="s">
        <v>93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69</v>
      </c>
    </row>
    <row r="284" spans="1:13" x14ac:dyDescent="0.25">
      <c r="A284" t="s">
        <v>9</v>
      </c>
      <c r="B284" t="s">
        <v>93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25">
      <c r="A285" t="s">
        <v>9</v>
      </c>
      <c r="B285" t="s">
        <v>93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69</v>
      </c>
    </row>
    <row r="286" spans="1:13" x14ac:dyDescent="0.25">
      <c r="A286" t="s">
        <v>9</v>
      </c>
      <c r="B286" t="s">
        <v>93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69</v>
      </c>
    </row>
    <row r="287" spans="1:13" x14ac:dyDescent="0.25">
      <c r="A287" t="s">
        <v>9</v>
      </c>
      <c r="B287" t="s">
        <v>93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69</v>
      </c>
    </row>
    <row r="288" spans="1:13" x14ac:dyDescent="0.25">
      <c r="A288" t="s">
        <v>9</v>
      </c>
      <c r="B288" t="s">
        <v>93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69</v>
      </c>
    </row>
    <row r="289" spans="1:13" x14ac:dyDescent="0.25">
      <c r="A289" t="s">
        <v>9</v>
      </c>
      <c r="B289" t="s">
        <v>93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69</v>
      </c>
    </row>
    <row r="290" spans="1:13" x14ac:dyDescent="0.25">
      <c r="A290" t="s">
        <v>9</v>
      </c>
      <c r="B290" t="s">
        <v>93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69</v>
      </c>
    </row>
    <row r="291" spans="1:13" x14ac:dyDescent="0.25">
      <c r="A291" t="s">
        <v>0</v>
      </c>
      <c r="B291" t="s">
        <v>93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25">
      <c r="A292" t="s">
        <v>0</v>
      </c>
      <c r="B292" t="s">
        <v>93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70</v>
      </c>
    </row>
    <row r="293" spans="1:13" x14ac:dyDescent="0.25">
      <c r="A293" t="s">
        <v>0</v>
      </c>
      <c r="B293" t="s">
        <v>93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70</v>
      </c>
    </row>
    <row r="294" spans="1:13" x14ac:dyDescent="0.25">
      <c r="A294" t="s">
        <v>0</v>
      </c>
      <c r="B294" t="s">
        <v>93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70</v>
      </c>
    </row>
    <row r="295" spans="1:13" x14ac:dyDescent="0.25">
      <c r="A295" t="s">
        <v>0</v>
      </c>
      <c r="B295" t="s">
        <v>93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70</v>
      </c>
    </row>
    <row r="296" spans="1:13" x14ac:dyDescent="0.25">
      <c r="A296" t="s">
        <v>0</v>
      </c>
      <c r="B296" t="s">
        <v>93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70</v>
      </c>
    </row>
    <row r="297" spans="1:13" x14ac:dyDescent="0.25">
      <c r="A297" t="s">
        <v>0</v>
      </c>
      <c r="B297" t="s">
        <v>93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70</v>
      </c>
    </row>
    <row r="298" spans="1:13" x14ac:dyDescent="0.25">
      <c r="A298" t="s">
        <v>2</v>
      </c>
      <c r="B298" t="s">
        <v>93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25">
      <c r="A299" t="s">
        <v>2</v>
      </c>
      <c r="B299" t="s">
        <v>93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70</v>
      </c>
    </row>
    <row r="300" spans="1:13" x14ac:dyDescent="0.25">
      <c r="A300" t="s">
        <v>2</v>
      </c>
      <c r="B300" t="s">
        <v>93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70</v>
      </c>
    </row>
    <row r="301" spans="1:13" x14ac:dyDescent="0.25">
      <c r="A301" t="s">
        <v>2</v>
      </c>
      <c r="B301" t="s">
        <v>93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70</v>
      </c>
    </row>
    <row r="302" spans="1:13" x14ac:dyDescent="0.25">
      <c r="A302" t="s">
        <v>2</v>
      </c>
      <c r="B302" t="s">
        <v>93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70</v>
      </c>
    </row>
    <row r="303" spans="1:13" x14ac:dyDescent="0.25">
      <c r="A303" t="s">
        <v>2</v>
      </c>
      <c r="B303" t="s">
        <v>93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70</v>
      </c>
    </row>
    <row r="304" spans="1:13" x14ac:dyDescent="0.25">
      <c r="A304" t="s">
        <v>2</v>
      </c>
      <c r="B304" t="s">
        <v>93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70</v>
      </c>
    </row>
    <row r="305" spans="1:13" x14ac:dyDescent="0.25">
      <c r="A305" t="s">
        <v>5</v>
      </c>
      <c r="B305" t="s">
        <v>93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25">
      <c r="A306" t="s">
        <v>5</v>
      </c>
      <c r="B306" t="s">
        <v>93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70</v>
      </c>
    </row>
    <row r="307" spans="1:13" x14ac:dyDescent="0.25">
      <c r="A307" t="s">
        <v>5</v>
      </c>
      <c r="B307" t="s">
        <v>93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70</v>
      </c>
    </row>
    <row r="308" spans="1:13" x14ac:dyDescent="0.25">
      <c r="A308" t="s">
        <v>5</v>
      </c>
      <c r="B308" t="s">
        <v>93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70</v>
      </c>
    </row>
    <row r="309" spans="1:13" x14ac:dyDescent="0.25">
      <c r="A309" t="s">
        <v>5</v>
      </c>
      <c r="B309" t="s">
        <v>93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70</v>
      </c>
    </row>
    <row r="310" spans="1:13" x14ac:dyDescent="0.25">
      <c r="A310" t="s">
        <v>5</v>
      </c>
      <c r="B310" t="s">
        <v>93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70</v>
      </c>
    </row>
    <row r="311" spans="1:13" x14ac:dyDescent="0.25">
      <c r="A311" t="s">
        <v>5</v>
      </c>
      <c r="B311" t="s">
        <v>93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70</v>
      </c>
    </row>
    <row r="312" spans="1:13" x14ac:dyDescent="0.25">
      <c r="A312" t="s">
        <v>7</v>
      </c>
      <c r="B312" t="s">
        <v>93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25">
      <c r="A313" t="s">
        <v>7</v>
      </c>
      <c r="B313" t="s">
        <v>93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70</v>
      </c>
    </row>
    <row r="314" spans="1:13" x14ac:dyDescent="0.25">
      <c r="A314" t="s">
        <v>7</v>
      </c>
      <c r="B314" t="s">
        <v>93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70</v>
      </c>
    </row>
    <row r="315" spans="1:13" x14ac:dyDescent="0.25">
      <c r="A315" t="s">
        <v>7</v>
      </c>
      <c r="B315" t="s">
        <v>93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70</v>
      </c>
    </row>
    <row r="316" spans="1:13" x14ac:dyDescent="0.25">
      <c r="A316" t="s">
        <v>7</v>
      </c>
      <c r="B316" t="s">
        <v>93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70</v>
      </c>
    </row>
    <row r="317" spans="1:13" x14ac:dyDescent="0.25">
      <c r="A317" t="s">
        <v>7</v>
      </c>
      <c r="B317" t="s">
        <v>93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70</v>
      </c>
    </row>
    <row r="318" spans="1:13" x14ac:dyDescent="0.25">
      <c r="A318" t="s">
        <v>7</v>
      </c>
      <c r="B318" t="s">
        <v>93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70</v>
      </c>
    </row>
    <row r="319" spans="1:13" x14ac:dyDescent="0.25">
      <c r="A319" t="s">
        <v>9</v>
      </c>
      <c r="B319" t="s">
        <v>93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25">
      <c r="A320" t="s">
        <v>9</v>
      </c>
      <c r="B320" t="s">
        <v>93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70</v>
      </c>
    </row>
    <row r="321" spans="1:13" x14ac:dyDescent="0.25">
      <c r="A321" t="s">
        <v>9</v>
      </c>
      <c r="B321" t="s">
        <v>93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70</v>
      </c>
    </row>
    <row r="322" spans="1:13" x14ac:dyDescent="0.25">
      <c r="A322" t="s">
        <v>9</v>
      </c>
      <c r="B322" t="s">
        <v>93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70</v>
      </c>
    </row>
    <row r="323" spans="1:13" x14ac:dyDescent="0.25">
      <c r="A323" t="s">
        <v>9</v>
      </c>
      <c r="B323" t="s">
        <v>93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70</v>
      </c>
    </row>
    <row r="324" spans="1:13" x14ac:dyDescent="0.25">
      <c r="A324" t="s">
        <v>9</v>
      </c>
      <c r="B324" t="s">
        <v>93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70</v>
      </c>
    </row>
    <row r="325" spans="1:13" x14ac:dyDescent="0.25">
      <c r="A325" t="s">
        <v>9</v>
      </c>
      <c r="B325" t="s">
        <v>93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70</v>
      </c>
    </row>
    <row r="326" spans="1:13" x14ac:dyDescent="0.25">
      <c r="A326" t="s">
        <v>0</v>
      </c>
      <c r="B326" t="s">
        <v>93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25">
      <c r="A327" t="s">
        <v>0</v>
      </c>
      <c r="B327" t="s">
        <v>93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71</v>
      </c>
    </row>
    <row r="328" spans="1:13" x14ac:dyDescent="0.25">
      <c r="A328" t="s">
        <v>0</v>
      </c>
      <c r="B328" t="s">
        <v>93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71</v>
      </c>
    </row>
    <row r="329" spans="1:13" x14ac:dyDescent="0.25">
      <c r="A329" t="s">
        <v>0</v>
      </c>
      <c r="B329" t="s">
        <v>93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71</v>
      </c>
    </row>
    <row r="330" spans="1:13" x14ac:dyDescent="0.25">
      <c r="A330" t="s">
        <v>0</v>
      </c>
      <c r="B330" t="s">
        <v>93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71</v>
      </c>
    </row>
    <row r="331" spans="1:13" x14ac:dyDescent="0.25">
      <c r="A331" t="s">
        <v>0</v>
      </c>
      <c r="B331" t="s">
        <v>93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71</v>
      </c>
    </row>
    <row r="332" spans="1:13" x14ac:dyDescent="0.25">
      <c r="A332" t="s">
        <v>0</v>
      </c>
      <c r="B332" t="s">
        <v>93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71</v>
      </c>
    </row>
    <row r="333" spans="1:13" x14ac:dyDescent="0.25">
      <c r="A333" t="s">
        <v>2</v>
      </c>
      <c r="B333" t="s">
        <v>93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25">
      <c r="A334" t="s">
        <v>2</v>
      </c>
      <c r="B334" t="s">
        <v>93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71</v>
      </c>
    </row>
    <row r="335" spans="1:13" x14ac:dyDescent="0.25">
      <c r="A335" t="s">
        <v>2</v>
      </c>
      <c r="B335" t="s">
        <v>93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71</v>
      </c>
    </row>
    <row r="336" spans="1:13" x14ac:dyDescent="0.25">
      <c r="A336" t="s">
        <v>2</v>
      </c>
      <c r="B336" t="s">
        <v>93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71</v>
      </c>
    </row>
    <row r="337" spans="1:13" x14ac:dyDescent="0.25">
      <c r="A337" t="s">
        <v>2</v>
      </c>
      <c r="B337" t="s">
        <v>93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71</v>
      </c>
    </row>
    <row r="338" spans="1:13" x14ac:dyDescent="0.25">
      <c r="A338" t="s">
        <v>2</v>
      </c>
      <c r="B338" t="s">
        <v>93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71</v>
      </c>
    </row>
    <row r="339" spans="1:13" x14ac:dyDescent="0.25">
      <c r="A339" t="s">
        <v>2</v>
      </c>
      <c r="B339" t="s">
        <v>93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71</v>
      </c>
    </row>
    <row r="340" spans="1:13" x14ac:dyDescent="0.25">
      <c r="A340" t="s">
        <v>5</v>
      </c>
      <c r="B340" t="s">
        <v>93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25">
      <c r="A341" t="s">
        <v>5</v>
      </c>
      <c r="B341" t="s">
        <v>93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71</v>
      </c>
    </row>
    <row r="342" spans="1:13" x14ac:dyDescent="0.25">
      <c r="A342" t="s">
        <v>5</v>
      </c>
      <c r="B342" t="s">
        <v>93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71</v>
      </c>
    </row>
    <row r="343" spans="1:13" x14ac:dyDescent="0.25">
      <c r="A343" t="s">
        <v>5</v>
      </c>
      <c r="B343" t="s">
        <v>93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71</v>
      </c>
    </row>
    <row r="344" spans="1:13" x14ac:dyDescent="0.25">
      <c r="A344" t="s">
        <v>5</v>
      </c>
      <c r="B344" t="s">
        <v>93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71</v>
      </c>
    </row>
    <row r="345" spans="1:13" x14ac:dyDescent="0.25">
      <c r="A345" t="s">
        <v>5</v>
      </c>
      <c r="B345" t="s">
        <v>93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71</v>
      </c>
    </row>
    <row r="346" spans="1:13" x14ac:dyDescent="0.25">
      <c r="A346" t="s">
        <v>5</v>
      </c>
      <c r="B346" t="s">
        <v>93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71</v>
      </c>
    </row>
    <row r="347" spans="1:13" x14ac:dyDescent="0.25">
      <c r="A347" t="s">
        <v>7</v>
      </c>
      <c r="B347" t="s">
        <v>93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25">
      <c r="A348" t="s">
        <v>7</v>
      </c>
      <c r="B348" t="s">
        <v>93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71</v>
      </c>
    </row>
    <row r="349" spans="1:13" x14ac:dyDescent="0.25">
      <c r="A349" t="s">
        <v>7</v>
      </c>
      <c r="B349" t="s">
        <v>93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71</v>
      </c>
    </row>
    <row r="350" spans="1:13" x14ac:dyDescent="0.25">
      <c r="A350" t="s">
        <v>7</v>
      </c>
      <c r="B350" t="s">
        <v>93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71</v>
      </c>
    </row>
    <row r="351" spans="1:13" x14ac:dyDescent="0.25">
      <c r="A351" t="s">
        <v>7</v>
      </c>
      <c r="B351" t="s">
        <v>93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71</v>
      </c>
    </row>
    <row r="352" spans="1:13" x14ac:dyDescent="0.25">
      <c r="A352" t="s">
        <v>7</v>
      </c>
      <c r="B352" t="s">
        <v>93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71</v>
      </c>
    </row>
    <row r="353" spans="1:13" x14ac:dyDescent="0.25">
      <c r="A353" t="s">
        <v>7</v>
      </c>
      <c r="B353" t="s">
        <v>93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71</v>
      </c>
    </row>
    <row r="354" spans="1:13" x14ac:dyDescent="0.25">
      <c r="A354" t="s">
        <v>9</v>
      </c>
      <c r="B354" t="s">
        <v>93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25">
      <c r="A355" t="s">
        <v>9</v>
      </c>
      <c r="B355" t="s">
        <v>93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71</v>
      </c>
    </row>
    <row r="356" spans="1:13" x14ac:dyDescent="0.25">
      <c r="A356" t="s">
        <v>9</v>
      </c>
      <c r="B356" t="s">
        <v>93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71</v>
      </c>
    </row>
    <row r="357" spans="1:13" x14ac:dyDescent="0.25">
      <c r="A357" t="s">
        <v>9</v>
      </c>
      <c r="B357" t="s">
        <v>93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71</v>
      </c>
    </row>
    <row r="358" spans="1:13" x14ac:dyDescent="0.25">
      <c r="A358" t="s">
        <v>9</v>
      </c>
      <c r="B358" t="s">
        <v>93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71</v>
      </c>
    </row>
    <row r="359" spans="1:13" x14ac:dyDescent="0.25">
      <c r="A359" t="s">
        <v>9</v>
      </c>
      <c r="B359" t="s">
        <v>93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71</v>
      </c>
    </row>
    <row r="360" spans="1:13" x14ac:dyDescent="0.25">
      <c r="A360" t="s">
        <v>9</v>
      </c>
      <c r="B360" t="s">
        <v>93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 EMR License 2</cp:lastModifiedBy>
  <dcterms:created xsi:type="dcterms:W3CDTF">2025-07-17T06:23:24Z</dcterms:created>
  <dcterms:modified xsi:type="dcterms:W3CDTF">2026-09-28T11:03:04Z</dcterms:modified>
</cp:coreProperties>
</file>