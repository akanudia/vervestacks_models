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MyModels\VerveStacks_POL_grids_kan50\"/>
    </mc:Choice>
  </mc:AlternateContent>
  <xr:revisionPtr revIDLastSave="0" documentId="13_ncr:1_{1D8F9221-428A-4F26-9C20-4EB158B5A6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70" l="1"/>
  <c r="B8" i="70"/>
  <c r="B9" i="70"/>
  <c r="B6" i="70"/>
  <c r="I2" i="70"/>
  <c r="I5" i="70" s="1"/>
  <c r="I17" i="70"/>
  <c r="I18" i="70"/>
  <c r="I19" i="70"/>
  <c r="I20" i="70"/>
  <c r="I21" i="70"/>
  <c r="I22" i="70"/>
  <c r="I23" i="70"/>
  <c r="I24" i="70"/>
  <c r="B18" i="70"/>
  <c r="B19" i="70"/>
  <c r="B20" i="70"/>
  <c r="B21" i="70"/>
  <c r="B22" i="70"/>
  <c r="B23" i="70"/>
  <c r="B24" i="70"/>
  <c r="B17" i="70"/>
  <c r="C56" i="65"/>
  <c r="D4" i="68"/>
  <c r="J24" i="70"/>
  <c r="H24" i="70"/>
  <c r="C24" i="70" s="1"/>
  <c r="J23" i="70"/>
  <c r="H23" i="70"/>
  <c r="C23" i="70" s="1"/>
  <c r="J22" i="70"/>
  <c r="H22" i="70"/>
  <c r="C22" i="70" s="1"/>
  <c r="J21" i="70"/>
  <c r="H21" i="70"/>
  <c r="C21" i="70" s="1"/>
  <c r="J20" i="70"/>
  <c r="H20" i="70"/>
  <c r="C20" i="70" s="1"/>
  <c r="J19" i="70"/>
  <c r="H19" i="70"/>
  <c r="C19" i="70"/>
  <c r="J18" i="70"/>
  <c r="H18" i="70"/>
  <c r="C18" i="70" s="1"/>
  <c r="J17" i="70"/>
  <c r="H17" i="70"/>
  <c r="C17" i="70"/>
  <c r="J2" i="70"/>
  <c r="J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<sst xmlns="http://schemas.openxmlformats.org/spreadsheetml/2006/main" count="7052" uniqueCount="934">
  <si>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</si>
  <si>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</si>
  <si>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</si>
  <si>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</si>
  <si>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</si>
  <si>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</si>
  <si>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</si>
  <si>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</si>
  <si>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</si>
  <si>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</si>
  <si>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</si>
  <si>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</si>
  <si>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</si>
  <si>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</si>
  <si>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</si>
  <si>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</si>
  <si>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</si>
  <si>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</si>
  <si>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</si>
  <si>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</si>
  <si>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</si>
  <si>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</si>
  <si>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</si>
  <si>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</si>
  <si>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</si>
  <si>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</si>
  <si>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</si>
  <si>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</si>
  <si>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</si>
  <si>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</si>
  <si>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</si>
  <si>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</si>
  <si>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</si>
  <si>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</si>
  <si>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</si>
  <si>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</si>
  <si>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</si>
  <si>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</si>
  <si>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</si>
  <si>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</si>
  <si>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</si>
  <si>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</si>
  <si>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</si>
  <si>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</si>
  <si>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</si>
  <si>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</si>
  <si>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</si>
  <si>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</si>
  <si>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</si>
  <si>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</si>
  <si>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</si>
  <si>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</si>
  <si>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</si>
  <si>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</si>
  <si>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</si>
  <si>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</si>
  <si>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</si>
  <si>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</si>
  <si>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</si>
  <si>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</si>
  <si>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</si>
  <si>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</si>
  <si>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</si>
  <si>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</si>
  <si>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</si>
  <si>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</si>
  <si>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</si>
  <si>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</si>
  <si>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</si>
  <si>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</si>
  <si>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</si>
  <si>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</si>
  <si>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</si>
  <si>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</si>
  <si>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</si>
  <si>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</si>
  <si>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</si>
  <si>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</si>
  <si>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</si>
  <si>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</si>
  <si>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</si>
  <si>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</si>
  <si>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</si>
  <si>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</si>
  <si>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</si>
  <si>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</si>
  <si>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</si>
  <si>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</si>
  <si>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</si>
  <si>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</si>
  <si>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</si>
  <si>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</si>
  <si>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</si>
  <si>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</si>
  <si>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</si>
  <si>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</si>
  <si>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</si>
  <si>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</si>
  <si>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</si>
  <si>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</si>
  <si>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</si>
  <si>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</si>
  <si>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</si>
  <si>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</si>
  <si>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</si>
  <si>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</si>
  <si>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</si>
  <si>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</si>
  <si>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</si>
  <si>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</si>
  <si>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</si>
  <si>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</si>
  <si>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</si>
  <si>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</si>
  <si>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</si>
  <si>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</si>
  <si>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</si>
  <si>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</si>
  <si>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</si>
  <si>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</si>
  <si>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</si>
  <si>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</si>
  <si>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</si>
  <si>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</si>
  <si>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</si>
  <si>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</si>
  <si>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</si>
  <si>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</si>
  <si>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</si>
  <si>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</si>
  <si>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</si>
  <si>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</si>
  <si>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</si>
  <si>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</si>
  <si>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</si>
  <si>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</si>
  <si>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</si>
  <si>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</si>
  <si>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</si>
  <si>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</si>
  <si>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</si>
  <si>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</si>
  <si>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</si>
  <si>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</si>
  <si>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</si>
  <si>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</si>
  <si>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</si>
  <si>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</si>
  <si>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</si>
  <si>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</si>
  <si>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</si>
  <si>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</si>
  <si>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</si>
  <si>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</si>
  <si>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</si>
  <si>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</si>
  <si>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</si>
  <si>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</si>
  <si>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</si>
  <si>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</si>
  <si>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</si>
  <si>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</si>
  <si>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</si>
  <si>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</si>
  <si>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</si>
  <si>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</si>
  <si>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</si>
  <si>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</si>
  <si>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</si>
  <si>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</si>
  <si>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</si>
  <si>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</si>
  <si>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</si>
  <si>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</si>
  <si>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</si>
  <si>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</si>
  <si>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</si>
  <si>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</si>
  <si>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</si>
  <si>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</si>
  <si>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</si>
  <si>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</si>
  <si>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</si>
  <si>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</si>
  <si>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</si>
  <si>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</si>
  <si>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</si>
  <si>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</si>
  <si>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</si>
  <si>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</si>
  <si>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</si>
  <si>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</si>
  <si>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</si>
  <si>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</si>
  <si>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</si>
  <si>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</si>
  <si>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</si>
  <si>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</si>
  <si>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</si>
  <si>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</si>
  <si>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</si>
  <si>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</si>
  <si>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</si>
  <si>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</si>
  <si>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</si>
  <si>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</si>
  <si>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</si>
  <si>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</si>
  <si>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</si>
  <si>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</si>
  <si>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</si>
  <si>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</si>
  <si>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</si>
  <si>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</si>
  <si>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</si>
  <si>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</si>
  <si>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</si>
  <si>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</si>
  <si>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</si>
  <si>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</si>
  <si>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</si>
  <si>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</si>
  <si>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</si>
  <si>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</si>
  <si>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</si>
  <si>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</si>
  <si>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</si>
  <si>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</si>
  <si>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</si>
  <si>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</si>
  <si>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</si>
  <si>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</si>
  <si>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</si>
  <si>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</si>
  <si>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</si>
  <si>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</si>
  <si>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</si>
  <si>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</si>
  <si>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</si>
  <si>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</si>
  <si>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</si>
  <si>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</si>
  <si>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</si>
  <si>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</si>
  <si>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</si>
  <si>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</si>
  <si>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</si>
  <si>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</si>
  <si>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</si>
  <si>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</si>
  <si>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</si>
  <si>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</si>
  <si>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</si>
  <si>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</si>
  <si>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</si>
  <si>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</si>
  <si>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</si>
  <si>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</si>
  <si>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</si>
  <si>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</si>
  <si>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</si>
  <si>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</si>
  <si>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</si>
  <si>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</si>
  <si>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</si>
  <si>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</si>
  <si>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</si>
  <si>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</si>
  <si>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</si>
  <si>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</si>
  <si>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</si>
  <si>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</si>
  <si>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</si>
  <si>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</si>
  <si>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</si>
  <si>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</si>
  <si>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</si>
  <si>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</si>
  <si>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</si>
  <si>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</si>
  <si>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</si>
  <si>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</si>
  <si>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</si>
  <si>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</si>
  <si>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</si>
  <si>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</si>
  <si>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</si>
  <si>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</si>
  <si>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</si>
  <si>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</si>
  <si>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</si>
  <si>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</si>
  <si>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</si>
  <si>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</si>
  <si>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</si>
  <si>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</si>
  <si>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</si>
  <si>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</si>
  <si>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</si>
  <si>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</si>
  <si>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</si>
  <si>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</si>
  <si>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</si>
  <si>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</si>
  <si>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</si>
  <si>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</si>
  <si>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</si>
  <si>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</si>
  <si>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</si>
  <si>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</si>
  <si>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</si>
  <si>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</si>
  <si>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</si>
  <si>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</si>
  <si>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</si>
  <si>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</si>
  <si>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</si>
  <si>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</si>
  <si>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</si>
  <si>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</si>
  <si>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</si>
  <si>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</si>
  <si>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</si>
  <si>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</si>
  <si>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</si>
  <si>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</si>
  <si>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</si>
  <si>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</si>
  <si>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</si>
  <si>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</si>
  <si>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</si>
  <si>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</si>
  <si>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</si>
  <si>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</si>
  <si>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</si>
  <si>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</si>
  <si>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</si>
  <si>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</si>
  <si>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</si>
  <si>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</si>
  <si>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</si>
  <si>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</si>
  <si>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</si>
  <si>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</si>
  <si>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</si>
  <si>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</si>
  <si>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</si>
  <si>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</si>
  <si>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</si>
  <si>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</si>
  <si>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</si>
  <si>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</si>
  <si>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</si>
  <si>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</si>
  <si>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</si>
  <si>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</si>
  <si>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</si>
  <si>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</si>
  <si>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</si>
  <si>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</si>
  <si>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</si>
  <si>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</si>
  <si>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</si>
  <si>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</si>
  <si>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</si>
  <si>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</si>
  <si>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</si>
  <si>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</si>
  <si>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</si>
  <si>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</si>
  <si>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</si>
  <si>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</si>
  <si>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</si>
  <si>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</si>
  <si>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</si>
  <si>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</si>
  <si>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</si>
  <si>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</si>
  <si>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</si>
  <si>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</si>
  <si>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</si>
  <si>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</si>
  <si>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</si>
  <si>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</si>
  <si>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</si>
  <si>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</si>
  <si>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</si>
  <si>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</si>
  <si>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</si>
  <si>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</si>
  <si>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</si>
  <si>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</si>
  <si>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</si>
  <si>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</si>
  <si>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</si>
  <si>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</si>
  <si>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</si>
  <si>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</si>
  <si>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</si>
  <si>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</si>
  <si>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</si>
  <si>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</si>
  <si>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</si>
  <si>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</si>
  <si>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</si>
  <si>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</si>
  <si>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</si>
  <si>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</si>
  <si>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</si>
  <si>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</si>
  <si>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</si>
  <si>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</si>
  <si>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</si>
  <si>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</si>
  <si>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</si>
  <si>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</si>
  <si>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</si>
  <si>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</si>
  <si>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</si>
  <si>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</si>
  <si>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</si>
  <si>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</si>
  <si>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</si>
  <si>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</si>
  <si>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</si>
  <si>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</si>
  <si>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</si>
  <si>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</si>
  <si>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</si>
  <si>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</si>
  <si>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</si>
  <si>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</si>
  <si>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</si>
  <si>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</si>
  <si>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</si>
  <si>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</si>
  <si>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</si>
  <si>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</si>
  <si>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</si>
  <si>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</si>
  <si>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</si>
  <si>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</si>
  <si>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</si>
  <si>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</si>
  <si>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</si>
  <si>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</si>
  <si>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</si>
  <si>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</si>
  <si>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</si>
  <si>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</si>
  <si>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</si>
  <si>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</si>
  <si>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</si>
  <si>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</si>
  <si>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</si>
  <si>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</si>
  <si>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</si>
  <si>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</si>
  <si>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</si>
  <si>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</si>
  <si>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</si>
  <si>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</si>
  <si>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</si>
  <si>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</si>
  <si>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</si>
  <si>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</si>
  <si>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</si>
  <si>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</si>
  <si>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</si>
  <si>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</si>
  <si>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</si>
  <si>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</si>
  <si>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</si>
  <si>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</si>
  <si>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</si>
  <si>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</si>
  <si>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</si>
  <si>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</si>
  <si>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</si>
  <si>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</si>
  <si>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</si>
  <si>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</si>
  <si>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</si>
  <si>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</si>
  <si>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</si>
  <si>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</si>
  <si>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</si>
  <si>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</si>
  <si>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</si>
  <si>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</si>
  <si>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</si>
  <si>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</si>
  <si>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</si>
  <si>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</si>
  <si>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</si>
  <si>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</si>
  <si>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</si>
  <si>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</si>
  <si>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</si>
  <si>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</si>
  <si>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</si>
  <si>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</si>
  <si>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</si>
  <si>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</si>
  <si>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</si>
  <si>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</si>
  <si>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</si>
  <si>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</si>
  <si>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</si>
  <si>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</si>
  <si>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</si>
  <si>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</si>
  <si>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</si>
  <si>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</si>
  <si>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</si>
  <si>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</si>
  <si>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</si>
  <si>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</si>
  <si>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</si>
  <si>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</si>
  <si>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</si>
  <si>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</si>
  <si>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</si>
  <si>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</si>
  <si>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</si>
  <si>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</si>
  <si>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</si>
  <si>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</si>
  <si>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</si>
  <si>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</si>
  <si>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</si>
  <si>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</si>
  <si>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</si>
  <si>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</si>
  <si>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</si>
  <si>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</si>
  <si>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</si>
  <si>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</si>
  <si>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</si>
  <si>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</si>
  <si>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</si>
  <si>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</si>
  <si>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</si>
  <si>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</si>
  <si>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</si>
  <si>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</si>
  <si>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</si>
  <si>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</si>
  <si>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</si>
  <si>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</si>
  <si>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</si>
  <si>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</si>
  <si>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</si>
  <si>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</si>
  <si>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</si>
  <si>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</si>
  <si>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</si>
  <si>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</si>
  <si>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</si>
  <si>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</si>
  <si>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</si>
  <si>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</si>
  <si>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</si>
  <si>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</si>
  <si>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</si>
  <si>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</si>
  <si>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</si>
  <si>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</si>
  <si>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</si>
  <si>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</si>
  <si>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</si>
  <si>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</si>
  <si>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</si>
  <si>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</si>
  <si>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</si>
  <si>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</si>
  <si>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</si>
  <si>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</si>
  <si>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</si>
  <si>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</si>
  <si>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</si>
  <si>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</si>
  <si>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</si>
  <si>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</si>
  <si>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</si>
  <si>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</si>
  <si>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</si>
  <si>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</si>
  <si>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</si>
  <si>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</si>
  <si>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</si>
  <si>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</si>
  <si>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</si>
  <si>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</si>
  <si>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</si>
  <si>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</si>
  <si>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</si>
  <si>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</si>
  <si>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</si>
  <si>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</si>
  <si>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</si>
  <si>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</si>
  <si>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</si>
  <si>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</si>
  <si>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</si>
  <si>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</si>
  <si>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</si>
  <si>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</si>
  <si>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</si>
  <si>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</si>
  <si>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</si>
  <si>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</si>
  <si>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</si>
  <si>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</si>
  <si>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</si>
  <si>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</si>
  <si>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</si>
  <si>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</si>
  <si>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</si>
  <si>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</si>
  <si>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</si>
  <si>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</si>
  <si>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</si>
  <si>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</si>
  <si>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</si>
  <si>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</si>
  <si>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</si>
  <si>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</si>
  <si>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</si>
  <si>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</si>
  <si>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</si>
  <si>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</si>
  <si>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</si>
  <si>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</si>
  <si>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</si>
  <si>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</si>
  <si>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</si>
  <si>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</si>
  <si>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</si>
  <si>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</si>
  <si>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</si>
  <si>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</si>
  <si>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</si>
  <si>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</si>
  <si>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</si>
  <si>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</si>
  <si>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</si>
  <si>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</si>
  <si>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</si>
  <si>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</si>
  <si>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</si>
  <si>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</si>
  <si>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</si>
  <si>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</si>
  <si>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</si>
  <si>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</si>
  <si>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</si>
  <si>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</si>
  <si>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</si>
  <si>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</si>
  <si>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</si>
  <si>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</si>
  <si>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</si>
  <si>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</si>
  <si>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</si>
  <si>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</si>
  <si>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</si>
  <si>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</si>
  <si>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</si>
  <si>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</si>
  <si>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</si>
  <si>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</si>
  <si>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</si>
  <si>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</si>
  <si>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</si>
  <si>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</si>
  <si>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</si>
  <si>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</si>
  <si>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</si>
  <si>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</si>
  <si>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</si>
  <si>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</si>
  <si>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</si>
  <si>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</si>
  <si>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</si>
  <si>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</si>
  <si>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</si>
  <si>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</si>
  <si>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</si>
  <si>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</si>
  <si>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</si>
  <si>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</si>
  <si>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</si>
  <si>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</si>
  <si>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</si>
  <si>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</si>
  <si>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</si>
  <si>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</si>
  <si>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</si>
  <si>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</si>
  <si>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</si>
  <si>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</si>
  <si>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</si>
  <si>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</si>
  <si>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</si>
  <si>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</si>
  <si>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</si>
  <si>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</si>
  <si>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</si>
  <si>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</si>
  <si>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</si>
  <si>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</si>
  <si>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</si>
  <si>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</si>
  <si>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</si>
  <si>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</si>
  <si>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</si>
  <si>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</si>
  <si>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</si>
  <si>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</si>
  <si>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</si>
  <si>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</si>
  <si>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</si>
  <si>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</si>
  <si>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</si>
  <si>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</si>
  <si>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</si>
  <si>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</si>
  <si>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</si>
  <si>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</si>
  <si>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</si>
  <si>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</si>
  <si>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</si>
  <si>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</si>
  <si>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</si>
  <si>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</si>
  <si>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</si>
  <si>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</si>
  <si>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</si>
  <si>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</si>
  <si>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</si>
  <si>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</si>
  <si>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</si>
  <si>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</si>
  <si>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</si>
  <si>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</si>
  <si>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</si>
  <si>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</si>
  <si>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</si>
  <si>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</si>
  <si>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</si>
  <si>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</si>
  <si>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</si>
  <si>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</si>
  <si>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</si>
  <si>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</si>
  <si>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</si>
  <si>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</si>
  <si>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</si>
  <si>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</si>
  <si>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</si>
  <si>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</si>
  <si>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</si>
  <si>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</si>
  <si>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</si>
  <si>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</si>
  <si>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</si>
  <si>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</si>
  <si>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</si>
  <si>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</si>
  <si>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</si>
  <si>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</si>
  <si>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</si>
  <si>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</si>
  <si>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</si>
  <si>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</si>
  <si>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</si>
  <si>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</si>
  <si>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</si>
  <si>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</si>
  <si>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</si>
  <si>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</si>
  <si>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</si>
  <si>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</si>
  <si>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</si>
  <si>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</si>
  <si>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</si>
  <si>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</si>
  <si>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</si>
  <si>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</si>
  <si>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</si>
  <si>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</si>
  <si>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</si>
  <si>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</si>
  <si>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</si>
  <si>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</si>
  <si>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</si>
  <si>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</si>
  <si>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</si>
  <si>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</si>
  <si>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</si>
  <si>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</si>
  <si>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</si>
  <si>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</si>
  <si>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</si>
  <si>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</si>
  <si>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</si>
  <si>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</si>
  <si>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</si>
  <si>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</si>
  <si>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</si>
  <si>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</si>
  <si>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</si>
  <si>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</si>
  <si>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</si>
  <si>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</si>
  <si>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</si>
  <si>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</si>
  <si>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</si>
  <si>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</si>
  <si>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</si>
  <si>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</si>
  <si>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</si>
  <si>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</si>
  <si>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</si>
  <si>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</si>
  <si>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</si>
  <si>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</si>
  <si>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</si>
  <si>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</si>
  <si>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</si>
  <si>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</si>
  <si>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</si>
  <si>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</si>
  <si>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</si>
  <si>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</si>
  <si>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</si>
  <si>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</si>
  <si>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</si>
  <si>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</si>
  <si>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</si>
  <si>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</si>
  <si>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</si>
  <si>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</si>
  <si>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</si>
  <si>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</si>
  <si>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</si>
  <si>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</si>
  <si>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</si>
  <si>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</si>
  <si>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</si>
  <si>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</si>
  <si>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</si>
  <si>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</si>
  <si>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</si>
  <si>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</si>
  <si>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</si>
  <si>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</si>
  <si>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</si>
  <si>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</si>
  <si>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</si>
  <si>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</si>
  <si>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</si>
  <si>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</si>
  <si>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</si>
  <si>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</si>
  <si>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</si>
  <si>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</si>
  <si>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</si>
  <si>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</si>
  <si>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</si>
  <si>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</si>
  <si>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</si>
  <si>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</si>
  <si>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</si>
  <si>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</si>
  <si>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</si>
  <si>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</si>
  <si>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</si>
  <si>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</si>
  <si>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</si>
  <si>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</si>
  <si>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</si>
  <si>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</si>
  <si>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</si>
  <si>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</si>
  <si>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</si>
  <si>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</si>
  <si>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</si>
  <si>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</si>
  <si>
    <t>CO2[_]*</t>
  </si>
  <si>
    <t>CO2_captured_ALL</t>
  </si>
  <si>
    <t>biofuels_*</t>
  </si>
  <si>
    <t>ind_biofuels</t>
  </si>
  <si>
    <t>co2*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</si>
  <si>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</si>
  <si>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</si>
  <si>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</si>
  <si>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</si>
  <si>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</si>
  <si>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</si>
  <si>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</si>
  <si>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</si>
  <si>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</si>
  <si>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</si>
  <si>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</si>
  <si>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</si>
  <si>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</si>
  <si>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</si>
  <si>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</si>
  <si>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</si>
  <si>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</si>
  <si>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</si>
  <si>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</si>
  <si>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</si>
  <si>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</si>
  <si>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</si>
  <si>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network_type</t>
  </si>
  <si>
    <t>g[_]*</t>
  </si>
  <si>
    <t>power</t>
  </si>
  <si>
    <t>p[_]co2_*</t>
  </si>
  <si>
    <t>co2</t>
  </si>
  <si>
    <t>Industry</t>
  </si>
  <si>
    <t>biofuels_*,cement_*,chemicals_*,fertilizer_*,glass_*,lime_*,non_ferrous_*,petchem_*,pulp_paper_*,soda_ash_*,steel_*,wood_*</t>
  </si>
  <si>
    <t>CO2s[_]*</t>
  </si>
  <si>
    <t>CO2_stored</t>
  </si>
  <si>
    <t>Ref</t>
  </si>
  <si>
    <t>Mild</t>
  </si>
  <si>
    <t>Mitig</t>
  </si>
  <si>
    <t>NZ</t>
  </si>
  <si>
    <t>$000</t>
  </si>
  <si>
    <t>$150</t>
  </si>
  <si>
    <t>$250</t>
  </si>
  <si>
    <t>$450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</si>
</sst>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20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9" fillId="0" borderId="0" xfId="0" applyFont="1"/>
    <xf numFmtId="0" fontId="19" fillId="0" borderId="0" xfId="0" quotePrefix="1" applyFont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24"/>
  <sheetViews>
    <sheetView tabSelected="1" zoomScaleNormal="100" workbookViewId="0">
      <selection activeCell="A6" sqref="A6"/>
    </sheetView>
  </sheetViews>
  <sheetFormatPr defaultColWidth="14.77734375" defaultRowHeight="14.4"/>
  <cols>
    <col min="1" max="1" width="2.77734375" bestFit="1" customWidth="1"/>
    <col min="2" max="2" width="19.88671875" bestFit="1" customWidth="1"/>
    <col min="3" max="3" width="19.5546875" bestFit="1" customWidth="1"/>
    <col min="4" max="4" width="10.5546875" bestFit="1" customWidth="1"/>
    <col min="5" max="5" width="5" bestFit="1" customWidth="1"/>
    <col min="8" max="8" width="19.5546875" bestFit="1" customWidth="1"/>
    <col min="9" max="9" width="15.5546875" bestFit="1" customWidth="1"/>
    <col min="10" max="10" width="10.33203125" bestFit="1" customWidth="1"/>
    <col min="14" max="14" width="6.5546875" bestFit="1" customWidth="1"/>
    <col min="15" max="15" width="19.21875" bestFit="1" customWidth="1"/>
    <col min="16" max="16" width="7.109375" bestFit="1" customWidth="1"/>
    <col min="17" max="17" width="9.6640625" bestFit="1" customWidth="1"/>
    <col min="18" max="18" width="6.5546875" bestFit="1" customWidth="1"/>
    <col min="19" max="19" width="2.777343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7734375" bestFit="1" customWidth="1"/>
    <col min="24" max="24" width="13.10937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"PL_CCUS~"&amp;TEXT(P6,"0000")</f>
        <v>PL_CCUS~0001</v>
      </c>
      <c r="C6" t="s">
        <v>926</v>
      </c>
      <c r="H6" t="s">
        <v>926</v>
      </c>
      <c r="J6" t="s">
        <v>930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9" si="0">"PL_CCUS~"&amp;TEXT(P7,"0000")</f>
        <v>PL_CCUS~0002</v>
      </c>
      <c r="C7" t="s">
        <v>927</v>
      </c>
      <c r="H7" t="s">
        <v>927</v>
      </c>
      <c r="J7" t="s">
        <v>931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PL_CCUS~0003</v>
      </c>
      <c r="C8" t="s">
        <v>928</v>
      </c>
      <c r="H8" t="s">
        <v>928</v>
      </c>
      <c r="J8" t="s">
        <v>932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PL_CCUS~0004</v>
      </c>
      <c r="C9" t="s">
        <v>929</v>
      </c>
      <c r="H9" t="s">
        <v>929</v>
      </c>
      <c r="J9" t="s">
        <v>933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N13">
        <v>5</v>
      </c>
      <c r="O13" t="s">
        <v>353</v>
      </c>
      <c r="P13">
        <v>8</v>
      </c>
      <c r="Q13" t="s">
        <v>350</v>
      </c>
      <c r="R13">
        <v>300</v>
      </c>
    </row>
    <row r="17" spans="2:10">
      <c r="B17" t="str">
        <f>"PL_CCUS~"&amp;TEXT(P6,"0000")</f>
        <v>PL_CCUS~0001</v>
      </c>
      <c r="C17" t="str">
        <f>H17</f>
        <v>base·$000</v>
      </c>
      <c r="H17" t="str">
        <f>O6</f>
        <v>base·$000</v>
      </c>
      <c r="I17" t="str">
        <f>Q6</f>
        <v>base</v>
      </c>
      <c r="J17" t="str">
        <f>TEXT(R6,"$000")</f>
        <v>$000</v>
      </c>
    </row>
    <row r="18" spans="2:10">
      <c r="B18" t="str">
        <f>"PL_CCUS~"&amp;TEXT(P7,"0000")</f>
        <v>PL_CCUS~0002</v>
      </c>
      <c r="C18" t="str">
        <f t="shared" ref="C18:C24" si="1">H18</f>
        <v>base·$100</v>
      </c>
      <c r="H18" t="str">
        <f>O7</f>
        <v>base·$100</v>
      </c>
      <c r="I18" t="str">
        <f>Q7</f>
        <v>base</v>
      </c>
      <c r="J18" t="str">
        <f>TEXT(R7,"$000")</f>
        <v>$100</v>
      </c>
    </row>
    <row r="19" spans="2:10">
      <c r="B19" t="str">
        <f>"PL_CCUS~"&amp;TEXT(P8,"0000")</f>
        <v>PL_CCUS~0003</v>
      </c>
      <c r="C19" t="str">
        <f t="shared" si="1"/>
        <v>base·$200</v>
      </c>
      <c r="H19" t="str">
        <f>O8</f>
        <v>base·$200</v>
      </c>
      <c r="I19" t="str">
        <f>Q8</f>
        <v>base</v>
      </c>
      <c r="J19" t="str">
        <f>TEXT(R8,"$000")</f>
        <v>$200</v>
      </c>
    </row>
    <row r="20" spans="2:10">
      <c r="B20" t="str">
        <f>"PL_CCUS~"&amp;TEXT(P9,"0000")</f>
        <v>PL_CCUS~0004</v>
      </c>
      <c r="C20" t="str">
        <f t="shared" si="1"/>
        <v>base·$300</v>
      </c>
      <c r="H20" t="str">
        <f>O9</f>
        <v>base·$300</v>
      </c>
      <c r="I20" t="str">
        <f>Q9</f>
        <v>base</v>
      </c>
      <c r="J20" t="str">
        <f>TEXT(R9,"$000")</f>
        <v>$300</v>
      </c>
    </row>
    <row r="21" spans="2:10">
      <c r="B21" t="str">
        <f>"PL_CCUS~"&amp;TEXT(P10,"0000")</f>
        <v>PL_CCUS~0005</v>
      </c>
      <c r="C21" t="str">
        <f t="shared" si="1"/>
        <v>high·$000</v>
      </c>
      <c r="H21" t="str">
        <f>O10</f>
        <v>high·$000</v>
      </c>
      <c r="I21" t="str">
        <f>Q10</f>
        <v>high</v>
      </c>
      <c r="J21" t="str">
        <f>TEXT(R10,"$000")</f>
        <v>$000</v>
      </c>
    </row>
    <row r="22" spans="2:10">
      <c r="B22" t="str">
        <f>"PL_CCUS~"&amp;TEXT(P11,"0000")</f>
        <v>PL_CCUS~0006</v>
      </c>
      <c r="C22" t="str">
        <f t="shared" si="1"/>
        <v>high·$100</v>
      </c>
      <c r="H22" t="str">
        <f>O11</f>
        <v>high·$100</v>
      </c>
      <c r="I22" t="str">
        <f>Q11</f>
        <v>high</v>
      </c>
      <c r="J22" t="str">
        <f>TEXT(R11,"$000")</f>
        <v>$100</v>
      </c>
    </row>
    <row r="23" spans="2:10">
      <c r="B23" t="str">
        <f>"PL_CCUS~"&amp;TEXT(P12,"0000")</f>
        <v>PL_CCUS~0007</v>
      </c>
      <c r="C23" t="str">
        <f t="shared" si="1"/>
        <v>high·$200</v>
      </c>
      <c r="H23" t="str">
        <f>O12</f>
        <v>high·$200</v>
      </c>
      <c r="I23" t="str">
        <f>Q12</f>
        <v>high</v>
      </c>
      <c r="J23" t="str">
        <f>TEXT(R12,"$000")</f>
        <v>$200</v>
      </c>
    </row>
    <row r="24" spans="2:10">
      <c r="B24" t="str">
        <f>"PL_CCUS~"&amp;TEXT(P13,"0000")</f>
        <v>PL_CCUS~0008</v>
      </c>
      <c r="C24" t="str">
        <f t="shared" si="1"/>
        <v>high·$300</v>
      </c>
      <c r="H24" t="str">
        <f>O13</f>
        <v>high·$300</v>
      </c>
      <c r="I24" t="str">
        <f>Q13</f>
        <v>high</v>
      </c>
      <c r="J24" t="str">
        <f>TEXT(R13,"$000")</f>
        <v>$300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2"/>
  <sheetViews>
    <sheetView zoomScaleNormal="100" workbookViewId="0">
      <pane ySplit="2" topLeftCell="A35" activePane="bottomLeft" state="frozen"/>
      <selection pane="bottomLeft" activeCell="A42" sqref="A42:N42"/>
    </sheetView>
  </sheetViews>
  <sheetFormatPr defaultColWidth="9.109375" defaultRowHeight="14.4"/>
  <cols>
    <col min="1" max="1" width="13.88671875" bestFit="1" customWidth="1"/>
    <col min="2" max="2" width="13.77734375" bestFit="1" customWidth="1"/>
    <col min="3" max="4" width="16.88671875" bestFit="1" customWidth="1"/>
    <col min="5" max="5" width="8.5546875" bestFit="1" customWidth="1"/>
    <col min="6" max="6" width="7.88671875" bestFit="1" customWidth="1"/>
    <col min="7" max="7" width="8.77734375" bestFit="1" customWidth="1"/>
    <col min="8" max="8" width="17.21875" bestFit="1" customWidth="1"/>
    <col min="9" max="9" width="12.77734375" bestFit="1" customWidth="1"/>
    <col min="10" max="10" width="8.5546875" bestFit="1" customWidth="1"/>
    <col min="11" max="12" width="8.77734375" bestFit="1" customWidth="1"/>
    <col min="13" max="13" width="9.21875" bestFit="1" customWidth="1"/>
    <col min="14" max="14" width="15.109375" bestFit="1" customWidth="1"/>
    <col min="15" max="15" width="4.5546875" bestFit="1" customWidth="1"/>
    <col min="16" max="16" width="22.5546875" bestFit="1" customWidth="1"/>
    <col min="17" max="17" width="8.6640625" bestFit="1" customWidth="1"/>
    <col min="18" max="18" width="6.5546875" bestFit="1" customWidth="1"/>
    <col min="19" max="19" width="11.5546875" bestFit="1" customWidth="1"/>
    <col min="20" max="20" width="2.109375" bestFit="1" customWidth="1"/>
    <col min="21" max="21" width="13.88671875" bestFit="1" customWidth="1"/>
    <col min="24" max="24" width="14.44140625" bestFit="1" customWidth="1"/>
    <col min="25" max="25" width="12.77734375" bestFit="1" customWidth="1"/>
    <col min="26" max="26" width="107.77734375" bestFit="1" customWidth="1"/>
  </cols>
  <sheetData>
    <row r="1" spans="1:21" ht="18" thickBot="1">
      <c r="A1" s="5" t="s">
        <v>20</v>
      </c>
    </row>
    <row r="2" spans="1:21" ht="15.6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10" t="s">
        <v>37</v>
      </c>
      <c r="U4" s="10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  <row r="41" spans="1:17">
      <c r="A41" s="8" t="s">
        <v>4</v>
      </c>
      <c r="B41" s="8"/>
      <c r="C41" s="8"/>
      <c r="D41" s="8"/>
      <c r="E41" s="8"/>
      <c r="F41" s="8"/>
      <c r="G41" s="8"/>
      <c r="H41" s="8"/>
      <c r="I41" s="2" t="s">
        <v>890</v>
      </c>
      <c r="J41" s="8"/>
      <c r="K41" t="s">
        <v>115</v>
      </c>
      <c r="L41" s="8"/>
      <c r="M41" s="8"/>
      <c r="N41" s="8" t="s">
        <v>891</v>
      </c>
    </row>
    <row r="42" spans="1:17">
      <c r="A42" s="8" t="s">
        <v>137</v>
      </c>
      <c r="B42" s="8"/>
      <c r="C42" s="8"/>
      <c r="D42" s="8"/>
      <c r="E42" s="8"/>
      <c r="F42" s="8"/>
      <c r="G42" s="8"/>
      <c r="H42" s="8"/>
      <c r="I42" s="9" t="s">
        <v>924</v>
      </c>
      <c r="J42" s="8"/>
      <c r="K42" s="8" t="s">
        <v>115</v>
      </c>
      <c r="L42" s="8"/>
      <c r="M42" s="8"/>
      <c r="N42" s="8" t="s">
        <v>925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4"/>
  <cols>
    <col min="3" max="4" width="13" bestFit="1" customWidth="1"/>
    <col min="5" max="5" width="13.109375" bestFit="1" customWidth="1"/>
    <col min="6" max="6" width="7.77734375" bestFit="1" customWidth="1"/>
    <col min="7" max="7" width="8.21875" bestFit="1" customWidth="1"/>
    <col min="8" max="8" width="5.77734375" bestFit="1" customWidth="1"/>
    <col min="9" max="9" width="10.21875" bestFit="1" customWidth="1"/>
    <col min="10" max="10" width="10.33203125" bestFit="1" customWidth="1"/>
    <col min="11" max="11" width="5.2187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4"/>
  <cols>
    <col min="1" max="19" width="19.21875" customWidth="1"/>
  </cols>
  <sheetData>
    <row r="3" spans="1:19" ht="18" thickBot="1">
      <c r="A3" s="5" t="s">
        <v>231</v>
      </c>
    </row>
    <row r="4" spans="1:19" ht="15.6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8" thickBot="1">
      <c r="A10" s="5" t="s">
        <v>206</v>
      </c>
    </row>
    <row r="11" spans="1:19" ht="15.6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09375" defaultRowHeight="14.4"/>
  <cols>
    <col min="1" max="1" width="15.21875" bestFit="1" customWidth="1"/>
    <col min="2" max="3" width="11.554687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4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09375" defaultRowHeight="14.4"/>
  <cols>
    <col min="1" max="1" width="13.5546875" bestFit="1" customWidth="1"/>
    <col min="2" max="2" width="14.109375" bestFit="1" customWidth="1"/>
    <col min="3" max="3" width="36.441406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4"/>
  <cols>
    <col min="1" max="1" width="13.109375" bestFit="1" customWidth="1"/>
    <col min="2" max="2" width="6.21875" bestFit="1" customWidth="1"/>
    <col min="3" max="3" width="9.554687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9BF-497D-4250-BF1F-205660B0FF48}">
  <dimension ref="B9:H186"/>
  <sheetViews>
    <sheetView workbookViewId="0"/>
  </sheetViews>
  <sheetFormatPr defaultRowHeight="14.4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8DBB-6C0A-4B6E-A8B8-F98B0C398097}">
  <dimension ref="B9:L186"/>
  <sheetViews>
    <sheetView workbookViewId="0"/>
  </sheetViews>
  <sheetFormatPr defaultRowHeight="14.4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66" activePane="bottomLeft" state="frozen"/>
      <selection pane="bottomLeft" activeCell="B74" sqref="B74"/>
    </sheetView>
  </sheetViews>
  <sheetFormatPr defaultRowHeight="14.4"/>
  <cols>
    <col min="1" max="1" width="14.88671875" bestFit="1" customWidth="1"/>
    <col min="2" max="2" width="11.109375" bestFit="1" customWidth="1"/>
    <col min="3" max="4" width="15.21875" bestFit="1" customWidth="1"/>
    <col min="5" max="5" width="6.44140625" bestFit="1" customWidth="1"/>
    <col min="6" max="6" width="10.5546875" bestFit="1" customWidth="1"/>
    <col min="7" max="7" width="7.33203125" bestFit="1" customWidth="1"/>
  </cols>
  <sheetData>
    <row r="1" spans="1:7" ht="18" thickBot="1">
      <c r="A1" s="5" t="s">
        <v>57</v>
      </c>
    </row>
    <row r="2" spans="1:7" ht="15.6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6">
      <c r="A49" t="s">
        <v>269</v>
      </c>
      <c r="C49" t="str">
        <f t="shared" si="1"/>
        <v>gas</v>
      </c>
      <c r="E49" t="s">
        <v>124</v>
      </c>
    </row>
    <row r="50" spans="1:6">
      <c r="A50" t="s">
        <v>269</v>
      </c>
      <c r="C50" t="str">
        <f t="shared" si="1"/>
        <v>hydro</v>
      </c>
      <c r="E50" t="s">
        <v>208</v>
      </c>
    </row>
    <row r="51" spans="1:6">
      <c r="A51" t="s">
        <v>269</v>
      </c>
      <c r="C51" t="str">
        <f t="shared" si="1"/>
        <v>nuclear</v>
      </c>
      <c r="E51" t="s">
        <v>162</v>
      </c>
    </row>
    <row r="52" spans="1:6">
      <c r="A52" t="s">
        <v>269</v>
      </c>
      <c r="C52" t="str">
        <f t="shared" si="1"/>
        <v>oil</v>
      </c>
      <c r="E52" t="s">
        <v>209</v>
      </c>
    </row>
    <row r="53" spans="1:6">
      <c r="A53" t="s">
        <v>269</v>
      </c>
      <c r="C53" t="str">
        <f t="shared" si="1"/>
        <v>solar</v>
      </c>
      <c r="E53" t="s">
        <v>210</v>
      </c>
    </row>
    <row r="54" spans="1:6">
      <c r="A54" t="s">
        <v>269</v>
      </c>
      <c r="C54" t="str">
        <f t="shared" si="1"/>
        <v>windoff</v>
      </c>
      <c r="E54" t="s">
        <v>212</v>
      </c>
    </row>
    <row r="55" spans="1:6">
      <c r="A55" t="s">
        <v>269</v>
      </c>
      <c r="C55" t="str">
        <f t="shared" si="1"/>
        <v>windon</v>
      </c>
      <c r="E55" t="s">
        <v>211</v>
      </c>
    </row>
    <row r="56" spans="1:6">
      <c r="A56" t="s">
        <v>269</v>
      </c>
      <c r="C56" t="str">
        <f t="shared" si="1"/>
        <v>geothermal</v>
      </c>
      <c r="E56" t="s">
        <v>207</v>
      </c>
    </row>
    <row r="57" spans="1:6">
      <c r="A57" t="s">
        <v>269</v>
      </c>
      <c r="C57" t="s">
        <v>381</v>
      </c>
      <c r="D57" t="s">
        <v>384</v>
      </c>
    </row>
    <row r="58" spans="1:6">
      <c r="A58" t="s">
        <v>269</v>
      </c>
      <c r="C58" t="s">
        <v>382</v>
      </c>
      <c r="D58" t="s">
        <v>383</v>
      </c>
    </row>
    <row r="59" spans="1:6">
      <c r="A59" s="8" t="s">
        <v>62</v>
      </c>
      <c r="B59" s="8" t="s">
        <v>892</v>
      </c>
      <c r="C59" s="8" t="s">
        <v>893</v>
      </c>
      <c r="D59" s="8"/>
      <c r="E59" s="8"/>
      <c r="F59" s="8" t="s">
        <v>894</v>
      </c>
    </row>
    <row r="60" spans="1:6">
      <c r="A60" s="8" t="s">
        <v>62</v>
      </c>
      <c r="B60" s="8" t="s">
        <v>895</v>
      </c>
      <c r="C60" s="8" t="s">
        <v>896</v>
      </c>
      <c r="D60" s="8"/>
      <c r="E60" s="8"/>
      <c r="F60" s="8" t="s">
        <v>894</v>
      </c>
    </row>
    <row r="61" spans="1:6">
      <c r="A61" s="8" t="s">
        <v>62</v>
      </c>
      <c r="B61" s="8" t="s">
        <v>897</v>
      </c>
      <c r="C61" s="8" t="s">
        <v>898</v>
      </c>
      <c r="D61" s="8"/>
      <c r="E61" s="8"/>
      <c r="F61" s="8" t="s">
        <v>894</v>
      </c>
    </row>
    <row r="62" spans="1:6">
      <c r="A62" s="8" t="s">
        <v>62</v>
      </c>
      <c r="B62" s="8" t="s">
        <v>899</v>
      </c>
      <c r="C62" s="8" t="s">
        <v>900</v>
      </c>
      <c r="D62" s="8"/>
      <c r="E62" s="8"/>
      <c r="F62" s="8" t="s">
        <v>894</v>
      </c>
    </row>
    <row r="63" spans="1:6">
      <c r="A63" s="8" t="s">
        <v>62</v>
      </c>
      <c r="B63" s="8" t="s">
        <v>901</v>
      </c>
      <c r="C63" s="8" t="s">
        <v>902</v>
      </c>
      <c r="D63" s="8"/>
      <c r="E63" s="8"/>
      <c r="F63" s="8" t="s">
        <v>894</v>
      </c>
    </row>
    <row r="64" spans="1:6">
      <c r="A64" s="8" t="s">
        <v>62</v>
      </c>
      <c r="B64" s="8" t="s">
        <v>903</v>
      </c>
      <c r="C64" s="8" t="s">
        <v>904</v>
      </c>
      <c r="D64" s="8"/>
      <c r="E64" s="8"/>
      <c r="F64" s="8" t="s">
        <v>894</v>
      </c>
    </row>
    <row r="65" spans="1:6">
      <c r="A65" s="8" t="s">
        <v>62</v>
      </c>
      <c r="B65" s="8" t="s">
        <v>905</v>
      </c>
      <c r="C65" s="8" t="s">
        <v>906</v>
      </c>
      <c r="D65" s="8"/>
      <c r="E65" s="8"/>
      <c r="F65" s="8" t="s">
        <v>894</v>
      </c>
    </row>
    <row r="66" spans="1:6">
      <c r="A66" s="8" t="s">
        <v>62</v>
      </c>
      <c r="B66" s="8" t="s">
        <v>907</v>
      </c>
      <c r="C66" s="8" t="s">
        <v>908</v>
      </c>
      <c r="D66" s="8"/>
      <c r="E66" s="8"/>
      <c r="F66" s="8" t="s">
        <v>894</v>
      </c>
    </row>
    <row r="67" spans="1:6">
      <c r="A67" s="8" t="s">
        <v>62</v>
      </c>
      <c r="B67" s="8" t="s">
        <v>909</v>
      </c>
      <c r="C67" s="8" t="s">
        <v>910</v>
      </c>
      <c r="D67" s="8"/>
      <c r="E67" s="8"/>
      <c r="F67" s="8" t="s">
        <v>894</v>
      </c>
    </row>
    <row r="68" spans="1:6">
      <c r="A68" s="8" t="s">
        <v>62</v>
      </c>
      <c r="B68" s="8" t="s">
        <v>911</v>
      </c>
      <c r="C68" s="8" t="s">
        <v>912</v>
      </c>
      <c r="D68" s="8"/>
      <c r="E68" s="8"/>
      <c r="F68" s="8" t="s">
        <v>894</v>
      </c>
    </row>
    <row r="69" spans="1:6">
      <c r="A69" s="8" t="s">
        <v>62</v>
      </c>
      <c r="B69" s="8" t="s">
        <v>913</v>
      </c>
      <c r="C69" s="8" t="s">
        <v>914</v>
      </c>
      <c r="D69" s="8"/>
      <c r="E69" s="8"/>
      <c r="F69" s="8" t="s">
        <v>894</v>
      </c>
    </row>
    <row r="70" spans="1:6">
      <c r="A70" s="8" t="s">
        <v>62</v>
      </c>
      <c r="B70" s="8" t="s">
        <v>915</v>
      </c>
      <c r="C70" s="8" t="s">
        <v>916</v>
      </c>
      <c r="D70" s="8"/>
      <c r="E70" s="8"/>
      <c r="F70" s="8" t="s">
        <v>894</v>
      </c>
    </row>
    <row r="71" spans="1:6">
      <c r="A71" s="8" t="s">
        <v>917</v>
      </c>
      <c r="B71" s="8" t="s">
        <v>918</v>
      </c>
      <c r="C71" s="8" t="s">
        <v>919</v>
      </c>
    </row>
    <row r="72" spans="1:6">
      <c r="A72" s="8" t="s">
        <v>917</v>
      </c>
      <c r="B72" s="8" t="s">
        <v>920</v>
      </c>
      <c r="C72" s="8" t="s">
        <v>921</v>
      </c>
    </row>
    <row r="73" spans="1:6">
      <c r="A73" t="s">
        <v>238</v>
      </c>
      <c r="C73" t="s">
        <v>36</v>
      </c>
      <c r="D73" t="s">
        <v>370</v>
      </c>
    </row>
    <row r="74" spans="1:6">
      <c r="A74" t="s">
        <v>238</v>
      </c>
      <c r="B74" t="s">
        <v>923</v>
      </c>
      <c r="C74" t="s">
        <v>922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09375" defaultRowHeight="14.4"/>
  <cols>
    <col min="1" max="1" width="13.77734375" bestFit="1" customWidth="1"/>
    <col min="2" max="2" width="12.77734375" bestFit="1" customWidth="1"/>
    <col min="3" max="3" width="11" bestFit="1" customWidth="1"/>
    <col min="4" max="4" width="28.88671875" bestFit="1" customWidth="1"/>
    <col min="5" max="5" width="7.5546875" bestFit="1" customWidth="1"/>
    <col min="6" max="6" width="11.77734375" bestFit="1" customWidth="1"/>
    <col min="7" max="7" width="12.109375" bestFit="1" customWidth="1"/>
    <col min="8" max="8" width="12.2187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4"/>
  <cols>
    <col min="4" max="4" width="10.8867187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09375" defaultRowHeight="14.4"/>
  <cols>
    <col min="1" max="1" width="10.109375" bestFit="1" customWidth="1"/>
    <col min="2" max="2" width="8.77734375" bestFit="1" customWidth="1"/>
    <col min="3" max="3" width="5.88671875" bestFit="1" customWidth="1"/>
    <col min="4" max="4" width="12" bestFit="1" customWidth="1"/>
    <col min="6" max="6" width="2" bestFit="1" customWidth="1"/>
    <col min="7" max="7" width="12.77734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Rocco De Miglio</cp:lastModifiedBy>
  <cp:lastPrinted>2013-04-26T17:54:26Z</cp:lastPrinted>
  <dcterms:created xsi:type="dcterms:W3CDTF">2011-02-22T06:05:52Z</dcterms:created>
  <dcterms:modified xsi:type="dcterms:W3CDTF">2026-09-01T11:07:09Z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