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E51FB54F-7EAD-48B6-B6C8-086902FAFCA5}" xr6:coauthVersionLast="47" xr6:coauthVersionMax="47" xr10:uidLastSave="{00000000-0000-0000-0000-000000000000}"/>
  <bookViews>
    <workbookView xWindow="-98" yWindow="-98" windowWidth="28996" windowHeight="17475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co2_network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<sst xmlns="http://schemas.openxmlformats.org/spreadsheetml/2006/main" count="2843" uniqueCount="745">
  <si>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</si>
  <si>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</si>
  <si>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</si>
  <si>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</si>
  <si>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</si>
  <si>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</si>
  <si>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</si>
  <si>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</si>
  <si>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</si>
  <si>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</si>
  <si>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</si>
  <si>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</si>
  <si>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</si>
  <si>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</si>
  <si>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</si>
  <si>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</si>
  <si>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</si>
  <si>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</si>
  <si>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</si>
  <si>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</si>
  <si>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</si>
  <si>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</si>
  <si>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</si>
  <si>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</si>
  <si>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</si>
  <si>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</si>
  <si>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</si>
  <si>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</si>
  <si>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</si>
  <si>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</si>
  <si>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</si>
  <si>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</si>
  <si>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</si>
  <si>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</si>
  <si>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</si>
  <si>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</si>
  <si>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</si>
  <si>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</si>
  <si>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</si>
  <si>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</si>
  <si>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</si>
  <si>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</si>
  <si>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</si>
  <si>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</si>
  <si>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</si>
  <si>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</si>
  <si>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</si>
  <si>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</si>
  <si>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</si>
  <si>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</si>
  <si>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</si>
  <si>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</si>
  <si>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</si>
  <si>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</si>
  <si>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</si>
  <si>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</si>
  <si>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</si>
  <si>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</si>
  <si>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</si>
  <si>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</si>
  <si>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</si>
  <si>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</si>
  <si>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</si>
  <si>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</si>
  <si>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</si>
  <si>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</si>
  <si>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</si>
  <si>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</si>
  <si>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</si>
  <si>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</si>
  <si>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</si>
  <si>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</si>
  <si>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</si>
  <si>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</si>
  <si>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</si>
  <si>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</si>
  <si>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</si>
  <si>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</si>
  <si>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</si>
  <si>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</si>
  <si>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</si>
  <si>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</si>
  <si>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</si>
  <si>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</si>
  <si>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</si>
  <si>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</si>
  <si>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</si>
  <si>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</si>
  <si>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</si>
  <si>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</si>
  <si>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</si>
  <si>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</si>
  <si>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</si>
  <si>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</si>
  <si>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</si>
  <si>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</si>
  <si>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</si>
  <si>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</si>
  <si>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</si>
  <si>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</si>
  <si>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</si>
  <si>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</si>
  <si>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</si>
  <si>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</si>
  <si>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</si>
  <si>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</si>
  <si>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</si>
  <si>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</si>
  <si>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</si>
  <si>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</si>
  <si>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</si>
  <si>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</si>
  <si>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</si>
  <si>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</si>
  <si>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</si>
  <si>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</si>
  <si>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</si>
  <si>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</si>
  <si>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</si>
  <si>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</si>
  <si>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</si>
  <si>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</si>
  <si>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</si>
  <si>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</si>
  <si>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</si>
  <si>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</si>
  <si>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</si>
  <si>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</si>
  <si>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</si>
  <si>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</si>
  <si>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</si>
  <si>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</si>
  <si>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</si>
  <si>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</si>
  <si>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</si>
  <si>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</si>
  <si>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</si>
  <si>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</si>
  <si>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</si>
  <si>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</si>
  <si>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</si>
  <si>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</si>
  <si>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</si>
  <si>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</si>
  <si>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</si>
  <si>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</si>
  <si>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</si>
  <si>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</si>
  <si>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</si>
  <si>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</si>
  <si>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</si>
  <si>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</si>
  <si>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</si>
  <si>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</si>
  <si>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</si>
  <si>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</si>
  <si>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</si>
  <si>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</si>
  <si>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</si>
  <si>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</si>
  <si>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</si>
  <si>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</si>
  <si>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</si>
  <si>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</si>
  <si>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</si>
  <si>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</si>
  <si>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</si>
  <si>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</si>
  <si>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</si>
  <si>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</si>
  <si>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</si>
  <si>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</si>
  <si>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</si>
  <si>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</si>
  <si>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</si>
  <si>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</si>
  <si>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</si>
  <si>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near Zielona Gora (cluster 1)</t>
  </si>
  <si>
    <t>annual</t>
  </si>
  <si>
    <t>no</t>
  </si>
  <si>
    <t>e_spv_POL_002</t>
  </si>
  <si>
    <t>solar resource near Opole (cluster 2)</t>
  </si>
  <si>
    <t>e_spv_POL_003</t>
  </si>
  <si>
    <t>solar resource near Wroclaw (cluster 3)</t>
  </si>
  <si>
    <t>e_spv_POL_004</t>
  </si>
  <si>
    <t>solar resource near Gorzow Wielkopolski (cluster 4)</t>
  </si>
  <si>
    <t>e_spv_POL_005</t>
  </si>
  <si>
    <t>solar resource near Pila (cluster 5)</t>
  </si>
  <si>
    <t>e_spv_POL_006</t>
  </si>
  <si>
    <t>solar resource near Olsztyn (cluster 6)</t>
  </si>
  <si>
    <t>e_spv_POL_007</t>
  </si>
  <si>
    <t>solar resource near Koszalin (cluster 7)</t>
  </si>
  <si>
    <t>e_spv_POL_008</t>
  </si>
  <si>
    <t>solar resource near Gdansk (cluster 8)</t>
  </si>
  <si>
    <t>e_spv_POL_009</t>
  </si>
  <si>
    <t>solar resource near Bialystok (cluster 9)</t>
  </si>
  <si>
    <t>e_spv_POL_010</t>
  </si>
  <si>
    <t>solar resource near Suwalki (cluster 10)</t>
  </si>
  <si>
    <t>e_spv_POL_011</t>
  </si>
  <si>
    <t>solar resource near Bialystok (cluster 11)</t>
  </si>
  <si>
    <t>e_spv_POL_012</t>
  </si>
  <si>
    <t>solar resource near Przemysl (cluster 12)</t>
  </si>
  <si>
    <t>e_spv_POL_013</t>
  </si>
  <si>
    <t>solar resource near Zamosc (cluster 13)</t>
  </si>
  <si>
    <t>e_spv_POL_014</t>
  </si>
  <si>
    <t>solar resource near Krakow (cluster 14)</t>
  </si>
  <si>
    <t>e_spv_POL_015</t>
  </si>
  <si>
    <t>solar resource near Katowice (cluster 15)</t>
  </si>
  <si>
    <t>e_spv_POL_016</t>
  </si>
  <si>
    <t>solar resource near Kalisz (cluster 16)</t>
  </si>
  <si>
    <t>e_spv_POL_017</t>
  </si>
  <si>
    <t>solar resource near Bydgoszcz (cluster 17)</t>
  </si>
  <si>
    <t>e_spv_POL_018</t>
  </si>
  <si>
    <t>solar resource near Warsaw (cluster 18)</t>
  </si>
  <si>
    <t>e_spv_POL_019</t>
  </si>
  <si>
    <t>solar resource near Radom (cluster 19)</t>
  </si>
  <si>
    <t>e_spv_POL_020</t>
  </si>
  <si>
    <t>solar resource near Warsaw (cluster 20)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</si>
  <si>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</si>
  <si>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</si>
  <si>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</si>
  <si>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</si>
  <si>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</si>
  <si>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</si>
  <si>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</si>
  <si>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</si>
  <si>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</si>
  <si>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</si>
  <si>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</si>
  <si>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</si>
  <si>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</si>
  <si>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</si>
  <si>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</si>
  <si>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</si>
  <si>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</si>
  <si>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</si>
  <si>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</si>
  <si>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</si>
  <si>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</si>
  <si>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</si>
  <si>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</si>
  <si>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</si>
  <si>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primarycg</t>
  </si>
  <si>
    <t>pre</t>
  </si>
  <si>
    <t>distr_solelc_spv_POL_001</t>
  </si>
  <si>
    <t>connecting solar to buses in cluster 1</t>
  </si>
  <si>
    <t>NRGI</t>
  </si>
  <si>
    <t>daynite</t>
  </si>
  <si>
    <t>distr_solelc_spv_POL_015</t>
  </si>
  <si>
    <t>connecting solar to buses in cluster 15</t>
  </si>
  <si>
    <t>distr_solelc_spv_POL_018</t>
  </si>
  <si>
    <t>connecting solar to buses in cluster 18</t>
  </si>
  <si>
    <t>distr_solelc_spv_POL_005</t>
  </si>
  <si>
    <t>connecting solar to buses in cluster 5</t>
  </si>
  <si>
    <t>distr_solelc_spv_POL_008</t>
  </si>
  <si>
    <t>connecting solar to buses in cluster 8</t>
  </si>
  <si>
    <t>distr_solelc_spv_POL_012</t>
  </si>
  <si>
    <t>connecting solar to buses in cluster 12</t>
  </si>
  <si>
    <t>distr_solelc_spv_POL_011</t>
  </si>
  <si>
    <t>connecting solar to buses in cluster 11</t>
  </si>
  <si>
    <t>distr_solelc_spv_POL_003</t>
  </si>
  <si>
    <t>connecting solar to buses in cluster 3</t>
  </si>
  <si>
    <t>distr_solelc_spv_POL_007</t>
  </si>
  <si>
    <t>connecting solar to buses in cluster 7</t>
  </si>
  <si>
    <t>distr_solelc_spv_POL_016</t>
  </si>
  <si>
    <t>connecting solar to buses in cluster 16</t>
  </si>
  <si>
    <t>distr_solelc_spv_POL_006</t>
  </si>
  <si>
    <t>connecting solar to buses in cluster 6</t>
  </si>
  <si>
    <t>distr_solelc_spv_POL_010</t>
  </si>
  <si>
    <t>connecting solar to buses in cluster 10</t>
  </si>
  <si>
    <t>distr_solelc_spv_POL_014</t>
  </si>
  <si>
    <t>connecting solar to buses in cluster 14</t>
  </si>
  <si>
    <t>distr_solelc_spv_POL_004</t>
  </si>
  <si>
    <t>connecting solar to buses in cluster 4</t>
  </si>
  <si>
    <t>distr_solelc_spv_POL_017</t>
  </si>
  <si>
    <t>connecting solar to buses in cluster 17</t>
  </si>
  <si>
    <t>distr_solelc_spv_POL_020</t>
  </si>
  <si>
    <t>connecting solar to buses in cluster 20</t>
  </si>
  <si>
    <t>distr_solelc_spv_POL_013</t>
  </si>
  <si>
    <t>connecting solar to buses in cluster 13</t>
  </si>
  <si>
    <t>distr_solelc_spv_POL_002</t>
  </si>
  <si>
    <t>connecting solar to buses in cluster 2</t>
  </si>
  <si>
    <t>distr_solelc_spv_POL_019</t>
  </si>
  <si>
    <t>connecting solar to buses in cluster 19</t>
  </si>
  <si>
    <t>distr_solelc_spv_POL_009</t>
  </si>
  <si>
    <t>connecting solar to buses in cluster 9</t>
  </si>
  <si>
    <t>comm-in</t>
  </si>
  <si>
    <t>ncap_cost~USD21_alt</t>
  </si>
  <si>
    <t>e_Boleslawiec_POL,e_ZielonaGora_POL</t>
  </si>
  <si>
    <t>e_Sosnowiec_POL,e_KedzierzynKozle_POL,e_Olesnica_POL,e_Gliwice_POL,e_Czestochowa_POL,e_Radomsko_POL,e_PiotrkowTrybunalsk_POL,e_Kielce_POL</t>
  </si>
  <si>
    <t>e_Warsaw_POL,e_Lomza_POL</t>
  </si>
  <si>
    <t>e_Lubin_POL,e_Poznan_POL,e_Koszalin_POL,e_Bydgoszcz_POL</t>
  </si>
  <si>
    <t>e_Bydgoszcz_POL,e_Gdansk_POL,e_Grudziadz_POL,e_Kwidzyn_POL</t>
  </si>
  <si>
    <t>e_Krosno_POL,e_Mielec_POL,e_Debica_POL,e_Zamosc_POL</t>
  </si>
  <si>
    <t>e_Lomza_POL,e_Elk_POL,e_Bialystok_POL,e_Grajewo_POL</t>
  </si>
  <si>
    <t>e_Lubin_POL,e_Swidnica_POL,e_Wroclaw_POL,e_Poznan_POL,e_Olesnica_POL</t>
  </si>
  <si>
    <t>e_Koszalin_POL,e_Ustka_POL,e_Slupsk_POL</t>
  </si>
  <si>
    <t>e_Olesnica_POL,e_Konin_POL,e_PiotrkowTrybunalsk_POL,e_Plock_POL</t>
  </si>
  <si>
    <t>e_Plock_POL,e_Olsztyn_POL,e_Warsaw_POL</t>
  </si>
  <si>
    <t>e_Elk_POL,e_Grajewo_POL</t>
  </si>
  <si>
    <t>e_BielskoBiala_POL,e_Katowice_POL,e_Krakow_POL,e_Tarnow_POL</t>
  </si>
  <si>
    <t>e_GorzowWielkopolski_POL,e_Szczecin_POL,e_Police_POL</t>
  </si>
  <si>
    <t>e_Konin_POL,e_Bydgoszcz_POL,e_Wloclawek_POL,e_Kwidzyn_POL,e_Plock_POL</t>
  </si>
  <si>
    <t>e_OstrowiecSwietokrz_POL,e_Pulawy_POL,e_Warsaw_POL</t>
  </si>
  <si>
    <t>e_Rzeszow_POL,e_Zamosc_POL,e_Pulawy_POL,e_Chelm_POL</t>
  </si>
  <si>
    <t>e_Legnica_POL,e_Swidnica_POL,e_KedzierzynKozle_POL,e_Opole_POL</t>
  </si>
  <si>
    <t>e_Kielce_POL,e_Warsaw_POL,e_OstrowiecSwietokrz_POL</t>
  </si>
  <si>
    <t>e_Pulawy_POL,e_Bialystok_POL,e_Chelm_POL</t>
  </si>
  <si>
    <t>distr_wonelc_won_POL_007</t>
  </si>
  <si>
    <t>connecting wind onshore to buses in cluster 7</t>
  </si>
  <si>
    <t>distr_wonelc_won_POL_005</t>
  </si>
  <si>
    <t>connecting wind onshore to buses in cluster 5</t>
  </si>
  <si>
    <t>distr_wonelc_won_POL_001</t>
  </si>
  <si>
    <t>connecting wind onshore to buses in cluster 1</t>
  </si>
  <si>
    <t>distr_wonelc_won_POL_018</t>
  </si>
  <si>
    <t>connecting wind onshore to buses in cluster 18</t>
  </si>
  <si>
    <t>distr_wonelc_won_POL_015</t>
  </si>
  <si>
    <t>connecting wind onshore to buses in cluster 15</t>
  </si>
  <si>
    <t>distr_wonelc_won_POL_016</t>
  </si>
  <si>
    <t>connecting wind onshore to buses in cluster 16</t>
  </si>
  <si>
    <t>distr_wonelc_won_POL_013</t>
  </si>
  <si>
    <t>connecting wind onshore to buses in cluster 13</t>
  </si>
  <si>
    <t>distr_wonelc_won_POL_008</t>
  </si>
  <si>
    <t>connecting wind onshore to buses in cluster 8</t>
  </si>
  <si>
    <t>distr_wonelc_won_POL_002</t>
  </si>
  <si>
    <t>connecting wind onshore to buses in cluster 2</t>
  </si>
  <si>
    <t>distr_wonelc_won_POL_019</t>
  </si>
  <si>
    <t>connecting wind onshore to buses in cluster 19</t>
  </si>
  <si>
    <t>distr_wonelc_won_POL_017</t>
  </si>
  <si>
    <t>connecting wind onshore to buses in cluster 17</t>
  </si>
  <si>
    <t>distr_wonelc_won_POL_006</t>
  </si>
  <si>
    <t>connecting wind onshore to buses in cluster 6</t>
  </si>
  <si>
    <t>distr_wonelc_won_POL_009</t>
  </si>
  <si>
    <t>connecting wind onshore to buses in cluster 9</t>
  </si>
  <si>
    <t>distr_wonelc_won_POL_004</t>
  </si>
  <si>
    <t>connecting wind onshore to buses in cluster 4</t>
  </si>
  <si>
    <t>distr_wonelc_won_POL_012</t>
  </si>
  <si>
    <t>connecting wind onshore to buses in cluster 12</t>
  </si>
  <si>
    <t>distr_wonelc_won_POL_003</t>
  </si>
  <si>
    <t>connecting wind onshore to buses in cluster 3</t>
  </si>
  <si>
    <t>distr_wonelc_won_POL_014</t>
  </si>
  <si>
    <t>connecting wind onshore to buses in cluster 14</t>
  </si>
  <si>
    <t>distr_wonelc_won_POL_020</t>
  </si>
  <si>
    <t>connecting wind onshore to buses in cluster 20</t>
  </si>
  <si>
    <t>distr_wonelc_won_POL_011</t>
  </si>
  <si>
    <t>connecting wind onshore to buses in cluster 11</t>
  </si>
  <si>
    <t>distr_wonelc_won_POL_010</t>
  </si>
  <si>
    <t>connecting wind onshore to buses in cluster 10</t>
  </si>
  <si>
    <t>elc_won_POL_007</t>
  </si>
  <si>
    <t>e_Warsaw_POL,e_Plock_POL,e_Olsztyn_POL</t>
  </si>
  <si>
    <t>elc_won_POL_005</t>
  </si>
  <si>
    <t>e_Lomza_POL,e_Elk_POL,e_Grajewo_POL,e_Bialystok_POL,e_Chelm_POL</t>
  </si>
  <si>
    <t>elc_won_POL_001</t>
  </si>
  <si>
    <t>e_PiotrkowTrybunalsk_POL,e_Kielce_POL,e_Warsaw_POL,e_OstrowiecSwietokrz_POL</t>
  </si>
  <si>
    <t>elc_won_POL_018</t>
  </si>
  <si>
    <t>e_Boleslawiec_POL,e_Legnica_POL,e_Swidnica_POL,e_KedzierzynKozle_POL,e_Opole_POL,e_Olesnica_POL</t>
  </si>
  <si>
    <t>elc_won_POL_015</t>
  </si>
  <si>
    <t>e_BielskoBiala_POL,e_Krakow_POL</t>
  </si>
  <si>
    <t>elc_won_POL_016</t>
  </si>
  <si>
    <t>e_Krosno_POL,e_Debica_POL</t>
  </si>
  <si>
    <t>elc_won_POL_013</t>
  </si>
  <si>
    <t>e_Lubin_POL,e_Wroclaw_POL,e_Poznan_POL,e_Olesnica_POL</t>
  </si>
  <si>
    <t>elc_won_POL_008</t>
  </si>
  <si>
    <t>e_Olsztyn_POL,e_Elk_POL</t>
  </si>
  <si>
    <t>elc_won_POL_002</t>
  </si>
  <si>
    <t>e_Tarnow_POL,e_Kielce_POL,e_OstrowiecSwietokrz_POL,e_Mielec_POL,e_Pulawy_POL,e_Rzeszow_POL</t>
  </si>
  <si>
    <t>elc_won_POL_019</t>
  </si>
  <si>
    <t>e_Katowice_POL,e_Czestochowa_POL,e_Krakow_POL,e_Kielce_POL</t>
  </si>
  <si>
    <t>elc_won_POL_017</t>
  </si>
  <si>
    <t>e_Tarnow_POL,e_Krosno_POL</t>
  </si>
  <si>
    <t>elc_won_POL_006</t>
  </si>
  <si>
    <t>e_Olesnica_POL,e_Konin_POL,e_Bydgoszcz_POL,e_Wloclawek_POL,e_Kwidzyn_POL,e_Plock_POL</t>
  </si>
  <si>
    <t>elc_won_POL_009</t>
  </si>
  <si>
    <t>e_Gdansk_POL,e_Grudziadz_POL,e_Kwidzyn_POL</t>
  </si>
  <si>
    <t>elc_won_POL_004</t>
  </si>
  <si>
    <t>elc_won_POL_012</t>
  </si>
  <si>
    <t>e_ZielonaGora_POL,e_GorzowWielkopolski_POL,e_Szczecin_POL</t>
  </si>
  <si>
    <t>elc_won_POL_003</t>
  </si>
  <si>
    <t>e_Warsaw_POL,e_Lomza_POL,e_Pulawy_POL,e_Bialystok_POL</t>
  </si>
  <si>
    <t>elc_won_POL_014</t>
  </si>
  <si>
    <t>e_Lubin_POL,e_Poznan_POL,e_Bydgoszcz_POL</t>
  </si>
  <si>
    <t>elc_won_POL_020</t>
  </si>
  <si>
    <t>e_Sosnowiec_POL,e_KedzierzynKozle_POL,e_Olesnica_POL,e_Gliwice_POL,e_Czestochowa_POL,e_Radomsko_POL</t>
  </si>
  <si>
    <t>elc_won_POL_011</t>
  </si>
  <si>
    <t>e_Boleslawiec_POL</t>
  </si>
  <si>
    <t>elc_won_POL_010</t>
  </si>
  <si>
    <t>e_Police_POL,e_Koszalin_POL,e_Poznan_POL,e_Ustka_POL,e_Bydgoszcz_POL,e_Slupsk_POL,e_Gdansk_POL</t>
  </si>
  <si>
    <t>distr_wofelc_wof_POL_006</t>
  </si>
  <si>
    <t>connecting wind offshore to buses in cluster 6</t>
  </si>
  <si>
    <t>distr_wofelc_wof_POL_002</t>
  </si>
  <si>
    <t>connecting wind offshore to buses in cluster 2</t>
  </si>
  <si>
    <t>distr_wofelc_wof_POL_005</t>
  </si>
  <si>
    <t>connecting wind offshore to buses in cluster 5</t>
  </si>
  <si>
    <t>distr_wofelc_wof_POL_001</t>
  </si>
  <si>
    <t>connecting wind offshore to buses in cluster 1</t>
  </si>
  <si>
    <t>distr_wofelc_wof_POL_003</t>
  </si>
  <si>
    <t>connecting wind offshore to buses in cluster 3</t>
  </si>
  <si>
    <t>distr_wofelc_wof_POL_004</t>
  </si>
  <si>
    <t>connecting wind offshore to buses in cluster 4</t>
  </si>
  <si>
    <t>distr_wofelc_wof_POL_008</t>
  </si>
  <si>
    <t>connecting wind offshore to buses in cluster 8</t>
  </si>
  <si>
    <t>distr_wofelc_wof_POL_007</t>
  </si>
  <si>
    <t>connecting wind offshore to buses in cluster 7</t>
  </si>
  <si>
    <t>distr_wofelc_wof_POL_010</t>
  </si>
  <si>
    <t>connecting wind offshore to buses in cluster 10</t>
  </si>
  <si>
    <t>distr_wofelc_wof_POL_009</t>
  </si>
  <si>
    <t>connecting wind offshore to buses in cluster 9</t>
  </si>
  <si>
    <t>elc_wof_POL_006</t>
  </si>
  <si>
    <t>e_Gdynia_POL</t>
  </si>
  <si>
    <t>elc_wof_POL_002</t>
  </si>
  <si>
    <t>e_Gdynia_POL,e_Gdansk_POL</t>
  </si>
  <si>
    <t>elc_wof_POL_005</t>
  </si>
  <si>
    <t>elc_wof_POL_001</t>
  </si>
  <si>
    <t>e_Gdansk_POL</t>
  </si>
  <si>
    <t>elc_wof_POL_003</t>
  </si>
  <si>
    <t>elc_wof_POL_004</t>
  </si>
  <si>
    <t>e_Ustka_POL,e_Gdynia_POL</t>
  </si>
  <si>
    <t>elc_wof_POL_008</t>
  </si>
  <si>
    <t>e_Police_POL,e_Koszalin_POL</t>
  </si>
  <si>
    <t>elc_wof_POL_007</t>
  </si>
  <si>
    <t>e_Koszalin_POL</t>
  </si>
  <si>
    <t>elc_wof_POL_010</t>
  </si>
  <si>
    <t>elc_wof_POL_009</t>
  </si>
  <si>
    <t>e_Koszalin_POL,e_Ustka_POL</t>
  </si>
  <si>
    <t>e_won_POL_001</t>
  </si>
  <si>
    <t>wind onshore resource near Warsaw (cluster 1)</t>
  </si>
  <si>
    <t>e_won_POL_002</t>
  </si>
  <si>
    <t>wind onshore resource near Kielce (cluster 2)</t>
  </si>
  <si>
    <t>e_won_POL_003</t>
  </si>
  <si>
    <t>wind onshore resource near Siedlce (cluster 3)</t>
  </si>
  <si>
    <t>e_won_POL_004</t>
  </si>
  <si>
    <t>wind onshore resource near Zamosc (cluster 4)</t>
  </si>
  <si>
    <t>e_won_POL_005</t>
  </si>
  <si>
    <t>wind onshore resource near Suwalki (cluster 5)</t>
  </si>
  <si>
    <t>e_won_POL_006</t>
  </si>
  <si>
    <t>wind onshore resource near Wloclawek (cluster 6)</t>
  </si>
  <si>
    <t>e_won_POL_007</t>
  </si>
  <si>
    <t>wind onshore resource near Olsztyn (cluster 7)</t>
  </si>
  <si>
    <t>e_won_POL_008</t>
  </si>
  <si>
    <t>wind onshore resource near Olsztyn (cluster 8)</t>
  </si>
  <si>
    <t>e_won_POL_009</t>
  </si>
  <si>
    <t>wind onshore resource near Elblag (cluster 9)</t>
  </si>
  <si>
    <t>e_won_POL_010</t>
  </si>
  <si>
    <t>wind onshore resource near Koszalin (cluster 10)</t>
  </si>
  <si>
    <t>e_won_POL_011</t>
  </si>
  <si>
    <t>wind onshore resource near Legnica (cluster 11)</t>
  </si>
  <si>
    <t>e_won_POL_012</t>
  </si>
  <si>
    <t>wind onshore resource near Zielona Gora (cluster 12)</t>
  </si>
  <si>
    <t>e_won_POL_013</t>
  </si>
  <si>
    <t>wind onshore resource near Legnica (cluster 13)</t>
  </si>
  <si>
    <t>e_won_POL_014</t>
  </si>
  <si>
    <t>wind onshore resource near Pila (cluster 14)</t>
  </si>
  <si>
    <t>e_won_POL_015</t>
  </si>
  <si>
    <t>wind onshore resource near Krakow (cluster 15)</t>
  </si>
  <si>
    <t>e_won_POL_016</t>
  </si>
  <si>
    <t>wind onshore resource near Rzeszow (cluster 16)</t>
  </si>
  <si>
    <t>e_won_POL_017</t>
  </si>
  <si>
    <t>wind onshore resource near Tarnow (cluster 17)</t>
  </si>
  <si>
    <t>e_won_POL_018</t>
  </si>
  <si>
    <t>wind onshore resource near Walbrzych (cluster 18)</t>
  </si>
  <si>
    <t>e_won_POL_019</t>
  </si>
  <si>
    <t>wind onshore resource near Krakow (cluster 19)</t>
  </si>
  <si>
    <t>e_won_POL_020</t>
  </si>
  <si>
    <t>wind onshore resource near Rybnik (cluster 20)</t>
  </si>
  <si>
    <t>e_wof_POL_001</t>
  </si>
  <si>
    <t>wind offshore resource near Gdansk (cluster 1)</t>
  </si>
  <si>
    <t>e_wof_POL_002</t>
  </si>
  <si>
    <t>wind offshore resource near Gdansk (cluster 2)</t>
  </si>
  <si>
    <t>e_wof_POL_003</t>
  </si>
  <si>
    <t>wind offshore resource near Gdansk (cluster 3)</t>
  </si>
  <si>
    <t>e_wof_POL_004</t>
  </si>
  <si>
    <t>wind offshore resource near Slupsk (cluster 4)</t>
  </si>
  <si>
    <t>e_wof_POL_005</t>
  </si>
  <si>
    <t>wind offshore resource near Gdansk (cluster 5)</t>
  </si>
  <si>
    <t>e_wof_POL_006</t>
  </si>
  <si>
    <t>wind offshore resource near Gdansk (cluster 6)</t>
  </si>
  <si>
    <t>e_wof_POL_007</t>
  </si>
  <si>
    <t>wind offshore resource near Koszalin (cluster 7)</t>
  </si>
  <si>
    <t>e_wof_POL_008</t>
  </si>
  <si>
    <t>wind offshore resource near Koszalin (cluster 8)</t>
  </si>
  <si>
    <t>e_wof_POL_009</t>
  </si>
  <si>
    <t>wind offshore resource near Koszalin (cluster 9)</t>
  </si>
  <si>
    <t>e_wof_POL_010</t>
  </si>
  <si>
    <t>wind offshore resource near Koszalin (cluster 10)</t>
  </si>
  <si>
    <t>~fi_t: UP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</si>
  <si>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</si>
  <si>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</si>
  <si>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</si>
  <si>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</si>
  <si>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</si>
  <si>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</si>
  <si>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</si>
  <si>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</si>
  <si>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</si>
  <si>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</si>
  <si>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</si>
  <si>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</si>
  <si>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</si>
  <si>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</si>
  <si>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</si>
  <si>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</si>
  <si>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</si>
  <si>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</si>
  <si>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</si>
  <si>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</si>
  <si>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</si>
  <si>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</si>
  <si>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</si>
  <si>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</si>
  <si>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</si>
  <si>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</si>
  <si>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en_chp_gas_cc_ext_ccs</t>
  </si>
  <si>
    <t>HET,CO2Cap</t>
  </si>
  <si>
    <t>yes</t>
  </si>
  <si>
    <t>CHP</t>
  </si>
  <si>
    <t>HPL</t>
  </si>
  <si>
    <t>season</t>
  </si>
  <si>
    <t>e_BielskoBiala_POL,e_Elk_POL,e_Krosno_POL,e_Opole_POL,e_Rzeszow_POL,e_Sosnowiec_POL,e_Szczecin_POL,e_Zamosc_POL,e_w111615226-380_POL,e_w139452056-400_POL</t>
  </si>
  <si>
    <t>region</t>
  </si>
  <si>
    <t>biofuels_Swidnica_POL</t>
  </si>
  <si>
    <t>POL</t>
  </si>
  <si>
    <t>capturable co2: biofuels (1 sites, 319 kt/yr)</t>
  </si>
  <si>
    <t>kt</t>
  </si>
  <si>
    <t>cement_Bydgoszcz_POL</t>
  </si>
  <si>
    <t>capturable co2: cement (1 sites, 882 kt/yr)</t>
  </si>
  <si>
    <t>cement_Chelm_POL</t>
  </si>
  <si>
    <t>capturable co2: cement (1 sites, 861 kt/yr)</t>
  </si>
  <si>
    <t>cement_Czestochowa_POL</t>
  </si>
  <si>
    <t>capturable co2: cement (1 sites, 305 kt/yr)</t>
  </si>
  <si>
    <t>cement_KedzierzynKozle_POL</t>
  </si>
  <si>
    <t>capturable co2: cement (2 sites, 3132 kt/yr)</t>
  </si>
  <si>
    <t>cement_Kielce_POL</t>
  </si>
  <si>
    <t>capturable co2: cement (2 sites, 1600 kt/yr)</t>
  </si>
  <si>
    <t>cement_OstrowiecSwietokrz_POL</t>
  </si>
  <si>
    <t>capturable co2: cement (1 sites, 1624 kt/yr)</t>
  </si>
  <si>
    <t>cement_Radomsko_POL</t>
  </si>
  <si>
    <t>capturable co2: cement (1 sites, 1552 kt/yr)</t>
  </si>
  <si>
    <t>chemicals_Katowice_POL</t>
  </si>
  <si>
    <t>capturable co2: chemicals (1 sites, 493 kt/yr)</t>
  </si>
  <si>
    <t>chemicals_Legnica_POL</t>
  </si>
  <si>
    <t>capturable co2: chemicals (1 sites, 132 kt/yr)</t>
  </si>
  <si>
    <t>fertilizer_KedzierzynKozle_POL</t>
  </si>
  <si>
    <t>capturable co2: fertilizer (1 sites, 601 kt/yr)</t>
  </si>
  <si>
    <t>fertilizer_Police_POL</t>
  </si>
  <si>
    <t>capturable co2: fertilizer (1 sites, 974 kt/yr)</t>
  </si>
  <si>
    <t>fertilizer_Pulawy_POL</t>
  </si>
  <si>
    <t>capturable co2: fertilizer (1 sites, 2488 kt/yr)</t>
  </si>
  <si>
    <t>fertilizer_Tarnow_POL</t>
  </si>
  <si>
    <t>capturable co2: fertilizer (1 sites, 832 kt/yr)</t>
  </si>
  <si>
    <t>fertilizer_Wloclawek_POL</t>
  </si>
  <si>
    <t>capturable co2: fertilizer (2 sites, 1127 kt/yr)</t>
  </si>
  <si>
    <t>glass_Czestochowa_POL</t>
  </si>
  <si>
    <t>capturable co2: glass (1 sites, 276 kt/yr)</t>
  </si>
  <si>
    <t>glass_Debica_POL</t>
  </si>
  <si>
    <t>capturable co2: glass (1 sites, 167 kt/yr)</t>
  </si>
  <si>
    <t>glass_Katowice_POL</t>
  </si>
  <si>
    <t>capturable co2: glass (1 sites, 188 kt/yr)</t>
  </si>
  <si>
    <t>glass_PiotrkowTrybunalsk_POL</t>
  </si>
  <si>
    <t>capturable co2: glass (1 sites, 273 kt/yr)</t>
  </si>
  <si>
    <t>lime_Bydgoszcz_POL</t>
  </si>
  <si>
    <t>capturable co2: lime (2 sites, 177 kt/yr)</t>
  </si>
  <si>
    <t>lime_Czestochowa_POL</t>
  </si>
  <si>
    <t>capturable co2: lime (1 sites, 130 kt/yr)</t>
  </si>
  <si>
    <t>lime_KedzierzynKozle_POL</t>
  </si>
  <si>
    <t>capturable co2: lime (2 sites, 314 kt/yr)</t>
  </si>
  <si>
    <t>lime_Kielce_POL</t>
  </si>
  <si>
    <t>capturable co2: lime (1 sites, 245 kt/yr)</t>
  </si>
  <si>
    <t>lime_OstrowiecSwietokrz_POL</t>
  </si>
  <si>
    <t>capturable co2: lime (1 sites, 19 kt/yr)</t>
  </si>
  <si>
    <t>non_ferrous_Gliwice_POL</t>
  </si>
  <si>
    <t>capturable co2: non_ferrous (1 sites, 378 kt/yr)</t>
  </si>
  <si>
    <t>non_ferrous_Katowice_POL</t>
  </si>
  <si>
    <t>capturable co2: non_ferrous (1 sites, 196 kt/yr)</t>
  </si>
  <si>
    <t>non_ferrous_Legnica_POL</t>
  </si>
  <si>
    <t>capturable co2: non_ferrous (2 sites, 431 kt/yr)</t>
  </si>
  <si>
    <t>non_ferrous_Lubin_POL</t>
  </si>
  <si>
    <t>capturable co2: non_ferrous (1 sites, 1038 kt/yr)</t>
  </si>
  <si>
    <t>petchem_Gdansk_POL</t>
  </si>
  <si>
    <t>capturable co2: petchem (1 sites, 2044 kt/yr)</t>
  </si>
  <si>
    <t>petchem_Katowice_POL</t>
  </si>
  <si>
    <t>capturable co2: petchem (1 sites, 97 kt/yr)</t>
  </si>
  <si>
    <t>petchem_Plock_POL</t>
  </si>
  <si>
    <t>capturable co2: petchem (1 sites, 6984 kt/yr)</t>
  </si>
  <si>
    <t>pulp_paper_GorzowWielkopolski_POL</t>
  </si>
  <si>
    <t>capturable co2: pulp_paper (1 sites, 109 kt/yr)</t>
  </si>
  <si>
    <t>pulp_paper_Grudziadz_POL</t>
  </si>
  <si>
    <t>capturable co2: pulp_paper (1 sites, 361 kt/yr)</t>
  </si>
  <si>
    <t>pulp_paper_Kwidzyn_POL</t>
  </si>
  <si>
    <t>capturable co2: pulp_paper (1 sites, 1932 kt/yr)</t>
  </si>
  <si>
    <t>pulp_paper_Lomza_POL</t>
  </si>
  <si>
    <t>capturable co2: pulp_paper (2 sites, 494 kt/yr)</t>
  </si>
  <si>
    <t>soda_ash_Bydgoszcz_POL</t>
  </si>
  <si>
    <t>capturable co2: soda_ash (2 sites, 1546 kt/yr)</t>
  </si>
  <si>
    <t>steel_Katowice_POL</t>
  </si>
  <si>
    <t>capturable co2: steel (3 sites, 7483 kt/yr)</t>
  </si>
  <si>
    <t>steel_Krakow_POL</t>
  </si>
  <si>
    <t>capturable co2: steel (2 sites, 387 kt/yr)</t>
  </si>
  <si>
    <t>steel_OstrowiecSwietokrz_POL</t>
  </si>
  <si>
    <t>capturable co2: steel (1 sites, 120 kt/yr)</t>
  </si>
  <si>
    <t>steel_Sosnowiec_POL</t>
  </si>
  <si>
    <t>capturable co2: steel (1 sites, 294 kt/yr)</t>
  </si>
  <si>
    <t>wood_Elk_POL</t>
  </si>
  <si>
    <t>capturable co2: wood (2 sites, 214 kt/yr)</t>
  </si>
  <si>
    <t>wood_Grajewo_POL</t>
  </si>
  <si>
    <t>capturable co2: wood (1 sites, 113 kt/yr)</t>
  </si>
  <si>
    <t>wood_Kielce_POL</t>
  </si>
  <si>
    <t>capturable co2: wood (1 sites, 121 kt/yr)</t>
  </si>
  <si>
    <t>wood_Koszalin_POL</t>
  </si>
  <si>
    <t>capturable co2: wood (1 sites, 424 kt/yr)</t>
  </si>
  <si>
    <t>wood_Mielec_POL</t>
  </si>
  <si>
    <t>capturable co2: wood (1 sites, 266 kt/yr)</t>
  </si>
  <si>
    <t>wood_Olesnica_POL</t>
  </si>
  <si>
    <t>capturable co2: wood (1 sites, 114 kt/yr)</t>
  </si>
  <si>
    <t>wood_Olsztyn_POL</t>
  </si>
  <si>
    <t>capturable co2: wood (1 sites, 108 kt/yr)</t>
  </si>
  <si>
    <t>wood_ZielonaGora_POL</t>
  </si>
  <si>
    <t>capturable co2: wood (2 sites, 400 kt/yr)</t>
  </si>
  <si>
    <t>sto_ogci11072_POL</t>
  </si>
  <si>
    <t>co2 storage -- ogci_11072.0 (OGCI/catalogue, 575 Mt)</t>
  </si>
  <si>
    <t>sto_ogci11074_POL</t>
  </si>
  <si>
    <t>co2 storage -- ogci_11074.0 (OGCI/catalogue, 115 Mt)</t>
  </si>
  <si>
    <t>sto_ogci11075_POL</t>
  </si>
  <si>
    <t>co2 storage -- ogci_11075.0 (OGCI/catalogue, 205 Mt)</t>
  </si>
  <si>
    <t>sto_ogci11076_POL</t>
  </si>
  <si>
    <t>co2 storage -- ogci_11076.0 (OGCI/catalogue, 338 Mt)</t>
  </si>
  <si>
    <t>sto_ogci11077_POL</t>
  </si>
  <si>
    <t>co2 storage -- ogci_11077.0 (OGCI/catalogue, 390 Mt)</t>
  </si>
  <si>
    <t>sto_ogci11078_POL</t>
  </si>
  <si>
    <t>co2 storage -- ogci_11078.0 (OGCI/catalogue, 241 Mt)</t>
  </si>
  <si>
    <t>sto_ogci11079_POL</t>
  </si>
  <si>
    <t>co2 storage -- ogci_11079.0 (OGCI/catalogue, 70 Mt)</t>
  </si>
  <si>
    <t>sto_ogci11080_POL</t>
  </si>
  <si>
    <t>co2 storage -- ogci_11080.0 (OGCI/catalogue, 136 Mt)</t>
  </si>
  <si>
    <t>sto_ogci11081_POL</t>
  </si>
  <si>
    <t>co2 storage -- ogci_11081.0 (OGCI/catalogue, 163 Mt)</t>
  </si>
  <si>
    <t>sto_ogci11082_POL</t>
  </si>
  <si>
    <t>co2 storage -- ogci_11082.0 (OGCI/catalogue, 74 Mt)</t>
  </si>
  <si>
    <t>sto_ogci11083_POL</t>
  </si>
  <si>
    <t>co2 storage -- ogci_11083.0 (OGCI/catalogue, 33 Mt)</t>
  </si>
  <si>
    <t>sto_ogci11084_POL</t>
  </si>
  <si>
    <t>co2 storage -- ogci_11084.0 (OGCI/catalogue, 289 Mt)</t>
  </si>
  <si>
    <t>sto_ogci11085_POL</t>
  </si>
  <si>
    <t>co2 storage -- ogci_11085.0 (OGCI/catalogue, 69 Mt)</t>
  </si>
  <si>
    <t>sto_ogci11086_POL</t>
  </si>
  <si>
    <t>co2 storage -- ogci_11086.0 (OGCI/catalogue, 398 Mt)</t>
  </si>
  <si>
    <t>sto_ogci11087_POL</t>
  </si>
  <si>
    <t>co2 storage -- ogci_11087.0 (OGCI/catalogue, 168 Mt)</t>
  </si>
  <si>
    <t>sto_ogci11088_POL</t>
  </si>
  <si>
    <t>co2 storage -- ogci_11088.0 (OGCI/catalogue, 268 Mt)</t>
  </si>
  <si>
    <t>sto_ogci11089_POL</t>
  </si>
  <si>
    <t>co2 storage -- ogci_11089.0 (OGCI/catalogue, 41 Mt)</t>
  </si>
  <si>
    <t>sto_ogci11090_POL</t>
  </si>
  <si>
    <t>co2 storage -- ogci_11090.0 (OGCI/catalogue, 518 Mt)</t>
  </si>
  <si>
    <t>sto_ogci11091_POL</t>
  </si>
  <si>
    <t>co2 storage -- ogci_11091.0 (OGCI/catalogue, 176 Mt)</t>
  </si>
  <si>
    <t>sto_ogci11092_POL</t>
  </si>
  <si>
    <t>co2 storage -- ogci_11092.0 (OGCI/catalogue, 376 Mt)</t>
  </si>
  <si>
    <t>sto_ogci11093_POL</t>
  </si>
  <si>
    <t>co2 storage -- ogci_11093.0 (OGCI/catalogue, 115 Mt)</t>
  </si>
  <si>
    <t>sto_ogci11094_POL</t>
  </si>
  <si>
    <t>co2 storage -- ogci_11094.0 (OGCI/catalogue, 143 Mt)</t>
  </si>
  <si>
    <t>sto_T1_POL</t>
  </si>
  <si>
    <t>co2 storage -- T1 (national overlay, 60 Mt)</t>
  </si>
  <si>
    <t>sto_T2_POL</t>
  </si>
  <si>
    <t>co2 storage -- T2 (national overlay, 11 Mt)</t>
  </si>
  <si>
    <t>sto_T3_POL</t>
  </si>
  <si>
    <t>co2 storage -- T3 (national overlay, 2 Mt)</t>
  </si>
  <si>
    <t>sto_T4_POL</t>
  </si>
  <si>
    <t>co2 storage -- T4 (national overlay, 168 Mt)</t>
  </si>
  <si>
    <t>sto_T5_POL</t>
  </si>
  <si>
    <t>co2 storage -- T5 (national overlay, 45 Mt)</t>
  </si>
  <si>
    <t>sto_T6_POL</t>
  </si>
  <si>
    <t>co2 storage -- T6 (national overlay, 9 Mt)</t>
  </si>
  <si>
    <t>sto_T7_POL</t>
  </si>
  <si>
    <t>co2 storage -- T7 (national overlay, 8 Mt)</t>
  </si>
  <si>
    <t>sto_T8_POL</t>
  </si>
  <si>
    <t>co2 storage -- T8 (national overlay, 0 Mt)</t>
  </si>
  <si>
    <t>PASTI</t>
  </si>
  <si>
    <t>NCAP_COM~CO2</t>
  </si>
  <si>
    <t>ENV_ACT</t>
  </si>
  <si>
    <t>other_indexes</t>
  </si>
  <si>
    <t>co2_Swidnica_POL</t>
  </si>
  <si>
    <t>OUT</t>
  </si>
  <si>
    <t>co2_Bydgoszcz_POL</t>
  </si>
  <si>
    <t>co2_Chelm_POL</t>
  </si>
  <si>
    <t>co2_Czestochowa_POL</t>
  </si>
  <si>
    <t>co2_KedzierzynKozle_POL</t>
  </si>
  <si>
    <t>co2_Kielce_POL</t>
  </si>
  <si>
    <t>co2_OstrowiecSwietokrz_POL</t>
  </si>
  <si>
    <t>co2_Radomsko_POL</t>
  </si>
  <si>
    <t>co2_Katowice_POL</t>
  </si>
  <si>
    <t>co2_Legnica_POL</t>
  </si>
  <si>
    <t>co2_Police_POL</t>
  </si>
  <si>
    <t>co2_Pulawy_POL</t>
  </si>
  <si>
    <t>co2_Tarnow_POL</t>
  </si>
  <si>
    <t>co2_Wloclawek_POL</t>
  </si>
  <si>
    <t>co2_Debica_POL</t>
  </si>
  <si>
    <t>co2_PiotrkowTrybunalsk_POL</t>
  </si>
  <si>
    <t>co2_Gliwice_POL</t>
  </si>
  <si>
    <t>co2_Lubin_POL</t>
  </si>
  <si>
    <t>co2_Gdansk_POL</t>
  </si>
  <si>
    <t>co2_Plock_POL</t>
  </si>
  <si>
    <t>co2_GorzowWielkopolski_POL</t>
  </si>
  <si>
    <t>co2_Grudziadz_POL</t>
  </si>
  <si>
    <t>co2_Kwidzyn_POL</t>
  </si>
  <si>
    <t>co2_Lomza_POL</t>
  </si>
  <si>
    <t>co2_Krakow_POL</t>
  </si>
  <si>
    <t>co2_Sosnowiec_POL</t>
  </si>
  <si>
    <t>co2_Elk_POL</t>
  </si>
  <si>
    <t>co2_Grajewo_POL</t>
  </si>
  <si>
    <t>co2_Koszalin_POL</t>
  </si>
  <si>
    <t>co2_Mielec_POL</t>
  </si>
  <si>
    <t>co2_Olesnica_POL</t>
  </si>
  <si>
    <t>co2_Olsztyn_POL</t>
  </si>
  <si>
    <t>co2_ZielonaGora_POL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</si>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</sst>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>
      <selection activeCell="A17" sqref="A17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163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104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103</v>
      </c>
      <c r="D15" s="1" t="s">
        <v>105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164</v>
      </c>
      <c r="D16" s="1" t="s">
        <v>147</v>
      </c>
      <c r="E16" s="1" t="s">
        <v>21</v>
      </c>
      <c r="F16" t="s">
        <v>10</v>
      </c>
      <c r="G16" s="1"/>
      <c r="H16" s="1"/>
      <c r="I16" s="1"/>
      <c r="J16" s="1" t="str">
        <f>C16</f>
        <v>h2_demand</v>
      </c>
      <c r="K16" s="1" t="s">
        <v>35</v>
      </c>
      <c r="L16" t="s">
        <v>148</v>
      </c>
      <c r="M16" s="1">
        <v>1</v>
      </c>
      <c r="N16" s="1">
        <v>8.76</v>
      </c>
      <c r="O16" s="1"/>
      <c r="P16" s="1"/>
      <c r="Q16" s="1"/>
    </row>
    <row r="17" spans="2:22">
      <c r="B17" t="s">
        <v>20</v>
      </c>
      <c r="C17" t="s">
        <v>146</v>
      </c>
      <c r="D17" t="s">
        <v>165</v>
      </c>
      <c r="E17" s="1" t="s">
        <v>21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166</v>
      </c>
      <c r="M17" s="1">
        <v>1</v>
      </c>
      <c r="N17" s="1">
        <v>8.76</v>
      </c>
      <c r="O17" s="1"/>
      <c r="P17" s="1"/>
      <c r="Q17" s="1"/>
    </row>
    <row r="18" spans="2:22">
      <c r="B18" t="s">
        <v>29</v>
      </c>
      <c r="C18" t="s">
        <v>98</v>
      </c>
      <c r="D18" s="1"/>
      <c r="E18" s="1" t="s">
        <v>21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32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97</v>
      </c>
      <c r="C19" t="s">
        <v>99</v>
      </c>
      <c r="D19" s="1"/>
      <c r="E19" s="1" t="s">
        <v>21</v>
      </c>
      <c r="F19" t="s">
        <v>10</v>
      </c>
      <c r="G19" t="s">
        <v>14</v>
      </c>
      <c r="H19" s="1"/>
      <c r="I19" s="1"/>
      <c r="K19" s="1"/>
      <c r="L19" s="1" t="s">
        <v>33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29</v>
      </c>
      <c r="C20" s="1" t="s">
        <v>151</v>
      </c>
      <c r="D20" s="1" t="s">
        <v>106</v>
      </c>
      <c r="E20" s="1" t="s">
        <v>21</v>
      </c>
      <c r="F20" t="s">
        <v>10</v>
      </c>
      <c r="G20" s="1"/>
      <c r="H20" s="1"/>
      <c r="I20" s="1"/>
      <c r="K20" s="1"/>
      <c r="L20" s="1" t="s">
        <v>37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29</v>
      </c>
      <c r="C21" s="1" t="s">
        <v>153</v>
      </c>
      <c r="D21" s="1" t="s">
        <v>152</v>
      </c>
      <c r="E21" s="1" t="s">
        <v>21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34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154</v>
      </c>
      <c r="D22" s="1" t="s">
        <v>155</v>
      </c>
      <c r="E22" s="1" t="s">
        <v>21</v>
      </c>
      <c r="F22" t="s">
        <v>10</v>
      </c>
      <c r="G22" s="1"/>
      <c r="H22" s="1"/>
      <c r="I22" s="1"/>
      <c r="K22" s="1"/>
      <c r="L22" s="1" t="s">
        <v>28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29</v>
      </c>
      <c r="C23" s="1" t="s">
        <v>156</v>
      </c>
      <c r="D23" s="1" t="s">
        <v>159</v>
      </c>
      <c r="E23" s="1" t="s">
        <v>21</v>
      </c>
      <c r="F23" t="s">
        <v>10</v>
      </c>
      <c r="G23" s="1"/>
      <c r="H23" s="1"/>
      <c r="I23" s="1"/>
      <c r="L23" s="1" t="s">
        <v>31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29</v>
      </c>
      <c r="C24" t="s">
        <v>157</v>
      </c>
      <c r="D24" t="s">
        <v>160</v>
      </c>
      <c r="E24" s="1" t="s">
        <v>21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36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29</v>
      </c>
      <c r="C25" t="s">
        <v>158</v>
      </c>
      <c r="D25" t="s">
        <v>161</v>
      </c>
      <c r="E25" s="1" t="s">
        <v>21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27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149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150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517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102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162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107</v>
      </c>
      <c r="C1" s="148" t="s">
        <v>108</v>
      </c>
      <c r="D1" s="148"/>
      <c r="E1" s="148"/>
      <c r="F1" s="149" t="s">
        <v>109</v>
      </c>
      <c r="G1" s="148"/>
      <c r="H1" s="150"/>
      <c r="I1" s="148" t="s">
        <v>110</v>
      </c>
      <c r="J1" s="148"/>
      <c r="K1" s="148"/>
      <c r="L1" s="148"/>
      <c r="M1" s="148"/>
      <c r="N1" s="148"/>
      <c r="O1" s="151" t="s">
        <v>111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112</v>
      </c>
      <c r="G2" s="28" t="s">
        <v>112</v>
      </c>
      <c r="H2" s="28" t="s">
        <v>112</v>
      </c>
      <c r="I2" s="28" t="s">
        <v>113</v>
      </c>
      <c r="J2" s="28" t="s">
        <v>145</v>
      </c>
      <c r="K2" s="28" t="str">
        <f>I2</f>
        <v>input~GASNGA</v>
      </c>
      <c r="L2" s="28" t="s">
        <v>145</v>
      </c>
      <c r="M2" s="28" t="str">
        <f>K2</f>
        <v>input~GASNGA</v>
      </c>
      <c r="N2" s="28" t="s">
        <v>145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114</v>
      </c>
      <c r="F4" s="30">
        <v>2015</v>
      </c>
      <c r="G4" s="29">
        <v>2030</v>
      </c>
      <c r="H4" s="31" t="s">
        <v>114</v>
      </c>
      <c r="I4" s="29" t="s">
        <v>115</v>
      </c>
      <c r="J4" s="29" t="s">
        <v>116</v>
      </c>
      <c r="K4" s="32" t="s">
        <v>117</v>
      </c>
      <c r="L4" s="33" t="s">
        <v>118</v>
      </c>
      <c r="M4" s="29" t="s">
        <v>119</v>
      </c>
      <c r="N4" s="29" t="s">
        <v>120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121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122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123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124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125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126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127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128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129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130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131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132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133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134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135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136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137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138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139</v>
      </c>
      <c r="P23" s="123"/>
      <c r="Q23" s="123"/>
      <c r="R23" s="123"/>
    </row>
    <row r="26" spans="1:26" ht="17.25" thickBot="1">
      <c r="C26" s="143" t="s">
        <v>140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145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141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142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C5E8-BE0A-4671-9D3B-EB04D62CB92C}">
  <dimension ref="B9:BD30"/>
  <sheetViews>
    <sheetView workbookViewId="0"/>
  </sheetViews>
  <sheetFormatPr defaultRowHeight="14.25"/>
  <sheetData>
    <row r="9" spans="2:56">
      <c r="B9" t="s">
        <v>167</v>
      </c>
      <c r="J9" t="s">
        <v>218</v>
      </c>
      <c r="O9" t="s">
        <v>167</v>
      </c>
      <c r="X9" t="s">
        <v>218</v>
      </c>
      <c r="AD9" t="s">
        <v>167</v>
      </c>
      <c r="AL9" t="s">
        <v>218</v>
      </c>
      <c r="AR9" t="s">
        <v>167</v>
      </c>
      <c r="AZ9" t="s">
        <v>218</v>
      </c>
    </row>
    <row r="10" spans="2:56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219</v>
      </c>
      <c r="L10" t="s">
        <v>220</v>
      </c>
      <c r="M10" t="s">
        <v>221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242</v>
      </c>
      <c r="U10" t="s">
        <v>173</v>
      </c>
      <c r="V10" t="s">
        <v>174</v>
      </c>
      <c r="X10" t="s">
        <v>169</v>
      </c>
      <c r="Y10" t="s">
        <v>286</v>
      </c>
      <c r="Z10" t="s">
        <v>219</v>
      </c>
      <c r="AA10" t="s">
        <v>145</v>
      </c>
      <c r="AB10" t="s">
        <v>287</v>
      </c>
      <c r="AD10" t="s">
        <v>168</v>
      </c>
      <c r="AE10" t="s">
        <v>169</v>
      </c>
      <c r="AF10" t="s">
        <v>170</v>
      </c>
      <c r="AG10" t="s">
        <v>171</v>
      </c>
      <c r="AH10" t="s">
        <v>172</v>
      </c>
      <c r="AI10" t="s">
        <v>173</v>
      </c>
      <c r="AJ10" t="s">
        <v>174</v>
      </c>
      <c r="AL10" t="s">
        <v>169</v>
      </c>
      <c r="AM10" t="s">
        <v>286</v>
      </c>
      <c r="AN10" t="s">
        <v>219</v>
      </c>
      <c r="AO10" t="s">
        <v>145</v>
      </c>
      <c r="AP10" t="s">
        <v>287</v>
      </c>
      <c r="AR10" t="s">
        <v>168</v>
      </c>
      <c r="AS10" t="s">
        <v>169</v>
      </c>
      <c r="AT10" t="s">
        <v>170</v>
      </c>
      <c r="AU10" t="s">
        <v>171</v>
      </c>
      <c r="AV10" t="s">
        <v>172</v>
      </c>
      <c r="AW10" t="s">
        <v>173</v>
      </c>
      <c r="AX10" t="s">
        <v>174</v>
      </c>
      <c r="AZ10" t="s">
        <v>169</v>
      </c>
      <c r="BA10" t="s">
        <v>286</v>
      </c>
      <c r="BB10" t="s">
        <v>219</v>
      </c>
      <c r="BC10" t="s">
        <v>145</v>
      </c>
      <c r="BD10" t="s">
        <v>287</v>
      </c>
    </row>
    <row r="11" spans="2:56">
      <c r="B11" t="s">
        <v>175</v>
      </c>
      <c r="C11" t="s">
        <v>176</v>
      </c>
      <c r="D11" t="s">
        <v>177</v>
      </c>
      <c r="E11" t="s">
        <v>10</v>
      </c>
      <c r="F11" t="s">
        <v>21</v>
      </c>
      <c r="G11" t="s">
        <v>178</v>
      </c>
      <c r="H11" t="s">
        <v>179</v>
      </c>
      <c r="J11" t="s">
        <v>176</v>
      </c>
      <c r="K11" t="s">
        <v>222</v>
      </c>
      <c r="L11">
        <v>0.36947302739392451</v>
      </c>
      <c r="M11">
        <v>0.1332559812807434</v>
      </c>
      <c r="O11" t="s">
        <v>243</v>
      </c>
      <c r="P11" t="s">
        <v>244</v>
      </c>
      <c r="Q11" t="s">
        <v>245</v>
      </c>
      <c r="R11" t="s">
        <v>10</v>
      </c>
      <c r="S11" t="s">
        <v>21</v>
      </c>
      <c r="T11" t="s">
        <v>246</v>
      </c>
      <c r="U11" t="s">
        <v>247</v>
      </c>
      <c r="V11" t="s">
        <v>179</v>
      </c>
      <c r="X11" t="s">
        <v>244</v>
      </c>
      <c r="Y11" t="s">
        <v>222</v>
      </c>
      <c r="Z11" t="s">
        <v>288</v>
      </c>
      <c r="AA11">
        <v>0.99707401400885998</v>
      </c>
      <c r="AB11">
        <v>53.643076504234422</v>
      </c>
      <c r="AD11" t="s">
        <v>243</v>
      </c>
      <c r="AE11" t="s">
        <v>308</v>
      </c>
      <c r="AF11" t="s">
        <v>309</v>
      </c>
      <c r="AG11" t="s">
        <v>10</v>
      </c>
      <c r="AH11" t="s">
        <v>21</v>
      </c>
      <c r="AI11" t="s">
        <v>247</v>
      </c>
      <c r="AJ11" t="s">
        <v>179</v>
      </c>
      <c r="AL11" t="s">
        <v>308</v>
      </c>
      <c r="AM11" t="s">
        <v>348</v>
      </c>
      <c r="AN11" t="s">
        <v>349</v>
      </c>
      <c r="AO11">
        <v>0.99653588726932718</v>
      </c>
      <c r="AP11">
        <v>63.508733395668145</v>
      </c>
      <c r="AR11" t="s">
        <v>243</v>
      </c>
      <c r="AS11" t="s">
        <v>387</v>
      </c>
      <c r="AT11" t="s">
        <v>388</v>
      </c>
      <c r="AU11" t="s">
        <v>10</v>
      </c>
      <c r="AV11" t="s">
        <v>21</v>
      </c>
      <c r="AW11" t="s">
        <v>247</v>
      </c>
      <c r="AX11" t="s">
        <v>179</v>
      </c>
      <c r="AZ11" t="s">
        <v>387</v>
      </c>
      <c r="BA11" t="s">
        <v>407</v>
      </c>
      <c r="BB11" t="s">
        <v>408</v>
      </c>
      <c r="BC11">
        <v>0.99615739524125424</v>
      </c>
      <c r="BD11">
        <v>584.91448865302027</v>
      </c>
    </row>
    <row r="12" spans="2:56">
      <c r="B12" t="s">
        <v>175</v>
      </c>
      <c r="C12" t="s">
        <v>180</v>
      </c>
      <c r="D12" t="s">
        <v>181</v>
      </c>
      <c r="E12" t="s">
        <v>10</v>
      </c>
      <c r="F12" t="s">
        <v>21</v>
      </c>
      <c r="G12" t="s">
        <v>178</v>
      </c>
      <c r="H12" t="s">
        <v>179</v>
      </c>
      <c r="J12" t="s">
        <v>180</v>
      </c>
      <c r="K12" t="s">
        <v>223</v>
      </c>
      <c r="L12">
        <v>0.44129872261806002</v>
      </c>
      <c r="M12">
        <v>0.1394329356986255</v>
      </c>
      <c r="O12" t="s">
        <v>243</v>
      </c>
      <c r="P12" t="s">
        <v>248</v>
      </c>
      <c r="Q12" t="s">
        <v>249</v>
      </c>
      <c r="R12" t="s">
        <v>10</v>
      </c>
      <c r="S12" t="s">
        <v>21</v>
      </c>
      <c r="T12" t="s">
        <v>246</v>
      </c>
      <c r="U12" t="s">
        <v>247</v>
      </c>
      <c r="V12" t="s">
        <v>179</v>
      </c>
      <c r="X12" t="s">
        <v>248</v>
      </c>
      <c r="Y12" t="s">
        <v>236</v>
      </c>
      <c r="Z12" t="s">
        <v>289</v>
      </c>
      <c r="AA12">
        <v>0.99826037700975512</v>
      </c>
      <c r="AB12">
        <v>31.893088154488542</v>
      </c>
      <c r="AD12" t="s">
        <v>243</v>
      </c>
      <c r="AE12" t="s">
        <v>310</v>
      </c>
      <c r="AF12" t="s">
        <v>311</v>
      </c>
      <c r="AG12" t="s">
        <v>10</v>
      </c>
      <c r="AH12" t="s">
        <v>21</v>
      </c>
      <c r="AI12" t="s">
        <v>247</v>
      </c>
      <c r="AJ12" t="s">
        <v>179</v>
      </c>
      <c r="AL12" t="s">
        <v>310</v>
      </c>
      <c r="AM12" t="s">
        <v>350</v>
      </c>
      <c r="AN12" t="s">
        <v>351</v>
      </c>
      <c r="AO12">
        <v>0.9963019969989696</v>
      </c>
      <c r="AP12">
        <v>67.796721685557472</v>
      </c>
      <c r="AR12" t="s">
        <v>243</v>
      </c>
      <c r="AS12" t="s">
        <v>389</v>
      </c>
      <c r="AT12" t="s">
        <v>390</v>
      </c>
      <c r="AU12" t="s">
        <v>10</v>
      </c>
      <c r="AV12" t="s">
        <v>21</v>
      </c>
      <c r="AW12" t="s">
        <v>247</v>
      </c>
      <c r="AX12" t="s">
        <v>179</v>
      </c>
      <c r="AZ12" t="s">
        <v>389</v>
      </c>
      <c r="BA12" t="s">
        <v>409</v>
      </c>
      <c r="BB12" t="s">
        <v>410</v>
      </c>
      <c r="BC12">
        <v>0.99353721168226494</v>
      </c>
      <c r="BD12">
        <v>780.55486105754892</v>
      </c>
    </row>
    <row r="13" spans="2:56">
      <c r="B13" t="s">
        <v>175</v>
      </c>
      <c r="C13" t="s">
        <v>182</v>
      </c>
      <c r="D13" t="s">
        <v>183</v>
      </c>
      <c r="E13" t="s">
        <v>10</v>
      </c>
      <c r="F13" t="s">
        <v>21</v>
      </c>
      <c r="G13" t="s">
        <v>178</v>
      </c>
      <c r="H13" t="s">
        <v>179</v>
      </c>
      <c r="J13" t="s">
        <v>182</v>
      </c>
      <c r="K13" t="s">
        <v>224</v>
      </c>
      <c r="L13">
        <v>7.8964722602386975E-2</v>
      </c>
      <c r="M13">
        <v>0.13635525879627691</v>
      </c>
      <c r="O13" t="s">
        <v>243</v>
      </c>
      <c r="P13" t="s">
        <v>250</v>
      </c>
      <c r="Q13" t="s">
        <v>251</v>
      </c>
      <c r="R13" t="s">
        <v>10</v>
      </c>
      <c r="S13" t="s">
        <v>21</v>
      </c>
      <c r="T13" t="s">
        <v>246</v>
      </c>
      <c r="U13" t="s">
        <v>247</v>
      </c>
      <c r="V13" t="s">
        <v>179</v>
      </c>
      <c r="X13" t="s">
        <v>250</v>
      </c>
      <c r="Y13" t="s">
        <v>239</v>
      </c>
      <c r="Z13" t="s">
        <v>290</v>
      </c>
      <c r="AA13">
        <v>0.99922515067657613</v>
      </c>
      <c r="AB13">
        <v>14.205570929438155</v>
      </c>
      <c r="AD13" t="s">
        <v>243</v>
      </c>
      <c r="AE13" t="s">
        <v>312</v>
      </c>
      <c r="AF13" t="s">
        <v>313</v>
      </c>
      <c r="AG13" t="s">
        <v>10</v>
      </c>
      <c r="AH13" t="s">
        <v>21</v>
      </c>
      <c r="AI13" t="s">
        <v>247</v>
      </c>
      <c r="AJ13" t="s">
        <v>179</v>
      </c>
      <c r="AL13" t="s">
        <v>312</v>
      </c>
      <c r="AM13" t="s">
        <v>352</v>
      </c>
      <c r="AN13" t="s">
        <v>353</v>
      </c>
      <c r="AO13">
        <v>0.99871360797890252</v>
      </c>
      <c r="AP13">
        <v>23.583853720120768</v>
      </c>
      <c r="AR13" t="s">
        <v>243</v>
      </c>
      <c r="AS13" t="s">
        <v>391</v>
      </c>
      <c r="AT13" t="s">
        <v>392</v>
      </c>
      <c r="AU13" t="s">
        <v>10</v>
      </c>
      <c r="AV13" t="s">
        <v>21</v>
      </c>
      <c r="AW13" t="s">
        <v>247</v>
      </c>
      <c r="AX13" t="s">
        <v>179</v>
      </c>
      <c r="AZ13" t="s">
        <v>391</v>
      </c>
      <c r="BA13" t="s">
        <v>411</v>
      </c>
      <c r="BB13" t="s">
        <v>408</v>
      </c>
      <c r="BC13">
        <v>0.99328660064428831</v>
      </c>
      <c r="BD13">
        <v>799.26715189313825</v>
      </c>
    </row>
    <row r="14" spans="2:56">
      <c r="B14" t="s">
        <v>175</v>
      </c>
      <c r="C14" t="s">
        <v>184</v>
      </c>
      <c r="D14" t="s">
        <v>185</v>
      </c>
      <c r="E14" t="s">
        <v>10</v>
      </c>
      <c r="F14" t="s">
        <v>21</v>
      </c>
      <c r="G14" t="s">
        <v>178</v>
      </c>
      <c r="H14" t="s">
        <v>179</v>
      </c>
      <c r="J14" t="s">
        <v>184</v>
      </c>
      <c r="K14" t="s">
        <v>225</v>
      </c>
      <c r="L14">
        <v>0.22884121868323398</v>
      </c>
      <c r="M14">
        <v>0.1350038252037398</v>
      </c>
      <c r="O14" t="s">
        <v>243</v>
      </c>
      <c r="P14" t="s">
        <v>252</v>
      </c>
      <c r="Q14" t="s">
        <v>253</v>
      </c>
      <c r="R14" t="s">
        <v>10</v>
      </c>
      <c r="S14" t="s">
        <v>21</v>
      </c>
      <c r="T14" t="s">
        <v>246</v>
      </c>
      <c r="U14" t="s">
        <v>247</v>
      </c>
      <c r="V14" t="s">
        <v>179</v>
      </c>
      <c r="X14" t="s">
        <v>252</v>
      </c>
      <c r="Y14" t="s">
        <v>226</v>
      </c>
      <c r="Z14" t="s">
        <v>291</v>
      </c>
      <c r="AA14">
        <v>0.99730738889353909</v>
      </c>
      <c r="AB14">
        <v>49.364536951784054</v>
      </c>
      <c r="AD14" t="s">
        <v>243</v>
      </c>
      <c r="AE14" t="s">
        <v>314</v>
      </c>
      <c r="AF14" t="s">
        <v>315</v>
      </c>
      <c r="AG14" t="s">
        <v>10</v>
      </c>
      <c r="AH14" t="s">
        <v>21</v>
      </c>
      <c r="AI14" t="s">
        <v>247</v>
      </c>
      <c r="AJ14" t="s">
        <v>179</v>
      </c>
      <c r="AL14" t="s">
        <v>314</v>
      </c>
      <c r="AM14" t="s">
        <v>354</v>
      </c>
      <c r="AN14" t="s">
        <v>355</v>
      </c>
      <c r="AO14">
        <v>0.99622969699231045</v>
      </c>
      <c r="AP14">
        <v>69.122221807641537</v>
      </c>
      <c r="AR14" t="s">
        <v>243</v>
      </c>
      <c r="AS14" t="s">
        <v>393</v>
      </c>
      <c r="AT14" t="s">
        <v>394</v>
      </c>
      <c r="AU14" t="s">
        <v>10</v>
      </c>
      <c r="AV14" t="s">
        <v>21</v>
      </c>
      <c r="AW14" t="s">
        <v>247</v>
      </c>
      <c r="AX14" t="s">
        <v>179</v>
      </c>
      <c r="AZ14" t="s">
        <v>393</v>
      </c>
      <c r="BA14" t="s">
        <v>412</v>
      </c>
      <c r="BB14" t="s">
        <v>413</v>
      </c>
      <c r="BC14">
        <v>0.99644441082752833</v>
      </c>
      <c r="BD14">
        <v>563.48399154455342</v>
      </c>
    </row>
    <row r="15" spans="2:56">
      <c r="B15" t="s">
        <v>175</v>
      </c>
      <c r="C15" t="s">
        <v>186</v>
      </c>
      <c r="D15" t="s">
        <v>187</v>
      </c>
      <c r="E15" t="s">
        <v>10</v>
      </c>
      <c r="F15" t="s">
        <v>21</v>
      </c>
      <c r="G15" t="s">
        <v>178</v>
      </c>
      <c r="H15" t="s">
        <v>179</v>
      </c>
      <c r="J15" t="s">
        <v>186</v>
      </c>
      <c r="K15" t="s">
        <v>226</v>
      </c>
      <c r="L15">
        <v>0.36019814307258491</v>
      </c>
      <c r="M15">
        <v>0.13784469689194581</v>
      </c>
      <c r="O15" t="s">
        <v>243</v>
      </c>
      <c r="P15" t="s">
        <v>254</v>
      </c>
      <c r="Q15" t="s">
        <v>255</v>
      </c>
      <c r="R15" t="s">
        <v>10</v>
      </c>
      <c r="S15" t="s">
        <v>21</v>
      </c>
      <c r="T15" t="s">
        <v>246</v>
      </c>
      <c r="U15" t="s">
        <v>247</v>
      </c>
      <c r="V15" t="s">
        <v>179</v>
      </c>
      <c r="X15" t="s">
        <v>254</v>
      </c>
      <c r="Y15" t="s">
        <v>229</v>
      </c>
      <c r="Z15" t="s">
        <v>292</v>
      </c>
      <c r="AA15">
        <v>0.99693515631487983</v>
      </c>
      <c r="AB15">
        <v>56.188800893869058</v>
      </c>
      <c r="AD15" t="s">
        <v>243</v>
      </c>
      <c r="AE15" t="s">
        <v>316</v>
      </c>
      <c r="AF15" t="s">
        <v>317</v>
      </c>
      <c r="AG15" t="s">
        <v>10</v>
      </c>
      <c r="AH15" t="s">
        <v>21</v>
      </c>
      <c r="AI15" t="s">
        <v>247</v>
      </c>
      <c r="AJ15" t="s">
        <v>179</v>
      </c>
      <c r="AL15" t="s">
        <v>316</v>
      </c>
      <c r="AM15" t="s">
        <v>356</v>
      </c>
      <c r="AN15" t="s">
        <v>357</v>
      </c>
      <c r="AO15">
        <v>0.99641308487583879</v>
      </c>
      <c r="AP15">
        <v>65.760110609622657</v>
      </c>
      <c r="AR15" t="s">
        <v>243</v>
      </c>
      <c r="AS15" t="s">
        <v>395</v>
      </c>
      <c r="AT15" t="s">
        <v>396</v>
      </c>
      <c r="AU15" t="s">
        <v>10</v>
      </c>
      <c r="AV15" t="s">
        <v>21</v>
      </c>
      <c r="AW15" t="s">
        <v>247</v>
      </c>
      <c r="AX15" t="s">
        <v>179</v>
      </c>
      <c r="AZ15" t="s">
        <v>395</v>
      </c>
      <c r="BA15" t="s">
        <v>414</v>
      </c>
      <c r="BB15" t="s">
        <v>413</v>
      </c>
      <c r="BC15">
        <v>0.99564787435456037</v>
      </c>
      <c r="BD15">
        <v>622.95871485949408</v>
      </c>
    </row>
    <row r="16" spans="2:56">
      <c r="B16" t="s">
        <v>175</v>
      </c>
      <c r="C16" t="s">
        <v>188</v>
      </c>
      <c r="D16" t="s">
        <v>189</v>
      </c>
      <c r="E16" t="s">
        <v>10</v>
      </c>
      <c r="F16" t="s">
        <v>21</v>
      </c>
      <c r="G16" t="s">
        <v>178</v>
      </c>
      <c r="H16" t="s">
        <v>179</v>
      </c>
      <c r="J16" t="s">
        <v>188</v>
      </c>
      <c r="K16" t="s">
        <v>227</v>
      </c>
      <c r="L16">
        <v>1.21926901219393</v>
      </c>
      <c r="M16">
        <v>0.13984317386802331</v>
      </c>
      <c r="O16" t="s">
        <v>243</v>
      </c>
      <c r="P16" t="s">
        <v>256</v>
      </c>
      <c r="Q16" t="s">
        <v>257</v>
      </c>
      <c r="R16" t="s">
        <v>10</v>
      </c>
      <c r="S16" t="s">
        <v>21</v>
      </c>
      <c r="T16" t="s">
        <v>246</v>
      </c>
      <c r="U16" t="s">
        <v>247</v>
      </c>
      <c r="V16" t="s">
        <v>179</v>
      </c>
      <c r="X16" t="s">
        <v>256</v>
      </c>
      <c r="Y16" t="s">
        <v>233</v>
      </c>
      <c r="Z16" t="s">
        <v>293</v>
      </c>
      <c r="AA16">
        <v>0.99481478101166732</v>
      </c>
      <c r="AB16">
        <v>95.062348119433295</v>
      </c>
      <c r="AD16" t="s">
        <v>243</v>
      </c>
      <c r="AE16" t="s">
        <v>318</v>
      </c>
      <c r="AF16" t="s">
        <v>319</v>
      </c>
      <c r="AG16" t="s">
        <v>10</v>
      </c>
      <c r="AH16" t="s">
        <v>21</v>
      </c>
      <c r="AI16" t="s">
        <v>247</v>
      </c>
      <c r="AJ16" t="s">
        <v>179</v>
      </c>
      <c r="AL16" t="s">
        <v>318</v>
      </c>
      <c r="AM16" t="s">
        <v>358</v>
      </c>
      <c r="AN16" t="s">
        <v>359</v>
      </c>
      <c r="AO16">
        <v>0.99449756685866841</v>
      </c>
      <c r="AP16">
        <v>100.87794092441324</v>
      </c>
      <c r="AR16" t="s">
        <v>243</v>
      </c>
      <c r="AS16" t="s">
        <v>397</v>
      </c>
      <c r="AT16" t="s">
        <v>398</v>
      </c>
      <c r="AU16" t="s">
        <v>10</v>
      </c>
      <c r="AV16" t="s">
        <v>21</v>
      </c>
      <c r="AW16" t="s">
        <v>247</v>
      </c>
      <c r="AX16" t="s">
        <v>179</v>
      </c>
      <c r="AZ16" t="s">
        <v>397</v>
      </c>
      <c r="BA16" t="s">
        <v>415</v>
      </c>
      <c r="BB16" t="s">
        <v>416</v>
      </c>
      <c r="BC16">
        <v>0.99255663966463281</v>
      </c>
      <c r="BD16">
        <v>853.77090504074806</v>
      </c>
    </row>
    <row r="17" spans="2:56">
      <c r="B17" t="s">
        <v>175</v>
      </c>
      <c r="C17" t="s">
        <v>190</v>
      </c>
      <c r="D17" t="s">
        <v>191</v>
      </c>
      <c r="E17" t="s">
        <v>10</v>
      </c>
      <c r="F17" t="s">
        <v>21</v>
      </c>
      <c r="G17" t="s">
        <v>178</v>
      </c>
      <c r="H17" t="s">
        <v>179</v>
      </c>
      <c r="J17" t="s">
        <v>190</v>
      </c>
      <c r="K17" t="s">
        <v>228</v>
      </c>
      <c r="L17">
        <v>0.14130339435531741</v>
      </c>
      <c r="M17">
        <v>0.14467621467124989</v>
      </c>
      <c r="O17" t="s">
        <v>243</v>
      </c>
      <c r="P17" t="s">
        <v>258</v>
      </c>
      <c r="Q17" t="s">
        <v>259</v>
      </c>
      <c r="R17" t="s">
        <v>10</v>
      </c>
      <c r="S17" t="s">
        <v>21</v>
      </c>
      <c r="T17" t="s">
        <v>246</v>
      </c>
      <c r="U17" t="s">
        <v>247</v>
      </c>
      <c r="V17" t="s">
        <v>179</v>
      </c>
      <c r="X17" t="s">
        <v>258</v>
      </c>
      <c r="Y17" t="s">
        <v>232</v>
      </c>
      <c r="Z17" t="s">
        <v>294</v>
      </c>
      <c r="AA17">
        <v>0.99681878296180493</v>
      </c>
      <c r="AB17">
        <v>58.322312366909152</v>
      </c>
      <c r="AD17" t="s">
        <v>243</v>
      </c>
      <c r="AE17" t="s">
        <v>320</v>
      </c>
      <c r="AF17" t="s">
        <v>321</v>
      </c>
      <c r="AG17" t="s">
        <v>10</v>
      </c>
      <c r="AH17" t="s">
        <v>21</v>
      </c>
      <c r="AI17" t="s">
        <v>247</v>
      </c>
      <c r="AJ17" t="s">
        <v>179</v>
      </c>
      <c r="AL17" t="s">
        <v>320</v>
      </c>
      <c r="AM17" t="s">
        <v>360</v>
      </c>
      <c r="AN17" t="s">
        <v>361</v>
      </c>
      <c r="AO17">
        <v>0.99883902037019667</v>
      </c>
      <c r="AP17">
        <v>21.284626546395259</v>
      </c>
      <c r="AR17" t="s">
        <v>243</v>
      </c>
      <c r="AS17" t="s">
        <v>399</v>
      </c>
      <c r="AT17" t="s">
        <v>400</v>
      </c>
      <c r="AU17" t="s">
        <v>10</v>
      </c>
      <c r="AV17" t="s">
        <v>21</v>
      </c>
      <c r="AW17" t="s">
        <v>247</v>
      </c>
      <c r="AX17" t="s">
        <v>179</v>
      </c>
      <c r="AZ17" t="s">
        <v>399</v>
      </c>
      <c r="BA17" t="s">
        <v>417</v>
      </c>
      <c r="BB17" t="s">
        <v>418</v>
      </c>
      <c r="BC17">
        <v>0.99383352379209899</v>
      </c>
      <c r="BD17">
        <v>758.43022352327353</v>
      </c>
    </row>
    <row r="18" spans="2:56">
      <c r="B18" t="s">
        <v>175</v>
      </c>
      <c r="C18" t="s">
        <v>192</v>
      </c>
      <c r="D18" t="s">
        <v>193</v>
      </c>
      <c r="E18" t="s">
        <v>10</v>
      </c>
      <c r="F18" t="s">
        <v>21</v>
      </c>
      <c r="G18" t="s">
        <v>178</v>
      </c>
      <c r="H18" t="s">
        <v>179</v>
      </c>
      <c r="J18" t="s">
        <v>192</v>
      </c>
      <c r="K18" t="s">
        <v>229</v>
      </c>
      <c r="L18">
        <v>8.3399738060557796E-2</v>
      </c>
      <c r="M18">
        <v>0.14447749304589999</v>
      </c>
      <c r="O18" t="s">
        <v>243</v>
      </c>
      <c r="P18" t="s">
        <v>260</v>
      </c>
      <c r="Q18" t="s">
        <v>261</v>
      </c>
      <c r="R18" t="s">
        <v>10</v>
      </c>
      <c r="S18" t="s">
        <v>21</v>
      </c>
      <c r="T18" t="s">
        <v>246</v>
      </c>
      <c r="U18" t="s">
        <v>247</v>
      </c>
      <c r="V18" t="s">
        <v>179</v>
      </c>
      <c r="X18" t="s">
        <v>260</v>
      </c>
      <c r="Y18" t="s">
        <v>224</v>
      </c>
      <c r="Z18" t="s">
        <v>295</v>
      </c>
      <c r="AA18">
        <v>0.99770934816564383</v>
      </c>
      <c r="AB18">
        <v>41.995283629862939</v>
      </c>
      <c r="AD18" t="s">
        <v>243</v>
      </c>
      <c r="AE18" t="s">
        <v>322</v>
      </c>
      <c r="AF18" t="s">
        <v>323</v>
      </c>
      <c r="AG18" t="s">
        <v>10</v>
      </c>
      <c r="AH18" t="s">
        <v>21</v>
      </c>
      <c r="AI18" t="s">
        <v>247</v>
      </c>
      <c r="AJ18" t="s">
        <v>179</v>
      </c>
      <c r="AL18" t="s">
        <v>322</v>
      </c>
      <c r="AM18" t="s">
        <v>362</v>
      </c>
      <c r="AN18" t="s">
        <v>363</v>
      </c>
      <c r="AO18">
        <v>0.99521984547821263</v>
      </c>
      <c r="AP18">
        <v>87.636166232768815</v>
      </c>
      <c r="AR18" t="s">
        <v>243</v>
      </c>
      <c r="AS18" t="s">
        <v>401</v>
      </c>
      <c r="AT18" t="s">
        <v>402</v>
      </c>
      <c r="AU18" t="s">
        <v>10</v>
      </c>
      <c r="AV18" t="s">
        <v>21</v>
      </c>
      <c r="AW18" t="s">
        <v>247</v>
      </c>
      <c r="AX18" t="s">
        <v>179</v>
      </c>
      <c r="AZ18" t="s">
        <v>401</v>
      </c>
      <c r="BA18" t="s">
        <v>419</v>
      </c>
      <c r="BB18" t="s">
        <v>420</v>
      </c>
      <c r="BC18">
        <v>0.99603306101923861</v>
      </c>
      <c r="BD18">
        <v>594.19811056351818</v>
      </c>
    </row>
    <row r="19" spans="2:56">
      <c r="B19" t="s">
        <v>175</v>
      </c>
      <c r="C19" t="s">
        <v>194</v>
      </c>
      <c r="D19" t="s">
        <v>195</v>
      </c>
      <c r="E19" t="s">
        <v>10</v>
      </c>
      <c r="F19" t="s">
        <v>21</v>
      </c>
      <c r="G19" t="s">
        <v>178</v>
      </c>
      <c r="H19" t="s">
        <v>179</v>
      </c>
      <c r="J19" t="s">
        <v>194</v>
      </c>
      <c r="K19" t="s">
        <v>230</v>
      </c>
      <c r="L19">
        <v>0.8461377815282084</v>
      </c>
      <c r="M19">
        <v>0.13935339908135069</v>
      </c>
      <c r="O19" t="s">
        <v>243</v>
      </c>
      <c r="P19" t="s">
        <v>262</v>
      </c>
      <c r="Q19" t="s">
        <v>263</v>
      </c>
      <c r="R19" t="s">
        <v>10</v>
      </c>
      <c r="S19" t="s">
        <v>21</v>
      </c>
      <c r="T19" t="s">
        <v>246</v>
      </c>
      <c r="U19" t="s">
        <v>247</v>
      </c>
      <c r="V19" t="s">
        <v>179</v>
      </c>
      <c r="X19" t="s">
        <v>262</v>
      </c>
      <c r="Y19" t="s">
        <v>228</v>
      </c>
      <c r="Z19" t="s">
        <v>296</v>
      </c>
      <c r="AA19">
        <v>0.9970292559096442</v>
      </c>
      <c r="AB19">
        <v>54.463641656523762</v>
      </c>
      <c r="AD19" t="s">
        <v>243</v>
      </c>
      <c r="AE19" t="s">
        <v>324</v>
      </c>
      <c r="AF19" t="s">
        <v>325</v>
      </c>
      <c r="AG19" t="s">
        <v>10</v>
      </c>
      <c r="AH19" t="s">
        <v>21</v>
      </c>
      <c r="AI19" t="s">
        <v>247</v>
      </c>
      <c r="AJ19" t="s">
        <v>179</v>
      </c>
      <c r="AL19" t="s">
        <v>324</v>
      </c>
      <c r="AM19" t="s">
        <v>364</v>
      </c>
      <c r="AN19" t="s">
        <v>365</v>
      </c>
      <c r="AO19">
        <v>0.99845791964146047</v>
      </c>
      <c r="AP19">
        <v>28.2714732398913</v>
      </c>
      <c r="AR19" t="s">
        <v>243</v>
      </c>
      <c r="AS19" t="s">
        <v>403</v>
      </c>
      <c r="AT19" t="s">
        <v>404</v>
      </c>
      <c r="AU19" t="s">
        <v>10</v>
      </c>
      <c r="AV19" t="s">
        <v>21</v>
      </c>
      <c r="AW19" t="s">
        <v>247</v>
      </c>
      <c r="AX19" t="s">
        <v>179</v>
      </c>
      <c r="AZ19" t="s">
        <v>403</v>
      </c>
      <c r="BA19" t="s">
        <v>421</v>
      </c>
      <c r="BB19" t="s">
        <v>420</v>
      </c>
      <c r="BC19">
        <v>0.99608994650263638</v>
      </c>
      <c r="BD19">
        <v>589.950661136485</v>
      </c>
    </row>
    <row r="20" spans="2:56">
      <c r="B20" t="s">
        <v>175</v>
      </c>
      <c r="C20" t="s">
        <v>196</v>
      </c>
      <c r="D20" t="s">
        <v>197</v>
      </c>
      <c r="E20" t="s">
        <v>10</v>
      </c>
      <c r="F20" t="s">
        <v>21</v>
      </c>
      <c r="G20" t="s">
        <v>178</v>
      </c>
      <c r="H20" t="s">
        <v>179</v>
      </c>
      <c r="J20" t="s">
        <v>196</v>
      </c>
      <c r="K20" t="s">
        <v>231</v>
      </c>
      <c r="L20">
        <v>2.5978185776277658</v>
      </c>
      <c r="M20">
        <v>0.1372142788437504</v>
      </c>
      <c r="O20" t="s">
        <v>243</v>
      </c>
      <c r="P20" t="s">
        <v>264</v>
      </c>
      <c r="Q20" t="s">
        <v>265</v>
      </c>
      <c r="R20" t="s">
        <v>10</v>
      </c>
      <c r="S20" t="s">
        <v>21</v>
      </c>
      <c r="T20" t="s">
        <v>246</v>
      </c>
      <c r="U20" t="s">
        <v>247</v>
      </c>
      <c r="V20" t="s">
        <v>179</v>
      </c>
      <c r="X20" t="s">
        <v>264</v>
      </c>
      <c r="Y20" t="s">
        <v>237</v>
      </c>
      <c r="Z20" t="s">
        <v>297</v>
      </c>
      <c r="AA20">
        <v>0.9982126095160021</v>
      </c>
      <c r="AB20">
        <v>32.768825539961391</v>
      </c>
      <c r="AD20" t="s">
        <v>243</v>
      </c>
      <c r="AE20" t="s">
        <v>326</v>
      </c>
      <c r="AF20" t="s">
        <v>327</v>
      </c>
      <c r="AG20" t="s">
        <v>10</v>
      </c>
      <c r="AH20" t="s">
        <v>21</v>
      </c>
      <c r="AI20" t="s">
        <v>247</v>
      </c>
      <c r="AJ20" t="s">
        <v>179</v>
      </c>
      <c r="AL20" t="s">
        <v>326</v>
      </c>
      <c r="AM20" t="s">
        <v>366</v>
      </c>
      <c r="AN20" t="s">
        <v>367</v>
      </c>
      <c r="AO20">
        <v>0.99872641243407079</v>
      </c>
      <c r="AP20">
        <v>23.349105375368897</v>
      </c>
      <c r="AR20" t="s">
        <v>243</v>
      </c>
      <c r="AS20" t="s">
        <v>405</v>
      </c>
      <c r="AT20" t="s">
        <v>406</v>
      </c>
      <c r="AU20" t="s">
        <v>10</v>
      </c>
      <c r="AV20" t="s">
        <v>21</v>
      </c>
      <c r="AW20" t="s">
        <v>247</v>
      </c>
      <c r="AX20" t="s">
        <v>179</v>
      </c>
      <c r="AZ20" t="s">
        <v>405</v>
      </c>
      <c r="BA20" t="s">
        <v>422</v>
      </c>
      <c r="BB20" t="s">
        <v>423</v>
      </c>
      <c r="BC20">
        <v>0.99399682431672776</v>
      </c>
      <c r="BD20">
        <v>746.2371176843244</v>
      </c>
    </row>
    <row r="21" spans="2:56">
      <c r="B21" t="s">
        <v>175</v>
      </c>
      <c r="C21" t="s">
        <v>198</v>
      </c>
      <c r="D21" t="s">
        <v>199</v>
      </c>
      <c r="E21" t="s">
        <v>10</v>
      </c>
      <c r="F21" t="s">
        <v>21</v>
      </c>
      <c r="G21" t="s">
        <v>178</v>
      </c>
      <c r="H21" t="s">
        <v>179</v>
      </c>
      <c r="J21" t="s">
        <v>198</v>
      </c>
      <c r="K21" t="s">
        <v>232</v>
      </c>
      <c r="L21">
        <v>2.6141043466702851</v>
      </c>
      <c r="M21">
        <v>0.13832640480586719</v>
      </c>
      <c r="O21" t="s">
        <v>243</v>
      </c>
      <c r="P21" t="s">
        <v>266</v>
      </c>
      <c r="Q21" t="s">
        <v>267</v>
      </c>
      <c r="R21" t="s">
        <v>10</v>
      </c>
      <c r="S21" t="s">
        <v>21</v>
      </c>
      <c r="T21" t="s">
        <v>246</v>
      </c>
      <c r="U21" t="s">
        <v>247</v>
      </c>
      <c r="V21" t="s">
        <v>179</v>
      </c>
      <c r="X21" t="s">
        <v>266</v>
      </c>
      <c r="Y21" t="s">
        <v>227</v>
      </c>
      <c r="Z21" t="s">
        <v>298</v>
      </c>
      <c r="AA21">
        <v>0.99658775492800411</v>
      </c>
      <c r="AB21">
        <v>62.557826319923819</v>
      </c>
      <c r="AD21" t="s">
        <v>243</v>
      </c>
      <c r="AE21" t="s">
        <v>328</v>
      </c>
      <c r="AF21" t="s">
        <v>329</v>
      </c>
      <c r="AG21" t="s">
        <v>10</v>
      </c>
      <c r="AH21" t="s">
        <v>21</v>
      </c>
      <c r="AI21" t="s">
        <v>247</v>
      </c>
      <c r="AJ21" t="s">
        <v>179</v>
      </c>
      <c r="AL21" t="s">
        <v>328</v>
      </c>
      <c r="AM21" t="s">
        <v>368</v>
      </c>
      <c r="AN21" t="s">
        <v>369</v>
      </c>
      <c r="AO21">
        <v>0.99776911581804295</v>
      </c>
      <c r="AP21">
        <v>40.899543335879912</v>
      </c>
    </row>
    <row r="22" spans="2:56">
      <c r="B22" t="s">
        <v>175</v>
      </c>
      <c r="C22" t="s">
        <v>200</v>
      </c>
      <c r="D22" t="s">
        <v>201</v>
      </c>
      <c r="E22" t="s">
        <v>10</v>
      </c>
      <c r="F22" t="s">
        <v>21</v>
      </c>
      <c r="G22" t="s">
        <v>178</v>
      </c>
      <c r="H22" t="s">
        <v>179</v>
      </c>
      <c r="J22" t="s">
        <v>200</v>
      </c>
      <c r="K22" t="s">
        <v>233</v>
      </c>
      <c r="L22">
        <v>0.87853063309573087</v>
      </c>
      <c r="M22">
        <v>0.14385001367764569</v>
      </c>
      <c r="O22" t="s">
        <v>243</v>
      </c>
      <c r="P22" t="s">
        <v>268</v>
      </c>
      <c r="Q22" t="s">
        <v>269</v>
      </c>
      <c r="R22" t="s">
        <v>10</v>
      </c>
      <c r="S22" t="s">
        <v>21</v>
      </c>
      <c r="T22" t="s">
        <v>246</v>
      </c>
      <c r="U22" t="s">
        <v>247</v>
      </c>
      <c r="V22" t="s">
        <v>179</v>
      </c>
      <c r="X22" t="s">
        <v>268</v>
      </c>
      <c r="Y22" t="s">
        <v>231</v>
      </c>
      <c r="Z22" t="s">
        <v>299</v>
      </c>
      <c r="AA22">
        <v>0.99510886326373238</v>
      </c>
      <c r="AB22">
        <v>89.670840164906522</v>
      </c>
      <c r="AD22" t="s">
        <v>243</v>
      </c>
      <c r="AE22" t="s">
        <v>330</v>
      </c>
      <c r="AF22" t="s">
        <v>331</v>
      </c>
      <c r="AG22" t="s">
        <v>10</v>
      </c>
      <c r="AH22" t="s">
        <v>21</v>
      </c>
      <c r="AI22" t="s">
        <v>247</v>
      </c>
      <c r="AJ22" t="s">
        <v>179</v>
      </c>
      <c r="AL22" t="s">
        <v>330</v>
      </c>
      <c r="AM22" t="s">
        <v>370</v>
      </c>
      <c r="AN22" t="s">
        <v>371</v>
      </c>
      <c r="AO22">
        <v>0.99827231256984739</v>
      </c>
      <c r="AP22">
        <v>31.674269552798414</v>
      </c>
    </row>
    <row r="23" spans="2:56">
      <c r="B23" t="s">
        <v>175</v>
      </c>
      <c r="C23" t="s">
        <v>202</v>
      </c>
      <c r="D23" t="s">
        <v>203</v>
      </c>
      <c r="E23" t="s">
        <v>10</v>
      </c>
      <c r="F23" t="s">
        <v>21</v>
      </c>
      <c r="G23" t="s">
        <v>178</v>
      </c>
      <c r="H23" t="s">
        <v>179</v>
      </c>
      <c r="J23" t="s">
        <v>202</v>
      </c>
      <c r="K23" t="s">
        <v>234</v>
      </c>
      <c r="L23">
        <v>1.47666096629793</v>
      </c>
      <c r="M23">
        <v>0.1429724197056228</v>
      </c>
      <c r="O23" t="s">
        <v>243</v>
      </c>
      <c r="P23" t="s">
        <v>270</v>
      </c>
      <c r="Q23" t="s">
        <v>271</v>
      </c>
      <c r="R23" t="s">
        <v>10</v>
      </c>
      <c r="S23" t="s">
        <v>21</v>
      </c>
      <c r="T23" t="s">
        <v>246</v>
      </c>
      <c r="U23" t="s">
        <v>247</v>
      </c>
      <c r="V23" t="s">
        <v>179</v>
      </c>
      <c r="X23" t="s">
        <v>270</v>
      </c>
      <c r="Y23" t="s">
        <v>235</v>
      </c>
      <c r="Z23" t="s">
        <v>300</v>
      </c>
      <c r="AA23">
        <v>0.99790408176624201</v>
      </c>
      <c r="AB23">
        <v>38.425167618896296</v>
      </c>
      <c r="AD23" t="s">
        <v>243</v>
      </c>
      <c r="AE23" t="s">
        <v>332</v>
      </c>
      <c r="AF23" t="s">
        <v>333</v>
      </c>
      <c r="AG23" t="s">
        <v>10</v>
      </c>
      <c r="AH23" t="s">
        <v>21</v>
      </c>
      <c r="AI23" t="s">
        <v>247</v>
      </c>
      <c r="AJ23" t="s">
        <v>179</v>
      </c>
      <c r="AL23" t="s">
        <v>332</v>
      </c>
      <c r="AM23" t="s">
        <v>372</v>
      </c>
      <c r="AN23" t="s">
        <v>373</v>
      </c>
      <c r="AO23">
        <v>0.99635146162488653</v>
      </c>
      <c r="AP23">
        <v>66.889870210414614</v>
      </c>
    </row>
    <row r="24" spans="2:56">
      <c r="B24" t="s">
        <v>175</v>
      </c>
      <c r="C24" t="s">
        <v>204</v>
      </c>
      <c r="D24" t="s">
        <v>205</v>
      </c>
      <c r="E24" t="s">
        <v>10</v>
      </c>
      <c r="F24" t="s">
        <v>21</v>
      </c>
      <c r="G24" t="s">
        <v>178</v>
      </c>
      <c r="H24" t="s">
        <v>179</v>
      </c>
      <c r="J24" t="s">
        <v>204</v>
      </c>
      <c r="K24" t="s">
        <v>235</v>
      </c>
      <c r="L24">
        <v>0.59571674162549937</v>
      </c>
      <c r="M24">
        <v>0.1420048933986105</v>
      </c>
      <c r="O24" t="s">
        <v>243</v>
      </c>
      <c r="P24" t="s">
        <v>272</v>
      </c>
      <c r="Q24" t="s">
        <v>273</v>
      </c>
      <c r="R24" t="s">
        <v>10</v>
      </c>
      <c r="S24" t="s">
        <v>21</v>
      </c>
      <c r="T24" t="s">
        <v>246</v>
      </c>
      <c r="U24" t="s">
        <v>247</v>
      </c>
      <c r="V24" t="s">
        <v>179</v>
      </c>
      <c r="X24" t="s">
        <v>272</v>
      </c>
      <c r="Y24" t="s">
        <v>225</v>
      </c>
      <c r="Z24" t="s">
        <v>301</v>
      </c>
      <c r="AA24">
        <v>0.99785589517057005</v>
      </c>
      <c r="AB24">
        <v>39.308588539549028</v>
      </c>
      <c r="AD24" t="s">
        <v>243</v>
      </c>
      <c r="AE24" t="s">
        <v>334</v>
      </c>
      <c r="AF24" t="s">
        <v>335</v>
      </c>
      <c r="AG24" t="s">
        <v>10</v>
      </c>
      <c r="AH24" t="s">
        <v>21</v>
      </c>
      <c r="AI24" t="s">
        <v>247</v>
      </c>
      <c r="AJ24" t="s">
        <v>179</v>
      </c>
      <c r="AL24" t="s">
        <v>334</v>
      </c>
      <c r="AM24" t="s">
        <v>374</v>
      </c>
      <c r="AN24" t="s">
        <v>304</v>
      </c>
      <c r="AO24">
        <v>0.99586212495478665</v>
      </c>
      <c r="AP24">
        <v>75.861042495577635</v>
      </c>
    </row>
    <row r="25" spans="2:56">
      <c r="B25" t="s">
        <v>175</v>
      </c>
      <c r="C25" t="s">
        <v>206</v>
      </c>
      <c r="D25" t="s">
        <v>207</v>
      </c>
      <c r="E25" t="s">
        <v>10</v>
      </c>
      <c r="F25" t="s">
        <v>21</v>
      </c>
      <c r="G25" t="s">
        <v>178</v>
      </c>
      <c r="H25" t="s">
        <v>179</v>
      </c>
      <c r="J25" t="s">
        <v>206</v>
      </c>
      <c r="K25" t="s">
        <v>236</v>
      </c>
      <c r="L25">
        <v>0.32051956623126049</v>
      </c>
      <c r="M25">
        <v>0.1403347222261305</v>
      </c>
      <c r="O25" t="s">
        <v>243</v>
      </c>
      <c r="P25" t="s">
        <v>274</v>
      </c>
      <c r="Q25" t="s">
        <v>275</v>
      </c>
      <c r="R25" t="s">
        <v>10</v>
      </c>
      <c r="S25" t="s">
        <v>21</v>
      </c>
      <c r="T25" t="s">
        <v>246</v>
      </c>
      <c r="U25" t="s">
        <v>247</v>
      </c>
      <c r="V25" t="s">
        <v>179</v>
      </c>
      <c r="X25" t="s">
        <v>274</v>
      </c>
      <c r="Y25" t="s">
        <v>238</v>
      </c>
      <c r="Z25" t="s">
        <v>302</v>
      </c>
      <c r="AA25">
        <v>0.99930490342600053</v>
      </c>
      <c r="AB25">
        <v>12.743437189989784</v>
      </c>
      <c r="AD25" t="s">
        <v>243</v>
      </c>
      <c r="AE25" t="s">
        <v>336</v>
      </c>
      <c r="AF25" t="s">
        <v>337</v>
      </c>
      <c r="AG25" t="s">
        <v>10</v>
      </c>
      <c r="AH25" t="s">
        <v>21</v>
      </c>
      <c r="AI25" t="s">
        <v>247</v>
      </c>
      <c r="AJ25" t="s">
        <v>179</v>
      </c>
      <c r="AL25" t="s">
        <v>336</v>
      </c>
      <c r="AM25" t="s">
        <v>375</v>
      </c>
      <c r="AN25" t="s">
        <v>376</v>
      </c>
      <c r="AO25">
        <v>0.99749126227646956</v>
      </c>
      <c r="AP25">
        <v>45.993524931390482</v>
      </c>
    </row>
    <row r="26" spans="2:56">
      <c r="B26" t="s">
        <v>175</v>
      </c>
      <c r="C26" t="s">
        <v>208</v>
      </c>
      <c r="D26" t="s">
        <v>209</v>
      </c>
      <c r="E26" t="s">
        <v>10</v>
      </c>
      <c r="F26" t="s">
        <v>21</v>
      </c>
      <c r="G26" t="s">
        <v>178</v>
      </c>
      <c r="H26" t="s">
        <v>179</v>
      </c>
      <c r="J26" t="s">
        <v>208</v>
      </c>
      <c r="K26" t="s">
        <v>237</v>
      </c>
      <c r="L26">
        <v>0.12979012113939029</v>
      </c>
      <c r="M26">
        <v>0.1381449343202274</v>
      </c>
      <c r="O26" t="s">
        <v>243</v>
      </c>
      <c r="P26" t="s">
        <v>276</v>
      </c>
      <c r="Q26" t="s">
        <v>277</v>
      </c>
      <c r="R26" t="s">
        <v>10</v>
      </c>
      <c r="S26" t="s">
        <v>21</v>
      </c>
      <c r="T26" t="s">
        <v>246</v>
      </c>
      <c r="U26" t="s">
        <v>247</v>
      </c>
      <c r="V26" t="s">
        <v>179</v>
      </c>
      <c r="X26" t="s">
        <v>276</v>
      </c>
      <c r="Y26" t="s">
        <v>241</v>
      </c>
      <c r="Z26" t="s">
        <v>303</v>
      </c>
      <c r="AA26">
        <v>0.99881801309037566</v>
      </c>
      <c r="AB26">
        <v>21.669760009780138</v>
      </c>
      <c r="AD26" t="s">
        <v>243</v>
      </c>
      <c r="AE26" t="s">
        <v>338</v>
      </c>
      <c r="AF26" t="s">
        <v>339</v>
      </c>
      <c r="AG26" t="s">
        <v>10</v>
      </c>
      <c r="AH26" t="s">
        <v>21</v>
      </c>
      <c r="AI26" t="s">
        <v>247</v>
      </c>
      <c r="AJ26" t="s">
        <v>179</v>
      </c>
      <c r="AL26" t="s">
        <v>338</v>
      </c>
      <c r="AM26" t="s">
        <v>377</v>
      </c>
      <c r="AN26" t="s">
        <v>378</v>
      </c>
      <c r="AO26">
        <v>0.99807543246352515</v>
      </c>
      <c r="AP26">
        <v>35.283738168705199</v>
      </c>
    </row>
    <row r="27" spans="2:56">
      <c r="B27" t="s">
        <v>175</v>
      </c>
      <c r="C27" t="s">
        <v>210</v>
      </c>
      <c r="D27" t="s">
        <v>211</v>
      </c>
      <c r="E27" t="s">
        <v>10</v>
      </c>
      <c r="F27" t="s">
        <v>21</v>
      </c>
      <c r="G27" t="s">
        <v>178</v>
      </c>
      <c r="H27" t="s">
        <v>179</v>
      </c>
      <c r="J27" t="s">
        <v>210</v>
      </c>
      <c r="K27" t="s">
        <v>238</v>
      </c>
      <c r="L27">
        <v>9.9126175900146676E-2</v>
      </c>
      <c r="M27">
        <v>0.1376792857673115</v>
      </c>
      <c r="O27" t="s">
        <v>243</v>
      </c>
      <c r="P27" t="s">
        <v>278</v>
      </c>
      <c r="Q27" t="s">
        <v>279</v>
      </c>
      <c r="R27" t="s">
        <v>10</v>
      </c>
      <c r="S27" t="s">
        <v>21</v>
      </c>
      <c r="T27" t="s">
        <v>246</v>
      </c>
      <c r="U27" t="s">
        <v>247</v>
      </c>
      <c r="V27" t="s">
        <v>179</v>
      </c>
      <c r="X27" t="s">
        <v>278</v>
      </c>
      <c r="Y27" t="s">
        <v>234</v>
      </c>
      <c r="Z27" t="s">
        <v>304</v>
      </c>
      <c r="AA27">
        <v>0.99606480786442353</v>
      </c>
      <c r="AB27">
        <v>72.145189152235062</v>
      </c>
      <c r="AD27" t="s">
        <v>243</v>
      </c>
      <c r="AE27" t="s">
        <v>340</v>
      </c>
      <c r="AF27" t="s">
        <v>341</v>
      </c>
      <c r="AG27" t="s">
        <v>10</v>
      </c>
      <c r="AH27" t="s">
        <v>21</v>
      </c>
      <c r="AI27" t="s">
        <v>247</v>
      </c>
      <c r="AJ27" t="s">
        <v>179</v>
      </c>
      <c r="AL27" t="s">
        <v>340</v>
      </c>
      <c r="AM27" t="s">
        <v>379</v>
      </c>
      <c r="AN27" t="s">
        <v>380</v>
      </c>
      <c r="AO27">
        <v>0.99730422320290779</v>
      </c>
      <c r="AP27">
        <v>49.422574613357185</v>
      </c>
    </row>
    <row r="28" spans="2:56">
      <c r="B28" t="s">
        <v>175</v>
      </c>
      <c r="C28" t="s">
        <v>212</v>
      </c>
      <c r="D28" t="s">
        <v>213</v>
      </c>
      <c r="E28" t="s">
        <v>10</v>
      </c>
      <c r="F28" t="s">
        <v>21</v>
      </c>
      <c r="G28" t="s">
        <v>178</v>
      </c>
      <c r="H28" t="s">
        <v>179</v>
      </c>
      <c r="J28" t="s">
        <v>212</v>
      </c>
      <c r="K28" t="s">
        <v>239</v>
      </c>
      <c r="L28">
        <v>0.39877652806646691</v>
      </c>
      <c r="M28">
        <v>0.13817483780443629</v>
      </c>
      <c r="O28" t="s">
        <v>243</v>
      </c>
      <c r="P28" t="s">
        <v>280</v>
      </c>
      <c r="Q28" t="s">
        <v>281</v>
      </c>
      <c r="R28" t="s">
        <v>10</v>
      </c>
      <c r="S28" t="s">
        <v>21</v>
      </c>
      <c r="T28" t="s">
        <v>246</v>
      </c>
      <c r="U28" t="s">
        <v>247</v>
      </c>
      <c r="V28" t="s">
        <v>179</v>
      </c>
      <c r="X28" t="s">
        <v>280</v>
      </c>
      <c r="Y28" t="s">
        <v>223</v>
      </c>
      <c r="Z28" t="s">
        <v>305</v>
      </c>
      <c r="AA28">
        <v>0.99515616506526205</v>
      </c>
      <c r="AB28">
        <v>88.803640470195262</v>
      </c>
      <c r="AD28" t="s">
        <v>243</v>
      </c>
      <c r="AE28" t="s">
        <v>342</v>
      </c>
      <c r="AF28" t="s">
        <v>343</v>
      </c>
      <c r="AG28" t="s">
        <v>10</v>
      </c>
      <c r="AH28" t="s">
        <v>21</v>
      </c>
      <c r="AI28" t="s">
        <v>247</v>
      </c>
      <c r="AJ28" t="s">
        <v>179</v>
      </c>
      <c r="AL28" t="s">
        <v>342</v>
      </c>
      <c r="AM28" t="s">
        <v>381</v>
      </c>
      <c r="AN28" t="s">
        <v>382</v>
      </c>
      <c r="AO28">
        <v>0.99805709209211746</v>
      </c>
      <c r="AP28">
        <v>35.619978311179104</v>
      </c>
    </row>
    <row r="29" spans="2:56">
      <c r="B29" t="s">
        <v>175</v>
      </c>
      <c r="C29" t="s">
        <v>214</v>
      </c>
      <c r="D29" t="s">
        <v>215</v>
      </c>
      <c r="E29" t="s">
        <v>10</v>
      </c>
      <c r="F29" t="s">
        <v>21</v>
      </c>
      <c r="G29" t="s">
        <v>178</v>
      </c>
      <c r="H29" t="s">
        <v>179</v>
      </c>
      <c r="J29" t="s">
        <v>214</v>
      </c>
      <c r="K29" t="s">
        <v>240</v>
      </c>
      <c r="L29">
        <v>6.8823759438449289E-2</v>
      </c>
      <c r="M29">
        <v>0.13750832056621709</v>
      </c>
      <c r="O29" t="s">
        <v>243</v>
      </c>
      <c r="P29" t="s">
        <v>282</v>
      </c>
      <c r="Q29" t="s">
        <v>283</v>
      </c>
      <c r="R29" t="s">
        <v>10</v>
      </c>
      <c r="S29" t="s">
        <v>21</v>
      </c>
      <c r="T29" t="s">
        <v>246</v>
      </c>
      <c r="U29" t="s">
        <v>247</v>
      </c>
      <c r="V29" t="s">
        <v>179</v>
      </c>
      <c r="X29" t="s">
        <v>282</v>
      </c>
      <c r="Y29" t="s">
        <v>240</v>
      </c>
      <c r="Z29" t="s">
        <v>306</v>
      </c>
      <c r="AA29">
        <v>0.99728872234103139</v>
      </c>
      <c r="AB29">
        <v>49.70675708109188</v>
      </c>
      <c r="AD29" t="s">
        <v>243</v>
      </c>
      <c r="AE29" t="s">
        <v>344</v>
      </c>
      <c r="AF29" t="s">
        <v>345</v>
      </c>
      <c r="AG29" t="s">
        <v>10</v>
      </c>
      <c r="AH29" t="s">
        <v>21</v>
      </c>
      <c r="AI29" t="s">
        <v>247</v>
      </c>
      <c r="AJ29" t="s">
        <v>179</v>
      </c>
      <c r="AL29" t="s">
        <v>344</v>
      </c>
      <c r="AM29" t="s">
        <v>383</v>
      </c>
      <c r="AN29" t="s">
        <v>384</v>
      </c>
      <c r="AO29">
        <v>0.99802303154782224</v>
      </c>
      <c r="AP29">
        <v>36.244421623259619</v>
      </c>
    </row>
    <row r="30" spans="2:56">
      <c r="B30" t="s">
        <v>175</v>
      </c>
      <c r="C30" t="s">
        <v>216</v>
      </c>
      <c r="D30" t="s">
        <v>217</v>
      </c>
      <c r="E30" t="s">
        <v>10</v>
      </c>
      <c r="F30" t="s">
        <v>21</v>
      </c>
      <c r="G30" t="s">
        <v>178</v>
      </c>
      <c r="H30" t="s">
        <v>179</v>
      </c>
      <c r="J30" t="s">
        <v>216</v>
      </c>
      <c r="K30" t="s">
        <v>241</v>
      </c>
      <c r="L30">
        <v>0.35767093322919402</v>
      </c>
      <c r="M30">
        <v>0.1381414824354045</v>
      </c>
      <c r="O30" t="s">
        <v>243</v>
      </c>
      <c r="P30" t="s">
        <v>284</v>
      </c>
      <c r="Q30" t="s">
        <v>285</v>
      </c>
      <c r="R30" t="s">
        <v>10</v>
      </c>
      <c r="S30" t="s">
        <v>21</v>
      </c>
      <c r="T30" t="s">
        <v>246</v>
      </c>
      <c r="U30" t="s">
        <v>247</v>
      </c>
      <c r="V30" t="s">
        <v>179</v>
      </c>
      <c r="X30" t="s">
        <v>284</v>
      </c>
      <c r="Y30" t="s">
        <v>230</v>
      </c>
      <c r="Z30" t="s">
        <v>307</v>
      </c>
      <c r="AA30">
        <v>0.99583567586599486</v>
      </c>
      <c r="AB30">
        <v>76.34594245676044</v>
      </c>
      <c r="AD30" t="s">
        <v>243</v>
      </c>
      <c r="AE30" t="s">
        <v>346</v>
      </c>
      <c r="AF30" t="s">
        <v>347</v>
      </c>
      <c r="AG30" t="s">
        <v>10</v>
      </c>
      <c r="AH30" t="s">
        <v>21</v>
      </c>
      <c r="AI30" t="s">
        <v>247</v>
      </c>
      <c r="AJ30" t="s">
        <v>179</v>
      </c>
      <c r="AL30" t="s">
        <v>346</v>
      </c>
      <c r="AM30" t="s">
        <v>385</v>
      </c>
      <c r="AN30" t="s">
        <v>386</v>
      </c>
      <c r="AO30">
        <v>0.99714358927215652</v>
      </c>
      <c r="AP30">
        <v>52.367530010463909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14BAE-7B6E-4ADF-AB76-C7AA6081215F}">
  <dimension ref="B9:Z30"/>
  <sheetViews>
    <sheetView workbookViewId="0"/>
  </sheetViews>
  <sheetFormatPr defaultRowHeight="14.25"/>
  <sheetData>
    <row r="9" spans="2:26">
      <c r="B9" t="s">
        <v>167</v>
      </c>
      <c r="J9" t="s">
        <v>218</v>
      </c>
      <c r="O9" t="s">
        <v>167</v>
      </c>
      <c r="W9" t="s">
        <v>218</v>
      </c>
    </row>
    <row r="10" spans="2:26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219</v>
      </c>
      <c r="L10" t="s">
        <v>220</v>
      </c>
      <c r="M10" t="s">
        <v>221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173</v>
      </c>
      <c r="U10" t="s">
        <v>174</v>
      </c>
      <c r="W10" t="s">
        <v>169</v>
      </c>
      <c r="X10" t="s">
        <v>219</v>
      </c>
      <c r="Y10" t="s">
        <v>220</v>
      </c>
      <c r="Z10" t="s">
        <v>221</v>
      </c>
    </row>
    <row r="11" spans="2:26">
      <c r="B11" t="s">
        <v>175</v>
      </c>
      <c r="C11" t="s">
        <v>424</v>
      </c>
      <c r="D11" t="s">
        <v>425</v>
      </c>
      <c r="E11" t="s">
        <v>10</v>
      </c>
      <c r="F11" t="s">
        <v>21</v>
      </c>
      <c r="G11" t="s">
        <v>178</v>
      </c>
      <c r="H11" t="s">
        <v>179</v>
      </c>
      <c r="J11" t="s">
        <v>424</v>
      </c>
      <c r="K11" t="s">
        <v>352</v>
      </c>
      <c r="L11">
        <v>0.30278350605008381</v>
      </c>
      <c r="M11">
        <v>0.29279791653826648</v>
      </c>
      <c r="O11" t="s">
        <v>175</v>
      </c>
      <c r="P11" t="s">
        <v>464</v>
      </c>
      <c r="Q11" t="s">
        <v>465</v>
      </c>
      <c r="R11" t="s">
        <v>10</v>
      </c>
      <c r="S11" t="s">
        <v>21</v>
      </c>
      <c r="T11" t="s">
        <v>178</v>
      </c>
      <c r="U11" t="s">
        <v>179</v>
      </c>
      <c r="W11" t="s">
        <v>464</v>
      </c>
      <c r="X11" t="s">
        <v>412</v>
      </c>
      <c r="Y11">
        <v>0.83925000000000005</v>
      </c>
      <c r="Z11">
        <v>0.29503941862601879</v>
      </c>
    </row>
    <row r="12" spans="2:26">
      <c r="B12" t="s">
        <v>175</v>
      </c>
      <c r="C12" t="s">
        <v>426</v>
      </c>
      <c r="D12" t="s">
        <v>427</v>
      </c>
      <c r="E12" t="s">
        <v>10</v>
      </c>
      <c r="F12" t="s">
        <v>21</v>
      </c>
      <c r="G12" t="s">
        <v>178</v>
      </c>
      <c r="H12" t="s">
        <v>179</v>
      </c>
      <c r="J12" t="s">
        <v>426</v>
      </c>
      <c r="K12" t="s">
        <v>364</v>
      </c>
      <c r="L12">
        <v>0.42035497786033621</v>
      </c>
      <c r="M12">
        <v>0.27623783731521528</v>
      </c>
      <c r="O12" t="s">
        <v>175</v>
      </c>
      <c r="P12" t="s">
        <v>466</v>
      </c>
      <c r="Q12" t="s">
        <v>467</v>
      </c>
      <c r="R12" t="s">
        <v>10</v>
      </c>
      <c r="S12" t="s">
        <v>21</v>
      </c>
      <c r="T12" t="s">
        <v>178</v>
      </c>
      <c r="U12" t="s">
        <v>179</v>
      </c>
      <c r="W12" t="s">
        <v>466</v>
      </c>
      <c r="X12" t="s">
        <v>409</v>
      </c>
      <c r="Y12">
        <v>16.887</v>
      </c>
      <c r="Z12">
        <v>0.47859411512724059</v>
      </c>
    </row>
    <row r="13" spans="2:26">
      <c r="B13" t="s">
        <v>175</v>
      </c>
      <c r="C13" t="s">
        <v>428</v>
      </c>
      <c r="D13" t="s">
        <v>429</v>
      </c>
      <c r="E13" t="s">
        <v>10</v>
      </c>
      <c r="F13" t="s">
        <v>21</v>
      </c>
      <c r="G13" t="s">
        <v>178</v>
      </c>
      <c r="H13" t="s">
        <v>179</v>
      </c>
      <c r="J13" t="s">
        <v>428</v>
      </c>
      <c r="K13" t="s">
        <v>377</v>
      </c>
      <c r="L13">
        <v>1.6077871713950227</v>
      </c>
      <c r="M13">
        <v>0.2987386419053395</v>
      </c>
      <c r="O13" t="s">
        <v>175</v>
      </c>
      <c r="P13" t="s">
        <v>468</v>
      </c>
      <c r="Q13" t="s">
        <v>469</v>
      </c>
      <c r="R13" t="s">
        <v>10</v>
      </c>
      <c r="S13" t="s">
        <v>21</v>
      </c>
      <c r="T13" t="s">
        <v>178</v>
      </c>
      <c r="U13" t="s">
        <v>179</v>
      </c>
      <c r="W13" t="s">
        <v>468</v>
      </c>
      <c r="X13" t="s">
        <v>414</v>
      </c>
      <c r="Y13">
        <v>11.2965</v>
      </c>
      <c r="Z13">
        <v>0.39611973593706279</v>
      </c>
    </row>
    <row r="14" spans="2:26">
      <c r="B14" t="s">
        <v>175</v>
      </c>
      <c r="C14" t="s">
        <v>430</v>
      </c>
      <c r="D14" t="s">
        <v>431</v>
      </c>
      <c r="E14" t="s">
        <v>10</v>
      </c>
      <c r="F14" t="s">
        <v>21</v>
      </c>
      <c r="G14" t="s">
        <v>178</v>
      </c>
      <c r="H14" t="s">
        <v>179</v>
      </c>
      <c r="J14" t="s">
        <v>430</v>
      </c>
      <c r="K14" t="s">
        <v>374</v>
      </c>
      <c r="L14">
        <v>2.531891424764753</v>
      </c>
      <c r="M14">
        <v>0.31448999168423331</v>
      </c>
      <c r="O14" t="s">
        <v>175</v>
      </c>
      <c r="P14" t="s">
        <v>470</v>
      </c>
      <c r="Q14" t="s">
        <v>471</v>
      </c>
      <c r="R14" t="s">
        <v>10</v>
      </c>
      <c r="S14" t="s">
        <v>21</v>
      </c>
      <c r="T14" t="s">
        <v>178</v>
      </c>
      <c r="U14" t="s">
        <v>179</v>
      </c>
      <c r="W14" t="s">
        <v>470</v>
      </c>
      <c r="X14" t="s">
        <v>415</v>
      </c>
      <c r="Y14">
        <v>6.6577500000000001</v>
      </c>
      <c r="Z14">
        <v>0.51418941408779362</v>
      </c>
    </row>
    <row r="15" spans="2:26">
      <c r="B15" t="s">
        <v>175</v>
      </c>
      <c r="C15" t="s">
        <v>432</v>
      </c>
      <c r="D15" t="s">
        <v>433</v>
      </c>
      <c r="E15" t="s">
        <v>10</v>
      </c>
      <c r="F15" t="s">
        <v>21</v>
      </c>
      <c r="G15" t="s">
        <v>178</v>
      </c>
      <c r="H15" t="s">
        <v>179</v>
      </c>
      <c r="J15" t="s">
        <v>432</v>
      </c>
      <c r="K15" t="s">
        <v>350</v>
      </c>
      <c r="L15">
        <v>7.6497810049421515</v>
      </c>
      <c r="M15">
        <v>0.31396820033467571</v>
      </c>
      <c r="O15" t="s">
        <v>175</v>
      </c>
      <c r="P15" t="s">
        <v>472</v>
      </c>
      <c r="Q15" t="s">
        <v>473</v>
      </c>
      <c r="R15" t="s">
        <v>10</v>
      </c>
      <c r="S15" t="s">
        <v>21</v>
      </c>
      <c r="T15" t="s">
        <v>178</v>
      </c>
      <c r="U15" t="s">
        <v>179</v>
      </c>
      <c r="W15" t="s">
        <v>472</v>
      </c>
      <c r="X15" t="s">
        <v>411</v>
      </c>
      <c r="Y15">
        <v>17.089500000000001</v>
      </c>
      <c r="Z15">
        <v>0.50447045157143244</v>
      </c>
    </row>
    <row r="16" spans="2:26">
      <c r="B16" t="s">
        <v>175</v>
      </c>
      <c r="C16" t="s">
        <v>434</v>
      </c>
      <c r="D16" t="s">
        <v>435</v>
      </c>
      <c r="E16" t="s">
        <v>10</v>
      </c>
      <c r="F16" t="s">
        <v>21</v>
      </c>
      <c r="G16" t="s">
        <v>178</v>
      </c>
      <c r="H16" t="s">
        <v>179</v>
      </c>
      <c r="J16" t="s">
        <v>434</v>
      </c>
      <c r="K16" t="s">
        <v>370</v>
      </c>
      <c r="L16">
        <v>0.60733325583919984</v>
      </c>
      <c r="M16">
        <v>0.31264129183651013</v>
      </c>
      <c r="O16" t="s">
        <v>175</v>
      </c>
      <c r="P16" t="s">
        <v>474</v>
      </c>
      <c r="Q16" t="s">
        <v>475</v>
      </c>
      <c r="R16" t="s">
        <v>10</v>
      </c>
      <c r="S16" t="s">
        <v>21</v>
      </c>
      <c r="T16" t="s">
        <v>178</v>
      </c>
      <c r="U16" t="s">
        <v>179</v>
      </c>
      <c r="W16" t="s">
        <v>474</v>
      </c>
      <c r="X16" t="s">
        <v>407</v>
      </c>
      <c r="Y16">
        <v>8.8230000000000004</v>
      </c>
      <c r="Z16">
        <v>0.47983498659955071</v>
      </c>
    </row>
    <row r="17" spans="2:26">
      <c r="B17" t="s">
        <v>175</v>
      </c>
      <c r="C17" t="s">
        <v>436</v>
      </c>
      <c r="D17" t="s">
        <v>437</v>
      </c>
      <c r="E17" t="s">
        <v>10</v>
      </c>
      <c r="F17" t="s">
        <v>21</v>
      </c>
      <c r="G17" t="s">
        <v>178</v>
      </c>
      <c r="H17" t="s">
        <v>179</v>
      </c>
      <c r="J17" t="s">
        <v>436</v>
      </c>
      <c r="K17" t="s">
        <v>348</v>
      </c>
      <c r="L17">
        <v>0.78389041837100704</v>
      </c>
      <c r="M17">
        <v>0.31866920721971498</v>
      </c>
      <c r="O17" t="s">
        <v>175</v>
      </c>
      <c r="P17" t="s">
        <v>476</v>
      </c>
      <c r="Q17" t="s">
        <v>477</v>
      </c>
      <c r="R17" t="s">
        <v>10</v>
      </c>
      <c r="S17" t="s">
        <v>21</v>
      </c>
      <c r="T17" t="s">
        <v>178</v>
      </c>
      <c r="U17" t="s">
        <v>179</v>
      </c>
      <c r="W17" t="s">
        <v>476</v>
      </c>
      <c r="X17" t="s">
        <v>419</v>
      </c>
      <c r="Y17">
        <v>0.22650000000000001</v>
      </c>
      <c r="Z17">
        <v>0.37997411876840609</v>
      </c>
    </row>
    <row r="18" spans="2:26">
      <c r="B18" t="s">
        <v>175</v>
      </c>
      <c r="C18" t="s">
        <v>438</v>
      </c>
      <c r="D18" t="s">
        <v>439</v>
      </c>
      <c r="E18" t="s">
        <v>10</v>
      </c>
      <c r="F18" t="s">
        <v>21</v>
      </c>
      <c r="G18" t="s">
        <v>178</v>
      </c>
      <c r="H18" t="s">
        <v>179</v>
      </c>
      <c r="J18" t="s">
        <v>438</v>
      </c>
      <c r="K18" t="s">
        <v>362</v>
      </c>
      <c r="L18">
        <v>3.0365724666245324</v>
      </c>
      <c r="M18">
        <v>0.31011886605005201</v>
      </c>
      <c r="O18" t="s">
        <v>175</v>
      </c>
      <c r="P18" t="s">
        <v>478</v>
      </c>
      <c r="Q18" t="s">
        <v>479</v>
      </c>
      <c r="R18" t="s">
        <v>10</v>
      </c>
      <c r="S18" t="s">
        <v>21</v>
      </c>
      <c r="T18" t="s">
        <v>178</v>
      </c>
      <c r="U18" t="s">
        <v>179</v>
      </c>
      <c r="W18" t="s">
        <v>478</v>
      </c>
      <c r="X18" t="s">
        <v>417</v>
      </c>
      <c r="Y18">
        <v>9.5062499999999996</v>
      </c>
      <c r="Z18">
        <v>0.50020958646910163</v>
      </c>
    </row>
    <row r="19" spans="2:26">
      <c r="B19" t="s">
        <v>175</v>
      </c>
      <c r="C19" t="s">
        <v>440</v>
      </c>
      <c r="D19" t="s">
        <v>441</v>
      </c>
      <c r="E19" t="s">
        <v>10</v>
      </c>
      <c r="F19" t="s">
        <v>21</v>
      </c>
      <c r="G19" t="s">
        <v>178</v>
      </c>
      <c r="H19" t="s">
        <v>179</v>
      </c>
      <c r="J19" t="s">
        <v>440</v>
      </c>
      <c r="K19" t="s">
        <v>372</v>
      </c>
      <c r="L19">
        <v>0.22970161230087291</v>
      </c>
      <c r="M19">
        <v>0.33379271629480389</v>
      </c>
      <c r="O19" t="s">
        <v>175</v>
      </c>
      <c r="P19" t="s">
        <v>480</v>
      </c>
      <c r="Q19" t="s">
        <v>481</v>
      </c>
      <c r="R19" t="s">
        <v>10</v>
      </c>
      <c r="S19" t="s">
        <v>21</v>
      </c>
      <c r="T19" t="s">
        <v>178</v>
      </c>
      <c r="U19" t="s">
        <v>179</v>
      </c>
      <c r="W19" t="s">
        <v>480</v>
      </c>
      <c r="X19" t="s">
        <v>422</v>
      </c>
      <c r="Y19">
        <v>13.37175</v>
      </c>
      <c r="Z19">
        <v>0.50992979072123346</v>
      </c>
    </row>
    <row r="20" spans="2:26">
      <c r="B20" t="s">
        <v>175</v>
      </c>
      <c r="C20" t="s">
        <v>442</v>
      </c>
      <c r="D20" t="s">
        <v>443</v>
      </c>
      <c r="E20" t="s">
        <v>10</v>
      </c>
      <c r="F20" t="s">
        <v>21</v>
      </c>
      <c r="G20" t="s">
        <v>178</v>
      </c>
      <c r="H20" t="s">
        <v>179</v>
      </c>
      <c r="J20" t="s">
        <v>442</v>
      </c>
      <c r="K20" t="s">
        <v>385</v>
      </c>
      <c r="L20">
        <v>0.27066515065379043</v>
      </c>
      <c r="M20">
        <v>0.36860947990803439</v>
      </c>
      <c r="O20" t="s">
        <v>175</v>
      </c>
      <c r="P20" t="s">
        <v>482</v>
      </c>
      <c r="Q20" t="s">
        <v>483</v>
      </c>
      <c r="R20" t="s">
        <v>10</v>
      </c>
      <c r="S20" t="s">
        <v>21</v>
      </c>
      <c r="T20" t="s">
        <v>178</v>
      </c>
      <c r="U20" t="s">
        <v>179</v>
      </c>
      <c r="W20" t="s">
        <v>482</v>
      </c>
      <c r="X20" t="s">
        <v>421</v>
      </c>
      <c r="Y20">
        <v>3.9427500000000002</v>
      </c>
      <c r="Z20">
        <v>0.46231116443987391</v>
      </c>
    </row>
    <row r="21" spans="2:26">
      <c r="B21" t="s">
        <v>175</v>
      </c>
      <c r="C21" t="s">
        <v>444</v>
      </c>
      <c r="D21" t="s">
        <v>445</v>
      </c>
      <c r="E21" t="s">
        <v>10</v>
      </c>
      <c r="F21" t="s">
        <v>21</v>
      </c>
      <c r="G21" t="s">
        <v>178</v>
      </c>
      <c r="H21" t="s">
        <v>179</v>
      </c>
      <c r="J21" t="s">
        <v>444</v>
      </c>
      <c r="K21" t="s">
        <v>383</v>
      </c>
      <c r="L21">
        <v>0.32193208719379746</v>
      </c>
      <c r="M21">
        <v>0.26076395720204948</v>
      </c>
    </row>
    <row r="22" spans="2:26">
      <c r="B22" t="s">
        <v>175</v>
      </c>
      <c r="C22" t="s">
        <v>446</v>
      </c>
      <c r="D22" t="s">
        <v>447</v>
      </c>
      <c r="E22" t="s">
        <v>10</v>
      </c>
      <c r="F22" t="s">
        <v>21</v>
      </c>
      <c r="G22" t="s">
        <v>178</v>
      </c>
      <c r="H22" t="s">
        <v>179</v>
      </c>
      <c r="J22" t="s">
        <v>446</v>
      </c>
      <c r="K22" t="s">
        <v>375</v>
      </c>
      <c r="L22">
        <v>0.6573344927201471</v>
      </c>
      <c r="M22">
        <v>0.30175559922246659</v>
      </c>
    </row>
    <row r="23" spans="2:26">
      <c r="B23" t="s">
        <v>175</v>
      </c>
      <c r="C23" t="s">
        <v>448</v>
      </c>
      <c r="D23" t="s">
        <v>449</v>
      </c>
      <c r="E23" t="s">
        <v>10</v>
      </c>
      <c r="F23" t="s">
        <v>21</v>
      </c>
      <c r="G23" t="s">
        <v>178</v>
      </c>
      <c r="H23" t="s">
        <v>179</v>
      </c>
      <c r="J23" t="s">
        <v>448</v>
      </c>
      <c r="K23" t="s">
        <v>360</v>
      </c>
      <c r="L23">
        <v>0.28992997651770519</v>
      </c>
      <c r="M23">
        <v>0.29196521977945289</v>
      </c>
    </row>
    <row r="24" spans="2:26">
      <c r="B24" t="s">
        <v>175</v>
      </c>
      <c r="C24" t="s">
        <v>450</v>
      </c>
      <c r="D24" t="s">
        <v>451</v>
      </c>
      <c r="E24" t="s">
        <v>10</v>
      </c>
      <c r="F24" t="s">
        <v>21</v>
      </c>
      <c r="G24" t="s">
        <v>178</v>
      </c>
      <c r="H24" t="s">
        <v>179</v>
      </c>
      <c r="J24" t="s">
        <v>450</v>
      </c>
      <c r="K24" t="s">
        <v>379</v>
      </c>
      <c r="L24">
        <v>0.74609319967150689</v>
      </c>
      <c r="M24">
        <v>0.30160239480629097</v>
      </c>
    </row>
    <row r="25" spans="2:26">
      <c r="B25" t="s">
        <v>175</v>
      </c>
      <c r="C25" t="s">
        <v>452</v>
      </c>
      <c r="D25" t="s">
        <v>453</v>
      </c>
      <c r="E25" t="s">
        <v>10</v>
      </c>
      <c r="F25" t="s">
        <v>21</v>
      </c>
      <c r="G25" t="s">
        <v>178</v>
      </c>
      <c r="H25" t="s">
        <v>179</v>
      </c>
      <c r="J25" t="s">
        <v>452</v>
      </c>
      <c r="K25" t="s">
        <v>356</v>
      </c>
      <c r="L25">
        <v>0.35328950844501877</v>
      </c>
      <c r="M25">
        <v>0.1201084725101861</v>
      </c>
    </row>
    <row r="26" spans="2:26">
      <c r="B26" t="s">
        <v>175</v>
      </c>
      <c r="C26" t="s">
        <v>454</v>
      </c>
      <c r="D26" t="s">
        <v>455</v>
      </c>
      <c r="E26" t="s">
        <v>10</v>
      </c>
      <c r="F26" t="s">
        <v>21</v>
      </c>
      <c r="G26" t="s">
        <v>178</v>
      </c>
      <c r="H26" t="s">
        <v>179</v>
      </c>
      <c r="J26" t="s">
        <v>454</v>
      </c>
      <c r="K26" t="s">
        <v>358</v>
      </c>
      <c r="L26">
        <v>0.7924639655878376</v>
      </c>
      <c r="M26">
        <v>0.2976931857290252</v>
      </c>
    </row>
    <row r="27" spans="2:26">
      <c r="B27" t="s">
        <v>175</v>
      </c>
      <c r="C27" t="s">
        <v>456</v>
      </c>
      <c r="D27" t="s">
        <v>457</v>
      </c>
      <c r="E27" t="s">
        <v>10</v>
      </c>
      <c r="F27" t="s">
        <v>21</v>
      </c>
      <c r="G27" t="s">
        <v>178</v>
      </c>
      <c r="H27" t="s">
        <v>179</v>
      </c>
      <c r="J27" t="s">
        <v>456</v>
      </c>
      <c r="K27" t="s">
        <v>368</v>
      </c>
      <c r="L27">
        <v>0.55411362221124194</v>
      </c>
      <c r="M27">
        <v>0.22321530523837249</v>
      </c>
    </row>
    <row r="28" spans="2:26">
      <c r="B28" t="s">
        <v>175</v>
      </c>
      <c r="C28" t="s">
        <v>458</v>
      </c>
      <c r="D28" t="s">
        <v>459</v>
      </c>
      <c r="E28" t="s">
        <v>10</v>
      </c>
      <c r="F28" t="s">
        <v>21</v>
      </c>
      <c r="G28" t="s">
        <v>178</v>
      </c>
      <c r="H28" t="s">
        <v>179</v>
      </c>
      <c r="J28" t="s">
        <v>458</v>
      </c>
      <c r="K28" t="s">
        <v>354</v>
      </c>
      <c r="L28">
        <v>1.4327274230737423</v>
      </c>
      <c r="M28">
        <v>0.23850800093702709</v>
      </c>
    </row>
    <row r="29" spans="2:26">
      <c r="B29" t="s">
        <v>175</v>
      </c>
      <c r="C29" t="s">
        <v>460</v>
      </c>
      <c r="D29" t="s">
        <v>461</v>
      </c>
      <c r="E29" t="s">
        <v>10</v>
      </c>
      <c r="F29" t="s">
        <v>21</v>
      </c>
      <c r="G29" t="s">
        <v>178</v>
      </c>
      <c r="H29" t="s">
        <v>179</v>
      </c>
      <c r="J29" t="s">
        <v>460</v>
      </c>
      <c r="K29" t="s">
        <v>366</v>
      </c>
      <c r="L29">
        <v>0.56742801517356967</v>
      </c>
      <c r="M29">
        <v>0.2469729671446376</v>
      </c>
    </row>
    <row r="30" spans="2:26">
      <c r="B30" t="s">
        <v>175</v>
      </c>
      <c r="C30" t="s">
        <v>462</v>
      </c>
      <c r="D30" t="s">
        <v>463</v>
      </c>
      <c r="E30" t="s">
        <v>10</v>
      </c>
      <c r="F30" t="s">
        <v>21</v>
      </c>
      <c r="G30" t="s">
        <v>178</v>
      </c>
      <c r="H30" t="s">
        <v>179</v>
      </c>
      <c r="J30" t="s">
        <v>462</v>
      </c>
      <c r="K30" t="s">
        <v>381</v>
      </c>
      <c r="L30">
        <v>0.35405891742987328</v>
      </c>
      <c r="M30">
        <v>0.26231416009841108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303FB-CC57-44E2-8733-2773CDA1D973}">
  <dimension ref="B9:U116"/>
  <sheetViews>
    <sheetView workbookViewId="0"/>
  </sheetViews>
  <sheetFormatPr defaultRowHeight="14.25"/>
  <sheetData>
    <row r="9" spans="2:21">
      <c r="B9" t="s">
        <v>484</v>
      </c>
      <c r="O9" t="s">
        <v>167</v>
      </c>
    </row>
    <row r="10" spans="2:21">
      <c r="B10" t="s">
        <v>169</v>
      </c>
      <c r="C10" t="s">
        <v>286</v>
      </c>
      <c r="D10" t="s">
        <v>219</v>
      </c>
      <c r="E10">
        <v>2020</v>
      </c>
      <c r="F10">
        <v>2024</v>
      </c>
      <c r="G10">
        <v>2025</v>
      </c>
      <c r="H10">
        <v>2030</v>
      </c>
      <c r="I10">
        <v>2035</v>
      </c>
      <c r="J10">
        <v>2040</v>
      </c>
      <c r="K10">
        <v>2045</v>
      </c>
      <c r="L10">
        <v>2050</v>
      </c>
      <c r="M10" t="s">
        <v>54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173</v>
      </c>
      <c r="U10" t="s">
        <v>174</v>
      </c>
    </row>
    <row r="11" spans="2:21">
      <c r="B11" t="s">
        <v>485</v>
      </c>
      <c r="C11" t="s">
        <v>33</v>
      </c>
      <c r="D11" t="s">
        <v>19</v>
      </c>
      <c r="F11">
        <v>941</v>
      </c>
      <c r="I11">
        <v>941</v>
      </c>
      <c r="L11">
        <v>941</v>
      </c>
      <c r="M11" t="s">
        <v>486</v>
      </c>
      <c r="O11" t="s">
        <v>175</v>
      </c>
      <c r="P11" t="s">
        <v>485</v>
      </c>
      <c r="R11" t="s">
        <v>10</v>
      </c>
      <c r="S11" t="s">
        <v>21</v>
      </c>
      <c r="T11" t="s">
        <v>247</v>
      </c>
      <c r="U11" t="s">
        <v>513</v>
      </c>
    </row>
    <row r="12" spans="2:21">
      <c r="B12" t="s">
        <v>485</v>
      </c>
      <c r="C12" t="s">
        <v>33</v>
      </c>
      <c r="D12" t="s">
        <v>19</v>
      </c>
      <c r="F12">
        <v>23.5</v>
      </c>
      <c r="I12">
        <v>23.5</v>
      </c>
      <c r="L12">
        <v>23.5</v>
      </c>
      <c r="M12" t="s">
        <v>487</v>
      </c>
      <c r="O12" t="s">
        <v>175</v>
      </c>
      <c r="P12" t="s">
        <v>491</v>
      </c>
      <c r="R12" t="s">
        <v>10</v>
      </c>
      <c r="S12" t="s">
        <v>21</v>
      </c>
      <c r="T12" t="s">
        <v>247</v>
      </c>
      <c r="U12" t="s">
        <v>513</v>
      </c>
    </row>
    <row r="13" spans="2:21">
      <c r="B13" t="s">
        <v>485</v>
      </c>
      <c r="C13" t="s">
        <v>33</v>
      </c>
      <c r="D13" t="s">
        <v>19</v>
      </c>
      <c r="F13">
        <v>0.58899999999999997</v>
      </c>
      <c r="I13">
        <v>0.54400000000000004</v>
      </c>
      <c r="L13">
        <v>0.497</v>
      </c>
      <c r="M13" t="s">
        <v>488</v>
      </c>
      <c r="O13" t="s">
        <v>514</v>
      </c>
      <c r="P13" t="s">
        <v>492</v>
      </c>
      <c r="R13" t="s">
        <v>10</v>
      </c>
      <c r="S13" t="s">
        <v>21</v>
      </c>
      <c r="T13" t="s">
        <v>247</v>
      </c>
      <c r="U13" t="s">
        <v>513</v>
      </c>
    </row>
    <row r="14" spans="2:21">
      <c r="B14" t="s">
        <v>485</v>
      </c>
      <c r="C14" t="s">
        <v>33</v>
      </c>
      <c r="D14" t="s">
        <v>19</v>
      </c>
      <c r="F14">
        <v>0.59</v>
      </c>
      <c r="I14">
        <v>0.61</v>
      </c>
      <c r="L14">
        <v>0.61</v>
      </c>
      <c r="M14" t="s">
        <v>145</v>
      </c>
      <c r="O14" t="s">
        <v>175</v>
      </c>
      <c r="P14" t="s">
        <v>496</v>
      </c>
      <c r="R14" t="s">
        <v>10</v>
      </c>
      <c r="S14" t="s">
        <v>21</v>
      </c>
      <c r="T14" t="s">
        <v>247</v>
      </c>
      <c r="U14" t="s">
        <v>513</v>
      </c>
    </row>
    <row r="15" spans="2:21">
      <c r="B15" t="s">
        <v>485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 t="s">
        <v>489</v>
      </c>
      <c r="O15" t="s">
        <v>175</v>
      </c>
      <c r="P15" t="s">
        <v>498</v>
      </c>
      <c r="R15" t="s">
        <v>10</v>
      </c>
      <c r="S15" t="s">
        <v>21</v>
      </c>
      <c r="T15" t="s">
        <v>247</v>
      </c>
      <c r="U15" t="s">
        <v>513</v>
      </c>
    </row>
    <row r="16" spans="2:21">
      <c r="B16" t="s">
        <v>485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 t="s">
        <v>490</v>
      </c>
      <c r="O16" t="s">
        <v>175</v>
      </c>
      <c r="P16" t="s">
        <v>499</v>
      </c>
      <c r="R16" t="s">
        <v>10</v>
      </c>
      <c r="S16" t="s">
        <v>21</v>
      </c>
      <c r="T16" t="s">
        <v>247</v>
      </c>
      <c r="U16" t="s">
        <v>513</v>
      </c>
    </row>
    <row r="17" spans="2:21">
      <c r="B17" t="s">
        <v>491</v>
      </c>
      <c r="C17" t="s">
        <v>33</v>
      </c>
      <c r="D17" t="s">
        <v>19</v>
      </c>
      <c r="F17">
        <v>470.5</v>
      </c>
      <c r="I17">
        <v>470.5</v>
      </c>
      <c r="L17">
        <v>470.5</v>
      </c>
      <c r="M17" t="s">
        <v>486</v>
      </c>
      <c r="O17" t="s">
        <v>175</v>
      </c>
      <c r="P17" t="s">
        <v>500</v>
      </c>
      <c r="R17" t="s">
        <v>10</v>
      </c>
      <c r="S17" t="s">
        <v>21</v>
      </c>
      <c r="T17" t="s">
        <v>247</v>
      </c>
      <c r="U17" t="s">
        <v>513</v>
      </c>
    </row>
    <row r="18" spans="2:21">
      <c r="B18" t="s">
        <v>491</v>
      </c>
      <c r="C18" t="s">
        <v>33</v>
      </c>
      <c r="D18" t="s">
        <v>19</v>
      </c>
      <c r="F18">
        <v>18.8</v>
      </c>
      <c r="I18">
        <v>18.8</v>
      </c>
      <c r="L18">
        <v>18.8</v>
      </c>
      <c r="M18" t="s">
        <v>487</v>
      </c>
      <c r="O18" t="s">
        <v>175</v>
      </c>
      <c r="P18" t="s">
        <v>501</v>
      </c>
      <c r="R18" t="s">
        <v>10</v>
      </c>
      <c r="S18" t="s">
        <v>21</v>
      </c>
      <c r="T18" t="s">
        <v>247</v>
      </c>
      <c r="U18" t="s">
        <v>513</v>
      </c>
    </row>
    <row r="19" spans="2:21">
      <c r="B19" t="s">
        <v>491</v>
      </c>
      <c r="C19" t="s">
        <v>33</v>
      </c>
      <c r="D19" t="s">
        <v>19</v>
      </c>
      <c r="F19">
        <v>1.9279999999999999</v>
      </c>
      <c r="I19">
        <v>1.9279999999999999</v>
      </c>
      <c r="L19">
        <v>1.9279999999999999</v>
      </c>
      <c r="M19" t="s">
        <v>488</v>
      </c>
      <c r="O19" t="s">
        <v>175</v>
      </c>
      <c r="P19" t="s">
        <v>502</v>
      </c>
      <c r="R19" t="s">
        <v>10</v>
      </c>
      <c r="S19" t="s">
        <v>21</v>
      </c>
      <c r="T19" t="s">
        <v>247</v>
      </c>
      <c r="U19" t="s">
        <v>513</v>
      </c>
    </row>
    <row r="20" spans="2:21">
      <c r="B20" t="s">
        <v>491</v>
      </c>
      <c r="C20" t="s">
        <v>33</v>
      </c>
      <c r="D20" t="s">
        <v>19</v>
      </c>
      <c r="F20">
        <v>0.41</v>
      </c>
      <c r="I20">
        <v>0.42</v>
      </c>
      <c r="L20">
        <v>0.42</v>
      </c>
      <c r="M20" t="s">
        <v>145</v>
      </c>
      <c r="O20" t="s">
        <v>175</v>
      </c>
      <c r="P20" t="s">
        <v>503</v>
      </c>
      <c r="R20" t="s">
        <v>10</v>
      </c>
      <c r="S20" t="s">
        <v>21</v>
      </c>
      <c r="T20" t="s">
        <v>247</v>
      </c>
      <c r="U20" t="s">
        <v>513</v>
      </c>
    </row>
    <row r="21" spans="2:21">
      <c r="B21" t="s">
        <v>491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 t="s">
        <v>489</v>
      </c>
      <c r="O21" t="s">
        <v>175</v>
      </c>
      <c r="P21" t="s">
        <v>504</v>
      </c>
      <c r="R21" t="s">
        <v>10</v>
      </c>
      <c r="S21" t="s">
        <v>21</v>
      </c>
      <c r="T21" t="s">
        <v>247</v>
      </c>
      <c r="U21" t="s">
        <v>513</v>
      </c>
    </row>
    <row r="22" spans="2:21">
      <c r="B22" t="s">
        <v>491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 t="s">
        <v>490</v>
      </c>
      <c r="O22" t="s">
        <v>514</v>
      </c>
      <c r="P22" t="s">
        <v>506</v>
      </c>
      <c r="R22" t="s">
        <v>10</v>
      </c>
      <c r="S22" t="s">
        <v>21</v>
      </c>
      <c r="T22" t="s">
        <v>247</v>
      </c>
      <c r="U22" t="s">
        <v>513</v>
      </c>
    </row>
    <row r="23" spans="2:21">
      <c r="B23" t="s">
        <v>492</v>
      </c>
      <c r="C23" t="s">
        <v>33</v>
      </c>
      <c r="D23" t="s">
        <v>493</v>
      </c>
      <c r="E23">
        <v>967.6</v>
      </c>
      <c r="H23">
        <v>912.6</v>
      </c>
      <c r="L23">
        <v>879.6</v>
      </c>
      <c r="M23" t="s">
        <v>486</v>
      </c>
      <c r="O23" t="s">
        <v>515</v>
      </c>
      <c r="P23" t="s">
        <v>507</v>
      </c>
      <c r="R23" t="s">
        <v>10</v>
      </c>
      <c r="S23" t="s">
        <v>21</v>
      </c>
      <c r="T23" t="s">
        <v>516</v>
      </c>
      <c r="U23" t="s">
        <v>513</v>
      </c>
    </row>
    <row r="24" spans="2:21">
      <c r="B24" t="s">
        <v>492</v>
      </c>
      <c r="C24" t="s">
        <v>33</v>
      </c>
      <c r="D24" t="s">
        <v>493</v>
      </c>
      <c r="E24">
        <v>32.200000000000003</v>
      </c>
      <c r="H24">
        <v>30.6</v>
      </c>
      <c r="L24">
        <v>28.6</v>
      </c>
      <c r="M24" t="s">
        <v>487</v>
      </c>
      <c r="O24" t="s">
        <v>515</v>
      </c>
      <c r="P24" t="s">
        <v>508</v>
      </c>
      <c r="R24" t="s">
        <v>10</v>
      </c>
      <c r="S24" t="s">
        <v>21</v>
      </c>
      <c r="T24" t="s">
        <v>516</v>
      </c>
      <c r="U24" t="s">
        <v>513</v>
      </c>
    </row>
    <row r="25" spans="2:21">
      <c r="B25" t="s">
        <v>492</v>
      </c>
      <c r="C25" t="s">
        <v>33</v>
      </c>
      <c r="D25" t="s">
        <v>493</v>
      </c>
      <c r="E25">
        <v>1.3</v>
      </c>
      <c r="H25">
        <v>1.3</v>
      </c>
      <c r="L25">
        <v>1.2</v>
      </c>
      <c r="M25" t="s">
        <v>488</v>
      </c>
      <c r="O25" t="s">
        <v>515</v>
      </c>
      <c r="P25" t="s">
        <v>509</v>
      </c>
      <c r="R25" t="s">
        <v>10</v>
      </c>
      <c r="S25" t="s">
        <v>21</v>
      </c>
      <c r="T25" t="s">
        <v>247</v>
      </c>
      <c r="U25" t="s">
        <v>513</v>
      </c>
    </row>
    <row r="26" spans="2:21">
      <c r="B26" t="s">
        <v>492</v>
      </c>
      <c r="C26" t="s">
        <v>33</v>
      </c>
      <c r="D26" t="s">
        <v>493</v>
      </c>
      <c r="E26">
        <v>0.56000000000000005</v>
      </c>
      <c r="H26">
        <v>0.57999999999999996</v>
      </c>
      <c r="L26">
        <v>0.6</v>
      </c>
      <c r="M26" t="s">
        <v>145</v>
      </c>
      <c r="O26" t="s">
        <v>515</v>
      </c>
      <c r="P26" t="s">
        <v>510</v>
      </c>
      <c r="R26" t="s">
        <v>10</v>
      </c>
      <c r="S26" t="s">
        <v>21</v>
      </c>
      <c r="T26" t="s">
        <v>247</v>
      </c>
      <c r="U26" t="s">
        <v>513</v>
      </c>
    </row>
    <row r="27" spans="2:21">
      <c r="B27" t="s">
        <v>492</v>
      </c>
      <c r="C27" t="s">
        <v>33</v>
      </c>
      <c r="D27" t="s">
        <v>493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 t="s">
        <v>489</v>
      </c>
      <c r="O27" t="s">
        <v>514</v>
      </c>
      <c r="P27" t="s">
        <v>511</v>
      </c>
      <c r="R27" t="s">
        <v>10</v>
      </c>
      <c r="S27" t="s">
        <v>21</v>
      </c>
      <c r="T27" t="s">
        <v>247</v>
      </c>
      <c r="U27" t="s">
        <v>513</v>
      </c>
    </row>
    <row r="28" spans="2:21">
      <c r="B28" t="s">
        <v>492</v>
      </c>
      <c r="C28" t="s">
        <v>33</v>
      </c>
      <c r="D28" t="s">
        <v>493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 t="s">
        <v>490</v>
      </c>
    </row>
    <row r="29" spans="2:21">
      <c r="B29" t="s">
        <v>492</v>
      </c>
      <c r="C29" t="s">
        <v>33</v>
      </c>
      <c r="D29" t="s">
        <v>493</v>
      </c>
      <c r="E29">
        <v>0.55559999999999998</v>
      </c>
      <c r="H29">
        <v>0.5</v>
      </c>
      <c r="L29">
        <v>0.45450000000000002</v>
      </c>
      <c r="M29" t="s">
        <v>494</v>
      </c>
    </row>
    <row r="30" spans="2:21">
      <c r="B30" t="s">
        <v>492</v>
      </c>
      <c r="C30" t="s">
        <v>33</v>
      </c>
      <c r="D30" t="s">
        <v>493</v>
      </c>
      <c r="E30">
        <v>0.15</v>
      </c>
      <c r="H30">
        <v>0.15</v>
      </c>
      <c r="L30">
        <v>0.15</v>
      </c>
      <c r="M30" t="s">
        <v>495</v>
      </c>
    </row>
    <row r="31" spans="2:21">
      <c r="B31" t="s">
        <v>496</v>
      </c>
      <c r="C31" t="s">
        <v>33</v>
      </c>
      <c r="D31" t="s">
        <v>497</v>
      </c>
      <c r="F31">
        <v>2917</v>
      </c>
      <c r="I31">
        <v>2681.7</v>
      </c>
      <c r="L31">
        <v>2446.5</v>
      </c>
      <c r="M31" t="s">
        <v>486</v>
      </c>
    </row>
    <row r="32" spans="2:21">
      <c r="B32" t="s">
        <v>496</v>
      </c>
      <c r="C32" t="s">
        <v>33</v>
      </c>
      <c r="D32" t="s">
        <v>497</v>
      </c>
      <c r="F32">
        <v>70.599999999999994</v>
      </c>
      <c r="I32">
        <v>65.900000000000006</v>
      </c>
      <c r="L32">
        <v>61.2</v>
      </c>
      <c r="M32" t="s">
        <v>487</v>
      </c>
    </row>
    <row r="33" spans="2:13">
      <c r="B33" t="s">
        <v>496</v>
      </c>
      <c r="C33" t="s">
        <v>33</v>
      </c>
      <c r="D33" t="s">
        <v>497</v>
      </c>
      <c r="F33">
        <v>1.294</v>
      </c>
      <c r="I33">
        <v>1.1060000000000001</v>
      </c>
      <c r="L33">
        <v>0.98899999999999999</v>
      </c>
      <c r="M33" t="s">
        <v>488</v>
      </c>
    </row>
    <row r="34" spans="2:13">
      <c r="B34" t="s">
        <v>496</v>
      </c>
      <c r="C34" t="s">
        <v>33</v>
      </c>
      <c r="D34" t="s">
        <v>497</v>
      </c>
      <c r="F34">
        <v>0.52</v>
      </c>
      <c r="I34">
        <v>0.54</v>
      </c>
      <c r="L34">
        <v>0.54</v>
      </c>
      <c r="M34" t="s">
        <v>145</v>
      </c>
    </row>
    <row r="35" spans="2:13">
      <c r="B35" t="s">
        <v>496</v>
      </c>
      <c r="C35" t="s">
        <v>33</v>
      </c>
      <c r="D35" t="s">
        <v>497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 t="s">
        <v>489</v>
      </c>
    </row>
    <row r="36" spans="2:13">
      <c r="B36" t="s">
        <v>496</v>
      </c>
      <c r="C36" t="s">
        <v>33</v>
      </c>
      <c r="D36" t="s">
        <v>497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 t="s">
        <v>490</v>
      </c>
    </row>
    <row r="37" spans="2:13">
      <c r="B37" t="s">
        <v>498</v>
      </c>
      <c r="C37" t="s">
        <v>32</v>
      </c>
      <c r="D37" t="s">
        <v>19</v>
      </c>
      <c r="F37">
        <v>1599.6</v>
      </c>
      <c r="I37">
        <v>1599.6</v>
      </c>
      <c r="L37">
        <v>1599.6</v>
      </c>
      <c r="M37" t="s">
        <v>486</v>
      </c>
    </row>
    <row r="38" spans="2:13">
      <c r="B38" t="s">
        <v>498</v>
      </c>
      <c r="C38" t="s">
        <v>32</v>
      </c>
      <c r="D38" t="s">
        <v>19</v>
      </c>
      <c r="F38">
        <v>42.3</v>
      </c>
      <c r="I38">
        <v>42.3</v>
      </c>
      <c r="L38">
        <v>42.3</v>
      </c>
      <c r="M38" t="s">
        <v>487</v>
      </c>
    </row>
    <row r="39" spans="2:13">
      <c r="B39" t="s">
        <v>498</v>
      </c>
      <c r="C39" t="s">
        <v>32</v>
      </c>
      <c r="D39" t="s">
        <v>19</v>
      </c>
      <c r="F39">
        <v>2.3610000000000002</v>
      </c>
      <c r="I39">
        <v>2.3610000000000002</v>
      </c>
      <c r="L39">
        <v>2.3610000000000002</v>
      </c>
      <c r="M39" t="s">
        <v>488</v>
      </c>
    </row>
    <row r="40" spans="2:13">
      <c r="B40" t="s">
        <v>498</v>
      </c>
      <c r="C40" t="s">
        <v>32</v>
      </c>
      <c r="D40" t="s">
        <v>19</v>
      </c>
      <c r="F40">
        <v>0.39</v>
      </c>
      <c r="I40">
        <v>0.39</v>
      </c>
      <c r="L40">
        <v>0.39</v>
      </c>
      <c r="M40" t="s">
        <v>145</v>
      </c>
    </row>
    <row r="41" spans="2:13">
      <c r="B41" t="s">
        <v>498</v>
      </c>
      <c r="C41" t="s">
        <v>32</v>
      </c>
      <c r="D41" t="s">
        <v>19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 t="s">
        <v>489</v>
      </c>
    </row>
    <row r="42" spans="2:13">
      <c r="B42" t="s">
        <v>498</v>
      </c>
      <c r="C42" t="s">
        <v>32</v>
      </c>
      <c r="D42" t="s">
        <v>19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 t="s">
        <v>490</v>
      </c>
    </row>
    <row r="43" spans="2:13">
      <c r="B43" t="s">
        <v>499</v>
      </c>
      <c r="C43" t="s">
        <v>32</v>
      </c>
      <c r="D43" t="s">
        <v>19</v>
      </c>
      <c r="F43">
        <v>1881.9</v>
      </c>
      <c r="I43">
        <v>1881.9</v>
      </c>
      <c r="L43">
        <v>1881.9</v>
      </c>
      <c r="M43" t="s">
        <v>486</v>
      </c>
    </row>
    <row r="44" spans="2:13">
      <c r="B44" t="s">
        <v>499</v>
      </c>
      <c r="C44" t="s">
        <v>32</v>
      </c>
      <c r="D44" t="s">
        <v>19</v>
      </c>
      <c r="F44">
        <v>56.5</v>
      </c>
      <c r="I44">
        <v>56.5</v>
      </c>
      <c r="L44">
        <v>56.5</v>
      </c>
      <c r="M44" t="s">
        <v>487</v>
      </c>
    </row>
    <row r="45" spans="2:13">
      <c r="B45" t="s">
        <v>499</v>
      </c>
      <c r="C45" t="s">
        <v>32</v>
      </c>
      <c r="D45" t="s">
        <v>19</v>
      </c>
      <c r="F45">
        <v>2.5499999999999998</v>
      </c>
      <c r="I45">
        <v>2.4420000000000002</v>
      </c>
      <c r="L45">
        <v>2.3170000000000002</v>
      </c>
      <c r="M45" t="s">
        <v>488</v>
      </c>
    </row>
    <row r="46" spans="2:13">
      <c r="B46" t="s">
        <v>499</v>
      </c>
      <c r="C46" t="s">
        <v>32</v>
      </c>
      <c r="D46" t="s">
        <v>19</v>
      </c>
      <c r="F46">
        <v>0.43</v>
      </c>
      <c r="I46">
        <v>0.43</v>
      </c>
      <c r="L46">
        <v>0.43</v>
      </c>
      <c r="M46" t="s">
        <v>145</v>
      </c>
    </row>
    <row r="47" spans="2:13">
      <c r="B47" t="s">
        <v>499</v>
      </c>
      <c r="C47" t="s">
        <v>32</v>
      </c>
      <c r="D47" t="s">
        <v>19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 t="s">
        <v>489</v>
      </c>
    </row>
    <row r="48" spans="2:13">
      <c r="B48" t="s">
        <v>499</v>
      </c>
      <c r="C48" t="s">
        <v>32</v>
      </c>
      <c r="D48" t="s">
        <v>19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 t="s">
        <v>490</v>
      </c>
    </row>
    <row r="49" spans="2:13">
      <c r="B49" t="s">
        <v>500</v>
      </c>
      <c r="C49" t="s">
        <v>32</v>
      </c>
      <c r="D49" t="s">
        <v>19</v>
      </c>
      <c r="F49">
        <v>2070.1</v>
      </c>
      <c r="I49">
        <v>2070.1</v>
      </c>
      <c r="L49">
        <v>2070.1</v>
      </c>
      <c r="M49" t="s">
        <v>486</v>
      </c>
    </row>
    <row r="50" spans="2:13">
      <c r="B50" t="s">
        <v>500</v>
      </c>
      <c r="C50" t="s">
        <v>32</v>
      </c>
      <c r="D50" t="s">
        <v>19</v>
      </c>
      <c r="F50">
        <v>61.2</v>
      </c>
      <c r="I50">
        <v>61.2</v>
      </c>
      <c r="L50">
        <v>61.2</v>
      </c>
      <c r="M50" t="s">
        <v>487</v>
      </c>
    </row>
    <row r="51" spans="2:13">
      <c r="B51" t="s">
        <v>500</v>
      </c>
      <c r="C51" t="s">
        <v>32</v>
      </c>
      <c r="D51" t="s">
        <v>19</v>
      </c>
      <c r="F51">
        <v>2.6389999999999998</v>
      </c>
      <c r="I51">
        <v>2.6389999999999998</v>
      </c>
      <c r="L51">
        <v>2.6389999999999998</v>
      </c>
      <c r="M51" t="s">
        <v>488</v>
      </c>
    </row>
    <row r="52" spans="2:13">
      <c r="B52" t="s">
        <v>500</v>
      </c>
      <c r="C52" t="s">
        <v>32</v>
      </c>
      <c r="D52" t="s">
        <v>19</v>
      </c>
      <c r="F52">
        <v>0.46</v>
      </c>
      <c r="I52">
        <v>0.47</v>
      </c>
      <c r="L52">
        <v>0.48</v>
      </c>
      <c r="M52" t="s">
        <v>145</v>
      </c>
    </row>
    <row r="53" spans="2:13">
      <c r="B53" t="s">
        <v>500</v>
      </c>
      <c r="C53" t="s">
        <v>32</v>
      </c>
      <c r="D53" t="s">
        <v>19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 t="s">
        <v>489</v>
      </c>
    </row>
    <row r="54" spans="2:13">
      <c r="B54" t="s">
        <v>500</v>
      </c>
      <c r="C54" t="s">
        <v>32</v>
      </c>
      <c r="D54" t="s">
        <v>19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 t="s">
        <v>490</v>
      </c>
    </row>
    <row r="55" spans="2:13">
      <c r="B55" t="s">
        <v>501</v>
      </c>
      <c r="C55" t="s">
        <v>32</v>
      </c>
      <c r="D55" t="s">
        <v>19</v>
      </c>
      <c r="F55">
        <v>2352.4</v>
      </c>
      <c r="I55">
        <v>2164.1999999999998</v>
      </c>
      <c r="L55">
        <v>2164.1999999999998</v>
      </c>
      <c r="M55" t="s">
        <v>486</v>
      </c>
    </row>
    <row r="56" spans="2:13">
      <c r="B56" t="s">
        <v>501</v>
      </c>
      <c r="C56" t="s">
        <v>32</v>
      </c>
      <c r="D56" t="s">
        <v>19</v>
      </c>
      <c r="F56">
        <v>84.7</v>
      </c>
      <c r="I56">
        <v>75.3</v>
      </c>
      <c r="L56">
        <v>75.3</v>
      </c>
      <c r="M56" t="s">
        <v>487</v>
      </c>
    </row>
    <row r="57" spans="2:13">
      <c r="B57" t="s">
        <v>501</v>
      </c>
      <c r="C57" t="s">
        <v>32</v>
      </c>
      <c r="D57" t="s">
        <v>19</v>
      </c>
      <c r="F57">
        <v>0.46</v>
      </c>
      <c r="I57">
        <v>0.49</v>
      </c>
      <c r="L57">
        <v>0.5</v>
      </c>
      <c r="M57" t="s">
        <v>145</v>
      </c>
    </row>
    <row r="58" spans="2:13">
      <c r="B58" t="s">
        <v>501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 t="s">
        <v>489</v>
      </c>
    </row>
    <row r="59" spans="2:13">
      <c r="B59" t="s">
        <v>501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 t="s">
        <v>490</v>
      </c>
    </row>
    <row r="60" spans="2:13">
      <c r="B60" t="s">
        <v>502</v>
      </c>
      <c r="C60" t="s">
        <v>36</v>
      </c>
      <c r="D60" t="s">
        <v>19</v>
      </c>
      <c r="F60">
        <v>6210.4</v>
      </c>
      <c r="I60">
        <v>4704.8</v>
      </c>
      <c r="L60">
        <v>4234.3</v>
      </c>
      <c r="M60" t="s">
        <v>486</v>
      </c>
    </row>
    <row r="61" spans="2:13">
      <c r="B61" t="s">
        <v>502</v>
      </c>
      <c r="C61" t="s">
        <v>36</v>
      </c>
      <c r="D61" t="s">
        <v>19</v>
      </c>
      <c r="F61">
        <v>155.30000000000001</v>
      </c>
      <c r="I61">
        <v>160</v>
      </c>
      <c r="L61">
        <v>150.6</v>
      </c>
      <c r="M61" t="s">
        <v>487</v>
      </c>
    </row>
    <row r="62" spans="2:13">
      <c r="B62" t="s">
        <v>502</v>
      </c>
      <c r="C62" t="s">
        <v>36</v>
      </c>
      <c r="D62" t="s">
        <v>19</v>
      </c>
      <c r="I62">
        <v>0.77800000000000002</v>
      </c>
      <c r="L62">
        <v>0.77800000000000002</v>
      </c>
      <c r="M62" t="s">
        <v>488</v>
      </c>
    </row>
    <row r="63" spans="2:13">
      <c r="B63" t="s">
        <v>502</v>
      </c>
      <c r="C63" t="s">
        <v>36</v>
      </c>
      <c r="D63" t="s">
        <v>19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 t="s">
        <v>489</v>
      </c>
    </row>
    <row r="64" spans="2:13">
      <c r="B64" t="s">
        <v>502</v>
      </c>
      <c r="C64" t="s">
        <v>36</v>
      </c>
      <c r="D64" t="s">
        <v>19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 t="s">
        <v>490</v>
      </c>
    </row>
    <row r="65" spans="2:13">
      <c r="B65" t="s">
        <v>503</v>
      </c>
      <c r="C65" t="s">
        <v>36</v>
      </c>
      <c r="D65" t="s">
        <v>19</v>
      </c>
      <c r="H65">
        <v>10266</v>
      </c>
      <c r="I65">
        <v>8364.9</v>
      </c>
      <c r="J65">
        <v>6373.8</v>
      </c>
      <c r="K65">
        <v>5480.2</v>
      </c>
      <c r="L65">
        <v>4884.6000000000004</v>
      </c>
      <c r="M65" t="s">
        <v>486</v>
      </c>
    </row>
    <row r="66" spans="2:13">
      <c r="B66" t="s">
        <v>503</v>
      </c>
      <c r="C66" t="s">
        <v>36</v>
      </c>
      <c r="D66" t="s">
        <v>19</v>
      </c>
      <c r="H66">
        <v>144.69999999999999</v>
      </c>
      <c r="I66">
        <v>144.69999999999999</v>
      </c>
      <c r="J66">
        <v>136</v>
      </c>
      <c r="K66">
        <v>136</v>
      </c>
      <c r="L66">
        <v>136</v>
      </c>
      <c r="M66" t="s">
        <v>487</v>
      </c>
    </row>
    <row r="67" spans="2:13">
      <c r="B67" t="s">
        <v>503</v>
      </c>
      <c r="C67" t="s">
        <v>36</v>
      </c>
      <c r="D67" t="s">
        <v>19</v>
      </c>
      <c r="H67">
        <v>0.72199999999999998</v>
      </c>
      <c r="I67">
        <v>0.72199999999999998</v>
      </c>
      <c r="J67">
        <v>0.72199999999999998</v>
      </c>
      <c r="K67">
        <v>0.72199999999999998</v>
      </c>
      <c r="L67">
        <v>0.72199999999999998</v>
      </c>
      <c r="M67" t="s">
        <v>488</v>
      </c>
    </row>
    <row r="68" spans="2:13">
      <c r="B68" t="s">
        <v>503</v>
      </c>
      <c r="C68" t="s">
        <v>36</v>
      </c>
      <c r="D68" t="s">
        <v>19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 t="s">
        <v>489</v>
      </c>
    </row>
    <row r="69" spans="2:13">
      <c r="B69" t="s">
        <v>503</v>
      </c>
      <c r="C69" t="s">
        <v>36</v>
      </c>
      <c r="D69" t="s">
        <v>19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 t="s">
        <v>490</v>
      </c>
    </row>
    <row r="70" spans="2:13">
      <c r="B70" t="s">
        <v>504</v>
      </c>
      <c r="C70" t="s">
        <v>31</v>
      </c>
      <c r="D70" t="s">
        <v>19</v>
      </c>
      <c r="F70">
        <v>2258.3000000000002</v>
      </c>
      <c r="I70">
        <v>2211.3000000000002</v>
      </c>
      <c r="L70">
        <v>2164.1999999999998</v>
      </c>
      <c r="M70" t="s">
        <v>486</v>
      </c>
    </row>
    <row r="71" spans="2:13">
      <c r="B71" t="s">
        <v>504</v>
      </c>
      <c r="C71" t="s">
        <v>31</v>
      </c>
      <c r="D71" t="s">
        <v>19</v>
      </c>
      <c r="F71">
        <v>80</v>
      </c>
      <c r="I71">
        <v>75.3</v>
      </c>
      <c r="L71">
        <v>75.3</v>
      </c>
      <c r="M71" t="s">
        <v>487</v>
      </c>
    </row>
    <row r="72" spans="2:13">
      <c r="B72" t="s">
        <v>504</v>
      </c>
      <c r="C72" t="s">
        <v>31</v>
      </c>
      <c r="D72" t="s">
        <v>19</v>
      </c>
      <c r="F72">
        <v>1.4570000000000001</v>
      </c>
      <c r="I72">
        <v>1.4570000000000001</v>
      </c>
      <c r="L72">
        <v>1.4570000000000001</v>
      </c>
      <c r="M72" t="s">
        <v>488</v>
      </c>
    </row>
    <row r="73" spans="2:13">
      <c r="B73" t="s">
        <v>504</v>
      </c>
      <c r="C73" t="s">
        <v>31</v>
      </c>
      <c r="D73" t="s">
        <v>19</v>
      </c>
      <c r="F73">
        <v>0.35</v>
      </c>
      <c r="I73">
        <v>0.35</v>
      </c>
      <c r="L73">
        <v>0.35</v>
      </c>
      <c r="M73" t="s">
        <v>145</v>
      </c>
    </row>
    <row r="74" spans="2:13">
      <c r="B74" t="s">
        <v>504</v>
      </c>
      <c r="C74" t="s">
        <v>31</v>
      </c>
      <c r="D74" t="s">
        <v>19</v>
      </c>
      <c r="F74">
        <v>0.6</v>
      </c>
      <c r="I74">
        <v>0.6</v>
      </c>
      <c r="L74">
        <v>0.6</v>
      </c>
      <c r="M74" t="s">
        <v>505</v>
      </c>
    </row>
    <row r="75" spans="2:13">
      <c r="B75" t="s">
        <v>504</v>
      </c>
      <c r="C75" t="s">
        <v>31</v>
      </c>
      <c r="D75" t="s">
        <v>19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 t="s">
        <v>489</v>
      </c>
    </row>
    <row r="76" spans="2:13">
      <c r="B76" t="s">
        <v>504</v>
      </c>
      <c r="C76" t="s">
        <v>31</v>
      </c>
      <c r="D76" t="s">
        <v>19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 t="s">
        <v>490</v>
      </c>
    </row>
    <row r="77" spans="2:13">
      <c r="B77" t="s">
        <v>506</v>
      </c>
      <c r="C77" t="s">
        <v>31</v>
      </c>
      <c r="D77" t="s">
        <v>493</v>
      </c>
      <c r="E77">
        <v>2748.9</v>
      </c>
      <c r="H77">
        <v>2638.9</v>
      </c>
      <c r="L77">
        <v>2528.9</v>
      </c>
      <c r="M77" t="s">
        <v>486</v>
      </c>
    </row>
    <row r="78" spans="2:13">
      <c r="B78" t="s">
        <v>506</v>
      </c>
      <c r="C78" t="s">
        <v>31</v>
      </c>
      <c r="D78" t="s">
        <v>493</v>
      </c>
      <c r="E78">
        <v>75.900000000000006</v>
      </c>
      <c r="H78">
        <v>70.400000000000006</v>
      </c>
      <c r="L78">
        <v>68.2</v>
      </c>
      <c r="M78" t="s">
        <v>487</v>
      </c>
    </row>
    <row r="79" spans="2:13">
      <c r="B79" t="s">
        <v>506</v>
      </c>
      <c r="C79" t="s">
        <v>31</v>
      </c>
      <c r="D79" t="s">
        <v>493</v>
      </c>
      <c r="E79">
        <v>0.8</v>
      </c>
      <c r="H79">
        <v>0.8</v>
      </c>
      <c r="L79">
        <v>0.8</v>
      </c>
      <c r="M79" t="s">
        <v>488</v>
      </c>
    </row>
    <row r="80" spans="2:13">
      <c r="B80" t="s">
        <v>506</v>
      </c>
      <c r="C80" t="s">
        <v>31</v>
      </c>
      <c r="D80" t="s">
        <v>493</v>
      </c>
      <c r="E80">
        <v>0.40899999999999997</v>
      </c>
      <c r="H80">
        <v>0.41</v>
      </c>
      <c r="L80">
        <v>0.39400000000000002</v>
      </c>
      <c r="M80" t="s">
        <v>145</v>
      </c>
    </row>
    <row r="81" spans="2:13">
      <c r="B81" t="s">
        <v>506</v>
      </c>
      <c r="C81" t="s">
        <v>31</v>
      </c>
      <c r="D81" t="s">
        <v>493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 t="s">
        <v>489</v>
      </c>
    </row>
    <row r="82" spans="2:13">
      <c r="B82" t="s">
        <v>506</v>
      </c>
      <c r="C82" t="s">
        <v>31</v>
      </c>
      <c r="D82" t="s">
        <v>493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 t="s">
        <v>490</v>
      </c>
    </row>
    <row r="83" spans="2:13">
      <c r="B83" t="s">
        <v>506</v>
      </c>
      <c r="C83" t="s">
        <v>31</v>
      </c>
      <c r="D83" t="s">
        <v>493</v>
      </c>
      <c r="E83">
        <v>1.8237000000000001</v>
      </c>
      <c r="H83">
        <v>1.8137000000000001</v>
      </c>
      <c r="L83">
        <v>1.9169</v>
      </c>
      <c r="M83" t="s">
        <v>494</v>
      </c>
    </row>
    <row r="84" spans="2:13">
      <c r="B84" t="s">
        <v>506</v>
      </c>
      <c r="C84" t="s">
        <v>31</v>
      </c>
      <c r="D84" t="s">
        <v>493</v>
      </c>
      <c r="E84">
        <v>0.14000000000000001</v>
      </c>
      <c r="H84">
        <v>0.14000000000000001</v>
      </c>
      <c r="L84">
        <v>0.13</v>
      </c>
      <c r="M84" t="s">
        <v>495</v>
      </c>
    </row>
    <row r="85" spans="2:13">
      <c r="B85" t="s">
        <v>507</v>
      </c>
      <c r="C85" t="s">
        <v>33</v>
      </c>
      <c r="D85" t="s">
        <v>493</v>
      </c>
      <c r="E85">
        <v>66</v>
      </c>
      <c r="H85">
        <v>55</v>
      </c>
      <c r="L85">
        <v>55</v>
      </c>
      <c r="M85" t="s">
        <v>486</v>
      </c>
    </row>
    <row r="86" spans="2:13">
      <c r="B86" t="s">
        <v>507</v>
      </c>
      <c r="C86" t="s">
        <v>33</v>
      </c>
      <c r="D86" t="s">
        <v>493</v>
      </c>
      <c r="E86">
        <v>2.1</v>
      </c>
      <c r="H86">
        <v>2.1</v>
      </c>
      <c r="L86">
        <v>1.9</v>
      </c>
      <c r="M86" t="s">
        <v>487</v>
      </c>
    </row>
    <row r="87" spans="2:13">
      <c r="B87" t="s">
        <v>507</v>
      </c>
      <c r="C87" t="s">
        <v>33</v>
      </c>
      <c r="D87" t="s">
        <v>493</v>
      </c>
      <c r="E87">
        <v>0.3</v>
      </c>
      <c r="H87">
        <v>0.3</v>
      </c>
      <c r="L87">
        <v>0.3</v>
      </c>
      <c r="M87" t="s">
        <v>488</v>
      </c>
    </row>
    <row r="88" spans="2:13">
      <c r="B88" t="s">
        <v>507</v>
      </c>
      <c r="C88" t="s">
        <v>33</v>
      </c>
      <c r="D88" t="s">
        <v>493</v>
      </c>
      <c r="E88">
        <v>1.03</v>
      </c>
      <c r="H88">
        <v>1.04</v>
      </c>
      <c r="L88">
        <v>1.04</v>
      </c>
      <c r="M88" t="s">
        <v>145</v>
      </c>
    </row>
    <row r="89" spans="2:13">
      <c r="B89" t="s">
        <v>507</v>
      </c>
      <c r="C89" t="s">
        <v>33</v>
      </c>
      <c r="D89" t="s">
        <v>493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 t="s">
        <v>489</v>
      </c>
    </row>
    <row r="90" spans="2:13">
      <c r="B90" t="s">
        <v>507</v>
      </c>
      <c r="C90" t="s">
        <v>33</v>
      </c>
      <c r="D90" t="s">
        <v>493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 t="s">
        <v>490</v>
      </c>
    </row>
    <row r="91" spans="2:13">
      <c r="B91" t="s">
        <v>508</v>
      </c>
      <c r="C91" t="s">
        <v>31</v>
      </c>
      <c r="D91" t="s">
        <v>493</v>
      </c>
      <c r="E91">
        <v>483.8</v>
      </c>
      <c r="H91">
        <v>461.8</v>
      </c>
      <c r="L91">
        <v>439.8</v>
      </c>
      <c r="M91" t="s">
        <v>486</v>
      </c>
    </row>
    <row r="92" spans="2:13">
      <c r="B92" t="s">
        <v>508</v>
      </c>
      <c r="C92" t="s">
        <v>31</v>
      </c>
      <c r="D92" t="s">
        <v>493</v>
      </c>
      <c r="E92">
        <v>38</v>
      </c>
      <c r="H92">
        <v>36.6</v>
      </c>
      <c r="L92">
        <v>34.5</v>
      </c>
      <c r="M92" t="s">
        <v>487</v>
      </c>
    </row>
    <row r="93" spans="2:13">
      <c r="B93" t="s">
        <v>508</v>
      </c>
      <c r="C93" t="s">
        <v>31</v>
      </c>
      <c r="D93" t="s">
        <v>493</v>
      </c>
      <c r="E93">
        <v>0.4</v>
      </c>
      <c r="H93">
        <v>0.4</v>
      </c>
      <c r="L93">
        <v>0.4</v>
      </c>
      <c r="M93" t="s">
        <v>488</v>
      </c>
    </row>
    <row r="94" spans="2:13">
      <c r="B94" t="s">
        <v>508</v>
      </c>
      <c r="C94" t="s">
        <v>31</v>
      </c>
      <c r="D94" t="s">
        <v>493</v>
      </c>
      <c r="E94">
        <v>1.149</v>
      </c>
      <c r="H94">
        <v>1.149</v>
      </c>
      <c r="L94">
        <v>1.149</v>
      </c>
      <c r="M94" t="s">
        <v>145</v>
      </c>
    </row>
    <row r="95" spans="2:13">
      <c r="B95" t="s">
        <v>508</v>
      </c>
      <c r="C95" t="s">
        <v>31</v>
      </c>
      <c r="D95" t="s">
        <v>493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 t="s">
        <v>489</v>
      </c>
    </row>
    <row r="96" spans="2:13">
      <c r="B96" t="s">
        <v>508</v>
      </c>
      <c r="C96" t="s">
        <v>31</v>
      </c>
      <c r="D96" t="s">
        <v>493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 t="s">
        <v>490</v>
      </c>
    </row>
    <row r="97" spans="2:13">
      <c r="B97" t="s">
        <v>509</v>
      </c>
      <c r="C97" t="s">
        <v>19</v>
      </c>
      <c r="D97" t="s">
        <v>493</v>
      </c>
      <c r="G97">
        <v>72.400000000000006</v>
      </c>
      <c r="H97">
        <v>72.400000000000006</v>
      </c>
      <c r="I97">
        <v>72.400000000000006</v>
      </c>
      <c r="J97">
        <v>72.400000000000006</v>
      </c>
      <c r="L97">
        <v>72.400000000000006</v>
      </c>
      <c r="M97" t="s">
        <v>486</v>
      </c>
    </row>
    <row r="98" spans="2:13">
      <c r="B98" t="s">
        <v>509</v>
      </c>
      <c r="C98" t="s">
        <v>19</v>
      </c>
      <c r="D98" t="s">
        <v>493</v>
      </c>
      <c r="G98">
        <v>1.2</v>
      </c>
      <c r="H98">
        <v>1.2</v>
      </c>
      <c r="I98">
        <v>1.2</v>
      </c>
      <c r="J98">
        <v>1.2</v>
      </c>
      <c r="L98">
        <v>1.2</v>
      </c>
      <c r="M98" t="s">
        <v>487</v>
      </c>
    </row>
    <row r="99" spans="2:13">
      <c r="B99" t="s">
        <v>509</v>
      </c>
      <c r="C99" t="s">
        <v>19</v>
      </c>
      <c r="D99" t="s">
        <v>493</v>
      </c>
      <c r="G99">
        <v>0.2</v>
      </c>
      <c r="H99">
        <v>0.2</v>
      </c>
      <c r="I99">
        <v>0.2</v>
      </c>
      <c r="J99">
        <v>0.2</v>
      </c>
      <c r="L99">
        <v>0.2</v>
      </c>
      <c r="M99" t="s">
        <v>488</v>
      </c>
    </row>
    <row r="100" spans="2:13">
      <c r="B100" t="s">
        <v>509</v>
      </c>
      <c r="C100" t="s">
        <v>19</v>
      </c>
      <c r="D100" t="s">
        <v>493</v>
      </c>
      <c r="G100">
        <v>0.99</v>
      </c>
      <c r="H100">
        <v>0.99</v>
      </c>
      <c r="I100">
        <v>0.99</v>
      </c>
      <c r="J100">
        <v>0.99</v>
      </c>
      <c r="L100">
        <v>0.99</v>
      </c>
      <c r="M100" t="s">
        <v>145</v>
      </c>
    </row>
    <row r="101" spans="2:13">
      <c r="B101" t="s">
        <v>509</v>
      </c>
      <c r="C101" t="s">
        <v>19</v>
      </c>
      <c r="D101" t="s">
        <v>493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 t="s">
        <v>489</v>
      </c>
    </row>
    <row r="102" spans="2:13">
      <c r="B102" t="s">
        <v>509</v>
      </c>
      <c r="C102" t="s">
        <v>19</v>
      </c>
      <c r="D102" t="s">
        <v>493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 t="s">
        <v>490</v>
      </c>
    </row>
    <row r="103" spans="2:13">
      <c r="B103" t="s">
        <v>510</v>
      </c>
      <c r="C103" t="s">
        <v>19</v>
      </c>
      <c r="D103" t="s">
        <v>493</v>
      </c>
      <c r="G103">
        <v>1054.7</v>
      </c>
      <c r="H103">
        <v>1028.3</v>
      </c>
      <c r="I103">
        <v>1002</v>
      </c>
      <c r="J103">
        <v>976.9</v>
      </c>
      <c r="L103">
        <v>951.9</v>
      </c>
      <c r="M103" t="s">
        <v>486</v>
      </c>
    </row>
    <row r="104" spans="2:13">
      <c r="B104" t="s">
        <v>510</v>
      </c>
      <c r="C104" t="s">
        <v>19</v>
      </c>
      <c r="D104" t="s">
        <v>493</v>
      </c>
      <c r="G104">
        <v>2.2000000000000002</v>
      </c>
      <c r="H104">
        <v>2.1</v>
      </c>
      <c r="I104">
        <v>2.1</v>
      </c>
      <c r="J104">
        <v>2</v>
      </c>
      <c r="L104">
        <v>2</v>
      </c>
      <c r="M104" t="s">
        <v>487</v>
      </c>
    </row>
    <row r="105" spans="2:13">
      <c r="B105" t="s">
        <v>510</v>
      </c>
      <c r="C105" t="s">
        <v>19</v>
      </c>
      <c r="D105" t="s">
        <v>493</v>
      </c>
      <c r="G105">
        <v>0.2</v>
      </c>
      <c r="H105">
        <v>0.2</v>
      </c>
      <c r="I105">
        <v>0.2</v>
      </c>
      <c r="J105">
        <v>0.2</v>
      </c>
      <c r="L105">
        <v>0.2</v>
      </c>
      <c r="M105" t="s">
        <v>488</v>
      </c>
    </row>
    <row r="106" spans="2:13">
      <c r="B106" t="s">
        <v>510</v>
      </c>
      <c r="C106" t="s">
        <v>19</v>
      </c>
      <c r="D106" t="s">
        <v>493</v>
      </c>
      <c r="G106">
        <v>2.8</v>
      </c>
      <c r="H106">
        <v>2.8</v>
      </c>
      <c r="I106">
        <v>2.8</v>
      </c>
      <c r="J106">
        <v>2.8</v>
      </c>
      <c r="L106">
        <v>2.9169999999999998</v>
      </c>
      <c r="M106" t="s">
        <v>145</v>
      </c>
    </row>
    <row r="107" spans="2:13">
      <c r="B107" t="s">
        <v>510</v>
      </c>
      <c r="C107" t="s">
        <v>19</v>
      </c>
      <c r="D107" t="s">
        <v>493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 t="s">
        <v>489</v>
      </c>
    </row>
    <row r="108" spans="2:13">
      <c r="B108" t="s">
        <v>510</v>
      </c>
      <c r="C108" t="s">
        <v>19</v>
      </c>
      <c r="D108" t="s">
        <v>493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 t="s">
        <v>490</v>
      </c>
    </row>
    <row r="109" spans="2:13">
      <c r="B109" t="s">
        <v>511</v>
      </c>
      <c r="C109" t="s">
        <v>33</v>
      </c>
      <c r="D109" t="s">
        <v>512</v>
      </c>
      <c r="E109">
        <v>0.52</v>
      </c>
      <c r="F109">
        <v>0.52</v>
      </c>
      <c r="G109">
        <v>0.52</v>
      </c>
      <c r="H109">
        <v>0.52</v>
      </c>
      <c r="I109">
        <v>0.52</v>
      </c>
      <c r="J109">
        <v>0.52</v>
      </c>
      <c r="K109">
        <v>0.52</v>
      </c>
      <c r="L109">
        <v>0.52</v>
      </c>
      <c r="M109" t="s">
        <v>145</v>
      </c>
    </row>
    <row r="110" spans="2:13">
      <c r="B110" t="s">
        <v>511</v>
      </c>
      <c r="C110" t="s">
        <v>33</v>
      </c>
      <c r="D110" t="s">
        <v>512</v>
      </c>
      <c r="E110">
        <v>2917</v>
      </c>
      <c r="F110">
        <v>2917</v>
      </c>
      <c r="G110">
        <v>2917</v>
      </c>
      <c r="H110">
        <v>2917</v>
      </c>
      <c r="I110">
        <v>2917</v>
      </c>
      <c r="J110">
        <v>2917</v>
      </c>
      <c r="K110">
        <v>2917</v>
      </c>
      <c r="L110">
        <v>2917</v>
      </c>
      <c r="M110" t="s">
        <v>486</v>
      </c>
    </row>
    <row r="111" spans="2:13">
      <c r="B111" t="s">
        <v>511</v>
      </c>
      <c r="C111" t="s">
        <v>33</v>
      </c>
      <c r="D111" t="s">
        <v>512</v>
      </c>
      <c r="E111">
        <v>70.599999999999994</v>
      </c>
      <c r="F111">
        <v>70.599999999999994</v>
      </c>
      <c r="G111">
        <v>70.599999999999994</v>
      </c>
      <c r="H111">
        <v>70.599999999999994</v>
      </c>
      <c r="I111">
        <v>70.599999999999994</v>
      </c>
      <c r="J111">
        <v>70.599999999999994</v>
      </c>
      <c r="K111">
        <v>70.599999999999994</v>
      </c>
      <c r="L111">
        <v>70.599999999999994</v>
      </c>
      <c r="M111" t="s">
        <v>487</v>
      </c>
    </row>
    <row r="112" spans="2:13">
      <c r="B112" t="s">
        <v>511</v>
      </c>
      <c r="C112" t="s">
        <v>33</v>
      </c>
      <c r="D112" t="s">
        <v>512</v>
      </c>
      <c r="E112">
        <v>1.3</v>
      </c>
      <c r="F112">
        <v>1.3</v>
      </c>
      <c r="G112">
        <v>1.3</v>
      </c>
      <c r="H112">
        <v>1.3</v>
      </c>
      <c r="I112">
        <v>1.3</v>
      </c>
      <c r="J112">
        <v>1.3</v>
      </c>
      <c r="K112">
        <v>1.3</v>
      </c>
      <c r="L112">
        <v>1.3</v>
      </c>
      <c r="M112" t="s">
        <v>488</v>
      </c>
    </row>
    <row r="113" spans="2:13">
      <c r="B113" t="s">
        <v>511</v>
      </c>
      <c r="C113" t="s">
        <v>33</v>
      </c>
      <c r="D113" t="s">
        <v>512</v>
      </c>
      <c r="E113">
        <v>0.55559999999999998</v>
      </c>
      <c r="F113">
        <v>0.55559999999999998</v>
      </c>
      <c r="G113">
        <v>0.55559999999999998</v>
      </c>
      <c r="H113">
        <v>0.55559999999999998</v>
      </c>
      <c r="I113">
        <v>0.55559999999999998</v>
      </c>
      <c r="J113">
        <v>0.55559999999999998</v>
      </c>
      <c r="K113">
        <v>0.55559999999999998</v>
      </c>
      <c r="L113">
        <v>0.55559999999999998</v>
      </c>
      <c r="M113" t="s">
        <v>494</v>
      </c>
    </row>
    <row r="114" spans="2:13">
      <c r="B114" t="s">
        <v>511</v>
      </c>
      <c r="C114" t="s">
        <v>33</v>
      </c>
      <c r="D114" t="s">
        <v>512</v>
      </c>
      <c r="E114">
        <v>0.15</v>
      </c>
      <c r="F114">
        <v>0.15</v>
      </c>
      <c r="G114">
        <v>0.15</v>
      </c>
      <c r="H114">
        <v>0.15</v>
      </c>
      <c r="I114">
        <v>0.15</v>
      </c>
      <c r="J114">
        <v>0.15</v>
      </c>
      <c r="K114">
        <v>0.15</v>
      </c>
      <c r="L114">
        <v>0.15</v>
      </c>
      <c r="M114" t="s">
        <v>495</v>
      </c>
    </row>
    <row r="115" spans="2:13">
      <c r="B115" t="s">
        <v>511</v>
      </c>
      <c r="C115" t="s">
        <v>33</v>
      </c>
      <c r="D115" t="s">
        <v>512</v>
      </c>
      <c r="E115">
        <v>25</v>
      </c>
      <c r="F115">
        <v>25</v>
      </c>
      <c r="G115">
        <v>25</v>
      </c>
      <c r="H115">
        <v>25</v>
      </c>
      <c r="I115">
        <v>25</v>
      </c>
      <c r="J115">
        <v>25</v>
      </c>
      <c r="K115">
        <v>25</v>
      </c>
      <c r="L115">
        <v>25</v>
      </c>
      <c r="M115" t="s">
        <v>489</v>
      </c>
    </row>
    <row r="116" spans="2:13">
      <c r="B116" t="s">
        <v>511</v>
      </c>
      <c r="C116" t="s">
        <v>33</v>
      </c>
      <c r="D116" t="s">
        <v>512</v>
      </c>
      <c r="E116">
        <v>4</v>
      </c>
      <c r="F116">
        <v>4</v>
      </c>
      <c r="G116">
        <v>4</v>
      </c>
      <c r="H116">
        <v>4</v>
      </c>
      <c r="I116">
        <v>4</v>
      </c>
      <c r="J116">
        <v>4</v>
      </c>
      <c r="K116">
        <v>4</v>
      </c>
      <c r="L116">
        <v>4</v>
      </c>
      <c r="M116" t="s">
        <v>490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04747-6D62-48FB-84D0-DCCC10793260}">
  <dimension ref="B9:T88"/>
  <sheetViews>
    <sheetView tabSelected="1" workbookViewId="0"/>
  </sheetViews>
  <sheetFormatPr defaultRowHeight="14.25"/>
  <sheetData>
    <row r="9" spans="2:20">
      <c r="B9" t="s">
        <v>167</v>
      </c>
      <c r="K9" t="s">
        <v>218</v>
      </c>
    </row>
    <row r="10" spans="2:20">
      <c r="B10" t="s">
        <v>168</v>
      </c>
      <c r="C10" t="s">
        <v>169</v>
      </c>
      <c r="D10" t="s">
        <v>518</v>
      </c>
      <c r="E10" t="s">
        <v>170</v>
      </c>
      <c r="F10" t="s">
        <v>171</v>
      </c>
      <c r="G10" t="s">
        <v>172</v>
      </c>
      <c r="H10" t="s">
        <v>173</v>
      </c>
      <c r="I10" t="s">
        <v>174</v>
      </c>
      <c r="K10" t="s">
        <v>169</v>
      </c>
      <c r="L10" t="s">
        <v>518</v>
      </c>
      <c r="M10" t="s">
        <v>219</v>
      </c>
      <c r="N10" t="s">
        <v>677</v>
      </c>
      <c r="O10" t="s">
        <v>58</v>
      </c>
      <c r="P10" t="s">
        <v>678</v>
      </c>
      <c r="Q10" t="s">
        <v>679</v>
      </c>
      <c r="R10" t="s">
        <v>488</v>
      </c>
      <c r="S10" t="s">
        <v>286</v>
      </c>
      <c r="T10" t="s">
        <v>680</v>
      </c>
    </row>
    <row r="11" spans="2:20">
      <c r="B11" t="s">
        <v>243</v>
      </c>
      <c r="C11" t="s">
        <v>519</v>
      </c>
      <c r="D11" t="s">
        <v>520</v>
      </c>
      <c r="E11" t="s">
        <v>521</v>
      </c>
      <c r="F11" t="s">
        <v>522</v>
      </c>
      <c r="G11" t="s">
        <v>522</v>
      </c>
      <c r="H11" t="s">
        <v>178</v>
      </c>
      <c r="I11" t="s">
        <v>179</v>
      </c>
      <c r="K11" t="s">
        <v>519</v>
      </c>
      <c r="L11" t="s">
        <v>520</v>
      </c>
      <c r="M11" t="s">
        <v>681</v>
      </c>
      <c r="N11">
        <v>319.327</v>
      </c>
      <c r="O11">
        <v>50</v>
      </c>
      <c r="P11">
        <v>1</v>
      </c>
      <c r="Q11">
        <v>1</v>
      </c>
      <c r="R11">
        <v>0.03</v>
      </c>
      <c r="T11" t="s">
        <v>682</v>
      </c>
    </row>
    <row r="12" spans="2:20">
      <c r="B12" t="s">
        <v>243</v>
      </c>
      <c r="C12" t="s">
        <v>523</v>
      </c>
      <c r="D12" t="s">
        <v>520</v>
      </c>
      <c r="E12" t="s">
        <v>524</v>
      </c>
      <c r="F12" t="s">
        <v>522</v>
      </c>
      <c r="G12" t="s">
        <v>522</v>
      </c>
      <c r="H12" t="s">
        <v>178</v>
      </c>
      <c r="I12" t="s">
        <v>179</v>
      </c>
      <c r="K12" t="s">
        <v>523</v>
      </c>
      <c r="L12" t="s">
        <v>520</v>
      </c>
      <c r="M12" t="s">
        <v>683</v>
      </c>
      <c r="N12">
        <v>882.43899999999996</v>
      </c>
      <c r="O12">
        <v>50</v>
      </c>
      <c r="P12">
        <v>1</v>
      </c>
      <c r="Q12">
        <v>1</v>
      </c>
      <c r="R12">
        <v>0.08</v>
      </c>
      <c r="T12" t="s">
        <v>682</v>
      </c>
    </row>
    <row r="13" spans="2:20">
      <c r="B13" t="s">
        <v>243</v>
      </c>
      <c r="C13" t="s">
        <v>525</v>
      </c>
      <c r="D13" t="s">
        <v>520</v>
      </c>
      <c r="E13" t="s">
        <v>526</v>
      </c>
      <c r="F13" t="s">
        <v>522</v>
      </c>
      <c r="G13" t="s">
        <v>522</v>
      </c>
      <c r="H13" t="s">
        <v>178</v>
      </c>
      <c r="I13" t="s">
        <v>179</v>
      </c>
      <c r="K13" t="s">
        <v>525</v>
      </c>
      <c r="L13" t="s">
        <v>520</v>
      </c>
      <c r="M13" t="s">
        <v>684</v>
      </c>
      <c r="N13">
        <v>861.25900000000001</v>
      </c>
      <c r="O13">
        <v>50</v>
      </c>
      <c r="P13">
        <v>1</v>
      </c>
      <c r="Q13">
        <v>1</v>
      </c>
      <c r="R13">
        <v>0.08</v>
      </c>
      <c r="T13" t="s">
        <v>682</v>
      </c>
    </row>
    <row r="14" spans="2:20">
      <c r="B14" t="s">
        <v>243</v>
      </c>
      <c r="C14" t="s">
        <v>527</v>
      </c>
      <c r="D14" t="s">
        <v>520</v>
      </c>
      <c r="E14" t="s">
        <v>528</v>
      </c>
      <c r="F14" t="s">
        <v>522</v>
      </c>
      <c r="G14" t="s">
        <v>522</v>
      </c>
      <c r="H14" t="s">
        <v>178</v>
      </c>
      <c r="I14" t="s">
        <v>179</v>
      </c>
      <c r="K14" t="s">
        <v>527</v>
      </c>
      <c r="L14" t="s">
        <v>520</v>
      </c>
      <c r="M14" t="s">
        <v>685</v>
      </c>
      <c r="N14">
        <v>304.55599999999998</v>
      </c>
      <c r="O14">
        <v>50</v>
      </c>
      <c r="P14">
        <v>1</v>
      </c>
      <c r="Q14">
        <v>1</v>
      </c>
      <c r="R14">
        <v>0.08</v>
      </c>
      <c r="T14" t="s">
        <v>682</v>
      </c>
    </row>
    <row r="15" spans="2:20">
      <c r="B15" t="s">
        <v>243</v>
      </c>
      <c r="C15" t="s">
        <v>529</v>
      </c>
      <c r="D15" t="s">
        <v>520</v>
      </c>
      <c r="E15" t="s">
        <v>530</v>
      </c>
      <c r="F15" t="s">
        <v>522</v>
      </c>
      <c r="G15" t="s">
        <v>522</v>
      </c>
      <c r="H15" t="s">
        <v>178</v>
      </c>
      <c r="I15" t="s">
        <v>179</v>
      </c>
      <c r="K15" t="s">
        <v>529</v>
      </c>
      <c r="L15" t="s">
        <v>520</v>
      </c>
      <c r="M15" t="s">
        <v>686</v>
      </c>
      <c r="N15">
        <v>3132.1019999999999</v>
      </c>
      <c r="O15">
        <v>50</v>
      </c>
      <c r="P15">
        <v>1</v>
      </c>
      <c r="Q15">
        <v>1</v>
      </c>
      <c r="R15">
        <v>0.08</v>
      </c>
      <c r="T15" t="s">
        <v>682</v>
      </c>
    </row>
    <row r="16" spans="2:20">
      <c r="B16" t="s">
        <v>243</v>
      </c>
      <c r="C16" t="s">
        <v>531</v>
      </c>
      <c r="D16" t="s">
        <v>520</v>
      </c>
      <c r="E16" t="s">
        <v>532</v>
      </c>
      <c r="F16" t="s">
        <v>522</v>
      </c>
      <c r="G16" t="s">
        <v>522</v>
      </c>
      <c r="H16" t="s">
        <v>178</v>
      </c>
      <c r="I16" t="s">
        <v>179</v>
      </c>
      <c r="K16" t="s">
        <v>531</v>
      </c>
      <c r="L16" t="s">
        <v>520</v>
      </c>
      <c r="M16" t="s">
        <v>687</v>
      </c>
      <c r="N16">
        <v>1600.077</v>
      </c>
      <c r="O16">
        <v>50</v>
      </c>
      <c r="P16">
        <v>1</v>
      </c>
      <c r="Q16">
        <v>1</v>
      </c>
      <c r="R16">
        <v>0.08</v>
      </c>
      <c r="T16" t="s">
        <v>682</v>
      </c>
    </row>
    <row r="17" spans="2:20">
      <c r="B17" t="s">
        <v>243</v>
      </c>
      <c r="C17" t="s">
        <v>533</v>
      </c>
      <c r="D17" t="s">
        <v>520</v>
      </c>
      <c r="E17" t="s">
        <v>534</v>
      </c>
      <c r="F17" t="s">
        <v>522</v>
      </c>
      <c r="G17" t="s">
        <v>522</v>
      </c>
      <c r="H17" t="s">
        <v>178</v>
      </c>
      <c r="I17" t="s">
        <v>179</v>
      </c>
      <c r="K17" t="s">
        <v>533</v>
      </c>
      <c r="L17" t="s">
        <v>520</v>
      </c>
      <c r="M17" t="s">
        <v>688</v>
      </c>
      <c r="N17">
        <v>1623.857</v>
      </c>
      <c r="O17">
        <v>50</v>
      </c>
      <c r="P17">
        <v>1</v>
      </c>
      <c r="Q17">
        <v>1</v>
      </c>
      <c r="R17">
        <v>0.08</v>
      </c>
      <c r="T17" t="s">
        <v>682</v>
      </c>
    </row>
    <row r="18" spans="2:20">
      <c r="B18" t="s">
        <v>243</v>
      </c>
      <c r="C18" t="s">
        <v>535</v>
      </c>
      <c r="D18" t="s">
        <v>520</v>
      </c>
      <c r="E18" t="s">
        <v>536</v>
      </c>
      <c r="F18" t="s">
        <v>522</v>
      </c>
      <c r="G18" t="s">
        <v>522</v>
      </c>
      <c r="H18" t="s">
        <v>178</v>
      </c>
      <c r="I18" t="s">
        <v>179</v>
      </c>
      <c r="K18" t="s">
        <v>535</v>
      </c>
      <c r="L18" t="s">
        <v>520</v>
      </c>
      <c r="M18" t="s">
        <v>689</v>
      </c>
      <c r="N18">
        <v>1552.307</v>
      </c>
      <c r="O18">
        <v>50</v>
      </c>
      <c r="P18">
        <v>1</v>
      </c>
      <c r="Q18">
        <v>1</v>
      </c>
      <c r="R18">
        <v>0.08</v>
      </c>
      <c r="T18" t="s">
        <v>682</v>
      </c>
    </row>
    <row r="19" spans="2:20">
      <c r="B19" t="s">
        <v>243</v>
      </c>
      <c r="C19" t="s">
        <v>537</v>
      </c>
      <c r="D19" t="s">
        <v>520</v>
      </c>
      <c r="E19" t="s">
        <v>538</v>
      </c>
      <c r="F19" t="s">
        <v>522</v>
      </c>
      <c r="G19" t="s">
        <v>522</v>
      </c>
      <c r="H19" t="s">
        <v>178</v>
      </c>
      <c r="I19" t="s">
        <v>179</v>
      </c>
      <c r="K19" t="s">
        <v>537</v>
      </c>
      <c r="L19" t="s">
        <v>520</v>
      </c>
      <c r="M19" t="s">
        <v>690</v>
      </c>
      <c r="N19">
        <v>493.09899999999999</v>
      </c>
      <c r="O19">
        <v>50</v>
      </c>
      <c r="P19">
        <v>1</v>
      </c>
      <c r="Q19">
        <v>1</v>
      </c>
      <c r="R19">
        <v>7.0000000000000007E-2</v>
      </c>
      <c r="T19" t="s">
        <v>682</v>
      </c>
    </row>
    <row r="20" spans="2:20">
      <c r="B20" t="s">
        <v>243</v>
      </c>
      <c r="C20" t="s">
        <v>539</v>
      </c>
      <c r="D20" t="s">
        <v>520</v>
      </c>
      <c r="E20" t="s">
        <v>540</v>
      </c>
      <c r="F20" t="s">
        <v>522</v>
      </c>
      <c r="G20" t="s">
        <v>522</v>
      </c>
      <c r="H20" t="s">
        <v>178</v>
      </c>
      <c r="I20" t="s">
        <v>179</v>
      </c>
      <c r="K20" t="s">
        <v>539</v>
      </c>
      <c r="L20" t="s">
        <v>520</v>
      </c>
      <c r="M20" t="s">
        <v>691</v>
      </c>
      <c r="N20">
        <v>131.52799999999999</v>
      </c>
      <c r="O20">
        <v>50</v>
      </c>
      <c r="P20">
        <v>1</v>
      </c>
      <c r="Q20">
        <v>1</v>
      </c>
      <c r="R20">
        <v>7.0000000000000007E-2</v>
      </c>
      <c r="T20" t="s">
        <v>682</v>
      </c>
    </row>
    <row r="21" spans="2:20">
      <c r="B21" t="s">
        <v>243</v>
      </c>
      <c r="C21" t="s">
        <v>541</v>
      </c>
      <c r="D21" t="s">
        <v>520</v>
      </c>
      <c r="E21" t="s">
        <v>542</v>
      </c>
      <c r="F21" t="s">
        <v>522</v>
      </c>
      <c r="G21" t="s">
        <v>522</v>
      </c>
      <c r="H21" t="s">
        <v>178</v>
      </c>
      <c r="I21" t="s">
        <v>179</v>
      </c>
      <c r="K21" t="s">
        <v>541</v>
      </c>
      <c r="L21" t="s">
        <v>520</v>
      </c>
      <c r="M21" t="s">
        <v>686</v>
      </c>
      <c r="N21">
        <v>601.34699999999998</v>
      </c>
      <c r="O21">
        <v>50</v>
      </c>
      <c r="P21">
        <v>1</v>
      </c>
      <c r="Q21">
        <v>1</v>
      </c>
      <c r="R21">
        <v>2.5000000000000001E-2</v>
      </c>
      <c r="T21" t="s">
        <v>682</v>
      </c>
    </row>
    <row r="22" spans="2:20">
      <c r="B22" t="s">
        <v>243</v>
      </c>
      <c r="C22" t="s">
        <v>543</v>
      </c>
      <c r="D22" t="s">
        <v>520</v>
      </c>
      <c r="E22" t="s">
        <v>544</v>
      </c>
      <c r="F22" t="s">
        <v>522</v>
      </c>
      <c r="G22" t="s">
        <v>522</v>
      </c>
      <c r="H22" t="s">
        <v>178</v>
      </c>
      <c r="I22" t="s">
        <v>179</v>
      </c>
      <c r="K22" t="s">
        <v>543</v>
      </c>
      <c r="L22" t="s">
        <v>520</v>
      </c>
      <c r="M22" t="s">
        <v>692</v>
      </c>
      <c r="N22">
        <v>974.39300000000003</v>
      </c>
      <c r="O22">
        <v>50</v>
      </c>
      <c r="P22">
        <v>1</v>
      </c>
      <c r="Q22">
        <v>1</v>
      </c>
      <c r="R22">
        <v>2.5000000000000001E-2</v>
      </c>
      <c r="T22" t="s">
        <v>682</v>
      </c>
    </row>
    <row r="23" spans="2:20">
      <c r="B23" t="s">
        <v>243</v>
      </c>
      <c r="C23" t="s">
        <v>545</v>
      </c>
      <c r="D23" t="s">
        <v>520</v>
      </c>
      <c r="E23" t="s">
        <v>546</v>
      </c>
      <c r="F23" t="s">
        <v>522</v>
      </c>
      <c r="G23" t="s">
        <v>522</v>
      </c>
      <c r="H23" t="s">
        <v>178</v>
      </c>
      <c r="I23" t="s">
        <v>179</v>
      </c>
      <c r="K23" t="s">
        <v>545</v>
      </c>
      <c r="L23" t="s">
        <v>520</v>
      </c>
      <c r="M23" t="s">
        <v>693</v>
      </c>
      <c r="N23">
        <v>2487.9319999999998</v>
      </c>
      <c r="O23">
        <v>50</v>
      </c>
      <c r="P23">
        <v>1</v>
      </c>
      <c r="Q23">
        <v>1</v>
      </c>
      <c r="R23">
        <v>2.5000000000000001E-2</v>
      </c>
      <c r="T23" t="s">
        <v>682</v>
      </c>
    </row>
    <row r="24" spans="2:20">
      <c r="B24" t="s">
        <v>243</v>
      </c>
      <c r="C24" t="s">
        <v>547</v>
      </c>
      <c r="D24" t="s">
        <v>520</v>
      </c>
      <c r="E24" t="s">
        <v>548</v>
      </c>
      <c r="F24" t="s">
        <v>522</v>
      </c>
      <c r="G24" t="s">
        <v>522</v>
      </c>
      <c r="H24" t="s">
        <v>178</v>
      </c>
      <c r="I24" t="s">
        <v>179</v>
      </c>
      <c r="K24" t="s">
        <v>547</v>
      </c>
      <c r="L24" t="s">
        <v>520</v>
      </c>
      <c r="M24" t="s">
        <v>694</v>
      </c>
      <c r="N24">
        <v>831.85599999999999</v>
      </c>
      <c r="O24">
        <v>50</v>
      </c>
      <c r="P24">
        <v>1</v>
      </c>
      <c r="Q24">
        <v>1</v>
      </c>
      <c r="R24">
        <v>2.5000000000000001E-2</v>
      </c>
      <c r="T24" t="s">
        <v>682</v>
      </c>
    </row>
    <row r="25" spans="2:20">
      <c r="B25" t="s">
        <v>243</v>
      </c>
      <c r="C25" t="s">
        <v>549</v>
      </c>
      <c r="D25" t="s">
        <v>520</v>
      </c>
      <c r="E25" t="s">
        <v>550</v>
      </c>
      <c r="F25" t="s">
        <v>522</v>
      </c>
      <c r="G25" t="s">
        <v>522</v>
      </c>
      <c r="H25" t="s">
        <v>178</v>
      </c>
      <c r="I25" t="s">
        <v>179</v>
      </c>
      <c r="K25" t="s">
        <v>549</v>
      </c>
      <c r="L25" t="s">
        <v>520</v>
      </c>
      <c r="M25" t="s">
        <v>695</v>
      </c>
      <c r="N25">
        <v>1126.671</v>
      </c>
      <c r="O25">
        <v>50</v>
      </c>
      <c r="P25">
        <v>1</v>
      </c>
      <c r="Q25">
        <v>1</v>
      </c>
      <c r="R25">
        <v>2.5000000000000001E-2</v>
      </c>
      <c r="T25" t="s">
        <v>682</v>
      </c>
    </row>
    <row r="26" spans="2:20">
      <c r="B26" t="s">
        <v>243</v>
      </c>
      <c r="C26" t="s">
        <v>551</v>
      </c>
      <c r="D26" t="s">
        <v>520</v>
      </c>
      <c r="E26" t="s">
        <v>552</v>
      </c>
      <c r="F26" t="s">
        <v>522</v>
      </c>
      <c r="G26" t="s">
        <v>522</v>
      </c>
      <c r="H26" t="s">
        <v>178</v>
      </c>
      <c r="I26" t="s">
        <v>179</v>
      </c>
      <c r="K26" t="s">
        <v>551</v>
      </c>
      <c r="L26" t="s">
        <v>520</v>
      </c>
      <c r="M26" t="s">
        <v>685</v>
      </c>
      <c r="N26">
        <v>275.786</v>
      </c>
      <c r="O26">
        <v>50</v>
      </c>
      <c r="P26">
        <v>1</v>
      </c>
      <c r="Q26">
        <v>1</v>
      </c>
      <c r="R26">
        <v>0.09</v>
      </c>
      <c r="T26" t="s">
        <v>682</v>
      </c>
    </row>
    <row r="27" spans="2:20">
      <c r="B27" t="s">
        <v>243</v>
      </c>
      <c r="C27" t="s">
        <v>553</v>
      </c>
      <c r="D27" t="s">
        <v>520</v>
      </c>
      <c r="E27" t="s">
        <v>554</v>
      </c>
      <c r="F27" t="s">
        <v>522</v>
      </c>
      <c r="G27" t="s">
        <v>522</v>
      </c>
      <c r="H27" t="s">
        <v>178</v>
      </c>
      <c r="I27" t="s">
        <v>179</v>
      </c>
      <c r="K27" t="s">
        <v>553</v>
      </c>
      <c r="L27" t="s">
        <v>520</v>
      </c>
      <c r="M27" t="s">
        <v>696</v>
      </c>
      <c r="N27">
        <v>167.37799999999999</v>
      </c>
      <c r="O27">
        <v>50</v>
      </c>
      <c r="P27">
        <v>1</v>
      </c>
      <c r="Q27">
        <v>1</v>
      </c>
      <c r="R27">
        <v>0.09</v>
      </c>
      <c r="T27" t="s">
        <v>682</v>
      </c>
    </row>
    <row r="28" spans="2:20">
      <c r="B28" t="s">
        <v>243</v>
      </c>
      <c r="C28" t="s">
        <v>555</v>
      </c>
      <c r="D28" t="s">
        <v>520</v>
      </c>
      <c r="E28" t="s">
        <v>556</v>
      </c>
      <c r="F28" t="s">
        <v>522</v>
      </c>
      <c r="G28" t="s">
        <v>522</v>
      </c>
      <c r="H28" t="s">
        <v>178</v>
      </c>
      <c r="I28" t="s">
        <v>179</v>
      </c>
      <c r="K28" t="s">
        <v>555</v>
      </c>
      <c r="L28" t="s">
        <v>520</v>
      </c>
      <c r="M28" t="s">
        <v>690</v>
      </c>
      <c r="N28">
        <v>188.172</v>
      </c>
      <c r="O28">
        <v>50</v>
      </c>
      <c r="P28">
        <v>1</v>
      </c>
      <c r="Q28">
        <v>1</v>
      </c>
      <c r="R28">
        <v>0.09</v>
      </c>
      <c r="T28" t="s">
        <v>682</v>
      </c>
    </row>
    <row r="29" spans="2:20">
      <c r="B29" t="s">
        <v>243</v>
      </c>
      <c r="C29" t="s">
        <v>557</v>
      </c>
      <c r="D29" t="s">
        <v>520</v>
      </c>
      <c r="E29" t="s">
        <v>558</v>
      </c>
      <c r="F29" t="s">
        <v>522</v>
      </c>
      <c r="G29" t="s">
        <v>522</v>
      </c>
      <c r="H29" t="s">
        <v>178</v>
      </c>
      <c r="I29" t="s">
        <v>179</v>
      </c>
      <c r="K29" t="s">
        <v>557</v>
      </c>
      <c r="L29" t="s">
        <v>520</v>
      </c>
      <c r="M29" t="s">
        <v>697</v>
      </c>
      <c r="N29">
        <v>272.721</v>
      </c>
      <c r="O29">
        <v>50</v>
      </c>
      <c r="P29">
        <v>1</v>
      </c>
      <c r="Q29">
        <v>1</v>
      </c>
      <c r="R29">
        <v>0.09</v>
      </c>
      <c r="T29" t="s">
        <v>682</v>
      </c>
    </row>
    <row r="30" spans="2:20">
      <c r="B30" t="s">
        <v>243</v>
      </c>
      <c r="C30" t="s">
        <v>559</v>
      </c>
      <c r="D30" t="s">
        <v>520</v>
      </c>
      <c r="E30" t="s">
        <v>560</v>
      </c>
      <c r="F30" t="s">
        <v>522</v>
      </c>
      <c r="G30" t="s">
        <v>522</v>
      </c>
      <c r="H30" t="s">
        <v>178</v>
      </c>
      <c r="I30" t="s">
        <v>179</v>
      </c>
      <c r="K30" t="s">
        <v>559</v>
      </c>
      <c r="L30" t="s">
        <v>520</v>
      </c>
      <c r="M30" t="s">
        <v>683</v>
      </c>
      <c r="N30">
        <v>176.96699999999998</v>
      </c>
      <c r="O30">
        <v>50</v>
      </c>
      <c r="P30">
        <v>1</v>
      </c>
      <c r="Q30">
        <v>1</v>
      </c>
      <c r="R30">
        <v>7.0000000000000007E-2</v>
      </c>
      <c r="T30" t="s">
        <v>682</v>
      </c>
    </row>
    <row r="31" spans="2:20">
      <c r="B31" t="s">
        <v>243</v>
      </c>
      <c r="C31" t="s">
        <v>561</v>
      </c>
      <c r="D31" t="s">
        <v>520</v>
      </c>
      <c r="E31" t="s">
        <v>562</v>
      </c>
      <c r="F31" t="s">
        <v>522</v>
      </c>
      <c r="G31" t="s">
        <v>522</v>
      </c>
      <c r="H31" t="s">
        <v>178</v>
      </c>
      <c r="I31" t="s">
        <v>179</v>
      </c>
      <c r="K31" t="s">
        <v>561</v>
      </c>
      <c r="L31" t="s">
        <v>520</v>
      </c>
      <c r="M31" t="s">
        <v>685</v>
      </c>
      <c r="N31">
        <v>129.97499999999999</v>
      </c>
      <c r="O31">
        <v>50</v>
      </c>
      <c r="P31">
        <v>1</v>
      </c>
      <c r="Q31">
        <v>1</v>
      </c>
      <c r="R31">
        <v>7.0000000000000007E-2</v>
      </c>
      <c r="T31" t="s">
        <v>682</v>
      </c>
    </row>
    <row r="32" spans="2:20">
      <c r="B32" t="s">
        <v>243</v>
      </c>
      <c r="C32" t="s">
        <v>563</v>
      </c>
      <c r="D32" t="s">
        <v>520</v>
      </c>
      <c r="E32" t="s">
        <v>564</v>
      </c>
      <c r="F32" t="s">
        <v>522</v>
      </c>
      <c r="G32" t="s">
        <v>522</v>
      </c>
      <c r="H32" t="s">
        <v>178</v>
      </c>
      <c r="I32" t="s">
        <v>179</v>
      </c>
      <c r="K32" t="s">
        <v>563</v>
      </c>
      <c r="L32" t="s">
        <v>520</v>
      </c>
      <c r="M32" t="s">
        <v>686</v>
      </c>
      <c r="N32">
        <v>314.16899999999998</v>
      </c>
      <c r="O32">
        <v>50</v>
      </c>
      <c r="P32">
        <v>1</v>
      </c>
      <c r="Q32">
        <v>1</v>
      </c>
      <c r="R32">
        <v>7.0000000000000007E-2</v>
      </c>
      <c r="T32" t="s">
        <v>682</v>
      </c>
    </row>
    <row r="33" spans="2:20">
      <c r="B33" t="s">
        <v>243</v>
      </c>
      <c r="C33" t="s">
        <v>565</v>
      </c>
      <c r="D33" t="s">
        <v>520</v>
      </c>
      <c r="E33" t="s">
        <v>566</v>
      </c>
      <c r="F33" t="s">
        <v>522</v>
      </c>
      <c r="G33" t="s">
        <v>522</v>
      </c>
      <c r="H33" t="s">
        <v>178</v>
      </c>
      <c r="I33" t="s">
        <v>179</v>
      </c>
      <c r="K33" t="s">
        <v>565</v>
      </c>
      <c r="L33" t="s">
        <v>520</v>
      </c>
      <c r="M33" t="s">
        <v>687</v>
      </c>
      <c r="N33">
        <v>245.42599999999999</v>
      </c>
      <c r="O33">
        <v>50</v>
      </c>
      <c r="P33">
        <v>1</v>
      </c>
      <c r="Q33">
        <v>1</v>
      </c>
      <c r="R33">
        <v>7.0000000000000007E-2</v>
      </c>
      <c r="T33" t="s">
        <v>682</v>
      </c>
    </row>
    <row r="34" spans="2:20">
      <c r="B34" t="s">
        <v>243</v>
      </c>
      <c r="C34" t="s">
        <v>567</v>
      </c>
      <c r="D34" t="s">
        <v>520</v>
      </c>
      <c r="E34" t="s">
        <v>568</v>
      </c>
      <c r="F34" t="s">
        <v>522</v>
      </c>
      <c r="G34" t="s">
        <v>522</v>
      </c>
      <c r="H34" t="s">
        <v>178</v>
      </c>
      <c r="I34" t="s">
        <v>179</v>
      </c>
      <c r="K34" t="s">
        <v>567</v>
      </c>
      <c r="L34" t="s">
        <v>520</v>
      </c>
      <c r="M34" t="s">
        <v>688</v>
      </c>
      <c r="N34">
        <v>19.093</v>
      </c>
      <c r="O34">
        <v>50</v>
      </c>
      <c r="P34">
        <v>1</v>
      </c>
      <c r="Q34">
        <v>1</v>
      </c>
      <c r="R34">
        <v>7.0000000000000007E-2</v>
      </c>
      <c r="T34" t="s">
        <v>682</v>
      </c>
    </row>
    <row r="35" spans="2:20">
      <c r="B35" t="s">
        <v>243</v>
      </c>
      <c r="C35" t="s">
        <v>569</v>
      </c>
      <c r="D35" t="s">
        <v>520</v>
      </c>
      <c r="E35" t="s">
        <v>570</v>
      </c>
      <c r="F35" t="s">
        <v>522</v>
      </c>
      <c r="G35" t="s">
        <v>522</v>
      </c>
      <c r="H35" t="s">
        <v>178</v>
      </c>
      <c r="I35" t="s">
        <v>179</v>
      </c>
      <c r="K35" t="s">
        <v>569</v>
      </c>
      <c r="L35" t="s">
        <v>520</v>
      </c>
      <c r="M35" t="s">
        <v>698</v>
      </c>
      <c r="N35">
        <v>378.12299999999999</v>
      </c>
      <c r="O35">
        <v>50</v>
      </c>
      <c r="P35">
        <v>1</v>
      </c>
      <c r="Q35">
        <v>1</v>
      </c>
      <c r="R35">
        <v>0.09</v>
      </c>
      <c r="T35" t="s">
        <v>682</v>
      </c>
    </row>
    <row r="36" spans="2:20">
      <c r="B36" t="s">
        <v>243</v>
      </c>
      <c r="C36" t="s">
        <v>571</v>
      </c>
      <c r="D36" t="s">
        <v>520</v>
      </c>
      <c r="E36" t="s">
        <v>572</v>
      </c>
      <c r="F36" t="s">
        <v>522</v>
      </c>
      <c r="G36" t="s">
        <v>522</v>
      </c>
      <c r="H36" t="s">
        <v>178</v>
      </c>
      <c r="I36" t="s">
        <v>179</v>
      </c>
      <c r="K36" t="s">
        <v>571</v>
      </c>
      <c r="L36" t="s">
        <v>520</v>
      </c>
      <c r="M36" t="s">
        <v>690</v>
      </c>
      <c r="N36">
        <v>196.30600000000001</v>
      </c>
      <c r="O36">
        <v>50</v>
      </c>
      <c r="P36">
        <v>1</v>
      </c>
      <c r="Q36">
        <v>1</v>
      </c>
      <c r="R36">
        <v>0.09</v>
      </c>
      <c r="T36" t="s">
        <v>682</v>
      </c>
    </row>
    <row r="37" spans="2:20">
      <c r="B37" t="s">
        <v>243</v>
      </c>
      <c r="C37" t="s">
        <v>573</v>
      </c>
      <c r="D37" t="s">
        <v>520</v>
      </c>
      <c r="E37" t="s">
        <v>574</v>
      </c>
      <c r="F37" t="s">
        <v>522</v>
      </c>
      <c r="G37" t="s">
        <v>522</v>
      </c>
      <c r="H37" t="s">
        <v>178</v>
      </c>
      <c r="I37" t="s">
        <v>179</v>
      </c>
      <c r="K37" t="s">
        <v>573</v>
      </c>
      <c r="L37" t="s">
        <v>520</v>
      </c>
      <c r="M37" t="s">
        <v>691</v>
      </c>
      <c r="N37">
        <v>430.95600000000002</v>
      </c>
      <c r="O37">
        <v>50</v>
      </c>
      <c r="P37">
        <v>1</v>
      </c>
      <c r="Q37">
        <v>1</v>
      </c>
      <c r="R37">
        <v>0.09</v>
      </c>
      <c r="T37" t="s">
        <v>682</v>
      </c>
    </row>
    <row r="38" spans="2:20">
      <c r="B38" t="s">
        <v>243</v>
      </c>
      <c r="C38" t="s">
        <v>575</v>
      </c>
      <c r="D38" t="s">
        <v>520</v>
      </c>
      <c r="E38" t="s">
        <v>576</v>
      </c>
      <c r="F38" t="s">
        <v>522</v>
      </c>
      <c r="G38" t="s">
        <v>522</v>
      </c>
      <c r="H38" t="s">
        <v>178</v>
      </c>
      <c r="I38" t="s">
        <v>179</v>
      </c>
      <c r="K38" t="s">
        <v>575</v>
      </c>
      <c r="L38" t="s">
        <v>520</v>
      </c>
      <c r="M38" t="s">
        <v>699</v>
      </c>
      <c r="N38">
        <v>1037.6130000000001</v>
      </c>
      <c r="O38">
        <v>50</v>
      </c>
      <c r="P38">
        <v>1</v>
      </c>
      <c r="Q38">
        <v>1</v>
      </c>
      <c r="R38">
        <v>0.09</v>
      </c>
      <c r="T38" t="s">
        <v>682</v>
      </c>
    </row>
    <row r="39" spans="2:20">
      <c r="B39" t="s">
        <v>243</v>
      </c>
      <c r="C39" t="s">
        <v>577</v>
      </c>
      <c r="D39" t="s">
        <v>520</v>
      </c>
      <c r="E39" t="s">
        <v>578</v>
      </c>
      <c r="F39" t="s">
        <v>522</v>
      </c>
      <c r="G39" t="s">
        <v>522</v>
      </c>
      <c r="H39" t="s">
        <v>178</v>
      </c>
      <c r="I39" t="s">
        <v>179</v>
      </c>
      <c r="K39" t="s">
        <v>577</v>
      </c>
      <c r="L39" t="s">
        <v>520</v>
      </c>
      <c r="M39" t="s">
        <v>700</v>
      </c>
      <c r="N39">
        <v>2044.3420000000001</v>
      </c>
      <c r="O39">
        <v>50</v>
      </c>
      <c r="P39">
        <v>1</v>
      </c>
      <c r="Q39">
        <v>1</v>
      </c>
      <c r="R39">
        <v>0.06</v>
      </c>
      <c r="T39" t="s">
        <v>682</v>
      </c>
    </row>
    <row r="40" spans="2:20">
      <c r="B40" t="s">
        <v>243</v>
      </c>
      <c r="C40" t="s">
        <v>579</v>
      </c>
      <c r="D40" t="s">
        <v>520</v>
      </c>
      <c r="E40" t="s">
        <v>580</v>
      </c>
      <c r="F40" t="s">
        <v>522</v>
      </c>
      <c r="G40" t="s">
        <v>522</v>
      </c>
      <c r="H40" t="s">
        <v>178</v>
      </c>
      <c r="I40" t="s">
        <v>179</v>
      </c>
      <c r="K40" t="s">
        <v>579</v>
      </c>
      <c r="L40" t="s">
        <v>520</v>
      </c>
      <c r="M40" t="s">
        <v>690</v>
      </c>
      <c r="N40">
        <v>97.498999999999995</v>
      </c>
      <c r="O40">
        <v>50</v>
      </c>
      <c r="P40">
        <v>1</v>
      </c>
      <c r="Q40">
        <v>1</v>
      </c>
      <c r="R40">
        <v>0.06</v>
      </c>
      <c r="T40" t="s">
        <v>682</v>
      </c>
    </row>
    <row r="41" spans="2:20">
      <c r="B41" t="s">
        <v>243</v>
      </c>
      <c r="C41" t="s">
        <v>581</v>
      </c>
      <c r="D41" t="s">
        <v>520</v>
      </c>
      <c r="E41" t="s">
        <v>582</v>
      </c>
      <c r="F41" t="s">
        <v>522</v>
      </c>
      <c r="G41" t="s">
        <v>522</v>
      </c>
      <c r="H41" t="s">
        <v>178</v>
      </c>
      <c r="I41" t="s">
        <v>179</v>
      </c>
      <c r="K41" t="s">
        <v>581</v>
      </c>
      <c r="L41" t="s">
        <v>520</v>
      </c>
      <c r="M41" t="s">
        <v>701</v>
      </c>
      <c r="N41">
        <v>6984.4229999999998</v>
      </c>
      <c r="O41">
        <v>50</v>
      </c>
      <c r="P41">
        <v>1</v>
      </c>
      <c r="Q41">
        <v>1</v>
      </c>
      <c r="R41">
        <v>0.06</v>
      </c>
      <c r="T41" t="s">
        <v>682</v>
      </c>
    </row>
    <row r="42" spans="2:20">
      <c r="B42" t="s">
        <v>243</v>
      </c>
      <c r="C42" t="s">
        <v>583</v>
      </c>
      <c r="D42" t="s">
        <v>520</v>
      </c>
      <c r="E42" t="s">
        <v>584</v>
      </c>
      <c r="F42" t="s">
        <v>522</v>
      </c>
      <c r="G42" t="s">
        <v>522</v>
      </c>
      <c r="H42" t="s">
        <v>178</v>
      </c>
      <c r="I42" t="s">
        <v>179</v>
      </c>
      <c r="K42" t="s">
        <v>583</v>
      </c>
      <c r="L42" t="s">
        <v>520</v>
      </c>
      <c r="M42" t="s">
        <v>702</v>
      </c>
      <c r="N42">
        <v>109.327</v>
      </c>
      <c r="O42">
        <v>50</v>
      </c>
      <c r="P42">
        <v>1</v>
      </c>
      <c r="Q42">
        <v>1</v>
      </c>
      <c r="R42">
        <v>6.5000000000000002E-2</v>
      </c>
      <c r="T42" t="s">
        <v>682</v>
      </c>
    </row>
    <row r="43" spans="2:20">
      <c r="B43" t="s">
        <v>243</v>
      </c>
      <c r="C43" t="s">
        <v>585</v>
      </c>
      <c r="D43" t="s">
        <v>520</v>
      </c>
      <c r="E43" t="s">
        <v>586</v>
      </c>
      <c r="F43" t="s">
        <v>522</v>
      </c>
      <c r="G43" t="s">
        <v>522</v>
      </c>
      <c r="H43" t="s">
        <v>178</v>
      </c>
      <c r="I43" t="s">
        <v>179</v>
      </c>
      <c r="K43" t="s">
        <v>585</v>
      </c>
      <c r="L43" t="s">
        <v>520</v>
      </c>
      <c r="M43" t="s">
        <v>703</v>
      </c>
      <c r="N43">
        <v>360.57299999999998</v>
      </c>
      <c r="O43">
        <v>50</v>
      </c>
      <c r="P43">
        <v>1</v>
      </c>
      <c r="Q43">
        <v>1</v>
      </c>
      <c r="R43">
        <v>6.5000000000000002E-2</v>
      </c>
      <c r="T43" t="s">
        <v>682</v>
      </c>
    </row>
    <row r="44" spans="2:20">
      <c r="B44" t="s">
        <v>243</v>
      </c>
      <c r="C44" t="s">
        <v>587</v>
      </c>
      <c r="D44" t="s">
        <v>520</v>
      </c>
      <c r="E44" t="s">
        <v>588</v>
      </c>
      <c r="F44" t="s">
        <v>522</v>
      </c>
      <c r="G44" t="s">
        <v>522</v>
      </c>
      <c r="H44" t="s">
        <v>178</v>
      </c>
      <c r="I44" t="s">
        <v>179</v>
      </c>
      <c r="K44" t="s">
        <v>587</v>
      </c>
      <c r="L44" t="s">
        <v>520</v>
      </c>
      <c r="M44" t="s">
        <v>704</v>
      </c>
      <c r="N44">
        <v>1932.395</v>
      </c>
      <c r="O44">
        <v>50</v>
      </c>
      <c r="P44">
        <v>1</v>
      </c>
      <c r="Q44">
        <v>1</v>
      </c>
      <c r="R44">
        <v>6.5000000000000002E-2</v>
      </c>
      <c r="T44" t="s">
        <v>682</v>
      </c>
    </row>
    <row r="45" spans="2:20">
      <c r="B45" t="s">
        <v>243</v>
      </c>
      <c r="C45" t="s">
        <v>589</v>
      </c>
      <c r="D45" t="s">
        <v>520</v>
      </c>
      <c r="E45" t="s">
        <v>590</v>
      </c>
      <c r="F45" t="s">
        <v>522</v>
      </c>
      <c r="G45" t="s">
        <v>522</v>
      </c>
      <c r="H45" t="s">
        <v>178</v>
      </c>
      <c r="I45" t="s">
        <v>179</v>
      </c>
      <c r="K45" t="s">
        <v>589</v>
      </c>
      <c r="L45" t="s">
        <v>520</v>
      </c>
      <c r="M45" t="s">
        <v>705</v>
      </c>
      <c r="N45">
        <v>494.291</v>
      </c>
      <c r="O45">
        <v>50</v>
      </c>
      <c r="P45">
        <v>1</v>
      </c>
      <c r="Q45">
        <v>1</v>
      </c>
      <c r="R45">
        <v>6.5000000000000002E-2</v>
      </c>
      <c r="T45" t="s">
        <v>682</v>
      </c>
    </row>
    <row r="46" spans="2:20">
      <c r="B46" t="s">
        <v>243</v>
      </c>
      <c r="C46" t="s">
        <v>591</v>
      </c>
      <c r="D46" t="s">
        <v>520</v>
      </c>
      <c r="E46" t="s">
        <v>592</v>
      </c>
      <c r="F46" t="s">
        <v>522</v>
      </c>
      <c r="G46" t="s">
        <v>522</v>
      </c>
      <c r="H46" t="s">
        <v>178</v>
      </c>
      <c r="I46" t="s">
        <v>179</v>
      </c>
      <c r="K46" t="s">
        <v>591</v>
      </c>
      <c r="L46" t="s">
        <v>520</v>
      </c>
      <c r="M46" t="s">
        <v>683</v>
      </c>
      <c r="N46">
        <v>1545.7440000000001</v>
      </c>
      <c r="O46">
        <v>50</v>
      </c>
      <c r="P46">
        <v>1</v>
      </c>
      <c r="Q46">
        <v>1</v>
      </c>
      <c r="R46">
        <v>0.06</v>
      </c>
      <c r="T46" t="s">
        <v>682</v>
      </c>
    </row>
    <row r="47" spans="2:20">
      <c r="B47" t="s">
        <v>243</v>
      </c>
      <c r="C47" t="s">
        <v>593</v>
      </c>
      <c r="D47" t="s">
        <v>520</v>
      </c>
      <c r="E47" t="s">
        <v>594</v>
      </c>
      <c r="F47" t="s">
        <v>522</v>
      </c>
      <c r="G47" t="s">
        <v>522</v>
      </c>
      <c r="H47" t="s">
        <v>178</v>
      </c>
      <c r="I47" t="s">
        <v>179</v>
      </c>
      <c r="K47" t="s">
        <v>593</v>
      </c>
      <c r="L47" t="s">
        <v>520</v>
      </c>
      <c r="M47" t="s">
        <v>690</v>
      </c>
      <c r="N47">
        <v>7482.6549999999997</v>
      </c>
      <c r="O47">
        <v>50</v>
      </c>
      <c r="P47">
        <v>1</v>
      </c>
      <c r="Q47">
        <v>1</v>
      </c>
      <c r="R47">
        <v>7.0000000000000007E-2</v>
      </c>
      <c r="T47" t="s">
        <v>682</v>
      </c>
    </row>
    <row r="48" spans="2:20">
      <c r="B48" t="s">
        <v>243</v>
      </c>
      <c r="C48" t="s">
        <v>595</v>
      </c>
      <c r="D48" t="s">
        <v>520</v>
      </c>
      <c r="E48" t="s">
        <v>596</v>
      </c>
      <c r="F48" t="s">
        <v>522</v>
      </c>
      <c r="G48" t="s">
        <v>522</v>
      </c>
      <c r="H48" t="s">
        <v>178</v>
      </c>
      <c r="I48" t="s">
        <v>179</v>
      </c>
      <c r="K48" t="s">
        <v>595</v>
      </c>
      <c r="L48" t="s">
        <v>520</v>
      </c>
      <c r="M48" t="s">
        <v>706</v>
      </c>
      <c r="N48">
        <v>386.70000000000005</v>
      </c>
      <c r="O48">
        <v>50</v>
      </c>
      <c r="P48">
        <v>1</v>
      </c>
      <c r="Q48">
        <v>1</v>
      </c>
      <c r="R48">
        <v>7.0000000000000007E-2</v>
      </c>
      <c r="T48" t="s">
        <v>682</v>
      </c>
    </row>
    <row r="49" spans="2:20">
      <c r="B49" t="s">
        <v>243</v>
      </c>
      <c r="C49" t="s">
        <v>597</v>
      </c>
      <c r="D49" t="s">
        <v>520</v>
      </c>
      <c r="E49" t="s">
        <v>598</v>
      </c>
      <c r="F49" t="s">
        <v>522</v>
      </c>
      <c r="G49" t="s">
        <v>522</v>
      </c>
      <c r="H49" t="s">
        <v>178</v>
      </c>
      <c r="I49" t="s">
        <v>179</v>
      </c>
      <c r="K49" t="s">
        <v>597</v>
      </c>
      <c r="L49" t="s">
        <v>520</v>
      </c>
      <c r="M49" t="s">
        <v>688</v>
      </c>
      <c r="N49">
        <v>120.292</v>
      </c>
      <c r="O49">
        <v>50</v>
      </c>
      <c r="P49">
        <v>1</v>
      </c>
      <c r="Q49">
        <v>1</v>
      </c>
      <c r="R49">
        <v>7.0000000000000007E-2</v>
      </c>
      <c r="T49" t="s">
        <v>682</v>
      </c>
    </row>
    <row r="50" spans="2:20">
      <c r="B50" t="s">
        <v>243</v>
      </c>
      <c r="C50" t="s">
        <v>599</v>
      </c>
      <c r="D50" t="s">
        <v>520</v>
      </c>
      <c r="E50" t="s">
        <v>600</v>
      </c>
      <c r="F50" t="s">
        <v>522</v>
      </c>
      <c r="G50" t="s">
        <v>522</v>
      </c>
      <c r="H50" t="s">
        <v>178</v>
      </c>
      <c r="I50" t="s">
        <v>179</v>
      </c>
      <c r="K50" t="s">
        <v>599</v>
      </c>
      <c r="L50" t="s">
        <v>520</v>
      </c>
      <c r="M50" t="s">
        <v>707</v>
      </c>
      <c r="N50">
        <v>294.22699999999998</v>
      </c>
      <c r="O50">
        <v>50</v>
      </c>
      <c r="P50">
        <v>1</v>
      </c>
      <c r="Q50">
        <v>1</v>
      </c>
      <c r="R50">
        <v>7.0000000000000007E-2</v>
      </c>
      <c r="T50" t="s">
        <v>682</v>
      </c>
    </row>
    <row r="51" spans="2:20">
      <c r="B51" t="s">
        <v>243</v>
      </c>
      <c r="C51" t="s">
        <v>601</v>
      </c>
      <c r="D51" t="s">
        <v>520</v>
      </c>
      <c r="E51" t="s">
        <v>602</v>
      </c>
      <c r="F51" t="s">
        <v>522</v>
      </c>
      <c r="G51" t="s">
        <v>522</v>
      </c>
      <c r="H51" t="s">
        <v>178</v>
      </c>
      <c r="I51" t="s">
        <v>179</v>
      </c>
      <c r="K51" t="s">
        <v>601</v>
      </c>
      <c r="L51" t="s">
        <v>520</v>
      </c>
      <c r="M51" t="s">
        <v>708</v>
      </c>
      <c r="N51">
        <v>214.36099999999999</v>
      </c>
      <c r="O51">
        <v>50</v>
      </c>
      <c r="P51">
        <v>1</v>
      </c>
      <c r="Q51">
        <v>1</v>
      </c>
      <c r="R51">
        <v>0.08</v>
      </c>
      <c r="T51" t="s">
        <v>682</v>
      </c>
    </row>
    <row r="52" spans="2:20">
      <c r="B52" t="s">
        <v>243</v>
      </c>
      <c r="C52" t="s">
        <v>603</v>
      </c>
      <c r="D52" t="s">
        <v>520</v>
      </c>
      <c r="E52" t="s">
        <v>604</v>
      </c>
      <c r="F52" t="s">
        <v>522</v>
      </c>
      <c r="G52" t="s">
        <v>522</v>
      </c>
      <c r="H52" t="s">
        <v>178</v>
      </c>
      <c r="I52" t="s">
        <v>179</v>
      </c>
      <c r="K52" t="s">
        <v>603</v>
      </c>
      <c r="L52" t="s">
        <v>520</v>
      </c>
      <c r="M52" t="s">
        <v>709</v>
      </c>
      <c r="N52">
        <v>112.628</v>
      </c>
      <c r="O52">
        <v>50</v>
      </c>
      <c r="P52">
        <v>1</v>
      </c>
      <c r="Q52">
        <v>1</v>
      </c>
      <c r="R52">
        <v>0.08</v>
      </c>
      <c r="T52" t="s">
        <v>682</v>
      </c>
    </row>
    <row r="53" spans="2:20">
      <c r="B53" t="s">
        <v>243</v>
      </c>
      <c r="C53" t="s">
        <v>605</v>
      </c>
      <c r="D53" t="s">
        <v>520</v>
      </c>
      <c r="E53" t="s">
        <v>606</v>
      </c>
      <c r="F53" t="s">
        <v>522</v>
      </c>
      <c r="G53" t="s">
        <v>522</v>
      </c>
      <c r="H53" t="s">
        <v>178</v>
      </c>
      <c r="I53" t="s">
        <v>179</v>
      </c>
      <c r="K53" t="s">
        <v>605</v>
      </c>
      <c r="L53" t="s">
        <v>520</v>
      </c>
      <c r="M53" t="s">
        <v>687</v>
      </c>
      <c r="N53">
        <v>121.261</v>
      </c>
      <c r="O53">
        <v>50</v>
      </c>
      <c r="P53">
        <v>1</v>
      </c>
      <c r="Q53">
        <v>1</v>
      </c>
      <c r="R53">
        <v>0.08</v>
      </c>
      <c r="T53" t="s">
        <v>682</v>
      </c>
    </row>
    <row r="54" spans="2:20">
      <c r="B54" t="s">
        <v>243</v>
      </c>
      <c r="C54" t="s">
        <v>607</v>
      </c>
      <c r="D54" t="s">
        <v>520</v>
      </c>
      <c r="E54" t="s">
        <v>608</v>
      </c>
      <c r="F54" t="s">
        <v>522</v>
      </c>
      <c r="G54" t="s">
        <v>522</v>
      </c>
      <c r="H54" t="s">
        <v>178</v>
      </c>
      <c r="I54" t="s">
        <v>179</v>
      </c>
      <c r="K54" t="s">
        <v>607</v>
      </c>
      <c r="L54" t="s">
        <v>520</v>
      </c>
      <c r="M54" t="s">
        <v>710</v>
      </c>
      <c r="N54">
        <v>424.137</v>
      </c>
      <c r="O54">
        <v>50</v>
      </c>
      <c r="P54">
        <v>1</v>
      </c>
      <c r="Q54">
        <v>1</v>
      </c>
      <c r="R54">
        <v>0.08</v>
      </c>
      <c r="T54" t="s">
        <v>682</v>
      </c>
    </row>
    <row r="55" spans="2:20">
      <c r="B55" t="s">
        <v>243</v>
      </c>
      <c r="C55" t="s">
        <v>609</v>
      </c>
      <c r="D55" t="s">
        <v>520</v>
      </c>
      <c r="E55" t="s">
        <v>610</v>
      </c>
      <c r="F55" t="s">
        <v>522</v>
      </c>
      <c r="G55" t="s">
        <v>522</v>
      </c>
      <c r="H55" t="s">
        <v>178</v>
      </c>
      <c r="I55" t="s">
        <v>179</v>
      </c>
      <c r="K55" t="s">
        <v>609</v>
      </c>
      <c r="L55" t="s">
        <v>520</v>
      </c>
      <c r="M55" t="s">
        <v>711</v>
      </c>
      <c r="N55">
        <v>265.97300000000001</v>
      </c>
      <c r="O55">
        <v>50</v>
      </c>
      <c r="P55">
        <v>1</v>
      </c>
      <c r="Q55">
        <v>1</v>
      </c>
      <c r="R55">
        <v>0.08</v>
      </c>
      <c r="T55" t="s">
        <v>682</v>
      </c>
    </row>
    <row r="56" spans="2:20">
      <c r="B56" t="s">
        <v>243</v>
      </c>
      <c r="C56" t="s">
        <v>611</v>
      </c>
      <c r="D56" t="s">
        <v>520</v>
      </c>
      <c r="E56" t="s">
        <v>612</v>
      </c>
      <c r="F56" t="s">
        <v>522</v>
      </c>
      <c r="G56" t="s">
        <v>522</v>
      </c>
      <c r="H56" t="s">
        <v>178</v>
      </c>
      <c r="I56" t="s">
        <v>179</v>
      </c>
      <c r="K56" t="s">
        <v>611</v>
      </c>
      <c r="L56" t="s">
        <v>520</v>
      </c>
      <c r="M56" t="s">
        <v>712</v>
      </c>
      <c r="N56">
        <v>114.34099999999999</v>
      </c>
      <c r="O56">
        <v>50</v>
      </c>
      <c r="P56">
        <v>1</v>
      </c>
      <c r="Q56">
        <v>1</v>
      </c>
      <c r="R56">
        <v>0.08</v>
      </c>
      <c r="T56" t="s">
        <v>682</v>
      </c>
    </row>
    <row r="57" spans="2:20">
      <c r="B57" t="s">
        <v>243</v>
      </c>
      <c r="C57" t="s">
        <v>613</v>
      </c>
      <c r="D57" t="s">
        <v>520</v>
      </c>
      <c r="E57" t="s">
        <v>614</v>
      </c>
      <c r="F57" t="s">
        <v>522</v>
      </c>
      <c r="G57" t="s">
        <v>522</v>
      </c>
      <c r="H57" t="s">
        <v>178</v>
      </c>
      <c r="I57" t="s">
        <v>179</v>
      </c>
      <c r="K57" t="s">
        <v>613</v>
      </c>
      <c r="L57" t="s">
        <v>520</v>
      </c>
      <c r="M57" t="s">
        <v>713</v>
      </c>
      <c r="N57">
        <v>108.322</v>
      </c>
      <c r="O57">
        <v>50</v>
      </c>
      <c r="P57">
        <v>1</v>
      </c>
      <c r="Q57">
        <v>1</v>
      </c>
      <c r="R57">
        <v>0.08</v>
      </c>
      <c r="T57" t="s">
        <v>682</v>
      </c>
    </row>
    <row r="58" spans="2:20">
      <c r="B58" t="s">
        <v>243</v>
      </c>
      <c r="C58" t="s">
        <v>615</v>
      </c>
      <c r="D58" t="s">
        <v>520</v>
      </c>
      <c r="E58" t="s">
        <v>616</v>
      </c>
      <c r="F58" t="s">
        <v>522</v>
      </c>
      <c r="G58" t="s">
        <v>522</v>
      </c>
      <c r="H58" t="s">
        <v>178</v>
      </c>
      <c r="I58" t="s">
        <v>179</v>
      </c>
      <c r="K58" t="s">
        <v>615</v>
      </c>
      <c r="L58" t="s">
        <v>520</v>
      </c>
      <c r="M58" t="s">
        <v>714</v>
      </c>
      <c r="N58">
        <v>400.26300000000003</v>
      </c>
      <c r="O58">
        <v>50</v>
      </c>
      <c r="P58">
        <v>1</v>
      </c>
      <c r="Q58">
        <v>1</v>
      </c>
      <c r="R58">
        <v>0.08</v>
      </c>
      <c r="T58" t="s">
        <v>682</v>
      </c>
    </row>
    <row r="59" spans="2:20">
      <c r="B59" t="s">
        <v>243</v>
      </c>
      <c r="C59" t="s">
        <v>617</v>
      </c>
      <c r="D59" t="s">
        <v>520</v>
      </c>
      <c r="E59" t="s">
        <v>618</v>
      </c>
      <c r="F59" t="s">
        <v>522</v>
      </c>
      <c r="G59" t="s">
        <v>522</v>
      </c>
      <c r="H59" t="s">
        <v>178</v>
      </c>
      <c r="I59" t="s">
        <v>179</v>
      </c>
      <c r="K59" t="s">
        <v>617</v>
      </c>
      <c r="L59" t="s">
        <v>520</v>
      </c>
      <c r="R59">
        <v>7.7499999999999999E-3</v>
      </c>
      <c r="S59" t="s">
        <v>715</v>
      </c>
    </row>
    <row r="60" spans="2:20">
      <c r="B60" t="s">
        <v>243</v>
      </c>
      <c r="C60" t="s">
        <v>619</v>
      </c>
      <c r="D60" t="s">
        <v>520</v>
      </c>
      <c r="E60" t="s">
        <v>620</v>
      </c>
      <c r="F60" t="s">
        <v>522</v>
      </c>
      <c r="G60" t="s">
        <v>522</v>
      </c>
      <c r="H60" t="s">
        <v>178</v>
      </c>
      <c r="I60" t="s">
        <v>179</v>
      </c>
      <c r="K60" t="s">
        <v>619</v>
      </c>
      <c r="L60" t="s">
        <v>520</v>
      </c>
      <c r="R60">
        <v>7.7499999999999999E-3</v>
      </c>
      <c r="S60" t="s">
        <v>716</v>
      </c>
    </row>
    <row r="61" spans="2:20">
      <c r="B61" t="s">
        <v>243</v>
      </c>
      <c r="C61" t="s">
        <v>621</v>
      </c>
      <c r="D61" t="s">
        <v>520</v>
      </c>
      <c r="E61" t="s">
        <v>622</v>
      </c>
      <c r="F61" t="s">
        <v>522</v>
      </c>
      <c r="G61" t="s">
        <v>522</v>
      </c>
      <c r="H61" t="s">
        <v>178</v>
      </c>
      <c r="I61" t="s">
        <v>179</v>
      </c>
      <c r="K61" t="s">
        <v>621</v>
      </c>
      <c r="L61" t="s">
        <v>520</v>
      </c>
      <c r="R61">
        <v>7.7499999999999999E-3</v>
      </c>
      <c r="S61" t="s">
        <v>717</v>
      </c>
    </row>
    <row r="62" spans="2:20">
      <c r="B62" t="s">
        <v>243</v>
      </c>
      <c r="C62" t="s">
        <v>623</v>
      </c>
      <c r="D62" t="s">
        <v>520</v>
      </c>
      <c r="E62" t="s">
        <v>624</v>
      </c>
      <c r="F62" t="s">
        <v>522</v>
      </c>
      <c r="G62" t="s">
        <v>522</v>
      </c>
      <c r="H62" t="s">
        <v>178</v>
      </c>
      <c r="I62" t="s">
        <v>179</v>
      </c>
      <c r="K62" t="s">
        <v>623</v>
      </c>
      <c r="L62" t="s">
        <v>520</v>
      </c>
      <c r="R62">
        <v>7.7499999999999999E-3</v>
      </c>
      <c r="S62" t="s">
        <v>718</v>
      </c>
    </row>
    <row r="63" spans="2:20">
      <c r="B63" t="s">
        <v>243</v>
      </c>
      <c r="C63" t="s">
        <v>625</v>
      </c>
      <c r="D63" t="s">
        <v>520</v>
      </c>
      <c r="E63" t="s">
        <v>626</v>
      </c>
      <c r="F63" t="s">
        <v>522</v>
      </c>
      <c r="G63" t="s">
        <v>522</v>
      </c>
      <c r="H63" t="s">
        <v>178</v>
      </c>
      <c r="I63" t="s">
        <v>179</v>
      </c>
      <c r="K63" t="s">
        <v>625</v>
      </c>
      <c r="L63" t="s">
        <v>520</v>
      </c>
      <c r="R63">
        <v>7.7499999999999999E-3</v>
      </c>
      <c r="S63" t="s">
        <v>719</v>
      </c>
    </row>
    <row r="64" spans="2:20">
      <c r="B64" t="s">
        <v>243</v>
      </c>
      <c r="C64" t="s">
        <v>627</v>
      </c>
      <c r="D64" t="s">
        <v>520</v>
      </c>
      <c r="E64" t="s">
        <v>628</v>
      </c>
      <c r="F64" t="s">
        <v>522</v>
      </c>
      <c r="G64" t="s">
        <v>522</v>
      </c>
      <c r="H64" t="s">
        <v>178</v>
      </c>
      <c r="I64" t="s">
        <v>179</v>
      </c>
      <c r="K64" t="s">
        <v>627</v>
      </c>
      <c r="L64" t="s">
        <v>520</v>
      </c>
      <c r="R64">
        <v>7.7499999999999999E-3</v>
      </c>
      <c r="S64" t="s">
        <v>720</v>
      </c>
    </row>
    <row r="65" spans="2:19">
      <c r="B65" t="s">
        <v>243</v>
      </c>
      <c r="C65" t="s">
        <v>629</v>
      </c>
      <c r="D65" t="s">
        <v>520</v>
      </c>
      <c r="E65" t="s">
        <v>630</v>
      </c>
      <c r="F65" t="s">
        <v>522</v>
      </c>
      <c r="G65" t="s">
        <v>522</v>
      </c>
      <c r="H65" t="s">
        <v>178</v>
      </c>
      <c r="I65" t="s">
        <v>179</v>
      </c>
      <c r="K65" t="s">
        <v>629</v>
      </c>
      <c r="L65" t="s">
        <v>520</v>
      </c>
      <c r="R65">
        <v>7.7499999999999999E-3</v>
      </c>
      <c r="S65" t="s">
        <v>721</v>
      </c>
    </row>
    <row r="66" spans="2:19">
      <c r="B66" t="s">
        <v>243</v>
      </c>
      <c r="C66" t="s">
        <v>631</v>
      </c>
      <c r="D66" t="s">
        <v>520</v>
      </c>
      <c r="E66" t="s">
        <v>632</v>
      </c>
      <c r="F66" t="s">
        <v>522</v>
      </c>
      <c r="G66" t="s">
        <v>522</v>
      </c>
      <c r="H66" t="s">
        <v>178</v>
      </c>
      <c r="I66" t="s">
        <v>179</v>
      </c>
      <c r="K66" t="s">
        <v>631</v>
      </c>
      <c r="L66" t="s">
        <v>520</v>
      </c>
      <c r="R66">
        <v>7.7499999999999999E-3</v>
      </c>
      <c r="S66" t="s">
        <v>722</v>
      </c>
    </row>
    <row r="67" spans="2:19">
      <c r="B67" t="s">
        <v>243</v>
      </c>
      <c r="C67" t="s">
        <v>633</v>
      </c>
      <c r="D67" t="s">
        <v>520</v>
      </c>
      <c r="E67" t="s">
        <v>634</v>
      </c>
      <c r="F67" t="s">
        <v>522</v>
      </c>
      <c r="G67" t="s">
        <v>522</v>
      </c>
      <c r="H67" t="s">
        <v>178</v>
      </c>
      <c r="I67" t="s">
        <v>179</v>
      </c>
      <c r="K67" t="s">
        <v>633</v>
      </c>
      <c r="L67" t="s">
        <v>520</v>
      </c>
      <c r="R67">
        <v>7.7499999999999999E-3</v>
      </c>
      <c r="S67" t="s">
        <v>723</v>
      </c>
    </row>
    <row r="68" spans="2:19">
      <c r="B68" t="s">
        <v>243</v>
      </c>
      <c r="C68" t="s">
        <v>635</v>
      </c>
      <c r="D68" t="s">
        <v>520</v>
      </c>
      <c r="E68" t="s">
        <v>636</v>
      </c>
      <c r="F68" t="s">
        <v>522</v>
      </c>
      <c r="G68" t="s">
        <v>522</v>
      </c>
      <c r="H68" t="s">
        <v>178</v>
      </c>
      <c r="I68" t="s">
        <v>179</v>
      </c>
      <c r="K68" t="s">
        <v>635</v>
      </c>
      <c r="L68" t="s">
        <v>520</v>
      </c>
      <c r="R68">
        <v>7.7499999999999999E-3</v>
      </c>
      <c r="S68" t="s">
        <v>724</v>
      </c>
    </row>
    <row r="69" spans="2:19">
      <c r="B69" t="s">
        <v>243</v>
      </c>
      <c r="C69" t="s">
        <v>637</v>
      </c>
      <c r="D69" t="s">
        <v>520</v>
      </c>
      <c r="E69" t="s">
        <v>638</v>
      </c>
      <c r="F69" t="s">
        <v>522</v>
      </c>
      <c r="G69" t="s">
        <v>522</v>
      </c>
      <c r="H69" t="s">
        <v>178</v>
      </c>
      <c r="I69" t="s">
        <v>179</v>
      </c>
      <c r="K69" t="s">
        <v>637</v>
      </c>
      <c r="L69" t="s">
        <v>520</v>
      </c>
      <c r="R69">
        <v>7.7499999999999999E-3</v>
      </c>
      <c r="S69" t="s">
        <v>725</v>
      </c>
    </row>
    <row r="70" spans="2:19">
      <c r="B70" t="s">
        <v>243</v>
      </c>
      <c r="C70" t="s">
        <v>639</v>
      </c>
      <c r="D70" t="s">
        <v>520</v>
      </c>
      <c r="E70" t="s">
        <v>640</v>
      </c>
      <c r="F70" t="s">
        <v>522</v>
      </c>
      <c r="G70" t="s">
        <v>522</v>
      </c>
      <c r="H70" t="s">
        <v>178</v>
      </c>
      <c r="I70" t="s">
        <v>179</v>
      </c>
      <c r="K70" t="s">
        <v>639</v>
      </c>
      <c r="L70" t="s">
        <v>520</v>
      </c>
      <c r="R70">
        <v>7.7499999999999999E-3</v>
      </c>
      <c r="S70" t="s">
        <v>726</v>
      </c>
    </row>
    <row r="71" spans="2:19">
      <c r="B71" t="s">
        <v>243</v>
      </c>
      <c r="C71" t="s">
        <v>641</v>
      </c>
      <c r="D71" t="s">
        <v>520</v>
      </c>
      <c r="E71" t="s">
        <v>642</v>
      </c>
      <c r="F71" t="s">
        <v>522</v>
      </c>
      <c r="G71" t="s">
        <v>522</v>
      </c>
      <c r="H71" t="s">
        <v>178</v>
      </c>
      <c r="I71" t="s">
        <v>179</v>
      </c>
      <c r="K71" t="s">
        <v>641</v>
      </c>
      <c r="L71" t="s">
        <v>520</v>
      </c>
      <c r="R71">
        <v>7.7499999999999999E-3</v>
      </c>
      <c r="S71" t="s">
        <v>727</v>
      </c>
    </row>
    <row r="72" spans="2:19">
      <c r="B72" t="s">
        <v>243</v>
      </c>
      <c r="C72" t="s">
        <v>643</v>
      </c>
      <c r="D72" t="s">
        <v>520</v>
      </c>
      <c r="E72" t="s">
        <v>644</v>
      </c>
      <c r="F72" t="s">
        <v>522</v>
      </c>
      <c r="G72" t="s">
        <v>522</v>
      </c>
      <c r="H72" t="s">
        <v>178</v>
      </c>
      <c r="I72" t="s">
        <v>179</v>
      </c>
      <c r="K72" t="s">
        <v>643</v>
      </c>
      <c r="L72" t="s">
        <v>520</v>
      </c>
      <c r="R72">
        <v>7.7499999999999999E-3</v>
      </c>
      <c r="S72" t="s">
        <v>728</v>
      </c>
    </row>
    <row r="73" spans="2:19">
      <c r="B73" t="s">
        <v>243</v>
      </c>
      <c r="C73" t="s">
        <v>645</v>
      </c>
      <c r="D73" t="s">
        <v>520</v>
      </c>
      <c r="E73" t="s">
        <v>646</v>
      </c>
      <c r="F73" t="s">
        <v>522</v>
      </c>
      <c r="G73" t="s">
        <v>522</v>
      </c>
      <c r="H73" t="s">
        <v>178</v>
      </c>
      <c r="I73" t="s">
        <v>179</v>
      </c>
      <c r="K73" t="s">
        <v>645</v>
      </c>
      <c r="L73" t="s">
        <v>520</v>
      </c>
      <c r="R73">
        <v>7.7499999999999999E-3</v>
      </c>
      <c r="S73" t="s">
        <v>729</v>
      </c>
    </row>
    <row r="74" spans="2:19">
      <c r="B74" t="s">
        <v>243</v>
      </c>
      <c r="C74" t="s">
        <v>647</v>
      </c>
      <c r="D74" t="s">
        <v>520</v>
      </c>
      <c r="E74" t="s">
        <v>648</v>
      </c>
      <c r="F74" t="s">
        <v>522</v>
      </c>
      <c r="G74" t="s">
        <v>522</v>
      </c>
      <c r="H74" t="s">
        <v>178</v>
      </c>
      <c r="I74" t="s">
        <v>179</v>
      </c>
      <c r="K74" t="s">
        <v>647</v>
      </c>
      <c r="L74" t="s">
        <v>520</v>
      </c>
      <c r="R74">
        <v>7.7499999999999999E-3</v>
      </c>
      <c r="S74" t="s">
        <v>730</v>
      </c>
    </row>
    <row r="75" spans="2:19">
      <c r="B75" t="s">
        <v>243</v>
      </c>
      <c r="C75" t="s">
        <v>649</v>
      </c>
      <c r="D75" t="s">
        <v>520</v>
      </c>
      <c r="E75" t="s">
        <v>650</v>
      </c>
      <c r="F75" t="s">
        <v>522</v>
      </c>
      <c r="G75" t="s">
        <v>522</v>
      </c>
      <c r="H75" t="s">
        <v>178</v>
      </c>
      <c r="I75" t="s">
        <v>179</v>
      </c>
      <c r="K75" t="s">
        <v>649</v>
      </c>
      <c r="L75" t="s">
        <v>520</v>
      </c>
      <c r="R75">
        <v>7.7499999999999999E-3</v>
      </c>
      <c r="S75" t="s">
        <v>731</v>
      </c>
    </row>
    <row r="76" spans="2:19">
      <c r="B76" t="s">
        <v>243</v>
      </c>
      <c r="C76" t="s">
        <v>651</v>
      </c>
      <c r="D76" t="s">
        <v>520</v>
      </c>
      <c r="E76" t="s">
        <v>652</v>
      </c>
      <c r="F76" t="s">
        <v>522</v>
      </c>
      <c r="G76" t="s">
        <v>522</v>
      </c>
      <c r="H76" t="s">
        <v>178</v>
      </c>
      <c r="I76" t="s">
        <v>179</v>
      </c>
      <c r="K76" t="s">
        <v>651</v>
      </c>
      <c r="L76" t="s">
        <v>520</v>
      </c>
      <c r="R76">
        <v>7.7499999999999999E-3</v>
      </c>
      <c r="S76" t="s">
        <v>732</v>
      </c>
    </row>
    <row r="77" spans="2:19">
      <c r="B77" t="s">
        <v>243</v>
      </c>
      <c r="C77" t="s">
        <v>653</v>
      </c>
      <c r="D77" t="s">
        <v>520</v>
      </c>
      <c r="E77" t="s">
        <v>654</v>
      </c>
      <c r="F77" t="s">
        <v>522</v>
      </c>
      <c r="G77" t="s">
        <v>522</v>
      </c>
      <c r="H77" t="s">
        <v>178</v>
      </c>
      <c r="I77" t="s">
        <v>179</v>
      </c>
      <c r="K77" t="s">
        <v>653</v>
      </c>
      <c r="L77" t="s">
        <v>520</v>
      </c>
      <c r="R77">
        <v>7.7499999999999999E-3</v>
      </c>
      <c r="S77" t="s">
        <v>733</v>
      </c>
    </row>
    <row r="78" spans="2:19">
      <c r="B78" t="s">
        <v>243</v>
      </c>
      <c r="C78" t="s">
        <v>655</v>
      </c>
      <c r="D78" t="s">
        <v>520</v>
      </c>
      <c r="E78" t="s">
        <v>656</v>
      </c>
      <c r="F78" t="s">
        <v>522</v>
      </c>
      <c r="G78" t="s">
        <v>522</v>
      </c>
      <c r="H78" t="s">
        <v>178</v>
      </c>
      <c r="I78" t="s">
        <v>179</v>
      </c>
      <c r="K78" t="s">
        <v>655</v>
      </c>
      <c r="L78" t="s">
        <v>520</v>
      </c>
      <c r="R78">
        <v>7.7499999999999999E-3</v>
      </c>
      <c r="S78" t="s">
        <v>734</v>
      </c>
    </row>
    <row r="79" spans="2:19">
      <c r="B79" t="s">
        <v>243</v>
      </c>
      <c r="C79" t="s">
        <v>657</v>
      </c>
      <c r="D79" t="s">
        <v>520</v>
      </c>
      <c r="E79" t="s">
        <v>658</v>
      </c>
      <c r="F79" t="s">
        <v>522</v>
      </c>
      <c r="G79" t="s">
        <v>522</v>
      </c>
      <c r="H79" t="s">
        <v>178</v>
      </c>
      <c r="I79" t="s">
        <v>179</v>
      </c>
      <c r="K79" t="s">
        <v>657</v>
      </c>
      <c r="L79" t="s">
        <v>520</v>
      </c>
      <c r="R79">
        <v>7.7499999999999999E-3</v>
      </c>
      <c r="S79" t="s">
        <v>735</v>
      </c>
    </row>
    <row r="80" spans="2:19">
      <c r="B80" t="s">
        <v>243</v>
      </c>
      <c r="C80" t="s">
        <v>659</v>
      </c>
      <c r="D80" t="s">
        <v>520</v>
      </c>
      <c r="E80" t="s">
        <v>660</v>
      </c>
      <c r="F80" t="s">
        <v>522</v>
      </c>
      <c r="G80" t="s">
        <v>522</v>
      </c>
      <c r="H80" t="s">
        <v>178</v>
      </c>
      <c r="I80" t="s">
        <v>179</v>
      </c>
      <c r="K80" t="s">
        <v>659</v>
      </c>
      <c r="L80" t="s">
        <v>520</v>
      </c>
      <c r="R80">
        <v>7.7499999999999999E-3</v>
      </c>
      <c r="S80" t="s">
        <v>736</v>
      </c>
    </row>
    <row r="81" spans="2:19">
      <c r="B81" t="s">
        <v>243</v>
      </c>
      <c r="C81" t="s">
        <v>661</v>
      </c>
      <c r="D81" t="s">
        <v>520</v>
      </c>
      <c r="E81" t="s">
        <v>662</v>
      </c>
      <c r="F81" t="s">
        <v>522</v>
      </c>
      <c r="G81" t="s">
        <v>522</v>
      </c>
      <c r="H81" t="s">
        <v>178</v>
      </c>
      <c r="I81" t="s">
        <v>179</v>
      </c>
      <c r="K81" t="s">
        <v>661</v>
      </c>
      <c r="L81" t="s">
        <v>520</v>
      </c>
      <c r="R81">
        <v>7.7499999999999999E-3</v>
      </c>
      <c r="S81" t="s">
        <v>737</v>
      </c>
    </row>
    <row r="82" spans="2:19">
      <c r="B82" t="s">
        <v>243</v>
      </c>
      <c r="C82" t="s">
        <v>663</v>
      </c>
      <c r="D82" t="s">
        <v>520</v>
      </c>
      <c r="E82" t="s">
        <v>664</v>
      </c>
      <c r="F82" t="s">
        <v>522</v>
      </c>
      <c r="G82" t="s">
        <v>522</v>
      </c>
      <c r="H82" t="s">
        <v>178</v>
      </c>
      <c r="I82" t="s">
        <v>179</v>
      </c>
      <c r="K82" t="s">
        <v>663</v>
      </c>
      <c r="L82" t="s">
        <v>520</v>
      </c>
      <c r="R82">
        <v>7.7499999999999999E-3</v>
      </c>
      <c r="S82" t="s">
        <v>738</v>
      </c>
    </row>
    <row r="83" spans="2:19">
      <c r="B83" t="s">
        <v>243</v>
      </c>
      <c r="C83" t="s">
        <v>665</v>
      </c>
      <c r="D83" t="s">
        <v>520</v>
      </c>
      <c r="E83" t="s">
        <v>666</v>
      </c>
      <c r="F83" t="s">
        <v>522</v>
      </c>
      <c r="G83" t="s">
        <v>522</v>
      </c>
      <c r="H83" t="s">
        <v>178</v>
      </c>
      <c r="I83" t="s">
        <v>179</v>
      </c>
      <c r="K83" t="s">
        <v>665</v>
      </c>
      <c r="L83" t="s">
        <v>520</v>
      </c>
      <c r="R83">
        <v>7.7499999999999999E-3</v>
      </c>
      <c r="S83" t="s">
        <v>739</v>
      </c>
    </row>
    <row r="84" spans="2:19">
      <c r="B84" t="s">
        <v>243</v>
      </c>
      <c r="C84" t="s">
        <v>667</v>
      </c>
      <c r="D84" t="s">
        <v>520</v>
      </c>
      <c r="E84" t="s">
        <v>668</v>
      </c>
      <c r="F84" t="s">
        <v>522</v>
      </c>
      <c r="G84" t="s">
        <v>522</v>
      </c>
      <c r="H84" t="s">
        <v>178</v>
      </c>
      <c r="I84" t="s">
        <v>179</v>
      </c>
      <c r="K84" t="s">
        <v>667</v>
      </c>
      <c r="L84" t="s">
        <v>520</v>
      </c>
      <c r="R84">
        <v>7.7499999999999999E-3</v>
      </c>
      <c r="S84" t="s">
        <v>740</v>
      </c>
    </row>
    <row r="85" spans="2:19">
      <c r="B85" t="s">
        <v>243</v>
      </c>
      <c r="C85" t="s">
        <v>669</v>
      </c>
      <c r="D85" t="s">
        <v>520</v>
      </c>
      <c r="E85" t="s">
        <v>670</v>
      </c>
      <c r="F85" t="s">
        <v>522</v>
      </c>
      <c r="G85" t="s">
        <v>522</v>
      </c>
      <c r="H85" t="s">
        <v>178</v>
      </c>
      <c r="I85" t="s">
        <v>179</v>
      </c>
      <c r="K85" t="s">
        <v>669</v>
      </c>
      <c r="L85" t="s">
        <v>520</v>
      </c>
      <c r="R85">
        <v>7.7499999999999999E-3</v>
      </c>
      <c r="S85" t="s">
        <v>741</v>
      </c>
    </row>
    <row r="86" spans="2:19">
      <c r="B86" t="s">
        <v>243</v>
      </c>
      <c r="C86" t="s">
        <v>671</v>
      </c>
      <c r="D86" t="s">
        <v>520</v>
      </c>
      <c r="E86" t="s">
        <v>672</v>
      </c>
      <c r="F86" t="s">
        <v>522</v>
      </c>
      <c r="G86" t="s">
        <v>522</v>
      </c>
      <c r="H86" t="s">
        <v>178</v>
      </c>
      <c r="I86" t="s">
        <v>179</v>
      </c>
      <c r="K86" t="s">
        <v>671</v>
      </c>
      <c r="L86" t="s">
        <v>520</v>
      </c>
      <c r="R86">
        <v>7.7499999999999999E-3</v>
      </c>
      <c r="S86" t="s">
        <v>742</v>
      </c>
    </row>
    <row r="87" spans="2:19">
      <c r="B87" t="s">
        <v>243</v>
      </c>
      <c r="C87" t="s">
        <v>673</v>
      </c>
      <c r="D87" t="s">
        <v>520</v>
      </c>
      <c r="E87" t="s">
        <v>674</v>
      </c>
      <c r="F87" t="s">
        <v>522</v>
      </c>
      <c r="G87" t="s">
        <v>522</v>
      </c>
      <c r="H87" t="s">
        <v>178</v>
      </c>
      <c r="I87" t="s">
        <v>179</v>
      </c>
      <c r="K87" t="s">
        <v>673</v>
      </c>
      <c r="L87" t="s">
        <v>520</v>
      </c>
      <c r="R87">
        <v>7.7499999999999999E-3</v>
      </c>
      <c r="S87" t="s">
        <v>743</v>
      </c>
    </row>
    <row r="88" spans="2:19">
      <c r="B88" t="s">
        <v>243</v>
      </c>
      <c r="C88" t="s">
        <v>675</v>
      </c>
      <c r="D88" t="s">
        <v>520</v>
      </c>
      <c r="E88" t="s">
        <v>676</v>
      </c>
      <c r="F88" t="s">
        <v>522</v>
      </c>
      <c r="G88" t="s">
        <v>522</v>
      </c>
      <c r="H88" t="s">
        <v>178</v>
      </c>
      <c r="I88" t="s">
        <v>179</v>
      </c>
      <c r="K88" t="s">
        <v>675</v>
      </c>
      <c r="L88" t="s">
        <v>520</v>
      </c>
      <c r="R88">
        <v>7.7499999999999999E-3</v>
      </c>
      <c r="S88" t="s">
        <v>744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2026-08-29T06:43:14Z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